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levina\airflow\dags\DATA\Bobby Aquatic 1\PENJUALAN\"/>
    </mc:Choice>
  </mc:AlternateContent>
  <bookViews>
    <workbookView xWindow="0" yWindow="0" windowWidth="19200" windowHeight="7190" activeTab="1"/>
  </bookViews>
  <sheets>
    <sheet name="input data" sheetId="12" r:id="rId1"/>
    <sheet name="Penjualan" sheetId="14" r:id="rId2"/>
  </sheets>
  <externalReferences>
    <externalReference r:id="rId3"/>
  </externalReferences>
  <definedNames>
    <definedName name="_xlnm._FilterDatabase" localSheetId="1" hidden="1">Penjualan!$A$1:$L$4562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F3" i="14" l="1"/>
  <c r="H3" i="14" s="1"/>
  <c r="G3" i="14"/>
  <c r="I3" i="14" s="1"/>
  <c r="J3" i="14" s="1"/>
  <c r="K3" i="14"/>
  <c r="D3" i="14"/>
  <c r="F5" i="14" l="1"/>
  <c r="H5" i="14" s="1"/>
  <c r="G5" i="14"/>
  <c r="I5" i="14" s="1"/>
  <c r="K5" i="14"/>
  <c r="F6" i="14"/>
  <c r="H6" i="14" s="1"/>
  <c r="G6" i="14"/>
  <c r="I6" i="14" s="1"/>
  <c r="K6" i="14"/>
  <c r="F7" i="14"/>
  <c r="H7" i="14" s="1"/>
  <c r="G7" i="14"/>
  <c r="I7" i="14" s="1"/>
  <c r="K7" i="14"/>
  <c r="F8" i="14"/>
  <c r="H8" i="14" s="1"/>
  <c r="G8" i="14"/>
  <c r="I8" i="14" s="1"/>
  <c r="J8" i="14" s="1"/>
  <c r="K8" i="14"/>
  <c r="F9" i="14"/>
  <c r="H9" i="14" s="1"/>
  <c r="G9" i="14"/>
  <c r="I9" i="14" s="1"/>
  <c r="J9" i="14" s="1"/>
  <c r="K9" i="14"/>
  <c r="F10" i="14"/>
  <c r="H10" i="14" s="1"/>
  <c r="G10" i="14"/>
  <c r="I10" i="14" s="1"/>
  <c r="K10" i="14"/>
  <c r="F11" i="14"/>
  <c r="H11" i="14" s="1"/>
  <c r="G11" i="14"/>
  <c r="I11" i="14" s="1"/>
  <c r="K11" i="14"/>
  <c r="F12" i="14"/>
  <c r="H12" i="14" s="1"/>
  <c r="G12" i="14"/>
  <c r="I12" i="14" s="1"/>
  <c r="K12" i="14"/>
  <c r="F13" i="14"/>
  <c r="H13" i="14" s="1"/>
  <c r="G13" i="14"/>
  <c r="I13" i="14" s="1"/>
  <c r="J13" i="14" s="1"/>
  <c r="K13" i="14"/>
  <c r="F14" i="14"/>
  <c r="H14" i="14" s="1"/>
  <c r="G14" i="14"/>
  <c r="I14" i="14" s="1"/>
  <c r="K14" i="14"/>
  <c r="F15" i="14"/>
  <c r="H15" i="14" s="1"/>
  <c r="G15" i="14"/>
  <c r="I15" i="14" s="1"/>
  <c r="J15" i="14" s="1"/>
  <c r="K15" i="14"/>
  <c r="F16" i="14"/>
  <c r="H16" i="14" s="1"/>
  <c r="G16" i="14"/>
  <c r="I16" i="14" s="1"/>
  <c r="K16" i="14"/>
  <c r="F17" i="14"/>
  <c r="H17" i="14" s="1"/>
  <c r="G17" i="14"/>
  <c r="I17" i="14" s="1"/>
  <c r="J17" i="14" s="1"/>
  <c r="K17" i="14"/>
  <c r="F18" i="14"/>
  <c r="H18" i="14" s="1"/>
  <c r="G18" i="14"/>
  <c r="I18" i="14" s="1"/>
  <c r="K18" i="14"/>
  <c r="F19" i="14"/>
  <c r="H19" i="14" s="1"/>
  <c r="G19" i="14"/>
  <c r="I19" i="14" s="1"/>
  <c r="J19" i="14" s="1"/>
  <c r="K19" i="14"/>
  <c r="F20" i="14"/>
  <c r="H20" i="14" s="1"/>
  <c r="G20" i="14"/>
  <c r="I20" i="14" s="1"/>
  <c r="K20" i="14"/>
  <c r="F21" i="14"/>
  <c r="H21" i="14" s="1"/>
  <c r="G21" i="14"/>
  <c r="I21" i="14" s="1"/>
  <c r="K21" i="14"/>
  <c r="F22" i="14"/>
  <c r="H22" i="14" s="1"/>
  <c r="G22" i="14"/>
  <c r="I22" i="14" s="1"/>
  <c r="K22" i="14"/>
  <c r="F23" i="14"/>
  <c r="H23" i="14" s="1"/>
  <c r="G23" i="14"/>
  <c r="I23" i="14" s="1"/>
  <c r="K23" i="14"/>
  <c r="F24" i="14"/>
  <c r="H24" i="14" s="1"/>
  <c r="G24" i="14"/>
  <c r="I24" i="14" s="1"/>
  <c r="K24" i="14"/>
  <c r="F25" i="14"/>
  <c r="H25" i="14" s="1"/>
  <c r="G25" i="14"/>
  <c r="I25" i="14" s="1"/>
  <c r="K25" i="14"/>
  <c r="F26" i="14"/>
  <c r="H26" i="14" s="1"/>
  <c r="G26" i="14"/>
  <c r="I26" i="14" s="1"/>
  <c r="K26" i="14"/>
  <c r="F27" i="14"/>
  <c r="H27" i="14" s="1"/>
  <c r="G27" i="14"/>
  <c r="I27" i="14" s="1"/>
  <c r="K27" i="14"/>
  <c r="F28" i="14"/>
  <c r="H28" i="14" s="1"/>
  <c r="G28" i="14"/>
  <c r="I28" i="14" s="1"/>
  <c r="K28" i="14"/>
  <c r="F29" i="14"/>
  <c r="H29" i="14" s="1"/>
  <c r="G29" i="14"/>
  <c r="I29" i="14" s="1"/>
  <c r="J29" i="14" s="1"/>
  <c r="K29" i="14"/>
  <c r="F30" i="14"/>
  <c r="H30" i="14" s="1"/>
  <c r="G30" i="14"/>
  <c r="I30" i="14" s="1"/>
  <c r="J30" i="14" s="1"/>
  <c r="K30" i="14"/>
  <c r="F31" i="14"/>
  <c r="G31" i="14"/>
  <c r="H31" i="14"/>
  <c r="I31" i="14"/>
  <c r="K31" i="14"/>
  <c r="F32" i="14"/>
  <c r="H32" i="14" s="1"/>
  <c r="G32" i="14"/>
  <c r="I32" i="14" s="1"/>
  <c r="J32" i="14" s="1"/>
  <c r="K32" i="14"/>
  <c r="F33" i="14"/>
  <c r="H33" i="14" s="1"/>
  <c r="G33" i="14"/>
  <c r="I33" i="14"/>
  <c r="J33" i="14" s="1"/>
  <c r="K33" i="14"/>
  <c r="F34" i="14"/>
  <c r="G34" i="14"/>
  <c r="I34" i="14" s="1"/>
  <c r="H34" i="14"/>
  <c r="K34" i="14"/>
  <c r="F35" i="14"/>
  <c r="H35" i="14" s="1"/>
  <c r="G35" i="14"/>
  <c r="I35" i="14"/>
  <c r="J35" i="14" s="1"/>
  <c r="K35" i="14"/>
  <c r="F36" i="14"/>
  <c r="G36" i="14"/>
  <c r="I36" i="14" s="1"/>
  <c r="H36" i="14"/>
  <c r="K36" i="14"/>
  <c r="F37" i="14"/>
  <c r="H37" i="14" s="1"/>
  <c r="G37" i="14"/>
  <c r="I37" i="14"/>
  <c r="J37" i="14" s="1"/>
  <c r="K37" i="14"/>
  <c r="F38" i="14"/>
  <c r="G38" i="14"/>
  <c r="I38" i="14" s="1"/>
  <c r="H38" i="14"/>
  <c r="K38" i="14"/>
  <c r="F39" i="14"/>
  <c r="H39" i="14" s="1"/>
  <c r="G39" i="14"/>
  <c r="I39" i="14"/>
  <c r="J39" i="14" s="1"/>
  <c r="K39" i="14"/>
  <c r="F40" i="14"/>
  <c r="G40" i="14"/>
  <c r="I40" i="14" s="1"/>
  <c r="H40" i="14"/>
  <c r="K40" i="14"/>
  <c r="F41" i="14"/>
  <c r="H41" i="14" s="1"/>
  <c r="G41" i="14"/>
  <c r="I41" i="14"/>
  <c r="K41" i="14"/>
  <c r="F42" i="14"/>
  <c r="H42" i="14" s="1"/>
  <c r="G42" i="14"/>
  <c r="I42" i="14" s="1"/>
  <c r="K42" i="14"/>
  <c r="F43" i="14"/>
  <c r="H43" i="14" s="1"/>
  <c r="G43" i="14"/>
  <c r="I43" i="14" s="1"/>
  <c r="K43" i="14"/>
  <c r="F44" i="14"/>
  <c r="H44" i="14" s="1"/>
  <c r="G44" i="14"/>
  <c r="I44" i="14" s="1"/>
  <c r="K44" i="14"/>
  <c r="F45" i="14"/>
  <c r="H45" i="14" s="1"/>
  <c r="G45" i="14"/>
  <c r="I45" i="14" s="1"/>
  <c r="K45" i="14"/>
  <c r="F46" i="14"/>
  <c r="H46" i="14" s="1"/>
  <c r="G46" i="14"/>
  <c r="I46" i="14" s="1"/>
  <c r="K46" i="14"/>
  <c r="F47" i="14"/>
  <c r="H47" i="14" s="1"/>
  <c r="G47" i="14"/>
  <c r="I47" i="14" s="1"/>
  <c r="K47" i="14"/>
  <c r="F48" i="14"/>
  <c r="H48" i="14" s="1"/>
  <c r="G48" i="14"/>
  <c r="I48" i="14" s="1"/>
  <c r="K48" i="14"/>
  <c r="F49" i="14"/>
  <c r="H49" i="14" s="1"/>
  <c r="G49" i="14"/>
  <c r="I49" i="14" s="1"/>
  <c r="K49" i="14"/>
  <c r="F50" i="14"/>
  <c r="H50" i="14" s="1"/>
  <c r="G50" i="14"/>
  <c r="I50" i="14" s="1"/>
  <c r="K50" i="14"/>
  <c r="F51" i="14"/>
  <c r="H51" i="14" s="1"/>
  <c r="G51" i="14"/>
  <c r="I51" i="14" s="1"/>
  <c r="K51" i="14"/>
  <c r="F52" i="14"/>
  <c r="H52" i="14" s="1"/>
  <c r="G52" i="14"/>
  <c r="I52" i="14" s="1"/>
  <c r="K52" i="14"/>
  <c r="F53" i="14"/>
  <c r="H53" i="14" s="1"/>
  <c r="G53" i="14"/>
  <c r="I53" i="14" s="1"/>
  <c r="K53" i="14"/>
  <c r="F54" i="14"/>
  <c r="H54" i="14" s="1"/>
  <c r="G54" i="14"/>
  <c r="I54" i="14" s="1"/>
  <c r="K54" i="14"/>
  <c r="F55" i="14"/>
  <c r="H55" i="14" s="1"/>
  <c r="G55" i="14"/>
  <c r="I55" i="14" s="1"/>
  <c r="K55" i="14"/>
  <c r="F56" i="14"/>
  <c r="G56" i="14"/>
  <c r="I56" i="14" s="1"/>
  <c r="J56" i="14" s="1"/>
  <c r="H56" i="14"/>
  <c r="K56" i="14"/>
  <c r="F57" i="14"/>
  <c r="H57" i="14" s="1"/>
  <c r="G57" i="14"/>
  <c r="I57" i="14" s="1"/>
  <c r="K57" i="14"/>
  <c r="F58" i="14"/>
  <c r="G58" i="14"/>
  <c r="I58" i="14" s="1"/>
  <c r="H58" i="14"/>
  <c r="K58" i="14"/>
  <c r="F59" i="14"/>
  <c r="H59" i="14" s="1"/>
  <c r="G59" i="14"/>
  <c r="I59" i="14" s="1"/>
  <c r="K59" i="14"/>
  <c r="F60" i="14"/>
  <c r="H60" i="14" s="1"/>
  <c r="G60" i="14"/>
  <c r="I60" i="14" s="1"/>
  <c r="K60" i="14"/>
  <c r="F61" i="14"/>
  <c r="H61" i="14" s="1"/>
  <c r="G61" i="14"/>
  <c r="I61" i="14" s="1"/>
  <c r="K61" i="14"/>
  <c r="F62" i="14"/>
  <c r="H62" i="14" s="1"/>
  <c r="G62" i="14"/>
  <c r="I62" i="14" s="1"/>
  <c r="K62" i="14"/>
  <c r="F63" i="14"/>
  <c r="H63" i="14" s="1"/>
  <c r="G63" i="14"/>
  <c r="I63" i="14" s="1"/>
  <c r="K63" i="14"/>
  <c r="F64" i="14"/>
  <c r="H64" i="14" s="1"/>
  <c r="G64" i="14"/>
  <c r="I64" i="14" s="1"/>
  <c r="K64" i="14"/>
  <c r="F65" i="14"/>
  <c r="H65" i="14" s="1"/>
  <c r="G65" i="14"/>
  <c r="I65" i="14" s="1"/>
  <c r="K65" i="14"/>
  <c r="F66" i="14"/>
  <c r="H66" i="14" s="1"/>
  <c r="G66" i="14"/>
  <c r="I66" i="14" s="1"/>
  <c r="K66" i="14"/>
  <c r="F67" i="14"/>
  <c r="H67" i="14" s="1"/>
  <c r="G67" i="14"/>
  <c r="I67" i="14" s="1"/>
  <c r="K67" i="14"/>
  <c r="F68" i="14"/>
  <c r="H68" i="14" s="1"/>
  <c r="G68" i="14"/>
  <c r="I68" i="14" s="1"/>
  <c r="K68" i="14"/>
  <c r="F69" i="14"/>
  <c r="H69" i="14" s="1"/>
  <c r="G69" i="14"/>
  <c r="I69" i="14" s="1"/>
  <c r="K69" i="14"/>
  <c r="F70" i="14"/>
  <c r="H70" i="14" s="1"/>
  <c r="G70" i="14"/>
  <c r="I70" i="14" s="1"/>
  <c r="K70" i="14"/>
  <c r="F71" i="14"/>
  <c r="H71" i="14" s="1"/>
  <c r="G71" i="14"/>
  <c r="I71" i="14" s="1"/>
  <c r="K71" i="14"/>
  <c r="F72" i="14"/>
  <c r="H72" i="14" s="1"/>
  <c r="G72" i="14"/>
  <c r="I72" i="14" s="1"/>
  <c r="K72" i="14"/>
  <c r="F73" i="14"/>
  <c r="H73" i="14" s="1"/>
  <c r="G73" i="14"/>
  <c r="I73" i="14" s="1"/>
  <c r="K73" i="14"/>
  <c r="F74" i="14"/>
  <c r="H74" i="14" s="1"/>
  <c r="G74" i="14"/>
  <c r="I74" i="14" s="1"/>
  <c r="J74" i="14" s="1"/>
  <c r="K74" i="14"/>
  <c r="F75" i="14"/>
  <c r="H75" i="14" s="1"/>
  <c r="G75" i="14"/>
  <c r="I75" i="14" s="1"/>
  <c r="J75" i="14" s="1"/>
  <c r="K75" i="14"/>
  <c r="F76" i="14"/>
  <c r="G76" i="14"/>
  <c r="I76" i="14" s="1"/>
  <c r="H76" i="14"/>
  <c r="K76" i="14"/>
  <c r="F77" i="14"/>
  <c r="H77" i="14" s="1"/>
  <c r="G77" i="14"/>
  <c r="I77" i="14" s="1"/>
  <c r="J77" i="14" s="1"/>
  <c r="K77" i="14"/>
  <c r="F78" i="14"/>
  <c r="G78" i="14"/>
  <c r="I78" i="14" s="1"/>
  <c r="H78" i="14"/>
  <c r="K78" i="14"/>
  <c r="F79" i="14"/>
  <c r="H79" i="14" s="1"/>
  <c r="G79" i="14"/>
  <c r="I79" i="14" s="1"/>
  <c r="K79" i="14"/>
  <c r="F80" i="14"/>
  <c r="H80" i="14" s="1"/>
  <c r="G80" i="14"/>
  <c r="I80" i="14" s="1"/>
  <c r="J80" i="14" s="1"/>
  <c r="K80" i="14"/>
  <c r="F81" i="14"/>
  <c r="H81" i="14" s="1"/>
  <c r="G81" i="14"/>
  <c r="I81" i="14" s="1"/>
  <c r="K81" i="14"/>
  <c r="F82" i="14"/>
  <c r="H82" i="14" s="1"/>
  <c r="G82" i="14"/>
  <c r="I82" i="14" s="1"/>
  <c r="K82" i="14"/>
  <c r="F83" i="14"/>
  <c r="H83" i="14" s="1"/>
  <c r="G83" i="14"/>
  <c r="I83" i="14" s="1"/>
  <c r="K83" i="14"/>
  <c r="F84" i="14"/>
  <c r="H84" i="14" s="1"/>
  <c r="G84" i="14"/>
  <c r="I84" i="14" s="1"/>
  <c r="K84" i="14"/>
  <c r="F85" i="14"/>
  <c r="H85" i="14" s="1"/>
  <c r="G85" i="14"/>
  <c r="I85" i="14"/>
  <c r="K85" i="14"/>
  <c r="F86" i="14"/>
  <c r="H86" i="14" s="1"/>
  <c r="G86" i="14"/>
  <c r="I86" i="14"/>
  <c r="K86" i="14"/>
  <c r="F87" i="14"/>
  <c r="H87" i="14" s="1"/>
  <c r="G87" i="14"/>
  <c r="I87" i="14"/>
  <c r="J87" i="14" s="1"/>
  <c r="K87" i="14"/>
  <c r="F88" i="14"/>
  <c r="G88" i="14"/>
  <c r="I88" i="14" s="1"/>
  <c r="H88" i="14"/>
  <c r="K88" i="14"/>
  <c r="F89" i="14"/>
  <c r="H89" i="14" s="1"/>
  <c r="G89" i="14"/>
  <c r="I89" i="14"/>
  <c r="J89" i="14" s="1"/>
  <c r="K89" i="14"/>
  <c r="F90" i="14"/>
  <c r="G90" i="14"/>
  <c r="I90" i="14" s="1"/>
  <c r="H90" i="14"/>
  <c r="K90" i="14"/>
  <c r="F91" i="14"/>
  <c r="H91" i="14" s="1"/>
  <c r="G91" i="14"/>
  <c r="I91" i="14" s="1"/>
  <c r="K91" i="14"/>
  <c r="F92" i="14"/>
  <c r="H92" i="14" s="1"/>
  <c r="G92" i="14"/>
  <c r="I92" i="14" s="1"/>
  <c r="K92" i="14"/>
  <c r="F93" i="14"/>
  <c r="H93" i="14" s="1"/>
  <c r="G93" i="14"/>
  <c r="I93" i="14" s="1"/>
  <c r="K93" i="14"/>
  <c r="F94" i="14"/>
  <c r="H94" i="14" s="1"/>
  <c r="G94" i="14"/>
  <c r="I94" i="14" s="1"/>
  <c r="K94" i="14"/>
  <c r="F95" i="14"/>
  <c r="G95" i="14"/>
  <c r="I95" i="14" s="1"/>
  <c r="J95" i="14" s="1"/>
  <c r="H95" i="14"/>
  <c r="K95" i="14"/>
  <c r="F96" i="14"/>
  <c r="H96" i="14" s="1"/>
  <c r="G96" i="14"/>
  <c r="I96" i="14" s="1"/>
  <c r="K96" i="14"/>
  <c r="F97" i="14"/>
  <c r="G97" i="14"/>
  <c r="I97" i="14" s="1"/>
  <c r="H97" i="14"/>
  <c r="K97" i="14"/>
  <c r="F98" i="14"/>
  <c r="H98" i="14" s="1"/>
  <c r="G98" i="14"/>
  <c r="I98" i="14" s="1"/>
  <c r="K98" i="14"/>
  <c r="F99" i="14"/>
  <c r="G99" i="14"/>
  <c r="I99" i="14" s="1"/>
  <c r="H99" i="14"/>
  <c r="K99" i="14"/>
  <c r="F100" i="14"/>
  <c r="H100" i="14" s="1"/>
  <c r="G100" i="14"/>
  <c r="I100" i="14" s="1"/>
  <c r="K100" i="14"/>
  <c r="F101" i="14"/>
  <c r="H101" i="14" s="1"/>
  <c r="G101" i="14"/>
  <c r="I101" i="14" s="1"/>
  <c r="J101" i="14" s="1"/>
  <c r="K101" i="14"/>
  <c r="F102" i="14"/>
  <c r="H102" i="14" s="1"/>
  <c r="G102" i="14"/>
  <c r="I102" i="14" s="1"/>
  <c r="K102" i="14"/>
  <c r="F103" i="14"/>
  <c r="H103" i="14" s="1"/>
  <c r="G103" i="14"/>
  <c r="I103" i="14" s="1"/>
  <c r="J103" i="14" s="1"/>
  <c r="K103" i="14"/>
  <c r="F104" i="14"/>
  <c r="H104" i="14" s="1"/>
  <c r="G104" i="14"/>
  <c r="I104" i="14" s="1"/>
  <c r="K104" i="14"/>
  <c r="F105" i="14"/>
  <c r="H105" i="14" s="1"/>
  <c r="G105" i="14"/>
  <c r="I105" i="14"/>
  <c r="K105" i="14"/>
  <c r="F106" i="14"/>
  <c r="H106" i="14" s="1"/>
  <c r="G106" i="14"/>
  <c r="I106" i="14" s="1"/>
  <c r="K106" i="14"/>
  <c r="F107" i="14"/>
  <c r="H107" i="14" s="1"/>
  <c r="G107" i="14"/>
  <c r="I107" i="14" s="1"/>
  <c r="K107" i="14"/>
  <c r="F108" i="14"/>
  <c r="H108" i="14" s="1"/>
  <c r="G108" i="14"/>
  <c r="I108" i="14" s="1"/>
  <c r="K108" i="14"/>
  <c r="F109" i="14"/>
  <c r="H109" i="14" s="1"/>
  <c r="G109" i="14"/>
  <c r="I109" i="14" s="1"/>
  <c r="J109" i="14" s="1"/>
  <c r="K109" i="14"/>
  <c r="F110" i="14"/>
  <c r="H110" i="14" s="1"/>
  <c r="G110" i="14"/>
  <c r="I110" i="14" s="1"/>
  <c r="K110" i="14"/>
  <c r="F111" i="14"/>
  <c r="H111" i="14" s="1"/>
  <c r="G111" i="14"/>
  <c r="I111" i="14"/>
  <c r="J111" i="14" s="1"/>
  <c r="K111" i="14"/>
  <c r="F112" i="14"/>
  <c r="H112" i="14" s="1"/>
  <c r="G112" i="14"/>
  <c r="I112" i="14" s="1"/>
  <c r="K112" i="14"/>
  <c r="F113" i="14"/>
  <c r="H113" i="14" s="1"/>
  <c r="G113" i="14"/>
  <c r="I113" i="14"/>
  <c r="K113" i="14"/>
  <c r="F114" i="14"/>
  <c r="H114" i="14" s="1"/>
  <c r="G114" i="14"/>
  <c r="I114" i="14" s="1"/>
  <c r="K114" i="14"/>
  <c r="F115" i="14"/>
  <c r="H115" i="14" s="1"/>
  <c r="G115" i="14"/>
  <c r="I115" i="14" s="1"/>
  <c r="K115" i="14"/>
  <c r="F116" i="14"/>
  <c r="H116" i="14" s="1"/>
  <c r="G116" i="14"/>
  <c r="I116" i="14" s="1"/>
  <c r="K116" i="14"/>
  <c r="F117" i="14"/>
  <c r="H117" i="14" s="1"/>
  <c r="G117" i="14"/>
  <c r="I117" i="14"/>
  <c r="J117" i="14" s="1"/>
  <c r="K117" i="14"/>
  <c r="F118" i="14"/>
  <c r="H118" i="14" s="1"/>
  <c r="G118" i="14"/>
  <c r="I118" i="14" s="1"/>
  <c r="K118" i="14"/>
  <c r="F119" i="14"/>
  <c r="H119" i="14" s="1"/>
  <c r="G119" i="14"/>
  <c r="I119" i="14" s="1"/>
  <c r="J119" i="14" s="1"/>
  <c r="K119" i="14"/>
  <c r="F120" i="14"/>
  <c r="H120" i="14" s="1"/>
  <c r="G120" i="14"/>
  <c r="I120" i="14" s="1"/>
  <c r="K120" i="14"/>
  <c r="F121" i="14"/>
  <c r="H121" i="14" s="1"/>
  <c r="G121" i="14"/>
  <c r="I121" i="14"/>
  <c r="K121" i="14"/>
  <c r="F122" i="14"/>
  <c r="H122" i="14" s="1"/>
  <c r="G122" i="14"/>
  <c r="I122" i="14" s="1"/>
  <c r="K122" i="14"/>
  <c r="F123" i="14"/>
  <c r="H123" i="14" s="1"/>
  <c r="G123" i="14"/>
  <c r="I123" i="14" s="1"/>
  <c r="K123" i="14"/>
  <c r="F124" i="14"/>
  <c r="H124" i="14" s="1"/>
  <c r="G124" i="14"/>
  <c r="I124" i="14" s="1"/>
  <c r="K124" i="14"/>
  <c r="F125" i="14"/>
  <c r="H125" i="14" s="1"/>
  <c r="G125" i="14"/>
  <c r="I125" i="14" s="1"/>
  <c r="J125" i="14" s="1"/>
  <c r="K125" i="14"/>
  <c r="F126" i="14"/>
  <c r="H126" i="14" s="1"/>
  <c r="G126" i="14"/>
  <c r="I126" i="14" s="1"/>
  <c r="K126" i="14"/>
  <c r="F127" i="14"/>
  <c r="H127" i="14" s="1"/>
  <c r="G127" i="14"/>
  <c r="I127" i="14" s="1"/>
  <c r="J127" i="14" s="1"/>
  <c r="K127" i="14"/>
  <c r="F128" i="14"/>
  <c r="H128" i="14" s="1"/>
  <c r="G128" i="14"/>
  <c r="I128" i="14" s="1"/>
  <c r="K128" i="14"/>
  <c r="F129" i="14"/>
  <c r="H129" i="14" s="1"/>
  <c r="G129" i="14"/>
  <c r="I129" i="14" s="1"/>
  <c r="K129" i="14"/>
  <c r="F130" i="14"/>
  <c r="H130" i="14" s="1"/>
  <c r="G130" i="14"/>
  <c r="I130" i="14" s="1"/>
  <c r="K130" i="14"/>
  <c r="F131" i="14"/>
  <c r="H131" i="14" s="1"/>
  <c r="G131" i="14"/>
  <c r="I131" i="14" s="1"/>
  <c r="K131" i="14"/>
  <c r="F132" i="14"/>
  <c r="H132" i="14" s="1"/>
  <c r="G132" i="14"/>
  <c r="I132" i="14" s="1"/>
  <c r="K132" i="14"/>
  <c r="F133" i="14"/>
  <c r="H133" i="14" s="1"/>
  <c r="G133" i="14"/>
  <c r="I133" i="14"/>
  <c r="K133" i="14"/>
  <c r="F134" i="14"/>
  <c r="H134" i="14" s="1"/>
  <c r="G134" i="14"/>
  <c r="I134" i="14" s="1"/>
  <c r="K134" i="14"/>
  <c r="F135" i="14"/>
  <c r="H135" i="14" s="1"/>
  <c r="G135" i="14"/>
  <c r="I135" i="14" s="1"/>
  <c r="J135" i="14" s="1"/>
  <c r="K135" i="14"/>
  <c r="F136" i="14"/>
  <c r="H136" i="14" s="1"/>
  <c r="G136" i="14"/>
  <c r="I136" i="14" s="1"/>
  <c r="K136" i="14"/>
  <c r="F137" i="14"/>
  <c r="H137" i="14" s="1"/>
  <c r="G137" i="14"/>
  <c r="I137" i="14"/>
  <c r="K137" i="14"/>
  <c r="F138" i="14"/>
  <c r="H138" i="14" s="1"/>
  <c r="G138" i="14"/>
  <c r="I138" i="14" s="1"/>
  <c r="K138" i="14"/>
  <c r="F139" i="14"/>
  <c r="H139" i="14" s="1"/>
  <c r="G139" i="14"/>
  <c r="I139" i="14" s="1"/>
  <c r="K139" i="14"/>
  <c r="F140" i="14"/>
  <c r="H140" i="14" s="1"/>
  <c r="G140" i="14"/>
  <c r="I140" i="14" s="1"/>
  <c r="K140" i="14"/>
  <c r="F141" i="14"/>
  <c r="H141" i="14" s="1"/>
  <c r="G141" i="14"/>
  <c r="I141" i="14" s="1"/>
  <c r="J141" i="14" s="1"/>
  <c r="K141" i="14"/>
  <c r="F142" i="14"/>
  <c r="H142" i="14" s="1"/>
  <c r="G142" i="14"/>
  <c r="I142" i="14" s="1"/>
  <c r="K142" i="14"/>
  <c r="F143" i="14"/>
  <c r="H143" i="14" s="1"/>
  <c r="G143" i="14"/>
  <c r="I143" i="14"/>
  <c r="J143" i="14" s="1"/>
  <c r="K143" i="14"/>
  <c r="F144" i="14"/>
  <c r="H144" i="14" s="1"/>
  <c r="G144" i="14"/>
  <c r="I144" i="14" s="1"/>
  <c r="K144" i="14"/>
  <c r="F145" i="14"/>
  <c r="H145" i="14" s="1"/>
  <c r="G145" i="14"/>
  <c r="I145" i="14" s="1"/>
  <c r="K145" i="14"/>
  <c r="F146" i="14"/>
  <c r="H146" i="14" s="1"/>
  <c r="G146" i="14"/>
  <c r="I146" i="14" s="1"/>
  <c r="K146" i="14"/>
  <c r="F147" i="14"/>
  <c r="H147" i="14" s="1"/>
  <c r="G147" i="14"/>
  <c r="I147" i="14" s="1"/>
  <c r="K147" i="14"/>
  <c r="F148" i="14"/>
  <c r="H148" i="14" s="1"/>
  <c r="G148" i="14"/>
  <c r="I148" i="14" s="1"/>
  <c r="K148" i="14"/>
  <c r="F149" i="14"/>
  <c r="H149" i="14" s="1"/>
  <c r="G149" i="14"/>
  <c r="I149" i="14"/>
  <c r="J149" i="14" s="1"/>
  <c r="K149" i="14"/>
  <c r="F150" i="14"/>
  <c r="H150" i="14" s="1"/>
  <c r="G150" i="14"/>
  <c r="I150" i="14" s="1"/>
  <c r="K150" i="14"/>
  <c r="F151" i="14"/>
  <c r="H151" i="14" s="1"/>
  <c r="G151" i="14"/>
  <c r="I151" i="14" s="1"/>
  <c r="J151" i="14" s="1"/>
  <c r="K151" i="14"/>
  <c r="F152" i="14"/>
  <c r="H152" i="14" s="1"/>
  <c r="G152" i="14"/>
  <c r="I152" i="14" s="1"/>
  <c r="K152" i="14"/>
  <c r="F153" i="14"/>
  <c r="H153" i="14" s="1"/>
  <c r="G153" i="14"/>
  <c r="I153" i="14"/>
  <c r="K153" i="14"/>
  <c r="F154" i="14"/>
  <c r="H154" i="14" s="1"/>
  <c r="G154" i="14"/>
  <c r="I154" i="14" s="1"/>
  <c r="K154" i="14"/>
  <c r="F155" i="14"/>
  <c r="H155" i="14" s="1"/>
  <c r="G155" i="14"/>
  <c r="I155" i="14" s="1"/>
  <c r="J155" i="14" s="1"/>
  <c r="K155" i="14"/>
  <c r="F156" i="14"/>
  <c r="H156" i="14" s="1"/>
  <c r="G156" i="14"/>
  <c r="I156" i="14" s="1"/>
  <c r="K156" i="14"/>
  <c r="F157" i="14"/>
  <c r="H157" i="14" s="1"/>
  <c r="G157" i="14"/>
  <c r="I157" i="14" s="1"/>
  <c r="J157" i="14" s="1"/>
  <c r="K157" i="14"/>
  <c r="F158" i="14"/>
  <c r="H158" i="14" s="1"/>
  <c r="G158" i="14"/>
  <c r="I158" i="14" s="1"/>
  <c r="K158" i="14"/>
  <c r="F159" i="14"/>
  <c r="H159" i="14" s="1"/>
  <c r="G159" i="14"/>
  <c r="I159" i="14"/>
  <c r="K159" i="14"/>
  <c r="F160" i="14"/>
  <c r="H160" i="14" s="1"/>
  <c r="G160" i="14"/>
  <c r="I160" i="14" s="1"/>
  <c r="K160" i="14"/>
  <c r="F161" i="14"/>
  <c r="H161" i="14" s="1"/>
  <c r="G161" i="14"/>
  <c r="I161" i="14" s="1"/>
  <c r="J161" i="14" s="1"/>
  <c r="K161" i="14"/>
  <c r="F162" i="14"/>
  <c r="H162" i="14" s="1"/>
  <c r="G162" i="14"/>
  <c r="I162" i="14" s="1"/>
  <c r="K162" i="14"/>
  <c r="F163" i="14"/>
  <c r="H163" i="14" s="1"/>
  <c r="G163" i="14"/>
  <c r="I163" i="14" s="1"/>
  <c r="J163" i="14" s="1"/>
  <c r="K163" i="14"/>
  <c r="F164" i="14"/>
  <c r="H164" i="14" s="1"/>
  <c r="G164" i="14"/>
  <c r="I164" i="14" s="1"/>
  <c r="K164" i="14"/>
  <c r="F165" i="14"/>
  <c r="H165" i="14" s="1"/>
  <c r="G165" i="14"/>
  <c r="I165" i="14" s="1"/>
  <c r="K165" i="14"/>
  <c r="F166" i="14"/>
  <c r="H166" i="14" s="1"/>
  <c r="G166" i="14"/>
  <c r="I166" i="14" s="1"/>
  <c r="K166" i="14"/>
  <c r="F167" i="14"/>
  <c r="H167" i="14" s="1"/>
  <c r="G167" i="14"/>
  <c r="I167" i="14" s="1"/>
  <c r="J167" i="14" s="1"/>
  <c r="K167" i="14"/>
  <c r="F168" i="14"/>
  <c r="H168" i="14" s="1"/>
  <c r="G168" i="14"/>
  <c r="I168" i="14" s="1"/>
  <c r="K168" i="14"/>
  <c r="F169" i="14"/>
  <c r="H169" i="14" s="1"/>
  <c r="G169" i="14"/>
  <c r="I169" i="14" s="1"/>
  <c r="K169" i="14"/>
  <c r="F170" i="14"/>
  <c r="H170" i="14" s="1"/>
  <c r="G170" i="14"/>
  <c r="I170" i="14" s="1"/>
  <c r="K170" i="14"/>
  <c r="F171" i="14"/>
  <c r="H171" i="14" s="1"/>
  <c r="G171" i="14"/>
  <c r="I171" i="14" s="1"/>
  <c r="J171" i="14" s="1"/>
  <c r="K171" i="14"/>
  <c r="F172" i="14"/>
  <c r="H172" i="14" s="1"/>
  <c r="G172" i="14"/>
  <c r="I172" i="14" s="1"/>
  <c r="K172" i="14"/>
  <c r="F173" i="14"/>
  <c r="H173" i="14" s="1"/>
  <c r="G173" i="14"/>
  <c r="I173" i="14" s="1"/>
  <c r="K173" i="14"/>
  <c r="F174" i="14"/>
  <c r="H174" i="14" s="1"/>
  <c r="G174" i="14"/>
  <c r="I174" i="14" s="1"/>
  <c r="K174" i="14"/>
  <c r="F175" i="14"/>
  <c r="H175" i="14" s="1"/>
  <c r="G175" i="14"/>
  <c r="I175" i="14" s="1"/>
  <c r="J175" i="14" s="1"/>
  <c r="K175" i="14"/>
  <c r="F176" i="14"/>
  <c r="H176" i="14" s="1"/>
  <c r="G176" i="14"/>
  <c r="I176" i="14" s="1"/>
  <c r="K176" i="14"/>
  <c r="F177" i="14"/>
  <c r="H177" i="14" s="1"/>
  <c r="G177" i="14"/>
  <c r="I177" i="14" s="1"/>
  <c r="K177" i="14"/>
  <c r="F178" i="14"/>
  <c r="H178" i="14" s="1"/>
  <c r="G178" i="14"/>
  <c r="I178" i="14" s="1"/>
  <c r="K178" i="14"/>
  <c r="F179" i="14"/>
  <c r="H179" i="14" s="1"/>
  <c r="G179" i="14"/>
  <c r="I179" i="14" s="1"/>
  <c r="J179" i="14" s="1"/>
  <c r="K179" i="14"/>
  <c r="F180" i="14"/>
  <c r="H180" i="14" s="1"/>
  <c r="G180" i="14"/>
  <c r="I180" i="14"/>
  <c r="K180" i="14"/>
  <c r="F181" i="14"/>
  <c r="H181" i="14" s="1"/>
  <c r="G181" i="14"/>
  <c r="I181" i="14" s="1"/>
  <c r="K181" i="14"/>
  <c r="F182" i="14"/>
  <c r="H182" i="14" s="1"/>
  <c r="G182" i="14"/>
  <c r="I182" i="14" s="1"/>
  <c r="K182" i="14"/>
  <c r="F183" i="14"/>
  <c r="H183" i="14" s="1"/>
  <c r="G183" i="14"/>
  <c r="I183" i="14" s="1"/>
  <c r="K183" i="14"/>
  <c r="F184" i="14"/>
  <c r="H184" i="14" s="1"/>
  <c r="G184" i="14"/>
  <c r="I184" i="14" s="1"/>
  <c r="K184" i="14"/>
  <c r="F185" i="14"/>
  <c r="H185" i="14" s="1"/>
  <c r="G185" i="14"/>
  <c r="I185" i="14" s="1"/>
  <c r="K185" i="14"/>
  <c r="F186" i="14"/>
  <c r="H186" i="14" s="1"/>
  <c r="G186" i="14"/>
  <c r="I186" i="14" s="1"/>
  <c r="K186" i="14"/>
  <c r="F187" i="14"/>
  <c r="H187" i="14" s="1"/>
  <c r="G187" i="14"/>
  <c r="I187" i="14" s="1"/>
  <c r="K187" i="14"/>
  <c r="F188" i="14"/>
  <c r="H188" i="14" s="1"/>
  <c r="G188" i="14"/>
  <c r="I188" i="14" s="1"/>
  <c r="J188" i="14" s="1"/>
  <c r="K188" i="14"/>
  <c r="F189" i="14"/>
  <c r="H189" i="14" s="1"/>
  <c r="G189" i="14"/>
  <c r="I189" i="14" s="1"/>
  <c r="K189" i="14"/>
  <c r="F190" i="14"/>
  <c r="H190" i="14" s="1"/>
  <c r="G190" i="14"/>
  <c r="I190" i="14" s="1"/>
  <c r="K190" i="14"/>
  <c r="F191" i="14"/>
  <c r="H191" i="14" s="1"/>
  <c r="G191" i="14"/>
  <c r="I191" i="14" s="1"/>
  <c r="K191" i="14"/>
  <c r="F192" i="14"/>
  <c r="H192" i="14" s="1"/>
  <c r="G192" i="14"/>
  <c r="I192" i="14" s="1"/>
  <c r="J192" i="14" s="1"/>
  <c r="K192" i="14"/>
  <c r="F193" i="14"/>
  <c r="G193" i="14"/>
  <c r="I193" i="14" s="1"/>
  <c r="H193" i="14"/>
  <c r="K193" i="14"/>
  <c r="F194" i="14"/>
  <c r="H194" i="14" s="1"/>
  <c r="G194" i="14"/>
  <c r="I194" i="14" s="1"/>
  <c r="K194" i="14"/>
  <c r="F195" i="14"/>
  <c r="H195" i="14" s="1"/>
  <c r="G195" i="14"/>
  <c r="I195" i="14" s="1"/>
  <c r="J195" i="14" s="1"/>
  <c r="K195" i="14"/>
  <c r="F196" i="14"/>
  <c r="H196" i="14" s="1"/>
  <c r="G196" i="14"/>
  <c r="I196" i="14" s="1"/>
  <c r="K196" i="14"/>
  <c r="F197" i="14"/>
  <c r="H197" i="14" s="1"/>
  <c r="G197" i="14"/>
  <c r="I197" i="14" s="1"/>
  <c r="K197" i="14"/>
  <c r="F198" i="14"/>
  <c r="H198" i="14" s="1"/>
  <c r="G198" i="14"/>
  <c r="I198" i="14" s="1"/>
  <c r="K198" i="14"/>
  <c r="F199" i="14"/>
  <c r="H199" i="14" s="1"/>
  <c r="G199" i="14"/>
  <c r="I199" i="14" s="1"/>
  <c r="J199" i="14" s="1"/>
  <c r="K199" i="14"/>
  <c r="F200" i="14"/>
  <c r="H200" i="14" s="1"/>
  <c r="G200" i="14"/>
  <c r="I200" i="14" s="1"/>
  <c r="K200" i="14"/>
  <c r="F201" i="14"/>
  <c r="H201" i="14" s="1"/>
  <c r="G201" i="14"/>
  <c r="I201" i="14" s="1"/>
  <c r="K201" i="14"/>
  <c r="F202" i="14"/>
  <c r="H202" i="14" s="1"/>
  <c r="G202" i="14"/>
  <c r="I202" i="14" s="1"/>
  <c r="K202" i="14"/>
  <c r="F203" i="14"/>
  <c r="H203" i="14" s="1"/>
  <c r="G203" i="14"/>
  <c r="I203" i="14" s="1"/>
  <c r="J203" i="14" s="1"/>
  <c r="K203" i="14"/>
  <c r="F204" i="14"/>
  <c r="H204" i="14" s="1"/>
  <c r="G204" i="14"/>
  <c r="I204" i="14" s="1"/>
  <c r="K204" i="14"/>
  <c r="F205" i="14"/>
  <c r="H205" i="14" s="1"/>
  <c r="G205" i="14"/>
  <c r="I205" i="14" s="1"/>
  <c r="K205" i="14"/>
  <c r="F206" i="14"/>
  <c r="H206" i="14" s="1"/>
  <c r="G206" i="14"/>
  <c r="I206" i="14" s="1"/>
  <c r="K206" i="14"/>
  <c r="F207" i="14"/>
  <c r="H207" i="14" s="1"/>
  <c r="G207" i="14"/>
  <c r="I207" i="14" s="1"/>
  <c r="J207" i="14" s="1"/>
  <c r="K207" i="14"/>
  <c r="F208" i="14"/>
  <c r="H208" i="14" s="1"/>
  <c r="G208" i="14"/>
  <c r="I208" i="14" s="1"/>
  <c r="K208" i="14"/>
  <c r="F209" i="14"/>
  <c r="H209" i="14" s="1"/>
  <c r="G209" i="14"/>
  <c r="I209" i="14" s="1"/>
  <c r="K209" i="14"/>
  <c r="F210" i="14"/>
  <c r="H210" i="14" s="1"/>
  <c r="G210" i="14"/>
  <c r="I210" i="14" s="1"/>
  <c r="K210" i="14"/>
  <c r="F211" i="14"/>
  <c r="H211" i="14" s="1"/>
  <c r="G211" i="14"/>
  <c r="I211" i="14" s="1"/>
  <c r="J211" i="14" s="1"/>
  <c r="K211" i="14"/>
  <c r="F212" i="14"/>
  <c r="H212" i="14" s="1"/>
  <c r="G212" i="14"/>
  <c r="I212" i="14" s="1"/>
  <c r="K212" i="14"/>
  <c r="F213" i="14"/>
  <c r="H213" i="14" s="1"/>
  <c r="G213" i="14"/>
  <c r="I213" i="14" s="1"/>
  <c r="K213" i="14"/>
  <c r="F214" i="14"/>
  <c r="H214" i="14" s="1"/>
  <c r="G214" i="14"/>
  <c r="I214" i="14" s="1"/>
  <c r="J214" i="14" s="1"/>
  <c r="K214" i="14"/>
  <c r="F215" i="14"/>
  <c r="H215" i="14" s="1"/>
  <c r="G215" i="14"/>
  <c r="I215" i="14" s="1"/>
  <c r="K215" i="14"/>
  <c r="F216" i="14"/>
  <c r="H216" i="14" s="1"/>
  <c r="G216" i="14"/>
  <c r="I216" i="14" s="1"/>
  <c r="J216" i="14" s="1"/>
  <c r="K216" i="14"/>
  <c r="F217" i="14"/>
  <c r="H217" i="14" s="1"/>
  <c r="G217" i="14"/>
  <c r="I217" i="14" s="1"/>
  <c r="K217" i="14"/>
  <c r="F218" i="14"/>
  <c r="H218" i="14" s="1"/>
  <c r="G218" i="14"/>
  <c r="I218" i="14" s="1"/>
  <c r="K218" i="14"/>
  <c r="F219" i="14"/>
  <c r="H219" i="14" s="1"/>
  <c r="G219" i="14"/>
  <c r="I219" i="14" s="1"/>
  <c r="J219" i="14" s="1"/>
  <c r="K219" i="14"/>
  <c r="F220" i="14"/>
  <c r="H220" i="14" s="1"/>
  <c r="G220" i="14"/>
  <c r="I220" i="14" s="1"/>
  <c r="K220" i="14"/>
  <c r="F221" i="14"/>
  <c r="H221" i="14" s="1"/>
  <c r="G221" i="14"/>
  <c r="I221" i="14" s="1"/>
  <c r="K221" i="14"/>
  <c r="F222" i="14"/>
  <c r="H222" i="14" s="1"/>
  <c r="G222" i="14"/>
  <c r="I222" i="14" s="1"/>
  <c r="K222" i="14"/>
  <c r="F223" i="14"/>
  <c r="H223" i="14" s="1"/>
  <c r="G223" i="14"/>
  <c r="I223" i="14" s="1"/>
  <c r="J223" i="14" s="1"/>
  <c r="K223" i="14"/>
  <c r="F224" i="14"/>
  <c r="H224" i="14" s="1"/>
  <c r="G224" i="14"/>
  <c r="I224" i="14" s="1"/>
  <c r="K224" i="14"/>
  <c r="F225" i="14"/>
  <c r="H225" i="14" s="1"/>
  <c r="G225" i="14"/>
  <c r="I225" i="14" s="1"/>
  <c r="K225" i="14"/>
  <c r="F226" i="14"/>
  <c r="H226" i="14" s="1"/>
  <c r="G226" i="14"/>
  <c r="I226" i="14" s="1"/>
  <c r="K226" i="14"/>
  <c r="F227" i="14"/>
  <c r="H227" i="14" s="1"/>
  <c r="G227" i="14"/>
  <c r="I227" i="14" s="1"/>
  <c r="J227" i="14" s="1"/>
  <c r="K227" i="14"/>
  <c r="F228" i="14"/>
  <c r="H228" i="14" s="1"/>
  <c r="G228" i="14"/>
  <c r="I228" i="14" s="1"/>
  <c r="K228" i="14"/>
  <c r="F229" i="14"/>
  <c r="G229" i="14"/>
  <c r="I229" i="14" s="1"/>
  <c r="H229" i="14"/>
  <c r="K229" i="14"/>
  <c r="F230" i="14"/>
  <c r="H230" i="14" s="1"/>
  <c r="G230" i="14"/>
  <c r="I230" i="14" s="1"/>
  <c r="J230" i="14" s="1"/>
  <c r="K230" i="14"/>
  <c r="F231" i="14"/>
  <c r="H231" i="14" s="1"/>
  <c r="G231" i="14"/>
  <c r="I231" i="14" s="1"/>
  <c r="K231" i="14"/>
  <c r="F232" i="14"/>
  <c r="H232" i="14" s="1"/>
  <c r="G232" i="14"/>
  <c r="I232" i="14" s="1"/>
  <c r="J232" i="14" s="1"/>
  <c r="K232" i="14"/>
  <c r="F233" i="14"/>
  <c r="G233" i="14"/>
  <c r="I233" i="14" s="1"/>
  <c r="H233" i="14"/>
  <c r="K233" i="14"/>
  <c r="F234" i="14"/>
  <c r="H234" i="14" s="1"/>
  <c r="G234" i="14"/>
  <c r="I234" i="14" s="1"/>
  <c r="K234" i="14"/>
  <c r="F235" i="14"/>
  <c r="H235" i="14" s="1"/>
  <c r="G235" i="14"/>
  <c r="I235" i="14" s="1"/>
  <c r="J235" i="14" s="1"/>
  <c r="K235" i="14"/>
  <c r="F236" i="14"/>
  <c r="H236" i="14" s="1"/>
  <c r="G236" i="14"/>
  <c r="I236" i="14" s="1"/>
  <c r="K236" i="14"/>
  <c r="F237" i="14"/>
  <c r="H237" i="14" s="1"/>
  <c r="G237" i="14"/>
  <c r="I237" i="14" s="1"/>
  <c r="K237" i="14"/>
  <c r="F238" i="14"/>
  <c r="H238" i="14" s="1"/>
  <c r="G238" i="14"/>
  <c r="I238" i="14" s="1"/>
  <c r="K238" i="14"/>
  <c r="F239" i="14"/>
  <c r="H239" i="14" s="1"/>
  <c r="G239" i="14"/>
  <c r="I239" i="14" s="1"/>
  <c r="K239" i="14"/>
  <c r="F240" i="14"/>
  <c r="H240" i="14" s="1"/>
  <c r="G240" i="14"/>
  <c r="I240" i="14" s="1"/>
  <c r="K240" i="14"/>
  <c r="F241" i="14"/>
  <c r="H241" i="14" s="1"/>
  <c r="G241" i="14"/>
  <c r="I241" i="14" s="1"/>
  <c r="K241" i="14"/>
  <c r="F242" i="14"/>
  <c r="H242" i="14" s="1"/>
  <c r="G242" i="14"/>
  <c r="I242" i="14" s="1"/>
  <c r="K242" i="14"/>
  <c r="F243" i="14"/>
  <c r="H243" i="14" s="1"/>
  <c r="G243" i="14"/>
  <c r="I243" i="14" s="1"/>
  <c r="J243" i="14" s="1"/>
  <c r="K243" i="14"/>
  <c r="F244" i="14"/>
  <c r="H244" i="14" s="1"/>
  <c r="G244" i="14"/>
  <c r="I244" i="14" s="1"/>
  <c r="K244" i="14"/>
  <c r="F245" i="14"/>
  <c r="G245" i="14"/>
  <c r="I245" i="14" s="1"/>
  <c r="H245" i="14"/>
  <c r="K245" i="14"/>
  <c r="F246" i="14"/>
  <c r="H246" i="14" s="1"/>
  <c r="G246" i="14"/>
  <c r="I246" i="14" s="1"/>
  <c r="J246" i="14" s="1"/>
  <c r="K246" i="14"/>
  <c r="F247" i="14"/>
  <c r="H247" i="14" s="1"/>
  <c r="G247" i="14"/>
  <c r="I247" i="14" s="1"/>
  <c r="K247" i="14"/>
  <c r="F248" i="14"/>
  <c r="H248" i="14" s="1"/>
  <c r="G248" i="14"/>
  <c r="I248" i="14" s="1"/>
  <c r="J248" i="14" s="1"/>
  <c r="K248" i="14"/>
  <c r="F249" i="14"/>
  <c r="H249" i="14" s="1"/>
  <c r="G249" i="14"/>
  <c r="I249" i="14" s="1"/>
  <c r="K249" i="14"/>
  <c r="F250" i="14"/>
  <c r="H250" i="14" s="1"/>
  <c r="G250" i="14"/>
  <c r="I250" i="14" s="1"/>
  <c r="K250" i="14"/>
  <c r="F251" i="14"/>
  <c r="H251" i="14" s="1"/>
  <c r="G251" i="14"/>
  <c r="I251" i="14" s="1"/>
  <c r="J251" i="14" s="1"/>
  <c r="K251" i="14"/>
  <c r="F252" i="14"/>
  <c r="H252" i="14" s="1"/>
  <c r="G252" i="14"/>
  <c r="I252" i="14" s="1"/>
  <c r="K252" i="14"/>
  <c r="F253" i="14"/>
  <c r="H253" i="14" s="1"/>
  <c r="G253" i="14"/>
  <c r="I253" i="14" s="1"/>
  <c r="K253" i="14"/>
  <c r="F254" i="14"/>
  <c r="H254" i="14" s="1"/>
  <c r="G254" i="14"/>
  <c r="I254" i="14" s="1"/>
  <c r="K254" i="14"/>
  <c r="F255" i="14"/>
  <c r="H255" i="14" s="1"/>
  <c r="G255" i="14"/>
  <c r="I255" i="14" s="1"/>
  <c r="K255" i="14"/>
  <c r="F256" i="14"/>
  <c r="H256" i="14" s="1"/>
  <c r="G256" i="14"/>
  <c r="I256" i="14" s="1"/>
  <c r="K256" i="14"/>
  <c r="F257" i="14"/>
  <c r="H257" i="14" s="1"/>
  <c r="G257" i="14"/>
  <c r="I257" i="14" s="1"/>
  <c r="K257" i="14"/>
  <c r="F258" i="14"/>
  <c r="H258" i="14" s="1"/>
  <c r="G258" i="14"/>
  <c r="I258" i="14" s="1"/>
  <c r="K258" i="14"/>
  <c r="F259" i="14"/>
  <c r="H259" i="14" s="1"/>
  <c r="G259" i="14"/>
  <c r="I259" i="14" s="1"/>
  <c r="K259" i="14"/>
  <c r="F260" i="14"/>
  <c r="H260" i="14" s="1"/>
  <c r="G260" i="14"/>
  <c r="I260" i="14"/>
  <c r="K260" i="14"/>
  <c r="F261" i="14"/>
  <c r="H261" i="14" s="1"/>
  <c r="G261" i="14"/>
  <c r="I261" i="14" s="1"/>
  <c r="K261" i="14"/>
  <c r="F262" i="14"/>
  <c r="H262" i="14" s="1"/>
  <c r="G262" i="14"/>
  <c r="I262" i="14" s="1"/>
  <c r="K262" i="14"/>
  <c r="F263" i="14"/>
  <c r="H263" i="14" s="1"/>
  <c r="G263" i="14"/>
  <c r="I263" i="14" s="1"/>
  <c r="K263" i="14"/>
  <c r="F264" i="14"/>
  <c r="H264" i="14" s="1"/>
  <c r="G264" i="14"/>
  <c r="I264" i="14" s="1"/>
  <c r="K264" i="14"/>
  <c r="F265" i="14"/>
  <c r="H265" i="14" s="1"/>
  <c r="G265" i="14"/>
  <c r="I265" i="14" s="1"/>
  <c r="K265" i="14"/>
  <c r="F266" i="14"/>
  <c r="H266" i="14" s="1"/>
  <c r="G266" i="14"/>
  <c r="I266" i="14"/>
  <c r="J266" i="14" s="1"/>
  <c r="K266" i="14"/>
  <c r="F267" i="14"/>
  <c r="H267" i="14" s="1"/>
  <c r="G267" i="14"/>
  <c r="I267" i="14" s="1"/>
  <c r="J267" i="14"/>
  <c r="K267" i="14"/>
  <c r="F268" i="14"/>
  <c r="G268" i="14"/>
  <c r="I268" i="14" s="1"/>
  <c r="H268" i="14"/>
  <c r="K268" i="14"/>
  <c r="F269" i="14"/>
  <c r="H269" i="14" s="1"/>
  <c r="G269" i="14"/>
  <c r="I269" i="14" s="1"/>
  <c r="K269" i="14"/>
  <c r="F270" i="14"/>
  <c r="H270" i="14" s="1"/>
  <c r="G270" i="14"/>
  <c r="I270" i="14" s="1"/>
  <c r="K270" i="14"/>
  <c r="F271" i="14"/>
  <c r="H271" i="14" s="1"/>
  <c r="G271" i="14"/>
  <c r="I271" i="14" s="1"/>
  <c r="J271" i="14" s="1"/>
  <c r="K271" i="14"/>
  <c r="F272" i="14"/>
  <c r="H272" i="14" s="1"/>
  <c r="G272" i="14"/>
  <c r="I272" i="14" s="1"/>
  <c r="K272" i="14"/>
  <c r="F273" i="14"/>
  <c r="H273" i="14" s="1"/>
  <c r="G273" i="14"/>
  <c r="I273" i="14" s="1"/>
  <c r="K273" i="14"/>
  <c r="F274" i="14"/>
  <c r="G274" i="14"/>
  <c r="I274" i="14" s="1"/>
  <c r="H274" i="14"/>
  <c r="K274" i="14"/>
  <c r="F275" i="14"/>
  <c r="H275" i="14" s="1"/>
  <c r="G275" i="14"/>
  <c r="I275" i="14" s="1"/>
  <c r="J275" i="14" s="1"/>
  <c r="K275" i="14"/>
  <c r="F276" i="14"/>
  <c r="G276" i="14"/>
  <c r="I276" i="14" s="1"/>
  <c r="H276" i="14"/>
  <c r="K276" i="14"/>
  <c r="F277" i="14"/>
  <c r="H277" i="14" s="1"/>
  <c r="G277" i="14"/>
  <c r="I277" i="14" s="1"/>
  <c r="K277" i="14"/>
  <c r="F278" i="14"/>
  <c r="H278" i="14" s="1"/>
  <c r="G278" i="14"/>
  <c r="I278" i="14" s="1"/>
  <c r="K278" i="14"/>
  <c r="F279" i="14"/>
  <c r="H279" i="14" s="1"/>
  <c r="G279" i="14"/>
  <c r="I279" i="14" s="1"/>
  <c r="K279" i="14"/>
  <c r="F280" i="14"/>
  <c r="H280" i="14" s="1"/>
  <c r="G280" i="14"/>
  <c r="I280" i="14" s="1"/>
  <c r="K280" i="14"/>
  <c r="F281" i="14"/>
  <c r="H281" i="14" s="1"/>
  <c r="G281" i="14"/>
  <c r="I281" i="14" s="1"/>
  <c r="K281" i="14"/>
  <c r="F282" i="14"/>
  <c r="H282" i="14" s="1"/>
  <c r="G282" i="14"/>
  <c r="I282" i="14" s="1"/>
  <c r="J282" i="14" s="1"/>
  <c r="K282" i="14"/>
  <c r="F283" i="14"/>
  <c r="H283" i="14" s="1"/>
  <c r="G283" i="14"/>
  <c r="I283" i="14" s="1"/>
  <c r="K283" i="14"/>
  <c r="F284" i="14"/>
  <c r="H284" i="14" s="1"/>
  <c r="G284" i="14"/>
  <c r="I284" i="14" s="1"/>
  <c r="K284" i="14"/>
  <c r="F285" i="14"/>
  <c r="H285" i="14" s="1"/>
  <c r="G285" i="14"/>
  <c r="I285" i="14" s="1"/>
  <c r="K285" i="14"/>
  <c r="F286" i="14"/>
  <c r="H286" i="14" s="1"/>
  <c r="G286" i="14"/>
  <c r="I286" i="14" s="1"/>
  <c r="J286" i="14" s="1"/>
  <c r="K286" i="14"/>
  <c r="F287" i="14"/>
  <c r="H287" i="14" s="1"/>
  <c r="G287" i="14"/>
  <c r="I287" i="14" s="1"/>
  <c r="K287" i="14"/>
  <c r="F288" i="14"/>
  <c r="H288" i="14" s="1"/>
  <c r="G288" i="14"/>
  <c r="I288" i="14" s="1"/>
  <c r="K288" i="14"/>
  <c r="F289" i="14"/>
  <c r="H289" i="14" s="1"/>
  <c r="G289" i="14"/>
  <c r="I289" i="14" s="1"/>
  <c r="K289" i="14"/>
  <c r="F290" i="14"/>
  <c r="H290" i="14" s="1"/>
  <c r="G290" i="14"/>
  <c r="I290" i="14" s="1"/>
  <c r="J290" i="14" s="1"/>
  <c r="K290" i="14"/>
  <c r="F291" i="14"/>
  <c r="H291" i="14" s="1"/>
  <c r="G291" i="14"/>
  <c r="I291" i="14" s="1"/>
  <c r="K291" i="14"/>
  <c r="F292" i="14"/>
  <c r="H292" i="14" s="1"/>
  <c r="G292" i="14"/>
  <c r="I292" i="14" s="1"/>
  <c r="J292" i="14" s="1"/>
  <c r="K292" i="14"/>
  <c r="F293" i="14"/>
  <c r="H293" i="14" s="1"/>
  <c r="G293" i="14"/>
  <c r="I293" i="14"/>
  <c r="K293" i="14"/>
  <c r="F294" i="14"/>
  <c r="H294" i="14" s="1"/>
  <c r="G294" i="14"/>
  <c r="I294" i="14" s="1"/>
  <c r="K294" i="14"/>
  <c r="F295" i="14"/>
  <c r="H295" i="14" s="1"/>
  <c r="G295" i="14"/>
  <c r="I295" i="14" s="1"/>
  <c r="K295" i="14"/>
  <c r="F296" i="14"/>
  <c r="H296" i="14" s="1"/>
  <c r="G296" i="14"/>
  <c r="I296" i="14" s="1"/>
  <c r="K296" i="14"/>
  <c r="F297" i="14"/>
  <c r="H297" i="14" s="1"/>
  <c r="G297" i="14"/>
  <c r="I297" i="14" s="1"/>
  <c r="J297" i="14" s="1"/>
  <c r="K297" i="14"/>
  <c r="F298" i="14"/>
  <c r="G298" i="14"/>
  <c r="I298" i="14" s="1"/>
  <c r="H298" i="14"/>
  <c r="K298" i="14"/>
  <c r="F299" i="14"/>
  <c r="H299" i="14" s="1"/>
  <c r="G299" i="14"/>
  <c r="I299" i="14" s="1"/>
  <c r="K299" i="14"/>
  <c r="F300" i="14"/>
  <c r="H300" i="14" s="1"/>
  <c r="G300" i="14"/>
  <c r="I300" i="14"/>
  <c r="K300" i="14"/>
  <c r="F301" i="14"/>
  <c r="H301" i="14" s="1"/>
  <c r="G301" i="14"/>
  <c r="I301" i="14"/>
  <c r="J301" i="14" s="1"/>
  <c r="K301" i="14"/>
  <c r="F302" i="14"/>
  <c r="G302" i="14"/>
  <c r="I302" i="14" s="1"/>
  <c r="H302" i="14"/>
  <c r="K302" i="14"/>
  <c r="F303" i="14"/>
  <c r="H303" i="14" s="1"/>
  <c r="G303" i="14"/>
  <c r="I303" i="14"/>
  <c r="J303" i="14" s="1"/>
  <c r="K303" i="14"/>
  <c r="F304" i="14"/>
  <c r="G304" i="14"/>
  <c r="I304" i="14" s="1"/>
  <c r="H304" i="14"/>
  <c r="K304" i="14"/>
  <c r="F305" i="14"/>
  <c r="H305" i="14" s="1"/>
  <c r="G305" i="14"/>
  <c r="I305" i="14" s="1"/>
  <c r="K305" i="14"/>
  <c r="F306" i="14"/>
  <c r="H306" i="14" s="1"/>
  <c r="G306" i="14"/>
  <c r="I306" i="14" s="1"/>
  <c r="K306" i="14"/>
  <c r="F307" i="14"/>
  <c r="H307" i="14" s="1"/>
  <c r="G307" i="14"/>
  <c r="I307" i="14" s="1"/>
  <c r="K307" i="14"/>
  <c r="F308" i="14"/>
  <c r="H308" i="14" s="1"/>
  <c r="G308" i="14"/>
  <c r="I308" i="14" s="1"/>
  <c r="K308" i="14"/>
  <c r="F309" i="14"/>
  <c r="H309" i="14" s="1"/>
  <c r="G309" i="14"/>
  <c r="I309" i="14" s="1"/>
  <c r="K309" i="14"/>
  <c r="F310" i="14"/>
  <c r="H310" i="14" s="1"/>
  <c r="G310" i="14"/>
  <c r="I310" i="14" s="1"/>
  <c r="K310" i="14"/>
  <c r="F311" i="14"/>
  <c r="H311" i="14" s="1"/>
  <c r="G311" i="14"/>
  <c r="I311" i="14" s="1"/>
  <c r="K311" i="14"/>
  <c r="F312" i="14"/>
  <c r="H312" i="14" s="1"/>
  <c r="G312" i="14"/>
  <c r="I312" i="14" s="1"/>
  <c r="K312" i="14"/>
  <c r="F313" i="14"/>
  <c r="H313" i="14" s="1"/>
  <c r="G313" i="14"/>
  <c r="I313" i="14" s="1"/>
  <c r="K313" i="14"/>
  <c r="F314" i="14"/>
  <c r="H314" i="14" s="1"/>
  <c r="G314" i="14"/>
  <c r="I314" i="14" s="1"/>
  <c r="K314" i="14"/>
  <c r="F315" i="14"/>
  <c r="H315" i="14" s="1"/>
  <c r="G315" i="14"/>
  <c r="I315" i="14" s="1"/>
  <c r="K315" i="14"/>
  <c r="F316" i="14"/>
  <c r="H316" i="14" s="1"/>
  <c r="G316" i="14"/>
  <c r="I316" i="14" s="1"/>
  <c r="K316" i="14"/>
  <c r="F317" i="14"/>
  <c r="H317" i="14" s="1"/>
  <c r="G317" i="14"/>
  <c r="I317" i="14" s="1"/>
  <c r="K317" i="14"/>
  <c r="F318" i="14"/>
  <c r="H318" i="14" s="1"/>
  <c r="G318" i="14"/>
  <c r="I318" i="14" s="1"/>
  <c r="K318" i="14"/>
  <c r="F319" i="14"/>
  <c r="H319" i="14" s="1"/>
  <c r="G319" i="14"/>
  <c r="I319" i="14" s="1"/>
  <c r="K319" i="14"/>
  <c r="F320" i="14"/>
  <c r="H320" i="14" s="1"/>
  <c r="G320" i="14"/>
  <c r="I320" i="14" s="1"/>
  <c r="K320" i="14"/>
  <c r="F321" i="14"/>
  <c r="H321" i="14" s="1"/>
  <c r="G321" i="14"/>
  <c r="I321" i="14" s="1"/>
  <c r="K321" i="14"/>
  <c r="F322" i="14"/>
  <c r="H322" i="14" s="1"/>
  <c r="G322" i="14"/>
  <c r="I322" i="14" s="1"/>
  <c r="K322" i="14"/>
  <c r="F323" i="14"/>
  <c r="H323" i="14" s="1"/>
  <c r="G323" i="14"/>
  <c r="I323" i="14" s="1"/>
  <c r="K323" i="14"/>
  <c r="F324" i="14"/>
  <c r="H324" i="14" s="1"/>
  <c r="G324" i="14"/>
  <c r="I324" i="14" s="1"/>
  <c r="K324" i="14"/>
  <c r="F325" i="14"/>
  <c r="H325" i="14" s="1"/>
  <c r="G325" i="14"/>
  <c r="I325" i="14" s="1"/>
  <c r="K325" i="14"/>
  <c r="F326" i="14"/>
  <c r="H326" i="14" s="1"/>
  <c r="G326" i="14"/>
  <c r="I326" i="14" s="1"/>
  <c r="K326" i="14"/>
  <c r="F327" i="14"/>
  <c r="H327" i="14" s="1"/>
  <c r="G327" i="14"/>
  <c r="I327" i="14" s="1"/>
  <c r="K327" i="14"/>
  <c r="F328" i="14"/>
  <c r="H328" i="14" s="1"/>
  <c r="G328" i="14"/>
  <c r="I328" i="14" s="1"/>
  <c r="K328" i="14"/>
  <c r="F329" i="14"/>
  <c r="H329" i="14" s="1"/>
  <c r="G329" i="14"/>
  <c r="I329" i="14" s="1"/>
  <c r="K329" i="14"/>
  <c r="F330" i="14"/>
  <c r="H330" i="14" s="1"/>
  <c r="G330" i="14"/>
  <c r="I330" i="14" s="1"/>
  <c r="K330" i="14"/>
  <c r="F331" i="14"/>
  <c r="H331" i="14" s="1"/>
  <c r="G331" i="14"/>
  <c r="I331" i="14" s="1"/>
  <c r="K331" i="14"/>
  <c r="F332" i="14"/>
  <c r="H332" i="14" s="1"/>
  <c r="G332" i="14"/>
  <c r="I332" i="14" s="1"/>
  <c r="K332" i="14"/>
  <c r="F333" i="14"/>
  <c r="H333" i="14" s="1"/>
  <c r="G333" i="14"/>
  <c r="I333" i="14" s="1"/>
  <c r="K333" i="14"/>
  <c r="F334" i="14"/>
  <c r="H334" i="14" s="1"/>
  <c r="G334" i="14"/>
  <c r="I334" i="14" s="1"/>
  <c r="K334" i="14"/>
  <c r="F335" i="14"/>
  <c r="H335" i="14" s="1"/>
  <c r="G335" i="14"/>
  <c r="I335" i="14" s="1"/>
  <c r="K335" i="14"/>
  <c r="F336" i="14"/>
  <c r="H336" i="14" s="1"/>
  <c r="G336" i="14"/>
  <c r="I336" i="14" s="1"/>
  <c r="K336" i="14"/>
  <c r="F337" i="14"/>
  <c r="H337" i="14" s="1"/>
  <c r="G337" i="14"/>
  <c r="I337" i="14" s="1"/>
  <c r="K337" i="14"/>
  <c r="F338" i="14"/>
  <c r="H338" i="14" s="1"/>
  <c r="G338" i="14"/>
  <c r="I338" i="14" s="1"/>
  <c r="K338" i="14"/>
  <c r="F339" i="14"/>
  <c r="H339" i="14" s="1"/>
  <c r="G339" i="14"/>
  <c r="I339" i="14" s="1"/>
  <c r="K339" i="14"/>
  <c r="F340" i="14"/>
  <c r="H340" i="14" s="1"/>
  <c r="G340" i="14"/>
  <c r="I340" i="14" s="1"/>
  <c r="K340" i="14"/>
  <c r="F341" i="14"/>
  <c r="H341" i="14" s="1"/>
  <c r="G341" i="14"/>
  <c r="I341" i="14" s="1"/>
  <c r="K341" i="14"/>
  <c r="F342" i="14"/>
  <c r="H342" i="14" s="1"/>
  <c r="G342" i="14"/>
  <c r="I342" i="14" s="1"/>
  <c r="J342" i="14" s="1"/>
  <c r="K342" i="14"/>
  <c r="F343" i="14"/>
  <c r="H343" i="14" s="1"/>
  <c r="G343" i="14"/>
  <c r="I343" i="14" s="1"/>
  <c r="K343" i="14"/>
  <c r="F344" i="14"/>
  <c r="H344" i="14" s="1"/>
  <c r="G344" i="14"/>
  <c r="I344" i="14"/>
  <c r="K344" i="14"/>
  <c r="F345" i="14"/>
  <c r="H345" i="14" s="1"/>
  <c r="G345" i="14"/>
  <c r="I345" i="14" s="1"/>
  <c r="K345" i="14"/>
  <c r="F346" i="14"/>
  <c r="H346" i="14" s="1"/>
  <c r="G346" i="14"/>
  <c r="I346" i="14" s="1"/>
  <c r="K346" i="14"/>
  <c r="F347" i="14"/>
  <c r="H347" i="14" s="1"/>
  <c r="G347" i="14"/>
  <c r="I347" i="14" s="1"/>
  <c r="K347" i="14"/>
  <c r="F348" i="14"/>
  <c r="H348" i="14" s="1"/>
  <c r="G348" i="14"/>
  <c r="I348" i="14" s="1"/>
  <c r="K348" i="14"/>
  <c r="F349" i="14"/>
  <c r="H349" i="14" s="1"/>
  <c r="G349" i="14"/>
  <c r="I349" i="14" s="1"/>
  <c r="K349" i="14"/>
  <c r="F350" i="14"/>
  <c r="H350" i="14" s="1"/>
  <c r="G350" i="14"/>
  <c r="I350" i="14"/>
  <c r="K350" i="14"/>
  <c r="F351" i="14"/>
  <c r="H351" i="14" s="1"/>
  <c r="G351" i="14"/>
  <c r="I351" i="14" s="1"/>
  <c r="K351" i="14"/>
  <c r="F352" i="14"/>
  <c r="H352" i="14" s="1"/>
  <c r="G352" i="14"/>
  <c r="I352" i="14" s="1"/>
  <c r="K352" i="14"/>
  <c r="F353" i="14"/>
  <c r="H353" i="14" s="1"/>
  <c r="G353" i="14"/>
  <c r="I353" i="14" s="1"/>
  <c r="K353" i="14"/>
  <c r="F354" i="14"/>
  <c r="H354" i="14" s="1"/>
  <c r="G354" i="14"/>
  <c r="I354" i="14"/>
  <c r="K354" i="14"/>
  <c r="F355" i="14"/>
  <c r="H355" i="14" s="1"/>
  <c r="G355" i="14"/>
  <c r="I355" i="14" s="1"/>
  <c r="K355" i="14"/>
  <c r="F356" i="14"/>
  <c r="H356" i="14" s="1"/>
  <c r="G356" i="14"/>
  <c r="I356" i="14" s="1"/>
  <c r="K356" i="14"/>
  <c r="F357" i="14"/>
  <c r="H357" i="14" s="1"/>
  <c r="G357" i="14"/>
  <c r="I357" i="14" s="1"/>
  <c r="K357" i="14"/>
  <c r="F358" i="14"/>
  <c r="H358" i="14" s="1"/>
  <c r="G358" i="14"/>
  <c r="I358" i="14" s="1"/>
  <c r="K358" i="14"/>
  <c r="F359" i="14"/>
  <c r="H359" i="14" s="1"/>
  <c r="G359" i="14"/>
  <c r="I359" i="14" s="1"/>
  <c r="K359" i="14"/>
  <c r="F360" i="14"/>
  <c r="H360" i="14" s="1"/>
  <c r="G360" i="14"/>
  <c r="I360" i="14"/>
  <c r="K360" i="14"/>
  <c r="F361" i="14"/>
  <c r="H361" i="14" s="1"/>
  <c r="G361" i="14"/>
  <c r="I361" i="14" s="1"/>
  <c r="K361" i="14"/>
  <c r="F362" i="14"/>
  <c r="H362" i="14" s="1"/>
  <c r="G362" i="14"/>
  <c r="I362" i="14" s="1"/>
  <c r="K362" i="14"/>
  <c r="F363" i="14"/>
  <c r="H363" i="14" s="1"/>
  <c r="G363" i="14"/>
  <c r="I363" i="14" s="1"/>
  <c r="K363" i="14"/>
  <c r="F364" i="14"/>
  <c r="H364" i="14" s="1"/>
  <c r="G364" i="14"/>
  <c r="I364" i="14" s="1"/>
  <c r="K364" i="14"/>
  <c r="F365" i="14"/>
  <c r="H365" i="14" s="1"/>
  <c r="G365" i="14"/>
  <c r="I365" i="14" s="1"/>
  <c r="K365" i="14"/>
  <c r="F366" i="14"/>
  <c r="H366" i="14" s="1"/>
  <c r="G366" i="14"/>
  <c r="I366" i="14" s="1"/>
  <c r="K366" i="14"/>
  <c r="F367" i="14"/>
  <c r="H367" i="14" s="1"/>
  <c r="G367" i="14"/>
  <c r="I367" i="14" s="1"/>
  <c r="J367" i="14" s="1"/>
  <c r="K367" i="14"/>
  <c r="F368" i="14"/>
  <c r="H368" i="14" s="1"/>
  <c r="G368" i="14"/>
  <c r="I368" i="14" s="1"/>
  <c r="K368" i="14"/>
  <c r="F369" i="14"/>
  <c r="H369" i="14" s="1"/>
  <c r="G369" i="14"/>
  <c r="I369" i="14" s="1"/>
  <c r="K369" i="14"/>
  <c r="F370" i="14"/>
  <c r="H370" i="14" s="1"/>
  <c r="G370" i="14"/>
  <c r="I370" i="14" s="1"/>
  <c r="K370" i="14"/>
  <c r="F371" i="14"/>
  <c r="H371" i="14" s="1"/>
  <c r="G371" i="14"/>
  <c r="I371" i="14" s="1"/>
  <c r="K371" i="14"/>
  <c r="F372" i="14"/>
  <c r="H372" i="14" s="1"/>
  <c r="G372" i="14"/>
  <c r="I372" i="14" s="1"/>
  <c r="K372" i="14"/>
  <c r="F373" i="14"/>
  <c r="H373" i="14" s="1"/>
  <c r="G373" i="14"/>
  <c r="I373" i="14" s="1"/>
  <c r="K373" i="14"/>
  <c r="F374" i="14"/>
  <c r="G374" i="14"/>
  <c r="I374" i="14" s="1"/>
  <c r="J374" i="14" s="1"/>
  <c r="H374" i="14"/>
  <c r="K374" i="14"/>
  <c r="F375" i="14"/>
  <c r="H375" i="14" s="1"/>
  <c r="G375" i="14"/>
  <c r="I375" i="14" s="1"/>
  <c r="J375" i="14" s="1"/>
  <c r="K375" i="14"/>
  <c r="F376" i="14"/>
  <c r="H376" i="14" s="1"/>
  <c r="G376" i="14"/>
  <c r="I376" i="14" s="1"/>
  <c r="K376" i="14"/>
  <c r="F377" i="14"/>
  <c r="H377" i="14" s="1"/>
  <c r="G377" i="14"/>
  <c r="I377" i="14" s="1"/>
  <c r="K377" i="14"/>
  <c r="F378" i="14"/>
  <c r="H378" i="14" s="1"/>
  <c r="G378" i="14"/>
  <c r="I378" i="14" s="1"/>
  <c r="K378" i="14"/>
  <c r="F379" i="14"/>
  <c r="H379" i="14" s="1"/>
  <c r="G379" i="14"/>
  <c r="I379" i="14" s="1"/>
  <c r="K379" i="14"/>
  <c r="F380" i="14"/>
  <c r="H380" i="14" s="1"/>
  <c r="G380" i="14"/>
  <c r="I380" i="14" s="1"/>
  <c r="K380" i="14"/>
  <c r="F381" i="14"/>
  <c r="H381" i="14" s="1"/>
  <c r="G381" i="14"/>
  <c r="I381" i="14" s="1"/>
  <c r="J381" i="14" s="1"/>
  <c r="K381" i="14"/>
  <c r="F382" i="14"/>
  <c r="H382" i="14" s="1"/>
  <c r="G382" i="14"/>
  <c r="I382" i="14"/>
  <c r="K382" i="14"/>
  <c r="F383" i="14"/>
  <c r="H383" i="14" s="1"/>
  <c r="G383" i="14"/>
  <c r="I383" i="14"/>
  <c r="K383" i="14"/>
  <c r="F384" i="14"/>
  <c r="H384" i="14" s="1"/>
  <c r="G384" i="14"/>
  <c r="I384" i="14" s="1"/>
  <c r="K384" i="14"/>
  <c r="F385" i="14"/>
  <c r="H385" i="14" s="1"/>
  <c r="G385" i="14"/>
  <c r="I385" i="14" s="1"/>
  <c r="K385" i="14"/>
  <c r="F386" i="14"/>
  <c r="H386" i="14" s="1"/>
  <c r="G386" i="14"/>
  <c r="I386" i="14" s="1"/>
  <c r="K386" i="14"/>
  <c r="F387" i="14"/>
  <c r="H387" i="14" s="1"/>
  <c r="G387" i="14"/>
  <c r="I387" i="14" s="1"/>
  <c r="K387" i="14"/>
  <c r="F388" i="14"/>
  <c r="H388" i="14" s="1"/>
  <c r="G388" i="14"/>
  <c r="I388" i="14"/>
  <c r="K388" i="14"/>
  <c r="F389" i="14"/>
  <c r="H389" i="14" s="1"/>
  <c r="G389" i="14"/>
  <c r="I389" i="14"/>
  <c r="J389" i="14" s="1"/>
  <c r="K389" i="14"/>
  <c r="F390" i="14"/>
  <c r="G390" i="14"/>
  <c r="H390" i="14"/>
  <c r="I390" i="14"/>
  <c r="K390" i="14"/>
  <c r="F391" i="14"/>
  <c r="H391" i="14" s="1"/>
  <c r="G391" i="14"/>
  <c r="I391" i="14" s="1"/>
  <c r="J391" i="14" s="1"/>
  <c r="K391" i="14"/>
  <c r="F392" i="14"/>
  <c r="G392" i="14"/>
  <c r="I392" i="14" s="1"/>
  <c r="H392" i="14"/>
  <c r="K392" i="14"/>
  <c r="F393" i="14"/>
  <c r="H393" i="14" s="1"/>
  <c r="G393" i="14"/>
  <c r="I393" i="14" s="1"/>
  <c r="K393" i="14"/>
  <c r="F394" i="14"/>
  <c r="H394" i="14" s="1"/>
  <c r="G394" i="14"/>
  <c r="I394" i="14" s="1"/>
  <c r="K394" i="14"/>
  <c r="F395" i="14"/>
  <c r="H395" i="14" s="1"/>
  <c r="G395" i="14"/>
  <c r="I395" i="14" s="1"/>
  <c r="K395" i="14"/>
  <c r="F396" i="14"/>
  <c r="H396" i="14" s="1"/>
  <c r="G396" i="14"/>
  <c r="I396" i="14" s="1"/>
  <c r="J396" i="14" s="1"/>
  <c r="K396" i="14"/>
  <c r="F397" i="14"/>
  <c r="H397" i="14" s="1"/>
  <c r="G397" i="14"/>
  <c r="I397" i="14" s="1"/>
  <c r="J397" i="14" s="1"/>
  <c r="K397" i="14"/>
  <c r="F398" i="14"/>
  <c r="H398" i="14" s="1"/>
  <c r="G398" i="14"/>
  <c r="I398" i="14" s="1"/>
  <c r="K398" i="14"/>
  <c r="F399" i="14"/>
  <c r="H399" i="14" s="1"/>
  <c r="G399" i="14"/>
  <c r="I399" i="14" s="1"/>
  <c r="J399" i="14" s="1"/>
  <c r="K399" i="14"/>
  <c r="F400" i="14"/>
  <c r="G400" i="14"/>
  <c r="I400" i="14" s="1"/>
  <c r="H400" i="14"/>
  <c r="K400" i="14"/>
  <c r="F401" i="14"/>
  <c r="H401" i="14" s="1"/>
  <c r="G401" i="14"/>
  <c r="I401" i="14" s="1"/>
  <c r="K401" i="14"/>
  <c r="F402" i="14"/>
  <c r="G402" i="14"/>
  <c r="I402" i="14" s="1"/>
  <c r="H402" i="14"/>
  <c r="K402" i="14"/>
  <c r="F403" i="14"/>
  <c r="H403" i="14" s="1"/>
  <c r="G403" i="14"/>
  <c r="I403" i="14" s="1"/>
  <c r="K403" i="14"/>
  <c r="F404" i="14"/>
  <c r="H404" i="14" s="1"/>
  <c r="G404" i="14"/>
  <c r="I404" i="14"/>
  <c r="K404" i="14"/>
  <c r="F405" i="14"/>
  <c r="H405" i="14" s="1"/>
  <c r="G405" i="14"/>
  <c r="I405" i="14" s="1"/>
  <c r="K405" i="14"/>
  <c r="F406" i="14"/>
  <c r="H406" i="14" s="1"/>
  <c r="G406" i="14"/>
  <c r="I406" i="14" s="1"/>
  <c r="K406" i="14"/>
  <c r="F407" i="14"/>
  <c r="H407" i="14" s="1"/>
  <c r="G407" i="14"/>
  <c r="I407" i="14" s="1"/>
  <c r="K407" i="14"/>
  <c r="F408" i="14"/>
  <c r="H408" i="14" s="1"/>
  <c r="G408" i="14"/>
  <c r="I408" i="14" s="1"/>
  <c r="K408" i="14"/>
  <c r="F409" i="14"/>
  <c r="H409" i="14" s="1"/>
  <c r="G409" i="14"/>
  <c r="I409" i="14" s="1"/>
  <c r="K409" i="14"/>
  <c r="F410" i="14"/>
  <c r="H410" i="14" s="1"/>
  <c r="G410" i="14"/>
  <c r="I410" i="14" s="1"/>
  <c r="K410" i="14"/>
  <c r="F411" i="14"/>
  <c r="H411" i="14" s="1"/>
  <c r="G411" i="14"/>
  <c r="I411" i="14" s="1"/>
  <c r="J411" i="14" s="1"/>
  <c r="K411" i="14"/>
  <c r="F412" i="14"/>
  <c r="H412" i="14" s="1"/>
  <c r="G412" i="14"/>
  <c r="I412" i="14" s="1"/>
  <c r="K412" i="14"/>
  <c r="F413" i="14"/>
  <c r="H413" i="14" s="1"/>
  <c r="G413" i="14"/>
  <c r="I413" i="14" s="1"/>
  <c r="K413" i="14"/>
  <c r="F414" i="14"/>
  <c r="H414" i="14" s="1"/>
  <c r="G414" i="14"/>
  <c r="I414" i="14" s="1"/>
  <c r="K414" i="14"/>
  <c r="F415" i="14"/>
  <c r="H415" i="14" s="1"/>
  <c r="G415" i="14"/>
  <c r="I415" i="14" s="1"/>
  <c r="K415" i="14"/>
  <c r="F416" i="14"/>
  <c r="H416" i="14" s="1"/>
  <c r="G416" i="14"/>
  <c r="I416" i="14" s="1"/>
  <c r="K416" i="14"/>
  <c r="F417" i="14"/>
  <c r="H417" i="14" s="1"/>
  <c r="G417" i="14"/>
  <c r="I417" i="14" s="1"/>
  <c r="K417" i="14"/>
  <c r="F418" i="14"/>
  <c r="H418" i="14" s="1"/>
  <c r="G418" i="14"/>
  <c r="I418" i="14" s="1"/>
  <c r="K418" i="14"/>
  <c r="F419" i="14"/>
  <c r="H419" i="14" s="1"/>
  <c r="G419" i="14"/>
  <c r="I419" i="14" s="1"/>
  <c r="K419" i="14"/>
  <c r="F420" i="14"/>
  <c r="H420" i="14" s="1"/>
  <c r="G420" i="14"/>
  <c r="I420" i="14" s="1"/>
  <c r="K420" i="14"/>
  <c r="F421" i="14"/>
  <c r="H421" i="14" s="1"/>
  <c r="G421" i="14"/>
  <c r="I421" i="14" s="1"/>
  <c r="K421" i="14"/>
  <c r="F422" i="14"/>
  <c r="H422" i="14" s="1"/>
  <c r="G422" i="14"/>
  <c r="I422" i="14" s="1"/>
  <c r="K422" i="14"/>
  <c r="F423" i="14"/>
  <c r="H423" i="14" s="1"/>
  <c r="G423" i="14"/>
  <c r="I423" i="14" s="1"/>
  <c r="K423" i="14"/>
  <c r="F424" i="14"/>
  <c r="H424" i="14" s="1"/>
  <c r="G424" i="14"/>
  <c r="I424" i="14" s="1"/>
  <c r="K424" i="14"/>
  <c r="F425" i="14"/>
  <c r="H425" i="14" s="1"/>
  <c r="G425" i="14"/>
  <c r="I425" i="14" s="1"/>
  <c r="K425" i="14"/>
  <c r="F426" i="14"/>
  <c r="H426" i="14" s="1"/>
  <c r="G426" i="14"/>
  <c r="I426" i="14" s="1"/>
  <c r="K426" i="14"/>
  <c r="F427" i="14"/>
  <c r="H427" i="14" s="1"/>
  <c r="G427" i="14"/>
  <c r="I427" i="14" s="1"/>
  <c r="K427" i="14"/>
  <c r="F428" i="14"/>
  <c r="H428" i="14" s="1"/>
  <c r="G428" i="14"/>
  <c r="I428" i="14" s="1"/>
  <c r="K428" i="14"/>
  <c r="F429" i="14"/>
  <c r="H429" i="14" s="1"/>
  <c r="G429" i="14"/>
  <c r="I429" i="14" s="1"/>
  <c r="K429" i="14"/>
  <c r="F430" i="14"/>
  <c r="H430" i="14" s="1"/>
  <c r="G430" i="14"/>
  <c r="I430" i="14" s="1"/>
  <c r="K430" i="14"/>
  <c r="F431" i="14"/>
  <c r="H431" i="14" s="1"/>
  <c r="G431" i="14"/>
  <c r="I431" i="14" s="1"/>
  <c r="K431" i="14"/>
  <c r="F432" i="14"/>
  <c r="H432" i="14" s="1"/>
  <c r="G432" i="14"/>
  <c r="I432" i="14" s="1"/>
  <c r="K432" i="14"/>
  <c r="F433" i="14"/>
  <c r="H433" i="14" s="1"/>
  <c r="G433" i="14"/>
  <c r="I433" i="14" s="1"/>
  <c r="K433" i="14"/>
  <c r="F434" i="14"/>
  <c r="H434" i="14" s="1"/>
  <c r="G434" i="14"/>
  <c r="I434" i="14" s="1"/>
  <c r="K434" i="14"/>
  <c r="F435" i="14"/>
  <c r="H435" i="14" s="1"/>
  <c r="G435" i="14"/>
  <c r="I435" i="14" s="1"/>
  <c r="K435" i="14"/>
  <c r="F436" i="14"/>
  <c r="H436" i="14" s="1"/>
  <c r="G436" i="14"/>
  <c r="I436" i="14" s="1"/>
  <c r="K436" i="14"/>
  <c r="F437" i="14"/>
  <c r="H437" i="14" s="1"/>
  <c r="G437" i="14"/>
  <c r="I437" i="14" s="1"/>
  <c r="K437" i="14"/>
  <c r="F438" i="14"/>
  <c r="H438" i="14" s="1"/>
  <c r="G438" i="14"/>
  <c r="I438" i="14" s="1"/>
  <c r="K438" i="14"/>
  <c r="F439" i="14"/>
  <c r="H439" i="14" s="1"/>
  <c r="G439" i="14"/>
  <c r="I439" i="14" s="1"/>
  <c r="K439" i="14"/>
  <c r="F440" i="14"/>
  <c r="H440" i="14" s="1"/>
  <c r="G440" i="14"/>
  <c r="I440" i="14" s="1"/>
  <c r="K440" i="14"/>
  <c r="F441" i="14"/>
  <c r="H441" i="14" s="1"/>
  <c r="G441" i="14"/>
  <c r="I441" i="14" s="1"/>
  <c r="K441" i="14"/>
  <c r="F442" i="14"/>
  <c r="H442" i="14" s="1"/>
  <c r="G442" i="14"/>
  <c r="I442" i="14" s="1"/>
  <c r="K442" i="14"/>
  <c r="F443" i="14"/>
  <c r="H443" i="14" s="1"/>
  <c r="G443" i="14"/>
  <c r="I443" i="14" s="1"/>
  <c r="K443" i="14"/>
  <c r="F444" i="14"/>
  <c r="H444" i="14" s="1"/>
  <c r="G444" i="14"/>
  <c r="I444" i="14" s="1"/>
  <c r="K444" i="14"/>
  <c r="F445" i="14"/>
  <c r="H445" i="14" s="1"/>
  <c r="G445" i="14"/>
  <c r="I445" i="14" s="1"/>
  <c r="J445" i="14" s="1"/>
  <c r="K445" i="14"/>
  <c r="F446" i="14"/>
  <c r="H446" i="14" s="1"/>
  <c r="G446" i="14"/>
  <c r="I446" i="14" s="1"/>
  <c r="K446" i="14"/>
  <c r="F447" i="14"/>
  <c r="G447" i="14"/>
  <c r="I447" i="14" s="1"/>
  <c r="J447" i="14" s="1"/>
  <c r="H447" i="14"/>
  <c r="K447" i="14"/>
  <c r="F448" i="14"/>
  <c r="H448" i="14" s="1"/>
  <c r="G448" i="14"/>
  <c r="I448" i="14" s="1"/>
  <c r="K448" i="14"/>
  <c r="F449" i="14"/>
  <c r="G449" i="14"/>
  <c r="I449" i="14" s="1"/>
  <c r="H449" i="14"/>
  <c r="K449" i="14"/>
  <c r="F450" i="14"/>
  <c r="H450" i="14" s="1"/>
  <c r="G450" i="14"/>
  <c r="I450" i="14" s="1"/>
  <c r="K450" i="14"/>
  <c r="F451" i="14"/>
  <c r="H451" i="14" s="1"/>
  <c r="G451" i="14"/>
  <c r="I451" i="14" s="1"/>
  <c r="K451" i="14"/>
  <c r="F452" i="14"/>
  <c r="H452" i="14" s="1"/>
  <c r="G452" i="14"/>
  <c r="I452" i="14" s="1"/>
  <c r="K452" i="14"/>
  <c r="F453" i="14"/>
  <c r="H453" i="14" s="1"/>
  <c r="G453" i="14"/>
  <c r="I453" i="14" s="1"/>
  <c r="K453" i="14"/>
  <c r="F454" i="14"/>
  <c r="H454" i="14" s="1"/>
  <c r="G454" i="14"/>
  <c r="I454" i="14" s="1"/>
  <c r="K454" i="14"/>
  <c r="F455" i="14"/>
  <c r="H455" i="14" s="1"/>
  <c r="G455" i="14"/>
  <c r="I455" i="14" s="1"/>
  <c r="K455" i="14"/>
  <c r="F456" i="14"/>
  <c r="H456" i="14" s="1"/>
  <c r="G456" i="14"/>
  <c r="I456" i="14" s="1"/>
  <c r="J456" i="14" s="1"/>
  <c r="K456" i="14"/>
  <c r="F457" i="14"/>
  <c r="H457" i="14" s="1"/>
  <c r="G457" i="14"/>
  <c r="I457" i="14" s="1"/>
  <c r="K457" i="14"/>
  <c r="F458" i="14"/>
  <c r="H458" i="14" s="1"/>
  <c r="G458" i="14"/>
  <c r="I458" i="14" s="1"/>
  <c r="K458" i="14"/>
  <c r="F459" i="14"/>
  <c r="H459" i="14" s="1"/>
  <c r="G459" i="14"/>
  <c r="I459" i="14" s="1"/>
  <c r="K459" i="14"/>
  <c r="F460" i="14"/>
  <c r="H460" i="14" s="1"/>
  <c r="G460" i="14"/>
  <c r="I460" i="14" s="1"/>
  <c r="K460" i="14"/>
  <c r="F461" i="14"/>
  <c r="H461" i="14" s="1"/>
  <c r="G461" i="14"/>
  <c r="I461" i="14" s="1"/>
  <c r="J461" i="14" s="1"/>
  <c r="K461" i="14"/>
  <c r="F462" i="14"/>
  <c r="H462" i="14" s="1"/>
  <c r="G462" i="14"/>
  <c r="I462" i="14" s="1"/>
  <c r="K462" i="14"/>
  <c r="F463" i="14"/>
  <c r="G463" i="14"/>
  <c r="I463" i="14" s="1"/>
  <c r="J463" i="14" s="1"/>
  <c r="H463" i="14"/>
  <c r="K463" i="14"/>
  <c r="F464" i="14"/>
  <c r="H464" i="14" s="1"/>
  <c r="G464" i="14"/>
  <c r="I464" i="14" s="1"/>
  <c r="J464" i="14" s="1"/>
  <c r="K464" i="14"/>
  <c r="F465" i="14"/>
  <c r="G465" i="14"/>
  <c r="I465" i="14" s="1"/>
  <c r="H465" i="14"/>
  <c r="K465" i="14"/>
  <c r="F466" i="14"/>
  <c r="H466" i="14" s="1"/>
  <c r="G466" i="14"/>
  <c r="I466" i="14" s="1"/>
  <c r="K466" i="14"/>
  <c r="F467" i="14"/>
  <c r="H467" i="14" s="1"/>
  <c r="G467" i="14"/>
  <c r="I467" i="14" s="1"/>
  <c r="K467" i="14"/>
  <c r="F468" i="14"/>
  <c r="H468" i="14" s="1"/>
  <c r="G468" i="14"/>
  <c r="I468" i="14" s="1"/>
  <c r="K468" i="14"/>
  <c r="F469" i="14"/>
  <c r="H469" i="14" s="1"/>
  <c r="G469" i="14"/>
  <c r="I469" i="14" s="1"/>
  <c r="K469" i="14"/>
  <c r="F470" i="14"/>
  <c r="H470" i="14" s="1"/>
  <c r="G470" i="14"/>
  <c r="I470" i="14" s="1"/>
  <c r="K470" i="14"/>
  <c r="F471" i="14"/>
  <c r="H471" i="14" s="1"/>
  <c r="G471" i="14"/>
  <c r="I471" i="14" s="1"/>
  <c r="K471" i="14"/>
  <c r="F472" i="14"/>
  <c r="H472" i="14" s="1"/>
  <c r="G472" i="14"/>
  <c r="I472" i="14" s="1"/>
  <c r="J472" i="14" s="1"/>
  <c r="K472" i="14"/>
  <c r="F473" i="14"/>
  <c r="H473" i="14" s="1"/>
  <c r="G473" i="14"/>
  <c r="I473" i="14" s="1"/>
  <c r="K473" i="14"/>
  <c r="F474" i="14"/>
  <c r="H474" i="14" s="1"/>
  <c r="G474" i="14"/>
  <c r="I474" i="14" s="1"/>
  <c r="K474" i="14"/>
  <c r="F475" i="14"/>
  <c r="H475" i="14" s="1"/>
  <c r="G475" i="14"/>
  <c r="I475" i="14" s="1"/>
  <c r="K475" i="14"/>
  <c r="F476" i="14"/>
  <c r="H476" i="14" s="1"/>
  <c r="G476" i="14"/>
  <c r="I476" i="14" s="1"/>
  <c r="K476" i="14"/>
  <c r="F477" i="14"/>
  <c r="H477" i="14" s="1"/>
  <c r="G477" i="14"/>
  <c r="I477" i="14" s="1"/>
  <c r="J477" i="14" s="1"/>
  <c r="K477" i="14"/>
  <c r="F478" i="14"/>
  <c r="H478" i="14" s="1"/>
  <c r="G478" i="14"/>
  <c r="I478" i="14" s="1"/>
  <c r="K478" i="14"/>
  <c r="F479" i="14"/>
  <c r="G479" i="14"/>
  <c r="I479" i="14" s="1"/>
  <c r="J479" i="14" s="1"/>
  <c r="H479" i="14"/>
  <c r="K479" i="14"/>
  <c r="F480" i="14"/>
  <c r="H480" i="14" s="1"/>
  <c r="G480" i="14"/>
  <c r="I480" i="14" s="1"/>
  <c r="J480" i="14" s="1"/>
  <c r="K480" i="14"/>
  <c r="F481" i="14"/>
  <c r="G481" i="14"/>
  <c r="I481" i="14" s="1"/>
  <c r="H481" i="14"/>
  <c r="K481" i="14"/>
  <c r="F482" i="14"/>
  <c r="H482" i="14" s="1"/>
  <c r="G482" i="14"/>
  <c r="I482" i="14" s="1"/>
  <c r="K482" i="14"/>
  <c r="F483" i="14"/>
  <c r="H483" i="14" s="1"/>
  <c r="G483" i="14"/>
  <c r="I483" i="14" s="1"/>
  <c r="K483" i="14"/>
  <c r="F484" i="14"/>
  <c r="H484" i="14" s="1"/>
  <c r="G484" i="14"/>
  <c r="I484" i="14" s="1"/>
  <c r="K484" i="14"/>
  <c r="F485" i="14"/>
  <c r="H485" i="14" s="1"/>
  <c r="G485" i="14"/>
  <c r="I485" i="14" s="1"/>
  <c r="K485" i="14"/>
  <c r="F486" i="14"/>
  <c r="H486" i="14" s="1"/>
  <c r="G486" i="14"/>
  <c r="I486" i="14" s="1"/>
  <c r="K486" i="14"/>
  <c r="F487" i="14"/>
  <c r="H487" i="14" s="1"/>
  <c r="G487" i="14"/>
  <c r="I487" i="14" s="1"/>
  <c r="K487" i="14"/>
  <c r="F488" i="14"/>
  <c r="H488" i="14" s="1"/>
  <c r="G488" i="14"/>
  <c r="I488" i="14" s="1"/>
  <c r="J488" i="14" s="1"/>
  <c r="K488" i="14"/>
  <c r="F489" i="14"/>
  <c r="H489" i="14" s="1"/>
  <c r="G489" i="14"/>
  <c r="I489" i="14" s="1"/>
  <c r="K489" i="14"/>
  <c r="F490" i="14"/>
  <c r="H490" i="14" s="1"/>
  <c r="G490" i="14"/>
  <c r="I490" i="14" s="1"/>
  <c r="K490" i="14"/>
  <c r="F491" i="14"/>
  <c r="H491" i="14" s="1"/>
  <c r="G491" i="14"/>
  <c r="I491" i="14" s="1"/>
  <c r="K491" i="14"/>
  <c r="F492" i="14"/>
  <c r="H492" i="14" s="1"/>
  <c r="G492" i="14"/>
  <c r="I492" i="14" s="1"/>
  <c r="K492" i="14"/>
  <c r="F493" i="14"/>
  <c r="H493" i="14" s="1"/>
  <c r="G493" i="14"/>
  <c r="I493" i="14" s="1"/>
  <c r="J493" i="14" s="1"/>
  <c r="K493" i="14"/>
  <c r="F494" i="14"/>
  <c r="H494" i="14" s="1"/>
  <c r="G494" i="14"/>
  <c r="I494" i="14" s="1"/>
  <c r="K494" i="14"/>
  <c r="F495" i="14"/>
  <c r="H495" i="14" s="1"/>
  <c r="G495" i="14"/>
  <c r="I495" i="14" s="1"/>
  <c r="J495" i="14" s="1"/>
  <c r="K495" i="14"/>
  <c r="F496" i="14"/>
  <c r="H496" i="14" s="1"/>
  <c r="G496" i="14"/>
  <c r="I496" i="14"/>
  <c r="J496" i="14" s="1"/>
  <c r="K496" i="14"/>
  <c r="F497" i="14"/>
  <c r="H497" i="14" s="1"/>
  <c r="G497" i="14"/>
  <c r="I497" i="14"/>
  <c r="J497" i="14" s="1"/>
  <c r="K497" i="14"/>
  <c r="F498" i="14"/>
  <c r="H498" i="14" s="1"/>
  <c r="G498" i="14"/>
  <c r="I498" i="14"/>
  <c r="J498" i="14" s="1"/>
  <c r="K498" i="14"/>
  <c r="F499" i="14"/>
  <c r="H499" i="14" s="1"/>
  <c r="G499" i="14"/>
  <c r="I499" i="14"/>
  <c r="J499" i="14" s="1"/>
  <c r="K499" i="14"/>
  <c r="F500" i="14"/>
  <c r="H500" i="14" s="1"/>
  <c r="G500" i="14"/>
  <c r="I500" i="14" s="1"/>
  <c r="K500" i="14"/>
  <c r="F501" i="14"/>
  <c r="H501" i="14" s="1"/>
  <c r="G501" i="14"/>
  <c r="I501" i="14" s="1"/>
  <c r="K501" i="14"/>
  <c r="F502" i="14"/>
  <c r="H502" i="14" s="1"/>
  <c r="G502" i="14"/>
  <c r="I502" i="14" s="1"/>
  <c r="K502" i="14"/>
  <c r="F503" i="14"/>
  <c r="H503" i="14" s="1"/>
  <c r="G503" i="14"/>
  <c r="I503" i="14" s="1"/>
  <c r="J503" i="14" s="1"/>
  <c r="K503" i="14"/>
  <c r="F504" i="14"/>
  <c r="H504" i="14" s="1"/>
  <c r="G504" i="14"/>
  <c r="I504" i="14" s="1"/>
  <c r="K504" i="14"/>
  <c r="F505" i="14"/>
  <c r="H505" i="14" s="1"/>
  <c r="G505" i="14"/>
  <c r="I505" i="14" s="1"/>
  <c r="K505" i="14"/>
  <c r="F506" i="14"/>
  <c r="H506" i="14" s="1"/>
  <c r="G506" i="14"/>
  <c r="I506" i="14" s="1"/>
  <c r="K506" i="14"/>
  <c r="F507" i="14"/>
  <c r="G507" i="14"/>
  <c r="I507" i="14" s="1"/>
  <c r="H507" i="14"/>
  <c r="K507" i="14"/>
  <c r="F508" i="14"/>
  <c r="H508" i="14" s="1"/>
  <c r="G508" i="14"/>
  <c r="I508" i="14" s="1"/>
  <c r="K508" i="14"/>
  <c r="F509" i="14"/>
  <c r="H509" i="14" s="1"/>
  <c r="G509" i="14"/>
  <c r="I509" i="14" s="1"/>
  <c r="K509" i="14"/>
  <c r="F510" i="14"/>
  <c r="H510" i="14" s="1"/>
  <c r="G510" i="14"/>
  <c r="I510" i="14" s="1"/>
  <c r="K510" i="14"/>
  <c r="F511" i="14"/>
  <c r="H511" i="14" s="1"/>
  <c r="G511" i="14"/>
  <c r="I511" i="14" s="1"/>
  <c r="K511" i="14"/>
  <c r="F512" i="14"/>
  <c r="H512" i="14" s="1"/>
  <c r="G512" i="14"/>
  <c r="I512" i="14" s="1"/>
  <c r="K512" i="14"/>
  <c r="F513" i="14"/>
  <c r="H513" i="14" s="1"/>
  <c r="G513" i="14"/>
  <c r="I513" i="14" s="1"/>
  <c r="K513" i="14"/>
  <c r="F514" i="14"/>
  <c r="H514" i="14" s="1"/>
  <c r="G514" i="14"/>
  <c r="I514" i="14" s="1"/>
  <c r="K514" i="14"/>
  <c r="F515" i="14"/>
  <c r="H515" i="14" s="1"/>
  <c r="G515" i="14"/>
  <c r="I515" i="14" s="1"/>
  <c r="K515" i="14"/>
  <c r="F516" i="14"/>
  <c r="H516" i="14" s="1"/>
  <c r="G516" i="14"/>
  <c r="I516" i="14" s="1"/>
  <c r="K516" i="14"/>
  <c r="F517" i="14"/>
  <c r="H517" i="14" s="1"/>
  <c r="G517" i="14"/>
  <c r="I517" i="14" s="1"/>
  <c r="K517" i="14"/>
  <c r="F518" i="14"/>
  <c r="H518" i="14" s="1"/>
  <c r="G518" i="14"/>
  <c r="I518" i="14" s="1"/>
  <c r="K518" i="14"/>
  <c r="F519" i="14"/>
  <c r="H519" i="14" s="1"/>
  <c r="G519" i="14"/>
  <c r="I519" i="14" s="1"/>
  <c r="K519" i="14"/>
  <c r="F520" i="14"/>
  <c r="H520" i="14" s="1"/>
  <c r="G520" i="14"/>
  <c r="I520" i="14" s="1"/>
  <c r="K520" i="14"/>
  <c r="F521" i="14"/>
  <c r="H521" i="14" s="1"/>
  <c r="G521" i="14"/>
  <c r="I521" i="14" s="1"/>
  <c r="K521" i="14"/>
  <c r="F522" i="14"/>
  <c r="H522" i="14" s="1"/>
  <c r="G522" i="14"/>
  <c r="I522" i="14" s="1"/>
  <c r="K522" i="14"/>
  <c r="F523" i="14"/>
  <c r="H523" i="14" s="1"/>
  <c r="G523" i="14"/>
  <c r="I523" i="14" s="1"/>
  <c r="J523" i="14" s="1"/>
  <c r="K523" i="14"/>
  <c r="F524" i="14"/>
  <c r="G524" i="14"/>
  <c r="I524" i="14" s="1"/>
  <c r="H524" i="14"/>
  <c r="K524" i="14"/>
  <c r="F525" i="14"/>
  <c r="H525" i="14" s="1"/>
  <c r="G525" i="14"/>
  <c r="I525" i="14" s="1"/>
  <c r="K525" i="14"/>
  <c r="F526" i="14"/>
  <c r="G526" i="14"/>
  <c r="I526" i="14" s="1"/>
  <c r="H526" i="14"/>
  <c r="K526" i="14"/>
  <c r="F527" i="14"/>
  <c r="H527" i="14" s="1"/>
  <c r="G527" i="14"/>
  <c r="I527" i="14" s="1"/>
  <c r="K527" i="14"/>
  <c r="F528" i="14"/>
  <c r="H528" i="14" s="1"/>
  <c r="G528" i="14"/>
  <c r="I528" i="14" s="1"/>
  <c r="K528" i="14"/>
  <c r="F529" i="14"/>
  <c r="H529" i="14" s="1"/>
  <c r="G529" i="14"/>
  <c r="I529" i="14" s="1"/>
  <c r="K529" i="14"/>
  <c r="F530" i="14"/>
  <c r="H530" i="14" s="1"/>
  <c r="G530" i="14"/>
  <c r="I530" i="14" s="1"/>
  <c r="K530" i="14"/>
  <c r="F531" i="14"/>
  <c r="H531" i="14" s="1"/>
  <c r="G531" i="14"/>
  <c r="I531" i="14" s="1"/>
  <c r="J531" i="14" s="1"/>
  <c r="K531" i="14"/>
  <c r="F532" i="14"/>
  <c r="H532" i="14" s="1"/>
  <c r="G532" i="14"/>
  <c r="I532" i="14" s="1"/>
  <c r="K532" i="14"/>
  <c r="F533" i="14"/>
  <c r="H533" i="14" s="1"/>
  <c r="G533" i="14"/>
  <c r="I533" i="14" s="1"/>
  <c r="K533" i="14"/>
  <c r="F534" i="14"/>
  <c r="H534" i="14" s="1"/>
  <c r="G534" i="14"/>
  <c r="I534" i="14" s="1"/>
  <c r="K534" i="14"/>
  <c r="F535" i="14"/>
  <c r="H535" i="14" s="1"/>
  <c r="G535" i="14"/>
  <c r="I535" i="14" s="1"/>
  <c r="K535" i="14"/>
  <c r="F536" i="14"/>
  <c r="H536" i="14" s="1"/>
  <c r="G536" i="14"/>
  <c r="I536" i="14" s="1"/>
  <c r="K536" i="14"/>
  <c r="F537" i="14"/>
  <c r="H537" i="14" s="1"/>
  <c r="G537" i="14"/>
  <c r="I537" i="14" s="1"/>
  <c r="K537" i="14"/>
  <c r="F538" i="14"/>
  <c r="H538" i="14" s="1"/>
  <c r="G538" i="14"/>
  <c r="I538" i="14"/>
  <c r="K538" i="14"/>
  <c r="F539" i="14"/>
  <c r="H539" i="14" s="1"/>
  <c r="G539" i="14"/>
  <c r="I539" i="14"/>
  <c r="K539" i="14"/>
  <c r="F540" i="14"/>
  <c r="H540" i="14" s="1"/>
  <c r="G540" i="14"/>
  <c r="I540" i="14"/>
  <c r="K540" i="14"/>
  <c r="F541" i="14"/>
  <c r="H541" i="14" s="1"/>
  <c r="G541" i="14"/>
  <c r="I541" i="14"/>
  <c r="J541" i="14" s="1"/>
  <c r="K541" i="14"/>
  <c r="F542" i="14"/>
  <c r="G542" i="14"/>
  <c r="I542" i="14" s="1"/>
  <c r="H542" i="14"/>
  <c r="K542" i="14"/>
  <c r="F543" i="14"/>
  <c r="H543" i="14" s="1"/>
  <c r="G543" i="14"/>
  <c r="I543" i="14" s="1"/>
  <c r="K543" i="14"/>
  <c r="F544" i="14"/>
  <c r="H544" i="14" s="1"/>
  <c r="G544" i="14"/>
  <c r="I544" i="14" s="1"/>
  <c r="K544" i="14"/>
  <c r="F545" i="14"/>
  <c r="H545" i="14" s="1"/>
  <c r="G545" i="14"/>
  <c r="I545" i="14"/>
  <c r="K545" i="14"/>
  <c r="F546" i="14"/>
  <c r="H546" i="14" s="1"/>
  <c r="G546" i="14"/>
  <c r="I546" i="14"/>
  <c r="K546" i="14"/>
  <c r="F547" i="14"/>
  <c r="H547" i="14" s="1"/>
  <c r="G547" i="14"/>
  <c r="I547" i="14"/>
  <c r="K547" i="14"/>
  <c r="F548" i="14"/>
  <c r="H548" i="14" s="1"/>
  <c r="G548" i="14"/>
  <c r="I548" i="14" s="1"/>
  <c r="K548" i="14"/>
  <c r="F549" i="14"/>
  <c r="H549" i="14" s="1"/>
  <c r="G549" i="14"/>
  <c r="I549" i="14" s="1"/>
  <c r="K549" i="14"/>
  <c r="F550" i="14"/>
  <c r="H550" i="14" s="1"/>
  <c r="G550" i="14"/>
  <c r="I550" i="14" s="1"/>
  <c r="K550" i="14"/>
  <c r="F551" i="14"/>
  <c r="H551" i="14" s="1"/>
  <c r="G551" i="14"/>
  <c r="I551" i="14" s="1"/>
  <c r="K551" i="14"/>
  <c r="F552" i="14"/>
  <c r="G552" i="14"/>
  <c r="I552" i="14" s="1"/>
  <c r="H552" i="14"/>
  <c r="K552" i="14"/>
  <c r="F553" i="14"/>
  <c r="H553" i="14" s="1"/>
  <c r="G553" i="14"/>
  <c r="I553" i="14" s="1"/>
  <c r="K553" i="14"/>
  <c r="F554" i="14"/>
  <c r="G554" i="14"/>
  <c r="I554" i="14" s="1"/>
  <c r="H554" i="14"/>
  <c r="K554" i="14"/>
  <c r="F555" i="14"/>
  <c r="H555" i="14" s="1"/>
  <c r="G555" i="14"/>
  <c r="I555" i="14" s="1"/>
  <c r="J555" i="14" s="1"/>
  <c r="K555" i="14"/>
  <c r="F556" i="14"/>
  <c r="H556" i="14" s="1"/>
  <c r="G556" i="14"/>
  <c r="I556" i="14" s="1"/>
  <c r="K556" i="14"/>
  <c r="F557" i="14"/>
  <c r="H557" i="14" s="1"/>
  <c r="G557" i="14"/>
  <c r="I557" i="14" s="1"/>
  <c r="K557" i="14"/>
  <c r="F558" i="14"/>
  <c r="H558" i="14" s="1"/>
  <c r="G558" i="14"/>
  <c r="I558" i="14" s="1"/>
  <c r="K558" i="14"/>
  <c r="F559" i="14"/>
  <c r="H559" i="14" s="1"/>
  <c r="G559" i="14"/>
  <c r="I559" i="14" s="1"/>
  <c r="J559" i="14" s="1"/>
  <c r="K559" i="14"/>
  <c r="F560" i="14"/>
  <c r="H560" i="14" s="1"/>
  <c r="G560" i="14"/>
  <c r="I560" i="14" s="1"/>
  <c r="K560" i="14"/>
  <c r="F561" i="14"/>
  <c r="H561" i="14" s="1"/>
  <c r="G561" i="14"/>
  <c r="I561" i="14" s="1"/>
  <c r="K561" i="14"/>
  <c r="F562" i="14"/>
  <c r="H562" i="14" s="1"/>
  <c r="G562" i="14"/>
  <c r="I562" i="14" s="1"/>
  <c r="K562" i="14"/>
  <c r="F563" i="14"/>
  <c r="H563" i="14" s="1"/>
  <c r="G563" i="14"/>
  <c r="I563" i="14" s="1"/>
  <c r="J563" i="14" s="1"/>
  <c r="K563" i="14"/>
  <c r="F564" i="14"/>
  <c r="H564" i="14" s="1"/>
  <c r="G564" i="14"/>
  <c r="I564" i="14" s="1"/>
  <c r="K564" i="14"/>
  <c r="F565" i="14"/>
  <c r="H565" i="14" s="1"/>
  <c r="G565" i="14"/>
  <c r="I565" i="14" s="1"/>
  <c r="K565" i="14"/>
  <c r="F566" i="14"/>
  <c r="H566" i="14" s="1"/>
  <c r="G566" i="14"/>
  <c r="I566" i="14" s="1"/>
  <c r="K566" i="14"/>
  <c r="F567" i="14"/>
  <c r="H567" i="14" s="1"/>
  <c r="G567" i="14"/>
  <c r="I567" i="14" s="1"/>
  <c r="K567" i="14"/>
  <c r="F568" i="14"/>
  <c r="H568" i="14" s="1"/>
  <c r="G568" i="14"/>
  <c r="I568" i="14" s="1"/>
  <c r="K568" i="14"/>
  <c r="F569" i="14"/>
  <c r="H569" i="14" s="1"/>
  <c r="G569" i="14"/>
  <c r="I569" i="14" s="1"/>
  <c r="K569" i="14"/>
  <c r="F570" i="14"/>
  <c r="H570" i="14" s="1"/>
  <c r="G570" i="14"/>
  <c r="I570" i="14" s="1"/>
  <c r="K570" i="14"/>
  <c r="F571" i="14"/>
  <c r="H571" i="14" s="1"/>
  <c r="G571" i="14"/>
  <c r="I571" i="14" s="1"/>
  <c r="K571" i="14"/>
  <c r="F572" i="14"/>
  <c r="H572" i="14" s="1"/>
  <c r="G572" i="14"/>
  <c r="I572" i="14" s="1"/>
  <c r="K572" i="14"/>
  <c r="F573" i="14"/>
  <c r="H573" i="14" s="1"/>
  <c r="G573" i="14"/>
  <c r="I573" i="14" s="1"/>
  <c r="K573" i="14"/>
  <c r="F574" i="14"/>
  <c r="H574" i="14" s="1"/>
  <c r="G574" i="14"/>
  <c r="I574" i="14" s="1"/>
  <c r="K574" i="14"/>
  <c r="F575" i="14"/>
  <c r="H575" i="14" s="1"/>
  <c r="G575" i="14"/>
  <c r="I575" i="14" s="1"/>
  <c r="K575" i="14"/>
  <c r="F576" i="14"/>
  <c r="H576" i="14" s="1"/>
  <c r="G576" i="14"/>
  <c r="I576" i="14" s="1"/>
  <c r="J576" i="14" s="1"/>
  <c r="K576" i="14"/>
  <c r="F577" i="14"/>
  <c r="H577" i="14" s="1"/>
  <c r="G577" i="14"/>
  <c r="I577" i="14" s="1"/>
  <c r="K577" i="14"/>
  <c r="F578" i="14"/>
  <c r="H578" i="14" s="1"/>
  <c r="G578" i="14"/>
  <c r="I578" i="14" s="1"/>
  <c r="K578" i="14"/>
  <c r="F579" i="14"/>
  <c r="H579" i="14" s="1"/>
  <c r="G579" i="14"/>
  <c r="I579" i="14" s="1"/>
  <c r="K579" i="14"/>
  <c r="F580" i="14"/>
  <c r="H580" i="14" s="1"/>
  <c r="G580" i="14"/>
  <c r="I580" i="14" s="1"/>
  <c r="K580" i="14"/>
  <c r="F581" i="14"/>
  <c r="H581" i="14" s="1"/>
  <c r="G581" i="14"/>
  <c r="I581" i="14" s="1"/>
  <c r="K581" i="14"/>
  <c r="F582" i="14"/>
  <c r="H582" i="14" s="1"/>
  <c r="G582" i="14"/>
  <c r="I582" i="14" s="1"/>
  <c r="K582" i="14"/>
  <c r="F583" i="14"/>
  <c r="H583" i="14" s="1"/>
  <c r="G583" i="14"/>
  <c r="I583" i="14" s="1"/>
  <c r="K583" i="14"/>
  <c r="F584" i="14"/>
  <c r="H584" i="14" s="1"/>
  <c r="G584" i="14"/>
  <c r="I584" i="14" s="1"/>
  <c r="K584" i="14"/>
  <c r="F585" i="14"/>
  <c r="H585" i="14" s="1"/>
  <c r="G585" i="14"/>
  <c r="I585" i="14" s="1"/>
  <c r="K585" i="14"/>
  <c r="F586" i="14"/>
  <c r="H586" i="14" s="1"/>
  <c r="G586" i="14"/>
  <c r="I586" i="14" s="1"/>
  <c r="K586" i="14"/>
  <c r="F587" i="14"/>
  <c r="H587" i="14" s="1"/>
  <c r="G587" i="14"/>
  <c r="I587" i="14" s="1"/>
  <c r="K587" i="14"/>
  <c r="F588" i="14"/>
  <c r="H588" i="14" s="1"/>
  <c r="G588" i="14"/>
  <c r="I588" i="14" s="1"/>
  <c r="K588" i="14"/>
  <c r="F589" i="14"/>
  <c r="H589" i="14" s="1"/>
  <c r="G589" i="14"/>
  <c r="I589" i="14" s="1"/>
  <c r="K589" i="14"/>
  <c r="F590" i="14"/>
  <c r="H590" i="14" s="1"/>
  <c r="G590" i="14"/>
  <c r="I590" i="14" s="1"/>
  <c r="K590" i="14"/>
  <c r="F591" i="14"/>
  <c r="H591" i="14" s="1"/>
  <c r="G591" i="14"/>
  <c r="I591" i="14" s="1"/>
  <c r="K591" i="14"/>
  <c r="F592" i="14"/>
  <c r="H592" i="14" s="1"/>
  <c r="G592" i="14"/>
  <c r="I592" i="14" s="1"/>
  <c r="K592" i="14"/>
  <c r="F593" i="14"/>
  <c r="H593" i="14" s="1"/>
  <c r="G593" i="14"/>
  <c r="I593" i="14"/>
  <c r="K593" i="14"/>
  <c r="F594" i="14"/>
  <c r="H594" i="14" s="1"/>
  <c r="G594" i="14"/>
  <c r="I594" i="14"/>
  <c r="K594" i="14"/>
  <c r="F595" i="14"/>
  <c r="H595" i="14" s="1"/>
  <c r="G595" i="14"/>
  <c r="I595" i="14"/>
  <c r="K595" i="14"/>
  <c r="F596" i="14"/>
  <c r="H596" i="14" s="1"/>
  <c r="G596" i="14"/>
  <c r="I596" i="14" s="1"/>
  <c r="K596" i="14"/>
  <c r="F597" i="14"/>
  <c r="H597" i="14" s="1"/>
  <c r="G597" i="14"/>
  <c r="I597" i="14" s="1"/>
  <c r="K597" i="14"/>
  <c r="F598" i="14"/>
  <c r="H598" i="14" s="1"/>
  <c r="G598" i="14"/>
  <c r="I598" i="14" s="1"/>
  <c r="K598" i="14"/>
  <c r="F599" i="14"/>
  <c r="H599" i="14" s="1"/>
  <c r="G599" i="14"/>
  <c r="I599" i="14" s="1"/>
  <c r="J599" i="14" s="1"/>
  <c r="K599" i="14"/>
  <c r="F600" i="14"/>
  <c r="G600" i="14"/>
  <c r="I600" i="14" s="1"/>
  <c r="H600" i="14"/>
  <c r="K600" i="14"/>
  <c r="F601" i="14"/>
  <c r="H601" i="14" s="1"/>
  <c r="G601" i="14"/>
  <c r="I601" i="14"/>
  <c r="K601" i="14"/>
  <c r="F602" i="14"/>
  <c r="G602" i="14"/>
  <c r="I602" i="14" s="1"/>
  <c r="H602" i="14"/>
  <c r="K602" i="14"/>
  <c r="F603" i="14"/>
  <c r="H603" i="14" s="1"/>
  <c r="G603" i="14"/>
  <c r="I603" i="14" s="1"/>
  <c r="J603" i="14" s="1"/>
  <c r="K603" i="14"/>
  <c r="F604" i="14"/>
  <c r="H604" i="14" s="1"/>
  <c r="G604" i="14"/>
  <c r="I604" i="14" s="1"/>
  <c r="K604" i="14"/>
  <c r="F605" i="14"/>
  <c r="H605" i="14" s="1"/>
  <c r="G605" i="14"/>
  <c r="I605" i="14" s="1"/>
  <c r="K605" i="14"/>
  <c r="F606" i="14"/>
  <c r="H606" i="14" s="1"/>
  <c r="G606" i="14"/>
  <c r="I606" i="14" s="1"/>
  <c r="K606" i="14"/>
  <c r="F607" i="14"/>
  <c r="H607" i="14" s="1"/>
  <c r="G607" i="14"/>
  <c r="I607" i="14" s="1"/>
  <c r="K607" i="14"/>
  <c r="F608" i="14"/>
  <c r="H608" i="14" s="1"/>
  <c r="G608" i="14"/>
  <c r="I608" i="14" s="1"/>
  <c r="K608" i="14"/>
  <c r="F609" i="14"/>
  <c r="H609" i="14" s="1"/>
  <c r="G609" i="14"/>
  <c r="I609" i="14" s="1"/>
  <c r="K609" i="14"/>
  <c r="F610" i="14"/>
  <c r="H610" i="14" s="1"/>
  <c r="G610" i="14"/>
  <c r="I610" i="14" s="1"/>
  <c r="K610" i="14"/>
  <c r="F611" i="14"/>
  <c r="H611" i="14" s="1"/>
  <c r="G611" i="14"/>
  <c r="I611" i="14" s="1"/>
  <c r="K611" i="14"/>
  <c r="F612" i="14"/>
  <c r="H612" i="14" s="1"/>
  <c r="G612" i="14"/>
  <c r="I612" i="14" s="1"/>
  <c r="K612" i="14"/>
  <c r="F613" i="14"/>
  <c r="H613" i="14" s="1"/>
  <c r="G613" i="14"/>
  <c r="I613" i="14" s="1"/>
  <c r="J613" i="14" s="1"/>
  <c r="K613" i="14"/>
  <c r="F614" i="14"/>
  <c r="G614" i="14"/>
  <c r="I614" i="14" s="1"/>
  <c r="H614" i="14"/>
  <c r="K614" i="14"/>
  <c r="F615" i="14"/>
  <c r="H615" i="14" s="1"/>
  <c r="G615" i="14"/>
  <c r="I615" i="14" s="1"/>
  <c r="K615" i="14"/>
  <c r="F616" i="14"/>
  <c r="H616" i="14" s="1"/>
  <c r="G616" i="14"/>
  <c r="I616" i="14" s="1"/>
  <c r="K616" i="14"/>
  <c r="F617" i="14"/>
  <c r="H617" i="14" s="1"/>
  <c r="G617" i="14"/>
  <c r="I617" i="14" s="1"/>
  <c r="K617" i="14"/>
  <c r="F618" i="14"/>
  <c r="H618" i="14" s="1"/>
  <c r="G618" i="14"/>
  <c r="I618" i="14" s="1"/>
  <c r="K618" i="14"/>
  <c r="F619" i="14"/>
  <c r="H619" i="14" s="1"/>
  <c r="G619" i="14"/>
  <c r="I619" i="14" s="1"/>
  <c r="K619" i="14"/>
  <c r="F620" i="14"/>
  <c r="H620" i="14" s="1"/>
  <c r="G620" i="14"/>
  <c r="I620" i="14" s="1"/>
  <c r="K620" i="14"/>
  <c r="F621" i="14"/>
  <c r="H621" i="14" s="1"/>
  <c r="G621" i="14"/>
  <c r="I621" i="14" s="1"/>
  <c r="K621" i="14"/>
  <c r="F622" i="14"/>
  <c r="H622" i="14" s="1"/>
  <c r="G622" i="14"/>
  <c r="I622" i="14"/>
  <c r="K622" i="14"/>
  <c r="F623" i="14"/>
  <c r="H623" i="14" s="1"/>
  <c r="G623" i="14"/>
  <c r="I623" i="14" s="1"/>
  <c r="K623" i="14"/>
  <c r="F624" i="14"/>
  <c r="H624" i="14" s="1"/>
  <c r="G624" i="14"/>
  <c r="I624" i="14" s="1"/>
  <c r="K624" i="14"/>
  <c r="F625" i="14"/>
  <c r="H625" i="14" s="1"/>
  <c r="G625" i="14"/>
  <c r="I625" i="14" s="1"/>
  <c r="K625" i="14"/>
  <c r="F626" i="14"/>
  <c r="H626" i="14" s="1"/>
  <c r="G626" i="14"/>
  <c r="I626" i="14" s="1"/>
  <c r="K626" i="14"/>
  <c r="F627" i="14"/>
  <c r="H627" i="14" s="1"/>
  <c r="G627" i="14"/>
  <c r="I627" i="14" s="1"/>
  <c r="K627" i="14"/>
  <c r="F628" i="14"/>
  <c r="H628" i="14" s="1"/>
  <c r="G628" i="14"/>
  <c r="I628" i="14" s="1"/>
  <c r="K628" i="14"/>
  <c r="F629" i="14"/>
  <c r="H629" i="14" s="1"/>
  <c r="G629" i="14"/>
  <c r="I629" i="14" s="1"/>
  <c r="K629" i="14"/>
  <c r="F630" i="14"/>
  <c r="H630" i="14" s="1"/>
  <c r="G630" i="14"/>
  <c r="I630" i="14"/>
  <c r="K630" i="14"/>
  <c r="F631" i="14"/>
  <c r="H631" i="14" s="1"/>
  <c r="G631" i="14"/>
  <c r="I631" i="14" s="1"/>
  <c r="K631" i="14"/>
  <c r="F632" i="14"/>
  <c r="H632" i="14" s="1"/>
  <c r="G632" i="14"/>
  <c r="I632" i="14" s="1"/>
  <c r="K632" i="14"/>
  <c r="F633" i="14"/>
  <c r="H633" i="14" s="1"/>
  <c r="G633" i="14"/>
  <c r="I633" i="14" s="1"/>
  <c r="K633" i="14"/>
  <c r="F634" i="14"/>
  <c r="H634" i="14" s="1"/>
  <c r="G634" i="14"/>
  <c r="I634" i="14" s="1"/>
  <c r="K634" i="14"/>
  <c r="F635" i="14"/>
  <c r="H635" i="14" s="1"/>
  <c r="G635" i="14"/>
  <c r="I635" i="14" s="1"/>
  <c r="K635" i="14"/>
  <c r="F636" i="14"/>
  <c r="H636" i="14" s="1"/>
  <c r="G636" i="14"/>
  <c r="I636" i="14" s="1"/>
  <c r="K636" i="14"/>
  <c r="F637" i="14"/>
  <c r="H637" i="14" s="1"/>
  <c r="G637" i="14"/>
  <c r="I637" i="14" s="1"/>
  <c r="K637" i="14"/>
  <c r="F638" i="14"/>
  <c r="H638" i="14" s="1"/>
  <c r="G638" i="14"/>
  <c r="I638" i="14" s="1"/>
  <c r="K638" i="14"/>
  <c r="F639" i="14"/>
  <c r="H639" i="14" s="1"/>
  <c r="G639" i="14"/>
  <c r="I639" i="14" s="1"/>
  <c r="K639" i="14"/>
  <c r="F640" i="14"/>
  <c r="H640" i="14" s="1"/>
  <c r="G640" i="14"/>
  <c r="I640" i="14" s="1"/>
  <c r="K640" i="14"/>
  <c r="F641" i="14"/>
  <c r="H641" i="14" s="1"/>
  <c r="G641" i="14"/>
  <c r="I641" i="14" s="1"/>
  <c r="K641" i="14"/>
  <c r="F642" i="14"/>
  <c r="H642" i="14" s="1"/>
  <c r="G642" i="14"/>
  <c r="I642" i="14" s="1"/>
  <c r="K642" i="14"/>
  <c r="F643" i="14"/>
  <c r="H643" i="14" s="1"/>
  <c r="G643" i="14"/>
  <c r="I643" i="14" s="1"/>
  <c r="K643" i="14"/>
  <c r="F644" i="14"/>
  <c r="H644" i="14" s="1"/>
  <c r="G644" i="14"/>
  <c r="I644" i="14" s="1"/>
  <c r="K644" i="14"/>
  <c r="F645" i="14"/>
  <c r="H645" i="14" s="1"/>
  <c r="G645" i="14"/>
  <c r="I645" i="14" s="1"/>
  <c r="K645" i="14"/>
  <c r="F646" i="14"/>
  <c r="H646" i="14" s="1"/>
  <c r="G646" i="14"/>
  <c r="I646" i="14" s="1"/>
  <c r="K646" i="14"/>
  <c r="F647" i="14"/>
  <c r="H647" i="14" s="1"/>
  <c r="G647" i="14"/>
  <c r="I647" i="14" s="1"/>
  <c r="K647" i="14"/>
  <c r="F648" i="14"/>
  <c r="H648" i="14" s="1"/>
  <c r="G648" i="14"/>
  <c r="I648" i="14" s="1"/>
  <c r="K648" i="14"/>
  <c r="F649" i="14"/>
  <c r="H649" i="14" s="1"/>
  <c r="G649" i="14"/>
  <c r="I649" i="14" s="1"/>
  <c r="K649" i="14"/>
  <c r="F650" i="14"/>
  <c r="H650" i="14" s="1"/>
  <c r="G650" i="14"/>
  <c r="I650" i="14" s="1"/>
  <c r="K650" i="14"/>
  <c r="F651" i="14"/>
  <c r="H651" i="14" s="1"/>
  <c r="G651" i="14"/>
  <c r="I651" i="14" s="1"/>
  <c r="K651" i="14"/>
  <c r="F652" i="14"/>
  <c r="H652" i="14" s="1"/>
  <c r="G652" i="14"/>
  <c r="I652" i="14" s="1"/>
  <c r="K652" i="14"/>
  <c r="F653" i="14"/>
  <c r="H653" i="14" s="1"/>
  <c r="G653" i="14"/>
  <c r="I653" i="14" s="1"/>
  <c r="K653" i="14"/>
  <c r="F654" i="14"/>
  <c r="H654" i="14" s="1"/>
  <c r="G654" i="14"/>
  <c r="I654" i="14" s="1"/>
  <c r="K654" i="14"/>
  <c r="F655" i="14"/>
  <c r="H655" i="14" s="1"/>
  <c r="G655" i="14"/>
  <c r="I655" i="14" s="1"/>
  <c r="K655" i="14"/>
  <c r="F656" i="14"/>
  <c r="H656" i="14" s="1"/>
  <c r="G656" i="14"/>
  <c r="I656" i="14" s="1"/>
  <c r="K656" i="14"/>
  <c r="F657" i="14"/>
  <c r="H657" i="14" s="1"/>
  <c r="G657" i="14"/>
  <c r="I657" i="14" s="1"/>
  <c r="K657" i="14"/>
  <c r="F658" i="14"/>
  <c r="H658" i="14" s="1"/>
  <c r="G658" i="14"/>
  <c r="I658" i="14" s="1"/>
  <c r="K658" i="14"/>
  <c r="F659" i="14"/>
  <c r="H659" i="14" s="1"/>
  <c r="G659" i="14"/>
  <c r="I659" i="14" s="1"/>
  <c r="K659" i="14"/>
  <c r="F660" i="14"/>
  <c r="H660" i="14" s="1"/>
  <c r="G660" i="14"/>
  <c r="I660" i="14" s="1"/>
  <c r="K660" i="14"/>
  <c r="F661" i="14"/>
  <c r="H661" i="14" s="1"/>
  <c r="G661" i="14"/>
  <c r="I661" i="14" s="1"/>
  <c r="K661" i="14"/>
  <c r="F662" i="14"/>
  <c r="H662" i="14" s="1"/>
  <c r="G662" i="14"/>
  <c r="I662" i="14" s="1"/>
  <c r="K662" i="14"/>
  <c r="F663" i="14"/>
  <c r="H663" i="14" s="1"/>
  <c r="G663" i="14"/>
  <c r="I663" i="14" s="1"/>
  <c r="K663" i="14"/>
  <c r="F664" i="14"/>
  <c r="H664" i="14" s="1"/>
  <c r="G664" i="14"/>
  <c r="I664" i="14" s="1"/>
  <c r="K664" i="14"/>
  <c r="F665" i="14"/>
  <c r="H665" i="14" s="1"/>
  <c r="G665" i="14"/>
  <c r="I665" i="14" s="1"/>
  <c r="K665" i="14"/>
  <c r="F666" i="14"/>
  <c r="H666" i="14" s="1"/>
  <c r="G666" i="14"/>
  <c r="I666" i="14" s="1"/>
  <c r="K666" i="14"/>
  <c r="F667" i="14"/>
  <c r="H667" i="14" s="1"/>
  <c r="G667" i="14"/>
  <c r="I667" i="14" s="1"/>
  <c r="K667" i="14"/>
  <c r="F668" i="14"/>
  <c r="H668" i="14" s="1"/>
  <c r="G668" i="14"/>
  <c r="I668" i="14" s="1"/>
  <c r="K668" i="14"/>
  <c r="F669" i="14"/>
  <c r="H669" i="14" s="1"/>
  <c r="G669" i="14"/>
  <c r="I669" i="14" s="1"/>
  <c r="K669" i="14"/>
  <c r="F670" i="14"/>
  <c r="H670" i="14" s="1"/>
  <c r="G670" i="14"/>
  <c r="I670" i="14" s="1"/>
  <c r="K670" i="14"/>
  <c r="F671" i="14"/>
  <c r="H671" i="14" s="1"/>
  <c r="G671" i="14"/>
  <c r="I671" i="14" s="1"/>
  <c r="K671" i="14"/>
  <c r="F672" i="14"/>
  <c r="H672" i="14" s="1"/>
  <c r="G672" i="14"/>
  <c r="I672" i="14" s="1"/>
  <c r="K672" i="14"/>
  <c r="F673" i="14"/>
  <c r="H673" i="14" s="1"/>
  <c r="G673" i="14"/>
  <c r="I673" i="14" s="1"/>
  <c r="K673" i="14"/>
  <c r="F674" i="14"/>
  <c r="H674" i="14" s="1"/>
  <c r="G674" i="14"/>
  <c r="I674" i="14" s="1"/>
  <c r="K674" i="14"/>
  <c r="F675" i="14"/>
  <c r="H675" i="14" s="1"/>
  <c r="G675" i="14"/>
  <c r="I675" i="14" s="1"/>
  <c r="K675" i="14"/>
  <c r="F676" i="14"/>
  <c r="H676" i="14" s="1"/>
  <c r="G676" i="14"/>
  <c r="I676" i="14" s="1"/>
  <c r="K676" i="14"/>
  <c r="F677" i="14"/>
  <c r="H677" i="14" s="1"/>
  <c r="G677" i="14"/>
  <c r="I677" i="14" s="1"/>
  <c r="K677" i="14"/>
  <c r="F678" i="14"/>
  <c r="H678" i="14" s="1"/>
  <c r="G678" i="14"/>
  <c r="I678" i="14" s="1"/>
  <c r="K678" i="14"/>
  <c r="F679" i="14"/>
  <c r="H679" i="14" s="1"/>
  <c r="G679" i="14"/>
  <c r="I679" i="14" s="1"/>
  <c r="K679" i="14"/>
  <c r="F680" i="14"/>
  <c r="H680" i="14" s="1"/>
  <c r="G680" i="14"/>
  <c r="I680" i="14" s="1"/>
  <c r="K680" i="14"/>
  <c r="F681" i="14"/>
  <c r="H681" i="14" s="1"/>
  <c r="G681" i="14"/>
  <c r="I681" i="14" s="1"/>
  <c r="K681" i="14"/>
  <c r="F682" i="14"/>
  <c r="H682" i="14" s="1"/>
  <c r="G682" i="14"/>
  <c r="I682" i="14" s="1"/>
  <c r="K682" i="14"/>
  <c r="F683" i="14"/>
  <c r="H683" i="14" s="1"/>
  <c r="G683" i="14"/>
  <c r="I683" i="14" s="1"/>
  <c r="K683" i="14"/>
  <c r="F684" i="14"/>
  <c r="H684" i="14" s="1"/>
  <c r="G684" i="14"/>
  <c r="I684" i="14" s="1"/>
  <c r="K684" i="14"/>
  <c r="F685" i="14"/>
  <c r="H685" i="14" s="1"/>
  <c r="G685" i="14"/>
  <c r="I685" i="14" s="1"/>
  <c r="K685" i="14"/>
  <c r="F686" i="14"/>
  <c r="H686" i="14" s="1"/>
  <c r="G686" i="14"/>
  <c r="I686" i="14" s="1"/>
  <c r="K686" i="14"/>
  <c r="F687" i="14"/>
  <c r="H687" i="14" s="1"/>
  <c r="G687" i="14"/>
  <c r="I687" i="14" s="1"/>
  <c r="K687" i="14"/>
  <c r="F688" i="14"/>
  <c r="H688" i="14" s="1"/>
  <c r="G688" i="14"/>
  <c r="I688" i="14" s="1"/>
  <c r="K688" i="14"/>
  <c r="F689" i="14"/>
  <c r="H689" i="14" s="1"/>
  <c r="G689" i="14"/>
  <c r="I689" i="14" s="1"/>
  <c r="K689" i="14"/>
  <c r="F690" i="14"/>
  <c r="H690" i="14" s="1"/>
  <c r="G690" i="14"/>
  <c r="I690" i="14" s="1"/>
  <c r="K690" i="14"/>
  <c r="F691" i="14"/>
  <c r="H691" i="14" s="1"/>
  <c r="G691" i="14"/>
  <c r="I691" i="14" s="1"/>
  <c r="K691" i="14"/>
  <c r="F692" i="14"/>
  <c r="H692" i="14" s="1"/>
  <c r="G692" i="14"/>
  <c r="I692" i="14" s="1"/>
  <c r="K692" i="14"/>
  <c r="F693" i="14"/>
  <c r="H693" i="14" s="1"/>
  <c r="G693" i="14"/>
  <c r="I693" i="14" s="1"/>
  <c r="K693" i="14"/>
  <c r="F694" i="14"/>
  <c r="H694" i="14" s="1"/>
  <c r="G694" i="14"/>
  <c r="I694" i="14" s="1"/>
  <c r="K694" i="14"/>
  <c r="F695" i="14"/>
  <c r="H695" i="14" s="1"/>
  <c r="G695" i="14"/>
  <c r="I695" i="14" s="1"/>
  <c r="K695" i="14"/>
  <c r="F696" i="14"/>
  <c r="H696" i="14" s="1"/>
  <c r="G696" i="14"/>
  <c r="I696" i="14" s="1"/>
  <c r="K696" i="14"/>
  <c r="F697" i="14"/>
  <c r="H697" i="14" s="1"/>
  <c r="G697" i="14"/>
  <c r="I697" i="14" s="1"/>
  <c r="K697" i="14"/>
  <c r="F698" i="14"/>
  <c r="H698" i="14" s="1"/>
  <c r="G698" i="14"/>
  <c r="I698" i="14" s="1"/>
  <c r="K698" i="14"/>
  <c r="F699" i="14"/>
  <c r="H699" i="14" s="1"/>
  <c r="G699" i="14"/>
  <c r="I699" i="14" s="1"/>
  <c r="K699" i="14"/>
  <c r="F700" i="14"/>
  <c r="H700" i="14" s="1"/>
  <c r="G700" i="14"/>
  <c r="I700" i="14" s="1"/>
  <c r="K700" i="14"/>
  <c r="F701" i="14"/>
  <c r="H701" i="14" s="1"/>
  <c r="G701" i="14"/>
  <c r="I701" i="14" s="1"/>
  <c r="K701" i="14"/>
  <c r="F702" i="14"/>
  <c r="H702" i="14" s="1"/>
  <c r="G702" i="14"/>
  <c r="I702" i="14" s="1"/>
  <c r="K702" i="14"/>
  <c r="F703" i="14"/>
  <c r="H703" i="14" s="1"/>
  <c r="G703" i="14"/>
  <c r="I703" i="14" s="1"/>
  <c r="K703" i="14"/>
  <c r="F704" i="14"/>
  <c r="H704" i="14" s="1"/>
  <c r="G704" i="14"/>
  <c r="I704" i="14" s="1"/>
  <c r="K704" i="14"/>
  <c r="F705" i="14"/>
  <c r="H705" i="14" s="1"/>
  <c r="G705" i="14"/>
  <c r="I705" i="14" s="1"/>
  <c r="K705" i="14"/>
  <c r="F706" i="14"/>
  <c r="H706" i="14" s="1"/>
  <c r="G706" i="14"/>
  <c r="I706" i="14" s="1"/>
  <c r="K706" i="14"/>
  <c r="F707" i="14"/>
  <c r="H707" i="14" s="1"/>
  <c r="G707" i="14"/>
  <c r="I707" i="14" s="1"/>
  <c r="K707" i="14"/>
  <c r="F708" i="14"/>
  <c r="H708" i="14" s="1"/>
  <c r="G708" i="14"/>
  <c r="I708" i="14" s="1"/>
  <c r="K708" i="14"/>
  <c r="F709" i="14"/>
  <c r="H709" i="14" s="1"/>
  <c r="G709" i="14"/>
  <c r="I709" i="14" s="1"/>
  <c r="K709" i="14"/>
  <c r="F710" i="14"/>
  <c r="H710" i="14" s="1"/>
  <c r="G710" i="14"/>
  <c r="I710" i="14" s="1"/>
  <c r="J710" i="14" s="1"/>
  <c r="K710" i="14"/>
  <c r="F711" i="14"/>
  <c r="G711" i="14"/>
  <c r="I711" i="14" s="1"/>
  <c r="H711" i="14"/>
  <c r="K711" i="14"/>
  <c r="F712" i="14"/>
  <c r="H712" i="14" s="1"/>
  <c r="G712" i="14"/>
  <c r="I712" i="14"/>
  <c r="J712" i="14" s="1"/>
  <c r="K712" i="14"/>
  <c r="F713" i="14"/>
  <c r="G713" i="14"/>
  <c r="I713" i="14" s="1"/>
  <c r="H713" i="14"/>
  <c r="K713" i="14"/>
  <c r="F714" i="14"/>
  <c r="H714" i="14" s="1"/>
  <c r="G714" i="14"/>
  <c r="I714" i="14"/>
  <c r="K714" i="14"/>
  <c r="F715" i="14"/>
  <c r="G715" i="14"/>
  <c r="I715" i="14" s="1"/>
  <c r="H715" i="14"/>
  <c r="K715" i="14"/>
  <c r="F716" i="14"/>
  <c r="H716" i="14" s="1"/>
  <c r="G716" i="14"/>
  <c r="I716" i="14"/>
  <c r="J716" i="14" s="1"/>
  <c r="K716" i="14"/>
  <c r="F717" i="14"/>
  <c r="H717" i="14" s="1"/>
  <c r="G717" i="14"/>
  <c r="I717" i="14" s="1"/>
  <c r="K717" i="14"/>
  <c r="F718" i="14"/>
  <c r="H718" i="14" s="1"/>
  <c r="G718" i="14"/>
  <c r="I718" i="14" s="1"/>
  <c r="K718" i="14"/>
  <c r="F719" i="14"/>
  <c r="H719" i="14" s="1"/>
  <c r="G719" i="14"/>
  <c r="I719" i="14" s="1"/>
  <c r="K719" i="14"/>
  <c r="F720" i="14"/>
  <c r="H720" i="14" s="1"/>
  <c r="G720" i="14"/>
  <c r="I720" i="14" s="1"/>
  <c r="K720" i="14"/>
  <c r="F721" i="14"/>
  <c r="H721" i="14" s="1"/>
  <c r="G721" i="14"/>
  <c r="I721" i="14" s="1"/>
  <c r="K721" i="14"/>
  <c r="F722" i="14"/>
  <c r="H722" i="14" s="1"/>
  <c r="G722" i="14"/>
  <c r="I722" i="14" s="1"/>
  <c r="K722" i="14"/>
  <c r="F723" i="14"/>
  <c r="H723" i="14" s="1"/>
  <c r="G723" i="14"/>
  <c r="I723" i="14" s="1"/>
  <c r="K723" i="14"/>
  <c r="F724" i="14"/>
  <c r="H724" i="14" s="1"/>
  <c r="G724" i="14"/>
  <c r="I724" i="14" s="1"/>
  <c r="J724" i="14" s="1"/>
  <c r="K724" i="14"/>
  <c r="F725" i="14"/>
  <c r="H725" i="14" s="1"/>
  <c r="G725" i="14"/>
  <c r="I725" i="14" s="1"/>
  <c r="K725" i="14"/>
  <c r="F726" i="14"/>
  <c r="H726" i="14" s="1"/>
  <c r="G726" i="14"/>
  <c r="I726" i="14" s="1"/>
  <c r="K726" i="14"/>
  <c r="F727" i="14"/>
  <c r="H727" i="14" s="1"/>
  <c r="G727" i="14"/>
  <c r="I727" i="14" s="1"/>
  <c r="K727" i="14"/>
  <c r="F728" i="14"/>
  <c r="H728" i="14" s="1"/>
  <c r="G728" i="14"/>
  <c r="I728" i="14" s="1"/>
  <c r="K728" i="14"/>
  <c r="F729" i="14"/>
  <c r="H729" i="14" s="1"/>
  <c r="G729" i="14"/>
  <c r="I729" i="14" s="1"/>
  <c r="K729" i="14"/>
  <c r="F730" i="14"/>
  <c r="H730" i="14" s="1"/>
  <c r="G730" i="14"/>
  <c r="I730" i="14" s="1"/>
  <c r="K730" i="14"/>
  <c r="F731" i="14"/>
  <c r="H731" i="14" s="1"/>
  <c r="G731" i="14"/>
  <c r="I731" i="14" s="1"/>
  <c r="K731" i="14"/>
  <c r="F732" i="14"/>
  <c r="H732" i="14" s="1"/>
  <c r="G732" i="14"/>
  <c r="I732" i="14" s="1"/>
  <c r="J732" i="14" s="1"/>
  <c r="K732" i="14"/>
  <c r="F733" i="14"/>
  <c r="G733" i="14"/>
  <c r="I733" i="14" s="1"/>
  <c r="H733" i="14"/>
  <c r="K733" i="14"/>
  <c r="F734" i="14"/>
  <c r="H734" i="14" s="1"/>
  <c r="G734" i="14"/>
  <c r="I734" i="14"/>
  <c r="J734" i="14" s="1"/>
  <c r="K734" i="14"/>
  <c r="F735" i="14"/>
  <c r="G735" i="14"/>
  <c r="I735" i="14" s="1"/>
  <c r="H735" i="14"/>
  <c r="K735" i="14"/>
  <c r="F736" i="14"/>
  <c r="H736" i="14" s="1"/>
  <c r="G736" i="14"/>
  <c r="I736" i="14"/>
  <c r="J736" i="14" s="1"/>
  <c r="K736" i="14"/>
  <c r="F737" i="14"/>
  <c r="G737" i="14"/>
  <c r="I737" i="14" s="1"/>
  <c r="H737" i="14"/>
  <c r="K737" i="14"/>
  <c r="F738" i="14"/>
  <c r="H738" i="14" s="1"/>
  <c r="G738" i="14"/>
  <c r="I738" i="14"/>
  <c r="J738" i="14" s="1"/>
  <c r="K738" i="14"/>
  <c r="F739" i="14"/>
  <c r="H739" i="14" s="1"/>
  <c r="G739" i="14"/>
  <c r="I739" i="14" s="1"/>
  <c r="K739" i="14"/>
  <c r="F740" i="14"/>
  <c r="H740" i="14" s="1"/>
  <c r="G740" i="14"/>
  <c r="I740" i="14" s="1"/>
  <c r="J740" i="14" s="1"/>
  <c r="K740" i="14"/>
  <c r="F741" i="14"/>
  <c r="H741" i="14" s="1"/>
  <c r="G741" i="14"/>
  <c r="I741" i="14" s="1"/>
  <c r="K741" i="14"/>
  <c r="F742" i="14"/>
  <c r="H742" i="14" s="1"/>
  <c r="G742" i="14"/>
  <c r="I742" i="14" s="1"/>
  <c r="K742" i="14"/>
  <c r="F743" i="14"/>
  <c r="H743" i="14" s="1"/>
  <c r="G743" i="14"/>
  <c r="I743" i="14" s="1"/>
  <c r="K743" i="14"/>
  <c r="F744" i="14"/>
  <c r="H744" i="14" s="1"/>
  <c r="G744" i="14"/>
  <c r="I744" i="14" s="1"/>
  <c r="K744" i="14"/>
  <c r="F745" i="14"/>
  <c r="H745" i="14" s="1"/>
  <c r="G745" i="14"/>
  <c r="I745" i="14" s="1"/>
  <c r="K745" i="14"/>
  <c r="F746" i="14"/>
  <c r="H746" i="14" s="1"/>
  <c r="G746" i="14"/>
  <c r="I746" i="14" s="1"/>
  <c r="K746" i="14"/>
  <c r="F747" i="14"/>
  <c r="H747" i="14" s="1"/>
  <c r="G747" i="14"/>
  <c r="I747" i="14" s="1"/>
  <c r="K747" i="14"/>
  <c r="F748" i="14"/>
  <c r="H748" i="14" s="1"/>
  <c r="G748" i="14"/>
  <c r="I748" i="14" s="1"/>
  <c r="K748" i="14"/>
  <c r="F749" i="14"/>
  <c r="H749" i="14" s="1"/>
  <c r="G749" i="14"/>
  <c r="I749" i="14" s="1"/>
  <c r="K749" i="14"/>
  <c r="F750" i="14"/>
  <c r="H750" i="14" s="1"/>
  <c r="G750" i="14"/>
  <c r="I750" i="14" s="1"/>
  <c r="K750" i="14"/>
  <c r="F751" i="14"/>
  <c r="G751" i="14"/>
  <c r="I751" i="14" s="1"/>
  <c r="H751" i="14"/>
  <c r="K751" i="14"/>
  <c r="F752" i="14"/>
  <c r="H752" i="14" s="1"/>
  <c r="G752" i="14"/>
  <c r="I752" i="14" s="1"/>
  <c r="K752" i="14"/>
  <c r="F753" i="14"/>
  <c r="G753" i="14"/>
  <c r="I753" i="14" s="1"/>
  <c r="H753" i="14"/>
  <c r="K753" i="14"/>
  <c r="F754" i="14"/>
  <c r="H754" i="14" s="1"/>
  <c r="G754" i="14"/>
  <c r="I754" i="14" s="1"/>
  <c r="K754" i="14"/>
  <c r="F755" i="14"/>
  <c r="H755" i="14" s="1"/>
  <c r="G755" i="14"/>
  <c r="I755" i="14" s="1"/>
  <c r="K755" i="14"/>
  <c r="F756" i="14"/>
  <c r="H756" i="14" s="1"/>
  <c r="G756" i="14"/>
  <c r="I756" i="14"/>
  <c r="K756" i="14"/>
  <c r="F757" i="14"/>
  <c r="H757" i="14" s="1"/>
  <c r="G757" i="14"/>
  <c r="I757" i="14" s="1"/>
  <c r="K757" i="14"/>
  <c r="F758" i="14"/>
  <c r="H758" i="14" s="1"/>
  <c r="G758" i="14"/>
  <c r="I758" i="14" s="1"/>
  <c r="K758" i="14"/>
  <c r="F759" i="14"/>
  <c r="H759" i="14" s="1"/>
  <c r="G759" i="14"/>
  <c r="I759" i="14" s="1"/>
  <c r="K759" i="14"/>
  <c r="F760" i="14"/>
  <c r="H760" i="14" s="1"/>
  <c r="G760" i="14"/>
  <c r="I760" i="14" s="1"/>
  <c r="K760" i="14"/>
  <c r="F761" i="14"/>
  <c r="H761" i="14" s="1"/>
  <c r="G761" i="14"/>
  <c r="I761" i="14" s="1"/>
  <c r="K761" i="14"/>
  <c r="F762" i="14"/>
  <c r="H762" i="14" s="1"/>
  <c r="G762" i="14"/>
  <c r="I762" i="14" s="1"/>
  <c r="K762" i="14"/>
  <c r="F763" i="14"/>
  <c r="H763" i="14" s="1"/>
  <c r="G763" i="14"/>
  <c r="I763" i="14" s="1"/>
  <c r="K763" i="14"/>
  <c r="F764" i="14"/>
  <c r="H764" i="14" s="1"/>
  <c r="G764" i="14"/>
  <c r="I764" i="14" s="1"/>
  <c r="K764" i="14"/>
  <c r="F765" i="14"/>
  <c r="H765" i="14" s="1"/>
  <c r="G765" i="14"/>
  <c r="I765" i="14" s="1"/>
  <c r="K765" i="14"/>
  <c r="F766" i="14"/>
  <c r="H766" i="14" s="1"/>
  <c r="G766" i="14"/>
  <c r="I766" i="14" s="1"/>
  <c r="K766" i="14"/>
  <c r="F767" i="14"/>
  <c r="H767" i="14" s="1"/>
  <c r="G767" i="14"/>
  <c r="I767" i="14" s="1"/>
  <c r="K767" i="14"/>
  <c r="F768" i="14"/>
  <c r="H768" i="14" s="1"/>
  <c r="G768" i="14"/>
  <c r="I768" i="14" s="1"/>
  <c r="K768" i="14"/>
  <c r="F769" i="14"/>
  <c r="H769" i="14" s="1"/>
  <c r="G769" i="14"/>
  <c r="I769" i="14" s="1"/>
  <c r="K769" i="14"/>
  <c r="F770" i="14"/>
  <c r="H770" i="14" s="1"/>
  <c r="G770" i="14"/>
  <c r="I770" i="14" s="1"/>
  <c r="K770" i="14"/>
  <c r="F771" i="14"/>
  <c r="H771" i="14" s="1"/>
  <c r="G771" i="14"/>
  <c r="I771" i="14" s="1"/>
  <c r="K771" i="14"/>
  <c r="F772" i="14"/>
  <c r="H772" i="14" s="1"/>
  <c r="G772" i="14"/>
  <c r="I772" i="14" s="1"/>
  <c r="K772" i="14"/>
  <c r="F773" i="14"/>
  <c r="H773" i="14" s="1"/>
  <c r="G773" i="14"/>
  <c r="I773" i="14" s="1"/>
  <c r="K773" i="14"/>
  <c r="F774" i="14"/>
  <c r="H774" i="14" s="1"/>
  <c r="G774" i="14"/>
  <c r="I774" i="14" s="1"/>
  <c r="K774" i="14"/>
  <c r="F775" i="14"/>
  <c r="H775" i="14" s="1"/>
  <c r="G775" i="14"/>
  <c r="I775" i="14" s="1"/>
  <c r="K775" i="14"/>
  <c r="F776" i="14"/>
  <c r="H776" i="14" s="1"/>
  <c r="G776" i="14"/>
  <c r="I776" i="14" s="1"/>
  <c r="K776" i="14"/>
  <c r="F777" i="14"/>
  <c r="H777" i="14" s="1"/>
  <c r="G777" i="14"/>
  <c r="I777" i="14" s="1"/>
  <c r="K777" i="14"/>
  <c r="F778" i="14"/>
  <c r="H778" i="14" s="1"/>
  <c r="G778" i="14"/>
  <c r="I778" i="14" s="1"/>
  <c r="K778" i="14"/>
  <c r="F779" i="14"/>
  <c r="H779" i="14" s="1"/>
  <c r="G779" i="14"/>
  <c r="I779" i="14" s="1"/>
  <c r="K779" i="14"/>
  <c r="F780" i="14"/>
  <c r="H780" i="14" s="1"/>
  <c r="G780" i="14"/>
  <c r="I780" i="14" s="1"/>
  <c r="K780" i="14"/>
  <c r="F781" i="14"/>
  <c r="H781" i="14" s="1"/>
  <c r="G781" i="14"/>
  <c r="I781" i="14" s="1"/>
  <c r="K781" i="14"/>
  <c r="F782" i="14"/>
  <c r="H782" i="14" s="1"/>
  <c r="G782" i="14"/>
  <c r="I782" i="14" s="1"/>
  <c r="K782" i="14"/>
  <c r="F783" i="14"/>
  <c r="G783" i="14"/>
  <c r="I783" i="14" s="1"/>
  <c r="J783" i="14" s="1"/>
  <c r="H783" i="14"/>
  <c r="K783" i="14"/>
  <c r="F784" i="14"/>
  <c r="H784" i="14" s="1"/>
  <c r="G784" i="14"/>
  <c r="I784" i="14" s="1"/>
  <c r="K784" i="14"/>
  <c r="F785" i="14"/>
  <c r="G785" i="14"/>
  <c r="I785" i="14" s="1"/>
  <c r="H785" i="14"/>
  <c r="K785" i="14"/>
  <c r="F786" i="14"/>
  <c r="H786" i="14" s="1"/>
  <c r="G786" i="14"/>
  <c r="I786" i="14" s="1"/>
  <c r="K786" i="14"/>
  <c r="F787" i="14"/>
  <c r="H787" i="14" s="1"/>
  <c r="G787" i="14"/>
  <c r="I787" i="14" s="1"/>
  <c r="K787" i="14"/>
  <c r="F788" i="14"/>
  <c r="H788" i="14" s="1"/>
  <c r="G788" i="14"/>
  <c r="I788" i="14" s="1"/>
  <c r="K788" i="14"/>
  <c r="F789" i="14"/>
  <c r="H789" i="14" s="1"/>
  <c r="G789" i="14"/>
  <c r="I789" i="14" s="1"/>
  <c r="K789" i="14"/>
  <c r="F790" i="14"/>
  <c r="H790" i="14" s="1"/>
  <c r="G790" i="14"/>
  <c r="I790" i="14" s="1"/>
  <c r="K790" i="14"/>
  <c r="F791" i="14"/>
  <c r="H791" i="14" s="1"/>
  <c r="G791" i="14"/>
  <c r="I791" i="14" s="1"/>
  <c r="K791" i="14"/>
  <c r="F792" i="14"/>
  <c r="H792" i="14" s="1"/>
  <c r="J792" i="14" s="1"/>
  <c r="G792" i="14"/>
  <c r="I792" i="14" s="1"/>
  <c r="K792" i="14"/>
  <c r="F793" i="14"/>
  <c r="H793" i="14" s="1"/>
  <c r="G793" i="14"/>
  <c r="I793" i="14" s="1"/>
  <c r="K793" i="14"/>
  <c r="F794" i="14"/>
  <c r="H794" i="14" s="1"/>
  <c r="G794" i="14"/>
  <c r="I794" i="14" s="1"/>
  <c r="K794" i="14"/>
  <c r="F795" i="14"/>
  <c r="H795" i="14" s="1"/>
  <c r="G795" i="14"/>
  <c r="I795" i="14" s="1"/>
  <c r="K795" i="14"/>
  <c r="F796" i="14"/>
  <c r="H796" i="14" s="1"/>
  <c r="G796" i="14"/>
  <c r="I796" i="14" s="1"/>
  <c r="K796" i="14"/>
  <c r="F797" i="14"/>
  <c r="H797" i="14" s="1"/>
  <c r="G797" i="14"/>
  <c r="I797" i="14" s="1"/>
  <c r="K797" i="14"/>
  <c r="F798" i="14"/>
  <c r="H798" i="14" s="1"/>
  <c r="G798" i="14"/>
  <c r="I798" i="14" s="1"/>
  <c r="K798" i="14"/>
  <c r="F799" i="14"/>
  <c r="H799" i="14" s="1"/>
  <c r="G799" i="14"/>
  <c r="I799" i="14" s="1"/>
  <c r="K799" i="14"/>
  <c r="F800" i="14"/>
  <c r="H800" i="14" s="1"/>
  <c r="G800" i="14"/>
  <c r="I800" i="14" s="1"/>
  <c r="K800" i="14"/>
  <c r="F801" i="14"/>
  <c r="G801" i="14"/>
  <c r="I801" i="14" s="1"/>
  <c r="H801" i="14"/>
  <c r="K801" i="14"/>
  <c r="F802" i="14"/>
  <c r="H802" i="14" s="1"/>
  <c r="G802" i="14"/>
  <c r="I802" i="14" s="1"/>
  <c r="K802" i="14"/>
  <c r="F803" i="14"/>
  <c r="G803" i="14"/>
  <c r="I803" i="14" s="1"/>
  <c r="H803" i="14"/>
  <c r="K803" i="14"/>
  <c r="F804" i="14"/>
  <c r="H804" i="14" s="1"/>
  <c r="G804" i="14"/>
  <c r="I804" i="14" s="1"/>
  <c r="K804" i="14"/>
  <c r="F805" i="14"/>
  <c r="H805" i="14" s="1"/>
  <c r="G805" i="14"/>
  <c r="I805" i="14" s="1"/>
  <c r="K805" i="14"/>
  <c r="F806" i="14"/>
  <c r="H806" i="14" s="1"/>
  <c r="G806" i="14"/>
  <c r="I806" i="14" s="1"/>
  <c r="K806" i="14"/>
  <c r="F807" i="14"/>
  <c r="H807" i="14" s="1"/>
  <c r="G807" i="14"/>
  <c r="I807" i="14" s="1"/>
  <c r="K807" i="14"/>
  <c r="F808" i="14"/>
  <c r="H808" i="14" s="1"/>
  <c r="G808" i="14"/>
  <c r="I808" i="14" s="1"/>
  <c r="K808" i="14"/>
  <c r="F809" i="14"/>
  <c r="H809" i="14" s="1"/>
  <c r="G809" i="14"/>
  <c r="I809" i="14" s="1"/>
  <c r="K809" i="14"/>
  <c r="F810" i="14"/>
  <c r="H810" i="14" s="1"/>
  <c r="G810" i="14"/>
  <c r="I810" i="14" s="1"/>
  <c r="K810" i="14"/>
  <c r="F811" i="14"/>
  <c r="H811" i="14" s="1"/>
  <c r="G811" i="14"/>
  <c r="I811" i="14" s="1"/>
  <c r="K811" i="14"/>
  <c r="F812" i="14"/>
  <c r="H812" i="14" s="1"/>
  <c r="G812" i="14"/>
  <c r="I812" i="14" s="1"/>
  <c r="K812" i="14"/>
  <c r="F813" i="14"/>
  <c r="H813" i="14" s="1"/>
  <c r="G813" i="14"/>
  <c r="I813" i="14" s="1"/>
  <c r="K813" i="14"/>
  <c r="F814" i="14"/>
  <c r="H814" i="14" s="1"/>
  <c r="G814" i="14"/>
  <c r="I814" i="14" s="1"/>
  <c r="K814" i="14"/>
  <c r="F815" i="14"/>
  <c r="H815" i="14" s="1"/>
  <c r="G815" i="14"/>
  <c r="I815" i="14" s="1"/>
  <c r="K815" i="14"/>
  <c r="F816" i="14"/>
  <c r="H816" i="14" s="1"/>
  <c r="G816" i="14"/>
  <c r="I816" i="14" s="1"/>
  <c r="K816" i="14"/>
  <c r="F817" i="14"/>
  <c r="H817" i="14" s="1"/>
  <c r="G817" i="14"/>
  <c r="I817" i="14" s="1"/>
  <c r="K817" i="14"/>
  <c r="F818" i="14"/>
  <c r="H818" i="14" s="1"/>
  <c r="G818" i="14"/>
  <c r="I818" i="14"/>
  <c r="K818" i="14"/>
  <c r="F819" i="14"/>
  <c r="H819" i="14" s="1"/>
  <c r="G819" i="14"/>
  <c r="I819" i="14"/>
  <c r="K819" i="14"/>
  <c r="F820" i="14"/>
  <c r="H820" i="14" s="1"/>
  <c r="G820" i="14"/>
  <c r="I820" i="14"/>
  <c r="J820" i="14" s="1"/>
  <c r="K820" i="14"/>
  <c r="F821" i="14"/>
  <c r="G821" i="14"/>
  <c r="I821" i="14" s="1"/>
  <c r="H821" i="14"/>
  <c r="K821" i="14"/>
  <c r="F822" i="14"/>
  <c r="H822" i="14" s="1"/>
  <c r="G822" i="14"/>
  <c r="I822" i="14"/>
  <c r="K822" i="14"/>
  <c r="F823" i="14"/>
  <c r="G823" i="14"/>
  <c r="H823" i="14"/>
  <c r="I823" i="14"/>
  <c r="K823" i="14"/>
  <c r="F824" i="14"/>
  <c r="H824" i="14" s="1"/>
  <c r="G824" i="14"/>
  <c r="I824" i="14" s="1"/>
  <c r="J824" i="14" s="1"/>
  <c r="K824" i="14"/>
  <c r="F825" i="14"/>
  <c r="G825" i="14"/>
  <c r="I825" i="14" s="1"/>
  <c r="H825" i="14"/>
  <c r="K825" i="14"/>
  <c r="F826" i="14"/>
  <c r="H826" i="14" s="1"/>
  <c r="G826" i="14"/>
  <c r="I826" i="14" s="1"/>
  <c r="K826" i="14"/>
  <c r="F827" i="14"/>
  <c r="H827" i="14" s="1"/>
  <c r="G827" i="14"/>
  <c r="I827" i="14" s="1"/>
  <c r="K827" i="14"/>
  <c r="F828" i="14"/>
  <c r="H828" i="14" s="1"/>
  <c r="G828" i="14"/>
  <c r="I828" i="14" s="1"/>
  <c r="K828" i="14"/>
  <c r="F829" i="14"/>
  <c r="H829" i="14" s="1"/>
  <c r="G829" i="14"/>
  <c r="I829" i="14" s="1"/>
  <c r="K829" i="14"/>
  <c r="F830" i="14"/>
  <c r="H830" i="14" s="1"/>
  <c r="G830" i="14"/>
  <c r="I830" i="14" s="1"/>
  <c r="K830" i="14"/>
  <c r="F831" i="14"/>
  <c r="H831" i="14" s="1"/>
  <c r="G831" i="14"/>
  <c r="I831" i="14" s="1"/>
  <c r="K831" i="14"/>
  <c r="F832" i="14"/>
  <c r="H832" i="14" s="1"/>
  <c r="G832" i="14"/>
  <c r="I832" i="14" s="1"/>
  <c r="K832" i="14"/>
  <c r="F833" i="14"/>
  <c r="H833" i="14" s="1"/>
  <c r="G833" i="14"/>
  <c r="I833" i="14" s="1"/>
  <c r="K833" i="14"/>
  <c r="F834" i="14"/>
  <c r="H834" i="14" s="1"/>
  <c r="G834" i="14"/>
  <c r="I834" i="14"/>
  <c r="K834" i="14"/>
  <c r="F835" i="14"/>
  <c r="H835" i="14" s="1"/>
  <c r="G835" i="14"/>
  <c r="I835" i="14" s="1"/>
  <c r="K835" i="14"/>
  <c r="F836" i="14"/>
  <c r="H836" i="14" s="1"/>
  <c r="G836" i="14"/>
  <c r="I836" i="14" s="1"/>
  <c r="K836" i="14"/>
  <c r="F837" i="14"/>
  <c r="H837" i="14" s="1"/>
  <c r="G837" i="14"/>
  <c r="I837" i="14" s="1"/>
  <c r="K837" i="14"/>
  <c r="F838" i="14"/>
  <c r="H838" i="14" s="1"/>
  <c r="G838" i="14"/>
  <c r="I838" i="14" s="1"/>
  <c r="K838" i="14"/>
  <c r="F839" i="14"/>
  <c r="H839" i="14" s="1"/>
  <c r="G839" i="14"/>
  <c r="I839" i="14" s="1"/>
  <c r="J839" i="14" s="1"/>
  <c r="K839" i="14"/>
  <c r="F840" i="14"/>
  <c r="H840" i="14" s="1"/>
  <c r="G840" i="14"/>
  <c r="I840" i="14" s="1"/>
  <c r="K840" i="14"/>
  <c r="F841" i="14"/>
  <c r="H841" i="14" s="1"/>
  <c r="G841" i="14"/>
  <c r="I841" i="14" s="1"/>
  <c r="K841" i="14"/>
  <c r="F842" i="14"/>
  <c r="H842" i="14" s="1"/>
  <c r="G842" i="14"/>
  <c r="I842" i="14" s="1"/>
  <c r="K842" i="14"/>
  <c r="F843" i="14"/>
  <c r="H843" i="14" s="1"/>
  <c r="G843" i="14"/>
  <c r="I843" i="14" s="1"/>
  <c r="K843" i="14"/>
  <c r="F844" i="14"/>
  <c r="H844" i="14" s="1"/>
  <c r="G844" i="14"/>
  <c r="I844" i="14" s="1"/>
  <c r="K844" i="14"/>
  <c r="F845" i="14"/>
  <c r="H845" i="14" s="1"/>
  <c r="G845" i="14"/>
  <c r="I845" i="14" s="1"/>
  <c r="K845" i="14"/>
  <c r="F846" i="14"/>
  <c r="H846" i="14" s="1"/>
  <c r="G846" i="14"/>
  <c r="I846" i="14" s="1"/>
  <c r="K846" i="14"/>
  <c r="F847" i="14"/>
  <c r="H847" i="14" s="1"/>
  <c r="G847" i="14"/>
  <c r="I847" i="14" s="1"/>
  <c r="K847" i="14"/>
  <c r="F848" i="14"/>
  <c r="H848" i="14" s="1"/>
  <c r="G848" i="14"/>
  <c r="I848" i="14" s="1"/>
  <c r="K848" i="14"/>
  <c r="F849" i="14"/>
  <c r="H849" i="14" s="1"/>
  <c r="G849" i="14"/>
  <c r="I849" i="14" s="1"/>
  <c r="K849" i="14"/>
  <c r="F850" i="14"/>
  <c r="H850" i="14" s="1"/>
  <c r="G850" i="14"/>
  <c r="I850" i="14" s="1"/>
  <c r="K850" i="14"/>
  <c r="F851" i="14"/>
  <c r="H851" i="14" s="1"/>
  <c r="G851" i="14"/>
  <c r="I851" i="14"/>
  <c r="K851" i="14"/>
  <c r="F852" i="14"/>
  <c r="H852" i="14" s="1"/>
  <c r="G852" i="14"/>
  <c r="I852" i="14" s="1"/>
  <c r="K852" i="14"/>
  <c r="F853" i="14"/>
  <c r="H853" i="14" s="1"/>
  <c r="G853" i="14"/>
  <c r="I853" i="14" s="1"/>
  <c r="K853" i="14"/>
  <c r="F854" i="14"/>
  <c r="H854" i="14" s="1"/>
  <c r="G854" i="14"/>
  <c r="I854" i="14" s="1"/>
  <c r="K854" i="14"/>
  <c r="F855" i="14"/>
  <c r="H855" i="14" s="1"/>
  <c r="G855" i="14"/>
  <c r="I855" i="14" s="1"/>
  <c r="K855" i="14"/>
  <c r="F856" i="14"/>
  <c r="H856" i="14" s="1"/>
  <c r="G856" i="14"/>
  <c r="I856" i="14" s="1"/>
  <c r="K856" i="14"/>
  <c r="F857" i="14"/>
  <c r="H857" i="14" s="1"/>
  <c r="G857" i="14"/>
  <c r="I857" i="14" s="1"/>
  <c r="K857" i="14"/>
  <c r="F858" i="14"/>
  <c r="H858" i="14" s="1"/>
  <c r="G858" i="14"/>
  <c r="I858" i="14" s="1"/>
  <c r="K858" i="14"/>
  <c r="F859" i="14"/>
  <c r="H859" i="14" s="1"/>
  <c r="G859" i="14"/>
  <c r="I859" i="14" s="1"/>
  <c r="K859" i="14"/>
  <c r="F860" i="14"/>
  <c r="H860" i="14" s="1"/>
  <c r="G860" i="14"/>
  <c r="I860" i="14" s="1"/>
  <c r="K860" i="14"/>
  <c r="F861" i="14"/>
  <c r="H861" i="14" s="1"/>
  <c r="G861" i="14"/>
  <c r="I861" i="14" s="1"/>
  <c r="K861" i="14"/>
  <c r="F862" i="14"/>
  <c r="H862" i="14" s="1"/>
  <c r="G862" i="14"/>
  <c r="I862" i="14" s="1"/>
  <c r="K862" i="14"/>
  <c r="F863" i="14"/>
  <c r="H863" i="14" s="1"/>
  <c r="G863" i="14"/>
  <c r="I863" i="14" s="1"/>
  <c r="J863" i="14" s="1"/>
  <c r="K863" i="14"/>
  <c r="F864" i="14"/>
  <c r="H864" i="14" s="1"/>
  <c r="G864" i="14"/>
  <c r="I864" i="14" s="1"/>
  <c r="J864" i="14" s="1"/>
  <c r="K864" i="14"/>
  <c r="F865" i="14"/>
  <c r="H865" i="14" s="1"/>
  <c r="G865" i="14"/>
  <c r="I865" i="14" s="1"/>
  <c r="K865" i="14"/>
  <c r="F866" i="14"/>
  <c r="H866" i="14" s="1"/>
  <c r="G866" i="14"/>
  <c r="I866" i="14" s="1"/>
  <c r="K866" i="14"/>
  <c r="F867" i="14"/>
  <c r="H867" i="14" s="1"/>
  <c r="G867" i="14"/>
  <c r="I867" i="14" s="1"/>
  <c r="K867" i="14"/>
  <c r="F868" i="14"/>
  <c r="H868" i="14" s="1"/>
  <c r="G868" i="14"/>
  <c r="I868" i="14" s="1"/>
  <c r="K868" i="14"/>
  <c r="F869" i="14"/>
  <c r="G869" i="14"/>
  <c r="I869" i="14" s="1"/>
  <c r="J869" i="14" s="1"/>
  <c r="H869" i="14"/>
  <c r="K869" i="14"/>
  <c r="F870" i="14"/>
  <c r="H870" i="14" s="1"/>
  <c r="G870" i="14"/>
  <c r="I870" i="14" s="1"/>
  <c r="J870" i="14" s="1"/>
  <c r="K870" i="14"/>
  <c r="F871" i="14"/>
  <c r="G871" i="14"/>
  <c r="I871" i="14" s="1"/>
  <c r="H871" i="14"/>
  <c r="K871" i="14"/>
  <c r="F872" i="14"/>
  <c r="H872" i="14" s="1"/>
  <c r="G872" i="14"/>
  <c r="I872" i="14" s="1"/>
  <c r="K872" i="14"/>
  <c r="F873" i="14"/>
  <c r="H873" i="14" s="1"/>
  <c r="G873" i="14"/>
  <c r="I873" i="14" s="1"/>
  <c r="K873" i="14"/>
  <c r="F874" i="14"/>
  <c r="H874" i="14" s="1"/>
  <c r="G874" i="14"/>
  <c r="I874" i="14" s="1"/>
  <c r="K874" i="14"/>
  <c r="F875" i="14"/>
  <c r="H875" i="14" s="1"/>
  <c r="G875" i="14"/>
  <c r="I875" i="14" s="1"/>
  <c r="K875" i="14"/>
  <c r="F876" i="14"/>
  <c r="H876" i="14" s="1"/>
  <c r="G876" i="14"/>
  <c r="I876" i="14" s="1"/>
  <c r="K876" i="14"/>
  <c r="F877" i="14"/>
  <c r="H877" i="14" s="1"/>
  <c r="G877" i="14"/>
  <c r="I877" i="14" s="1"/>
  <c r="K877" i="14"/>
  <c r="F878" i="14"/>
  <c r="H878" i="14" s="1"/>
  <c r="G878" i="14"/>
  <c r="I878" i="14" s="1"/>
  <c r="K878" i="14"/>
  <c r="F879" i="14"/>
  <c r="H879" i="14" s="1"/>
  <c r="G879" i="14"/>
  <c r="I879" i="14" s="1"/>
  <c r="J879" i="14" s="1"/>
  <c r="K879" i="14"/>
  <c r="F880" i="14"/>
  <c r="H880" i="14" s="1"/>
  <c r="G880" i="14"/>
  <c r="I880" i="14"/>
  <c r="K880" i="14"/>
  <c r="F881" i="14"/>
  <c r="H881" i="14" s="1"/>
  <c r="G881" i="14"/>
  <c r="I881" i="14" s="1"/>
  <c r="K881" i="14"/>
  <c r="F882" i="14"/>
  <c r="H882" i="14" s="1"/>
  <c r="G882" i="14"/>
  <c r="I882" i="14" s="1"/>
  <c r="K882" i="14"/>
  <c r="F883" i="14"/>
  <c r="H883" i="14" s="1"/>
  <c r="G883" i="14"/>
  <c r="I883" i="14" s="1"/>
  <c r="K883" i="14"/>
  <c r="F884" i="14"/>
  <c r="H884" i="14" s="1"/>
  <c r="G884" i="14"/>
  <c r="I884" i="14" s="1"/>
  <c r="J884" i="14" s="1"/>
  <c r="K884" i="14"/>
  <c r="F885" i="14"/>
  <c r="H885" i="14" s="1"/>
  <c r="G885" i="14"/>
  <c r="I885" i="14" s="1"/>
  <c r="K885" i="14"/>
  <c r="F886" i="14"/>
  <c r="H886" i="14" s="1"/>
  <c r="G886" i="14"/>
  <c r="I886" i="14" s="1"/>
  <c r="K886" i="14"/>
  <c r="F887" i="14"/>
  <c r="H887" i="14" s="1"/>
  <c r="G887" i="14"/>
  <c r="I887" i="14" s="1"/>
  <c r="K887" i="14"/>
  <c r="F888" i="14"/>
  <c r="H888" i="14" s="1"/>
  <c r="G888" i="14"/>
  <c r="I888" i="14" s="1"/>
  <c r="K888" i="14"/>
  <c r="F889" i="14"/>
  <c r="H889" i="14" s="1"/>
  <c r="G889" i="14"/>
  <c r="I889" i="14" s="1"/>
  <c r="K889" i="14"/>
  <c r="F890" i="14"/>
  <c r="H890" i="14" s="1"/>
  <c r="G890" i="14"/>
  <c r="I890" i="14" s="1"/>
  <c r="K890" i="14"/>
  <c r="F891" i="14"/>
  <c r="H891" i="14" s="1"/>
  <c r="G891" i="14"/>
  <c r="I891" i="14" s="1"/>
  <c r="K891" i="14"/>
  <c r="F892" i="14"/>
  <c r="H892" i="14" s="1"/>
  <c r="G892" i="14"/>
  <c r="I892" i="14" s="1"/>
  <c r="K892" i="14"/>
  <c r="F893" i="14"/>
  <c r="H893" i="14" s="1"/>
  <c r="G893" i="14"/>
  <c r="I893" i="14" s="1"/>
  <c r="K893" i="14"/>
  <c r="F894" i="14"/>
  <c r="H894" i="14" s="1"/>
  <c r="G894" i="14"/>
  <c r="I894" i="14" s="1"/>
  <c r="K894" i="14"/>
  <c r="F895" i="14"/>
  <c r="H895" i="14" s="1"/>
  <c r="G895" i="14"/>
  <c r="I895" i="14" s="1"/>
  <c r="K895" i="14"/>
  <c r="F896" i="14"/>
  <c r="H896" i="14" s="1"/>
  <c r="G896" i="14"/>
  <c r="I896" i="14" s="1"/>
  <c r="K896" i="14"/>
  <c r="F897" i="14"/>
  <c r="H897" i="14" s="1"/>
  <c r="G897" i="14"/>
  <c r="I897" i="14" s="1"/>
  <c r="K897" i="14"/>
  <c r="F898" i="14"/>
  <c r="H898" i="14" s="1"/>
  <c r="G898" i="14"/>
  <c r="I898" i="14" s="1"/>
  <c r="K898" i="14"/>
  <c r="F899" i="14"/>
  <c r="H899" i="14" s="1"/>
  <c r="G899" i="14"/>
  <c r="I899" i="14" s="1"/>
  <c r="K899" i="14"/>
  <c r="F900" i="14"/>
  <c r="H900" i="14" s="1"/>
  <c r="G900" i="14"/>
  <c r="I900" i="14" s="1"/>
  <c r="K900" i="14"/>
  <c r="F901" i="14"/>
  <c r="G901" i="14"/>
  <c r="I901" i="14" s="1"/>
  <c r="H901" i="14"/>
  <c r="K901" i="14"/>
  <c r="F902" i="14"/>
  <c r="H902" i="14" s="1"/>
  <c r="G902" i="14"/>
  <c r="I902" i="14" s="1"/>
  <c r="J902" i="14" s="1"/>
  <c r="K902" i="14"/>
  <c r="F903" i="14"/>
  <c r="G903" i="14"/>
  <c r="I903" i="14" s="1"/>
  <c r="H903" i="14"/>
  <c r="K903" i="14"/>
  <c r="F904" i="14"/>
  <c r="H904" i="14" s="1"/>
  <c r="G904" i="14"/>
  <c r="I904" i="14" s="1"/>
  <c r="K904" i="14"/>
  <c r="F905" i="14"/>
  <c r="H905" i="14" s="1"/>
  <c r="G905" i="14"/>
  <c r="I905" i="14" s="1"/>
  <c r="K905" i="14"/>
  <c r="F906" i="14"/>
  <c r="H906" i="14" s="1"/>
  <c r="G906" i="14"/>
  <c r="I906" i="14" s="1"/>
  <c r="K906" i="14"/>
  <c r="F907" i="14"/>
  <c r="H907" i="14" s="1"/>
  <c r="G907" i="14"/>
  <c r="I907" i="14" s="1"/>
  <c r="K907" i="14"/>
  <c r="F908" i="14"/>
  <c r="H908" i="14" s="1"/>
  <c r="G908" i="14"/>
  <c r="I908" i="14" s="1"/>
  <c r="K908" i="14"/>
  <c r="F909" i="14"/>
  <c r="H909" i="14" s="1"/>
  <c r="G909" i="14"/>
  <c r="I909" i="14" s="1"/>
  <c r="K909" i="14"/>
  <c r="F910" i="14"/>
  <c r="H910" i="14" s="1"/>
  <c r="G910" i="14"/>
  <c r="I910" i="14" s="1"/>
  <c r="K910" i="14"/>
  <c r="F911" i="14"/>
  <c r="H911" i="14" s="1"/>
  <c r="G911" i="14"/>
  <c r="I911" i="14" s="1"/>
  <c r="K911" i="14"/>
  <c r="F912" i="14"/>
  <c r="H912" i="14" s="1"/>
  <c r="G912" i="14"/>
  <c r="I912" i="14" s="1"/>
  <c r="K912" i="14"/>
  <c r="F913" i="14"/>
  <c r="H913" i="14" s="1"/>
  <c r="G913" i="14"/>
  <c r="I913" i="14" s="1"/>
  <c r="K913" i="14"/>
  <c r="F914" i="14"/>
  <c r="H914" i="14" s="1"/>
  <c r="G914" i="14"/>
  <c r="I914" i="14" s="1"/>
  <c r="K914" i="14"/>
  <c r="F915" i="14"/>
  <c r="H915" i="14" s="1"/>
  <c r="G915" i="14"/>
  <c r="I915" i="14" s="1"/>
  <c r="K915" i="14"/>
  <c r="F916" i="14"/>
  <c r="H916" i="14" s="1"/>
  <c r="G916" i="14"/>
  <c r="I916" i="14" s="1"/>
  <c r="K916" i="14"/>
  <c r="F917" i="14"/>
  <c r="H917" i="14" s="1"/>
  <c r="G917" i="14"/>
  <c r="I917" i="14" s="1"/>
  <c r="K917" i="14"/>
  <c r="F918" i="14"/>
  <c r="H918" i="14" s="1"/>
  <c r="G918" i="14"/>
  <c r="I918" i="14" s="1"/>
  <c r="J918" i="14" s="1"/>
  <c r="K918" i="14"/>
  <c r="F919" i="14"/>
  <c r="H919" i="14" s="1"/>
  <c r="G919" i="14"/>
  <c r="I919" i="14"/>
  <c r="K919" i="14"/>
  <c r="F920" i="14"/>
  <c r="H920" i="14" s="1"/>
  <c r="G920" i="14"/>
  <c r="I920" i="14" s="1"/>
  <c r="K920" i="14"/>
  <c r="F921" i="14"/>
  <c r="H921" i="14" s="1"/>
  <c r="G921" i="14"/>
  <c r="I921" i="14" s="1"/>
  <c r="K921" i="14"/>
  <c r="F922" i="14"/>
  <c r="H922" i="14" s="1"/>
  <c r="G922" i="14"/>
  <c r="I922" i="14" s="1"/>
  <c r="K922" i="14"/>
  <c r="F923" i="14"/>
  <c r="H923" i="14" s="1"/>
  <c r="G923" i="14"/>
  <c r="I923" i="14" s="1"/>
  <c r="K923" i="14"/>
  <c r="F924" i="14"/>
  <c r="H924" i="14" s="1"/>
  <c r="G924" i="14"/>
  <c r="I924" i="14" s="1"/>
  <c r="K924" i="14"/>
  <c r="F925" i="14"/>
  <c r="H925" i="14" s="1"/>
  <c r="G925" i="14"/>
  <c r="I925" i="14" s="1"/>
  <c r="K925" i="14"/>
  <c r="F926" i="14"/>
  <c r="H926" i="14" s="1"/>
  <c r="G926" i="14"/>
  <c r="I926" i="14" s="1"/>
  <c r="K926" i="14"/>
  <c r="F927" i="14"/>
  <c r="H927" i="14" s="1"/>
  <c r="G927" i="14"/>
  <c r="I927" i="14" s="1"/>
  <c r="K927" i="14"/>
  <c r="F928" i="14"/>
  <c r="H928" i="14" s="1"/>
  <c r="G928" i="14"/>
  <c r="I928" i="14" s="1"/>
  <c r="K928" i="14"/>
  <c r="F929" i="14"/>
  <c r="H929" i="14" s="1"/>
  <c r="G929" i="14"/>
  <c r="I929" i="14" s="1"/>
  <c r="K929" i="14"/>
  <c r="F930" i="14"/>
  <c r="H930" i="14" s="1"/>
  <c r="G930" i="14"/>
  <c r="I930" i="14" s="1"/>
  <c r="K930" i="14"/>
  <c r="F931" i="14"/>
  <c r="H931" i="14" s="1"/>
  <c r="G931" i="14"/>
  <c r="I931" i="14" s="1"/>
  <c r="K931" i="14"/>
  <c r="F932" i="14"/>
  <c r="H932" i="14" s="1"/>
  <c r="G932" i="14"/>
  <c r="I932" i="14" s="1"/>
  <c r="K932" i="14"/>
  <c r="F933" i="14"/>
  <c r="H933" i="14" s="1"/>
  <c r="G933" i="14"/>
  <c r="I933" i="14" s="1"/>
  <c r="K933" i="14"/>
  <c r="F934" i="14"/>
  <c r="H934" i="14" s="1"/>
  <c r="G934" i="14"/>
  <c r="I934" i="14" s="1"/>
  <c r="K934" i="14"/>
  <c r="F935" i="14"/>
  <c r="H935" i="14" s="1"/>
  <c r="G935" i="14"/>
  <c r="I935" i="14" s="1"/>
  <c r="K935" i="14"/>
  <c r="F936" i="14"/>
  <c r="H936" i="14" s="1"/>
  <c r="G936" i="14"/>
  <c r="I936" i="14" s="1"/>
  <c r="K936" i="14"/>
  <c r="F937" i="14"/>
  <c r="H937" i="14" s="1"/>
  <c r="G937" i="14"/>
  <c r="I937" i="14" s="1"/>
  <c r="K937" i="14"/>
  <c r="F938" i="14"/>
  <c r="H938" i="14" s="1"/>
  <c r="G938" i="14"/>
  <c r="I938" i="14" s="1"/>
  <c r="K938" i="14"/>
  <c r="F939" i="14"/>
  <c r="H939" i="14" s="1"/>
  <c r="G939" i="14"/>
  <c r="I939" i="14" s="1"/>
  <c r="K939" i="14"/>
  <c r="F940" i="14"/>
  <c r="H940" i="14" s="1"/>
  <c r="G940" i="14"/>
  <c r="I940" i="14" s="1"/>
  <c r="K940" i="14"/>
  <c r="F941" i="14"/>
  <c r="H941" i="14" s="1"/>
  <c r="G941" i="14"/>
  <c r="I941" i="14" s="1"/>
  <c r="K941" i="14"/>
  <c r="F942" i="14"/>
  <c r="H942" i="14" s="1"/>
  <c r="G942" i="14"/>
  <c r="I942" i="14" s="1"/>
  <c r="K942" i="14"/>
  <c r="F943" i="14"/>
  <c r="H943" i="14" s="1"/>
  <c r="G943" i="14"/>
  <c r="I943" i="14" s="1"/>
  <c r="K943" i="14"/>
  <c r="F944" i="14"/>
  <c r="H944" i="14" s="1"/>
  <c r="G944" i="14"/>
  <c r="I944" i="14" s="1"/>
  <c r="K944" i="14"/>
  <c r="F945" i="14"/>
  <c r="H945" i="14" s="1"/>
  <c r="G945" i="14"/>
  <c r="I945" i="14" s="1"/>
  <c r="K945" i="14"/>
  <c r="F946" i="14"/>
  <c r="H946" i="14" s="1"/>
  <c r="G946" i="14"/>
  <c r="I946" i="14" s="1"/>
  <c r="K946" i="14"/>
  <c r="F947" i="14"/>
  <c r="H947" i="14" s="1"/>
  <c r="G947" i="14"/>
  <c r="I947" i="14" s="1"/>
  <c r="K947" i="14"/>
  <c r="F948" i="14"/>
  <c r="H948" i="14" s="1"/>
  <c r="G948" i="14"/>
  <c r="I948" i="14" s="1"/>
  <c r="K948" i="14"/>
  <c r="F949" i="14"/>
  <c r="H949" i="14" s="1"/>
  <c r="G949" i="14"/>
  <c r="I949" i="14" s="1"/>
  <c r="K949" i="14"/>
  <c r="F950" i="14"/>
  <c r="H950" i="14" s="1"/>
  <c r="G950" i="14"/>
  <c r="I950" i="14" s="1"/>
  <c r="K950" i="14"/>
  <c r="F951" i="14"/>
  <c r="H951" i="14" s="1"/>
  <c r="G951" i="14"/>
  <c r="I951" i="14" s="1"/>
  <c r="K951" i="14"/>
  <c r="F952" i="14"/>
  <c r="H952" i="14" s="1"/>
  <c r="G952" i="14"/>
  <c r="I952" i="14" s="1"/>
  <c r="K952" i="14"/>
  <c r="F953" i="14"/>
  <c r="H953" i="14" s="1"/>
  <c r="G953" i="14"/>
  <c r="I953" i="14" s="1"/>
  <c r="K953" i="14"/>
  <c r="F954" i="14"/>
  <c r="H954" i="14" s="1"/>
  <c r="G954" i="14"/>
  <c r="I954" i="14" s="1"/>
  <c r="K954" i="14"/>
  <c r="F955" i="14"/>
  <c r="H955" i="14" s="1"/>
  <c r="G955" i="14"/>
  <c r="I955" i="14" s="1"/>
  <c r="K955" i="14"/>
  <c r="F956" i="14"/>
  <c r="H956" i="14" s="1"/>
  <c r="G956" i="14"/>
  <c r="I956" i="14" s="1"/>
  <c r="K956" i="14"/>
  <c r="F957" i="14"/>
  <c r="H957" i="14" s="1"/>
  <c r="G957" i="14"/>
  <c r="I957" i="14" s="1"/>
  <c r="K957" i="14"/>
  <c r="F958" i="14"/>
  <c r="H958" i="14" s="1"/>
  <c r="G958" i="14"/>
  <c r="I958" i="14" s="1"/>
  <c r="K958" i="14"/>
  <c r="F959" i="14"/>
  <c r="H959" i="14" s="1"/>
  <c r="G959" i="14"/>
  <c r="I959" i="14" s="1"/>
  <c r="K959" i="14"/>
  <c r="F960" i="14"/>
  <c r="H960" i="14" s="1"/>
  <c r="G960" i="14"/>
  <c r="I960" i="14" s="1"/>
  <c r="K960" i="14"/>
  <c r="F961" i="14"/>
  <c r="H961" i="14" s="1"/>
  <c r="G961" i="14"/>
  <c r="I961" i="14" s="1"/>
  <c r="K961" i="14"/>
  <c r="F962" i="14"/>
  <c r="H962" i="14" s="1"/>
  <c r="G962" i="14"/>
  <c r="I962" i="14" s="1"/>
  <c r="K962" i="14"/>
  <c r="F963" i="14"/>
  <c r="H963" i="14" s="1"/>
  <c r="G963" i="14"/>
  <c r="I963" i="14" s="1"/>
  <c r="K963" i="14"/>
  <c r="F964" i="14"/>
  <c r="H964" i="14" s="1"/>
  <c r="G964" i="14"/>
  <c r="I964" i="14" s="1"/>
  <c r="K964" i="14"/>
  <c r="F965" i="14"/>
  <c r="H965" i="14" s="1"/>
  <c r="G965" i="14"/>
  <c r="I965" i="14" s="1"/>
  <c r="K965" i="14"/>
  <c r="F966" i="14"/>
  <c r="H966" i="14" s="1"/>
  <c r="G966" i="14"/>
  <c r="I966" i="14" s="1"/>
  <c r="K966" i="14"/>
  <c r="F967" i="14"/>
  <c r="H967" i="14" s="1"/>
  <c r="G967" i="14"/>
  <c r="I967" i="14" s="1"/>
  <c r="K967" i="14"/>
  <c r="F968" i="14"/>
  <c r="H968" i="14" s="1"/>
  <c r="G968" i="14"/>
  <c r="I968" i="14" s="1"/>
  <c r="K968" i="14"/>
  <c r="F969" i="14"/>
  <c r="H969" i="14" s="1"/>
  <c r="G969" i="14"/>
  <c r="I969" i="14" s="1"/>
  <c r="K969" i="14"/>
  <c r="F970" i="14"/>
  <c r="H970" i="14" s="1"/>
  <c r="G970" i="14"/>
  <c r="I970" i="14" s="1"/>
  <c r="K970" i="14"/>
  <c r="F971" i="14"/>
  <c r="H971" i="14" s="1"/>
  <c r="G971" i="14"/>
  <c r="I971" i="14" s="1"/>
  <c r="K971" i="14"/>
  <c r="F972" i="14"/>
  <c r="H972" i="14" s="1"/>
  <c r="G972" i="14"/>
  <c r="I972" i="14" s="1"/>
  <c r="K972" i="14"/>
  <c r="F973" i="14"/>
  <c r="H973" i="14" s="1"/>
  <c r="G973" i="14"/>
  <c r="I973" i="14" s="1"/>
  <c r="K973" i="14"/>
  <c r="F974" i="14"/>
  <c r="H974" i="14" s="1"/>
  <c r="G974" i="14"/>
  <c r="I974" i="14" s="1"/>
  <c r="K974" i="14"/>
  <c r="F975" i="14"/>
  <c r="H975" i="14" s="1"/>
  <c r="G975" i="14"/>
  <c r="I975" i="14" s="1"/>
  <c r="K975" i="14"/>
  <c r="F976" i="14"/>
  <c r="H976" i="14" s="1"/>
  <c r="G976" i="14"/>
  <c r="I976" i="14" s="1"/>
  <c r="K976" i="14"/>
  <c r="F977" i="14"/>
  <c r="H977" i="14" s="1"/>
  <c r="G977" i="14"/>
  <c r="I977" i="14" s="1"/>
  <c r="K977" i="14"/>
  <c r="F978" i="14"/>
  <c r="H978" i="14" s="1"/>
  <c r="G978" i="14"/>
  <c r="I978" i="14" s="1"/>
  <c r="K978" i="14"/>
  <c r="F979" i="14"/>
  <c r="H979" i="14" s="1"/>
  <c r="G979" i="14"/>
  <c r="I979" i="14" s="1"/>
  <c r="K979" i="14"/>
  <c r="F980" i="14"/>
  <c r="H980" i="14" s="1"/>
  <c r="G980" i="14"/>
  <c r="I980" i="14" s="1"/>
  <c r="K980" i="14"/>
  <c r="F981" i="14"/>
  <c r="H981" i="14" s="1"/>
  <c r="G981" i="14"/>
  <c r="I981" i="14" s="1"/>
  <c r="K981" i="14"/>
  <c r="F982" i="14"/>
  <c r="H982" i="14" s="1"/>
  <c r="G982" i="14"/>
  <c r="I982" i="14" s="1"/>
  <c r="K982" i="14"/>
  <c r="F983" i="14"/>
  <c r="H983" i="14" s="1"/>
  <c r="G983" i="14"/>
  <c r="I983" i="14" s="1"/>
  <c r="K983" i="14"/>
  <c r="F984" i="14"/>
  <c r="H984" i="14" s="1"/>
  <c r="G984" i="14"/>
  <c r="I984" i="14" s="1"/>
  <c r="K984" i="14"/>
  <c r="F985" i="14"/>
  <c r="H985" i="14" s="1"/>
  <c r="G985" i="14"/>
  <c r="I985" i="14" s="1"/>
  <c r="K985" i="14"/>
  <c r="F986" i="14"/>
  <c r="H986" i="14" s="1"/>
  <c r="G986" i="14"/>
  <c r="I986" i="14" s="1"/>
  <c r="K986" i="14"/>
  <c r="F987" i="14"/>
  <c r="H987" i="14" s="1"/>
  <c r="G987" i="14"/>
  <c r="I987" i="14" s="1"/>
  <c r="K987" i="14"/>
  <c r="F988" i="14"/>
  <c r="H988" i="14" s="1"/>
  <c r="G988" i="14"/>
  <c r="I988" i="14" s="1"/>
  <c r="K988" i="14"/>
  <c r="F989" i="14"/>
  <c r="H989" i="14" s="1"/>
  <c r="G989" i="14"/>
  <c r="I989" i="14" s="1"/>
  <c r="K989" i="14"/>
  <c r="F990" i="14"/>
  <c r="H990" i="14" s="1"/>
  <c r="G990" i="14"/>
  <c r="I990" i="14" s="1"/>
  <c r="K990" i="14"/>
  <c r="F991" i="14"/>
  <c r="H991" i="14" s="1"/>
  <c r="G991" i="14"/>
  <c r="I991" i="14" s="1"/>
  <c r="K991" i="14"/>
  <c r="F992" i="14"/>
  <c r="H992" i="14" s="1"/>
  <c r="G992" i="14"/>
  <c r="I992" i="14" s="1"/>
  <c r="K992" i="14"/>
  <c r="F993" i="14"/>
  <c r="H993" i="14" s="1"/>
  <c r="G993" i="14"/>
  <c r="I993" i="14" s="1"/>
  <c r="K993" i="14"/>
  <c r="F994" i="14"/>
  <c r="H994" i="14" s="1"/>
  <c r="G994" i="14"/>
  <c r="I994" i="14" s="1"/>
  <c r="K994" i="14"/>
  <c r="F995" i="14"/>
  <c r="H995" i="14" s="1"/>
  <c r="G995" i="14"/>
  <c r="I995" i="14" s="1"/>
  <c r="K995" i="14"/>
  <c r="F996" i="14"/>
  <c r="H996" i="14" s="1"/>
  <c r="G996" i="14"/>
  <c r="I996" i="14" s="1"/>
  <c r="K996" i="14"/>
  <c r="F997" i="14"/>
  <c r="H997" i="14" s="1"/>
  <c r="G997" i="14"/>
  <c r="I997" i="14" s="1"/>
  <c r="K997" i="14"/>
  <c r="F998" i="14"/>
  <c r="H998" i="14" s="1"/>
  <c r="G998" i="14"/>
  <c r="I998" i="14" s="1"/>
  <c r="K998" i="14"/>
  <c r="F999" i="14"/>
  <c r="H999" i="14" s="1"/>
  <c r="G999" i="14"/>
  <c r="I999" i="14" s="1"/>
  <c r="K999" i="14"/>
  <c r="F1000" i="14"/>
  <c r="H1000" i="14" s="1"/>
  <c r="G1000" i="14"/>
  <c r="I1000" i="14" s="1"/>
  <c r="K1000" i="14"/>
  <c r="F1001" i="14"/>
  <c r="H1001" i="14" s="1"/>
  <c r="G1001" i="14"/>
  <c r="I1001" i="14" s="1"/>
  <c r="K1001" i="14"/>
  <c r="F1002" i="14"/>
  <c r="H1002" i="14" s="1"/>
  <c r="G1002" i="14"/>
  <c r="I1002" i="14" s="1"/>
  <c r="K1002" i="14"/>
  <c r="F1003" i="14"/>
  <c r="H1003" i="14" s="1"/>
  <c r="G1003" i="14"/>
  <c r="I1003" i="14" s="1"/>
  <c r="K1003" i="14"/>
  <c r="F1004" i="14"/>
  <c r="H1004" i="14" s="1"/>
  <c r="G1004" i="14"/>
  <c r="I1004" i="14" s="1"/>
  <c r="K1004" i="14"/>
  <c r="F1005" i="14"/>
  <c r="H1005" i="14" s="1"/>
  <c r="G1005" i="14"/>
  <c r="I1005" i="14" s="1"/>
  <c r="K1005" i="14"/>
  <c r="F1006" i="14"/>
  <c r="H1006" i="14" s="1"/>
  <c r="G1006" i="14"/>
  <c r="I1006" i="14" s="1"/>
  <c r="K1006" i="14"/>
  <c r="F1007" i="14"/>
  <c r="H1007" i="14" s="1"/>
  <c r="G1007" i="14"/>
  <c r="I1007" i="14" s="1"/>
  <c r="K1007" i="14"/>
  <c r="F1008" i="14"/>
  <c r="H1008" i="14" s="1"/>
  <c r="G1008" i="14"/>
  <c r="I1008" i="14" s="1"/>
  <c r="K1008" i="14"/>
  <c r="F1009" i="14"/>
  <c r="H1009" i="14" s="1"/>
  <c r="G1009" i="14"/>
  <c r="I1009" i="14" s="1"/>
  <c r="K1009" i="14"/>
  <c r="F1010" i="14"/>
  <c r="H1010" i="14" s="1"/>
  <c r="G1010" i="14"/>
  <c r="I1010" i="14" s="1"/>
  <c r="K1010" i="14"/>
  <c r="F1011" i="14"/>
  <c r="H1011" i="14" s="1"/>
  <c r="G1011" i="14"/>
  <c r="I1011" i="14" s="1"/>
  <c r="K1011" i="14"/>
  <c r="F1012" i="14"/>
  <c r="H1012" i="14" s="1"/>
  <c r="G1012" i="14"/>
  <c r="I1012" i="14" s="1"/>
  <c r="K1012" i="14"/>
  <c r="F1013" i="14"/>
  <c r="H1013" i="14" s="1"/>
  <c r="G1013" i="14"/>
  <c r="I1013" i="14" s="1"/>
  <c r="K1013" i="14"/>
  <c r="F1014" i="14"/>
  <c r="H1014" i="14" s="1"/>
  <c r="G1014" i="14"/>
  <c r="I1014" i="14" s="1"/>
  <c r="K1014" i="14"/>
  <c r="F1015" i="14"/>
  <c r="H1015" i="14" s="1"/>
  <c r="G1015" i="14"/>
  <c r="I1015" i="14" s="1"/>
  <c r="K1015" i="14"/>
  <c r="F1016" i="14"/>
  <c r="H1016" i="14" s="1"/>
  <c r="G1016" i="14"/>
  <c r="I1016" i="14" s="1"/>
  <c r="K1016" i="14"/>
  <c r="F1017" i="14"/>
  <c r="H1017" i="14" s="1"/>
  <c r="G1017" i="14"/>
  <c r="I1017" i="14" s="1"/>
  <c r="K1017" i="14"/>
  <c r="F1018" i="14"/>
  <c r="H1018" i="14" s="1"/>
  <c r="G1018" i="14"/>
  <c r="I1018" i="14" s="1"/>
  <c r="K1018" i="14"/>
  <c r="F1019" i="14"/>
  <c r="H1019" i="14" s="1"/>
  <c r="G1019" i="14"/>
  <c r="I1019" i="14" s="1"/>
  <c r="K1019" i="14"/>
  <c r="F1020" i="14"/>
  <c r="H1020" i="14" s="1"/>
  <c r="G1020" i="14"/>
  <c r="I1020" i="14" s="1"/>
  <c r="K1020" i="14"/>
  <c r="F1021" i="14"/>
  <c r="H1021" i="14" s="1"/>
  <c r="G1021" i="14"/>
  <c r="I1021" i="14" s="1"/>
  <c r="K1021" i="14"/>
  <c r="F1022" i="14"/>
  <c r="H1022" i="14" s="1"/>
  <c r="G1022" i="14"/>
  <c r="I1022" i="14" s="1"/>
  <c r="K1022" i="14"/>
  <c r="F1023" i="14"/>
  <c r="H1023" i="14" s="1"/>
  <c r="G1023" i="14"/>
  <c r="I1023" i="14" s="1"/>
  <c r="K1023" i="14"/>
  <c r="F1024" i="14"/>
  <c r="H1024" i="14" s="1"/>
  <c r="G1024" i="14"/>
  <c r="I1024" i="14" s="1"/>
  <c r="K1024" i="14"/>
  <c r="F1025" i="14"/>
  <c r="H1025" i="14" s="1"/>
  <c r="G1025" i="14"/>
  <c r="I1025" i="14" s="1"/>
  <c r="K1025" i="14"/>
  <c r="F1026" i="14"/>
  <c r="H1026" i="14" s="1"/>
  <c r="G1026" i="14"/>
  <c r="I1026" i="14" s="1"/>
  <c r="K1026" i="14"/>
  <c r="F1027" i="14"/>
  <c r="H1027" i="14" s="1"/>
  <c r="G1027" i="14"/>
  <c r="I1027" i="14" s="1"/>
  <c r="K1027" i="14"/>
  <c r="F1028" i="14"/>
  <c r="H1028" i="14" s="1"/>
  <c r="G1028" i="14"/>
  <c r="I1028" i="14" s="1"/>
  <c r="K1028" i="14"/>
  <c r="F1029" i="14"/>
  <c r="H1029" i="14" s="1"/>
  <c r="G1029" i="14"/>
  <c r="I1029" i="14" s="1"/>
  <c r="K1029" i="14"/>
  <c r="F1030" i="14"/>
  <c r="H1030" i="14" s="1"/>
  <c r="G1030" i="14"/>
  <c r="I1030" i="14" s="1"/>
  <c r="K1030" i="14"/>
  <c r="F1031" i="14"/>
  <c r="H1031" i="14" s="1"/>
  <c r="G1031" i="14"/>
  <c r="I1031" i="14" s="1"/>
  <c r="K1031" i="14"/>
  <c r="F1032" i="14"/>
  <c r="H1032" i="14" s="1"/>
  <c r="G1032" i="14"/>
  <c r="I1032" i="14" s="1"/>
  <c r="K1032" i="14"/>
  <c r="F1033" i="14"/>
  <c r="H1033" i="14" s="1"/>
  <c r="G1033" i="14"/>
  <c r="I1033" i="14" s="1"/>
  <c r="K1033" i="14"/>
  <c r="F1034" i="14"/>
  <c r="H1034" i="14" s="1"/>
  <c r="G1034" i="14"/>
  <c r="I1034" i="14" s="1"/>
  <c r="K1034" i="14"/>
  <c r="F1035" i="14"/>
  <c r="H1035" i="14" s="1"/>
  <c r="G1035" i="14"/>
  <c r="I1035" i="14" s="1"/>
  <c r="K1035" i="14"/>
  <c r="F1036" i="14"/>
  <c r="H1036" i="14" s="1"/>
  <c r="G1036" i="14"/>
  <c r="I1036" i="14" s="1"/>
  <c r="K1036" i="14"/>
  <c r="F1037" i="14"/>
  <c r="H1037" i="14" s="1"/>
  <c r="G1037" i="14"/>
  <c r="I1037" i="14" s="1"/>
  <c r="K1037" i="14"/>
  <c r="F1038" i="14"/>
  <c r="H1038" i="14" s="1"/>
  <c r="G1038" i="14"/>
  <c r="I1038" i="14" s="1"/>
  <c r="K1038" i="14"/>
  <c r="F1039" i="14"/>
  <c r="H1039" i="14" s="1"/>
  <c r="G1039" i="14"/>
  <c r="I1039" i="14" s="1"/>
  <c r="K1039" i="14"/>
  <c r="F1040" i="14"/>
  <c r="H1040" i="14" s="1"/>
  <c r="G1040" i="14"/>
  <c r="I1040" i="14" s="1"/>
  <c r="K1040" i="14"/>
  <c r="F1041" i="14"/>
  <c r="H1041" i="14" s="1"/>
  <c r="G1041" i="14"/>
  <c r="I1041" i="14" s="1"/>
  <c r="K1041" i="14"/>
  <c r="F1042" i="14"/>
  <c r="H1042" i="14" s="1"/>
  <c r="G1042" i="14"/>
  <c r="I1042" i="14" s="1"/>
  <c r="K1042" i="14"/>
  <c r="F1043" i="14"/>
  <c r="H1043" i="14" s="1"/>
  <c r="G1043" i="14"/>
  <c r="I1043" i="14" s="1"/>
  <c r="K1043" i="14"/>
  <c r="F1044" i="14"/>
  <c r="H1044" i="14" s="1"/>
  <c r="G1044" i="14"/>
  <c r="I1044" i="14" s="1"/>
  <c r="K1044" i="14"/>
  <c r="F1045" i="14"/>
  <c r="H1045" i="14" s="1"/>
  <c r="G1045" i="14"/>
  <c r="I1045" i="14" s="1"/>
  <c r="K1045" i="14"/>
  <c r="F1046" i="14"/>
  <c r="H1046" i="14" s="1"/>
  <c r="G1046" i="14"/>
  <c r="I1046" i="14" s="1"/>
  <c r="K1046" i="14"/>
  <c r="F1047" i="14"/>
  <c r="H1047" i="14" s="1"/>
  <c r="G1047" i="14"/>
  <c r="I1047" i="14" s="1"/>
  <c r="K1047" i="14"/>
  <c r="F1048" i="14"/>
  <c r="H1048" i="14" s="1"/>
  <c r="G1048" i="14"/>
  <c r="I1048" i="14" s="1"/>
  <c r="K1048" i="14"/>
  <c r="F1049" i="14"/>
  <c r="H1049" i="14" s="1"/>
  <c r="G1049" i="14"/>
  <c r="I1049" i="14" s="1"/>
  <c r="K1049" i="14"/>
  <c r="F1050" i="14"/>
  <c r="H1050" i="14" s="1"/>
  <c r="G1050" i="14"/>
  <c r="I1050" i="14" s="1"/>
  <c r="K1050" i="14"/>
  <c r="F1051" i="14"/>
  <c r="H1051" i="14" s="1"/>
  <c r="G1051" i="14"/>
  <c r="I1051" i="14" s="1"/>
  <c r="K1051" i="14"/>
  <c r="F1052" i="14"/>
  <c r="H1052" i="14" s="1"/>
  <c r="G1052" i="14"/>
  <c r="I1052" i="14" s="1"/>
  <c r="K1052" i="14"/>
  <c r="F1053" i="14"/>
  <c r="H1053" i="14" s="1"/>
  <c r="G1053" i="14"/>
  <c r="I1053" i="14" s="1"/>
  <c r="K1053" i="14"/>
  <c r="F1054" i="14"/>
  <c r="H1054" i="14" s="1"/>
  <c r="G1054" i="14"/>
  <c r="I1054" i="14" s="1"/>
  <c r="K1054" i="14"/>
  <c r="F1055" i="14"/>
  <c r="H1055" i="14" s="1"/>
  <c r="G1055" i="14"/>
  <c r="I1055" i="14" s="1"/>
  <c r="K1055" i="14"/>
  <c r="F1056" i="14"/>
  <c r="H1056" i="14" s="1"/>
  <c r="G1056" i="14"/>
  <c r="I1056" i="14" s="1"/>
  <c r="K1056" i="14"/>
  <c r="F1057" i="14"/>
  <c r="H1057" i="14" s="1"/>
  <c r="G1057" i="14"/>
  <c r="I1057" i="14" s="1"/>
  <c r="K1057" i="14"/>
  <c r="F1058" i="14"/>
  <c r="H1058" i="14" s="1"/>
  <c r="G1058" i="14"/>
  <c r="I1058" i="14" s="1"/>
  <c r="K1058" i="14"/>
  <c r="F1059" i="14"/>
  <c r="H1059" i="14" s="1"/>
  <c r="G1059" i="14"/>
  <c r="I1059" i="14" s="1"/>
  <c r="K1059" i="14"/>
  <c r="F1060" i="14"/>
  <c r="H1060" i="14" s="1"/>
  <c r="G1060" i="14"/>
  <c r="I1060" i="14" s="1"/>
  <c r="K1060" i="14"/>
  <c r="F1061" i="14"/>
  <c r="H1061" i="14" s="1"/>
  <c r="G1061" i="14"/>
  <c r="I1061" i="14" s="1"/>
  <c r="K1061" i="14"/>
  <c r="F1062" i="14"/>
  <c r="H1062" i="14" s="1"/>
  <c r="G1062" i="14"/>
  <c r="I1062" i="14" s="1"/>
  <c r="K1062" i="14"/>
  <c r="F1063" i="14"/>
  <c r="H1063" i="14" s="1"/>
  <c r="G1063" i="14"/>
  <c r="I1063" i="14" s="1"/>
  <c r="K1063" i="14"/>
  <c r="F1064" i="14"/>
  <c r="H1064" i="14" s="1"/>
  <c r="G1064" i="14"/>
  <c r="I1064" i="14" s="1"/>
  <c r="K1064" i="14"/>
  <c r="F1065" i="14"/>
  <c r="H1065" i="14" s="1"/>
  <c r="G1065" i="14"/>
  <c r="I1065" i="14" s="1"/>
  <c r="K1065" i="14"/>
  <c r="F1066" i="14"/>
  <c r="H1066" i="14" s="1"/>
  <c r="G1066" i="14"/>
  <c r="I1066" i="14" s="1"/>
  <c r="K1066" i="14"/>
  <c r="F1067" i="14"/>
  <c r="H1067" i="14" s="1"/>
  <c r="G1067" i="14"/>
  <c r="I1067" i="14" s="1"/>
  <c r="J1067" i="14" s="1"/>
  <c r="K1067" i="14"/>
  <c r="F1068" i="14"/>
  <c r="H1068" i="14" s="1"/>
  <c r="G1068" i="14"/>
  <c r="I1068" i="14" s="1"/>
  <c r="K1068" i="14"/>
  <c r="F1069" i="14"/>
  <c r="H1069" i="14" s="1"/>
  <c r="G1069" i="14"/>
  <c r="I1069" i="14" s="1"/>
  <c r="K1069" i="14"/>
  <c r="F1070" i="14"/>
  <c r="H1070" i="14" s="1"/>
  <c r="G1070" i="14"/>
  <c r="I1070" i="14" s="1"/>
  <c r="K1070" i="14"/>
  <c r="F1071" i="14"/>
  <c r="H1071" i="14" s="1"/>
  <c r="G1071" i="14"/>
  <c r="I1071" i="14" s="1"/>
  <c r="K1071" i="14"/>
  <c r="F1072" i="14"/>
  <c r="H1072" i="14" s="1"/>
  <c r="G1072" i="14"/>
  <c r="I1072" i="14" s="1"/>
  <c r="K1072" i="14"/>
  <c r="F1073" i="14"/>
  <c r="H1073" i="14" s="1"/>
  <c r="G1073" i="14"/>
  <c r="I1073" i="14" s="1"/>
  <c r="K1073" i="14"/>
  <c r="F1074" i="14"/>
  <c r="H1074" i="14" s="1"/>
  <c r="G1074" i="14"/>
  <c r="I1074" i="14" s="1"/>
  <c r="K1074" i="14"/>
  <c r="F1075" i="14"/>
  <c r="H1075" i="14" s="1"/>
  <c r="G1075" i="14"/>
  <c r="I1075" i="14" s="1"/>
  <c r="K1075" i="14"/>
  <c r="F1076" i="14"/>
  <c r="H1076" i="14" s="1"/>
  <c r="G1076" i="14"/>
  <c r="I1076" i="14" s="1"/>
  <c r="K1076" i="14"/>
  <c r="F1077" i="14"/>
  <c r="H1077" i="14" s="1"/>
  <c r="G1077" i="14"/>
  <c r="I1077" i="14" s="1"/>
  <c r="K1077" i="14"/>
  <c r="F1078" i="14"/>
  <c r="H1078" i="14" s="1"/>
  <c r="G1078" i="14"/>
  <c r="I1078" i="14" s="1"/>
  <c r="K1078" i="14"/>
  <c r="F1079" i="14"/>
  <c r="H1079" i="14" s="1"/>
  <c r="G1079" i="14"/>
  <c r="I1079" i="14" s="1"/>
  <c r="K1079" i="14"/>
  <c r="F1080" i="14"/>
  <c r="H1080" i="14" s="1"/>
  <c r="G1080" i="14"/>
  <c r="I1080" i="14" s="1"/>
  <c r="K1080" i="14"/>
  <c r="F1081" i="14"/>
  <c r="H1081" i="14" s="1"/>
  <c r="G1081" i="14"/>
  <c r="I1081" i="14" s="1"/>
  <c r="K1081" i="14"/>
  <c r="F1082" i="14"/>
  <c r="H1082" i="14" s="1"/>
  <c r="G1082" i="14"/>
  <c r="I1082" i="14" s="1"/>
  <c r="K1082" i="14"/>
  <c r="F1083" i="14"/>
  <c r="H1083" i="14" s="1"/>
  <c r="G1083" i="14"/>
  <c r="I1083" i="14" s="1"/>
  <c r="K1083" i="14"/>
  <c r="F1084" i="14"/>
  <c r="H1084" i="14" s="1"/>
  <c r="G1084" i="14"/>
  <c r="I1084" i="14" s="1"/>
  <c r="K1084" i="14"/>
  <c r="F1085" i="14"/>
  <c r="H1085" i="14" s="1"/>
  <c r="G1085" i="14"/>
  <c r="I1085" i="14" s="1"/>
  <c r="K1085" i="14"/>
  <c r="F1086" i="14"/>
  <c r="H1086" i="14" s="1"/>
  <c r="G1086" i="14"/>
  <c r="I1086" i="14" s="1"/>
  <c r="K1086" i="14"/>
  <c r="F1087" i="14"/>
  <c r="H1087" i="14" s="1"/>
  <c r="G1087" i="14"/>
  <c r="I1087" i="14" s="1"/>
  <c r="K1087" i="14"/>
  <c r="F1088" i="14"/>
  <c r="H1088" i="14" s="1"/>
  <c r="G1088" i="14"/>
  <c r="I1088" i="14" s="1"/>
  <c r="K1088" i="14"/>
  <c r="F1089" i="14"/>
  <c r="H1089" i="14" s="1"/>
  <c r="G1089" i="14"/>
  <c r="I1089" i="14" s="1"/>
  <c r="K1089" i="14"/>
  <c r="F1090" i="14"/>
  <c r="H1090" i="14" s="1"/>
  <c r="G1090" i="14"/>
  <c r="I1090" i="14" s="1"/>
  <c r="K1090" i="14"/>
  <c r="F1091" i="14"/>
  <c r="H1091" i="14" s="1"/>
  <c r="G1091" i="14"/>
  <c r="I1091" i="14" s="1"/>
  <c r="K1091" i="14"/>
  <c r="F1092" i="14"/>
  <c r="H1092" i="14" s="1"/>
  <c r="G1092" i="14"/>
  <c r="I1092" i="14" s="1"/>
  <c r="K1092" i="14"/>
  <c r="F1093" i="14"/>
  <c r="H1093" i="14" s="1"/>
  <c r="G1093" i="14"/>
  <c r="I1093" i="14" s="1"/>
  <c r="K1093" i="14"/>
  <c r="F1094" i="14"/>
  <c r="H1094" i="14" s="1"/>
  <c r="G1094" i="14"/>
  <c r="I1094" i="14" s="1"/>
  <c r="K1094" i="14"/>
  <c r="F1095" i="14"/>
  <c r="H1095" i="14" s="1"/>
  <c r="G1095" i="14"/>
  <c r="I1095" i="14" s="1"/>
  <c r="K1095" i="14"/>
  <c r="F1096" i="14"/>
  <c r="H1096" i="14" s="1"/>
  <c r="G1096" i="14"/>
  <c r="I1096" i="14" s="1"/>
  <c r="K1096" i="14"/>
  <c r="F1097" i="14"/>
  <c r="H1097" i="14" s="1"/>
  <c r="G1097" i="14"/>
  <c r="I1097" i="14" s="1"/>
  <c r="K1097" i="14"/>
  <c r="F1098" i="14"/>
  <c r="H1098" i="14" s="1"/>
  <c r="G1098" i="14"/>
  <c r="I1098" i="14" s="1"/>
  <c r="K1098" i="14"/>
  <c r="F1099" i="14"/>
  <c r="H1099" i="14" s="1"/>
  <c r="G1099" i="14"/>
  <c r="I1099" i="14" s="1"/>
  <c r="K1099" i="14"/>
  <c r="F1100" i="14"/>
  <c r="H1100" i="14" s="1"/>
  <c r="G1100" i="14"/>
  <c r="I1100" i="14" s="1"/>
  <c r="K1100" i="14"/>
  <c r="F1101" i="14"/>
  <c r="H1101" i="14" s="1"/>
  <c r="G1101" i="14"/>
  <c r="I1101" i="14" s="1"/>
  <c r="K1101" i="14"/>
  <c r="F1102" i="14"/>
  <c r="H1102" i="14" s="1"/>
  <c r="G1102" i="14"/>
  <c r="I1102" i="14" s="1"/>
  <c r="K1102" i="14"/>
  <c r="F1103" i="14"/>
  <c r="H1103" i="14" s="1"/>
  <c r="G1103" i="14"/>
  <c r="I1103" i="14" s="1"/>
  <c r="K1103" i="14"/>
  <c r="F1104" i="14"/>
  <c r="H1104" i="14" s="1"/>
  <c r="G1104" i="14"/>
  <c r="I1104" i="14" s="1"/>
  <c r="J1104" i="14" s="1"/>
  <c r="K1104" i="14"/>
  <c r="F1105" i="14"/>
  <c r="H1105" i="14" s="1"/>
  <c r="G1105" i="14"/>
  <c r="I1105" i="14" s="1"/>
  <c r="K1105" i="14"/>
  <c r="F1106" i="14"/>
  <c r="H1106" i="14" s="1"/>
  <c r="G1106" i="14"/>
  <c r="I1106" i="14" s="1"/>
  <c r="J1106" i="14" s="1"/>
  <c r="K1106" i="14"/>
  <c r="F1107" i="14"/>
  <c r="H1107" i="14" s="1"/>
  <c r="G1107" i="14"/>
  <c r="I1107" i="14" s="1"/>
  <c r="K1107" i="14"/>
  <c r="F1108" i="14"/>
  <c r="H1108" i="14" s="1"/>
  <c r="G1108" i="14"/>
  <c r="I1108" i="14" s="1"/>
  <c r="J1108" i="14" s="1"/>
  <c r="K1108" i="14"/>
  <c r="F1109" i="14"/>
  <c r="H1109" i="14" s="1"/>
  <c r="G1109" i="14"/>
  <c r="I1109" i="14" s="1"/>
  <c r="K1109" i="14"/>
  <c r="F1110" i="14"/>
  <c r="H1110" i="14" s="1"/>
  <c r="G1110" i="14"/>
  <c r="I1110" i="14" s="1"/>
  <c r="K1110" i="14"/>
  <c r="F1111" i="14"/>
  <c r="H1111" i="14" s="1"/>
  <c r="G1111" i="14"/>
  <c r="I1111" i="14" s="1"/>
  <c r="K1111" i="14"/>
  <c r="F1112" i="14"/>
  <c r="H1112" i="14" s="1"/>
  <c r="G1112" i="14"/>
  <c r="I1112" i="14" s="1"/>
  <c r="K1112" i="14"/>
  <c r="F1113" i="14"/>
  <c r="H1113" i="14" s="1"/>
  <c r="G1113" i="14"/>
  <c r="I1113" i="14" s="1"/>
  <c r="K1113" i="14"/>
  <c r="F1114" i="14"/>
  <c r="H1114" i="14" s="1"/>
  <c r="G1114" i="14"/>
  <c r="I1114" i="14" s="1"/>
  <c r="K1114" i="14"/>
  <c r="F1115" i="14"/>
  <c r="H1115" i="14" s="1"/>
  <c r="G1115" i="14"/>
  <c r="I1115" i="14" s="1"/>
  <c r="K1115" i="14"/>
  <c r="F1116" i="14"/>
  <c r="H1116" i="14" s="1"/>
  <c r="G1116" i="14"/>
  <c r="I1116" i="14" s="1"/>
  <c r="J1116" i="14" s="1"/>
  <c r="K1116" i="14"/>
  <c r="F1117" i="14"/>
  <c r="H1117" i="14" s="1"/>
  <c r="G1117" i="14"/>
  <c r="I1117" i="14" s="1"/>
  <c r="K1117" i="14"/>
  <c r="F1118" i="14"/>
  <c r="H1118" i="14" s="1"/>
  <c r="G1118" i="14"/>
  <c r="I1118" i="14" s="1"/>
  <c r="K1118" i="14"/>
  <c r="F1119" i="14"/>
  <c r="G1119" i="14"/>
  <c r="I1119" i="14" s="1"/>
  <c r="J1119" i="14" s="1"/>
  <c r="H1119" i="14"/>
  <c r="K1119" i="14"/>
  <c r="F1120" i="14"/>
  <c r="H1120" i="14" s="1"/>
  <c r="G1120" i="14"/>
  <c r="I1120" i="14" s="1"/>
  <c r="J1120" i="14" s="1"/>
  <c r="K1120" i="14"/>
  <c r="F1121" i="14"/>
  <c r="G1121" i="14"/>
  <c r="I1121" i="14" s="1"/>
  <c r="H1121" i="14"/>
  <c r="K1121" i="14"/>
  <c r="F1122" i="14"/>
  <c r="H1122" i="14" s="1"/>
  <c r="G1122" i="14"/>
  <c r="I1122" i="14" s="1"/>
  <c r="K1122" i="14"/>
  <c r="F1123" i="14"/>
  <c r="H1123" i="14" s="1"/>
  <c r="G1123" i="14"/>
  <c r="I1123" i="14"/>
  <c r="K1123" i="14"/>
  <c r="F1124" i="14"/>
  <c r="H1124" i="14" s="1"/>
  <c r="G1124" i="14"/>
  <c r="I1124" i="14" s="1"/>
  <c r="K1124" i="14"/>
  <c r="F1125" i="14"/>
  <c r="H1125" i="14" s="1"/>
  <c r="G1125" i="14"/>
  <c r="I1125" i="14" s="1"/>
  <c r="K1125" i="14"/>
  <c r="F1126" i="14"/>
  <c r="H1126" i="14" s="1"/>
  <c r="G1126" i="14"/>
  <c r="I1126" i="14" s="1"/>
  <c r="K1126" i="14"/>
  <c r="F1127" i="14"/>
  <c r="H1127" i="14" s="1"/>
  <c r="G1127" i="14"/>
  <c r="I1127" i="14" s="1"/>
  <c r="K1127" i="14"/>
  <c r="F1128" i="14"/>
  <c r="H1128" i="14" s="1"/>
  <c r="G1128" i="14"/>
  <c r="I1128" i="14" s="1"/>
  <c r="K1128" i="14"/>
  <c r="F1129" i="14"/>
  <c r="H1129" i="14" s="1"/>
  <c r="G1129" i="14"/>
  <c r="I1129" i="14" s="1"/>
  <c r="K1129" i="14"/>
  <c r="F1130" i="14"/>
  <c r="H1130" i="14" s="1"/>
  <c r="G1130" i="14"/>
  <c r="I1130" i="14" s="1"/>
  <c r="K1130" i="14"/>
  <c r="F1131" i="14"/>
  <c r="H1131" i="14" s="1"/>
  <c r="G1131" i="14"/>
  <c r="I1131" i="14" s="1"/>
  <c r="K1131" i="14"/>
  <c r="F1132" i="14"/>
  <c r="H1132" i="14" s="1"/>
  <c r="G1132" i="14"/>
  <c r="I1132" i="14" s="1"/>
  <c r="K1132" i="14"/>
  <c r="F1133" i="14"/>
  <c r="H1133" i="14" s="1"/>
  <c r="G1133" i="14"/>
  <c r="I1133" i="14" s="1"/>
  <c r="K1133" i="14"/>
  <c r="F1134" i="14"/>
  <c r="H1134" i="14" s="1"/>
  <c r="G1134" i="14"/>
  <c r="I1134" i="14" s="1"/>
  <c r="J1134" i="14" s="1"/>
  <c r="K1134" i="14"/>
  <c r="F1135" i="14"/>
  <c r="H1135" i="14" s="1"/>
  <c r="G1135" i="14"/>
  <c r="I1135" i="14" s="1"/>
  <c r="K1135" i="14"/>
  <c r="F1136" i="14"/>
  <c r="H1136" i="14" s="1"/>
  <c r="G1136" i="14"/>
  <c r="I1136" i="14" s="1"/>
  <c r="K1136" i="14"/>
  <c r="F1137" i="14"/>
  <c r="H1137" i="14" s="1"/>
  <c r="G1137" i="14"/>
  <c r="I1137" i="14" s="1"/>
  <c r="K1137" i="14"/>
  <c r="F1138" i="14"/>
  <c r="H1138" i="14" s="1"/>
  <c r="G1138" i="14"/>
  <c r="I1138" i="14" s="1"/>
  <c r="K1138" i="14"/>
  <c r="F1139" i="14"/>
  <c r="H1139" i="14" s="1"/>
  <c r="G1139" i="14"/>
  <c r="I1139" i="14" s="1"/>
  <c r="K1139" i="14"/>
  <c r="F1140" i="14"/>
  <c r="H1140" i="14" s="1"/>
  <c r="G1140" i="14"/>
  <c r="I1140" i="14" s="1"/>
  <c r="K1140" i="14"/>
  <c r="F1141" i="14"/>
  <c r="H1141" i="14" s="1"/>
  <c r="G1141" i="14"/>
  <c r="I1141" i="14" s="1"/>
  <c r="K1141" i="14"/>
  <c r="F1142" i="14"/>
  <c r="H1142" i="14" s="1"/>
  <c r="G1142" i="14"/>
  <c r="I1142" i="14" s="1"/>
  <c r="K1142" i="14"/>
  <c r="F1143" i="14"/>
  <c r="H1143" i="14" s="1"/>
  <c r="G1143" i="14"/>
  <c r="I1143" i="14" s="1"/>
  <c r="K1143" i="14"/>
  <c r="F1144" i="14"/>
  <c r="H1144" i="14" s="1"/>
  <c r="G1144" i="14"/>
  <c r="I1144" i="14" s="1"/>
  <c r="J1144" i="14" s="1"/>
  <c r="K1144" i="14"/>
  <c r="F1145" i="14"/>
  <c r="H1145" i="14" s="1"/>
  <c r="G1145" i="14"/>
  <c r="I1145" i="14" s="1"/>
  <c r="K1145" i="14"/>
  <c r="F1146" i="14"/>
  <c r="H1146" i="14" s="1"/>
  <c r="G1146" i="14"/>
  <c r="I1146" i="14" s="1"/>
  <c r="K1146" i="14"/>
  <c r="F1147" i="14"/>
  <c r="H1147" i="14" s="1"/>
  <c r="G1147" i="14"/>
  <c r="I1147" i="14" s="1"/>
  <c r="K1147" i="14"/>
  <c r="F1148" i="14"/>
  <c r="H1148" i="14" s="1"/>
  <c r="G1148" i="14"/>
  <c r="I1148" i="14" s="1"/>
  <c r="K1148" i="14"/>
  <c r="F1149" i="14"/>
  <c r="H1149" i="14" s="1"/>
  <c r="G1149" i="14"/>
  <c r="I1149" i="14" s="1"/>
  <c r="K1149" i="14"/>
  <c r="F1150" i="14"/>
  <c r="H1150" i="14" s="1"/>
  <c r="G1150" i="14"/>
  <c r="I1150" i="14" s="1"/>
  <c r="K1150" i="14"/>
  <c r="F1151" i="14"/>
  <c r="H1151" i="14" s="1"/>
  <c r="G1151" i="14"/>
  <c r="I1151" i="14" s="1"/>
  <c r="K1151" i="14"/>
  <c r="F1152" i="14"/>
  <c r="H1152" i="14" s="1"/>
  <c r="G1152" i="14"/>
  <c r="I1152" i="14" s="1"/>
  <c r="J1152" i="14" s="1"/>
  <c r="K1152" i="14"/>
  <c r="F1153" i="14"/>
  <c r="H1153" i="14" s="1"/>
  <c r="G1153" i="14"/>
  <c r="I1153" i="14" s="1"/>
  <c r="K1153" i="14"/>
  <c r="F1154" i="14"/>
  <c r="H1154" i="14" s="1"/>
  <c r="G1154" i="14"/>
  <c r="I1154" i="14" s="1"/>
  <c r="K1154" i="14"/>
  <c r="F1155" i="14"/>
  <c r="H1155" i="14" s="1"/>
  <c r="G1155" i="14"/>
  <c r="I1155" i="14" s="1"/>
  <c r="K1155" i="14"/>
  <c r="F1156" i="14"/>
  <c r="H1156" i="14" s="1"/>
  <c r="G1156" i="14"/>
  <c r="I1156" i="14" s="1"/>
  <c r="K1156" i="14"/>
  <c r="F1157" i="14"/>
  <c r="G1157" i="14"/>
  <c r="I1157" i="14" s="1"/>
  <c r="H1157" i="14"/>
  <c r="K1157" i="14"/>
  <c r="F1158" i="14"/>
  <c r="H1158" i="14" s="1"/>
  <c r="G1158" i="14"/>
  <c r="I1158" i="14" s="1"/>
  <c r="J1158" i="14" s="1"/>
  <c r="K1158" i="14"/>
  <c r="F1159" i="14"/>
  <c r="H1159" i="14" s="1"/>
  <c r="G1159" i="14"/>
  <c r="I1159" i="14"/>
  <c r="K1159" i="14"/>
  <c r="F1160" i="14"/>
  <c r="H1160" i="14" s="1"/>
  <c r="G1160" i="14"/>
  <c r="I1160" i="14" s="1"/>
  <c r="J1160" i="14" s="1"/>
  <c r="K1160" i="14"/>
  <c r="F1161" i="14"/>
  <c r="H1161" i="14" s="1"/>
  <c r="G1161" i="14"/>
  <c r="I1161" i="14" s="1"/>
  <c r="K1161" i="14"/>
  <c r="F1162" i="14"/>
  <c r="H1162" i="14" s="1"/>
  <c r="G1162" i="14"/>
  <c r="I1162" i="14" s="1"/>
  <c r="K1162" i="14"/>
  <c r="F1163" i="14"/>
  <c r="H1163" i="14" s="1"/>
  <c r="G1163" i="14"/>
  <c r="I1163" i="14" s="1"/>
  <c r="K1163" i="14"/>
  <c r="F1164" i="14"/>
  <c r="H1164" i="14" s="1"/>
  <c r="G1164" i="14"/>
  <c r="I1164" i="14" s="1"/>
  <c r="K1164" i="14"/>
  <c r="F1165" i="14"/>
  <c r="H1165" i="14" s="1"/>
  <c r="G1165" i="14"/>
  <c r="I1165" i="14" s="1"/>
  <c r="K1165" i="14"/>
  <c r="F1166" i="14"/>
  <c r="H1166" i="14" s="1"/>
  <c r="G1166" i="14"/>
  <c r="I1166" i="14" s="1"/>
  <c r="K1166" i="14"/>
  <c r="F1167" i="14"/>
  <c r="H1167" i="14" s="1"/>
  <c r="G1167" i="14"/>
  <c r="I1167" i="14" s="1"/>
  <c r="K1167" i="14"/>
  <c r="F1168" i="14"/>
  <c r="H1168" i="14" s="1"/>
  <c r="G1168" i="14"/>
  <c r="I1168" i="14" s="1"/>
  <c r="K1168" i="14"/>
  <c r="F1169" i="14"/>
  <c r="H1169" i="14" s="1"/>
  <c r="G1169" i="14"/>
  <c r="I1169" i="14" s="1"/>
  <c r="K1169" i="14"/>
  <c r="F1170" i="14"/>
  <c r="H1170" i="14" s="1"/>
  <c r="G1170" i="14"/>
  <c r="I1170" i="14" s="1"/>
  <c r="K1170" i="14"/>
  <c r="F1171" i="14"/>
  <c r="H1171" i="14" s="1"/>
  <c r="G1171" i="14"/>
  <c r="I1171" i="14" s="1"/>
  <c r="K1171" i="14"/>
  <c r="F1172" i="14"/>
  <c r="H1172" i="14" s="1"/>
  <c r="G1172" i="14"/>
  <c r="I1172" i="14" s="1"/>
  <c r="K1172" i="14"/>
  <c r="F1173" i="14"/>
  <c r="H1173" i="14" s="1"/>
  <c r="G1173" i="14"/>
  <c r="I1173" i="14" s="1"/>
  <c r="K1173" i="14"/>
  <c r="F1174" i="14"/>
  <c r="H1174" i="14" s="1"/>
  <c r="G1174" i="14"/>
  <c r="I1174" i="14" s="1"/>
  <c r="J1174" i="14" s="1"/>
  <c r="K1174" i="14"/>
  <c r="F1175" i="14"/>
  <c r="H1175" i="14" s="1"/>
  <c r="G1175" i="14"/>
  <c r="I1175" i="14" s="1"/>
  <c r="K1175" i="14"/>
  <c r="F1176" i="14"/>
  <c r="H1176" i="14" s="1"/>
  <c r="G1176" i="14"/>
  <c r="I1176" i="14" s="1"/>
  <c r="K1176" i="14"/>
  <c r="F1177" i="14"/>
  <c r="H1177" i="14" s="1"/>
  <c r="G1177" i="14"/>
  <c r="I1177" i="14" s="1"/>
  <c r="K1177" i="14"/>
  <c r="F1178" i="14"/>
  <c r="H1178" i="14" s="1"/>
  <c r="G1178" i="14"/>
  <c r="I1178" i="14" s="1"/>
  <c r="K1178" i="14"/>
  <c r="F1179" i="14"/>
  <c r="H1179" i="14" s="1"/>
  <c r="G1179" i="14"/>
  <c r="I1179" i="14" s="1"/>
  <c r="J1179" i="14" s="1"/>
  <c r="K1179" i="14"/>
  <c r="F1180" i="14"/>
  <c r="H1180" i="14" s="1"/>
  <c r="G1180" i="14"/>
  <c r="I1180" i="14" s="1"/>
  <c r="K1180" i="14"/>
  <c r="F1181" i="14"/>
  <c r="H1181" i="14" s="1"/>
  <c r="G1181" i="14"/>
  <c r="I1181" i="14" s="1"/>
  <c r="K1181" i="14"/>
  <c r="F1182" i="14"/>
  <c r="H1182" i="14" s="1"/>
  <c r="G1182" i="14"/>
  <c r="I1182" i="14" s="1"/>
  <c r="K1182" i="14"/>
  <c r="F1183" i="14"/>
  <c r="H1183" i="14" s="1"/>
  <c r="G1183" i="14"/>
  <c r="I1183" i="14" s="1"/>
  <c r="K1183" i="14"/>
  <c r="F1184" i="14"/>
  <c r="H1184" i="14" s="1"/>
  <c r="G1184" i="14"/>
  <c r="I1184" i="14" s="1"/>
  <c r="J1184" i="14" s="1"/>
  <c r="K1184" i="14"/>
  <c r="F1185" i="14"/>
  <c r="H1185" i="14" s="1"/>
  <c r="G1185" i="14"/>
  <c r="I1185" i="14" s="1"/>
  <c r="K1185" i="14"/>
  <c r="F1186" i="14"/>
  <c r="H1186" i="14" s="1"/>
  <c r="G1186" i="14"/>
  <c r="I1186" i="14" s="1"/>
  <c r="K1186" i="14"/>
  <c r="F1187" i="14"/>
  <c r="H1187" i="14" s="1"/>
  <c r="G1187" i="14"/>
  <c r="I1187" i="14" s="1"/>
  <c r="K1187" i="14"/>
  <c r="F1188" i="14"/>
  <c r="H1188" i="14" s="1"/>
  <c r="G1188" i="14"/>
  <c r="I1188" i="14" s="1"/>
  <c r="K1188" i="14"/>
  <c r="F1189" i="14"/>
  <c r="G1189" i="14"/>
  <c r="I1189" i="14" s="1"/>
  <c r="H1189" i="14"/>
  <c r="K1189" i="14"/>
  <c r="F1190" i="14"/>
  <c r="H1190" i="14" s="1"/>
  <c r="G1190" i="14"/>
  <c r="I1190" i="14" s="1"/>
  <c r="J1190" i="14" s="1"/>
  <c r="K1190" i="14"/>
  <c r="F1191" i="14"/>
  <c r="H1191" i="14" s="1"/>
  <c r="G1191" i="14"/>
  <c r="I1191" i="14"/>
  <c r="K1191" i="14"/>
  <c r="F1192" i="14"/>
  <c r="H1192" i="14" s="1"/>
  <c r="G1192" i="14"/>
  <c r="I1192" i="14" s="1"/>
  <c r="J1192" i="14" s="1"/>
  <c r="K1192" i="14"/>
  <c r="F1193" i="14"/>
  <c r="H1193" i="14" s="1"/>
  <c r="G1193" i="14"/>
  <c r="I1193" i="14" s="1"/>
  <c r="K1193" i="14"/>
  <c r="F1194" i="14"/>
  <c r="H1194" i="14" s="1"/>
  <c r="G1194" i="14"/>
  <c r="I1194" i="14" s="1"/>
  <c r="K1194" i="14"/>
  <c r="F1195" i="14"/>
  <c r="H1195" i="14" s="1"/>
  <c r="G1195" i="14"/>
  <c r="I1195" i="14" s="1"/>
  <c r="K1195" i="14"/>
  <c r="F1196" i="14"/>
  <c r="H1196" i="14" s="1"/>
  <c r="G1196" i="14"/>
  <c r="I1196" i="14" s="1"/>
  <c r="K1196" i="14"/>
  <c r="F1197" i="14"/>
  <c r="H1197" i="14" s="1"/>
  <c r="G1197" i="14"/>
  <c r="I1197" i="14" s="1"/>
  <c r="K1197" i="14"/>
  <c r="F1198" i="14"/>
  <c r="H1198" i="14" s="1"/>
  <c r="G1198" i="14"/>
  <c r="I1198" i="14" s="1"/>
  <c r="K1198" i="14"/>
  <c r="F1199" i="14"/>
  <c r="H1199" i="14" s="1"/>
  <c r="G1199" i="14"/>
  <c r="I1199" i="14" s="1"/>
  <c r="K1199" i="14"/>
  <c r="F1200" i="14"/>
  <c r="H1200" i="14" s="1"/>
  <c r="G1200" i="14"/>
  <c r="I1200" i="14" s="1"/>
  <c r="K1200" i="14"/>
  <c r="F1201" i="14"/>
  <c r="G1201" i="14"/>
  <c r="I1201" i="14" s="1"/>
  <c r="J1201" i="14" s="1"/>
  <c r="H1201" i="14"/>
  <c r="K1201" i="14"/>
  <c r="F1202" i="14"/>
  <c r="H1202" i="14" s="1"/>
  <c r="G1202" i="14"/>
  <c r="I1202" i="14" s="1"/>
  <c r="J1202" i="14" s="1"/>
  <c r="K1202" i="14"/>
  <c r="F1203" i="14"/>
  <c r="H1203" i="14" s="1"/>
  <c r="G1203" i="14"/>
  <c r="I1203" i="14"/>
  <c r="K1203" i="14"/>
  <c r="F1204" i="14"/>
  <c r="H1204" i="14" s="1"/>
  <c r="G1204" i="14"/>
  <c r="I1204" i="14" s="1"/>
  <c r="K1204" i="14"/>
  <c r="F1205" i="14"/>
  <c r="H1205" i="14" s="1"/>
  <c r="G1205" i="14"/>
  <c r="I1205" i="14" s="1"/>
  <c r="K1205" i="14"/>
  <c r="F1206" i="14"/>
  <c r="H1206" i="14" s="1"/>
  <c r="G1206" i="14"/>
  <c r="I1206" i="14" s="1"/>
  <c r="K1206" i="14"/>
  <c r="F1207" i="14"/>
  <c r="H1207" i="14" s="1"/>
  <c r="G1207" i="14"/>
  <c r="I1207" i="14" s="1"/>
  <c r="K1207" i="14"/>
  <c r="F1208" i="14"/>
  <c r="H1208" i="14" s="1"/>
  <c r="G1208" i="14"/>
  <c r="I1208" i="14" s="1"/>
  <c r="K1208" i="14"/>
  <c r="F1209" i="14"/>
  <c r="H1209" i="14" s="1"/>
  <c r="G1209" i="14"/>
  <c r="I1209" i="14" s="1"/>
  <c r="K1209" i="14"/>
  <c r="F1210" i="14"/>
  <c r="H1210" i="14" s="1"/>
  <c r="G1210" i="14"/>
  <c r="I1210" i="14" s="1"/>
  <c r="K1210" i="14"/>
  <c r="F1211" i="14"/>
  <c r="G1211" i="14"/>
  <c r="I1211" i="14" s="1"/>
  <c r="H1211" i="14"/>
  <c r="K1211" i="14"/>
  <c r="F1212" i="14"/>
  <c r="H1212" i="14" s="1"/>
  <c r="G1212" i="14"/>
  <c r="I1212" i="14" s="1"/>
  <c r="K1212" i="14"/>
  <c r="F1213" i="14"/>
  <c r="G1213" i="14"/>
  <c r="I1213" i="14" s="1"/>
  <c r="H1213" i="14"/>
  <c r="K1213" i="14"/>
  <c r="F1214" i="14"/>
  <c r="H1214" i="14" s="1"/>
  <c r="G1214" i="14"/>
  <c r="I1214" i="14" s="1"/>
  <c r="K1214" i="14"/>
  <c r="F1215" i="14"/>
  <c r="H1215" i="14" s="1"/>
  <c r="G1215" i="14"/>
  <c r="I1215" i="14" s="1"/>
  <c r="K1215" i="14"/>
  <c r="F1216" i="14"/>
  <c r="H1216" i="14" s="1"/>
  <c r="G1216" i="14"/>
  <c r="I1216" i="14" s="1"/>
  <c r="K1216" i="14"/>
  <c r="F1217" i="14"/>
  <c r="H1217" i="14" s="1"/>
  <c r="G1217" i="14"/>
  <c r="I1217" i="14" s="1"/>
  <c r="K1217" i="14"/>
  <c r="F1218" i="14"/>
  <c r="H1218" i="14" s="1"/>
  <c r="G1218" i="14"/>
  <c r="I1218" i="14" s="1"/>
  <c r="K1218" i="14"/>
  <c r="F1219" i="14"/>
  <c r="H1219" i="14" s="1"/>
  <c r="G1219" i="14"/>
  <c r="I1219" i="14" s="1"/>
  <c r="K1219" i="14"/>
  <c r="F1220" i="14"/>
  <c r="H1220" i="14" s="1"/>
  <c r="G1220" i="14"/>
  <c r="I1220" i="14" s="1"/>
  <c r="K1220" i="14"/>
  <c r="F1221" i="14"/>
  <c r="H1221" i="14" s="1"/>
  <c r="G1221" i="14"/>
  <c r="I1221" i="14" s="1"/>
  <c r="K1221" i="14"/>
  <c r="F1222" i="14"/>
  <c r="H1222" i="14" s="1"/>
  <c r="G1222" i="14"/>
  <c r="I1222" i="14" s="1"/>
  <c r="K1222" i="14"/>
  <c r="F1223" i="14"/>
  <c r="G1223" i="14"/>
  <c r="I1223" i="14" s="1"/>
  <c r="H1223" i="14"/>
  <c r="K1223" i="14"/>
  <c r="F1224" i="14"/>
  <c r="H1224" i="14" s="1"/>
  <c r="G1224" i="14"/>
  <c r="I1224" i="14" s="1"/>
  <c r="K1224" i="14"/>
  <c r="F1225" i="14"/>
  <c r="G1225" i="14"/>
  <c r="I1225" i="14" s="1"/>
  <c r="H1225" i="14"/>
  <c r="K1225" i="14"/>
  <c r="F1226" i="14"/>
  <c r="H1226" i="14" s="1"/>
  <c r="G1226" i="14"/>
  <c r="I1226" i="14" s="1"/>
  <c r="K1226" i="14"/>
  <c r="F1227" i="14"/>
  <c r="H1227" i="14" s="1"/>
  <c r="G1227" i="14"/>
  <c r="I1227" i="14"/>
  <c r="K1227" i="14"/>
  <c r="F1228" i="14"/>
  <c r="H1228" i="14" s="1"/>
  <c r="G1228" i="14"/>
  <c r="I1228" i="14" s="1"/>
  <c r="K1228" i="14"/>
  <c r="F1229" i="14"/>
  <c r="H1229" i="14" s="1"/>
  <c r="G1229" i="14"/>
  <c r="I1229" i="14" s="1"/>
  <c r="K1229" i="14"/>
  <c r="F1230" i="14"/>
  <c r="H1230" i="14" s="1"/>
  <c r="G1230" i="14"/>
  <c r="I1230" i="14" s="1"/>
  <c r="K1230" i="14"/>
  <c r="F1231" i="14"/>
  <c r="H1231" i="14" s="1"/>
  <c r="G1231" i="14"/>
  <c r="I1231" i="14" s="1"/>
  <c r="K1231" i="14"/>
  <c r="F1232" i="14"/>
  <c r="H1232" i="14" s="1"/>
  <c r="G1232" i="14"/>
  <c r="I1232" i="14" s="1"/>
  <c r="K1232" i="14"/>
  <c r="F1233" i="14"/>
  <c r="H1233" i="14" s="1"/>
  <c r="G1233" i="14"/>
  <c r="I1233" i="14" s="1"/>
  <c r="K1233" i="14"/>
  <c r="F1234" i="14"/>
  <c r="H1234" i="14" s="1"/>
  <c r="G1234" i="14"/>
  <c r="I1234" i="14" s="1"/>
  <c r="K1234" i="14"/>
  <c r="F1235" i="14"/>
  <c r="H1235" i="14" s="1"/>
  <c r="G1235" i="14"/>
  <c r="I1235" i="14" s="1"/>
  <c r="K1235" i="14"/>
  <c r="F1236" i="14"/>
  <c r="H1236" i="14" s="1"/>
  <c r="G1236" i="14"/>
  <c r="I1236" i="14" s="1"/>
  <c r="K1236" i="14"/>
  <c r="F1237" i="14"/>
  <c r="H1237" i="14" s="1"/>
  <c r="G1237" i="14"/>
  <c r="I1237" i="14" s="1"/>
  <c r="K1237" i="14"/>
  <c r="F1238" i="14"/>
  <c r="H1238" i="14" s="1"/>
  <c r="G1238" i="14"/>
  <c r="I1238" i="14" s="1"/>
  <c r="K1238" i="14"/>
  <c r="F1239" i="14"/>
  <c r="H1239" i="14" s="1"/>
  <c r="G1239" i="14"/>
  <c r="I1239" i="14" s="1"/>
  <c r="K1239" i="14"/>
  <c r="F1240" i="14"/>
  <c r="H1240" i="14" s="1"/>
  <c r="G1240" i="14"/>
  <c r="I1240" i="14" s="1"/>
  <c r="K1240" i="14"/>
  <c r="F1241" i="14"/>
  <c r="H1241" i="14" s="1"/>
  <c r="G1241" i="14"/>
  <c r="I1241" i="14" s="1"/>
  <c r="K1241" i="14"/>
  <c r="F1242" i="14"/>
  <c r="H1242" i="14" s="1"/>
  <c r="G1242" i="14"/>
  <c r="I1242" i="14" s="1"/>
  <c r="K1242" i="14"/>
  <c r="F1243" i="14"/>
  <c r="G1243" i="14"/>
  <c r="I1243" i="14" s="1"/>
  <c r="H1243" i="14"/>
  <c r="K1243" i="14"/>
  <c r="F1244" i="14"/>
  <c r="H1244" i="14" s="1"/>
  <c r="G1244" i="14"/>
  <c r="I1244" i="14" s="1"/>
  <c r="K1244" i="14"/>
  <c r="F1245" i="14"/>
  <c r="H1245" i="14" s="1"/>
  <c r="G1245" i="14"/>
  <c r="I1245" i="14" s="1"/>
  <c r="K1245" i="14"/>
  <c r="F1246" i="14"/>
  <c r="H1246" i="14" s="1"/>
  <c r="G1246" i="14"/>
  <c r="I1246" i="14" s="1"/>
  <c r="K1246" i="14"/>
  <c r="F1247" i="14"/>
  <c r="H1247" i="14" s="1"/>
  <c r="G1247" i="14"/>
  <c r="I1247" i="14" s="1"/>
  <c r="K1247" i="14"/>
  <c r="F1248" i="14"/>
  <c r="G1248" i="14"/>
  <c r="I1248" i="14" s="1"/>
  <c r="J1248" i="14" s="1"/>
  <c r="H1248" i="14"/>
  <c r="K1248" i="14"/>
  <c r="F1249" i="14"/>
  <c r="H1249" i="14" s="1"/>
  <c r="G1249" i="14"/>
  <c r="I1249" i="14" s="1"/>
  <c r="K1249" i="14"/>
  <c r="F1250" i="14"/>
  <c r="G1250" i="14"/>
  <c r="I1250" i="14" s="1"/>
  <c r="H1250" i="14"/>
  <c r="K1250" i="14"/>
  <c r="F1251" i="14"/>
  <c r="H1251" i="14" s="1"/>
  <c r="G1251" i="14"/>
  <c r="I1251" i="14" s="1"/>
  <c r="K1251" i="14"/>
  <c r="F1252" i="14"/>
  <c r="H1252" i="14" s="1"/>
  <c r="G1252" i="14"/>
  <c r="I1252" i="14" s="1"/>
  <c r="K1252" i="14"/>
  <c r="F1253" i="14"/>
  <c r="H1253" i="14" s="1"/>
  <c r="G1253" i="14"/>
  <c r="I1253" i="14" s="1"/>
  <c r="K1253" i="14"/>
  <c r="F1254" i="14"/>
  <c r="H1254" i="14" s="1"/>
  <c r="G1254" i="14"/>
  <c r="I1254" i="14" s="1"/>
  <c r="K1254" i="14"/>
  <c r="F1255" i="14"/>
  <c r="H1255" i="14" s="1"/>
  <c r="G1255" i="14"/>
  <c r="I1255" i="14" s="1"/>
  <c r="K1255" i="14"/>
  <c r="F1256" i="14"/>
  <c r="H1256" i="14" s="1"/>
  <c r="G1256" i="14"/>
  <c r="I1256" i="14" s="1"/>
  <c r="K1256" i="14"/>
  <c r="F1257" i="14"/>
  <c r="H1257" i="14" s="1"/>
  <c r="G1257" i="14"/>
  <c r="I1257" i="14" s="1"/>
  <c r="K1257" i="14"/>
  <c r="F1258" i="14"/>
  <c r="H1258" i="14" s="1"/>
  <c r="G1258" i="14"/>
  <c r="I1258" i="14" s="1"/>
  <c r="K1258" i="14"/>
  <c r="F1259" i="14"/>
  <c r="H1259" i="14" s="1"/>
  <c r="G1259" i="14"/>
  <c r="I1259" i="14" s="1"/>
  <c r="K1259" i="14"/>
  <c r="F1260" i="14"/>
  <c r="H1260" i="14" s="1"/>
  <c r="G1260" i="14"/>
  <c r="I1260" i="14" s="1"/>
  <c r="K1260" i="14"/>
  <c r="F1261" i="14"/>
  <c r="H1261" i="14" s="1"/>
  <c r="G1261" i="14"/>
  <c r="I1261" i="14" s="1"/>
  <c r="K1261" i="14"/>
  <c r="F1262" i="14"/>
  <c r="H1262" i="14" s="1"/>
  <c r="G1262" i="14"/>
  <c r="I1262" i="14" s="1"/>
  <c r="K1262" i="14"/>
  <c r="F1263" i="14"/>
  <c r="H1263" i="14" s="1"/>
  <c r="G1263" i="14"/>
  <c r="I1263" i="14" s="1"/>
  <c r="K1263" i="14"/>
  <c r="F1264" i="14"/>
  <c r="G1264" i="14"/>
  <c r="I1264" i="14" s="1"/>
  <c r="J1264" i="14" s="1"/>
  <c r="H1264" i="14"/>
  <c r="K1264" i="14"/>
  <c r="F1265" i="14"/>
  <c r="H1265" i="14" s="1"/>
  <c r="G1265" i="14"/>
  <c r="I1265" i="14" s="1"/>
  <c r="K1265" i="14"/>
  <c r="F1266" i="14"/>
  <c r="G1266" i="14"/>
  <c r="I1266" i="14" s="1"/>
  <c r="H1266" i="14"/>
  <c r="K1266" i="14"/>
  <c r="F1267" i="14"/>
  <c r="H1267" i="14" s="1"/>
  <c r="G1267" i="14"/>
  <c r="I1267" i="14" s="1"/>
  <c r="K1267" i="14"/>
  <c r="F1268" i="14"/>
  <c r="H1268" i="14" s="1"/>
  <c r="G1268" i="14"/>
  <c r="I1268" i="14" s="1"/>
  <c r="K1268" i="14"/>
  <c r="F1269" i="14"/>
  <c r="H1269" i="14" s="1"/>
  <c r="G1269" i="14"/>
  <c r="I1269" i="14" s="1"/>
  <c r="K1269" i="14"/>
  <c r="F1270" i="14"/>
  <c r="H1270" i="14" s="1"/>
  <c r="G1270" i="14"/>
  <c r="I1270" i="14" s="1"/>
  <c r="K1270" i="14"/>
  <c r="F1271" i="14"/>
  <c r="H1271" i="14" s="1"/>
  <c r="G1271" i="14"/>
  <c r="I1271" i="14" s="1"/>
  <c r="K1271" i="14"/>
  <c r="F1272" i="14"/>
  <c r="H1272" i="14" s="1"/>
  <c r="G1272" i="14"/>
  <c r="I1272" i="14" s="1"/>
  <c r="K1272" i="14"/>
  <c r="F1273" i="14"/>
  <c r="H1273" i="14" s="1"/>
  <c r="G1273" i="14"/>
  <c r="I1273" i="14" s="1"/>
  <c r="K1273" i="14"/>
  <c r="F1274" i="14"/>
  <c r="H1274" i="14" s="1"/>
  <c r="G1274" i="14"/>
  <c r="I1274" i="14" s="1"/>
  <c r="K1274" i="14"/>
  <c r="F1275" i="14"/>
  <c r="H1275" i="14" s="1"/>
  <c r="G1275" i="14"/>
  <c r="I1275" i="14" s="1"/>
  <c r="K1275" i="14"/>
  <c r="F1276" i="14"/>
  <c r="H1276" i="14" s="1"/>
  <c r="G1276" i="14"/>
  <c r="I1276" i="14" s="1"/>
  <c r="K1276" i="14"/>
  <c r="F1277" i="14"/>
  <c r="H1277" i="14" s="1"/>
  <c r="G1277" i="14"/>
  <c r="I1277" i="14" s="1"/>
  <c r="K1277" i="14"/>
  <c r="F1278" i="14"/>
  <c r="H1278" i="14" s="1"/>
  <c r="G1278" i="14"/>
  <c r="I1278" i="14" s="1"/>
  <c r="K1278" i="14"/>
  <c r="F1279" i="14"/>
  <c r="H1279" i="14" s="1"/>
  <c r="G1279" i="14"/>
  <c r="I1279" i="14" s="1"/>
  <c r="K1279" i="14"/>
  <c r="F1280" i="14"/>
  <c r="G1280" i="14"/>
  <c r="I1280" i="14" s="1"/>
  <c r="J1280" i="14" s="1"/>
  <c r="H1280" i="14"/>
  <c r="K1280" i="14"/>
  <c r="F1281" i="14"/>
  <c r="H1281" i="14" s="1"/>
  <c r="G1281" i="14"/>
  <c r="I1281" i="14" s="1"/>
  <c r="K1281" i="14"/>
  <c r="F1282" i="14"/>
  <c r="G1282" i="14"/>
  <c r="I1282" i="14" s="1"/>
  <c r="H1282" i="14"/>
  <c r="K1282" i="14"/>
  <c r="F1283" i="14"/>
  <c r="H1283" i="14" s="1"/>
  <c r="G1283" i="14"/>
  <c r="I1283" i="14" s="1"/>
  <c r="K1283" i="14"/>
  <c r="F1284" i="14"/>
  <c r="H1284" i="14" s="1"/>
  <c r="G1284" i="14"/>
  <c r="I1284" i="14" s="1"/>
  <c r="K1284" i="14"/>
  <c r="F1285" i="14"/>
  <c r="H1285" i="14" s="1"/>
  <c r="G1285" i="14"/>
  <c r="I1285" i="14" s="1"/>
  <c r="K1285" i="14"/>
  <c r="F1286" i="14"/>
  <c r="H1286" i="14" s="1"/>
  <c r="G1286" i="14"/>
  <c r="I1286" i="14" s="1"/>
  <c r="K1286" i="14"/>
  <c r="F1287" i="14"/>
  <c r="H1287" i="14" s="1"/>
  <c r="G1287" i="14"/>
  <c r="I1287" i="14" s="1"/>
  <c r="K1287" i="14"/>
  <c r="F1288" i="14"/>
  <c r="H1288" i="14" s="1"/>
  <c r="G1288" i="14"/>
  <c r="I1288" i="14" s="1"/>
  <c r="K1288" i="14"/>
  <c r="F1289" i="14"/>
  <c r="H1289" i="14" s="1"/>
  <c r="G1289" i="14"/>
  <c r="I1289" i="14" s="1"/>
  <c r="K1289" i="14"/>
  <c r="F1290" i="14"/>
  <c r="H1290" i="14" s="1"/>
  <c r="G1290" i="14"/>
  <c r="I1290" i="14" s="1"/>
  <c r="K1290" i="14"/>
  <c r="F1291" i="14"/>
  <c r="H1291" i="14" s="1"/>
  <c r="G1291" i="14"/>
  <c r="I1291" i="14" s="1"/>
  <c r="K1291" i="14"/>
  <c r="F1292" i="14"/>
  <c r="H1292" i="14" s="1"/>
  <c r="G1292" i="14"/>
  <c r="I1292" i="14" s="1"/>
  <c r="K1292" i="14"/>
  <c r="F1293" i="14"/>
  <c r="H1293" i="14" s="1"/>
  <c r="G1293" i="14"/>
  <c r="I1293" i="14" s="1"/>
  <c r="K1293" i="14"/>
  <c r="F1294" i="14"/>
  <c r="H1294" i="14" s="1"/>
  <c r="G1294" i="14"/>
  <c r="I1294" i="14" s="1"/>
  <c r="K1294" i="14"/>
  <c r="F1295" i="14"/>
  <c r="H1295" i="14" s="1"/>
  <c r="G1295" i="14"/>
  <c r="I1295" i="14" s="1"/>
  <c r="K1295" i="14"/>
  <c r="F1296" i="14"/>
  <c r="H1296" i="14" s="1"/>
  <c r="G1296" i="14"/>
  <c r="I1296" i="14" s="1"/>
  <c r="K1296" i="14"/>
  <c r="F1297" i="14"/>
  <c r="H1297" i="14" s="1"/>
  <c r="G1297" i="14"/>
  <c r="I1297" i="14" s="1"/>
  <c r="K1297" i="14"/>
  <c r="F1298" i="14"/>
  <c r="H1298" i="14" s="1"/>
  <c r="G1298" i="14"/>
  <c r="I1298" i="14" s="1"/>
  <c r="K1298" i="14"/>
  <c r="F1299" i="14"/>
  <c r="H1299" i="14" s="1"/>
  <c r="G1299" i="14"/>
  <c r="I1299" i="14" s="1"/>
  <c r="K1299" i="14"/>
  <c r="F1300" i="14"/>
  <c r="H1300" i="14" s="1"/>
  <c r="G1300" i="14"/>
  <c r="I1300" i="14" s="1"/>
  <c r="K1300" i="14"/>
  <c r="F1301" i="14"/>
  <c r="H1301" i="14" s="1"/>
  <c r="G1301" i="14"/>
  <c r="I1301" i="14" s="1"/>
  <c r="K1301" i="14"/>
  <c r="F1302" i="14"/>
  <c r="H1302" i="14" s="1"/>
  <c r="G1302" i="14"/>
  <c r="I1302" i="14" s="1"/>
  <c r="K1302" i="14"/>
  <c r="F1303" i="14"/>
  <c r="H1303" i="14" s="1"/>
  <c r="G1303" i="14"/>
  <c r="I1303" i="14" s="1"/>
  <c r="K1303" i="14"/>
  <c r="F1304" i="14"/>
  <c r="H1304" i="14" s="1"/>
  <c r="G1304" i="14"/>
  <c r="I1304" i="14" s="1"/>
  <c r="K1304" i="14"/>
  <c r="F1305" i="14"/>
  <c r="H1305" i="14" s="1"/>
  <c r="G1305" i="14"/>
  <c r="I1305" i="14" s="1"/>
  <c r="K1305" i="14"/>
  <c r="F1306" i="14"/>
  <c r="G1306" i="14"/>
  <c r="I1306" i="14" s="1"/>
  <c r="H1306" i="14"/>
  <c r="K1306" i="14"/>
  <c r="F1307" i="14"/>
  <c r="H1307" i="14" s="1"/>
  <c r="G1307" i="14"/>
  <c r="I1307" i="14" s="1"/>
  <c r="K1307" i="14"/>
  <c r="F1308" i="14"/>
  <c r="G1308" i="14"/>
  <c r="I1308" i="14" s="1"/>
  <c r="H1308" i="14"/>
  <c r="K1308" i="14"/>
  <c r="F1309" i="14"/>
  <c r="H1309" i="14" s="1"/>
  <c r="G1309" i="14"/>
  <c r="I1309" i="14" s="1"/>
  <c r="K1309" i="14"/>
  <c r="F1310" i="14"/>
  <c r="H1310" i="14" s="1"/>
  <c r="G1310" i="14"/>
  <c r="I1310" i="14" s="1"/>
  <c r="K1310" i="14"/>
  <c r="F1311" i="14"/>
  <c r="H1311" i="14" s="1"/>
  <c r="G1311" i="14"/>
  <c r="I1311" i="14" s="1"/>
  <c r="K1311" i="14"/>
  <c r="F1312" i="14"/>
  <c r="G1312" i="14"/>
  <c r="I1312" i="14" s="1"/>
  <c r="J1312" i="14" s="1"/>
  <c r="H1312" i="14"/>
  <c r="K1312" i="14"/>
  <c r="F1313" i="14"/>
  <c r="H1313" i="14" s="1"/>
  <c r="G1313" i="14"/>
  <c r="I1313" i="14" s="1"/>
  <c r="K1313" i="14"/>
  <c r="F1314" i="14"/>
  <c r="G1314" i="14"/>
  <c r="I1314" i="14" s="1"/>
  <c r="H1314" i="14"/>
  <c r="K1314" i="14"/>
  <c r="F1315" i="14"/>
  <c r="H1315" i="14" s="1"/>
  <c r="G1315" i="14"/>
  <c r="I1315" i="14" s="1"/>
  <c r="K1315" i="14"/>
  <c r="F1316" i="14"/>
  <c r="H1316" i="14" s="1"/>
  <c r="G1316" i="14"/>
  <c r="I1316" i="14" s="1"/>
  <c r="K1316" i="14"/>
  <c r="F1317" i="14"/>
  <c r="H1317" i="14" s="1"/>
  <c r="G1317" i="14"/>
  <c r="I1317" i="14" s="1"/>
  <c r="K1317" i="14"/>
  <c r="F1318" i="14"/>
  <c r="H1318" i="14" s="1"/>
  <c r="G1318" i="14"/>
  <c r="I1318" i="14" s="1"/>
  <c r="K1318" i="14"/>
  <c r="F1319" i="14"/>
  <c r="H1319" i="14" s="1"/>
  <c r="G1319" i="14"/>
  <c r="I1319" i="14" s="1"/>
  <c r="K1319" i="14"/>
  <c r="F1320" i="14"/>
  <c r="H1320" i="14" s="1"/>
  <c r="G1320" i="14"/>
  <c r="I1320" i="14" s="1"/>
  <c r="K1320" i="14"/>
  <c r="F1321" i="14"/>
  <c r="H1321" i="14" s="1"/>
  <c r="G1321" i="14"/>
  <c r="I1321" i="14" s="1"/>
  <c r="K1321" i="14"/>
  <c r="F1322" i="14"/>
  <c r="G1322" i="14"/>
  <c r="I1322" i="14" s="1"/>
  <c r="H1322" i="14"/>
  <c r="K1322" i="14"/>
  <c r="F1323" i="14"/>
  <c r="H1323" i="14" s="1"/>
  <c r="G1323" i="14"/>
  <c r="I1323" i="14" s="1"/>
  <c r="K1323" i="14"/>
  <c r="F1324" i="14"/>
  <c r="G1324" i="14"/>
  <c r="I1324" i="14" s="1"/>
  <c r="H1324" i="14"/>
  <c r="K1324" i="14"/>
  <c r="F1325" i="14"/>
  <c r="H1325" i="14" s="1"/>
  <c r="G1325" i="14"/>
  <c r="I1325" i="14" s="1"/>
  <c r="K1325" i="14"/>
  <c r="F1326" i="14"/>
  <c r="H1326" i="14" s="1"/>
  <c r="G1326" i="14"/>
  <c r="I1326" i="14" s="1"/>
  <c r="K1326" i="14"/>
  <c r="F1327" i="14"/>
  <c r="H1327" i="14" s="1"/>
  <c r="G1327" i="14"/>
  <c r="I1327" i="14" s="1"/>
  <c r="K1327" i="14"/>
  <c r="F1328" i="14"/>
  <c r="G1328" i="14"/>
  <c r="I1328" i="14" s="1"/>
  <c r="J1328" i="14" s="1"/>
  <c r="H1328" i="14"/>
  <c r="K1328" i="14"/>
  <c r="F1329" i="14"/>
  <c r="H1329" i="14" s="1"/>
  <c r="G1329" i="14"/>
  <c r="I1329" i="14" s="1"/>
  <c r="K1329" i="14"/>
  <c r="F1330" i="14"/>
  <c r="G1330" i="14"/>
  <c r="I1330" i="14" s="1"/>
  <c r="H1330" i="14"/>
  <c r="K1330" i="14"/>
  <c r="F1331" i="14"/>
  <c r="H1331" i="14" s="1"/>
  <c r="G1331" i="14"/>
  <c r="I1331" i="14" s="1"/>
  <c r="K1331" i="14"/>
  <c r="F1332" i="14"/>
  <c r="H1332" i="14" s="1"/>
  <c r="G1332" i="14"/>
  <c r="I1332" i="14" s="1"/>
  <c r="K1332" i="14"/>
  <c r="F1333" i="14"/>
  <c r="H1333" i="14" s="1"/>
  <c r="G1333" i="14"/>
  <c r="I1333" i="14" s="1"/>
  <c r="K1333" i="14"/>
  <c r="F1334" i="14"/>
  <c r="H1334" i="14" s="1"/>
  <c r="G1334" i="14"/>
  <c r="I1334" i="14" s="1"/>
  <c r="K1334" i="14"/>
  <c r="F1335" i="14"/>
  <c r="H1335" i="14" s="1"/>
  <c r="G1335" i="14"/>
  <c r="I1335" i="14" s="1"/>
  <c r="K1335" i="14"/>
  <c r="F1336" i="14"/>
  <c r="H1336" i="14" s="1"/>
  <c r="G1336" i="14"/>
  <c r="I1336" i="14" s="1"/>
  <c r="K1336" i="14"/>
  <c r="F1337" i="14"/>
  <c r="H1337" i="14" s="1"/>
  <c r="G1337" i="14"/>
  <c r="I1337" i="14" s="1"/>
  <c r="K1337" i="14"/>
  <c r="F1338" i="14"/>
  <c r="H1338" i="14" s="1"/>
  <c r="G1338" i="14"/>
  <c r="I1338" i="14" s="1"/>
  <c r="K1338" i="14"/>
  <c r="F1339" i="14"/>
  <c r="H1339" i="14" s="1"/>
  <c r="G1339" i="14"/>
  <c r="I1339" i="14" s="1"/>
  <c r="K1339" i="14"/>
  <c r="F1340" i="14"/>
  <c r="H1340" i="14" s="1"/>
  <c r="G1340" i="14"/>
  <c r="I1340" i="14" s="1"/>
  <c r="K1340" i="14"/>
  <c r="F1341" i="14"/>
  <c r="H1341" i="14" s="1"/>
  <c r="G1341" i="14"/>
  <c r="I1341" i="14" s="1"/>
  <c r="K1341" i="14"/>
  <c r="F1342" i="14"/>
  <c r="H1342" i="14" s="1"/>
  <c r="G1342" i="14"/>
  <c r="I1342" i="14" s="1"/>
  <c r="K1342" i="14"/>
  <c r="F1343" i="14"/>
  <c r="H1343" i="14" s="1"/>
  <c r="G1343" i="14"/>
  <c r="I1343" i="14" s="1"/>
  <c r="K1343" i="14"/>
  <c r="F1344" i="14"/>
  <c r="H1344" i="14" s="1"/>
  <c r="G1344" i="14"/>
  <c r="I1344" i="14" s="1"/>
  <c r="K1344" i="14"/>
  <c r="F1345" i="14"/>
  <c r="H1345" i="14" s="1"/>
  <c r="G1345" i="14"/>
  <c r="I1345" i="14" s="1"/>
  <c r="K1345" i="14"/>
  <c r="F1346" i="14"/>
  <c r="H1346" i="14" s="1"/>
  <c r="G1346" i="14"/>
  <c r="I1346" i="14" s="1"/>
  <c r="K1346" i="14"/>
  <c r="F1347" i="14"/>
  <c r="H1347" i="14" s="1"/>
  <c r="G1347" i="14"/>
  <c r="I1347" i="14" s="1"/>
  <c r="K1347" i="14"/>
  <c r="F1348" i="14"/>
  <c r="H1348" i="14" s="1"/>
  <c r="G1348" i="14"/>
  <c r="I1348" i="14" s="1"/>
  <c r="K1348" i="14"/>
  <c r="F1349" i="14"/>
  <c r="H1349" i="14" s="1"/>
  <c r="G1349" i="14"/>
  <c r="I1349" i="14" s="1"/>
  <c r="K1349" i="14"/>
  <c r="F1350" i="14"/>
  <c r="H1350" i="14" s="1"/>
  <c r="G1350" i="14"/>
  <c r="I1350" i="14" s="1"/>
  <c r="K1350" i="14"/>
  <c r="F1351" i="14"/>
  <c r="H1351" i="14" s="1"/>
  <c r="G1351" i="14"/>
  <c r="I1351" i="14" s="1"/>
  <c r="K1351" i="14"/>
  <c r="F1352" i="14"/>
  <c r="H1352" i="14" s="1"/>
  <c r="G1352" i="14"/>
  <c r="I1352" i="14" s="1"/>
  <c r="K1352" i="14"/>
  <c r="F1353" i="14"/>
  <c r="H1353" i="14" s="1"/>
  <c r="G1353" i="14"/>
  <c r="I1353" i="14" s="1"/>
  <c r="K1353" i="14"/>
  <c r="F1354" i="14"/>
  <c r="H1354" i="14" s="1"/>
  <c r="G1354" i="14"/>
  <c r="I1354" i="14" s="1"/>
  <c r="K1354" i="14"/>
  <c r="F1355" i="14"/>
  <c r="H1355" i="14" s="1"/>
  <c r="G1355" i="14"/>
  <c r="I1355" i="14" s="1"/>
  <c r="K1355" i="14"/>
  <c r="F1356" i="14"/>
  <c r="H1356" i="14" s="1"/>
  <c r="G1356" i="14"/>
  <c r="I1356" i="14" s="1"/>
  <c r="K1356" i="14"/>
  <c r="F1357" i="14"/>
  <c r="H1357" i="14" s="1"/>
  <c r="G1357" i="14"/>
  <c r="I1357" i="14" s="1"/>
  <c r="K1357" i="14"/>
  <c r="F1358" i="14"/>
  <c r="H1358" i="14" s="1"/>
  <c r="G1358" i="14"/>
  <c r="I1358" i="14" s="1"/>
  <c r="K1358" i="14"/>
  <c r="F1359" i="14"/>
  <c r="H1359" i="14" s="1"/>
  <c r="G1359" i="14"/>
  <c r="I1359" i="14" s="1"/>
  <c r="K1359" i="14"/>
  <c r="F1360" i="14"/>
  <c r="H1360" i="14" s="1"/>
  <c r="G1360" i="14"/>
  <c r="I1360" i="14" s="1"/>
  <c r="K1360" i="14"/>
  <c r="F1361" i="14"/>
  <c r="H1361" i="14" s="1"/>
  <c r="G1361" i="14"/>
  <c r="I1361" i="14" s="1"/>
  <c r="K1361" i="14"/>
  <c r="F1362" i="14"/>
  <c r="H1362" i="14" s="1"/>
  <c r="G1362" i="14"/>
  <c r="I1362" i="14" s="1"/>
  <c r="K1362" i="14"/>
  <c r="F1363" i="14"/>
  <c r="H1363" i="14" s="1"/>
  <c r="G1363" i="14"/>
  <c r="I1363" i="14" s="1"/>
  <c r="K1363" i="14"/>
  <c r="F1364" i="14"/>
  <c r="H1364" i="14" s="1"/>
  <c r="G1364" i="14"/>
  <c r="I1364" i="14" s="1"/>
  <c r="K1364" i="14"/>
  <c r="F1365" i="14"/>
  <c r="H1365" i="14" s="1"/>
  <c r="G1365" i="14"/>
  <c r="I1365" i="14" s="1"/>
  <c r="K1365" i="14"/>
  <c r="F1366" i="14"/>
  <c r="H1366" i="14" s="1"/>
  <c r="G1366" i="14"/>
  <c r="I1366" i="14" s="1"/>
  <c r="K1366" i="14"/>
  <c r="F1367" i="14"/>
  <c r="H1367" i="14" s="1"/>
  <c r="G1367" i="14"/>
  <c r="I1367" i="14" s="1"/>
  <c r="K1367" i="14"/>
  <c r="F1368" i="14"/>
  <c r="H1368" i="14" s="1"/>
  <c r="G1368" i="14"/>
  <c r="I1368" i="14" s="1"/>
  <c r="K1368" i="14"/>
  <c r="F1369" i="14"/>
  <c r="H1369" i="14" s="1"/>
  <c r="G1369" i="14"/>
  <c r="I1369" i="14" s="1"/>
  <c r="K1369" i="14"/>
  <c r="F1370" i="14"/>
  <c r="H1370" i="14" s="1"/>
  <c r="G1370" i="14"/>
  <c r="I1370" i="14" s="1"/>
  <c r="K1370" i="14"/>
  <c r="F1371" i="14"/>
  <c r="H1371" i="14" s="1"/>
  <c r="G1371" i="14"/>
  <c r="I1371" i="14" s="1"/>
  <c r="K1371" i="14"/>
  <c r="F1372" i="14"/>
  <c r="H1372" i="14" s="1"/>
  <c r="G1372" i="14"/>
  <c r="I1372" i="14" s="1"/>
  <c r="K1372" i="14"/>
  <c r="F1373" i="14"/>
  <c r="H1373" i="14" s="1"/>
  <c r="G1373" i="14"/>
  <c r="I1373" i="14" s="1"/>
  <c r="K1373" i="14"/>
  <c r="F1374" i="14"/>
  <c r="H1374" i="14" s="1"/>
  <c r="G1374" i="14"/>
  <c r="I1374" i="14" s="1"/>
  <c r="K1374" i="14"/>
  <c r="F1375" i="14"/>
  <c r="H1375" i="14" s="1"/>
  <c r="G1375" i="14"/>
  <c r="I1375" i="14" s="1"/>
  <c r="K1375" i="14"/>
  <c r="F1376" i="14"/>
  <c r="H1376" i="14" s="1"/>
  <c r="G1376" i="14"/>
  <c r="I1376" i="14" s="1"/>
  <c r="K1376" i="14"/>
  <c r="F1377" i="14"/>
  <c r="H1377" i="14" s="1"/>
  <c r="G1377" i="14"/>
  <c r="I1377" i="14" s="1"/>
  <c r="K1377" i="14"/>
  <c r="F1378" i="14"/>
  <c r="H1378" i="14" s="1"/>
  <c r="G1378" i="14"/>
  <c r="I1378" i="14" s="1"/>
  <c r="K1378" i="14"/>
  <c r="F1379" i="14"/>
  <c r="H1379" i="14" s="1"/>
  <c r="G1379" i="14"/>
  <c r="I1379" i="14" s="1"/>
  <c r="K1379" i="14"/>
  <c r="F1380" i="14"/>
  <c r="H1380" i="14" s="1"/>
  <c r="G1380" i="14"/>
  <c r="I1380" i="14" s="1"/>
  <c r="K1380" i="14"/>
  <c r="F1381" i="14"/>
  <c r="H1381" i="14" s="1"/>
  <c r="G1381" i="14"/>
  <c r="I1381" i="14" s="1"/>
  <c r="K1381" i="14"/>
  <c r="F1382" i="14"/>
  <c r="H1382" i="14" s="1"/>
  <c r="G1382" i="14"/>
  <c r="I1382" i="14" s="1"/>
  <c r="K1382" i="14"/>
  <c r="F1383" i="14"/>
  <c r="H1383" i="14" s="1"/>
  <c r="G1383" i="14"/>
  <c r="I1383" i="14" s="1"/>
  <c r="K1383" i="14"/>
  <c r="F1384" i="14"/>
  <c r="H1384" i="14" s="1"/>
  <c r="G1384" i="14"/>
  <c r="I1384" i="14" s="1"/>
  <c r="K1384" i="14"/>
  <c r="F1385" i="14"/>
  <c r="H1385" i="14" s="1"/>
  <c r="G1385" i="14"/>
  <c r="I1385" i="14" s="1"/>
  <c r="K1385" i="14"/>
  <c r="F1386" i="14"/>
  <c r="H1386" i="14" s="1"/>
  <c r="G1386" i="14"/>
  <c r="I1386" i="14" s="1"/>
  <c r="K1386" i="14"/>
  <c r="F1387" i="14"/>
  <c r="H1387" i="14" s="1"/>
  <c r="G1387" i="14"/>
  <c r="I1387" i="14" s="1"/>
  <c r="K1387" i="14"/>
  <c r="F1388" i="14"/>
  <c r="H1388" i="14" s="1"/>
  <c r="G1388" i="14"/>
  <c r="I1388" i="14" s="1"/>
  <c r="K1388" i="14"/>
  <c r="F1389" i="14"/>
  <c r="H1389" i="14" s="1"/>
  <c r="G1389" i="14"/>
  <c r="I1389" i="14" s="1"/>
  <c r="K1389" i="14"/>
  <c r="F1390" i="14"/>
  <c r="H1390" i="14" s="1"/>
  <c r="G1390" i="14"/>
  <c r="I1390" i="14" s="1"/>
  <c r="K1390" i="14"/>
  <c r="F1391" i="14"/>
  <c r="H1391" i="14" s="1"/>
  <c r="G1391" i="14"/>
  <c r="I1391" i="14" s="1"/>
  <c r="K1391" i="14"/>
  <c r="F1392" i="14"/>
  <c r="H1392" i="14" s="1"/>
  <c r="G1392" i="14"/>
  <c r="I1392" i="14" s="1"/>
  <c r="K1392" i="14"/>
  <c r="F1393" i="14"/>
  <c r="H1393" i="14" s="1"/>
  <c r="G1393" i="14"/>
  <c r="I1393" i="14" s="1"/>
  <c r="K1393" i="14"/>
  <c r="F1394" i="14"/>
  <c r="H1394" i="14" s="1"/>
  <c r="G1394" i="14"/>
  <c r="I1394" i="14" s="1"/>
  <c r="K1394" i="14"/>
  <c r="F1395" i="14"/>
  <c r="H1395" i="14" s="1"/>
  <c r="G1395" i="14"/>
  <c r="I1395" i="14" s="1"/>
  <c r="K1395" i="14"/>
  <c r="F1396" i="14"/>
  <c r="H1396" i="14" s="1"/>
  <c r="G1396" i="14"/>
  <c r="I1396" i="14" s="1"/>
  <c r="K1396" i="14"/>
  <c r="F1397" i="14"/>
  <c r="H1397" i="14" s="1"/>
  <c r="G1397" i="14"/>
  <c r="I1397" i="14" s="1"/>
  <c r="K1397" i="14"/>
  <c r="F1398" i="14"/>
  <c r="H1398" i="14" s="1"/>
  <c r="G1398" i="14"/>
  <c r="I1398" i="14" s="1"/>
  <c r="K1398" i="14"/>
  <c r="F1399" i="14"/>
  <c r="H1399" i="14" s="1"/>
  <c r="G1399" i="14"/>
  <c r="I1399" i="14" s="1"/>
  <c r="K1399" i="14"/>
  <c r="F1400" i="14"/>
  <c r="H1400" i="14" s="1"/>
  <c r="G1400" i="14"/>
  <c r="I1400" i="14" s="1"/>
  <c r="K1400" i="14"/>
  <c r="F1401" i="14"/>
  <c r="H1401" i="14" s="1"/>
  <c r="G1401" i="14"/>
  <c r="I1401" i="14" s="1"/>
  <c r="K1401" i="14"/>
  <c r="F1402" i="14"/>
  <c r="H1402" i="14" s="1"/>
  <c r="G1402" i="14"/>
  <c r="I1402" i="14" s="1"/>
  <c r="K1402" i="14"/>
  <c r="F1403" i="14"/>
  <c r="H1403" i="14" s="1"/>
  <c r="G1403" i="14"/>
  <c r="I1403" i="14" s="1"/>
  <c r="K1403" i="14"/>
  <c r="F1404" i="14"/>
  <c r="H1404" i="14" s="1"/>
  <c r="G1404" i="14"/>
  <c r="I1404" i="14" s="1"/>
  <c r="K1404" i="14"/>
  <c r="F1405" i="14"/>
  <c r="H1405" i="14" s="1"/>
  <c r="G1405" i="14"/>
  <c r="I1405" i="14" s="1"/>
  <c r="K1405" i="14"/>
  <c r="F1406" i="14"/>
  <c r="H1406" i="14" s="1"/>
  <c r="G1406" i="14"/>
  <c r="I1406" i="14" s="1"/>
  <c r="K1406" i="14"/>
  <c r="F1407" i="14"/>
  <c r="H1407" i="14" s="1"/>
  <c r="G1407" i="14"/>
  <c r="I1407" i="14" s="1"/>
  <c r="K1407" i="14"/>
  <c r="F1408" i="14"/>
  <c r="H1408" i="14" s="1"/>
  <c r="G1408" i="14"/>
  <c r="I1408" i="14" s="1"/>
  <c r="K1408" i="14"/>
  <c r="F1409" i="14"/>
  <c r="H1409" i="14" s="1"/>
  <c r="G1409" i="14"/>
  <c r="I1409" i="14" s="1"/>
  <c r="K1409" i="14"/>
  <c r="F1410" i="14"/>
  <c r="H1410" i="14" s="1"/>
  <c r="G1410" i="14"/>
  <c r="I1410" i="14" s="1"/>
  <c r="K1410" i="14"/>
  <c r="F1411" i="14"/>
  <c r="H1411" i="14" s="1"/>
  <c r="G1411" i="14"/>
  <c r="I1411" i="14" s="1"/>
  <c r="K1411" i="14"/>
  <c r="F1412" i="14"/>
  <c r="H1412" i="14" s="1"/>
  <c r="G1412" i="14"/>
  <c r="I1412" i="14" s="1"/>
  <c r="K1412" i="14"/>
  <c r="F1413" i="14"/>
  <c r="H1413" i="14" s="1"/>
  <c r="G1413" i="14"/>
  <c r="I1413" i="14" s="1"/>
  <c r="K1413" i="14"/>
  <c r="F1414" i="14"/>
  <c r="H1414" i="14" s="1"/>
  <c r="G1414" i="14"/>
  <c r="I1414" i="14" s="1"/>
  <c r="K1414" i="14"/>
  <c r="F1415" i="14"/>
  <c r="H1415" i="14" s="1"/>
  <c r="G1415" i="14"/>
  <c r="I1415" i="14" s="1"/>
  <c r="K1415" i="14"/>
  <c r="F1416" i="14"/>
  <c r="H1416" i="14" s="1"/>
  <c r="G1416" i="14"/>
  <c r="I1416" i="14" s="1"/>
  <c r="K1416" i="14"/>
  <c r="F1417" i="14"/>
  <c r="H1417" i="14" s="1"/>
  <c r="G1417" i="14"/>
  <c r="I1417" i="14" s="1"/>
  <c r="K1417" i="14"/>
  <c r="F1418" i="14"/>
  <c r="H1418" i="14" s="1"/>
  <c r="G1418" i="14"/>
  <c r="I1418" i="14" s="1"/>
  <c r="K1418" i="14"/>
  <c r="F1419" i="14"/>
  <c r="H1419" i="14" s="1"/>
  <c r="G1419" i="14"/>
  <c r="I1419" i="14" s="1"/>
  <c r="K1419" i="14"/>
  <c r="F1420" i="14"/>
  <c r="H1420" i="14" s="1"/>
  <c r="G1420" i="14"/>
  <c r="I1420" i="14" s="1"/>
  <c r="K1420" i="14"/>
  <c r="F1421" i="14"/>
  <c r="H1421" i="14" s="1"/>
  <c r="G1421" i="14"/>
  <c r="I1421" i="14" s="1"/>
  <c r="K1421" i="14"/>
  <c r="F1422" i="14"/>
  <c r="H1422" i="14" s="1"/>
  <c r="G1422" i="14"/>
  <c r="I1422" i="14" s="1"/>
  <c r="K1422" i="14"/>
  <c r="F1423" i="14"/>
  <c r="H1423" i="14" s="1"/>
  <c r="G1423" i="14"/>
  <c r="I1423" i="14" s="1"/>
  <c r="K1423" i="14"/>
  <c r="F1424" i="14"/>
  <c r="H1424" i="14" s="1"/>
  <c r="G1424" i="14"/>
  <c r="I1424" i="14" s="1"/>
  <c r="K1424" i="14"/>
  <c r="F1425" i="14"/>
  <c r="H1425" i="14" s="1"/>
  <c r="G1425" i="14"/>
  <c r="I1425" i="14" s="1"/>
  <c r="K1425" i="14"/>
  <c r="F1426" i="14"/>
  <c r="H1426" i="14" s="1"/>
  <c r="G1426" i="14"/>
  <c r="I1426" i="14" s="1"/>
  <c r="K1426" i="14"/>
  <c r="F1427" i="14"/>
  <c r="H1427" i="14" s="1"/>
  <c r="G1427" i="14"/>
  <c r="I1427" i="14" s="1"/>
  <c r="K1427" i="14"/>
  <c r="F1428" i="14"/>
  <c r="H1428" i="14" s="1"/>
  <c r="G1428" i="14"/>
  <c r="I1428" i="14" s="1"/>
  <c r="K1428" i="14"/>
  <c r="F1429" i="14"/>
  <c r="H1429" i="14" s="1"/>
  <c r="G1429" i="14"/>
  <c r="I1429" i="14" s="1"/>
  <c r="K1429" i="14"/>
  <c r="F1430" i="14"/>
  <c r="H1430" i="14" s="1"/>
  <c r="G1430" i="14"/>
  <c r="I1430" i="14" s="1"/>
  <c r="K1430" i="14"/>
  <c r="F1431" i="14"/>
  <c r="H1431" i="14" s="1"/>
  <c r="G1431" i="14"/>
  <c r="I1431" i="14" s="1"/>
  <c r="K1431" i="14"/>
  <c r="F1432" i="14"/>
  <c r="H1432" i="14" s="1"/>
  <c r="G1432" i="14"/>
  <c r="I1432" i="14" s="1"/>
  <c r="J1432" i="14" s="1"/>
  <c r="K1432" i="14"/>
  <c r="F1433" i="14"/>
  <c r="H1433" i="14" s="1"/>
  <c r="G1433" i="14"/>
  <c r="I1433" i="14" s="1"/>
  <c r="K1433" i="14"/>
  <c r="F1434" i="14"/>
  <c r="H1434" i="14" s="1"/>
  <c r="G1434" i="14"/>
  <c r="I1434" i="14" s="1"/>
  <c r="K1434" i="14"/>
  <c r="F1435" i="14"/>
  <c r="H1435" i="14" s="1"/>
  <c r="G1435" i="14"/>
  <c r="I1435" i="14" s="1"/>
  <c r="K1435" i="14"/>
  <c r="F1436" i="14"/>
  <c r="H1436" i="14" s="1"/>
  <c r="G1436" i="14"/>
  <c r="I1436" i="14" s="1"/>
  <c r="K1436" i="14"/>
  <c r="F1437" i="14"/>
  <c r="H1437" i="14" s="1"/>
  <c r="G1437" i="14"/>
  <c r="I1437" i="14" s="1"/>
  <c r="K1437" i="14"/>
  <c r="F1438" i="14"/>
  <c r="H1438" i="14" s="1"/>
  <c r="G1438" i="14"/>
  <c r="I1438" i="14" s="1"/>
  <c r="J1438" i="14" s="1"/>
  <c r="K1438" i="14"/>
  <c r="F1439" i="14"/>
  <c r="H1439" i="14" s="1"/>
  <c r="G1439" i="14"/>
  <c r="I1439" i="14" s="1"/>
  <c r="K1439" i="14"/>
  <c r="F1440" i="14"/>
  <c r="H1440" i="14" s="1"/>
  <c r="G1440" i="14"/>
  <c r="I1440" i="14" s="1"/>
  <c r="K1440" i="14"/>
  <c r="F1441" i="14"/>
  <c r="H1441" i="14" s="1"/>
  <c r="G1441" i="14"/>
  <c r="I1441" i="14" s="1"/>
  <c r="K1441" i="14"/>
  <c r="F1442" i="14"/>
  <c r="H1442" i="14" s="1"/>
  <c r="G1442" i="14"/>
  <c r="I1442" i="14" s="1"/>
  <c r="J1442" i="14" s="1"/>
  <c r="K1442" i="14"/>
  <c r="F1443" i="14"/>
  <c r="H1443" i="14" s="1"/>
  <c r="G1443" i="14"/>
  <c r="I1443" i="14"/>
  <c r="K1443" i="14"/>
  <c r="F1444" i="14"/>
  <c r="H1444" i="14" s="1"/>
  <c r="G1444" i="14"/>
  <c r="I1444" i="14" s="1"/>
  <c r="K1444" i="14"/>
  <c r="F1445" i="14"/>
  <c r="H1445" i="14" s="1"/>
  <c r="G1445" i="14"/>
  <c r="I1445" i="14" s="1"/>
  <c r="K1445" i="14"/>
  <c r="F1446" i="14"/>
  <c r="H1446" i="14" s="1"/>
  <c r="G1446" i="14"/>
  <c r="I1446" i="14" s="1"/>
  <c r="K1446" i="14"/>
  <c r="F1447" i="14"/>
  <c r="H1447" i="14" s="1"/>
  <c r="G1447" i="14"/>
  <c r="I1447" i="14" s="1"/>
  <c r="K1447" i="14"/>
  <c r="F1448" i="14"/>
  <c r="H1448" i="14" s="1"/>
  <c r="G1448" i="14"/>
  <c r="I1448" i="14" s="1"/>
  <c r="K1448" i="14"/>
  <c r="F1449" i="14"/>
  <c r="H1449" i="14" s="1"/>
  <c r="G1449" i="14"/>
  <c r="I1449" i="14" s="1"/>
  <c r="K1449" i="14"/>
  <c r="F1450" i="14"/>
  <c r="H1450" i="14" s="1"/>
  <c r="G1450" i="14"/>
  <c r="I1450" i="14" s="1"/>
  <c r="K1450" i="14"/>
  <c r="F1451" i="14"/>
  <c r="H1451" i="14" s="1"/>
  <c r="G1451" i="14"/>
  <c r="I1451" i="14" s="1"/>
  <c r="K1451" i="14"/>
  <c r="F1452" i="14"/>
  <c r="H1452" i="14" s="1"/>
  <c r="G1452" i="14"/>
  <c r="I1452" i="14" s="1"/>
  <c r="K1452" i="14"/>
  <c r="F1453" i="14"/>
  <c r="H1453" i="14" s="1"/>
  <c r="G1453" i="14"/>
  <c r="I1453" i="14" s="1"/>
  <c r="K1453" i="14"/>
  <c r="F1454" i="14"/>
  <c r="H1454" i="14" s="1"/>
  <c r="G1454" i="14"/>
  <c r="I1454" i="14" s="1"/>
  <c r="K1454" i="14"/>
  <c r="F1455" i="14"/>
  <c r="H1455" i="14" s="1"/>
  <c r="G1455" i="14"/>
  <c r="I1455" i="14" s="1"/>
  <c r="K1455" i="14"/>
  <c r="F1456" i="14"/>
  <c r="H1456" i="14" s="1"/>
  <c r="G1456" i="14"/>
  <c r="I1456" i="14" s="1"/>
  <c r="K1456" i="14"/>
  <c r="F1457" i="14"/>
  <c r="H1457" i="14" s="1"/>
  <c r="G1457" i="14"/>
  <c r="I1457" i="14" s="1"/>
  <c r="K1457" i="14"/>
  <c r="F1458" i="14"/>
  <c r="H1458" i="14" s="1"/>
  <c r="G1458" i="14"/>
  <c r="I1458" i="14" s="1"/>
  <c r="K1458" i="14"/>
  <c r="F1459" i="14"/>
  <c r="H1459" i="14" s="1"/>
  <c r="G1459" i="14"/>
  <c r="I1459" i="14" s="1"/>
  <c r="K1459" i="14"/>
  <c r="F1460" i="14"/>
  <c r="H1460" i="14" s="1"/>
  <c r="G1460" i="14"/>
  <c r="I1460" i="14" s="1"/>
  <c r="K1460" i="14"/>
  <c r="F1461" i="14"/>
  <c r="H1461" i="14" s="1"/>
  <c r="G1461" i="14"/>
  <c r="I1461" i="14" s="1"/>
  <c r="K1461" i="14"/>
  <c r="F1462" i="14"/>
  <c r="H1462" i="14" s="1"/>
  <c r="G1462" i="14"/>
  <c r="I1462" i="14" s="1"/>
  <c r="K1462" i="14"/>
  <c r="F1463" i="14"/>
  <c r="H1463" i="14" s="1"/>
  <c r="G1463" i="14"/>
  <c r="I1463" i="14" s="1"/>
  <c r="K1463" i="14"/>
  <c r="F1464" i="14"/>
  <c r="H1464" i="14" s="1"/>
  <c r="G1464" i="14"/>
  <c r="I1464" i="14" s="1"/>
  <c r="K1464" i="14"/>
  <c r="F1465" i="14"/>
  <c r="H1465" i="14" s="1"/>
  <c r="G1465" i="14"/>
  <c r="I1465" i="14" s="1"/>
  <c r="K1465" i="14"/>
  <c r="F1466" i="14"/>
  <c r="H1466" i="14" s="1"/>
  <c r="G1466" i="14"/>
  <c r="I1466" i="14" s="1"/>
  <c r="K1466" i="14"/>
  <c r="F1467" i="14"/>
  <c r="H1467" i="14" s="1"/>
  <c r="G1467" i="14"/>
  <c r="I1467" i="14" s="1"/>
  <c r="K1467" i="14"/>
  <c r="F1468" i="14"/>
  <c r="H1468" i="14" s="1"/>
  <c r="G1468" i="14"/>
  <c r="I1468" i="14" s="1"/>
  <c r="K1468" i="14"/>
  <c r="F1469" i="14"/>
  <c r="H1469" i="14" s="1"/>
  <c r="G1469" i="14"/>
  <c r="I1469" i="14" s="1"/>
  <c r="K1469" i="14"/>
  <c r="F1470" i="14"/>
  <c r="H1470" i="14" s="1"/>
  <c r="G1470" i="14"/>
  <c r="I1470" i="14" s="1"/>
  <c r="K1470" i="14"/>
  <c r="F1471" i="14"/>
  <c r="H1471" i="14" s="1"/>
  <c r="G1471" i="14"/>
  <c r="I1471" i="14" s="1"/>
  <c r="K1471" i="14"/>
  <c r="F1472" i="14"/>
  <c r="H1472" i="14" s="1"/>
  <c r="G1472" i="14"/>
  <c r="I1472" i="14" s="1"/>
  <c r="K1472" i="14"/>
  <c r="F1473" i="14"/>
  <c r="H1473" i="14" s="1"/>
  <c r="G1473" i="14"/>
  <c r="I1473" i="14" s="1"/>
  <c r="K1473" i="14"/>
  <c r="F1474" i="14"/>
  <c r="H1474" i="14" s="1"/>
  <c r="G1474" i="14"/>
  <c r="I1474" i="14" s="1"/>
  <c r="K1474" i="14"/>
  <c r="F1475" i="14"/>
  <c r="H1475" i="14" s="1"/>
  <c r="G1475" i="14"/>
  <c r="I1475" i="14" s="1"/>
  <c r="K1475" i="14"/>
  <c r="F1476" i="14"/>
  <c r="H1476" i="14" s="1"/>
  <c r="G1476" i="14"/>
  <c r="I1476" i="14" s="1"/>
  <c r="K1476" i="14"/>
  <c r="F1477" i="14"/>
  <c r="H1477" i="14" s="1"/>
  <c r="G1477" i="14"/>
  <c r="I1477" i="14" s="1"/>
  <c r="K1477" i="14"/>
  <c r="F1478" i="14"/>
  <c r="H1478" i="14" s="1"/>
  <c r="G1478" i="14"/>
  <c r="I1478" i="14" s="1"/>
  <c r="K1478" i="14"/>
  <c r="F1479" i="14"/>
  <c r="H1479" i="14" s="1"/>
  <c r="G1479" i="14"/>
  <c r="I1479" i="14" s="1"/>
  <c r="K1479" i="14"/>
  <c r="F1480" i="14"/>
  <c r="H1480" i="14" s="1"/>
  <c r="G1480" i="14"/>
  <c r="I1480" i="14" s="1"/>
  <c r="K1480" i="14"/>
  <c r="F1481" i="14"/>
  <c r="H1481" i="14" s="1"/>
  <c r="G1481" i="14"/>
  <c r="I1481" i="14" s="1"/>
  <c r="K1481" i="14"/>
  <c r="F1482" i="14"/>
  <c r="H1482" i="14" s="1"/>
  <c r="G1482" i="14"/>
  <c r="I1482" i="14" s="1"/>
  <c r="K1482" i="14"/>
  <c r="F1483" i="14"/>
  <c r="H1483" i="14" s="1"/>
  <c r="G1483" i="14"/>
  <c r="I1483" i="14" s="1"/>
  <c r="K1483" i="14"/>
  <c r="F1484" i="14"/>
  <c r="H1484" i="14" s="1"/>
  <c r="G1484" i="14"/>
  <c r="I1484" i="14" s="1"/>
  <c r="K1484" i="14"/>
  <c r="F1485" i="14"/>
  <c r="H1485" i="14" s="1"/>
  <c r="G1485" i="14"/>
  <c r="I1485" i="14" s="1"/>
  <c r="K1485" i="14"/>
  <c r="F1486" i="14"/>
  <c r="H1486" i="14" s="1"/>
  <c r="G1486" i="14"/>
  <c r="I1486" i="14" s="1"/>
  <c r="K1486" i="14"/>
  <c r="F1487" i="14"/>
  <c r="H1487" i="14" s="1"/>
  <c r="G1487" i="14"/>
  <c r="I1487" i="14" s="1"/>
  <c r="K1487" i="14"/>
  <c r="F1488" i="14"/>
  <c r="H1488" i="14" s="1"/>
  <c r="G1488" i="14"/>
  <c r="I1488" i="14" s="1"/>
  <c r="K1488" i="14"/>
  <c r="F1489" i="14"/>
  <c r="H1489" i="14" s="1"/>
  <c r="G1489" i="14"/>
  <c r="I1489" i="14" s="1"/>
  <c r="K1489" i="14"/>
  <c r="F1490" i="14"/>
  <c r="H1490" i="14" s="1"/>
  <c r="G1490" i="14"/>
  <c r="I1490" i="14" s="1"/>
  <c r="K1490" i="14"/>
  <c r="F1491" i="14"/>
  <c r="H1491" i="14" s="1"/>
  <c r="G1491" i="14"/>
  <c r="I1491" i="14" s="1"/>
  <c r="K1491" i="14"/>
  <c r="F1492" i="14"/>
  <c r="H1492" i="14" s="1"/>
  <c r="G1492" i="14"/>
  <c r="I1492" i="14" s="1"/>
  <c r="K1492" i="14"/>
  <c r="F1493" i="14"/>
  <c r="H1493" i="14" s="1"/>
  <c r="G1493" i="14"/>
  <c r="I1493" i="14" s="1"/>
  <c r="K1493" i="14"/>
  <c r="F1494" i="14"/>
  <c r="H1494" i="14" s="1"/>
  <c r="G1494" i="14"/>
  <c r="I1494" i="14" s="1"/>
  <c r="K1494" i="14"/>
  <c r="F1495" i="14"/>
  <c r="H1495" i="14" s="1"/>
  <c r="G1495" i="14"/>
  <c r="I1495" i="14" s="1"/>
  <c r="K1495" i="14"/>
  <c r="F1496" i="14"/>
  <c r="H1496" i="14" s="1"/>
  <c r="G1496" i="14"/>
  <c r="I1496" i="14" s="1"/>
  <c r="J1496" i="14" s="1"/>
  <c r="K1496" i="14"/>
  <c r="F1497" i="14"/>
  <c r="H1497" i="14" s="1"/>
  <c r="G1497" i="14"/>
  <c r="I1497" i="14" s="1"/>
  <c r="K1497" i="14"/>
  <c r="F1498" i="14"/>
  <c r="H1498" i="14" s="1"/>
  <c r="G1498" i="14"/>
  <c r="I1498" i="14" s="1"/>
  <c r="K1498" i="14"/>
  <c r="F1499" i="14"/>
  <c r="H1499" i="14" s="1"/>
  <c r="G1499" i="14"/>
  <c r="I1499" i="14" s="1"/>
  <c r="K1499" i="14"/>
  <c r="F1500" i="14"/>
  <c r="H1500" i="14" s="1"/>
  <c r="G1500" i="14"/>
  <c r="I1500" i="14" s="1"/>
  <c r="K1500" i="14"/>
  <c r="F1501" i="14"/>
  <c r="H1501" i="14" s="1"/>
  <c r="G1501" i="14"/>
  <c r="I1501" i="14" s="1"/>
  <c r="K1501" i="14"/>
  <c r="F1502" i="14"/>
  <c r="H1502" i="14" s="1"/>
  <c r="G1502" i="14"/>
  <c r="I1502" i="14" s="1"/>
  <c r="K1502" i="14"/>
  <c r="F1503" i="14"/>
  <c r="H1503" i="14" s="1"/>
  <c r="G1503" i="14"/>
  <c r="I1503" i="14" s="1"/>
  <c r="K1503" i="14"/>
  <c r="F1504" i="14"/>
  <c r="H1504" i="14" s="1"/>
  <c r="G1504" i="14"/>
  <c r="I1504" i="14" s="1"/>
  <c r="K1504" i="14"/>
  <c r="F1505" i="14"/>
  <c r="H1505" i="14" s="1"/>
  <c r="G1505" i="14"/>
  <c r="I1505" i="14" s="1"/>
  <c r="K1505" i="14"/>
  <c r="F1506" i="14"/>
  <c r="H1506" i="14" s="1"/>
  <c r="G1506" i="14"/>
  <c r="I1506" i="14" s="1"/>
  <c r="K1506" i="14"/>
  <c r="F1507" i="14"/>
  <c r="H1507" i="14" s="1"/>
  <c r="G1507" i="14"/>
  <c r="I1507" i="14"/>
  <c r="K1507" i="14"/>
  <c r="F1508" i="14"/>
  <c r="H1508" i="14" s="1"/>
  <c r="G1508" i="14"/>
  <c r="I1508" i="14" s="1"/>
  <c r="K1508" i="14"/>
  <c r="F1509" i="14"/>
  <c r="H1509" i="14" s="1"/>
  <c r="G1509" i="14"/>
  <c r="I1509" i="14" s="1"/>
  <c r="K1509" i="14"/>
  <c r="F1510" i="14"/>
  <c r="H1510" i="14" s="1"/>
  <c r="G1510" i="14"/>
  <c r="I1510" i="14" s="1"/>
  <c r="K1510" i="14"/>
  <c r="F1511" i="14"/>
  <c r="H1511" i="14" s="1"/>
  <c r="G1511" i="14"/>
  <c r="I1511" i="14" s="1"/>
  <c r="K1511" i="14"/>
  <c r="F1512" i="14"/>
  <c r="H1512" i="14" s="1"/>
  <c r="G1512" i="14"/>
  <c r="I1512" i="14" s="1"/>
  <c r="K1512" i="14"/>
  <c r="F1513" i="14"/>
  <c r="H1513" i="14" s="1"/>
  <c r="G1513" i="14"/>
  <c r="I1513" i="14" s="1"/>
  <c r="K1513" i="14"/>
  <c r="F1514" i="14"/>
  <c r="H1514" i="14" s="1"/>
  <c r="G1514" i="14"/>
  <c r="I1514" i="14" s="1"/>
  <c r="K1514" i="14"/>
  <c r="F1515" i="14"/>
  <c r="H1515" i="14" s="1"/>
  <c r="G1515" i="14"/>
  <c r="I1515" i="14" s="1"/>
  <c r="K1515" i="14"/>
  <c r="F1516" i="14"/>
  <c r="H1516" i="14" s="1"/>
  <c r="G1516" i="14"/>
  <c r="I1516" i="14" s="1"/>
  <c r="K1516" i="14"/>
  <c r="F1517" i="14"/>
  <c r="H1517" i="14" s="1"/>
  <c r="G1517" i="14"/>
  <c r="I1517" i="14" s="1"/>
  <c r="K1517" i="14"/>
  <c r="F1518" i="14"/>
  <c r="H1518" i="14" s="1"/>
  <c r="G1518" i="14"/>
  <c r="I1518" i="14" s="1"/>
  <c r="K1518" i="14"/>
  <c r="F1519" i="14"/>
  <c r="H1519" i="14" s="1"/>
  <c r="G1519" i="14"/>
  <c r="I1519" i="14" s="1"/>
  <c r="K1519" i="14"/>
  <c r="F1520" i="14"/>
  <c r="H1520" i="14" s="1"/>
  <c r="G1520" i="14"/>
  <c r="I1520" i="14" s="1"/>
  <c r="K1520" i="14"/>
  <c r="F1521" i="14"/>
  <c r="H1521" i="14" s="1"/>
  <c r="G1521" i="14"/>
  <c r="I1521" i="14" s="1"/>
  <c r="K1521" i="14"/>
  <c r="F1522" i="14"/>
  <c r="H1522" i="14" s="1"/>
  <c r="G1522" i="14"/>
  <c r="I1522" i="14" s="1"/>
  <c r="K1522" i="14"/>
  <c r="F1523" i="14"/>
  <c r="H1523" i="14" s="1"/>
  <c r="G1523" i="14"/>
  <c r="I1523" i="14" s="1"/>
  <c r="K1523" i="14"/>
  <c r="F1524" i="14"/>
  <c r="H1524" i="14" s="1"/>
  <c r="G1524" i="14"/>
  <c r="I1524" i="14" s="1"/>
  <c r="K1524" i="14"/>
  <c r="F1525" i="14"/>
  <c r="H1525" i="14" s="1"/>
  <c r="G1525" i="14"/>
  <c r="I1525" i="14" s="1"/>
  <c r="K1525" i="14"/>
  <c r="F1526" i="14"/>
  <c r="H1526" i="14" s="1"/>
  <c r="G1526" i="14"/>
  <c r="I1526" i="14" s="1"/>
  <c r="K1526" i="14"/>
  <c r="F1527" i="14"/>
  <c r="H1527" i="14" s="1"/>
  <c r="G1527" i="14"/>
  <c r="I1527" i="14" s="1"/>
  <c r="K1527" i="14"/>
  <c r="F1528" i="14"/>
  <c r="H1528" i="14" s="1"/>
  <c r="G1528" i="14"/>
  <c r="I1528" i="14" s="1"/>
  <c r="J1528" i="14" s="1"/>
  <c r="K1528" i="14"/>
  <c r="F1529" i="14"/>
  <c r="H1529" i="14" s="1"/>
  <c r="G1529" i="14"/>
  <c r="I1529" i="14" s="1"/>
  <c r="K1529" i="14"/>
  <c r="F1530" i="14"/>
  <c r="H1530" i="14" s="1"/>
  <c r="G1530" i="14"/>
  <c r="I1530" i="14" s="1"/>
  <c r="K1530" i="14"/>
  <c r="F1531" i="14"/>
  <c r="H1531" i="14" s="1"/>
  <c r="G1531" i="14"/>
  <c r="I1531" i="14" s="1"/>
  <c r="K1531" i="14"/>
  <c r="F1532" i="14"/>
  <c r="H1532" i="14" s="1"/>
  <c r="G1532" i="14"/>
  <c r="I1532" i="14" s="1"/>
  <c r="K1532" i="14"/>
  <c r="F1533" i="14"/>
  <c r="H1533" i="14" s="1"/>
  <c r="G1533" i="14"/>
  <c r="I1533" i="14" s="1"/>
  <c r="K1533" i="14"/>
  <c r="F1534" i="14"/>
  <c r="H1534" i="14" s="1"/>
  <c r="G1534" i="14"/>
  <c r="I1534" i="14" s="1"/>
  <c r="K1534" i="14"/>
  <c r="F1535" i="14"/>
  <c r="H1535" i="14" s="1"/>
  <c r="J1535" i="14" s="1"/>
  <c r="G1535" i="14"/>
  <c r="I1535" i="14" s="1"/>
  <c r="K1535" i="14"/>
  <c r="F1536" i="14"/>
  <c r="H1536" i="14" s="1"/>
  <c r="G1536" i="14"/>
  <c r="I1536" i="14" s="1"/>
  <c r="K1536" i="14"/>
  <c r="F1537" i="14"/>
  <c r="H1537" i="14" s="1"/>
  <c r="G1537" i="14"/>
  <c r="I1537" i="14" s="1"/>
  <c r="K1537" i="14"/>
  <c r="F1538" i="14"/>
  <c r="H1538" i="14" s="1"/>
  <c r="G1538" i="14"/>
  <c r="I1538" i="14" s="1"/>
  <c r="K1538" i="14"/>
  <c r="F1539" i="14"/>
  <c r="H1539" i="14" s="1"/>
  <c r="J1539" i="14" s="1"/>
  <c r="G1539" i="14"/>
  <c r="I1539" i="14" s="1"/>
  <c r="K1539" i="14"/>
  <c r="F1540" i="14"/>
  <c r="H1540" i="14" s="1"/>
  <c r="G1540" i="14"/>
  <c r="I1540" i="14" s="1"/>
  <c r="K1540" i="14"/>
  <c r="F1541" i="14"/>
  <c r="H1541" i="14" s="1"/>
  <c r="G1541" i="14"/>
  <c r="I1541" i="14" s="1"/>
  <c r="K1541" i="14"/>
  <c r="F1542" i="14"/>
  <c r="H1542" i="14" s="1"/>
  <c r="G1542" i="14"/>
  <c r="I1542" i="14" s="1"/>
  <c r="K1542" i="14"/>
  <c r="F1543" i="14"/>
  <c r="H1543" i="14" s="1"/>
  <c r="J1543" i="14" s="1"/>
  <c r="G1543" i="14"/>
  <c r="I1543" i="14" s="1"/>
  <c r="K1543" i="14"/>
  <c r="F1544" i="14"/>
  <c r="H1544" i="14" s="1"/>
  <c r="G1544" i="14"/>
  <c r="I1544" i="14" s="1"/>
  <c r="K1544" i="14"/>
  <c r="F1545" i="14"/>
  <c r="H1545" i="14" s="1"/>
  <c r="G1545" i="14"/>
  <c r="I1545" i="14" s="1"/>
  <c r="K1545" i="14"/>
  <c r="F1546" i="14"/>
  <c r="H1546" i="14" s="1"/>
  <c r="G1546" i="14"/>
  <c r="I1546" i="14" s="1"/>
  <c r="K1546" i="14"/>
  <c r="F1547" i="14"/>
  <c r="H1547" i="14" s="1"/>
  <c r="J1547" i="14" s="1"/>
  <c r="G1547" i="14"/>
  <c r="I1547" i="14" s="1"/>
  <c r="K1547" i="14"/>
  <c r="F1548" i="14"/>
  <c r="H1548" i="14" s="1"/>
  <c r="G1548" i="14"/>
  <c r="I1548" i="14" s="1"/>
  <c r="K1548" i="14"/>
  <c r="F1549" i="14"/>
  <c r="H1549" i="14" s="1"/>
  <c r="G1549" i="14"/>
  <c r="I1549" i="14" s="1"/>
  <c r="K1549" i="14"/>
  <c r="F1550" i="14"/>
  <c r="H1550" i="14" s="1"/>
  <c r="G1550" i="14"/>
  <c r="I1550" i="14" s="1"/>
  <c r="K1550" i="14"/>
  <c r="F1551" i="14"/>
  <c r="H1551" i="14" s="1"/>
  <c r="G1551" i="14"/>
  <c r="I1551" i="14" s="1"/>
  <c r="K1551" i="14"/>
  <c r="F1552" i="14"/>
  <c r="H1552" i="14" s="1"/>
  <c r="G1552" i="14"/>
  <c r="I1552" i="14" s="1"/>
  <c r="K1552" i="14"/>
  <c r="F1553" i="14"/>
  <c r="H1553" i="14" s="1"/>
  <c r="G1553" i="14"/>
  <c r="I1553" i="14" s="1"/>
  <c r="K1553" i="14"/>
  <c r="F1554" i="14"/>
  <c r="H1554" i="14" s="1"/>
  <c r="G1554" i="14"/>
  <c r="I1554" i="14" s="1"/>
  <c r="K1554" i="14"/>
  <c r="F1555" i="14"/>
  <c r="H1555" i="14" s="1"/>
  <c r="G1555" i="14"/>
  <c r="I1555" i="14" s="1"/>
  <c r="K1555" i="14"/>
  <c r="F1556" i="14"/>
  <c r="H1556" i="14" s="1"/>
  <c r="G1556" i="14"/>
  <c r="I1556" i="14" s="1"/>
  <c r="K1556" i="14"/>
  <c r="F1557" i="14"/>
  <c r="H1557" i="14" s="1"/>
  <c r="G1557" i="14"/>
  <c r="I1557" i="14" s="1"/>
  <c r="K1557" i="14"/>
  <c r="F1558" i="14"/>
  <c r="H1558" i="14" s="1"/>
  <c r="G1558" i="14"/>
  <c r="I1558" i="14" s="1"/>
  <c r="K1558" i="14"/>
  <c r="F1559" i="14"/>
  <c r="H1559" i="14" s="1"/>
  <c r="G1559" i="14"/>
  <c r="I1559" i="14" s="1"/>
  <c r="K1559" i="14"/>
  <c r="F1560" i="14"/>
  <c r="H1560" i="14" s="1"/>
  <c r="G1560" i="14"/>
  <c r="I1560" i="14" s="1"/>
  <c r="K1560" i="14"/>
  <c r="F1561" i="14"/>
  <c r="H1561" i="14" s="1"/>
  <c r="G1561" i="14"/>
  <c r="I1561" i="14" s="1"/>
  <c r="K1561" i="14"/>
  <c r="F1562" i="14"/>
  <c r="G1562" i="14"/>
  <c r="I1562" i="14" s="1"/>
  <c r="H1562" i="14"/>
  <c r="K1562" i="14"/>
  <c r="F1563" i="14"/>
  <c r="H1563" i="14" s="1"/>
  <c r="G1563" i="14"/>
  <c r="I1563" i="14" s="1"/>
  <c r="K1563" i="14"/>
  <c r="F1564" i="14"/>
  <c r="G1564" i="14"/>
  <c r="I1564" i="14" s="1"/>
  <c r="H1564" i="14"/>
  <c r="K1564" i="14"/>
  <c r="F1565" i="14"/>
  <c r="H1565" i="14" s="1"/>
  <c r="G1565" i="14"/>
  <c r="I1565" i="14" s="1"/>
  <c r="K1565" i="14"/>
  <c r="F1566" i="14"/>
  <c r="H1566" i="14" s="1"/>
  <c r="G1566" i="14"/>
  <c r="I1566" i="14" s="1"/>
  <c r="K1566" i="14"/>
  <c r="F1567" i="14"/>
  <c r="H1567" i="14" s="1"/>
  <c r="G1567" i="14"/>
  <c r="I1567" i="14" s="1"/>
  <c r="K1567" i="14"/>
  <c r="F1568" i="14"/>
  <c r="H1568" i="14" s="1"/>
  <c r="G1568" i="14"/>
  <c r="I1568" i="14" s="1"/>
  <c r="K1568" i="14"/>
  <c r="F1569" i="14"/>
  <c r="H1569" i="14" s="1"/>
  <c r="G1569" i="14"/>
  <c r="I1569" i="14" s="1"/>
  <c r="K1569" i="14"/>
  <c r="F1570" i="14"/>
  <c r="H1570" i="14" s="1"/>
  <c r="G1570" i="14"/>
  <c r="I1570" i="14" s="1"/>
  <c r="K1570" i="14"/>
  <c r="F1571" i="14"/>
  <c r="H1571" i="14" s="1"/>
  <c r="G1571" i="14"/>
  <c r="I1571" i="14" s="1"/>
  <c r="J1571" i="14" s="1"/>
  <c r="K1571" i="14"/>
  <c r="F1572" i="14"/>
  <c r="H1572" i="14" s="1"/>
  <c r="G1572" i="14"/>
  <c r="I1572" i="14" s="1"/>
  <c r="K1572" i="14"/>
  <c r="F1573" i="14"/>
  <c r="H1573" i="14" s="1"/>
  <c r="G1573" i="14"/>
  <c r="I1573" i="14" s="1"/>
  <c r="K1573" i="14"/>
  <c r="F1574" i="14"/>
  <c r="H1574" i="14" s="1"/>
  <c r="G1574" i="14"/>
  <c r="I1574" i="14" s="1"/>
  <c r="K1574" i="14"/>
  <c r="F1575" i="14"/>
  <c r="H1575" i="14" s="1"/>
  <c r="G1575" i="14"/>
  <c r="I1575" i="14" s="1"/>
  <c r="K1575" i="14"/>
  <c r="F1576" i="14"/>
  <c r="H1576" i="14" s="1"/>
  <c r="G1576" i="14"/>
  <c r="I1576" i="14" s="1"/>
  <c r="K1576" i="14"/>
  <c r="F1577" i="14"/>
  <c r="H1577" i="14" s="1"/>
  <c r="G1577" i="14"/>
  <c r="I1577" i="14" s="1"/>
  <c r="K1577" i="14"/>
  <c r="F1578" i="14"/>
  <c r="H1578" i="14" s="1"/>
  <c r="G1578" i="14"/>
  <c r="I1578" i="14" s="1"/>
  <c r="K1578" i="14"/>
  <c r="F1579" i="14"/>
  <c r="H1579" i="14" s="1"/>
  <c r="G1579" i="14"/>
  <c r="I1579" i="14" s="1"/>
  <c r="K1579" i="14"/>
  <c r="F1580" i="14"/>
  <c r="H1580" i="14" s="1"/>
  <c r="G1580" i="14"/>
  <c r="I1580" i="14" s="1"/>
  <c r="K1580" i="14"/>
  <c r="F1581" i="14"/>
  <c r="H1581" i="14" s="1"/>
  <c r="G1581" i="14"/>
  <c r="I1581" i="14" s="1"/>
  <c r="J1581" i="14" s="1"/>
  <c r="K1581" i="14"/>
  <c r="F1582" i="14"/>
  <c r="G1582" i="14"/>
  <c r="I1582" i="14" s="1"/>
  <c r="H1582" i="14"/>
  <c r="K1582" i="14"/>
  <c r="F1583" i="14"/>
  <c r="H1583" i="14" s="1"/>
  <c r="G1583" i="14"/>
  <c r="I1583" i="14" s="1"/>
  <c r="K1583" i="14"/>
  <c r="F1584" i="14"/>
  <c r="H1584" i="14" s="1"/>
  <c r="G1584" i="14"/>
  <c r="I1584" i="14" s="1"/>
  <c r="K1584" i="14"/>
  <c r="F1585" i="14"/>
  <c r="H1585" i="14" s="1"/>
  <c r="G1585" i="14"/>
  <c r="I1585" i="14" s="1"/>
  <c r="J1585" i="14" s="1"/>
  <c r="K1585" i="14"/>
  <c r="F1586" i="14"/>
  <c r="H1586" i="14" s="1"/>
  <c r="G1586" i="14"/>
  <c r="I1586" i="14" s="1"/>
  <c r="K1586" i="14"/>
  <c r="F1587" i="14"/>
  <c r="H1587" i="14" s="1"/>
  <c r="G1587" i="14"/>
  <c r="I1587" i="14" s="1"/>
  <c r="K1587" i="14"/>
  <c r="F1588" i="14"/>
  <c r="H1588" i="14" s="1"/>
  <c r="G1588" i="14"/>
  <c r="I1588" i="14" s="1"/>
  <c r="K1588" i="14"/>
  <c r="F1589" i="14"/>
  <c r="H1589" i="14" s="1"/>
  <c r="G1589" i="14"/>
  <c r="I1589" i="14" s="1"/>
  <c r="K1589" i="14"/>
  <c r="F1590" i="14"/>
  <c r="H1590" i="14" s="1"/>
  <c r="G1590" i="14"/>
  <c r="I1590" i="14" s="1"/>
  <c r="K1590" i="14"/>
  <c r="F1591" i="14"/>
  <c r="H1591" i="14" s="1"/>
  <c r="G1591" i="14"/>
  <c r="I1591" i="14" s="1"/>
  <c r="K1591" i="14"/>
  <c r="F1592" i="14"/>
  <c r="H1592" i="14" s="1"/>
  <c r="G1592" i="14"/>
  <c r="I1592" i="14" s="1"/>
  <c r="K1592" i="14"/>
  <c r="F1593" i="14"/>
  <c r="H1593" i="14" s="1"/>
  <c r="G1593" i="14"/>
  <c r="I1593" i="14" s="1"/>
  <c r="K1593" i="14"/>
  <c r="F1594" i="14"/>
  <c r="H1594" i="14" s="1"/>
  <c r="G1594" i="14"/>
  <c r="I1594" i="14" s="1"/>
  <c r="K1594" i="14"/>
  <c r="F1595" i="14"/>
  <c r="H1595" i="14" s="1"/>
  <c r="G1595" i="14"/>
  <c r="I1595" i="14" s="1"/>
  <c r="K1595" i="14"/>
  <c r="F1596" i="14"/>
  <c r="H1596" i="14" s="1"/>
  <c r="G1596" i="14"/>
  <c r="I1596" i="14" s="1"/>
  <c r="K1596" i="14"/>
  <c r="F1597" i="14"/>
  <c r="H1597" i="14" s="1"/>
  <c r="G1597" i="14"/>
  <c r="I1597" i="14" s="1"/>
  <c r="K1597" i="14"/>
  <c r="F1598" i="14"/>
  <c r="H1598" i="14" s="1"/>
  <c r="G1598" i="14"/>
  <c r="I1598" i="14" s="1"/>
  <c r="K1598" i="14"/>
  <c r="F1599" i="14"/>
  <c r="H1599" i="14" s="1"/>
  <c r="G1599" i="14"/>
  <c r="I1599" i="14" s="1"/>
  <c r="K1599" i="14"/>
  <c r="F1600" i="14"/>
  <c r="H1600" i="14" s="1"/>
  <c r="G1600" i="14"/>
  <c r="I1600" i="14" s="1"/>
  <c r="K1600" i="14"/>
  <c r="F1601" i="14"/>
  <c r="H1601" i="14" s="1"/>
  <c r="G1601" i="14"/>
  <c r="I1601" i="14" s="1"/>
  <c r="K1601" i="14"/>
  <c r="F1602" i="14"/>
  <c r="H1602" i="14" s="1"/>
  <c r="G1602" i="14"/>
  <c r="I1602" i="14" s="1"/>
  <c r="K1602" i="14"/>
  <c r="F1603" i="14"/>
  <c r="H1603" i="14" s="1"/>
  <c r="G1603" i="14"/>
  <c r="I1603" i="14" s="1"/>
  <c r="K1603" i="14"/>
  <c r="F1604" i="14"/>
  <c r="H1604" i="14" s="1"/>
  <c r="G1604" i="14"/>
  <c r="I1604" i="14" s="1"/>
  <c r="K1604" i="14"/>
  <c r="F1605" i="14"/>
  <c r="H1605" i="14" s="1"/>
  <c r="G1605" i="14"/>
  <c r="I1605" i="14" s="1"/>
  <c r="J1605" i="14" s="1"/>
  <c r="K1605" i="14"/>
  <c r="F1606" i="14"/>
  <c r="H1606" i="14" s="1"/>
  <c r="G1606" i="14"/>
  <c r="I1606" i="14" s="1"/>
  <c r="K1606" i="14"/>
  <c r="F1607" i="14"/>
  <c r="H1607" i="14" s="1"/>
  <c r="G1607" i="14"/>
  <c r="I1607" i="14" s="1"/>
  <c r="K1607" i="14"/>
  <c r="F1608" i="14"/>
  <c r="G1608" i="14"/>
  <c r="I1608" i="14" s="1"/>
  <c r="H1608" i="14"/>
  <c r="K1608" i="14"/>
  <c r="F1609" i="14"/>
  <c r="H1609" i="14" s="1"/>
  <c r="G1609" i="14"/>
  <c r="I1609" i="14" s="1"/>
  <c r="K1609" i="14"/>
  <c r="F1610" i="14"/>
  <c r="H1610" i="14" s="1"/>
  <c r="G1610" i="14"/>
  <c r="I1610" i="14"/>
  <c r="K1610" i="14"/>
  <c r="F1611" i="14"/>
  <c r="H1611" i="14" s="1"/>
  <c r="G1611" i="14"/>
  <c r="I1611" i="14" s="1"/>
  <c r="K1611" i="14"/>
  <c r="F1612" i="14"/>
  <c r="H1612" i="14" s="1"/>
  <c r="G1612" i="14"/>
  <c r="I1612" i="14" s="1"/>
  <c r="K1612" i="14"/>
  <c r="F1613" i="14"/>
  <c r="H1613" i="14" s="1"/>
  <c r="G1613" i="14"/>
  <c r="I1613" i="14" s="1"/>
  <c r="K1613" i="14"/>
  <c r="F1614" i="14"/>
  <c r="H1614" i="14" s="1"/>
  <c r="G1614" i="14"/>
  <c r="I1614" i="14" s="1"/>
  <c r="K1614" i="14"/>
  <c r="F1615" i="14"/>
  <c r="H1615" i="14" s="1"/>
  <c r="G1615" i="14"/>
  <c r="I1615" i="14" s="1"/>
  <c r="K1615" i="14"/>
  <c r="F1616" i="14"/>
  <c r="H1616" i="14" s="1"/>
  <c r="G1616" i="14"/>
  <c r="I1616" i="14" s="1"/>
  <c r="K1616" i="14"/>
  <c r="F1617" i="14"/>
  <c r="H1617" i="14" s="1"/>
  <c r="G1617" i="14"/>
  <c r="I1617" i="14" s="1"/>
  <c r="K1617" i="14"/>
  <c r="F1618" i="14"/>
  <c r="H1618" i="14" s="1"/>
  <c r="G1618" i="14"/>
  <c r="I1618" i="14" s="1"/>
  <c r="K1618" i="14"/>
  <c r="F1619" i="14"/>
  <c r="H1619" i="14" s="1"/>
  <c r="G1619" i="14"/>
  <c r="I1619" i="14" s="1"/>
  <c r="J1619" i="14" s="1"/>
  <c r="K1619" i="14"/>
  <c r="F1620" i="14"/>
  <c r="G1620" i="14"/>
  <c r="I1620" i="14" s="1"/>
  <c r="H1620" i="14"/>
  <c r="K1620" i="14"/>
  <c r="F1621" i="14"/>
  <c r="H1621" i="14" s="1"/>
  <c r="G1621" i="14"/>
  <c r="I1621" i="14" s="1"/>
  <c r="J1621" i="14" s="1"/>
  <c r="K1621" i="14"/>
  <c r="F1622" i="14"/>
  <c r="H1622" i="14" s="1"/>
  <c r="G1622" i="14"/>
  <c r="I1622" i="14"/>
  <c r="K1622" i="14"/>
  <c r="F1623" i="14"/>
  <c r="H1623" i="14" s="1"/>
  <c r="G1623" i="14"/>
  <c r="I1623" i="14"/>
  <c r="J1623" i="14" s="1"/>
  <c r="K1623" i="14"/>
  <c r="F1624" i="14"/>
  <c r="G1624" i="14"/>
  <c r="I1624" i="14" s="1"/>
  <c r="H1624" i="14"/>
  <c r="K1624" i="14"/>
  <c r="F1625" i="14"/>
  <c r="H1625" i="14" s="1"/>
  <c r="G1625" i="14"/>
  <c r="I1625" i="14" s="1"/>
  <c r="K1625" i="14"/>
  <c r="F1626" i="14"/>
  <c r="H1626" i="14" s="1"/>
  <c r="G1626" i="14"/>
  <c r="I1626" i="14" s="1"/>
  <c r="K1626" i="14"/>
  <c r="F1627" i="14"/>
  <c r="H1627" i="14" s="1"/>
  <c r="G1627" i="14"/>
  <c r="I1627" i="14" s="1"/>
  <c r="K1627" i="14"/>
  <c r="F1628" i="14"/>
  <c r="H1628" i="14" s="1"/>
  <c r="G1628" i="14"/>
  <c r="I1628" i="14" s="1"/>
  <c r="K1628" i="14"/>
  <c r="F1629" i="14"/>
  <c r="H1629" i="14" s="1"/>
  <c r="G1629" i="14"/>
  <c r="I1629" i="14" s="1"/>
  <c r="K1629" i="14"/>
  <c r="F1630" i="14"/>
  <c r="H1630" i="14" s="1"/>
  <c r="G1630" i="14"/>
  <c r="I1630" i="14" s="1"/>
  <c r="K1630" i="14"/>
  <c r="F1631" i="14"/>
  <c r="H1631" i="14" s="1"/>
  <c r="J1631" i="14" s="1"/>
  <c r="G1631" i="14"/>
  <c r="I1631" i="14" s="1"/>
  <c r="K1631" i="14"/>
  <c r="F1632" i="14"/>
  <c r="H1632" i="14" s="1"/>
  <c r="G1632" i="14"/>
  <c r="I1632" i="14" s="1"/>
  <c r="K1632" i="14"/>
  <c r="F1633" i="14"/>
  <c r="H1633" i="14" s="1"/>
  <c r="G1633" i="14"/>
  <c r="I1633" i="14" s="1"/>
  <c r="K1633" i="14"/>
  <c r="F1634" i="14"/>
  <c r="H1634" i="14" s="1"/>
  <c r="G1634" i="14"/>
  <c r="I1634" i="14" s="1"/>
  <c r="J1634" i="14" s="1"/>
  <c r="K1634" i="14"/>
  <c r="F1635" i="14"/>
  <c r="H1635" i="14" s="1"/>
  <c r="G1635" i="14"/>
  <c r="I1635" i="14" s="1"/>
  <c r="K1635" i="14"/>
  <c r="F1636" i="14"/>
  <c r="H1636" i="14" s="1"/>
  <c r="G1636" i="14"/>
  <c r="I1636" i="14" s="1"/>
  <c r="K1636" i="14"/>
  <c r="F1637" i="14"/>
  <c r="H1637" i="14" s="1"/>
  <c r="G1637" i="14"/>
  <c r="I1637" i="14" s="1"/>
  <c r="K1637" i="14"/>
  <c r="F1638" i="14"/>
  <c r="H1638" i="14" s="1"/>
  <c r="G1638" i="14"/>
  <c r="I1638" i="14" s="1"/>
  <c r="K1638" i="14"/>
  <c r="F1639" i="14"/>
  <c r="H1639" i="14" s="1"/>
  <c r="G1639" i="14"/>
  <c r="I1639" i="14" s="1"/>
  <c r="K1639" i="14"/>
  <c r="F1640" i="14"/>
  <c r="H1640" i="14" s="1"/>
  <c r="G1640" i="14"/>
  <c r="I1640" i="14" s="1"/>
  <c r="K1640" i="14"/>
  <c r="F1641" i="14"/>
  <c r="H1641" i="14" s="1"/>
  <c r="G1641" i="14"/>
  <c r="I1641" i="14" s="1"/>
  <c r="K1641" i="14"/>
  <c r="F1642" i="14"/>
  <c r="H1642" i="14" s="1"/>
  <c r="G1642" i="14"/>
  <c r="I1642" i="14" s="1"/>
  <c r="K1642" i="14"/>
  <c r="F1643" i="14"/>
  <c r="H1643" i="14" s="1"/>
  <c r="G1643" i="14"/>
  <c r="I1643" i="14" s="1"/>
  <c r="K1643" i="14"/>
  <c r="F1644" i="14"/>
  <c r="H1644" i="14" s="1"/>
  <c r="G1644" i="14"/>
  <c r="I1644" i="14" s="1"/>
  <c r="K1644" i="14"/>
  <c r="F1645" i="14"/>
  <c r="H1645" i="14" s="1"/>
  <c r="G1645" i="14"/>
  <c r="I1645" i="14" s="1"/>
  <c r="K1645" i="14"/>
  <c r="F1646" i="14"/>
  <c r="H1646" i="14" s="1"/>
  <c r="G1646" i="14"/>
  <c r="I1646" i="14" s="1"/>
  <c r="K1646" i="14"/>
  <c r="F1647" i="14"/>
  <c r="H1647" i="14" s="1"/>
  <c r="G1647" i="14"/>
  <c r="I1647" i="14" s="1"/>
  <c r="K1647" i="14"/>
  <c r="F1648" i="14"/>
  <c r="H1648" i="14" s="1"/>
  <c r="G1648" i="14"/>
  <c r="I1648" i="14" s="1"/>
  <c r="K1648" i="14"/>
  <c r="F1649" i="14"/>
  <c r="H1649" i="14" s="1"/>
  <c r="G1649" i="14"/>
  <c r="I1649" i="14" s="1"/>
  <c r="K1649" i="14"/>
  <c r="F1650" i="14"/>
  <c r="H1650" i="14" s="1"/>
  <c r="G1650" i="14"/>
  <c r="I1650" i="14" s="1"/>
  <c r="K1650" i="14"/>
  <c r="F1651" i="14"/>
  <c r="H1651" i="14" s="1"/>
  <c r="G1651" i="14"/>
  <c r="I1651" i="14" s="1"/>
  <c r="K1651" i="14"/>
  <c r="F1652" i="14"/>
  <c r="H1652" i="14" s="1"/>
  <c r="G1652" i="14"/>
  <c r="I1652" i="14" s="1"/>
  <c r="K1652" i="14"/>
  <c r="F1653" i="14"/>
  <c r="H1653" i="14" s="1"/>
  <c r="G1653" i="14"/>
  <c r="I1653" i="14" s="1"/>
  <c r="K1653" i="14"/>
  <c r="F1654" i="14"/>
  <c r="H1654" i="14" s="1"/>
  <c r="G1654" i="14"/>
  <c r="I1654" i="14" s="1"/>
  <c r="K1654" i="14"/>
  <c r="F1655" i="14"/>
  <c r="H1655" i="14" s="1"/>
  <c r="G1655" i="14"/>
  <c r="I1655" i="14" s="1"/>
  <c r="K1655" i="14"/>
  <c r="F1656" i="14"/>
  <c r="H1656" i="14" s="1"/>
  <c r="G1656" i="14"/>
  <c r="I1656" i="14" s="1"/>
  <c r="K1656" i="14"/>
  <c r="F1657" i="14"/>
  <c r="H1657" i="14" s="1"/>
  <c r="G1657" i="14"/>
  <c r="I1657" i="14" s="1"/>
  <c r="K1657" i="14"/>
  <c r="F1658" i="14"/>
  <c r="H1658" i="14" s="1"/>
  <c r="G1658" i="14"/>
  <c r="I1658" i="14" s="1"/>
  <c r="K1658" i="14"/>
  <c r="F1659" i="14"/>
  <c r="H1659" i="14" s="1"/>
  <c r="G1659" i="14"/>
  <c r="I1659" i="14" s="1"/>
  <c r="K1659" i="14"/>
  <c r="F1660" i="14"/>
  <c r="H1660" i="14" s="1"/>
  <c r="G1660" i="14"/>
  <c r="I1660" i="14" s="1"/>
  <c r="K1660" i="14"/>
  <c r="F1661" i="14"/>
  <c r="H1661" i="14" s="1"/>
  <c r="G1661" i="14"/>
  <c r="I1661" i="14" s="1"/>
  <c r="K1661" i="14"/>
  <c r="F1662" i="14"/>
  <c r="H1662" i="14" s="1"/>
  <c r="G1662" i="14"/>
  <c r="I1662" i="14" s="1"/>
  <c r="K1662" i="14"/>
  <c r="F1663" i="14"/>
  <c r="H1663" i="14" s="1"/>
  <c r="G1663" i="14"/>
  <c r="I1663" i="14" s="1"/>
  <c r="K1663" i="14"/>
  <c r="F1664" i="14"/>
  <c r="H1664" i="14" s="1"/>
  <c r="G1664" i="14"/>
  <c r="I1664" i="14" s="1"/>
  <c r="K1664" i="14"/>
  <c r="F1665" i="14"/>
  <c r="H1665" i="14" s="1"/>
  <c r="G1665" i="14"/>
  <c r="I1665" i="14" s="1"/>
  <c r="K1665" i="14"/>
  <c r="F1666" i="14"/>
  <c r="H1666" i="14" s="1"/>
  <c r="G1666" i="14"/>
  <c r="I1666" i="14" s="1"/>
  <c r="K1666" i="14"/>
  <c r="F1667" i="14"/>
  <c r="H1667" i="14" s="1"/>
  <c r="G1667" i="14"/>
  <c r="I1667" i="14" s="1"/>
  <c r="K1667" i="14"/>
  <c r="F1668" i="14"/>
  <c r="H1668" i="14" s="1"/>
  <c r="G1668" i="14"/>
  <c r="I1668" i="14" s="1"/>
  <c r="K1668" i="14"/>
  <c r="F1669" i="14"/>
  <c r="H1669" i="14" s="1"/>
  <c r="G1669" i="14"/>
  <c r="I1669" i="14" s="1"/>
  <c r="K1669" i="14"/>
  <c r="F1670" i="14"/>
  <c r="H1670" i="14" s="1"/>
  <c r="G1670" i="14"/>
  <c r="I1670" i="14" s="1"/>
  <c r="K1670" i="14"/>
  <c r="F1671" i="14"/>
  <c r="H1671" i="14" s="1"/>
  <c r="G1671" i="14"/>
  <c r="I1671" i="14" s="1"/>
  <c r="K1671" i="14"/>
  <c r="F1672" i="14"/>
  <c r="H1672" i="14" s="1"/>
  <c r="G1672" i="14"/>
  <c r="I1672" i="14" s="1"/>
  <c r="K1672" i="14"/>
  <c r="F1673" i="14"/>
  <c r="H1673" i="14" s="1"/>
  <c r="G1673" i="14"/>
  <c r="I1673" i="14" s="1"/>
  <c r="K1673" i="14"/>
  <c r="F1674" i="14"/>
  <c r="H1674" i="14" s="1"/>
  <c r="G1674" i="14"/>
  <c r="I1674" i="14" s="1"/>
  <c r="K1674" i="14"/>
  <c r="F1675" i="14"/>
  <c r="H1675" i="14" s="1"/>
  <c r="G1675" i="14"/>
  <c r="I1675" i="14" s="1"/>
  <c r="K1675" i="14"/>
  <c r="F1676" i="14"/>
  <c r="H1676" i="14" s="1"/>
  <c r="G1676" i="14"/>
  <c r="I1676" i="14" s="1"/>
  <c r="K1676" i="14"/>
  <c r="F1677" i="14"/>
  <c r="H1677" i="14" s="1"/>
  <c r="G1677" i="14"/>
  <c r="I1677" i="14" s="1"/>
  <c r="K1677" i="14"/>
  <c r="F1678" i="14"/>
  <c r="H1678" i="14" s="1"/>
  <c r="G1678" i="14"/>
  <c r="I1678" i="14" s="1"/>
  <c r="K1678" i="14"/>
  <c r="F1679" i="14"/>
  <c r="H1679" i="14" s="1"/>
  <c r="G1679" i="14"/>
  <c r="I1679" i="14" s="1"/>
  <c r="K1679" i="14"/>
  <c r="F1680" i="14"/>
  <c r="H1680" i="14" s="1"/>
  <c r="G1680" i="14"/>
  <c r="I1680" i="14" s="1"/>
  <c r="K1680" i="14"/>
  <c r="F1681" i="14"/>
  <c r="H1681" i="14" s="1"/>
  <c r="G1681" i="14"/>
  <c r="I1681" i="14" s="1"/>
  <c r="K1681" i="14"/>
  <c r="F1682" i="14"/>
  <c r="H1682" i="14" s="1"/>
  <c r="G1682" i="14"/>
  <c r="I1682" i="14" s="1"/>
  <c r="K1682" i="14"/>
  <c r="F1683" i="14"/>
  <c r="H1683" i="14" s="1"/>
  <c r="G1683" i="14"/>
  <c r="I1683" i="14" s="1"/>
  <c r="K1683" i="14"/>
  <c r="F1684" i="14"/>
  <c r="H1684" i="14" s="1"/>
  <c r="G1684" i="14"/>
  <c r="I1684" i="14" s="1"/>
  <c r="K1684" i="14"/>
  <c r="F1685" i="14"/>
  <c r="H1685" i="14" s="1"/>
  <c r="G1685" i="14"/>
  <c r="I1685" i="14" s="1"/>
  <c r="K1685" i="14"/>
  <c r="F1686" i="14"/>
  <c r="H1686" i="14" s="1"/>
  <c r="G1686" i="14"/>
  <c r="I1686" i="14" s="1"/>
  <c r="K1686" i="14"/>
  <c r="F1687" i="14"/>
  <c r="H1687" i="14" s="1"/>
  <c r="G1687" i="14"/>
  <c r="I1687" i="14" s="1"/>
  <c r="K1687" i="14"/>
  <c r="F1688" i="14"/>
  <c r="H1688" i="14" s="1"/>
  <c r="G1688" i="14"/>
  <c r="I1688" i="14" s="1"/>
  <c r="K1688" i="14"/>
  <c r="F1689" i="14"/>
  <c r="H1689" i="14" s="1"/>
  <c r="G1689" i="14"/>
  <c r="I1689" i="14" s="1"/>
  <c r="K1689" i="14"/>
  <c r="F1690" i="14"/>
  <c r="H1690" i="14" s="1"/>
  <c r="G1690" i="14"/>
  <c r="I1690" i="14" s="1"/>
  <c r="K1690" i="14"/>
  <c r="F1691" i="14"/>
  <c r="H1691" i="14" s="1"/>
  <c r="G1691" i="14"/>
  <c r="I1691" i="14" s="1"/>
  <c r="K1691" i="14"/>
  <c r="F1692" i="14"/>
  <c r="H1692" i="14" s="1"/>
  <c r="G1692" i="14"/>
  <c r="I1692" i="14" s="1"/>
  <c r="K1692" i="14"/>
  <c r="F1693" i="14"/>
  <c r="H1693" i="14" s="1"/>
  <c r="G1693" i="14"/>
  <c r="I1693" i="14" s="1"/>
  <c r="K1693" i="14"/>
  <c r="F1694" i="14"/>
  <c r="H1694" i="14" s="1"/>
  <c r="G1694" i="14"/>
  <c r="I1694" i="14" s="1"/>
  <c r="K1694" i="14"/>
  <c r="F1695" i="14"/>
  <c r="H1695" i="14" s="1"/>
  <c r="G1695" i="14"/>
  <c r="I1695" i="14" s="1"/>
  <c r="K1695" i="14"/>
  <c r="F1696" i="14"/>
  <c r="H1696" i="14" s="1"/>
  <c r="G1696" i="14"/>
  <c r="I1696" i="14" s="1"/>
  <c r="K1696" i="14"/>
  <c r="F1697" i="14"/>
  <c r="H1697" i="14" s="1"/>
  <c r="G1697" i="14"/>
  <c r="I1697" i="14" s="1"/>
  <c r="K1697" i="14"/>
  <c r="F1698" i="14"/>
  <c r="H1698" i="14" s="1"/>
  <c r="G1698" i="14"/>
  <c r="I1698" i="14" s="1"/>
  <c r="K1698" i="14"/>
  <c r="F1699" i="14"/>
  <c r="H1699" i="14" s="1"/>
  <c r="G1699" i="14"/>
  <c r="I1699" i="14" s="1"/>
  <c r="K1699" i="14"/>
  <c r="F1700" i="14"/>
  <c r="H1700" i="14" s="1"/>
  <c r="G1700" i="14"/>
  <c r="I1700" i="14" s="1"/>
  <c r="K1700" i="14"/>
  <c r="F1701" i="14"/>
  <c r="H1701" i="14" s="1"/>
  <c r="G1701" i="14"/>
  <c r="I1701" i="14" s="1"/>
  <c r="K1701" i="14"/>
  <c r="F1702" i="14"/>
  <c r="H1702" i="14" s="1"/>
  <c r="G1702" i="14"/>
  <c r="I1702" i="14" s="1"/>
  <c r="K1702" i="14"/>
  <c r="F1703" i="14"/>
  <c r="H1703" i="14" s="1"/>
  <c r="G1703" i="14"/>
  <c r="I1703" i="14" s="1"/>
  <c r="K1703" i="14"/>
  <c r="F1704" i="14"/>
  <c r="H1704" i="14" s="1"/>
  <c r="G1704" i="14"/>
  <c r="I1704" i="14" s="1"/>
  <c r="K1704" i="14"/>
  <c r="F1705" i="14"/>
  <c r="H1705" i="14" s="1"/>
  <c r="G1705" i="14"/>
  <c r="I1705" i="14" s="1"/>
  <c r="K1705" i="14"/>
  <c r="F1706" i="14"/>
  <c r="H1706" i="14" s="1"/>
  <c r="G1706" i="14"/>
  <c r="I1706" i="14" s="1"/>
  <c r="K1706" i="14"/>
  <c r="F1707" i="14"/>
  <c r="H1707" i="14" s="1"/>
  <c r="G1707" i="14"/>
  <c r="I1707" i="14" s="1"/>
  <c r="K1707" i="14"/>
  <c r="F1708" i="14"/>
  <c r="H1708" i="14" s="1"/>
  <c r="G1708" i="14"/>
  <c r="I1708" i="14" s="1"/>
  <c r="K1708" i="14"/>
  <c r="F1709" i="14"/>
  <c r="H1709" i="14" s="1"/>
  <c r="G1709" i="14"/>
  <c r="I1709" i="14" s="1"/>
  <c r="K1709" i="14"/>
  <c r="F1710" i="14"/>
  <c r="H1710" i="14" s="1"/>
  <c r="G1710" i="14"/>
  <c r="I1710" i="14" s="1"/>
  <c r="K1710" i="14"/>
  <c r="F1711" i="14"/>
  <c r="H1711" i="14" s="1"/>
  <c r="G1711" i="14"/>
  <c r="I1711" i="14" s="1"/>
  <c r="K1711" i="14"/>
  <c r="F1712" i="14"/>
  <c r="H1712" i="14" s="1"/>
  <c r="G1712" i="14"/>
  <c r="I1712" i="14" s="1"/>
  <c r="K1712" i="14"/>
  <c r="F1713" i="14"/>
  <c r="H1713" i="14" s="1"/>
  <c r="G1713" i="14"/>
  <c r="I1713" i="14" s="1"/>
  <c r="K1713" i="14"/>
  <c r="F1714" i="14"/>
  <c r="H1714" i="14" s="1"/>
  <c r="G1714" i="14"/>
  <c r="I1714" i="14" s="1"/>
  <c r="K1714" i="14"/>
  <c r="F1715" i="14"/>
  <c r="H1715" i="14" s="1"/>
  <c r="G1715" i="14"/>
  <c r="I1715" i="14" s="1"/>
  <c r="K1715" i="14"/>
  <c r="F1716" i="14"/>
  <c r="H1716" i="14" s="1"/>
  <c r="G1716" i="14"/>
  <c r="I1716" i="14" s="1"/>
  <c r="K1716" i="14"/>
  <c r="F1717" i="14"/>
  <c r="H1717" i="14" s="1"/>
  <c r="G1717" i="14"/>
  <c r="I1717" i="14" s="1"/>
  <c r="K1717" i="14"/>
  <c r="F1718" i="14"/>
  <c r="H1718" i="14" s="1"/>
  <c r="G1718" i="14"/>
  <c r="I1718" i="14" s="1"/>
  <c r="K1718" i="14"/>
  <c r="F1719" i="14"/>
  <c r="H1719" i="14" s="1"/>
  <c r="G1719" i="14"/>
  <c r="I1719" i="14" s="1"/>
  <c r="K1719" i="14"/>
  <c r="F1720" i="14"/>
  <c r="H1720" i="14" s="1"/>
  <c r="G1720" i="14"/>
  <c r="I1720" i="14" s="1"/>
  <c r="K1720" i="14"/>
  <c r="F1721" i="14"/>
  <c r="H1721" i="14" s="1"/>
  <c r="G1721" i="14"/>
  <c r="I1721" i="14" s="1"/>
  <c r="K1721" i="14"/>
  <c r="F1722" i="14"/>
  <c r="H1722" i="14" s="1"/>
  <c r="G1722" i="14"/>
  <c r="I1722" i="14" s="1"/>
  <c r="K1722" i="14"/>
  <c r="F1723" i="14"/>
  <c r="H1723" i="14" s="1"/>
  <c r="G1723" i="14"/>
  <c r="I1723" i="14" s="1"/>
  <c r="K1723" i="14"/>
  <c r="F1724" i="14"/>
  <c r="H1724" i="14" s="1"/>
  <c r="G1724" i="14"/>
  <c r="I1724" i="14" s="1"/>
  <c r="K1724" i="14"/>
  <c r="F1725" i="14"/>
  <c r="H1725" i="14" s="1"/>
  <c r="G1725" i="14"/>
  <c r="I1725" i="14" s="1"/>
  <c r="K1725" i="14"/>
  <c r="F1726" i="14"/>
  <c r="H1726" i="14" s="1"/>
  <c r="G1726" i="14"/>
  <c r="I1726" i="14" s="1"/>
  <c r="K1726" i="14"/>
  <c r="F1727" i="14"/>
  <c r="H1727" i="14" s="1"/>
  <c r="G1727" i="14"/>
  <c r="I1727" i="14" s="1"/>
  <c r="K1727" i="14"/>
  <c r="F1728" i="14"/>
  <c r="H1728" i="14" s="1"/>
  <c r="G1728" i="14"/>
  <c r="I1728" i="14" s="1"/>
  <c r="K1728" i="14"/>
  <c r="F1729" i="14"/>
  <c r="H1729" i="14" s="1"/>
  <c r="G1729" i="14"/>
  <c r="I1729" i="14" s="1"/>
  <c r="K1729" i="14"/>
  <c r="F1730" i="14"/>
  <c r="H1730" i="14" s="1"/>
  <c r="G1730" i="14"/>
  <c r="I1730" i="14" s="1"/>
  <c r="K1730" i="14"/>
  <c r="F1731" i="14"/>
  <c r="H1731" i="14" s="1"/>
  <c r="G1731" i="14"/>
  <c r="I1731" i="14" s="1"/>
  <c r="K1731" i="14"/>
  <c r="F1732" i="14"/>
  <c r="H1732" i="14" s="1"/>
  <c r="G1732" i="14"/>
  <c r="I1732" i="14" s="1"/>
  <c r="K1732" i="14"/>
  <c r="F1733" i="14"/>
  <c r="H1733" i="14" s="1"/>
  <c r="G1733" i="14"/>
  <c r="I1733" i="14" s="1"/>
  <c r="K1733" i="14"/>
  <c r="F1734" i="14"/>
  <c r="H1734" i="14" s="1"/>
  <c r="G1734" i="14"/>
  <c r="I1734" i="14" s="1"/>
  <c r="K1734" i="14"/>
  <c r="F1735" i="14"/>
  <c r="H1735" i="14" s="1"/>
  <c r="G1735" i="14"/>
  <c r="I1735" i="14" s="1"/>
  <c r="K1735" i="14"/>
  <c r="F1736" i="14"/>
  <c r="H1736" i="14" s="1"/>
  <c r="G1736" i="14"/>
  <c r="I1736" i="14" s="1"/>
  <c r="K1736" i="14"/>
  <c r="F1737" i="14"/>
  <c r="H1737" i="14" s="1"/>
  <c r="G1737" i="14"/>
  <c r="I1737" i="14" s="1"/>
  <c r="K1737" i="14"/>
  <c r="F1738" i="14"/>
  <c r="H1738" i="14" s="1"/>
  <c r="G1738" i="14"/>
  <c r="I1738" i="14" s="1"/>
  <c r="K1738" i="14"/>
  <c r="F1739" i="14"/>
  <c r="H1739" i="14" s="1"/>
  <c r="G1739" i="14"/>
  <c r="I1739" i="14" s="1"/>
  <c r="K1739" i="14"/>
  <c r="F1740" i="14"/>
  <c r="H1740" i="14" s="1"/>
  <c r="G1740" i="14"/>
  <c r="I1740" i="14" s="1"/>
  <c r="K1740" i="14"/>
  <c r="F1741" i="14"/>
  <c r="H1741" i="14" s="1"/>
  <c r="G1741" i="14"/>
  <c r="I1741" i="14" s="1"/>
  <c r="K1741" i="14"/>
  <c r="F1742" i="14"/>
  <c r="H1742" i="14" s="1"/>
  <c r="G1742" i="14"/>
  <c r="I1742" i="14" s="1"/>
  <c r="K1742" i="14"/>
  <c r="F1743" i="14"/>
  <c r="H1743" i="14" s="1"/>
  <c r="G1743" i="14"/>
  <c r="I1743" i="14" s="1"/>
  <c r="K1743" i="14"/>
  <c r="F1744" i="14"/>
  <c r="H1744" i="14" s="1"/>
  <c r="G1744" i="14"/>
  <c r="I1744" i="14" s="1"/>
  <c r="K1744" i="14"/>
  <c r="F1745" i="14"/>
  <c r="H1745" i="14" s="1"/>
  <c r="G1745" i="14"/>
  <c r="I1745" i="14" s="1"/>
  <c r="K1745" i="14"/>
  <c r="F1746" i="14"/>
  <c r="H1746" i="14" s="1"/>
  <c r="G1746" i="14"/>
  <c r="I1746" i="14" s="1"/>
  <c r="K1746" i="14"/>
  <c r="F1747" i="14"/>
  <c r="H1747" i="14" s="1"/>
  <c r="G1747" i="14"/>
  <c r="I1747" i="14" s="1"/>
  <c r="K1747" i="14"/>
  <c r="F1748" i="14"/>
  <c r="H1748" i="14" s="1"/>
  <c r="G1748" i="14"/>
  <c r="I1748" i="14" s="1"/>
  <c r="K1748" i="14"/>
  <c r="F1749" i="14"/>
  <c r="H1749" i="14" s="1"/>
  <c r="G1749" i="14"/>
  <c r="I1749" i="14" s="1"/>
  <c r="K1749" i="14"/>
  <c r="F1750" i="14"/>
  <c r="H1750" i="14" s="1"/>
  <c r="G1750" i="14"/>
  <c r="I1750" i="14" s="1"/>
  <c r="K1750" i="14"/>
  <c r="F1751" i="14"/>
  <c r="H1751" i="14" s="1"/>
  <c r="G1751" i="14"/>
  <c r="I1751" i="14" s="1"/>
  <c r="K1751" i="14"/>
  <c r="F1752" i="14"/>
  <c r="H1752" i="14" s="1"/>
  <c r="G1752" i="14"/>
  <c r="I1752" i="14" s="1"/>
  <c r="K1752" i="14"/>
  <c r="F1753" i="14"/>
  <c r="H1753" i="14" s="1"/>
  <c r="G1753" i="14"/>
  <c r="I1753" i="14" s="1"/>
  <c r="K1753" i="14"/>
  <c r="F1754" i="14"/>
  <c r="H1754" i="14" s="1"/>
  <c r="G1754" i="14"/>
  <c r="I1754" i="14" s="1"/>
  <c r="K1754" i="14"/>
  <c r="F1755" i="14"/>
  <c r="H1755" i="14" s="1"/>
  <c r="G1755" i="14"/>
  <c r="I1755" i="14" s="1"/>
  <c r="K1755" i="14"/>
  <c r="F1756" i="14"/>
  <c r="H1756" i="14" s="1"/>
  <c r="G1756" i="14"/>
  <c r="I1756" i="14" s="1"/>
  <c r="K1756" i="14"/>
  <c r="F1757" i="14"/>
  <c r="H1757" i="14" s="1"/>
  <c r="G1757" i="14"/>
  <c r="I1757" i="14" s="1"/>
  <c r="K1757" i="14"/>
  <c r="F1758" i="14"/>
  <c r="H1758" i="14" s="1"/>
  <c r="G1758" i="14"/>
  <c r="I1758" i="14" s="1"/>
  <c r="K1758" i="14"/>
  <c r="F1759" i="14"/>
  <c r="H1759" i="14" s="1"/>
  <c r="G1759" i="14"/>
  <c r="I1759" i="14" s="1"/>
  <c r="K1759" i="14"/>
  <c r="F1760" i="14"/>
  <c r="H1760" i="14" s="1"/>
  <c r="G1760" i="14"/>
  <c r="I1760" i="14" s="1"/>
  <c r="K1760" i="14"/>
  <c r="F1761" i="14"/>
  <c r="H1761" i="14" s="1"/>
  <c r="G1761" i="14"/>
  <c r="I1761" i="14" s="1"/>
  <c r="K1761" i="14"/>
  <c r="F1762" i="14"/>
  <c r="H1762" i="14" s="1"/>
  <c r="G1762" i="14"/>
  <c r="I1762" i="14" s="1"/>
  <c r="K1762" i="14"/>
  <c r="F1763" i="14"/>
  <c r="H1763" i="14" s="1"/>
  <c r="G1763" i="14"/>
  <c r="I1763" i="14" s="1"/>
  <c r="K1763" i="14"/>
  <c r="F1764" i="14"/>
  <c r="H1764" i="14" s="1"/>
  <c r="G1764" i="14"/>
  <c r="I1764" i="14" s="1"/>
  <c r="K1764" i="14"/>
  <c r="F1765" i="14"/>
  <c r="H1765" i="14" s="1"/>
  <c r="G1765" i="14"/>
  <c r="I1765" i="14" s="1"/>
  <c r="K1765" i="14"/>
  <c r="F1766" i="14"/>
  <c r="H1766" i="14" s="1"/>
  <c r="G1766" i="14"/>
  <c r="I1766" i="14" s="1"/>
  <c r="K1766" i="14"/>
  <c r="F1767" i="14"/>
  <c r="H1767" i="14" s="1"/>
  <c r="G1767" i="14"/>
  <c r="I1767" i="14" s="1"/>
  <c r="K1767" i="14"/>
  <c r="F1768" i="14"/>
  <c r="H1768" i="14" s="1"/>
  <c r="G1768" i="14"/>
  <c r="I1768" i="14" s="1"/>
  <c r="K1768" i="14"/>
  <c r="F1769" i="14"/>
  <c r="H1769" i="14" s="1"/>
  <c r="G1769" i="14"/>
  <c r="I1769" i="14" s="1"/>
  <c r="K1769" i="14"/>
  <c r="F1770" i="14"/>
  <c r="H1770" i="14" s="1"/>
  <c r="G1770" i="14"/>
  <c r="I1770" i="14" s="1"/>
  <c r="K1770" i="14"/>
  <c r="F1771" i="14"/>
  <c r="H1771" i="14" s="1"/>
  <c r="G1771" i="14"/>
  <c r="I1771" i="14" s="1"/>
  <c r="K1771" i="14"/>
  <c r="F1772" i="14"/>
  <c r="H1772" i="14" s="1"/>
  <c r="G1772" i="14"/>
  <c r="I1772" i="14" s="1"/>
  <c r="K1772" i="14"/>
  <c r="F1773" i="14"/>
  <c r="H1773" i="14" s="1"/>
  <c r="G1773" i="14"/>
  <c r="I1773" i="14" s="1"/>
  <c r="K1773" i="14"/>
  <c r="F1774" i="14"/>
  <c r="H1774" i="14" s="1"/>
  <c r="G1774" i="14"/>
  <c r="I1774" i="14" s="1"/>
  <c r="K1774" i="14"/>
  <c r="F1775" i="14"/>
  <c r="H1775" i="14" s="1"/>
  <c r="G1775" i="14"/>
  <c r="I1775" i="14" s="1"/>
  <c r="K1775" i="14"/>
  <c r="F1776" i="14"/>
  <c r="H1776" i="14" s="1"/>
  <c r="G1776" i="14"/>
  <c r="I1776" i="14" s="1"/>
  <c r="K1776" i="14"/>
  <c r="F1777" i="14"/>
  <c r="H1777" i="14" s="1"/>
  <c r="G1777" i="14"/>
  <c r="I1777" i="14" s="1"/>
  <c r="K1777" i="14"/>
  <c r="F1778" i="14"/>
  <c r="H1778" i="14" s="1"/>
  <c r="G1778" i="14"/>
  <c r="I1778" i="14" s="1"/>
  <c r="K1778" i="14"/>
  <c r="F1779" i="14"/>
  <c r="H1779" i="14" s="1"/>
  <c r="G1779" i="14"/>
  <c r="I1779" i="14" s="1"/>
  <c r="K1779" i="14"/>
  <c r="F1780" i="14"/>
  <c r="H1780" i="14" s="1"/>
  <c r="G1780" i="14"/>
  <c r="I1780" i="14" s="1"/>
  <c r="K1780" i="14"/>
  <c r="F1781" i="14"/>
  <c r="H1781" i="14" s="1"/>
  <c r="G1781" i="14"/>
  <c r="I1781" i="14" s="1"/>
  <c r="K1781" i="14"/>
  <c r="F1782" i="14"/>
  <c r="H1782" i="14" s="1"/>
  <c r="G1782" i="14"/>
  <c r="I1782" i="14" s="1"/>
  <c r="K1782" i="14"/>
  <c r="F1783" i="14"/>
  <c r="H1783" i="14" s="1"/>
  <c r="G1783" i="14"/>
  <c r="I1783" i="14" s="1"/>
  <c r="K1783" i="14"/>
  <c r="F1784" i="14"/>
  <c r="H1784" i="14" s="1"/>
  <c r="G1784" i="14"/>
  <c r="I1784" i="14" s="1"/>
  <c r="K1784" i="14"/>
  <c r="F1785" i="14"/>
  <c r="H1785" i="14" s="1"/>
  <c r="G1785" i="14"/>
  <c r="I1785" i="14" s="1"/>
  <c r="K1785" i="14"/>
  <c r="F1786" i="14"/>
  <c r="H1786" i="14" s="1"/>
  <c r="G1786" i="14"/>
  <c r="I1786" i="14" s="1"/>
  <c r="K1786" i="14"/>
  <c r="F1787" i="14"/>
  <c r="H1787" i="14" s="1"/>
  <c r="G1787" i="14"/>
  <c r="I1787" i="14" s="1"/>
  <c r="K1787" i="14"/>
  <c r="F1788" i="14"/>
  <c r="H1788" i="14" s="1"/>
  <c r="G1788" i="14"/>
  <c r="I1788" i="14" s="1"/>
  <c r="K1788" i="14"/>
  <c r="F1789" i="14"/>
  <c r="H1789" i="14" s="1"/>
  <c r="G1789" i="14"/>
  <c r="I1789" i="14" s="1"/>
  <c r="K1789" i="14"/>
  <c r="F1790" i="14"/>
  <c r="H1790" i="14" s="1"/>
  <c r="G1790" i="14"/>
  <c r="I1790" i="14" s="1"/>
  <c r="K1790" i="14"/>
  <c r="F1791" i="14"/>
  <c r="H1791" i="14" s="1"/>
  <c r="G1791" i="14"/>
  <c r="I1791" i="14" s="1"/>
  <c r="K1791" i="14"/>
  <c r="F1792" i="14"/>
  <c r="H1792" i="14" s="1"/>
  <c r="G1792" i="14"/>
  <c r="I1792" i="14" s="1"/>
  <c r="K1792" i="14"/>
  <c r="F1793" i="14"/>
  <c r="H1793" i="14" s="1"/>
  <c r="G1793" i="14"/>
  <c r="I1793" i="14" s="1"/>
  <c r="K1793" i="14"/>
  <c r="F1794" i="14"/>
  <c r="H1794" i="14" s="1"/>
  <c r="G1794" i="14"/>
  <c r="I1794" i="14" s="1"/>
  <c r="K1794" i="14"/>
  <c r="F1795" i="14"/>
  <c r="H1795" i="14" s="1"/>
  <c r="G1795" i="14"/>
  <c r="I1795" i="14" s="1"/>
  <c r="K1795" i="14"/>
  <c r="F1796" i="14"/>
  <c r="H1796" i="14" s="1"/>
  <c r="G1796" i="14"/>
  <c r="I1796" i="14" s="1"/>
  <c r="K1796" i="14"/>
  <c r="F1797" i="14"/>
  <c r="H1797" i="14" s="1"/>
  <c r="G1797" i="14"/>
  <c r="I1797" i="14" s="1"/>
  <c r="K1797" i="14"/>
  <c r="F1798" i="14"/>
  <c r="H1798" i="14" s="1"/>
  <c r="G1798" i="14"/>
  <c r="I1798" i="14" s="1"/>
  <c r="K1798" i="14"/>
  <c r="F1799" i="14"/>
  <c r="H1799" i="14" s="1"/>
  <c r="G1799" i="14"/>
  <c r="I1799" i="14" s="1"/>
  <c r="K1799" i="14"/>
  <c r="F1800" i="14"/>
  <c r="H1800" i="14" s="1"/>
  <c r="G1800" i="14"/>
  <c r="I1800" i="14" s="1"/>
  <c r="K1800" i="14"/>
  <c r="F1801" i="14"/>
  <c r="H1801" i="14" s="1"/>
  <c r="G1801" i="14"/>
  <c r="I1801" i="14" s="1"/>
  <c r="K1801" i="14"/>
  <c r="F1802" i="14"/>
  <c r="H1802" i="14" s="1"/>
  <c r="G1802" i="14"/>
  <c r="I1802" i="14" s="1"/>
  <c r="K1802" i="14"/>
  <c r="F1803" i="14"/>
  <c r="H1803" i="14" s="1"/>
  <c r="G1803" i="14"/>
  <c r="I1803" i="14" s="1"/>
  <c r="K1803" i="14"/>
  <c r="F1804" i="14"/>
  <c r="H1804" i="14" s="1"/>
  <c r="G1804" i="14"/>
  <c r="I1804" i="14" s="1"/>
  <c r="K1804" i="14"/>
  <c r="F1805" i="14"/>
  <c r="H1805" i="14" s="1"/>
  <c r="G1805" i="14"/>
  <c r="I1805" i="14" s="1"/>
  <c r="K1805" i="14"/>
  <c r="F1806" i="14"/>
  <c r="H1806" i="14" s="1"/>
  <c r="G1806" i="14"/>
  <c r="I1806" i="14" s="1"/>
  <c r="K1806" i="14"/>
  <c r="F1807" i="14"/>
  <c r="H1807" i="14" s="1"/>
  <c r="G1807" i="14"/>
  <c r="I1807" i="14" s="1"/>
  <c r="K1807" i="14"/>
  <c r="F1808" i="14"/>
  <c r="H1808" i="14" s="1"/>
  <c r="G1808" i="14"/>
  <c r="I1808" i="14" s="1"/>
  <c r="K1808" i="14"/>
  <c r="F1809" i="14"/>
  <c r="H1809" i="14" s="1"/>
  <c r="G1809" i="14"/>
  <c r="I1809" i="14" s="1"/>
  <c r="K1809" i="14"/>
  <c r="F1810" i="14"/>
  <c r="H1810" i="14" s="1"/>
  <c r="G1810" i="14"/>
  <c r="I1810" i="14" s="1"/>
  <c r="K1810" i="14"/>
  <c r="F1811" i="14"/>
  <c r="H1811" i="14" s="1"/>
  <c r="G1811" i="14"/>
  <c r="I1811" i="14" s="1"/>
  <c r="K1811" i="14"/>
  <c r="F1812" i="14"/>
  <c r="H1812" i="14" s="1"/>
  <c r="G1812" i="14"/>
  <c r="I1812" i="14" s="1"/>
  <c r="K1812" i="14"/>
  <c r="F1813" i="14"/>
  <c r="H1813" i="14" s="1"/>
  <c r="G1813" i="14"/>
  <c r="I1813" i="14" s="1"/>
  <c r="K1813" i="14"/>
  <c r="F1814" i="14"/>
  <c r="H1814" i="14" s="1"/>
  <c r="G1814" i="14"/>
  <c r="I1814" i="14" s="1"/>
  <c r="K1814" i="14"/>
  <c r="F1815" i="14"/>
  <c r="H1815" i="14" s="1"/>
  <c r="G1815" i="14"/>
  <c r="I1815" i="14" s="1"/>
  <c r="K1815" i="14"/>
  <c r="F1816" i="14"/>
  <c r="H1816" i="14" s="1"/>
  <c r="G1816" i="14"/>
  <c r="I1816" i="14" s="1"/>
  <c r="K1816" i="14"/>
  <c r="F1817" i="14"/>
  <c r="H1817" i="14" s="1"/>
  <c r="G1817" i="14"/>
  <c r="I1817" i="14" s="1"/>
  <c r="K1817" i="14"/>
  <c r="F1818" i="14"/>
  <c r="H1818" i="14" s="1"/>
  <c r="G1818" i="14"/>
  <c r="I1818" i="14" s="1"/>
  <c r="K1818" i="14"/>
  <c r="F1819" i="14"/>
  <c r="H1819" i="14" s="1"/>
  <c r="G1819" i="14"/>
  <c r="I1819" i="14" s="1"/>
  <c r="K1819" i="14"/>
  <c r="F1820" i="14"/>
  <c r="H1820" i="14" s="1"/>
  <c r="G1820" i="14"/>
  <c r="I1820" i="14" s="1"/>
  <c r="K1820" i="14"/>
  <c r="F1821" i="14"/>
  <c r="H1821" i="14" s="1"/>
  <c r="G1821" i="14"/>
  <c r="I1821" i="14" s="1"/>
  <c r="K1821" i="14"/>
  <c r="F1822" i="14"/>
  <c r="H1822" i="14" s="1"/>
  <c r="G1822" i="14"/>
  <c r="I1822" i="14" s="1"/>
  <c r="K1822" i="14"/>
  <c r="F1823" i="14"/>
  <c r="H1823" i="14" s="1"/>
  <c r="G1823" i="14"/>
  <c r="I1823" i="14" s="1"/>
  <c r="K1823" i="14"/>
  <c r="F1824" i="14"/>
  <c r="H1824" i="14" s="1"/>
  <c r="G1824" i="14"/>
  <c r="I1824" i="14" s="1"/>
  <c r="K1824" i="14"/>
  <c r="F1825" i="14"/>
  <c r="H1825" i="14" s="1"/>
  <c r="G1825" i="14"/>
  <c r="I1825" i="14" s="1"/>
  <c r="K1825" i="14"/>
  <c r="F1826" i="14"/>
  <c r="H1826" i="14" s="1"/>
  <c r="G1826" i="14"/>
  <c r="I1826" i="14" s="1"/>
  <c r="K1826" i="14"/>
  <c r="F1827" i="14"/>
  <c r="H1827" i="14" s="1"/>
  <c r="G1827" i="14"/>
  <c r="I1827" i="14" s="1"/>
  <c r="K1827" i="14"/>
  <c r="F1828" i="14"/>
  <c r="H1828" i="14" s="1"/>
  <c r="G1828" i="14"/>
  <c r="I1828" i="14" s="1"/>
  <c r="K1828" i="14"/>
  <c r="F1829" i="14"/>
  <c r="H1829" i="14" s="1"/>
  <c r="G1829" i="14"/>
  <c r="I1829" i="14" s="1"/>
  <c r="K1829" i="14"/>
  <c r="F1830" i="14"/>
  <c r="H1830" i="14" s="1"/>
  <c r="G1830" i="14"/>
  <c r="I1830" i="14" s="1"/>
  <c r="K1830" i="14"/>
  <c r="F1831" i="14"/>
  <c r="H1831" i="14" s="1"/>
  <c r="G1831" i="14"/>
  <c r="I1831" i="14" s="1"/>
  <c r="K1831" i="14"/>
  <c r="F1832" i="14"/>
  <c r="H1832" i="14" s="1"/>
  <c r="G1832" i="14"/>
  <c r="I1832" i="14" s="1"/>
  <c r="K1832" i="14"/>
  <c r="F1833" i="14"/>
  <c r="H1833" i="14" s="1"/>
  <c r="G1833" i="14"/>
  <c r="I1833" i="14" s="1"/>
  <c r="K1833" i="14"/>
  <c r="F1834" i="14"/>
  <c r="H1834" i="14" s="1"/>
  <c r="G1834" i="14"/>
  <c r="I1834" i="14" s="1"/>
  <c r="K1834" i="14"/>
  <c r="F1835" i="14"/>
  <c r="H1835" i="14" s="1"/>
  <c r="G1835" i="14"/>
  <c r="I1835" i="14" s="1"/>
  <c r="K1835" i="14"/>
  <c r="F1836" i="14"/>
  <c r="H1836" i="14" s="1"/>
  <c r="G1836" i="14"/>
  <c r="I1836" i="14" s="1"/>
  <c r="K1836" i="14"/>
  <c r="F1837" i="14"/>
  <c r="H1837" i="14" s="1"/>
  <c r="G1837" i="14"/>
  <c r="I1837" i="14" s="1"/>
  <c r="K1837" i="14"/>
  <c r="F1838" i="14"/>
  <c r="H1838" i="14" s="1"/>
  <c r="G1838" i="14"/>
  <c r="I1838" i="14" s="1"/>
  <c r="K1838" i="14"/>
  <c r="F1839" i="14"/>
  <c r="H1839" i="14" s="1"/>
  <c r="G1839" i="14"/>
  <c r="I1839" i="14" s="1"/>
  <c r="K1839" i="14"/>
  <c r="F1840" i="14"/>
  <c r="H1840" i="14" s="1"/>
  <c r="G1840" i="14"/>
  <c r="I1840" i="14" s="1"/>
  <c r="K1840" i="14"/>
  <c r="F1841" i="14"/>
  <c r="H1841" i="14" s="1"/>
  <c r="G1841" i="14"/>
  <c r="I1841" i="14" s="1"/>
  <c r="K1841" i="14"/>
  <c r="F1842" i="14"/>
  <c r="H1842" i="14" s="1"/>
  <c r="G1842" i="14"/>
  <c r="I1842" i="14" s="1"/>
  <c r="K1842" i="14"/>
  <c r="F1843" i="14"/>
  <c r="H1843" i="14" s="1"/>
  <c r="G1843" i="14"/>
  <c r="I1843" i="14" s="1"/>
  <c r="K1843" i="14"/>
  <c r="F1844" i="14"/>
  <c r="H1844" i="14" s="1"/>
  <c r="G1844" i="14"/>
  <c r="I1844" i="14" s="1"/>
  <c r="K1844" i="14"/>
  <c r="F1845" i="14"/>
  <c r="H1845" i="14" s="1"/>
  <c r="G1845" i="14"/>
  <c r="I1845" i="14" s="1"/>
  <c r="K1845" i="14"/>
  <c r="F1846" i="14"/>
  <c r="H1846" i="14" s="1"/>
  <c r="G1846" i="14"/>
  <c r="I1846" i="14" s="1"/>
  <c r="K1846" i="14"/>
  <c r="F1847" i="14"/>
  <c r="H1847" i="14" s="1"/>
  <c r="G1847" i="14"/>
  <c r="I1847" i="14" s="1"/>
  <c r="K1847" i="14"/>
  <c r="F1848" i="14"/>
  <c r="H1848" i="14" s="1"/>
  <c r="G1848" i="14"/>
  <c r="I1848" i="14" s="1"/>
  <c r="K1848" i="14"/>
  <c r="F1849" i="14"/>
  <c r="H1849" i="14" s="1"/>
  <c r="G1849" i="14"/>
  <c r="I1849" i="14" s="1"/>
  <c r="K1849" i="14"/>
  <c r="F1850" i="14"/>
  <c r="H1850" i="14" s="1"/>
  <c r="G1850" i="14"/>
  <c r="I1850" i="14" s="1"/>
  <c r="K1850" i="14"/>
  <c r="F1851" i="14"/>
  <c r="H1851" i="14" s="1"/>
  <c r="G1851" i="14"/>
  <c r="I1851" i="14" s="1"/>
  <c r="K1851" i="14"/>
  <c r="F1852" i="14"/>
  <c r="H1852" i="14" s="1"/>
  <c r="G1852" i="14"/>
  <c r="I1852" i="14" s="1"/>
  <c r="K1852" i="14"/>
  <c r="F1853" i="14"/>
  <c r="H1853" i="14" s="1"/>
  <c r="G1853" i="14"/>
  <c r="I1853" i="14" s="1"/>
  <c r="K1853" i="14"/>
  <c r="F1854" i="14"/>
  <c r="H1854" i="14" s="1"/>
  <c r="G1854" i="14"/>
  <c r="I1854" i="14" s="1"/>
  <c r="K1854" i="14"/>
  <c r="F1855" i="14"/>
  <c r="H1855" i="14" s="1"/>
  <c r="G1855" i="14"/>
  <c r="I1855" i="14" s="1"/>
  <c r="K1855" i="14"/>
  <c r="F1856" i="14"/>
  <c r="H1856" i="14" s="1"/>
  <c r="G1856" i="14"/>
  <c r="I1856" i="14" s="1"/>
  <c r="K1856" i="14"/>
  <c r="F1857" i="14"/>
  <c r="H1857" i="14" s="1"/>
  <c r="G1857" i="14"/>
  <c r="I1857" i="14" s="1"/>
  <c r="K1857" i="14"/>
  <c r="F1858" i="14"/>
  <c r="H1858" i="14" s="1"/>
  <c r="G1858" i="14"/>
  <c r="I1858" i="14" s="1"/>
  <c r="K1858" i="14"/>
  <c r="F1859" i="14"/>
  <c r="H1859" i="14" s="1"/>
  <c r="G1859" i="14"/>
  <c r="I1859" i="14" s="1"/>
  <c r="K1859" i="14"/>
  <c r="F1860" i="14"/>
  <c r="H1860" i="14" s="1"/>
  <c r="G1860" i="14"/>
  <c r="I1860" i="14" s="1"/>
  <c r="K1860" i="14"/>
  <c r="F1861" i="14"/>
  <c r="H1861" i="14" s="1"/>
  <c r="G1861" i="14"/>
  <c r="I1861" i="14" s="1"/>
  <c r="K1861" i="14"/>
  <c r="F1862" i="14"/>
  <c r="H1862" i="14" s="1"/>
  <c r="G1862" i="14"/>
  <c r="I1862" i="14" s="1"/>
  <c r="K1862" i="14"/>
  <c r="F1863" i="14"/>
  <c r="H1863" i="14" s="1"/>
  <c r="G1863" i="14"/>
  <c r="I1863" i="14" s="1"/>
  <c r="K1863" i="14"/>
  <c r="F1864" i="14"/>
  <c r="H1864" i="14" s="1"/>
  <c r="G1864" i="14"/>
  <c r="I1864" i="14" s="1"/>
  <c r="K1864" i="14"/>
  <c r="F1865" i="14"/>
  <c r="H1865" i="14" s="1"/>
  <c r="G1865" i="14"/>
  <c r="I1865" i="14" s="1"/>
  <c r="K1865" i="14"/>
  <c r="F1866" i="14"/>
  <c r="H1866" i="14" s="1"/>
  <c r="G1866" i="14"/>
  <c r="I1866" i="14" s="1"/>
  <c r="K1866" i="14"/>
  <c r="F1867" i="14"/>
  <c r="H1867" i="14" s="1"/>
  <c r="G1867" i="14"/>
  <c r="I1867" i="14" s="1"/>
  <c r="K1867" i="14"/>
  <c r="F1868" i="14"/>
  <c r="H1868" i="14" s="1"/>
  <c r="G1868" i="14"/>
  <c r="I1868" i="14" s="1"/>
  <c r="K1868" i="14"/>
  <c r="F1869" i="14"/>
  <c r="H1869" i="14" s="1"/>
  <c r="G1869" i="14"/>
  <c r="I1869" i="14" s="1"/>
  <c r="K1869" i="14"/>
  <c r="F1870" i="14"/>
  <c r="H1870" i="14" s="1"/>
  <c r="G1870" i="14"/>
  <c r="I1870" i="14" s="1"/>
  <c r="K1870" i="14"/>
  <c r="F1871" i="14"/>
  <c r="H1871" i="14" s="1"/>
  <c r="G1871" i="14"/>
  <c r="I1871" i="14" s="1"/>
  <c r="K1871" i="14"/>
  <c r="F1872" i="14"/>
  <c r="H1872" i="14" s="1"/>
  <c r="G1872" i="14"/>
  <c r="I1872" i="14" s="1"/>
  <c r="K1872" i="14"/>
  <c r="F1873" i="14"/>
  <c r="H1873" i="14" s="1"/>
  <c r="G1873" i="14"/>
  <c r="I1873" i="14" s="1"/>
  <c r="K1873" i="14"/>
  <c r="F1874" i="14"/>
  <c r="H1874" i="14" s="1"/>
  <c r="G1874" i="14"/>
  <c r="I1874" i="14" s="1"/>
  <c r="K1874" i="14"/>
  <c r="F1875" i="14"/>
  <c r="H1875" i="14" s="1"/>
  <c r="G1875" i="14"/>
  <c r="I1875" i="14" s="1"/>
  <c r="K1875" i="14"/>
  <c r="F1876" i="14"/>
  <c r="H1876" i="14" s="1"/>
  <c r="G1876" i="14"/>
  <c r="I1876" i="14" s="1"/>
  <c r="K1876" i="14"/>
  <c r="F1877" i="14"/>
  <c r="H1877" i="14" s="1"/>
  <c r="G1877" i="14"/>
  <c r="I1877" i="14" s="1"/>
  <c r="K1877" i="14"/>
  <c r="F1878" i="14"/>
  <c r="H1878" i="14" s="1"/>
  <c r="G1878" i="14"/>
  <c r="I1878" i="14" s="1"/>
  <c r="K1878" i="14"/>
  <c r="F1879" i="14"/>
  <c r="H1879" i="14" s="1"/>
  <c r="G1879" i="14"/>
  <c r="I1879" i="14" s="1"/>
  <c r="K1879" i="14"/>
  <c r="F1880" i="14"/>
  <c r="H1880" i="14" s="1"/>
  <c r="G1880" i="14"/>
  <c r="I1880" i="14" s="1"/>
  <c r="K1880" i="14"/>
  <c r="F1881" i="14"/>
  <c r="H1881" i="14" s="1"/>
  <c r="G1881" i="14"/>
  <c r="I1881" i="14" s="1"/>
  <c r="K1881" i="14"/>
  <c r="F1882" i="14"/>
  <c r="H1882" i="14" s="1"/>
  <c r="G1882" i="14"/>
  <c r="I1882" i="14" s="1"/>
  <c r="K1882" i="14"/>
  <c r="F1883" i="14"/>
  <c r="H1883" i="14" s="1"/>
  <c r="G1883" i="14"/>
  <c r="I1883" i="14" s="1"/>
  <c r="K1883" i="14"/>
  <c r="F1884" i="14"/>
  <c r="H1884" i="14" s="1"/>
  <c r="G1884" i="14"/>
  <c r="I1884" i="14" s="1"/>
  <c r="K1884" i="14"/>
  <c r="F1885" i="14"/>
  <c r="H1885" i="14" s="1"/>
  <c r="G1885" i="14"/>
  <c r="I1885" i="14" s="1"/>
  <c r="K1885" i="14"/>
  <c r="F1886" i="14"/>
  <c r="H1886" i="14" s="1"/>
  <c r="G1886" i="14"/>
  <c r="I1886" i="14" s="1"/>
  <c r="K1886" i="14"/>
  <c r="F1887" i="14"/>
  <c r="H1887" i="14" s="1"/>
  <c r="G1887" i="14"/>
  <c r="I1887" i="14" s="1"/>
  <c r="K1887" i="14"/>
  <c r="F1888" i="14"/>
  <c r="H1888" i="14" s="1"/>
  <c r="G1888" i="14"/>
  <c r="I1888" i="14" s="1"/>
  <c r="K1888" i="14"/>
  <c r="F1889" i="14"/>
  <c r="H1889" i="14" s="1"/>
  <c r="G1889" i="14"/>
  <c r="I1889" i="14" s="1"/>
  <c r="K1889" i="14"/>
  <c r="F1890" i="14"/>
  <c r="H1890" i="14" s="1"/>
  <c r="G1890" i="14"/>
  <c r="I1890" i="14" s="1"/>
  <c r="K1890" i="14"/>
  <c r="F1891" i="14"/>
  <c r="H1891" i="14" s="1"/>
  <c r="G1891" i="14"/>
  <c r="I1891" i="14" s="1"/>
  <c r="K1891" i="14"/>
  <c r="F1892" i="14"/>
  <c r="H1892" i="14" s="1"/>
  <c r="G1892" i="14"/>
  <c r="I1892" i="14" s="1"/>
  <c r="K1892" i="14"/>
  <c r="F1893" i="14"/>
  <c r="H1893" i="14" s="1"/>
  <c r="G1893" i="14"/>
  <c r="I1893" i="14" s="1"/>
  <c r="K1893" i="14"/>
  <c r="F1894" i="14"/>
  <c r="H1894" i="14" s="1"/>
  <c r="G1894" i="14"/>
  <c r="I1894" i="14" s="1"/>
  <c r="K1894" i="14"/>
  <c r="F1895" i="14"/>
  <c r="H1895" i="14" s="1"/>
  <c r="G1895" i="14"/>
  <c r="I1895" i="14" s="1"/>
  <c r="K1895" i="14"/>
  <c r="F1896" i="14"/>
  <c r="H1896" i="14" s="1"/>
  <c r="G1896" i="14"/>
  <c r="I1896" i="14" s="1"/>
  <c r="K1896" i="14"/>
  <c r="F1897" i="14"/>
  <c r="H1897" i="14" s="1"/>
  <c r="G1897" i="14"/>
  <c r="I1897" i="14" s="1"/>
  <c r="K1897" i="14"/>
  <c r="F1898" i="14"/>
  <c r="H1898" i="14" s="1"/>
  <c r="G1898" i="14"/>
  <c r="I1898" i="14" s="1"/>
  <c r="K1898" i="14"/>
  <c r="F1899" i="14"/>
  <c r="H1899" i="14" s="1"/>
  <c r="G1899" i="14"/>
  <c r="I1899" i="14" s="1"/>
  <c r="K1899" i="14"/>
  <c r="F1900" i="14"/>
  <c r="H1900" i="14" s="1"/>
  <c r="G1900" i="14"/>
  <c r="I1900" i="14" s="1"/>
  <c r="J1900" i="14" s="1"/>
  <c r="K1900" i="14"/>
  <c r="F1901" i="14"/>
  <c r="G1901" i="14"/>
  <c r="I1901" i="14" s="1"/>
  <c r="H1901" i="14"/>
  <c r="K1901" i="14"/>
  <c r="F1902" i="14"/>
  <c r="H1902" i="14" s="1"/>
  <c r="G1902" i="14"/>
  <c r="I1902" i="14" s="1"/>
  <c r="K1902" i="14"/>
  <c r="F1903" i="14"/>
  <c r="H1903" i="14" s="1"/>
  <c r="G1903" i="14"/>
  <c r="I1903" i="14" s="1"/>
  <c r="K1903" i="14"/>
  <c r="F1904" i="14"/>
  <c r="H1904" i="14" s="1"/>
  <c r="G1904" i="14"/>
  <c r="I1904" i="14" s="1"/>
  <c r="K1904" i="14"/>
  <c r="F1905" i="14"/>
  <c r="H1905" i="14" s="1"/>
  <c r="G1905" i="14"/>
  <c r="I1905" i="14" s="1"/>
  <c r="K1905" i="14"/>
  <c r="F1906" i="14"/>
  <c r="H1906" i="14" s="1"/>
  <c r="G1906" i="14"/>
  <c r="I1906" i="14" s="1"/>
  <c r="K1906" i="14"/>
  <c r="F1907" i="14"/>
  <c r="H1907" i="14" s="1"/>
  <c r="G1907" i="14"/>
  <c r="I1907" i="14" s="1"/>
  <c r="K1907" i="14"/>
  <c r="F1908" i="14"/>
  <c r="H1908" i="14" s="1"/>
  <c r="G1908" i="14"/>
  <c r="I1908" i="14" s="1"/>
  <c r="J1908" i="14" s="1"/>
  <c r="K1908" i="14"/>
  <c r="F1909" i="14"/>
  <c r="H1909" i="14" s="1"/>
  <c r="G1909" i="14"/>
  <c r="I1909" i="14" s="1"/>
  <c r="K1909" i="14"/>
  <c r="F1910" i="14"/>
  <c r="H1910" i="14" s="1"/>
  <c r="G1910" i="14"/>
  <c r="I1910" i="14" s="1"/>
  <c r="K1910" i="14"/>
  <c r="F1911" i="14"/>
  <c r="H1911" i="14" s="1"/>
  <c r="G1911" i="14"/>
  <c r="I1911" i="14" s="1"/>
  <c r="K1911" i="14"/>
  <c r="F1912" i="14"/>
  <c r="H1912" i="14" s="1"/>
  <c r="G1912" i="14"/>
  <c r="I1912" i="14" s="1"/>
  <c r="K1912" i="14"/>
  <c r="F1913" i="14"/>
  <c r="H1913" i="14" s="1"/>
  <c r="G1913" i="14"/>
  <c r="I1913" i="14" s="1"/>
  <c r="K1913" i="14"/>
  <c r="F1914" i="14"/>
  <c r="H1914" i="14" s="1"/>
  <c r="G1914" i="14"/>
  <c r="I1914" i="14" s="1"/>
  <c r="K1914" i="14"/>
  <c r="F1915" i="14"/>
  <c r="G1915" i="14"/>
  <c r="I1915" i="14" s="1"/>
  <c r="H1915" i="14"/>
  <c r="K1915" i="14"/>
  <c r="F1916" i="14"/>
  <c r="H1916" i="14" s="1"/>
  <c r="G1916" i="14"/>
  <c r="I1916" i="14" s="1"/>
  <c r="J1916" i="14" s="1"/>
  <c r="K1916" i="14"/>
  <c r="F1917" i="14"/>
  <c r="G1917" i="14"/>
  <c r="I1917" i="14" s="1"/>
  <c r="H1917" i="14"/>
  <c r="K1917" i="14"/>
  <c r="F1918" i="14"/>
  <c r="H1918" i="14" s="1"/>
  <c r="G1918" i="14"/>
  <c r="I1918" i="14" s="1"/>
  <c r="K1918" i="14"/>
  <c r="F1919" i="14"/>
  <c r="H1919" i="14" s="1"/>
  <c r="G1919" i="14"/>
  <c r="I1919" i="14" s="1"/>
  <c r="K1919" i="14"/>
  <c r="F1920" i="14"/>
  <c r="H1920" i="14" s="1"/>
  <c r="G1920" i="14"/>
  <c r="I1920" i="14" s="1"/>
  <c r="K1920" i="14"/>
  <c r="F1921" i="14"/>
  <c r="H1921" i="14" s="1"/>
  <c r="G1921" i="14"/>
  <c r="I1921" i="14" s="1"/>
  <c r="K1921" i="14"/>
  <c r="F1922" i="14"/>
  <c r="H1922" i="14" s="1"/>
  <c r="G1922" i="14"/>
  <c r="I1922" i="14" s="1"/>
  <c r="K1922" i="14"/>
  <c r="F1923" i="14"/>
  <c r="H1923" i="14" s="1"/>
  <c r="G1923" i="14"/>
  <c r="I1923" i="14" s="1"/>
  <c r="K1923" i="14"/>
  <c r="F1924" i="14"/>
  <c r="H1924" i="14" s="1"/>
  <c r="G1924" i="14"/>
  <c r="I1924" i="14" s="1"/>
  <c r="J1924" i="14" s="1"/>
  <c r="K1924" i="14"/>
  <c r="F1925" i="14"/>
  <c r="H1925" i="14" s="1"/>
  <c r="G1925" i="14"/>
  <c r="I1925" i="14" s="1"/>
  <c r="K1925" i="14"/>
  <c r="F1926" i="14"/>
  <c r="H1926" i="14" s="1"/>
  <c r="G1926" i="14"/>
  <c r="I1926" i="14" s="1"/>
  <c r="K1926" i="14"/>
  <c r="F1927" i="14"/>
  <c r="H1927" i="14" s="1"/>
  <c r="G1927" i="14"/>
  <c r="I1927" i="14" s="1"/>
  <c r="K1927" i="14"/>
  <c r="F1928" i="14"/>
  <c r="H1928" i="14" s="1"/>
  <c r="G1928" i="14"/>
  <c r="I1928" i="14" s="1"/>
  <c r="K1928" i="14"/>
  <c r="F1929" i="14"/>
  <c r="H1929" i="14" s="1"/>
  <c r="G1929" i="14"/>
  <c r="I1929" i="14" s="1"/>
  <c r="K1929" i="14"/>
  <c r="F1930" i="14"/>
  <c r="H1930" i="14" s="1"/>
  <c r="G1930" i="14"/>
  <c r="I1930" i="14" s="1"/>
  <c r="K1930" i="14"/>
  <c r="F1931" i="14"/>
  <c r="G1931" i="14"/>
  <c r="I1931" i="14" s="1"/>
  <c r="H1931" i="14"/>
  <c r="K1931" i="14"/>
  <c r="F1932" i="14"/>
  <c r="H1932" i="14" s="1"/>
  <c r="G1932" i="14"/>
  <c r="I1932" i="14" s="1"/>
  <c r="J1932" i="14" s="1"/>
  <c r="K1932" i="14"/>
  <c r="F1933" i="14"/>
  <c r="G1933" i="14"/>
  <c r="I1933" i="14" s="1"/>
  <c r="H1933" i="14"/>
  <c r="K1933" i="14"/>
  <c r="F1934" i="14"/>
  <c r="H1934" i="14" s="1"/>
  <c r="G1934" i="14"/>
  <c r="I1934" i="14" s="1"/>
  <c r="K1934" i="14"/>
  <c r="F1935" i="14"/>
  <c r="H1935" i="14" s="1"/>
  <c r="G1935" i="14"/>
  <c r="I1935" i="14" s="1"/>
  <c r="K1935" i="14"/>
  <c r="F1936" i="14"/>
  <c r="H1936" i="14" s="1"/>
  <c r="G1936" i="14"/>
  <c r="I1936" i="14" s="1"/>
  <c r="K1936" i="14"/>
  <c r="F1937" i="14"/>
  <c r="H1937" i="14" s="1"/>
  <c r="G1937" i="14"/>
  <c r="I1937" i="14" s="1"/>
  <c r="K1937" i="14"/>
  <c r="F1938" i="14"/>
  <c r="H1938" i="14" s="1"/>
  <c r="G1938" i="14"/>
  <c r="I1938" i="14" s="1"/>
  <c r="K1938" i="14"/>
  <c r="F1939" i="14"/>
  <c r="H1939" i="14" s="1"/>
  <c r="G1939" i="14"/>
  <c r="I1939" i="14" s="1"/>
  <c r="K1939" i="14"/>
  <c r="F1940" i="14"/>
  <c r="H1940" i="14" s="1"/>
  <c r="G1940" i="14"/>
  <c r="I1940" i="14" s="1"/>
  <c r="J1940" i="14" s="1"/>
  <c r="K1940" i="14"/>
  <c r="F1941" i="14"/>
  <c r="H1941" i="14" s="1"/>
  <c r="G1941" i="14"/>
  <c r="I1941" i="14" s="1"/>
  <c r="K1941" i="14"/>
  <c r="F1942" i="14"/>
  <c r="H1942" i="14" s="1"/>
  <c r="G1942" i="14"/>
  <c r="I1942" i="14" s="1"/>
  <c r="K1942" i="14"/>
  <c r="F1943" i="14"/>
  <c r="H1943" i="14" s="1"/>
  <c r="G1943" i="14"/>
  <c r="I1943" i="14" s="1"/>
  <c r="K1943" i="14"/>
  <c r="F1944" i="14"/>
  <c r="H1944" i="14" s="1"/>
  <c r="G1944" i="14"/>
  <c r="I1944" i="14" s="1"/>
  <c r="K1944" i="14"/>
  <c r="F1945" i="14"/>
  <c r="H1945" i="14" s="1"/>
  <c r="G1945" i="14"/>
  <c r="I1945" i="14" s="1"/>
  <c r="K1945" i="14"/>
  <c r="F1946" i="14"/>
  <c r="H1946" i="14" s="1"/>
  <c r="G1946" i="14"/>
  <c r="I1946" i="14" s="1"/>
  <c r="K1946" i="14"/>
  <c r="F1947" i="14"/>
  <c r="G1947" i="14"/>
  <c r="I1947" i="14" s="1"/>
  <c r="H1947" i="14"/>
  <c r="K1947" i="14"/>
  <c r="F1948" i="14"/>
  <c r="H1948" i="14" s="1"/>
  <c r="G1948" i="14"/>
  <c r="I1948" i="14" s="1"/>
  <c r="J1948" i="14" s="1"/>
  <c r="K1948" i="14"/>
  <c r="F1949" i="14"/>
  <c r="G1949" i="14"/>
  <c r="I1949" i="14" s="1"/>
  <c r="H1949" i="14"/>
  <c r="K1949" i="14"/>
  <c r="F1950" i="14"/>
  <c r="H1950" i="14" s="1"/>
  <c r="G1950" i="14"/>
  <c r="I1950" i="14" s="1"/>
  <c r="K1950" i="14"/>
  <c r="F1951" i="14"/>
  <c r="H1951" i="14" s="1"/>
  <c r="G1951" i="14"/>
  <c r="I1951" i="14" s="1"/>
  <c r="K1951" i="14"/>
  <c r="F1952" i="14"/>
  <c r="H1952" i="14" s="1"/>
  <c r="G1952" i="14"/>
  <c r="I1952" i="14" s="1"/>
  <c r="K1952" i="14"/>
  <c r="F1953" i="14"/>
  <c r="H1953" i="14" s="1"/>
  <c r="G1953" i="14"/>
  <c r="I1953" i="14" s="1"/>
  <c r="K1953" i="14"/>
  <c r="F1954" i="14"/>
  <c r="H1954" i="14" s="1"/>
  <c r="G1954" i="14"/>
  <c r="I1954" i="14" s="1"/>
  <c r="K1954" i="14"/>
  <c r="F1955" i="14"/>
  <c r="H1955" i="14" s="1"/>
  <c r="G1955" i="14"/>
  <c r="I1955" i="14" s="1"/>
  <c r="K1955" i="14"/>
  <c r="F1956" i="14"/>
  <c r="H1956" i="14" s="1"/>
  <c r="G1956" i="14"/>
  <c r="I1956" i="14" s="1"/>
  <c r="J1956" i="14" s="1"/>
  <c r="K1956" i="14"/>
  <c r="F1957" i="14"/>
  <c r="H1957" i="14" s="1"/>
  <c r="G1957" i="14"/>
  <c r="I1957" i="14" s="1"/>
  <c r="K1957" i="14"/>
  <c r="F1958" i="14"/>
  <c r="H1958" i="14" s="1"/>
  <c r="G1958" i="14"/>
  <c r="I1958" i="14" s="1"/>
  <c r="K1958" i="14"/>
  <c r="F1959" i="14"/>
  <c r="H1959" i="14" s="1"/>
  <c r="G1959" i="14"/>
  <c r="I1959" i="14" s="1"/>
  <c r="K1959" i="14"/>
  <c r="F1960" i="14"/>
  <c r="H1960" i="14" s="1"/>
  <c r="G1960" i="14"/>
  <c r="I1960" i="14" s="1"/>
  <c r="K1960" i="14"/>
  <c r="F1961" i="14"/>
  <c r="H1961" i="14" s="1"/>
  <c r="G1961" i="14"/>
  <c r="I1961" i="14" s="1"/>
  <c r="K1961" i="14"/>
  <c r="F1962" i="14"/>
  <c r="H1962" i="14" s="1"/>
  <c r="G1962" i="14"/>
  <c r="I1962" i="14" s="1"/>
  <c r="K1962" i="14"/>
  <c r="F1963" i="14"/>
  <c r="G1963" i="14"/>
  <c r="I1963" i="14" s="1"/>
  <c r="H1963" i="14"/>
  <c r="K1963" i="14"/>
  <c r="F1964" i="14"/>
  <c r="H1964" i="14" s="1"/>
  <c r="G1964" i="14"/>
  <c r="I1964" i="14" s="1"/>
  <c r="J1964" i="14" s="1"/>
  <c r="K1964" i="14"/>
  <c r="F1965" i="14"/>
  <c r="G1965" i="14"/>
  <c r="I1965" i="14" s="1"/>
  <c r="H1965" i="14"/>
  <c r="K1965" i="14"/>
  <c r="F1966" i="14"/>
  <c r="H1966" i="14" s="1"/>
  <c r="G1966" i="14"/>
  <c r="I1966" i="14" s="1"/>
  <c r="K1966" i="14"/>
  <c r="F1967" i="14"/>
  <c r="H1967" i="14" s="1"/>
  <c r="G1967" i="14"/>
  <c r="I1967" i="14" s="1"/>
  <c r="K1967" i="14"/>
  <c r="F1968" i="14"/>
  <c r="H1968" i="14" s="1"/>
  <c r="G1968" i="14"/>
  <c r="I1968" i="14" s="1"/>
  <c r="K1968" i="14"/>
  <c r="F1969" i="14"/>
  <c r="H1969" i="14" s="1"/>
  <c r="G1969" i="14"/>
  <c r="I1969" i="14" s="1"/>
  <c r="K1969" i="14"/>
  <c r="F1970" i="14"/>
  <c r="H1970" i="14" s="1"/>
  <c r="G1970" i="14"/>
  <c r="I1970" i="14" s="1"/>
  <c r="K1970" i="14"/>
  <c r="F1971" i="14"/>
  <c r="H1971" i="14" s="1"/>
  <c r="G1971" i="14"/>
  <c r="I1971" i="14" s="1"/>
  <c r="K1971" i="14"/>
  <c r="F1972" i="14"/>
  <c r="H1972" i="14" s="1"/>
  <c r="G1972" i="14"/>
  <c r="I1972" i="14" s="1"/>
  <c r="J1972" i="14" s="1"/>
  <c r="K1972" i="14"/>
  <c r="F1973" i="14"/>
  <c r="H1973" i="14" s="1"/>
  <c r="G1973" i="14"/>
  <c r="I1973" i="14" s="1"/>
  <c r="K1973" i="14"/>
  <c r="F1974" i="14"/>
  <c r="H1974" i="14" s="1"/>
  <c r="G1974" i="14"/>
  <c r="I1974" i="14" s="1"/>
  <c r="K1974" i="14"/>
  <c r="F1975" i="14"/>
  <c r="H1975" i="14" s="1"/>
  <c r="G1975" i="14"/>
  <c r="I1975" i="14" s="1"/>
  <c r="K1975" i="14"/>
  <c r="F1976" i="14"/>
  <c r="H1976" i="14" s="1"/>
  <c r="G1976" i="14"/>
  <c r="I1976" i="14" s="1"/>
  <c r="K1976" i="14"/>
  <c r="F1977" i="14"/>
  <c r="H1977" i="14" s="1"/>
  <c r="G1977" i="14"/>
  <c r="I1977" i="14" s="1"/>
  <c r="K1977" i="14"/>
  <c r="F1978" i="14"/>
  <c r="H1978" i="14" s="1"/>
  <c r="G1978" i="14"/>
  <c r="I1978" i="14" s="1"/>
  <c r="K1978" i="14"/>
  <c r="F1979" i="14"/>
  <c r="G1979" i="14"/>
  <c r="I1979" i="14" s="1"/>
  <c r="H1979" i="14"/>
  <c r="K1979" i="14"/>
  <c r="F1980" i="14"/>
  <c r="H1980" i="14" s="1"/>
  <c r="G1980" i="14"/>
  <c r="I1980" i="14" s="1"/>
  <c r="J1980" i="14" s="1"/>
  <c r="K1980" i="14"/>
  <c r="F1981" i="14"/>
  <c r="G1981" i="14"/>
  <c r="I1981" i="14" s="1"/>
  <c r="H1981" i="14"/>
  <c r="K1981" i="14"/>
  <c r="F1982" i="14"/>
  <c r="H1982" i="14" s="1"/>
  <c r="G1982" i="14"/>
  <c r="I1982" i="14" s="1"/>
  <c r="K1982" i="14"/>
  <c r="F1983" i="14"/>
  <c r="H1983" i="14" s="1"/>
  <c r="G1983" i="14"/>
  <c r="I1983" i="14" s="1"/>
  <c r="K1983" i="14"/>
  <c r="F1984" i="14"/>
  <c r="H1984" i="14" s="1"/>
  <c r="G1984" i="14"/>
  <c r="I1984" i="14" s="1"/>
  <c r="K1984" i="14"/>
  <c r="F1985" i="14"/>
  <c r="H1985" i="14" s="1"/>
  <c r="G1985" i="14"/>
  <c r="I1985" i="14" s="1"/>
  <c r="K1985" i="14"/>
  <c r="F1986" i="14"/>
  <c r="H1986" i="14" s="1"/>
  <c r="G1986" i="14"/>
  <c r="I1986" i="14" s="1"/>
  <c r="K1986" i="14"/>
  <c r="F1987" i="14"/>
  <c r="H1987" i="14" s="1"/>
  <c r="G1987" i="14"/>
  <c r="I1987" i="14" s="1"/>
  <c r="K1987" i="14"/>
  <c r="F1988" i="14"/>
  <c r="H1988" i="14" s="1"/>
  <c r="G1988" i="14"/>
  <c r="I1988" i="14" s="1"/>
  <c r="J1988" i="14" s="1"/>
  <c r="K1988" i="14"/>
  <c r="F1989" i="14"/>
  <c r="H1989" i="14" s="1"/>
  <c r="G1989" i="14"/>
  <c r="I1989" i="14" s="1"/>
  <c r="K1989" i="14"/>
  <c r="F1990" i="14"/>
  <c r="H1990" i="14" s="1"/>
  <c r="G1990" i="14"/>
  <c r="I1990" i="14" s="1"/>
  <c r="K1990" i="14"/>
  <c r="F1991" i="14"/>
  <c r="H1991" i="14" s="1"/>
  <c r="G1991" i="14"/>
  <c r="I1991" i="14" s="1"/>
  <c r="K1991" i="14"/>
  <c r="F1992" i="14"/>
  <c r="H1992" i="14" s="1"/>
  <c r="G1992" i="14"/>
  <c r="I1992" i="14" s="1"/>
  <c r="K1992" i="14"/>
  <c r="F1993" i="14"/>
  <c r="H1993" i="14" s="1"/>
  <c r="G1993" i="14"/>
  <c r="I1993" i="14" s="1"/>
  <c r="K1993" i="14"/>
  <c r="F1994" i="14"/>
  <c r="H1994" i="14" s="1"/>
  <c r="G1994" i="14"/>
  <c r="I1994" i="14" s="1"/>
  <c r="K1994" i="14"/>
  <c r="F1995" i="14"/>
  <c r="G1995" i="14"/>
  <c r="I1995" i="14" s="1"/>
  <c r="H1995" i="14"/>
  <c r="K1995" i="14"/>
  <c r="F1996" i="14"/>
  <c r="H1996" i="14" s="1"/>
  <c r="G1996" i="14"/>
  <c r="I1996" i="14" s="1"/>
  <c r="J1996" i="14" s="1"/>
  <c r="K1996" i="14"/>
  <c r="F1997" i="14"/>
  <c r="G1997" i="14"/>
  <c r="I1997" i="14" s="1"/>
  <c r="H1997" i="14"/>
  <c r="K1997" i="14"/>
  <c r="F1998" i="14"/>
  <c r="H1998" i="14" s="1"/>
  <c r="G1998" i="14"/>
  <c r="I1998" i="14" s="1"/>
  <c r="K1998" i="14"/>
  <c r="F1999" i="14"/>
  <c r="H1999" i="14" s="1"/>
  <c r="G1999" i="14"/>
  <c r="I1999" i="14" s="1"/>
  <c r="K1999" i="14"/>
  <c r="F2000" i="14"/>
  <c r="H2000" i="14" s="1"/>
  <c r="G2000" i="14"/>
  <c r="I2000" i="14" s="1"/>
  <c r="K2000" i="14"/>
  <c r="F2001" i="14"/>
  <c r="H2001" i="14" s="1"/>
  <c r="G2001" i="14"/>
  <c r="I2001" i="14" s="1"/>
  <c r="K2001" i="14"/>
  <c r="F2002" i="14"/>
  <c r="H2002" i="14" s="1"/>
  <c r="G2002" i="14"/>
  <c r="I2002" i="14" s="1"/>
  <c r="K2002" i="14"/>
  <c r="F2003" i="14"/>
  <c r="H2003" i="14" s="1"/>
  <c r="G2003" i="14"/>
  <c r="I2003" i="14" s="1"/>
  <c r="K2003" i="14"/>
  <c r="F2004" i="14"/>
  <c r="H2004" i="14" s="1"/>
  <c r="G2004" i="14"/>
  <c r="I2004" i="14" s="1"/>
  <c r="J2004" i="14" s="1"/>
  <c r="K2004" i="14"/>
  <c r="F2005" i="14"/>
  <c r="H2005" i="14" s="1"/>
  <c r="G2005" i="14"/>
  <c r="I2005" i="14" s="1"/>
  <c r="K2005" i="14"/>
  <c r="F2006" i="14"/>
  <c r="H2006" i="14" s="1"/>
  <c r="G2006" i="14"/>
  <c r="I2006" i="14" s="1"/>
  <c r="K2006" i="14"/>
  <c r="F2007" i="14"/>
  <c r="H2007" i="14" s="1"/>
  <c r="G2007" i="14"/>
  <c r="I2007" i="14" s="1"/>
  <c r="K2007" i="14"/>
  <c r="F2008" i="14"/>
  <c r="H2008" i="14" s="1"/>
  <c r="G2008" i="14"/>
  <c r="I2008" i="14" s="1"/>
  <c r="K2008" i="14"/>
  <c r="F2009" i="14"/>
  <c r="H2009" i="14" s="1"/>
  <c r="G2009" i="14"/>
  <c r="I2009" i="14" s="1"/>
  <c r="K2009" i="14"/>
  <c r="F2010" i="14"/>
  <c r="H2010" i="14" s="1"/>
  <c r="G2010" i="14"/>
  <c r="I2010" i="14" s="1"/>
  <c r="K2010" i="14"/>
  <c r="F2011" i="14"/>
  <c r="G2011" i="14"/>
  <c r="I2011" i="14" s="1"/>
  <c r="H2011" i="14"/>
  <c r="K2011" i="14"/>
  <c r="F2012" i="14"/>
  <c r="H2012" i="14" s="1"/>
  <c r="G2012" i="14"/>
  <c r="I2012" i="14" s="1"/>
  <c r="J2012" i="14" s="1"/>
  <c r="K2012" i="14"/>
  <c r="F2013" i="14"/>
  <c r="G2013" i="14"/>
  <c r="H2013" i="14"/>
  <c r="I2013" i="14"/>
  <c r="K2013" i="14"/>
  <c r="F2014" i="14"/>
  <c r="H2014" i="14" s="1"/>
  <c r="G2014" i="14"/>
  <c r="I2014" i="14" s="1"/>
  <c r="J2014" i="14" s="1"/>
  <c r="K2014" i="14"/>
  <c r="F2015" i="14"/>
  <c r="G2015" i="14"/>
  <c r="I2015" i="14" s="1"/>
  <c r="H2015" i="14"/>
  <c r="K2015" i="14"/>
  <c r="F2016" i="14"/>
  <c r="H2016" i="14" s="1"/>
  <c r="G2016" i="14"/>
  <c r="I2016" i="14" s="1"/>
  <c r="K2016" i="14"/>
  <c r="F2017" i="14"/>
  <c r="H2017" i="14" s="1"/>
  <c r="G2017" i="14"/>
  <c r="I2017" i="14" s="1"/>
  <c r="K2017" i="14"/>
  <c r="F2018" i="14"/>
  <c r="H2018" i="14" s="1"/>
  <c r="G2018" i="14"/>
  <c r="I2018" i="14" s="1"/>
  <c r="K2018" i="14"/>
  <c r="F2019" i="14"/>
  <c r="H2019" i="14" s="1"/>
  <c r="G2019" i="14"/>
  <c r="I2019" i="14" s="1"/>
  <c r="K2019" i="14"/>
  <c r="F2020" i="14"/>
  <c r="H2020" i="14" s="1"/>
  <c r="G2020" i="14"/>
  <c r="I2020" i="14" s="1"/>
  <c r="K2020" i="14"/>
  <c r="F2021" i="14"/>
  <c r="H2021" i="14" s="1"/>
  <c r="G2021" i="14"/>
  <c r="I2021" i="14" s="1"/>
  <c r="K2021" i="14"/>
  <c r="F2022" i="14"/>
  <c r="H2022" i="14" s="1"/>
  <c r="G2022" i="14"/>
  <c r="I2022" i="14" s="1"/>
  <c r="J2022" i="14" s="1"/>
  <c r="K2022" i="14"/>
  <c r="F2023" i="14"/>
  <c r="H2023" i="14" s="1"/>
  <c r="G2023" i="14"/>
  <c r="I2023" i="14" s="1"/>
  <c r="K2023" i="14"/>
  <c r="F2024" i="14"/>
  <c r="H2024" i="14" s="1"/>
  <c r="G2024" i="14"/>
  <c r="I2024" i="14" s="1"/>
  <c r="K2024" i="14"/>
  <c r="F2025" i="14"/>
  <c r="G2025" i="14"/>
  <c r="I2025" i="14" s="1"/>
  <c r="H2025" i="14"/>
  <c r="K2025" i="14"/>
  <c r="F2026" i="14"/>
  <c r="H2026" i="14" s="1"/>
  <c r="G2026" i="14"/>
  <c r="I2026" i="14" s="1"/>
  <c r="K2026" i="14"/>
  <c r="F2027" i="14"/>
  <c r="H2027" i="14" s="1"/>
  <c r="G2027" i="14"/>
  <c r="I2027" i="14" s="1"/>
  <c r="K2027" i="14"/>
  <c r="F2028" i="14"/>
  <c r="H2028" i="14" s="1"/>
  <c r="G2028" i="14"/>
  <c r="I2028" i="14" s="1"/>
  <c r="K2028" i="14"/>
  <c r="F2029" i="14"/>
  <c r="H2029" i="14" s="1"/>
  <c r="G2029" i="14"/>
  <c r="I2029" i="14" s="1"/>
  <c r="K2029" i="14"/>
  <c r="F2030" i="14"/>
  <c r="H2030" i="14" s="1"/>
  <c r="G2030" i="14"/>
  <c r="I2030" i="14" s="1"/>
  <c r="K2030" i="14"/>
  <c r="F2031" i="14"/>
  <c r="H2031" i="14" s="1"/>
  <c r="G2031" i="14"/>
  <c r="I2031" i="14" s="1"/>
  <c r="K2031" i="14"/>
  <c r="F2032" i="14"/>
  <c r="H2032" i="14" s="1"/>
  <c r="G2032" i="14"/>
  <c r="I2032" i="14" s="1"/>
  <c r="K2032" i="14"/>
  <c r="F2033" i="14"/>
  <c r="H2033" i="14" s="1"/>
  <c r="G2033" i="14"/>
  <c r="I2033" i="14" s="1"/>
  <c r="K2033" i="14"/>
  <c r="F2034" i="14"/>
  <c r="H2034" i="14" s="1"/>
  <c r="G2034" i="14"/>
  <c r="I2034" i="14" s="1"/>
  <c r="K2034" i="14"/>
  <c r="F2035" i="14"/>
  <c r="G2035" i="14"/>
  <c r="I2035" i="14" s="1"/>
  <c r="H2035" i="14"/>
  <c r="K2035" i="14"/>
  <c r="F2036" i="14"/>
  <c r="H2036" i="14" s="1"/>
  <c r="G2036" i="14"/>
  <c r="I2036" i="14" s="1"/>
  <c r="K2036" i="14"/>
  <c r="F2037" i="14"/>
  <c r="H2037" i="14" s="1"/>
  <c r="G2037" i="14"/>
  <c r="I2037" i="14"/>
  <c r="K2037" i="14"/>
  <c r="F2038" i="14"/>
  <c r="H2038" i="14" s="1"/>
  <c r="G2038" i="14"/>
  <c r="I2038" i="14" s="1"/>
  <c r="K2038" i="14"/>
  <c r="F2039" i="14"/>
  <c r="H2039" i="14" s="1"/>
  <c r="G2039" i="14"/>
  <c r="I2039" i="14" s="1"/>
  <c r="K2039" i="14"/>
  <c r="F2040" i="14"/>
  <c r="H2040" i="14" s="1"/>
  <c r="G2040" i="14"/>
  <c r="I2040" i="14" s="1"/>
  <c r="K2040" i="14"/>
  <c r="F2041" i="14"/>
  <c r="H2041" i="14" s="1"/>
  <c r="G2041" i="14"/>
  <c r="I2041" i="14" s="1"/>
  <c r="K2041" i="14"/>
  <c r="F2042" i="14"/>
  <c r="H2042" i="14" s="1"/>
  <c r="G2042" i="14"/>
  <c r="I2042" i="14" s="1"/>
  <c r="K2042" i="14"/>
  <c r="F2043" i="14"/>
  <c r="H2043" i="14" s="1"/>
  <c r="G2043" i="14"/>
  <c r="I2043" i="14" s="1"/>
  <c r="K2043" i="14"/>
  <c r="F2044" i="14"/>
  <c r="H2044" i="14" s="1"/>
  <c r="G2044" i="14"/>
  <c r="I2044" i="14" s="1"/>
  <c r="J2044" i="14" s="1"/>
  <c r="K2044" i="14"/>
  <c r="F2045" i="14"/>
  <c r="H2045" i="14" s="1"/>
  <c r="G2045" i="14"/>
  <c r="I2045" i="14" s="1"/>
  <c r="K2045" i="14"/>
  <c r="F2046" i="14"/>
  <c r="H2046" i="14" s="1"/>
  <c r="G2046" i="14"/>
  <c r="I2046" i="14" s="1"/>
  <c r="J2046" i="14" s="1"/>
  <c r="K2046" i="14"/>
  <c r="F2047" i="14"/>
  <c r="H2047" i="14" s="1"/>
  <c r="G2047" i="14"/>
  <c r="I2047" i="14" s="1"/>
  <c r="K2047" i="14"/>
  <c r="F2048" i="14"/>
  <c r="H2048" i="14" s="1"/>
  <c r="G2048" i="14"/>
  <c r="I2048" i="14" s="1"/>
  <c r="K2048" i="14"/>
  <c r="F2049" i="14"/>
  <c r="H2049" i="14" s="1"/>
  <c r="G2049" i="14"/>
  <c r="I2049" i="14" s="1"/>
  <c r="K2049" i="14"/>
  <c r="F2050" i="14"/>
  <c r="H2050" i="14" s="1"/>
  <c r="G2050" i="14"/>
  <c r="I2050" i="14" s="1"/>
  <c r="K2050" i="14"/>
  <c r="F2051" i="14"/>
  <c r="H2051" i="14" s="1"/>
  <c r="G2051" i="14"/>
  <c r="I2051" i="14" s="1"/>
  <c r="K2051" i="14"/>
  <c r="F2052" i="14"/>
  <c r="H2052" i="14" s="1"/>
  <c r="G2052" i="14"/>
  <c r="I2052" i="14" s="1"/>
  <c r="K2052" i="14"/>
  <c r="F2053" i="14"/>
  <c r="G2053" i="14"/>
  <c r="I2053" i="14" s="1"/>
  <c r="H2053" i="14"/>
  <c r="K2053" i="14"/>
  <c r="F2054" i="14"/>
  <c r="H2054" i="14" s="1"/>
  <c r="G2054" i="14"/>
  <c r="I2054" i="14" s="1"/>
  <c r="J2054" i="14" s="1"/>
  <c r="K2054" i="14"/>
  <c r="F2055" i="14"/>
  <c r="G2055" i="14"/>
  <c r="I2055" i="14" s="1"/>
  <c r="H2055" i="14"/>
  <c r="K2055" i="14"/>
  <c r="F2056" i="14"/>
  <c r="H2056" i="14" s="1"/>
  <c r="G2056" i="14"/>
  <c r="I2056" i="14" s="1"/>
  <c r="K2056" i="14"/>
  <c r="F2057" i="14"/>
  <c r="H2057" i="14" s="1"/>
  <c r="G2057" i="14"/>
  <c r="I2057" i="14" s="1"/>
  <c r="K2057" i="14"/>
  <c r="F2058" i="14"/>
  <c r="H2058" i="14" s="1"/>
  <c r="G2058" i="14"/>
  <c r="I2058" i="14" s="1"/>
  <c r="K2058" i="14"/>
  <c r="F2059" i="14"/>
  <c r="H2059" i="14" s="1"/>
  <c r="G2059" i="14"/>
  <c r="I2059" i="14" s="1"/>
  <c r="K2059" i="14"/>
  <c r="F2060" i="14"/>
  <c r="H2060" i="14" s="1"/>
  <c r="G2060" i="14"/>
  <c r="I2060" i="14" s="1"/>
  <c r="K2060" i="14"/>
  <c r="F2061" i="14"/>
  <c r="H2061" i="14" s="1"/>
  <c r="G2061" i="14"/>
  <c r="I2061" i="14" s="1"/>
  <c r="K2061" i="14"/>
  <c r="F2062" i="14"/>
  <c r="H2062" i="14" s="1"/>
  <c r="G2062" i="14"/>
  <c r="I2062" i="14" s="1"/>
  <c r="K2062" i="14"/>
  <c r="F2063" i="14"/>
  <c r="H2063" i="14" s="1"/>
  <c r="G2063" i="14"/>
  <c r="I2063" i="14" s="1"/>
  <c r="K2063" i="14"/>
  <c r="F2064" i="14"/>
  <c r="H2064" i="14" s="1"/>
  <c r="G2064" i="14"/>
  <c r="I2064" i="14" s="1"/>
  <c r="K2064" i="14"/>
  <c r="F2065" i="14"/>
  <c r="G2065" i="14"/>
  <c r="I2065" i="14" s="1"/>
  <c r="H2065" i="14"/>
  <c r="K2065" i="14"/>
  <c r="F2066" i="14"/>
  <c r="H2066" i="14" s="1"/>
  <c r="G2066" i="14"/>
  <c r="I2066" i="14" s="1"/>
  <c r="K2066" i="14"/>
  <c r="F2067" i="14"/>
  <c r="H2067" i="14" s="1"/>
  <c r="G2067" i="14"/>
  <c r="I2067" i="14" s="1"/>
  <c r="K2067" i="14"/>
  <c r="F2068" i="14"/>
  <c r="H2068" i="14" s="1"/>
  <c r="G2068" i="14"/>
  <c r="I2068" i="14" s="1"/>
  <c r="K2068" i="14"/>
  <c r="F2069" i="14"/>
  <c r="H2069" i="14" s="1"/>
  <c r="G2069" i="14"/>
  <c r="I2069" i="14" s="1"/>
  <c r="K2069" i="14"/>
  <c r="F2070" i="14"/>
  <c r="H2070" i="14" s="1"/>
  <c r="G2070" i="14"/>
  <c r="I2070" i="14" s="1"/>
  <c r="K2070" i="14"/>
  <c r="F2071" i="14"/>
  <c r="H2071" i="14" s="1"/>
  <c r="G2071" i="14"/>
  <c r="I2071" i="14" s="1"/>
  <c r="K2071" i="14"/>
  <c r="F2072" i="14"/>
  <c r="H2072" i="14" s="1"/>
  <c r="G2072" i="14"/>
  <c r="I2072" i="14" s="1"/>
  <c r="K2072" i="14"/>
  <c r="F2073" i="14"/>
  <c r="H2073" i="14" s="1"/>
  <c r="G2073" i="14"/>
  <c r="I2073" i="14" s="1"/>
  <c r="K2073" i="14"/>
  <c r="F2074" i="14"/>
  <c r="H2074" i="14" s="1"/>
  <c r="G2074" i="14"/>
  <c r="I2074" i="14" s="1"/>
  <c r="K2074" i="14"/>
  <c r="F2075" i="14"/>
  <c r="H2075" i="14" s="1"/>
  <c r="G2075" i="14"/>
  <c r="I2075" i="14" s="1"/>
  <c r="J2075" i="14" s="1"/>
  <c r="K2075" i="14"/>
  <c r="F2076" i="14"/>
  <c r="H2076" i="14" s="1"/>
  <c r="G2076" i="14"/>
  <c r="I2076" i="14" s="1"/>
  <c r="K2076" i="14"/>
  <c r="F2077" i="14"/>
  <c r="H2077" i="14" s="1"/>
  <c r="G2077" i="14"/>
  <c r="I2077" i="14" s="1"/>
  <c r="K2077" i="14"/>
  <c r="F2078" i="14"/>
  <c r="H2078" i="14" s="1"/>
  <c r="G2078" i="14"/>
  <c r="I2078" i="14" s="1"/>
  <c r="K2078" i="14"/>
  <c r="F2079" i="14"/>
  <c r="H2079" i="14" s="1"/>
  <c r="G2079" i="14"/>
  <c r="I2079" i="14" s="1"/>
  <c r="K2079" i="14"/>
  <c r="F2080" i="14"/>
  <c r="H2080" i="14" s="1"/>
  <c r="G2080" i="14"/>
  <c r="I2080" i="14" s="1"/>
  <c r="K2080" i="14"/>
  <c r="F2081" i="14"/>
  <c r="H2081" i="14" s="1"/>
  <c r="G2081" i="14"/>
  <c r="I2081" i="14" s="1"/>
  <c r="K2081" i="14"/>
  <c r="F2082" i="14"/>
  <c r="H2082" i="14" s="1"/>
  <c r="G2082" i="14"/>
  <c r="I2082" i="14" s="1"/>
  <c r="K2082" i="14"/>
  <c r="F2083" i="14"/>
  <c r="H2083" i="14" s="1"/>
  <c r="G2083" i="14"/>
  <c r="I2083" i="14" s="1"/>
  <c r="K2083" i="14"/>
  <c r="F2084" i="14"/>
  <c r="H2084" i="14" s="1"/>
  <c r="G2084" i="14"/>
  <c r="I2084" i="14" s="1"/>
  <c r="K2084" i="14"/>
  <c r="F2085" i="14"/>
  <c r="H2085" i="14" s="1"/>
  <c r="G2085" i="14"/>
  <c r="I2085" i="14" s="1"/>
  <c r="K2085" i="14"/>
  <c r="F2086" i="14"/>
  <c r="H2086" i="14" s="1"/>
  <c r="G2086" i="14"/>
  <c r="I2086" i="14" s="1"/>
  <c r="K2086" i="14"/>
  <c r="F2087" i="14"/>
  <c r="H2087" i="14" s="1"/>
  <c r="G2087" i="14"/>
  <c r="I2087" i="14" s="1"/>
  <c r="K2087" i="14"/>
  <c r="F2088" i="14"/>
  <c r="H2088" i="14" s="1"/>
  <c r="G2088" i="14"/>
  <c r="I2088" i="14" s="1"/>
  <c r="K2088" i="14"/>
  <c r="F2089" i="14"/>
  <c r="H2089" i="14" s="1"/>
  <c r="G2089" i="14"/>
  <c r="I2089" i="14" s="1"/>
  <c r="K2089" i="14"/>
  <c r="F2090" i="14"/>
  <c r="H2090" i="14" s="1"/>
  <c r="G2090" i="14"/>
  <c r="I2090" i="14" s="1"/>
  <c r="K2090" i="14"/>
  <c r="F2091" i="14"/>
  <c r="H2091" i="14" s="1"/>
  <c r="G2091" i="14"/>
  <c r="I2091" i="14" s="1"/>
  <c r="K2091" i="14"/>
  <c r="F2092" i="14"/>
  <c r="H2092" i="14" s="1"/>
  <c r="G2092" i="14"/>
  <c r="I2092" i="14" s="1"/>
  <c r="K2092" i="14"/>
  <c r="F2093" i="14"/>
  <c r="H2093" i="14" s="1"/>
  <c r="G2093" i="14"/>
  <c r="I2093" i="14" s="1"/>
  <c r="J2093" i="14" s="1"/>
  <c r="K2093" i="14"/>
  <c r="F2094" i="14"/>
  <c r="H2094" i="14" s="1"/>
  <c r="G2094" i="14"/>
  <c r="I2094" i="14" s="1"/>
  <c r="K2094" i="14"/>
  <c r="F2095" i="14"/>
  <c r="H2095" i="14" s="1"/>
  <c r="G2095" i="14"/>
  <c r="I2095" i="14" s="1"/>
  <c r="K2095" i="14"/>
  <c r="F2096" i="14"/>
  <c r="H2096" i="14" s="1"/>
  <c r="G2096" i="14"/>
  <c r="I2096" i="14" s="1"/>
  <c r="K2096" i="14"/>
  <c r="F2097" i="14"/>
  <c r="H2097" i="14" s="1"/>
  <c r="G2097" i="14"/>
  <c r="I2097" i="14" s="1"/>
  <c r="K2097" i="14"/>
  <c r="F2098" i="14"/>
  <c r="G2098" i="14"/>
  <c r="I2098" i="14" s="1"/>
  <c r="H2098" i="14"/>
  <c r="K2098" i="14"/>
  <c r="F2099" i="14"/>
  <c r="H2099" i="14" s="1"/>
  <c r="G2099" i="14"/>
  <c r="I2099" i="14" s="1"/>
  <c r="K2099" i="14"/>
  <c r="F2100" i="14"/>
  <c r="H2100" i="14" s="1"/>
  <c r="G2100" i="14"/>
  <c r="I2100" i="14" s="1"/>
  <c r="K2100" i="14"/>
  <c r="F2101" i="14"/>
  <c r="H2101" i="14" s="1"/>
  <c r="G2101" i="14"/>
  <c r="I2101" i="14" s="1"/>
  <c r="K2101" i="14"/>
  <c r="F2102" i="14"/>
  <c r="H2102" i="14" s="1"/>
  <c r="G2102" i="14"/>
  <c r="I2102" i="14" s="1"/>
  <c r="K2102" i="14"/>
  <c r="F2103" i="14"/>
  <c r="H2103" i="14" s="1"/>
  <c r="G2103" i="14"/>
  <c r="I2103" i="14" s="1"/>
  <c r="K2103" i="14"/>
  <c r="F2104" i="14"/>
  <c r="H2104" i="14" s="1"/>
  <c r="G2104" i="14"/>
  <c r="I2104" i="14" s="1"/>
  <c r="K2104" i="14"/>
  <c r="F2105" i="14"/>
  <c r="H2105" i="14" s="1"/>
  <c r="G2105" i="14"/>
  <c r="I2105" i="14" s="1"/>
  <c r="K2105" i="14"/>
  <c r="F2106" i="14"/>
  <c r="G2106" i="14"/>
  <c r="I2106" i="14" s="1"/>
  <c r="J2106" i="14" s="1"/>
  <c r="H2106" i="14"/>
  <c r="K2106" i="14"/>
  <c r="F2107" i="14"/>
  <c r="H2107" i="14" s="1"/>
  <c r="G2107" i="14"/>
  <c r="I2107" i="14" s="1"/>
  <c r="J2107" i="14" s="1"/>
  <c r="K2107" i="14"/>
  <c r="F2108" i="14"/>
  <c r="H2108" i="14" s="1"/>
  <c r="G2108" i="14"/>
  <c r="I2108" i="14" s="1"/>
  <c r="K2108" i="14"/>
  <c r="F2109" i="14"/>
  <c r="H2109" i="14" s="1"/>
  <c r="G2109" i="14"/>
  <c r="I2109" i="14" s="1"/>
  <c r="K2109" i="14"/>
  <c r="F2110" i="14"/>
  <c r="H2110" i="14" s="1"/>
  <c r="G2110" i="14"/>
  <c r="I2110" i="14" s="1"/>
  <c r="K2110" i="14"/>
  <c r="F2111" i="14"/>
  <c r="H2111" i="14" s="1"/>
  <c r="G2111" i="14"/>
  <c r="I2111" i="14" s="1"/>
  <c r="K2111" i="14"/>
  <c r="F2112" i="14"/>
  <c r="H2112" i="14" s="1"/>
  <c r="G2112" i="14"/>
  <c r="I2112" i="14" s="1"/>
  <c r="K2112" i="14"/>
  <c r="F2113" i="14"/>
  <c r="H2113" i="14" s="1"/>
  <c r="G2113" i="14"/>
  <c r="I2113" i="14" s="1"/>
  <c r="J2113" i="14" s="1"/>
  <c r="K2113" i="14"/>
  <c r="F2114" i="14"/>
  <c r="H2114" i="14" s="1"/>
  <c r="G2114" i="14"/>
  <c r="I2114" i="14" s="1"/>
  <c r="K2114" i="14"/>
  <c r="F2115" i="14"/>
  <c r="H2115" i="14" s="1"/>
  <c r="G2115" i="14"/>
  <c r="I2115" i="14" s="1"/>
  <c r="K2115" i="14"/>
  <c r="F2116" i="14"/>
  <c r="H2116" i="14" s="1"/>
  <c r="G2116" i="14"/>
  <c r="I2116" i="14" s="1"/>
  <c r="K2116" i="14"/>
  <c r="F2117" i="14"/>
  <c r="H2117" i="14" s="1"/>
  <c r="G2117" i="14"/>
  <c r="I2117" i="14" s="1"/>
  <c r="K2117" i="14"/>
  <c r="F2118" i="14"/>
  <c r="H2118" i="14" s="1"/>
  <c r="G2118" i="14"/>
  <c r="I2118" i="14" s="1"/>
  <c r="K2118" i="14"/>
  <c r="F2119" i="14"/>
  <c r="H2119" i="14" s="1"/>
  <c r="G2119" i="14"/>
  <c r="I2119" i="14" s="1"/>
  <c r="K2119" i="14"/>
  <c r="F2120" i="14"/>
  <c r="H2120" i="14" s="1"/>
  <c r="G2120" i="14"/>
  <c r="I2120" i="14" s="1"/>
  <c r="K2120" i="14"/>
  <c r="F2121" i="14"/>
  <c r="H2121" i="14" s="1"/>
  <c r="G2121" i="14"/>
  <c r="I2121" i="14" s="1"/>
  <c r="K2121" i="14"/>
  <c r="F2122" i="14"/>
  <c r="H2122" i="14" s="1"/>
  <c r="G2122" i="14"/>
  <c r="I2122" i="14" s="1"/>
  <c r="K2122" i="14"/>
  <c r="F2123" i="14"/>
  <c r="H2123" i="14" s="1"/>
  <c r="G2123" i="14"/>
  <c r="I2123" i="14" s="1"/>
  <c r="J2123" i="14" s="1"/>
  <c r="K2123" i="14"/>
  <c r="F2124" i="14"/>
  <c r="H2124" i="14" s="1"/>
  <c r="G2124" i="14"/>
  <c r="I2124" i="14" s="1"/>
  <c r="K2124" i="14"/>
  <c r="F2125" i="14"/>
  <c r="H2125" i="14" s="1"/>
  <c r="G2125" i="14"/>
  <c r="I2125" i="14" s="1"/>
  <c r="K2125" i="14"/>
  <c r="F2126" i="14"/>
  <c r="H2126" i="14" s="1"/>
  <c r="G2126" i="14"/>
  <c r="I2126" i="14" s="1"/>
  <c r="K2126" i="14"/>
  <c r="F2127" i="14"/>
  <c r="H2127" i="14" s="1"/>
  <c r="G2127" i="14"/>
  <c r="I2127" i="14" s="1"/>
  <c r="J2127" i="14" s="1"/>
  <c r="K2127" i="14"/>
  <c r="F2128" i="14"/>
  <c r="H2128" i="14" s="1"/>
  <c r="G2128" i="14"/>
  <c r="I2128" i="14" s="1"/>
  <c r="K2128" i="14"/>
  <c r="F2129" i="14"/>
  <c r="H2129" i="14" s="1"/>
  <c r="G2129" i="14"/>
  <c r="I2129" i="14" s="1"/>
  <c r="K2129" i="14"/>
  <c r="F2130" i="14"/>
  <c r="H2130" i="14" s="1"/>
  <c r="G2130" i="14"/>
  <c r="I2130" i="14" s="1"/>
  <c r="K2130" i="14"/>
  <c r="F2131" i="14"/>
  <c r="H2131" i="14" s="1"/>
  <c r="G2131" i="14"/>
  <c r="I2131" i="14" s="1"/>
  <c r="J2131" i="14" s="1"/>
  <c r="K2131" i="14"/>
  <c r="F2132" i="14"/>
  <c r="H2132" i="14" s="1"/>
  <c r="G2132" i="14"/>
  <c r="I2132" i="14" s="1"/>
  <c r="K2132" i="14"/>
  <c r="F2133" i="14"/>
  <c r="H2133" i="14" s="1"/>
  <c r="G2133" i="14"/>
  <c r="I2133" i="14" s="1"/>
  <c r="K2133" i="14"/>
  <c r="F2134" i="14"/>
  <c r="H2134" i="14" s="1"/>
  <c r="G2134" i="14"/>
  <c r="I2134" i="14" s="1"/>
  <c r="K2134" i="14"/>
  <c r="F2135" i="14"/>
  <c r="H2135" i="14" s="1"/>
  <c r="G2135" i="14"/>
  <c r="I2135" i="14" s="1"/>
  <c r="K2135" i="14"/>
  <c r="F2136" i="14"/>
  <c r="H2136" i="14" s="1"/>
  <c r="G2136" i="14"/>
  <c r="I2136" i="14" s="1"/>
  <c r="K2136" i="14"/>
  <c r="F2137" i="14"/>
  <c r="H2137" i="14" s="1"/>
  <c r="G2137" i="14"/>
  <c r="I2137" i="14" s="1"/>
  <c r="K2137" i="14"/>
  <c r="F2138" i="14"/>
  <c r="H2138" i="14" s="1"/>
  <c r="G2138" i="14"/>
  <c r="I2138" i="14" s="1"/>
  <c r="K2138" i="14"/>
  <c r="F2139" i="14"/>
  <c r="H2139" i="14" s="1"/>
  <c r="G2139" i="14"/>
  <c r="I2139" i="14" s="1"/>
  <c r="K2139" i="14"/>
  <c r="F2140" i="14"/>
  <c r="H2140" i="14" s="1"/>
  <c r="G2140" i="14"/>
  <c r="I2140" i="14" s="1"/>
  <c r="K2140" i="14"/>
  <c r="F2141" i="14"/>
  <c r="H2141" i="14" s="1"/>
  <c r="G2141" i="14"/>
  <c r="I2141" i="14"/>
  <c r="K2141" i="14"/>
  <c r="F2142" i="14"/>
  <c r="H2142" i="14" s="1"/>
  <c r="G2142" i="14"/>
  <c r="I2142" i="14" s="1"/>
  <c r="K2142" i="14"/>
  <c r="F2143" i="14"/>
  <c r="H2143" i="14" s="1"/>
  <c r="G2143" i="14"/>
  <c r="I2143" i="14" s="1"/>
  <c r="K2143" i="14"/>
  <c r="F2144" i="14"/>
  <c r="H2144" i="14" s="1"/>
  <c r="G2144" i="14"/>
  <c r="I2144" i="14" s="1"/>
  <c r="K2144" i="14"/>
  <c r="F2145" i="14"/>
  <c r="H2145" i="14" s="1"/>
  <c r="G2145" i="14"/>
  <c r="I2145" i="14" s="1"/>
  <c r="J2145" i="14" s="1"/>
  <c r="K2145" i="14"/>
  <c r="F2146" i="14"/>
  <c r="H2146" i="14" s="1"/>
  <c r="G2146" i="14"/>
  <c r="I2146" i="14" s="1"/>
  <c r="K2146" i="14"/>
  <c r="F2147" i="14"/>
  <c r="H2147" i="14" s="1"/>
  <c r="G2147" i="14"/>
  <c r="I2147" i="14" s="1"/>
  <c r="K2147" i="14"/>
  <c r="F2148" i="14"/>
  <c r="H2148" i="14" s="1"/>
  <c r="G2148" i="14"/>
  <c r="I2148" i="14" s="1"/>
  <c r="K2148" i="14"/>
  <c r="F2149" i="14"/>
  <c r="H2149" i="14" s="1"/>
  <c r="G2149" i="14"/>
  <c r="I2149" i="14" s="1"/>
  <c r="K2149" i="14"/>
  <c r="F2150" i="14"/>
  <c r="H2150" i="14" s="1"/>
  <c r="G2150" i="14"/>
  <c r="I2150" i="14" s="1"/>
  <c r="K2150" i="14"/>
  <c r="F2151" i="14"/>
  <c r="H2151" i="14" s="1"/>
  <c r="G2151" i="14"/>
  <c r="I2151" i="14" s="1"/>
  <c r="J2151" i="14" s="1"/>
  <c r="K2151" i="14"/>
  <c r="F2152" i="14"/>
  <c r="H2152" i="14" s="1"/>
  <c r="G2152" i="14"/>
  <c r="I2152" i="14" s="1"/>
  <c r="K2152" i="14"/>
  <c r="F2153" i="14"/>
  <c r="H2153" i="14" s="1"/>
  <c r="G2153" i="14"/>
  <c r="I2153" i="14" s="1"/>
  <c r="K2153" i="14"/>
  <c r="F2154" i="14"/>
  <c r="H2154" i="14" s="1"/>
  <c r="G2154" i="14"/>
  <c r="I2154" i="14" s="1"/>
  <c r="K2154" i="14"/>
  <c r="F2155" i="14"/>
  <c r="H2155" i="14" s="1"/>
  <c r="G2155" i="14"/>
  <c r="I2155" i="14" s="1"/>
  <c r="J2155" i="14" s="1"/>
  <c r="K2155" i="14"/>
  <c r="F2156" i="14"/>
  <c r="H2156" i="14" s="1"/>
  <c r="G2156" i="14"/>
  <c r="I2156" i="14" s="1"/>
  <c r="K2156" i="14"/>
  <c r="F2157" i="14"/>
  <c r="H2157" i="14" s="1"/>
  <c r="G2157" i="14"/>
  <c r="I2157" i="14" s="1"/>
  <c r="K2157" i="14"/>
  <c r="F2158" i="14"/>
  <c r="H2158" i="14" s="1"/>
  <c r="G2158" i="14"/>
  <c r="I2158" i="14" s="1"/>
  <c r="K2158" i="14"/>
  <c r="F2159" i="14"/>
  <c r="H2159" i="14" s="1"/>
  <c r="G2159" i="14"/>
  <c r="I2159" i="14" s="1"/>
  <c r="K2159" i="14"/>
  <c r="F2160" i="14"/>
  <c r="H2160" i="14" s="1"/>
  <c r="G2160" i="14"/>
  <c r="I2160" i="14" s="1"/>
  <c r="K2160" i="14"/>
  <c r="F2161" i="14"/>
  <c r="H2161" i="14" s="1"/>
  <c r="G2161" i="14"/>
  <c r="I2161" i="14" s="1"/>
  <c r="K2161" i="14"/>
  <c r="F2162" i="14"/>
  <c r="H2162" i="14" s="1"/>
  <c r="G2162" i="14"/>
  <c r="I2162" i="14" s="1"/>
  <c r="K2162" i="14"/>
  <c r="F2163" i="14"/>
  <c r="H2163" i="14" s="1"/>
  <c r="G2163" i="14"/>
  <c r="I2163" i="14" s="1"/>
  <c r="K2163" i="14"/>
  <c r="F2164" i="14"/>
  <c r="H2164" i="14" s="1"/>
  <c r="G2164" i="14"/>
  <c r="I2164" i="14" s="1"/>
  <c r="K2164" i="14"/>
  <c r="F2165" i="14"/>
  <c r="H2165" i="14" s="1"/>
  <c r="G2165" i="14"/>
  <c r="I2165" i="14" s="1"/>
  <c r="K2165" i="14"/>
  <c r="F2166" i="14"/>
  <c r="H2166" i="14" s="1"/>
  <c r="G2166" i="14"/>
  <c r="I2166" i="14" s="1"/>
  <c r="K2166" i="14"/>
  <c r="F2167" i="14"/>
  <c r="H2167" i="14" s="1"/>
  <c r="G2167" i="14"/>
  <c r="I2167" i="14" s="1"/>
  <c r="K2167" i="14"/>
  <c r="F2168" i="14"/>
  <c r="H2168" i="14" s="1"/>
  <c r="G2168" i="14"/>
  <c r="I2168" i="14" s="1"/>
  <c r="K2168" i="14"/>
  <c r="F2169" i="14"/>
  <c r="H2169" i="14" s="1"/>
  <c r="G2169" i="14"/>
  <c r="I2169" i="14" s="1"/>
  <c r="K2169" i="14"/>
  <c r="F2170" i="14"/>
  <c r="H2170" i="14" s="1"/>
  <c r="G2170" i="14"/>
  <c r="I2170" i="14" s="1"/>
  <c r="K2170" i="14"/>
  <c r="F2171" i="14"/>
  <c r="H2171" i="14" s="1"/>
  <c r="G2171" i="14"/>
  <c r="I2171" i="14" s="1"/>
  <c r="K2171" i="14"/>
  <c r="F2172" i="14"/>
  <c r="H2172" i="14" s="1"/>
  <c r="G2172" i="14"/>
  <c r="I2172" i="14" s="1"/>
  <c r="K2172" i="14"/>
  <c r="F2173" i="14"/>
  <c r="H2173" i="14" s="1"/>
  <c r="G2173" i="14"/>
  <c r="I2173" i="14" s="1"/>
  <c r="K2173" i="14"/>
  <c r="F2174" i="14"/>
  <c r="H2174" i="14" s="1"/>
  <c r="G2174" i="14"/>
  <c r="I2174" i="14" s="1"/>
  <c r="J2174" i="14" s="1"/>
  <c r="K2174" i="14"/>
  <c r="F2175" i="14"/>
  <c r="H2175" i="14" s="1"/>
  <c r="G2175" i="14"/>
  <c r="I2175" i="14" s="1"/>
  <c r="K2175" i="14"/>
  <c r="F2176" i="14"/>
  <c r="H2176" i="14" s="1"/>
  <c r="G2176" i="14"/>
  <c r="I2176" i="14" s="1"/>
  <c r="J2176" i="14" s="1"/>
  <c r="K2176" i="14"/>
  <c r="F2177" i="14"/>
  <c r="H2177" i="14" s="1"/>
  <c r="G2177" i="14"/>
  <c r="I2177" i="14" s="1"/>
  <c r="K2177" i="14"/>
  <c r="F2178" i="14"/>
  <c r="H2178" i="14" s="1"/>
  <c r="G2178" i="14"/>
  <c r="I2178" i="14" s="1"/>
  <c r="K2178" i="14"/>
  <c r="F2179" i="14"/>
  <c r="H2179" i="14" s="1"/>
  <c r="G2179" i="14"/>
  <c r="I2179" i="14" s="1"/>
  <c r="K2179" i="14"/>
  <c r="F2180" i="14"/>
  <c r="H2180" i="14" s="1"/>
  <c r="G2180" i="14"/>
  <c r="I2180" i="14" s="1"/>
  <c r="K2180" i="14"/>
  <c r="F2181" i="14"/>
  <c r="H2181" i="14" s="1"/>
  <c r="G2181" i="14"/>
  <c r="I2181" i="14"/>
  <c r="K2181" i="14"/>
  <c r="F2182" i="14"/>
  <c r="H2182" i="14" s="1"/>
  <c r="G2182" i="14"/>
  <c r="I2182" i="14" s="1"/>
  <c r="K2182" i="14"/>
  <c r="F2183" i="14"/>
  <c r="H2183" i="14" s="1"/>
  <c r="G2183" i="14"/>
  <c r="I2183" i="14" s="1"/>
  <c r="J2183" i="14" s="1"/>
  <c r="K2183" i="14"/>
  <c r="F2184" i="14"/>
  <c r="H2184" i="14" s="1"/>
  <c r="G2184" i="14"/>
  <c r="I2184" i="14" s="1"/>
  <c r="K2184" i="14"/>
  <c r="F2185" i="14"/>
  <c r="H2185" i="14" s="1"/>
  <c r="G2185" i="14"/>
  <c r="I2185" i="14" s="1"/>
  <c r="J2185" i="14" s="1"/>
  <c r="K2185" i="14"/>
  <c r="F2186" i="14"/>
  <c r="H2186" i="14" s="1"/>
  <c r="G2186" i="14"/>
  <c r="I2186" i="14"/>
  <c r="K2186" i="14"/>
  <c r="F2187" i="14"/>
  <c r="H2187" i="14" s="1"/>
  <c r="G2187" i="14"/>
  <c r="I2187" i="14"/>
  <c r="K2187" i="14"/>
  <c r="F2188" i="14"/>
  <c r="H2188" i="14" s="1"/>
  <c r="G2188" i="14"/>
  <c r="I2188" i="14" s="1"/>
  <c r="K2188" i="14"/>
  <c r="F2189" i="14"/>
  <c r="H2189" i="14" s="1"/>
  <c r="G2189" i="14"/>
  <c r="I2189" i="14" s="1"/>
  <c r="K2189" i="14"/>
  <c r="F2190" i="14"/>
  <c r="H2190" i="14" s="1"/>
  <c r="G2190" i="14"/>
  <c r="I2190" i="14" s="1"/>
  <c r="K2190" i="14"/>
  <c r="F2191" i="14"/>
  <c r="H2191" i="14" s="1"/>
  <c r="G2191" i="14"/>
  <c r="I2191" i="14" s="1"/>
  <c r="K2191" i="14"/>
  <c r="F2192" i="14"/>
  <c r="G2192" i="14"/>
  <c r="I2192" i="14" s="1"/>
  <c r="J2192" i="14" s="1"/>
  <c r="H2192" i="14"/>
  <c r="K2192" i="14"/>
  <c r="F2193" i="14"/>
  <c r="H2193" i="14" s="1"/>
  <c r="G2193" i="14"/>
  <c r="I2193" i="14" s="1"/>
  <c r="J2193" i="14" s="1"/>
  <c r="K2193" i="14"/>
  <c r="F2194" i="14"/>
  <c r="G2194" i="14"/>
  <c r="I2194" i="14" s="1"/>
  <c r="H2194" i="14"/>
  <c r="K2194" i="14"/>
  <c r="F2195" i="14"/>
  <c r="H2195" i="14" s="1"/>
  <c r="G2195" i="14"/>
  <c r="I2195" i="14"/>
  <c r="K2195" i="14"/>
  <c r="F2196" i="14"/>
  <c r="H2196" i="14" s="1"/>
  <c r="G2196" i="14"/>
  <c r="I2196" i="14" s="1"/>
  <c r="K2196" i="14"/>
  <c r="F2197" i="14"/>
  <c r="H2197" i="14" s="1"/>
  <c r="G2197" i="14"/>
  <c r="I2197" i="14" s="1"/>
  <c r="K2197" i="14"/>
  <c r="F2198" i="14"/>
  <c r="H2198" i="14" s="1"/>
  <c r="G2198" i="14"/>
  <c r="I2198" i="14" s="1"/>
  <c r="K2198" i="14"/>
  <c r="F2199" i="14"/>
  <c r="H2199" i="14" s="1"/>
  <c r="G2199" i="14"/>
  <c r="I2199" i="14" s="1"/>
  <c r="K2199" i="14"/>
  <c r="F2200" i="14"/>
  <c r="H2200" i="14" s="1"/>
  <c r="G2200" i="14"/>
  <c r="I2200" i="14" s="1"/>
  <c r="K2200" i="14"/>
  <c r="F2201" i="14"/>
  <c r="H2201" i="14" s="1"/>
  <c r="G2201" i="14"/>
  <c r="I2201" i="14" s="1"/>
  <c r="K2201" i="14"/>
  <c r="F2202" i="14"/>
  <c r="H2202" i="14" s="1"/>
  <c r="G2202" i="14"/>
  <c r="I2202" i="14" s="1"/>
  <c r="K2202" i="14"/>
  <c r="F2203" i="14"/>
  <c r="H2203" i="14" s="1"/>
  <c r="G2203" i="14"/>
  <c r="I2203" i="14" s="1"/>
  <c r="K2203" i="14"/>
  <c r="F2204" i="14"/>
  <c r="H2204" i="14" s="1"/>
  <c r="G2204" i="14"/>
  <c r="I2204" i="14"/>
  <c r="K2204" i="14"/>
  <c r="F2205" i="14"/>
  <c r="H2205" i="14" s="1"/>
  <c r="G2205" i="14"/>
  <c r="I2205" i="14" s="1"/>
  <c r="K2205" i="14"/>
  <c r="F2206" i="14"/>
  <c r="H2206" i="14" s="1"/>
  <c r="G2206" i="14"/>
  <c r="I2206" i="14" s="1"/>
  <c r="K2206" i="14"/>
  <c r="F2207" i="14"/>
  <c r="H2207" i="14" s="1"/>
  <c r="G2207" i="14"/>
  <c r="I2207" i="14" s="1"/>
  <c r="K2207" i="14"/>
  <c r="F2208" i="14"/>
  <c r="H2208" i="14" s="1"/>
  <c r="G2208" i="14"/>
  <c r="I2208" i="14"/>
  <c r="K2208" i="14"/>
  <c r="F2209" i="14"/>
  <c r="H2209" i="14" s="1"/>
  <c r="G2209" i="14"/>
  <c r="I2209" i="14" s="1"/>
  <c r="K2209" i="14"/>
  <c r="F2210" i="14"/>
  <c r="H2210" i="14" s="1"/>
  <c r="G2210" i="14"/>
  <c r="I2210" i="14" s="1"/>
  <c r="K2210" i="14"/>
  <c r="F2211" i="14"/>
  <c r="H2211" i="14" s="1"/>
  <c r="G2211" i="14"/>
  <c r="I2211" i="14" s="1"/>
  <c r="K2211" i="14"/>
  <c r="F2212" i="14"/>
  <c r="H2212" i="14" s="1"/>
  <c r="G2212" i="14"/>
  <c r="I2212" i="14"/>
  <c r="K2212" i="14"/>
  <c r="F2213" i="14"/>
  <c r="H2213" i="14" s="1"/>
  <c r="G2213" i="14"/>
  <c r="I2213" i="14" s="1"/>
  <c r="K2213" i="14"/>
  <c r="F2214" i="14"/>
  <c r="H2214" i="14" s="1"/>
  <c r="G2214" i="14"/>
  <c r="I2214" i="14" s="1"/>
  <c r="K2214" i="14"/>
  <c r="F2215" i="14"/>
  <c r="H2215" i="14" s="1"/>
  <c r="G2215" i="14"/>
  <c r="I2215" i="14" s="1"/>
  <c r="K2215" i="14"/>
  <c r="F2216" i="14"/>
  <c r="H2216" i="14" s="1"/>
  <c r="G2216" i="14"/>
  <c r="I2216" i="14"/>
  <c r="K2216" i="14"/>
  <c r="F2217" i="14"/>
  <c r="H2217" i="14" s="1"/>
  <c r="G2217" i="14"/>
  <c r="I2217" i="14" s="1"/>
  <c r="K2217" i="14"/>
  <c r="F2218" i="14"/>
  <c r="H2218" i="14" s="1"/>
  <c r="G2218" i="14"/>
  <c r="I2218" i="14" s="1"/>
  <c r="K2218" i="14"/>
  <c r="F2219" i="14"/>
  <c r="H2219" i="14" s="1"/>
  <c r="G2219" i="14"/>
  <c r="I2219" i="14" s="1"/>
  <c r="K2219" i="14"/>
  <c r="F2220" i="14"/>
  <c r="H2220" i="14" s="1"/>
  <c r="G2220" i="14"/>
  <c r="I2220" i="14"/>
  <c r="K2220" i="14"/>
  <c r="F2221" i="14"/>
  <c r="H2221" i="14" s="1"/>
  <c r="G2221" i="14"/>
  <c r="I2221" i="14" s="1"/>
  <c r="K2221" i="14"/>
  <c r="F2222" i="14"/>
  <c r="H2222" i="14" s="1"/>
  <c r="G2222" i="14"/>
  <c r="I2222" i="14" s="1"/>
  <c r="K2222" i="14"/>
  <c r="F2223" i="14"/>
  <c r="H2223" i="14" s="1"/>
  <c r="G2223" i="14"/>
  <c r="I2223" i="14" s="1"/>
  <c r="K2223" i="14"/>
  <c r="F2224" i="14"/>
  <c r="H2224" i="14" s="1"/>
  <c r="G2224" i="14"/>
  <c r="I2224" i="14" s="1"/>
  <c r="K2224" i="14"/>
  <c r="F2225" i="14"/>
  <c r="H2225" i="14" s="1"/>
  <c r="G2225" i="14"/>
  <c r="I2225" i="14" s="1"/>
  <c r="K2225" i="14"/>
  <c r="F2226" i="14"/>
  <c r="H2226" i="14" s="1"/>
  <c r="G2226" i="14"/>
  <c r="I2226" i="14" s="1"/>
  <c r="K2226" i="14"/>
  <c r="F2227" i="14"/>
  <c r="H2227" i="14" s="1"/>
  <c r="G2227" i="14"/>
  <c r="I2227" i="14" s="1"/>
  <c r="K2227" i="14"/>
  <c r="F2228" i="14"/>
  <c r="H2228" i="14" s="1"/>
  <c r="G2228" i="14"/>
  <c r="I2228" i="14" s="1"/>
  <c r="K2228" i="14"/>
  <c r="F2229" i="14"/>
  <c r="H2229" i="14" s="1"/>
  <c r="G2229" i="14"/>
  <c r="I2229" i="14" s="1"/>
  <c r="K2229" i="14"/>
  <c r="F2230" i="14"/>
  <c r="H2230" i="14" s="1"/>
  <c r="G2230" i="14"/>
  <c r="I2230" i="14" s="1"/>
  <c r="K2230" i="14"/>
  <c r="F2231" i="14"/>
  <c r="H2231" i="14" s="1"/>
  <c r="G2231" i="14"/>
  <c r="I2231" i="14" s="1"/>
  <c r="K2231" i="14"/>
  <c r="F2232" i="14"/>
  <c r="H2232" i="14" s="1"/>
  <c r="G2232" i="14"/>
  <c r="I2232" i="14" s="1"/>
  <c r="K2232" i="14"/>
  <c r="F2233" i="14"/>
  <c r="H2233" i="14" s="1"/>
  <c r="G2233" i="14"/>
  <c r="I2233" i="14" s="1"/>
  <c r="K2233" i="14"/>
  <c r="F2234" i="14"/>
  <c r="H2234" i="14" s="1"/>
  <c r="G2234" i="14"/>
  <c r="I2234" i="14" s="1"/>
  <c r="K2234" i="14"/>
  <c r="F2235" i="14"/>
  <c r="H2235" i="14" s="1"/>
  <c r="G2235" i="14"/>
  <c r="I2235" i="14" s="1"/>
  <c r="K2235" i="14"/>
  <c r="F2236" i="14"/>
  <c r="H2236" i="14" s="1"/>
  <c r="G2236" i="14"/>
  <c r="I2236" i="14" s="1"/>
  <c r="K2236" i="14"/>
  <c r="F2237" i="14"/>
  <c r="H2237" i="14" s="1"/>
  <c r="G2237" i="14"/>
  <c r="I2237" i="14" s="1"/>
  <c r="K2237" i="14"/>
  <c r="F2238" i="14"/>
  <c r="H2238" i="14" s="1"/>
  <c r="G2238" i="14"/>
  <c r="I2238" i="14" s="1"/>
  <c r="K2238" i="14"/>
  <c r="F2239" i="14"/>
  <c r="H2239" i="14" s="1"/>
  <c r="G2239" i="14"/>
  <c r="I2239" i="14" s="1"/>
  <c r="K2239" i="14"/>
  <c r="F2240" i="14"/>
  <c r="H2240" i="14" s="1"/>
  <c r="G2240" i="14"/>
  <c r="I2240" i="14" s="1"/>
  <c r="K2240" i="14"/>
  <c r="F2241" i="14"/>
  <c r="H2241" i="14" s="1"/>
  <c r="G2241" i="14"/>
  <c r="I2241" i="14" s="1"/>
  <c r="K2241" i="14"/>
  <c r="F2242" i="14"/>
  <c r="H2242" i="14" s="1"/>
  <c r="G2242" i="14"/>
  <c r="I2242" i="14" s="1"/>
  <c r="K2242" i="14"/>
  <c r="F2243" i="14"/>
  <c r="H2243" i="14" s="1"/>
  <c r="G2243" i="14"/>
  <c r="I2243" i="14" s="1"/>
  <c r="K2243" i="14"/>
  <c r="F2244" i="14"/>
  <c r="H2244" i="14" s="1"/>
  <c r="G2244" i="14"/>
  <c r="I2244" i="14" s="1"/>
  <c r="K2244" i="14"/>
  <c r="F2245" i="14"/>
  <c r="H2245" i="14" s="1"/>
  <c r="G2245" i="14"/>
  <c r="I2245" i="14" s="1"/>
  <c r="K2245" i="14"/>
  <c r="F2246" i="14"/>
  <c r="H2246" i="14" s="1"/>
  <c r="G2246" i="14"/>
  <c r="I2246" i="14" s="1"/>
  <c r="K2246" i="14"/>
  <c r="F2247" i="14"/>
  <c r="H2247" i="14" s="1"/>
  <c r="G2247" i="14"/>
  <c r="I2247" i="14" s="1"/>
  <c r="K2247" i="14"/>
  <c r="F2248" i="14"/>
  <c r="H2248" i="14" s="1"/>
  <c r="G2248" i="14"/>
  <c r="I2248" i="14" s="1"/>
  <c r="K2248" i="14"/>
  <c r="F2249" i="14"/>
  <c r="H2249" i="14" s="1"/>
  <c r="G2249" i="14"/>
  <c r="I2249" i="14" s="1"/>
  <c r="K2249" i="14"/>
  <c r="F2250" i="14"/>
  <c r="H2250" i="14" s="1"/>
  <c r="G2250" i="14"/>
  <c r="I2250" i="14" s="1"/>
  <c r="K2250" i="14"/>
  <c r="F2251" i="14"/>
  <c r="H2251" i="14" s="1"/>
  <c r="G2251" i="14"/>
  <c r="I2251" i="14" s="1"/>
  <c r="K2251" i="14"/>
  <c r="F2252" i="14"/>
  <c r="H2252" i="14" s="1"/>
  <c r="G2252" i="14"/>
  <c r="I2252" i="14" s="1"/>
  <c r="K2252" i="14"/>
  <c r="F2253" i="14"/>
  <c r="H2253" i="14" s="1"/>
  <c r="G2253" i="14"/>
  <c r="I2253" i="14" s="1"/>
  <c r="K2253" i="14"/>
  <c r="F2254" i="14"/>
  <c r="H2254" i="14" s="1"/>
  <c r="G2254" i="14"/>
  <c r="I2254" i="14" s="1"/>
  <c r="K2254" i="14"/>
  <c r="F2255" i="14"/>
  <c r="H2255" i="14" s="1"/>
  <c r="G2255" i="14"/>
  <c r="I2255" i="14" s="1"/>
  <c r="K2255" i="14"/>
  <c r="F2256" i="14"/>
  <c r="H2256" i="14" s="1"/>
  <c r="G2256" i="14"/>
  <c r="I2256" i="14" s="1"/>
  <c r="K2256" i="14"/>
  <c r="F2257" i="14"/>
  <c r="H2257" i="14" s="1"/>
  <c r="G2257" i="14"/>
  <c r="I2257" i="14" s="1"/>
  <c r="K2257" i="14"/>
  <c r="F2258" i="14"/>
  <c r="H2258" i="14" s="1"/>
  <c r="G2258" i="14"/>
  <c r="I2258" i="14" s="1"/>
  <c r="K2258" i="14"/>
  <c r="F2259" i="14"/>
  <c r="H2259" i="14" s="1"/>
  <c r="G2259" i="14"/>
  <c r="I2259" i="14" s="1"/>
  <c r="K2259" i="14"/>
  <c r="F2260" i="14"/>
  <c r="H2260" i="14" s="1"/>
  <c r="G2260" i="14"/>
  <c r="I2260" i="14" s="1"/>
  <c r="K2260" i="14"/>
  <c r="F2261" i="14"/>
  <c r="H2261" i="14" s="1"/>
  <c r="G2261" i="14"/>
  <c r="I2261" i="14" s="1"/>
  <c r="K2261" i="14"/>
  <c r="F2262" i="14"/>
  <c r="H2262" i="14" s="1"/>
  <c r="G2262" i="14"/>
  <c r="I2262" i="14" s="1"/>
  <c r="K2262" i="14"/>
  <c r="F2263" i="14"/>
  <c r="H2263" i="14" s="1"/>
  <c r="G2263" i="14"/>
  <c r="I2263" i="14" s="1"/>
  <c r="K2263" i="14"/>
  <c r="F2264" i="14"/>
  <c r="H2264" i="14" s="1"/>
  <c r="G2264" i="14"/>
  <c r="I2264" i="14" s="1"/>
  <c r="K2264" i="14"/>
  <c r="F2265" i="14"/>
  <c r="H2265" i="14" s="1"/>
  <c r="G2265" i="14"/>
  <c r="I2265" i="14" s="1"/>
  <c r="K2265" i="14"/>
  <c r="F2266" i="14"/>
  <c r="H2266" i="14" s="1"/>
  <c r="G2266" i="14"/>
  <c r="I2266" i="14" s="1"/>
  <c r="K2266" i="14"/>
  <c r="F2267" i="14"/>
  <c r="H2267" i="14" s="1"/>
  <c r="G2267" i="14"/>
  <c r="I2267" i="14" s="1"/>
  <c r="K2267" i="14"/>
  <c r="F2268" i="14"/>
  <c r="H2268" i="14" s="1"/>
  <c r="G2268" i="14"/>
  <c r="I2268" i="14" s="1"/>
  <c r="K2268" i="14"/>
  <c r="F2269" i="14"/>
  <c r="H2269" i="14" s="1"/>
  <c r="G2269" i="14"/>
  <c r="I2269" i="14" s="1"/>
  <c r="K2269" i="14"/>
  <c r="F2270" i="14"/>
  <c r="H2270" i="14" s="1"/>
  <c r="G2270" i="14"/>
  <c r="I2270" i="14" s="1"/>
  <c r="K2270" i="14"/>
  <c r="F2271" i="14"/>
  <c r="H2271" i="14" s="1"/>
  <c r="G2271" i="14"/>
  <c r="I2271" i="14" s="1"/>
  <c r="K2271" i="14"/>
  <c r="F2272" i="14"/>
  <c r="H2272" i="14" s="1"/>
  <c r="G2272" i="14"/>
  <c r="I2272" i="14" s="1"/>
  <c r="K2272" i="14"/>
  <c r="F2273" i="14"/>
  <c r="H2273" i="14" s="1"/>
  <c r="G2273" i="14"/>
  <c r="I2273" i="14" s="1"/>
  <c r="K2273" i="14"/>
  <c r="F2274" i="14"/>
  <c r="H2274" i="14" s="1"/>
  <c r="G2274" i="14"/>
  <c r="I2274" i="14" s="1"/>
  <c r="K2274" i="14"/>
  <c r="F2275" i="14"/>
  <c r="H2275" i="14" s="1"/>
  <c r="G2275" i="14"/>
  <c r="I2275" i="14" s="1"/>
  <c r="K2275" i="14"/>
  <c r="F2276" i="14"/>
  <c r="H2276" i="14" s="1"/>
  <c r="G2276" i="14"/>
  <c r="I2276" i="14" s="1"/>
  <c r="K2276" i="14"/>
  <c r="F2277" i="14"/>
  <c r="H2277" i="14" s="1"/>
  <c r="G2277" i="14"/>
  <c r="I2277" i="14" s="1"/>
  <c r="K2277" i="14"/>
  <c r="F2278" i="14"/>
  <c r="H2278" i="14" s="1"/>
  <c r="G2278" i="14"/>
  <c r="I2278" i="14" s="1"/>
  <c r="K2278" i="14"/>
  <c r="F2279" i="14"/>
  <c r="H2279" i="14" s="1"/>
  <c r="G2279" i="14"/>
  <c r="I2279" i="14" s="1"/>
  <c r="K2279" i="14"/>
  <c r="F2280" i="14"/>
  <c r="H2280" i="14" s="1"/>
  <c r="G2280" i="14"/>
  <c r="I2280" i="14" s="1"/>
  <c r="K2280" i="14"/>
  <c r="F2281" i="14"/>
  <c r="H2281" i="14" s="1"/>
  <c r="G2281" i="14"/>
  <c r="I2281" i="14" s="1"/>
  <c r="K2281" i="14"/>
  <c r="F2282" i="14"/>
  <c r="H2282" i="14" s="1"/>
  <c r="G2282" i="14"/>
  <c r="I2282" i="14" s="1"/>
  <c r="K2282" i="14"/>
  <c r="F2283" i="14"/>
  <c r="H2283" i="14" s="1"/>
  <c r="G2283" i="14"/>
  <c r="I2283" i="14" s="1"/>
  <c r="K2283" i="14"/>
  <c r="F2284" i="14"/>
  <c r="H2284" i="14" s="1"/>
  <c r="G2284" i="14"/>
  <c r="I2284" i="14" s="1"/>
  <c r="K2284" i="14"/>
  <c r="F2285" i="14"/>
  <c r="H2285" i="14" s="1"/>
  <c r="G2285" i="14"/>
  <c r="I2285" i="14" s="1"/>
  <c r="K2285" i="14"/>
  <c r="F2286" i="14"/>
  <c r="H2286" i="14" s="1"/>
  <c r="G2286" i="14"/>
  <c r="I2286" i="14" s="1"/>
  <c r="K2286" i="14"/>
  <c r="F2287" i="14"/>
  <c r="H2287" i="14" s="1"/>
  <c r="G2287" i="14"/>
  <c r="I2287" i="14" s="1"/>
  <c r="K2287" i="14"/>
  <c r="F2288" i="14"/>
  <c r="H2288" i="14" s="1"/>
  <c r="G2288" i="14"/>
  <c r="I2288" i="14" s="1"/>
  <c r="K2288" i="14"/>
  <c r="F2289" i="14"/>
  <c r="H2289" i="14" s="1"/>
  <c r="G2289" i="14"/>
  <c r="I2289" i="14" s="1"/>
  <c r="K2289" i="14"/>
  <c r="F2290" i="14"/>
  <c r="H2290" i="14" s="1"/>
  <c r="G2290" i="14"/>
  <c r="I2290" i="14" s="1"/>
  <c r="K2290" i="14"/>
  <c r="F2291" i="14"/>
  <c r="H2291" i="14" s="1"/>
  <c r="G2291" i="14"/>
  <c r="I2291" i="14" s="1"/>
  <c r="K2291" i="14"/>
  <c r="F2292" i="14"/>
  <c r="H2292" i="14" s="1"/>
  <c r="G2292" i="14"/>
  <c r="I2292" i="14" s="1"/>
  <c r="K2292" i="14"/>
  <c r="F2293" i="14"/>
  <c r="H2293" i="14" s="1"/>
  <c r="G2293" i="14"/>
  <c r="I2293" i="14" s="1"/>
  <c r="K2293" i="14"/>
  <c r="F2294" i="14"/>
  <c r="H2294" i="14" s="1"/>
  <c r="G2294" i="14"/>
  <c r="I2294" i="14" s="1"/>
  <c r="K2294" i="14"/>
  <c r="F2295" i="14"/>
  <c r="H2295" i="14" s="1"/>
  <c r="G2295" i="14"/>
  <c r="I2295" i="14" s="1"/>
  <c r="K2295" i="14"/>
  <c r="F2296" i="14"/>
  <c r="H2296" i="14" s="1"/>
  <c r="G2296" i="14"/>
  <c r="I2296" i="14" s="1"/>
  <c r="K2296" i="14"/>
  <c r="F2297" i="14"/>
  <c r="H2297" i="14" s="1"/>
  <c r="G2297" i="14"/>
  <c r="I2297" i="14" s="1"/>
  <c r="K2297" i="14"/>
  <c r="F2298" i="14"/>
  <c r="H2298" i="14" s="1"/>
  <c r="G2298" i="14"/>
  <c r="I2298" i="14" s="1"/>
  <c r="K2298" i="14"/>
  <c r="F2299" i="14"/>
  <c r="H2299" i="14" s="1"/>
  <c r="G2299" i="14"/>
  <c r="I2299" i="14" s="1"/>
  <c r="K2299" i="14"/>
  <c r="F2300" i="14"/>
  <c r="H2300" i="14" s="1"/>
  <c r="G2300" i="14"/>
  <c r="I2300" i="14" s="1"/>
  <c r="K2300" i="14"/>
  <c r="F2301" i="14"/>
  <c r="H2301" i="14" s="1"/>
  <c r="G2301" i="14"/>
  <c r="I2301" i="14" s="1"/>
  <c r="K2301" i="14"/>
  <c r="F2302" i="14"/>
  <c r="H2302" i="14" s="1"/>
  <c r="G2302" i="14"/>
  <c r="I2302" i="14" s="1"/>
  <c r="K2302" i="14"/>
  <c r="F2303" i="14"/>
  <c r="H2303" i="14" s="1"/>
  <c r="G2303" i="14"/>
  <c r="I2303" i="14" s="1"/>
  <c r="K2303" i="14"/>
  <c r="F2304" i="14"/>
  <c r="H2304" i="14" s="1"/>
  <c r="G2304" i="14"/>
  <c r="I2304" i="14" s="1"/>
  <c r="K2304" i="14"/>
  <c r="F2305" i="14"/>
  <c r="H2305" i="14" s="1"/>
  <c r="G2305" i="14"/>
  <c r="I2305" i="14" s="1"/>
  <c r="K2305" i="14"/>
  <c r="F2306" i="14"/>
  <c r="H2306" i="14" s="1"/>
  <c r="G2306" i="14"/>
  <c r="I2306" i="14" s="1"/>
  <c r="K2306" i="14"/>
  <c r="F2307" i="14"/>
  <c r="H2307" i="14" s="1"/>
  <c r="G2307" i="14"/>
  <c r="I2307" i="14" s="1"/>
  <c r="K2307" i="14"/>
  <c r="F2308" i="14"/>
  <c r="H2308" i="14" s="1"/>
  <c r="G2308" i="14"/>
  <c r="I2308" i="14" s="1"/>
  <c r="K2308" i="14"/>
  <c r="F2309" i="14"/>
  <c r="H2309" i="14" s="1"/>
  <c r="G2309" i="14"/>
  <c r="I2309" i="14" s="1"/>
  <c r="K2309" i="14"/>
  <c r="F2310" i="14"/>
  <c r="H2310" i="14" s="1"/>
  <c r="G2310" i="14"/>
  <c r="I2310" i="14" s="1"/>
  <c r="K2310" i="14"/>
  <c r="F2311" i="14"/>
  <c r="H2311" i="14" s="1"/>
  <c r="G2311" i="14"/>
  <c r="I2311" i="14" s="1"/>
  <c r="K2311" i="14"/>
  <c r="F2312" i="14"/>
  <c r="H2312" i="14" s="1"/>
  <c r="G2312" i="14"/>
  <c r="I2312" i="14" s="1"/>
  <c r="K2312" i="14"/>
  <c r="F2313" i="14"/>
  <c r="H2313" i="14" s="1"/>
  <c r="G2313" i="14"/>
  <c r="I2313" i="14" s="1"/>
  <c r="K2313" i="14"/>
  <c r="F2314" i="14"/>
  <c r="H2314" i="14" s="1"/>
  <c r="G2314" i="14"/>
  <c r="I2314" i="14"/>
  <c r="K2314" i="14"/>
  <c r="F2315" i="14"/>
  <c r="H2315" i="14" s="1"/>
  <c r="G2315" i="14"/>
  <c r="I2315" i="14" s="1"/>
  <c r="K2315" i="14"/>
  <c r="F2316" i="14"/>
  <c r="H2316" i="14" s="1"/>
  <c r="G2316" i="14"/>
  <c r="I2316" i="14" s="1"/>
  <c r="K2316" i="14"/>
  <c r="F2317" i="14"/>
  <c r="H2317" i="14" s="1"/>
  <c r="G2317" i="14"/>
  <c r="I2317" i="14" s="1"/>
  <c r="K2317" i="14"/>
  <c r="F2318" i="14"/>
  <c r="H2318" i="14" s="1"/>
  <c r="G2318" i="14"/>
  <c r="I2318" i="14" s="1"/>
  <c r="K2318" i="14"/>
  <c r="F2319" i="14"/>
  <c r="H2319" i="14" s="1"/>
  <c r="G2319" i="14"/>
  <c r="I2319" i="14" s="1"/>
  <c r="K2319" i="14"/>
  <c r="F2320" i="14"/>
  <c r="H2320" i="14" s="1"/>
  <c r="G2320" i="14"/>
  <c r="I2320" i="14" s="1"/>
  <c r="K2320" i="14"/>
  <c r="F2321" i="14"/>
  <c r="H2321" i="14" s="1"/>
  <c r="G2321" i="14"/>
  <c r="I2321" i="14" s="1"/>
  <c r="K2321" i="14"/>
  <c r="F2322" i="14"/>
  <c r="H2322" i="14" s="1"/>
  <c r="G2322" i="14"/>
  <c r="I2322" i="14"/>
  <c r="K2322" i="14"/>
  <c r="F2323" i="14"/>
  <c r="H2323" i="14" s="1"/>
  <c r="G2323" i="14"/>
  <c r="I2323" i="14" s="1"/>
  <c r="K2323" i="14"/>
  <c r="F2324" i="14"/>
  <c r="H2324" i="14" s="1"/>
  <c r="G2324" i="14"/>
  <c r="I2324" i="14" s="1"/>
  <c r="K2324" i="14"/>
  <c r="F2325" i="14"/>
  <c r="H2325" i="14" s="1"/>
  <c r="G2325" i="14"/>
  <c r="I2325" i="14" s="1"/>
  <c r="K2325" i="14"/>
  <c r="F2326" i="14"/>
  <c r="H2326" i="14" s="1"/>
  <c r="G2326" i="14"/>
  <c r="I2326" i="14" s="1"/>
  <c r="K2326" i="14"/>
  <c r="F2327" i="14"/>
  <c r="H2327" i="14" s="1"/>
  <c r="G2327" i="14"/>
  <c r="I2327" i="14" s="1"/>
  <c r="K2327" i="14"/>
  <c r="F2328" i="14"/>
  <c r="H2328" i="14" s="1"/>
  <c r="G2328" i="14"/>
  <c r="I2328" i="14" s="1"/>
  <c r="K2328" i="14"/>
  <c r="F2329" i="14"/>
  <c r="H2329" i="14" s="1"/>
  <c r="G2329" i="14"/>
  <c r="I2329" i="14" s="1"/>
  <c r="K2329" i="14"/>
  <c r="F2330" i="14"/>
  <c r="H2330" i="14" s="1"/>
  <c r="G2330" i="14"/>
  <c r="I2330" i="14"/>
  <c r="K2330" i="14"/>
  <c r="F2331" i="14"/>
  <c r="H2331" i="14" s="1"/>
  <c r="G2331" i="14"/>
  <c r="I2331" i="14" s="1"/>
  <c r="K2331" i="14"/>
  <c r="F2332" i="14"/>
  <c r="H2332" i="14" s="1"/>
  <c r="G2332" i="14"/>
  <c r="I2332" i="14" s="1"/>
  <c r="K2332" i="14"/>
  <c r="F2333" i="14"/>
  <c r="H2333" i="14" s="1"/>
  <c r="G2333" i="14"/>
  <c r="I2333" i="14" s="1"/>
  <c r="K2333" i="14"/>
  <c r="F2334" i="14"/>
  <c r="H2334" i="14" s="1"/>
  <c r="G2334" i="14"/>
  <c r="I2334" i="14" s="1"/>
  <c r="K2334" i="14"/>
  <c r="F2335" i="14"/>
  <c r="H2335" i="14" s="1"/>
  <c r="G2335" i="14"/>
  <c r="I2335" i="14" s="1"/>
  <c r="K2335" i="14"/>
  <c r="F2336" i="14"/>
  <c r="H2336" i="14" s="1"/>
  <c r="G2336" i="14"/>
  <c r="I2336" i="14" s="1"/>
  <c r="K2336" i="14"/>
  <c r="F2337" i="14"/>
  <c r="H2337" i="14" s="1"/>
  <c r="G2337" i="14"/>
  <c r="I2337" i="14" s="1"/>
  <c r="K2337" i="14"/>
  <c r="F2338" i="14"/>
  <c r="H2338" i="14" s="1"/>
  <c r="G2338" i="14"/>
  <c r="I2338" i="14"/>
  <c r="K2338" i="14"/>
  <c r="F2339" i="14"/>
  <c r="H2339" i="14" s="1"/>
  <c r="G2339" i="14"/>
  <c r="I2339" i="14" s="1"/>
  <c r="K2339" i="14"/>
  <c r="F2340" i="14"/>
  <c r="H2340" i="14" s="1"/>
  <c r="G2340" i="14"/>
  <c r="I2340" i="14" s="1"/>
  <c r="K2340" i="14"/>
  <c r="F2341" i="14"/>
  <c r="H2341" i="14" s="1"/>
  <c r="G2341" i="14"/>
  <c r="I2341" i="14" s="1"/>
  <c r="K2341" i="14"/>
  <c r="F2342" i="14"/>
  <c r="H2342" i="14" s="1"/>
  <c r="G2342" i="14"/>
  <c r="I2342" i="14" s="1"/>
  <c r="K2342" i="14"/>
  <c r="F2343" i="14"/>
  <c r="H2343" i="14" s="1"/>
  <c r="G2343" i="14"/>
  <c r="I2343" i="14" s="1"/>
  <c r="K2343" i="14"/>
  <c r="F2344" i="14"/>
  <c r="H2344" i="14" s="1"/>
  <c r="G2344" i="14"/>
  <c r="I2344" i="14" s="1"/>
  <c r="K2344" i="14"/>
  <c r="F2345" i="14"/>
  <c r="H2345" i="14" s="1"/>
  <c r="G2345" i="14"/>
  <c r="I2345" i="14" s="1"/>
  <c r="K2345" i="14"/>
  <c r="F2346" i="14"/>
  <c r="H2346" i="14" s="1"/>
  <c r="G2346" i="14"/>
  <c r="I2346" i="14"/>
  <c r="K2346" i="14"/>
  <c r="F2347" i="14"/>
  <c r="H2347" i="14" s="1"/>
  <c r="G2347" i="14"/>
  <c r="I2347" i="14" s="1"/>
  <c r="K2347" i="14"/>
  <c r="F2348" i="14"/>
  <c r="H2348" i="14" s="1"/>
  <c r="G2348" i="14"/>
  <c r="I2348" i="14" s="1"/>
  <c r="K2348" i="14"/>
  <c r="F2349" i="14"/>
  <c r="H2349" i="14" s="1"/>
  <c r="G2349" i="14"/>
  <c r="I2349" i="14" s="1"/>
  <c r="K2349" i="14"/>
  <c r="F2350" i="14"/>
  <c r="H2350" i="14" s="1"/>
  <c r="G2350" i="14"/>
  <c r="I2350" i="14" s="1"/>
  <c r="K2350" i="14"/>
  <c r="F2351" i="14"/>
  <c r="H2351" i="14" s="1"/>
  <c r="G2351" i="14"/>
  <c r="I2351" i="14" s="1"/>
  <c r="K2351" i="14"/>
  <c r="F2352" i="14"/>
  <c r="H2352" i="14" s="1"/>
  <c r="G2352" i="14"/>
  <c r="I2352" i="14" s="1"/>
  <c r="K2352" i="14"/>
  <c r="F2353" i="14"/>
  <c r="H2353" i="14" s="1"/>
  <c r="G2353" i="14"/>
  <c r="I2353" i="14" s="1"/>
  <c r="K2353" i="14"/>
  <c r="F2354" i="14"/>
  <c r="H2354" i="14" s="1"/>
  <c r="G2354" i="14"/>
  <c r="I2354" i="14"/>
  <c r="K2354" i="14"/>
  <c r="F2355" i="14"/>
  <c r="H2355" i="14" s="1"/>
  <c r="G2355" i="14"/>
  <c r="I2355" i="14" s="1"/>
  <c r="K2355" i="14"/>
  <c r="F2356" i="14"/>
  <c r="H2356" i="14" s="1"/>
  <c r="G2356" i="14"/>
  <c r="I2356" i="14" s="1"/>
  <c r="K2356" i="14"/>
  <c r="F2357" i="14"/>
  <c r="H2357" i="14" s="1"/>
  <c r="G2357" i="14"/>
  <c r="I2357" i="14" s="1"/>
  <c r="K2357" i="14"/>
  <c r="F2358" i="14"/>
  <c r="H2358" i="14" s="1"/>
  <c r="G2358" i="14"/>
  <c r="I2358" i="14" s="1"/>
  <c r="K2358" i="14"/>
  <c r="F2359" i="14"/>
  <c r="H2359" i="14" s="1"/>
  <c r="G2359" i="14"/>
  <c r="I2359" i="14" s="1"/>
  <c r="K2359" i="14"/>
  <c r="F2360" i="14"/>
  <c r="H2360" i="14" s="1"/>
  <c r="G2360" i="14"/>
  <c r="I2360" i="14" s="1"/>
  <c r="K2360" i="14"/>
  <c r="F2361" i="14"/>
  <c r="H2361" i="14" s="1"/>
  <c r="G2361" i="14"/>
  <c r="I2361" i="14" s="1"/>
  <c r="K2361" i="14"/>
  <c r="F2362" i="14"/>
  <c r="H2362" i="14" s="1"/>
  <c r="G2362" i="14"/>
  <c r="I2362" i="14"/>
  <c r="K2362" i="14"/>
  <c r="F2363" i="14"/>
  <c r="H2363" i="14" s="1"/>
  <c r="G2363" i="14"/>
  <c r="I2363" i="14" s="1"/>
  <c r="K2363" i="14"/>
  <c r="F2364" i="14"/>
  <c r="H2364" i="14" s="1"/>
  <c r="G2364" i="14"/>
  <c r="I2364" i="14" s="1"/>
  <c r="K2364" i="14"/>
  <c r="F2365" i="14"/>
  <c r="H2365" i="14" s="1"/>
  <c r="G2365" i="14"/>
  <c r="I2365" i="14" s="1"/>
  <c r="K2365" i="14"/>
  <c r="F2366" i="14"/>
  <c r="H2366" i="14" s="1"/>
  <c r="G2366" i="14"/>
  <c r="I2366" i="14" s="1"/>
  <c r="K2366" i="14"/>
  <c r="F2367" i="14"/>
  <c r="H2367" i="14" s="1"/>
  <c r="G2367" i="14"/>
  <c r="I2367" i="14" s="1"/>
  <c r="K2367" i="14"/>
  <c r="F2368" i="14"/>
  <c r="H2368" i="14" s="1"/>
  <c r="G2368" i="14"/>
  <c r="I2368" i="14" s="1"/>
  <c r="K2368" i="14"/>
  <c r="F2369" i="14"/>
  <c r="H2369" i="14" s="1"/>
  <c r="G2369" i="14"/>
  <c r="I2369" i="14" s="1"/>
  <c r="K2369" i="14"/>
  <c r="F2370" i="14"/>
  <c r="H2370" i="14" s="1"/>
  <c r="G2370" i="14"/>
  <c r="I2370" i="14"/>
  <c r="K2370" i="14"/>
  <c r="F2371" i="14"/>
  <c r="H2371" i="14" s="1"/>
  <c r="G2371" i="14"/>
  <c r="I2371" i="14" s="1"/>
  <c r="K2371" i="14"/>
  <c r="F2372" i="14"/>
  <c r="H2372" i="14" s="1"/>
  <c r="G2372" i="14"/>
  <c r="I2372" i="14" s="1"/>
  <c r="K2372" i="14"/>
  <c r="F2373" i="14"/>
  <c r="H2373" i="14" s="1"/>
  <c r="G2373" i="14"/>
  <c r="I2373" i="14" s="1"/>
  <c r="K2373" i="14"/>
  <c r="F2374" i="14"/>
  <c r="H2374" i="14" s="1"/>
  <c r="G2374" i="14"/>
  <c r="I2374" i="14" s="1"/>
  <c r="K2374" i="14"/>
  <c r="F2375" i="14"/>
  <c r="H2375" i="14" s="1"/>
  <c r="G2375" i="14"/>
  <c r="I2375" i="14" s="1"/>
  <c r="K2375" i="14"/>
  <c r="F2376" i="14"/>
  <c r="H2376" i="14" s="1"/>
  <c r="G2376" i="14"/>
  <c r="I2376" i="14" s="1"/>
  <c r="K2376" i="14"/>
  <c r="F2377" i="14"/>
  <c r="H2377" i="14" s="1"/>
  <c r="G2377" i="14"/>
  <c r="I2377" i="14" s="1"/>
  <c r="K2377" i="14"/>
  <c r="F2378" i="14"/>
  <c r="H2378" i="14" s="1"/>
  <c r="G2378" i="14"/>
  <c r="I2378" i="14"/>
  <c r="K2378" i="14"/>
  <c r="F2379" i="14"/>
  <c r="H2379" i="14" s="1"/>
  <c r="G2379" i="14"/>
  <c r="I2379" i="14" s="1"/>
  <c r="K2379" i="14"/>
  <c r="F2380" i="14"/>
  <c r="H2380" i="14" s="1"/>
  <c r="G2380" i="14"/>
  <c r="I2380" i="14" s="1"/>
  <c r="K2380" i="14"/>
  <c r="F2381" i="14"/>
  <c r="H2381" i="14" s="1"/>
  <c r="G2381" i="14"/>
  <c r="I2381" i="14" s="1"/>
  <c r="K2381" i="14"/>
  <c r="F2382" i="14"/>
  <c r="H2382" i="14" s="1"/>
  <c r="G2382" i="14"/>
  <c r="I2382" i="14" s="1"/>
  <c r="K2382" i="14"/>
  <c r="F2383" i="14"/>
  <c r="H2383" i="14" s="1"/>
  <c r="G2383" i="14"/>
  <c r="I2383" i="14" s="1"/>
  <c r="K2383" i="14"/>
  <c r="F2384" i="14"/>
  <c r="H2384" i="14" s="1"/>
  <c r="G2384" i="14"/>
  <c r="I2384" i="14" s="1"/>
  <c r="K2384" i="14"/>
  <c r="F2385" i="14"/>
  <c r="H2385" i="14" s="1"/>
  <c r="G2385" i="14"/>
  <c r="I2385" i="14" s="1"/>
  <c r="K2385" i="14"/>
  <c r="F2386" i="14"/>
  <c r="H2386" i="14" s="1"/>
  <c r="G2386" i="14"/>
  <c r="I2386" i="14"/>
  <c r="K2386" i="14"/>
  <c r="F2387" i="14"/>
  <c r="H2387" i="14" s="1"/>
  <c r="G2387" i="14"/>
  <c r="I2387" i="14" s="1"/>
  <c r="K2387" i="14"/>
  <c r="F2388" i="14"/>
  <c r="H2388" i="14" s="1"/>
  <c r="G2388" i="14"/>
  <c r="I2388" i="14" s="1"/>
  <c r="K2388" i="14"/>
  <c r="F2389" i="14"/>
  <c r="H2389" i="14" s="1"/>
  <c r="G2389" i="14"/>
  <c r="I2389" i="14" s="1"/>
  <c r="K2389" i="14"/>
  <c r="F2390" i="14"/>
  <c r="H2390" i="14" s="1"/>
  <c r="G2390" i="14"/>
  <c r="I2390" i="14" s="1"/>
  <c r="K2390" i="14"/>
  <c r="F2391" i="14"/>
  <c r="H2391" i="14" s="1"/>
  <c r="G2391" i="14"/>
  <c r="I2391" i="14" s="1"/>
  <c r="K2391" i="14"/>
  <c r="F2392" i="14"/>
  <c r="H2392" i="14" s="1"/>
  <c r="G2392" i="14"/>
  <c r="I2392" i="14" s="1"/>
  <c r="K2392" i="14"/>
  <c r="F2393" i="14"/>
  <c r="H2393" i="14" s="1"/>
  <c r="G2393" i="14"/>
  <c r="I2393" i="14" s="1"/>
  <c r="K2393" i="14"/>
  <c r="F2394" i="14"/>
  <c r="H2394" i="14" s="1"/>
  <c r="G2394" i="14"/>
  <c r="I2394" i="14"/>
  <c r="K2394" i="14"/>
  <c r="F2395" i="14"/>
  <c r="H2395" i="14" s="1"/>
  <c r="G2395" i="14"/>
  <c r="I2395" i="14" s="1"/>
  <c r="K2395" i="14"/>
  <c r="F2396" i="14"/>
  <c r="H2396" i="14" s="1"/>
  <c r="G2396" i="14"/>
  <c r="I2396" i="14" s="1"/>
  <c r="K2396" i="14"/>
  <c r="F2397" i="14"/>
  <c r="H2397" i="14" s="1"/>
  <c r="G2397" i="14"/>
  <c r="I2397" i="14" s="1"/>
  <c r="K2397" i="14"/>
  <c r="F2398" i="14"/>
  <c r="H2398" i="14" s="1"/>
  <c r="G2398" i="14"/>
  <c r="I2398" i="14" s="1"/>
  <c r="K2398" i="14"/>
  <c r="F2399" i="14"/>
  <c r="H2399" i="14" s="1"/>
  <c r="G2399" i="14"/>
  <c r="I2399" i="14" s="1"/>
  <c r="K2399" i="14"/>
  <c r="F2400" i="14"/>
  <c r="H2400" i="14" s="1"/>
  <c r="G2400" i="14"/>
  <c r="I2400" i="14" s="1"/>
  <c r="K2400" i="14"/>
  <c r="F2401" i="14"/>
  <c r="H2401" i="14" s="1"/>
  <c r="G2401" i="14"/>
  <c r="I2401" i="14" s="1"/>
  <c r="K2401" i="14"/>
  <c r="F2402" i="14"/>
  <c r="H2402" i="14" s="1"/>
  <c r="G2402" i="14"/>
  <c r="I2402" i="14"/>
  <c r="K2402" i="14"/>
  <c r="F2403" i="14"/>
  <c r="H2403" i="14" s="1"/>
  <c r="G2403" i="14"/>
  <c r="I2403" i="14" s="1"/>
  <c r="K2403" i="14"/>
  <c r="F2404" i="14"/>
  <c r="H2404" i="14" s="1"/>
  <c r="G2404" i="14"/>
  <c r="I2404" i="14" s="1"/>
  <c r="K2404" i="14"/>
  <c r="F2405" i="14"/>
  <c r="H2405" i="14" s="1"/>
  <c r="G2405" i="14"/>
  <c r="I2405" i="14" s="1"/>
  <c r="K2405" i="14"/>
  <c r="F2406" i="14"/>
  <c r="H2406" i="14" s="1"/>
  <c r="G2406" i="14"/>
  <c r="I2406" i="14" s="1"/>
  <c r="K2406" i="14"/>
  <c r="F2407" i="14"/>
  <c r="H2407" i="14" s="1"/>
  <c r="G2407" i="14"/>
  <c r="I2407" i="14" s="1"/>
  <c r="K2407" i="14"/>
  <c r="F2408" i="14"/>
  <c r="H2408" i="14" s="1"/>
  <c r="G2408" i="14"/>
  <c r="I2408" i="14" s="1"/>
  <c r="K2408" i="14"/>
  <c r="F2409" i="14"/>
  <c r="H2409" i="14" s="1"/>
  <c r="G2409" i="14"/>
  <c r="I2409" i="14" s="1"/>
  <c r="K2409" i="14"/>
  <c r="F2410" i="14"/>
  <c r="H2410" i="14" s="1"/>
  <c r="G2410" i="14"/>
  <c r="I2410" i="14"/>
  <c r="K2410" i="14"/>
  <c r="F2411" i="14"/>
  <c r="H2411" i="14" s="1"/>
  <c r="G2411" i="14"/>
  <c r="I2411" i="14" s="1"/>
  <c r="K2411" i="14"/>
  <c r="F2412" i="14"/>
  <c r="H2412" i="14" s="1"/>
  <c r="G2412" i="14"/>
  <c r="I2412" i="14" s="1"/>
  <c r="K2412" i="14"/>
  <c r="F2413" i="14"/>
  <c r="H2413" i="14" s="1"/>
  <c r="G2413" i="14"/>
  <c r="I2413" i="14" s="1"/>
  <c r="K2413" i="14"/>
  <c r="F2414" i="14"/>
  <c r="H2414" i="14" s="1"/>
  <c r="G2414" i="14"/>
  <c r="I2414" i="14" s="1"/>
  <c r="K2414" i="14"/>
  <c r="F2415" i="14"/>
  <c r="H2415" i="14" s="1"/>
  <c r="G2415" i="14"/>
  <c r="I2415" i="14" s="1"/>
  <c r="K2415" i="14"/>
  <c r="F2416" i="14"/>
  <c r="H2416" i="14" s="1"/>
  <c r="G2416" i="14"/>
  <c r="I2416" i="14" s="1"/>
  <c r="K2416" i="14"/>
  <c r="F2417" i="14"/>
  <c r="H2417" i="14" s="1"/>
  <c r="G2417" i="14"/>
  <c r="I2417" i="14" s="1"/>
  <c r="K2417" i="14"/>
  <c r="F2418" i="14"/>
  <c r="H2418" i="14" s="1"/>
  <c r="G2418" i="14"/>
  <c r="I2418" i="14"/>
  <c r="K2418" i="14"/>
  <c r="F2419" i="14"/>
  <c r="H2419" i="14" s="1"/>
  <c r="G2419" i="14"/>
  <c r="I2419" i="14" s="1"/>
  <c r="K2419" i="14"/>
  <c r="F2420" i="14"/>
  <c r="H2420" i="14" s="1"/>
  <c r="G2420" i="14"/>
  <c r="I2420" i="14" s="1"/>
  <c r="K2420" i="14"/>
  <c r="F2421" i="14"/>
  <c r="H2421" i="14" s="1"/>
  <c r="G2421" i="14"/>
  <c r="I2421" i="14" s="1"/>
  <c r="K2421" i="14"/>
  <c r="F2422" i="14"/>
  <c r="H2422" i="14" s="1"/>
  <c r="G2422" i="14"/>
  <c r="I2422" i="14" s="1"/>
  <c r="K2422" i="14"/>
  <c r="F2423" i="14"/>
  <c r="H2423" i="14" s="1"/>
  <c r="G2423" i="14"/>
  <c r="I2423" i="14" s="1"/>
  <c r="K2423" i="14"/>
  <c r="F2424" i="14"/>
  <c r="H2424" i="14" s="1"/>
  <c r="G2424" i="14"/>
  <c r="I2424" i="14" s="1"/>
  <c r="K2424" i="14"/>
  <c r="F2425" i="14"/>
  <c r="H2425" i="14" s="1"/>
  <c r="G2425" i="14"/>
  <c r="I2425" i="14" s="1"/>
  <c r="K2425" i="14"/>
  <c r="F2426" i="14"/>
  <c r="H2426" i="14" s="1"/>
  <c r="G2426" i="14"/>
  <c r="I2426" i="14"/>
  <c r="K2426" i="14"/>
  <c r="F2427" i="14"/>
  <c r="H2427" i="14" s="1"/>
  <c r="G2427" i="14"/>
  <c r="I2427" i="14" s="1"/>
  <c r="K2427" i="14"/>
  <c r="F2428" i="14"/>
  <c r="H2428" i="14" s="1"/>
  <c r="G2428" i="14"/>
  <c r="I2428" i="14" s="1"/>
  <c r="K2428" i="14"/>
  <c r="F2429" i="14"/>
  <c r="H2429" i="14" s="1"/>
  <c r="G2429" i="14"/>
  <c r="I2429" i="14" s="1"/>
  <c r="K2429" i="14"/>
  <c r="F2430" i="14"/>
  <c r="H2430" i="14" s="1"/>
  <c r="G2430" i="14"/>
  <c r="I2430" i="14" s="1"/>
  <c r="K2430" i="14"/>
  <c r="F2431" i="14"/>
  <c r="H2431" i="14" s="1"/>
  <c r="G2431" i="14"/>
  <c r="I2431" i="14" s="1"/>
  <c r="K2431" i="14"/>
  <c r="F2432" i="14"/>
  <c r="H2432" i="14" s="1"/>
  <c r="G2432" i="14"/>
  <c r="I2432" i="14" s="1"/>
  <c r="K2432" i="14"/>
  <c r="F2433" i="14"/>
  <c r="H2433" i="14" s="1"/>
  <c r="G2433" i="14"/>
  <c r="I2433" i="14" s="1"/>
  <c r="K2433" i="14"/>
  <c r="F2434" i="14"/>
  <c r="H2434" i="14" s="1"/>
  <c r="G2434" i="14"/>
  <c r="I2434" i="14"/>
  <c r="K2434" i="14"/>
  <c r="F2435" i="14"/>
  <c r="H2435" i="14" s="1"/>
  <c r="G2435" i="14"/>
  <c r="I2435" i="14" s="1"/>
  <c r="K2435" i="14"/>
  <c r="F2436" i="14"/>
  <c r="H2436" i="14" s="1"/>
  <c r="G2436" i="14"/>
  <c r="I2436" i="14" s="1"/>
  <c r="K2436" i="14"/>
  <c r="F2437" i="14"/>
  <c r="H2437" i="14" s="1"/>
  <c r="G2437" i="14"/>
  <c r="I2437" i="14" s="1"/>
  <c r="K2437" i="14"/>
  <c r="F2438" i="14"/>
  <c r="H2438" i="14" s="1"/>
  <c r="G2438" i="14"/>
  <c r="I2438" i="14" s="1"/>
  <c r="K2438" i="14"/>
  <c r="F2439" i="14"/>
  <c r="H2439" i="14" s="1"/>
  <c r="G2439" i="14"/>
  <c r="I2439" i="14" s="1"/>
  <c r="K2439" i="14"/>
  <c r="F2440" i="14"/>
  <c r="H2440" i="14" s="1"/>
  <c r="G2440" i="14"/>
  <c r="I2440" i="14" s="1"/>
  <c r="K2440" i="14"/>
  <c r="F2441" i="14"/>
  <c r="H2441" i="14" s="1"/>
  <c r="G2441" i="14"/>
  <c r="I2441" i="14" s="1"/>
  <c r="K2441" i="14"/>
  <c r="F2442" i="14"/>
  <c r="H2442" i="14" s="1"/>
  <c r="G2442" i="14"/>
  <c r="I2442" i="14"/>
  <c r="K2442" i="14"/>
  <c r="F2443" i="14"/>
  <c r="H2443" i="14" s="1"/>
  <c r="G2443" i="14"/>
  <c r="I2443" i="14" s="1"/>
  <c r="K2443" i="14"/>
  <c r="F2444" i="14"/>
  <c r="H2444" i="14" s="1"/>
  <c r="G2444" i="14"/>
  <c r="I2444" i="14" s="1"/>
  <c r="K2444" i="14"/>
  <c r="F2445" i="14"/>
  <c r="H2445" i="14" s="1"/>
  <c r="G2445" i="14"/>
  <c r="I2445" i="14" s="1"/>
  <c r="K2445" i="14"/>
  <c r="F2446" i="14"/>
  <c r="H2446" i="14" s="1"/>
  <c r="G2446" i="14"/>
  <c r="I2446" i="14" s="1"/>
  <c r="K2446" i="14"/>
  <c r="F2447" i="14"/>
  <c r="H2447" i="14" s="1"/>
  <c r="G2447" i="14"/>
  <c r="I2447" i="14" s="1"/>
  <c r="K2447" i="14"/>
  <c r="F2448" i="14"/>
  <c r="H2448" i="14" s="1"/>
  <c r="G2448" i="14"/>
  <c r="I2448" i="14" s="1"/>
  <c r="K2448" i="14"/>
  <c r="F2449" i="14"/>
  <c r="H2449" i="14" s="1"/>
  <c r="G2449" i="14"/>
  <c r="I2449" i="14" s="1"/>
  <c r="K2449" i="14"/>
  <c r="F2450" i="14"/>
  <c r="H2450" i="14" s="1"/>
  <c r="G2450" i="14"/>
  <c r="I2450" i="14"/>
  <c r="K2450" i="14"/>
  <c r="F2451" i="14"/>
  <c r="H2451" i="14" s="1"/>
  <c r="G2451" i="14"/>
  <c r="I2451" i="14" s="1"/>
  <c r="K2451" i="14"/>
  <c r="F2452" i="14"/>
  <c r="H2452" i="14" s="1"/>
  <c r="G2452" i="14"/>
  <c r="I2452" i="14" s="1"/>
  <c r="K2452" i="14"/>
  <c r="F2453" i="14"/>
  <c r="H2453" i="14" s="1"/>
  <c r="G2453" i="14"/>
  <c r="I2453" i="14" s="1"/>
  <c r="K2453" i="14"/>
  <c r="F2454" i="14"/>
  <c r="H2454" i="14" s="1"/>
  <c r="G2454" i="14"/>
  <c r="I2454" i="14" s="1"/>
  <c r="K2454" i="14"/>
  <c r="F2455" i="14"/>
  <c r="H2455" i="14" s="1"/>
  <c r="G2455" i="14"/>
  <c r="I2455" i="14" s="1"/>
  <c r="K2455" i="14"/>
  <c r="F2456" i="14"/>
  <c r="H2456" i="14" s="1"/>
  <c r="G2456" i="14"/>
  <c r="I2456" i="14" s="1"/>
  <c r="K2456" i="14"/>
  <c r="F2457" i="14"/>
  <c r="H2457" i="14" s="1"/>
  <c r="G2457" i="14"/>
  <c r="I2457" i="14" s="1"/>
  <c r="K2457" i="14"/>
  <c r="F2458" i="14"/>
  <c r="H2458" i="14" s="1"/>
  <c r="G2458" i="14"/>
  <c r="I2458" i="14"/>
  <c r="K2458" i="14"/>
  <c r="F2459" i="14"/>
  <c r="H2459" i="14" s="1"/>
  <c r="G2459" i="14"/>
  <c r="I2459" i="14" s="1"/>
  <c r="K2459" i="14"/>
  <c r="F2460" i="14"/>
  <c r="H2460" i="14" s="1"/>
  <c r="G2460" i="14"/>
  <c r="I2460" i="14" s="1"/>
  <c r="K2460" i="14"/>
  <c r="F2461" i="14"/>
  <c r="H2461" i="14" s="1"/>
  <c r="G2461" i="14"/>
  <c r="I2461" i="14" s="1"/>
  <c r="K2461" i="14"/>
  <c r="F2462" i="14"/>
  <c r="H2462" i="14" s="1"/>
  <c r="G2462" i="14"/>
  <c r="I2462" i="14" s="1"/>
  <c r="K2462" i="14"/>
  <c r="F2463" i="14"/>
  <c r="H2463" i="14" s="1"/>
  <c r="G2463" i="14"/>
  <c r="I2463" i="14" s="1"/>
  <c r="K2463" i="14"/>
  <c r="F2464" i="14"/>
  <c r="H2464" i="14" s="1"/>
  <c r="G2464" i="14"/>
  <c r="I2464" i="14" s="1"/>
  <c r="K2464" i="14"/>
  <c r="F2465" i="14"/>
  <c r="H2465" i="14" s="1"/>
  <c r="G2465" i="14"/>
  <c r="I2465" i="14" s="1"/>
  <c r="K2465" i="14"/>
  <c r="F2466" i="14"/>
  <c r="H2466" i="14" s="1"/>
  <c r="G2466" i="14"/>
  <c r="I2466" i="14"/>
  <c r="K2466" i="14"/>
  <c r="F2467" i="14"/>
  <c r="H2467" i="14" s="1"/>
  <c r="G2467" i="14"/>
  <c r="I2467" i="14" s="1"/>
  <c r="K2467" i="14"/>
  <c r="F2468" i="14"/>
  <c r="H2468" i="14" s="1"/>
  <c r="G2468" i="14"/>
  <c r="I2468" i="14" s="1"/>
  <c r="K2468" i="14"/>
  <c r="F2469" i="14"/>
  <c r="H2469" i="14" s="1"/>
  <c r="G2469" i="14"/>
  <c r="I2469" i="14" s="1"/>
  <c r="K2469" i="14"/>
  <c r="F2470" i="14"/>
  <c r="H2470" i="14" s="1"/>
  <c r="G2470" i="14"/>
  <c r="I2470" i="14" s="1"/>
  <c r="K2470" i="14"/>
  <c r="F2471" i="14"/>
  <c r="H2471" i="14" s="1"/>
  <c r="G2471" i="14"/>
  <c r="I2471" i="14" s="1"/>
  <c r="K2471" i="14"/>
  <c r="F2472" i="14"/>
  <c r="H2472" i="14" s="1"/>
  <c r="G2472" i="14"/>
  <c r="I2472" i="14" s="1"/>
  <c r="K2472" i="14"/>
  <c r="F2473" i="14"/>
  <c r="H2473" i="14" s="1"/>
  <c r="G2473" i="14"/>
  <c r="I2473" i="14" s="1"/>
  <c r="K2473" i="14"/>
  <c r="F2474" i="14"/>
  <c r="H2474" i="14" s="1"/>
  <c r="G2474" i="14"/>
  <c r="I2474" i="14" s="1"/>
  <c r="K2474" i="14"/>
  <c r="F2475" i="14"/>
  <c r="H2475" i="14" s="1"/>
  <c r="G2475" i="14"/>
  <c r="I2475" i="14" s="1"/>
  <c r="K2475" i="14"/>
  <c r="F2476" i="14"/>
  <c r="H2476" i="14" s="1"/>
  <c r="G2476" i="14"/>
  <c r="I2476" i="14" s="1"/>
  <c r="K2476" i="14"/>
  <c r="F2477" i="14"/>
  <c r="H2477" i="14" s="1"/>
  <c r="G2477" i="14"/>
  <c r="I2477" i="14" s="1"/>
  <c r="K2477" i="14"/>
  <c r="F2478" i="14"/>
  <c r="H2478" i="14" s="1"/>
  <c r="G2478" i="14"/>
  <c r="I2478" i="14" s="1"/>
  <c r="K2478" i="14"/>
  <c r="F2479" i="14"/>
  <c r="H2479" i="14" s="1"/>
  <c r="G2479" i="14"/>
  <c r="I2479" i="14" s="1"/>
  <c r="K2479" i="14"/>
  <c r="F2480" i="14"/>
  <c r="H2480" i="14" s="1"/>
  <c r="G2480" i="14"/>
  <c r="I2480" i="14" s="1"/>
  <c r="K2480" i="14"/>
  <c r="F2481" i="14"/>
  <c r="H2481" i="14" s="1"/>
  <c r="G2481" i="14"/>
  <c r="I2481" i="14" s="1"/>
  <c r="K2481" i="14"/>
  <c r="F2482" i="14"/>
  <c r="H2482" i="14" s="1"/>
  <c r="G2482" i="14"/>
  <c r="I2482" i="14"/>
  <c r="K2482" i="14"/>
  <c r="F2483" i="14"/>
  <c r="H2483" i="14" s="1"/>
  <c r="G2483" i="14"/>
  <c r="I2483" i="14" s="1"/>
  <c r="K2483" i="14"/>
  <c r="F2484" i="14"/>
  <c r="H2484" i="14" s="1"/>
  <c r="G2484" i="14"/>
  <c r="I2484" i="14" s="1"/>
  <c r="K2484" i="14"/>
  <c r="F2485" i="14"/>
  <c r="H2485" i="14" s="1"/>
  <c r="G2485" i="14"/>
  <c r="I2485" i="14" s="1"/>
  <c r="K2485" i="14"/>
  <c r="F2486" i="14"/>
  <c r="H2486" i="14" s="1"/>
  <c r="G2486" i="14"/>
  <c r="I2486" i="14" s="1"/>
  <c r="K2486" i="14"/>
  <c r="F2487" i="14"/>
  <c r="H2487" i="14" s="1"/>
  <c r="G2487" i="14"/>
  <c r="I2487" i="14" s="1"/>
  <c r="K2487" i="14"/>
  <c r="F2488" i="14"/>
  <c r="H2488" i="14" s="1"/>
  <c r="G2488" i="14"/>
  <c r="I2488" i="14" s="1"/>
  <c r="K2488" i="14"/>
  <c r="F2489" i="14"/>
  <c r="H2489" i="14" s="1"/>
  <c r="G2489" i="14"/>
  <c r="I2489" i="14" s="1"/>
  <c r="K2489" i="14"/>
  <c r="F2490" i="14"/>
  <c r="H2490" i="14" s="1"/>
  <c r="G2490" i="14"/>
  <c r="I2490" i="14"/>
  <c r="K2490" i="14"/>
  <c r="F2491" i="14"/>
  <c r="H2491" i="14" s="1"/>
  <c r="G2491" i="14"/>
  <c r="I2491" i="14" s="1"/>
  <c r="K2491" i="14"/>
  <c r="F2492" i="14"/>
  <c r="H2492" i="14" s="1"/>
  <c r="G2492" i="14"/>
  <c r="I2492" i="14" s="1"/>
  <c r="K2492" i="14"/>
  <c r="F2493" i="14"/>
  <c r="H2493" i="14" s="1"/>
  <c r="G2493" i="14"/>
  <c r="I2493" i="14" s="1"/>
  <c r="K2493" i="14"/>
  <c r="F2494" i="14"/>
  <c r="H2494" i="14" s="1"/>
  <c r="G2494" i="14"/>
  <c r="I2494" i="14" s="1"/>
  <c r="K2494" i="14"/>
  <c r="F2495" i="14"/>
  <c r="H2495" i="14" s="1"/>
  <c r="G2495" i="14"/>
  <c r="I2495" i="14" s="1"/>
  <c r="K2495" i="14"/>
  <c r="F2496" i="14"/>
  <c r="H2496" i="14" s="1"/>
  <c r="G2496" i="14"/>
  <c r="I2496" i="14" s="1"/>
  <c r="K2496" i="14"/>
  <c r="F2497" i="14"/>
  <c r="H2497" i="14" s="1"/>
  <c r="G2497" i="14"/>
  <c r="I2497" i="14" s="1"/>
  <c r="K2497" i="14"/>
  <c r="F2498" i="14"/>
  <c r="H2498" i="14" s="1"/>
  <c r="G2498" i="14"/>
  <c r="I2498" i="14"/>
  <c r="K2498" i="14"/>
  <c r="F2499" i="14"/>
  <c r="H2499" i="14" s="1"/>
  <c r="G2499" i="14"/>
  <c r="I2499" i="14" s="1"/>
  <c r="K2499" i="14"/>
  <c r="F2500" i="14"/>
  <c r="H2500" i="14" s="1"/>
  <c r="G2500" i="14"/>
  <c r="I2500" i="14" s="1"/>
  <c r="K2500" i="14"/>
  <c r="F2501" i="14"/>
  <c r="H2501" i="14" s="1"/>
  <c r="G2501" i="14"/>
  <c r="I2501" i="14" s="1"/>
  <c r="K2501" i="14"/>
  <c r="F2502" i="14"/>
  <c r="H2502" i="14" s="1"/>
  <c r="G2502" i="14"/>
  <c r="I2502" i="14" s="1"/>
  <c r="K2502" i="14"/>
  <c r="F2503" i="14"/>
  <c r="H2503" i="14" s="1"/>
  <c r="G2503" i="14"/>
  <c r="I2503" i="14" s="1"/>
  <c r="K2503" i="14"/>
  <c r="F2504" i="14"/>
  <c r="H2504" i="14" s="1"/>
  <c r="G2504" i="14"/>
  <c r="I2504" i="14" s="1"/>
  <c r="K2504" i="14"/>
  <c r="F2505" i="14"/>
  <c r="H2505" i="14" s="1"/>
  <c r="G2505" i="14"/>
  <c r="I2505" i="14" s="1"/>
  <c r="K2505" i="14"/>
  <c r="F2506" i="14"/>
  <c r="H2506" i="14" s="1"/>
  <c r="G2506" i="14"/>
  <c r="I2506" i="14"/>
  <c r="K2506" i="14"/>
  <c r="F2507" i="14"/>
  <c r="H2507" i="14" s="1"/>
  <c r="G2507" i="14"/>
  <c r="I2507" i="14" s="1"/>
  <c r="K2507" i="14"/>
  <c r="F2508" i="14"/>
  <c r="H2508" i="14" s="1"/>
  <c r="G2508" i="14"/>
  <c r="I2508" i="14" s="1"/>
  <c r="K2508" i="14"/>
  <c r="F2509" i="14"/>
  <c r="H2509" i="14" s="1"/>
  <c r="G2509" i="14"/>
  <c r="I2509" i="14" s="1"/>
  <c r="K2509" i="14"/>
  <c r="F2510" i="14"/>
  <c r="H2510" i="14" s="1"/>
  <c r="G2510" i="14"/>
  <c r="I2510" i="14" s="1"/>
  <c r="K2510" i="14"/>
  <c r="F2511" i="14"/>
  <c r="H2511" i="14" s="1"/>
  <c r="G2511" i="14"/>
  <c r="I2511" i="14" s="1"/>
  <c r="K2511" i="14"/>
  <c r="F2512" i="14"/>
  <c r="H2512" i="14" s="1"/>
  <c r="G2512" i="14"/>
  <c r="I2512" i="14" s="1"/>
  <c r="K2512" i="14"/>
  <c r="F2513" i="14"/>
  <c r="H2513" i="14" s="1"/>
  <c r="G2513" i="14"/>
  <c r="I2513" i="14" s="1"/>
  <c r="K2513" i="14"/>
  <c r="F2514" i="14"/>
  <c r="H2514" i="14" s="1"/>
  <c r="G2514" i="14"/>
  <c r="I2514" i="14"/>
  <c r="K2514" i="14"/>
  <c r="F2515" i="14"/>
  <c r="H2515" i="14" s="1"/>
  <c r="G2515" i="14"/>
  <c r="I2515" i="14" s="1"/>
  <c r="K2515" i="14"/>
  <c r="F2516" i="14"/>
  <c r="H2516" i="14" s="1"/>
  <c r="G2516" i="14"/>
  <c r="I2516" i="14" s="1"/>
  <c r="K2516" i="14"/>
  <c r="F2517" i="14"/>
  <c r="H2517" i="14" s="1"/>
  <c r="G2517" i="14"/>
  <c r="I2517" i="14" s="1"/>
  <c r="K2517" i="14"/>
  <c r="F2518" i="14"/>
  <c r="H2518" i="14" s="1"/>
  <c r="G2518" i="14"/>
  <c r="I2518" i="14" s="1"/>
  <c r="K2518" i="14"/>
  <c r="F2519" i="14"/>
  <c r="H2519" i="14" s="1"/>
  <c r="G2519" i="14"/>
  <c r="I2519" i="14" s="1"/>
  <c r="K2519" i="14"/>
  <c r="F2520" i="14"/>
  <c r="H2520" i="14" s="1"/>
  <c r="G2520" i="14"/>
  <c r="I2520" i="14" s="1"/>
  <c r="K2520" i="14"/>
  <c r="F2521" i="14"/>
  <c r="H2521" i="14" s="1"/>
  <c r="G2521" i="14"/>
  <c r="I2521" i="14" s="1"/>
  <c r="K2521" i="14"/>
  <c r="F2522" i="14"/>
  <c r="H2522" i="14" s="1"/>
  <c r="G2522" i="14"/>
  <c r="I2522" i="14"/>
  <c r="K2522" i="14"/>
  <c r="F2523" i="14"/>
  <c r="H2523" i="14" s="1"/>
  <c r="G2523" i="14"/>
  <c r="I2523" i="14" s="1"/>
  <c r="K2523" i="14"/>
  <c r="F2524" i="14"/>
  <c r="H2524" i="14" s="1"/>
  <c r="G2524" i="14"/>
  <c r="I2524" i="14" s="1"/>
  <c r="K2524" i="14"/>
  <c r="F2525" i="14"/>
  <c r="H2525" i="14" s="1"/>
  <c r="G2525" i="14"/>
  <c r="I2525" i="14" s="1"/>
  <c r="K2525" i="14"/>
  <c r="F2526" i="14"/>
  <c r="H2526" i="14" s="1"/>
  <c r="G2526" i="14"/>
  <c r="I2526" i="14" s="1"/>
  <c r="K2526" i="14"/>
  <c r="F2527" i="14"/>
  <c r="H2527" i="14" s="1"/>
  <c r="G2527" i="14"/>
  <c r="I2527" i="14" s="1"/>
  <c r="K2527" i="14"/>
  <c r="F2528" i="14"/>
  <c r="H2528" i="14" s="1"/>
  <c r="G2528" i="14"/>
  <c r="I2528" i="14" s="1"/>
  <c r="K2528" i="14"/>
  <c r="F2529" i="14"/>
  <c r="H2529" i="14" s="1"/>
  <c r="G2529" i="14"/>
  <c r="I2529" i="14" s="1"/>
  <c r="K2529" i="14"/>
  <c r="F2530" i="14"/>
  <c r="H2530" i="14" s="1"/>
  <c r="G2530" i="14"/>
  <c r="I2530" i="14" s="1"/>
  <c r="K2530" i="14"/>
  <c r="F2531" i="14"/>
  <c r="H2531" i="14" s="1"/>
  <c r="G2531" i="14"/>
  <c r="I2531" i="14" s="1"/>
  <c r="K2531" i="14"/>
  <c r="F2532" i="14"/>
  <c r="H2532" i="14" s="1"/>
  <c r="G2532" i="14"/>
  <c r="I2532" i="14" s="1"/>
  <c r="K2532" i="14"/>
  <c r="F2533" i="14"/>
  <c r="H2533" i="14" s="1"/>
  <c r="G2533" i="14"/>
  <c r="I2533" i="14" s="1"/>
  <c r="K2533" i="14"/>
  <c r="F2534" i="14"/>
  <c r="H2534" i="14" s="1"/>
  <c r="G2534" i="14"/>
  <c r="I2534" i="14" s="1"/>
  <c r="K2534" i="14"/>
  <c r="F2535" i="14"/>
  <c r="H2535" i="14" s="1"/>
  <c r="G2535" i="14"/>
  <c r="I2535" i="14" s="1"/>
  <c r="K2535" i="14"/>
  <c r="F2536" i="14"/>
  <c r="H2536" i="14" s="1"/>
  <c r="G2536" i="14"/>
  <c r="I2536" i="14" s="1"/>
  <c r="K2536" i="14"/>
  <c r="F2537" i="14"/>
  <c r="H2537" i="14" s="1"/>
  <c r="G2537" i="14"/>
  <c r="I2537" i="14" s="1"/>
  <c r="K2537" i="14"/>
  <c r="F2538" i="14"/>
  <c r="H2538" i="14" s="1"/>
  <c r="G2538" i="14"/>
  <c r="I2538" i="14" s="1"/>
  <c r="K2538" i="14"/>
  <c r="F2539" i="14"/>
  <c r="H2539" i="14" s="1"/>
  <c r="G2539" i="14"/>
  <c r="I2539" i="14" s="1"/>
  <c r="K2539" i="14"/>
  <c r="F2540" i="14"/>
  <c r="H2540" i="14" s="1"/>
  <c r="G2540" i="14"/>
  <c r="I2540" i="14" s="1"/>
  <c r="K2540" i="14"/>
  <c r="F2541" i="14"/>
  <c r="H2541" i="14" s="1"/>
  <c r="G2541" i="14"/>
  <c r="I2541" i="14" s="1"/>
  <c r="K2541" i="14"/>
  <c r="F2542" i="14"/>
  <c r="H2542" i="14" s="1"/>
  <c r="G2542" i="14"/>
  <c r="I2542" i="14" s="1"/>
  <c r="K2542" i="14"/>
  <c r="F2543" i="14"/>
  <c r="H2543" i="14" s="1"/>
  <c r="G2543" i="14"/>
  <c r="I2543" i="14" s="1"/>
  <c r="K2543" i="14"/>
  <c r="F2544" i="14"/>
  <c r="H2544" i="14" s="1"/>
  <c r="G2544" i="14"/>
  <c r="I2544" i="14" s="1"/>
  <c r="K2544" i="14"/>
  <c r="F2545" i="14"/>
  <c r="H2545" i="14" s="1"/>
  <c r="G2545" i="14"/>
  <c r="I2545" i="14" s="1"/>
  <c r="K2545" i="14"/>
  <c r="F2546" i="14"/>
  <c r="H2546" i="14" s="1"/>
  <c r="G2546" i="14"/>
  <c r="I2546" i="14" s="1"/>
  <c r="K2546" i="14"/>
  <c r="F2547" i="14"/>
  <c r="H2547" i="14" s="1"/>
  <c r="G2547" i="14"/>
  <c r="I2547" i="14" s="1"/>
  <c r="K2547" i="14"/>
  <c r="F2548" i="14"/>
  <c r="H2548" i="14" s="1"/>
  <c r="G2548" i="14"/>
  <c r="I2548" i="14" s="1"/>
  <c r="K2548" i="14"/>
  <c r="F2549" i="14"/>
  <c r="H2549" i="14" s="1"/>
  <c r="G2549" i="14"/>
  <c r="I2549" i="14" s="1"/>
  <c r="K2549" i="14"/>
  <c r="F2550" i="14"/>
  <c r="H2550" i="14" s="1"/>
  <c r="G2550" i="14"/>
  <c r="I2550" i="14" s="1"/>
  <c r="K2550" i="14"/>
  <c r="F2551" i="14"/>
  <c r="H2551" i="14" s="1"/>
  <c r="G2551" i="14"/>
  <c r="I2551" i="14" s="1"/>
  <c r="K2551" i="14"/>
  <c r="F2552" i="14"/>
  <c r="H2552" i="14" s="1"/>
  <c r="G2552" i="14"/>
  <c r="I2552" i="14" s="1"/>
  <c r="K2552" i="14"/>
  <c r="F2553" i="14"/>
  <c r="H2553" i="14" s="1"/>
  <c r="G2553" i="14"/>
  <c r="I2553" i="14" s="1"/>
  <c r="K2553" i="14"/>
  <c r="F2554" i="14"/>
  <c r="H2554" i="14" s="1"/>
  <c r="G2554" i="14"/>
  <c r="I2554" i="14" s="1"/>
  <c r="K2554" i="14"/>
  <c r="F2555" i="14"/>
  <c r="H2555" i="14" s="1"/>
  <c r="G2555" i="14"/>
  <c r="I2555" i="14" s="1"/>
  <c r="K2555" i="14"/>
  <c r="F2556" i="14"/>
  <c r="H2556" i="14" s="1"/>
  <c r="G2556" i="14"/>
  <c r="I2556" i="14" s="1"/>
  <c r="K2556" i="14"/>
  <c r="F2557" i="14"/>
  <c r="H2557" i="14" s="1"/>
  <c r="G2557" i="14"/>
  <c r="I2557" i="14" s="1"/>
  <c r="K2557" i="14"/>
  <c r="F2558" i="14"/>
  <c r="H2558" i="14" s="1"/>
  <c r="G2558" i="14"/>
  <c r="I2558" i="14" s="1"/>
  <c r="K2558" i="14"/>
  <c r="F2559" i="14"/>
  <c r="H2559" i="14" s="1"/>
  <c r="G2559" i="14"/>
  <c r="I2559" i="14" s="1"/>
  <c r="K2559" i="14"/>
  <c r="F2560" i="14"/>
  <c r="H2560" i="14" s="1"/>
  <c r="G2560" i="14"/>
  <c r="I2560" i="14" s="1"/>
  <c r="K2560" i="14"/>
  <c r="F2561" i="14"/>
  <c r="H2561" i="14" s="1"/>
  <c r="G2561" i="14"/>
  <c r="I2561" i="14" s="1"/>
  <c r="K2561" i="14"/>
  <c r="F2562" i="14"/>
  <c r="H2562" i="14" s="1"/>
  <c r="G2562" i="14"/>
  <c r="I2562" i="14" s="1"/>
  <c r="K2562" i="14"/>
  <c r="F2563" i="14"/>
  <c r="H2563" i="14" s="1"/>
  <c r="G2563" i="14"/>
  <c r="I2563" i="14" s="1"/>
  <c r="K2563" i="14"/>
  <c r="F2564" i="14"/>
  <c r="H2564" i="14" s="1"/>
  <c r="G2564" i="14"/>
  <c r="I2564" i="14" s="1"/>
  <c r="K2564" i="14"/>
  <c r="F2565" i="14"/>
  <c r="H2565" i="14" s="1"/>
  <c r="G2565" i="14"/>
  <c r="I2565" i="14" s="1"/>
  <c r="K2565" i="14"/>
  <c r="F2566" i="14"/>
  <c r="H2566" i="14" s="1"/>
  <c r="G2566" i="14"/>
  <c r="I2566" i="14" s="1"/>
  <c r="K2566" i="14"/>
  <c r="F2567" i="14"/>
  <c r="H2567" i="14" s="1"/>
  <c r="G2567" i="14"/>
  <c r="I2567" i="14" s="1"/>
  <c r="K2567" i="14"/>
  <c r="F2568" i="14"/>
  <c r="H2568" i="14" s="1"/>
  <c r="G2568" i="14"/>
  <c r="I2568" i="14" s="1"/>
  <c r="K2568" i="14"/>
  <c r="F2569" i="14"/>
  <c r="H2569" i="14" s="1"/>
  <c r="G2569" i="14"/>
  <c r="I2569" i="14" s="1"/>
  <c r="K2569" i="14"/>
  <c r="F2570" i="14"/>
  <c r="H2570" i="14" s="1"/>
  <c r="G2570" i="14"/>
  <c r="I2570" i="14" s="1"/>
  <c r="K2570" i="14"/>
  <c r="F2571" i="14"/>
  <c r="H2571" i="14" s="1"/>
  <c r="G2571" i="14"/>
  <c r="I2571" i="14" s="1"/>
  <c r="K2571" i="14"/>
  <c r="F2572" i="14"/>
  <c r="H2572" i="14" s="1"/>
  <c r="G2572" i="14"/>
  <c r="I2572" i="14" s="1"/>
  <c r="K2572" i="14"/>
  <c r="F2573" i="14"/>
  <c r="H2573" i="14" s="1"/>
  <c r="G2573" i="14"/>
  <c r="I2573" i="14" s="1"/>
  <c r="K2573" i="14"/>
  <c r="F2574" i="14"/>
  <c r="H2574" i="14" s="1"/>
  <c r="G2574" i="14"/>
  <c r="I2574" i="14" s="1"/>
  <c r="K2574" i="14"/>
  <c r="F2575" i="14"/>
  <c r="H2575" i="14" s="1"/>
  <c r="G2575" i="14"/>
  <c r="I2575" i="14" s="1"/>
  <c r="K2575" i="14"/>
  <c r="F2576" i="14"/>
  <c r="H2576" i="14" s="1"/>
  <c r="G2576" i="14"/>
  <c r="I2576" i="14" s="1"/>
  <c r="K2576" i="14"/>
  <c r="F2577" i="14"/>
  <c r="H2577" i="14" s="1"/>
  <c r="G2577" i="14"/>
  <c r="I2577" i="14" s="1"/>
  <c r="K2577" i="14"/>
  <c r="F2578" i="14"/>
  <c r="H2578" i="14" s="1"/>
  <c r="G2578" i="14"/>
  <c r="I2578" i="14" s="1"/>
  <c r="K2578" i="14"/>
  <c r="F2579" i="14"/>
  <c r="H2579" i="14" s="1"/>
  <c r="G2579" i="14"/>
  <c r="I2579" i="14" s="1"/>
  <c r="K2579" i="14"/>
  <c r="F2580" i="14"/>
  <c r="H2580" i="14" s="1"/>
  <c r="G2580" i="14"/>
  <c r="I2580" i="14" s="1"/>
  <c r="K2580" i="14"/>
  <c r="F2581" i="14"/>
  <c r="H2581" i="14" s="1"/>
  <c r="G2581" i="14"/>
  <c r="I2581" i="14" s="1"/>
  <c r="K2581" i="14"/>
  <c r="F2582" i="14"/>
  <c r="H2582" i="14" s="1"/>
  <c r="G2582" i="14"/>
  <c r="I2582" i="14" s="1"/>
  <c r="K2582" i="14"/>
  <c r="F2583" i="14"/>
  <c r="H2583" i="14" s="1"/>
  <c r="G2583" i="14"/>
  <c r="I2583" i="14" s="1"/>
  <c r="K2583" i="14"/>
  <c r="F2584" i="14"/>
  <c r="H2584" i="14" s="1"/>
  <c r="G2584" i="14"/>
  <c r="I2584" i="14" s="1"/>
  <c r="K2584" i="14"/>
  <c r="F2585" i="14"/>
  <c r="H2585" i="14" s="1"/>
  <c r="G2585" i="14"/>
  <c r="I2585" i="14" s="1"/>
  <c r="K2585" i="14"/>
  <c r="F2586" i="14"/>
  <c r="H2586" i="14" s="1"/>
  <c r="G2586" i="14"/>
  <c r="I2586" i="14" s="1"/>
  <c r="K2586" i="14"/>
  <c r="F2587" i="14"/>
  <c r="H2587" i="14" s="1"/>
  <c r="G2587" i="14"/>
  <c r="I2587" i="14" s="1"/>
  <c r="K2587" i="14"/>
  <c r="F2588" i="14"/>
  <c r="H2588" i="14" s="1"/>
  <c r="G2588" i="14"/>
  <c r="I2588" i="14" s="1"/>
  <c r="K2588" i="14"/>
  <c r="F2589" i="14"/>
  <c r="H2589" i="14" s="1"/>
  <c r="G2589" i="14"/>
  <c r="I2589" i="14" s="1"/>
  <c r="K2589" i="14"/>
  <c r="F2590" i="14"/>
  <c r="H2590" i="14" s="1"/>
  <c r="G2590" i="14"/>
  <c r="I2590" i="14" s="1"/>
  <c r="K2590" i="14"/>
  <c r="F2591" i="14"/>
  <c r="H2591" i="14" s="1"/>
  <c r="G2591" i="14"/>
  <c r="I2591" i="14" s="1"/>
  <c r="K2591" i="14"/>
  <c r="F2592" i="14"/>
  <c r="H2592" i="14" s="1"/>
  <c r="G2592" i="14"/>
  <c r="I2592" i="14" s="1"/>
  <c r="K2592" i="14"/>
  <c r="F2593" i="14"/>
  <c r="H2593" i="14" s="1"/>
  <c r="G2593" i="14"/>
  <c r="I2593" i="14" s="1"/>
  <c r="K2593" i="14"/>
  <c r="F2594" i="14"/>
  <c r="H2594" i="14" s="1"/>
  <c r="G2594" i="14"/>
  <c r="I2594" i="14" s="1"/>
  <c r="K2594" i="14"/>
  <c r="F2595" i="14"/>
  <c r="H2595" i="14" s="1"/>
  <c r="G2595" i="14"/>
  <c r="I2595" i="14" s="1"/>
  <c r="K2595" i="14"/>
  <c r="F2596" i="14"/>
  <c r="H2596" i="14" s="1"/>
  <c r="G2596" i="14"/>
  <c r="I2596" i="14" s="1"/>
  <c r="K2596" i="14"/>
  <c r="F2597" i="14"/>
  <c r="H2597" i="14" s="1"/>
  <c r="G2597" i="14"/>
  <c r="I2597" i="14" s="1"/>
  <c r="K2597" i="14"/>
  <c r="F2598" i="14"/>
  <c r="H2598" i="14" s="1"/>
  <c r="G2598" i="14"/>
  <c r="I2598" i="14" s="1"/>
  <c r="K2598" i="14"/>
  <c r="F2599" i="14"/>
  <c r="H2599" i="14" s="1"/>
  <c r="G2599" i="14"/>
  <c r="I2599" i="14" s="1"/>
  <c r="K2599" i="14"/>
  <c r="F2600" i="14"/>
  <c r="H2600" i="14" s="1"/>
  <c r="G2600" i="14"/>
  <c r="I2600" i="14" s="1"/>
  <c r="K2600" i="14"/>
  <c r="F2601" i="14"/>
  <c r="H2601" i="14" s="1"/>
  <c r="G2601" i="14"/>
  <c r="I2601" i="14" s="1"/>
  <c r="K2601" i="14"/>
  <c r="F2602" i="14"/>
  <c r="H2602" i="14" s="1"/>
  <c r="G2602" i="14"/>
  <c r="I2602" i="14" s="1"/>
  <c r="K2602" i="14"/>
  <c r="F2603" i="14"/>
  <c r="H2603" i="14" s="1"/>
  <c r="G2603" i="14"/>
  <c r="I2603" i="14" s="1"/>
  <c r="K2603" i="14"/>
  <c r="F2604" i="14"/>
  <c r="H2604" i="14" s="1"/>
  <c r="G2604" i="14"/>
  <c r="I2604" i="14" s="1"/>
  <c r="J2604" i="14" s="1"/>
  <c r="K2604" i="14"/>
  <c r="F2605" i="14"/>
  <c r="H2605" i="14" s="1"/>
  <c r="G2605" i="14"/>
  <c r="I2605" i="14"/>
  <c r="K2605" i="14"/>
  <c r="F2606" i="14"/>
  <c r="H2606" i="14" s="1"/>
  <c r="G2606" i="14"/>
  <c r="I2606" i="14" s="1"/>
  <c r="K2606" i="14"/>
  <c r="F2607" i="14"/>
  <c r="H2607" i="14" s="1"/>
  <c r="G2607" i="14"/>
  <c r="I2607" i="14" s="1"/>
  <c r="K2607" i="14"/>
  <c r="F2608" i="14"/>
  <c r="H2608" i="14" s="1"/>
  <c r="G2608" i="14"/>
  <c r="I2608" i="14" s="1"/>
  <c r="K2608" i="14"/>
  <c r="F2609" i="14"/>
  <c r="H2609" i="14" s="1"/>
  <c r="G2609" i="14"/>
  <c r="I2609" i="14" s="1"/>
  <c r="K2609" i="14"/>
  <c r="F2610" i="14"/>
  <c r="H2610" i="14" s="1"/>
  <c r="G2610" i="14"/>
  <c r="I2610" i="14" s="1"/>
  <c r="K2610" i="14"/>
  <c r="F2611" i="14"/>
  <c r="H2611" i="14" s="1"/>
  <c r="G2611" i="14"/>
  <c r="I2611" i="14" s="1"/>
  <c r="K2611" i="14"/>
  <c r="F2612" i="14"/>
  <c r="H2612" i="14" s="1"/>
  <c r="G2612" i="14"/>
  <c r="I2612" i="14" s="1"/>
  <c r="K2612" i="14"/>
  <c r="F2613" i="14"/>
  <c r="H2613" i="14" s="1"/>
  <c r="G2613" i="14"/>
  <c r="I2613" i="14" s="1"/>
  <c r="K2613" i="14"/>
  <c r="F2614" i="14"/>
  <c r="H2614" i="14" s="1"/>
  <c r="G2614" i="14"/>
  <c r="I2614" i="14" s="1"/>
  <c r="K2614" i="14"/>
  <c r="F2615" i="14"/>
  <c r="H2615" i="14" s="1"/>
  <c r="G2615" i="14"/>
  <c r="I2615" i="14" s="1"/>
  <c r="K2615" i="14"/>
  <c r="F2616" i="14"/>
  <c r="H2616" i="14" s="1"/>
  <c r="G2616" i="14"/>
  <c r="I2616" i="14" s="1"/>
  <c r="K2616" i="14"/>
  <c r="F2617" i="14"/>
  <c r="H2617" i="14" s="1"/>
  <c r="G2617" i="14"/>
  <c r="I2617" i="14" s="1"/>
  <c r="K2617" i="14"/>
  <c r="F2618" i="14"/>
  <c r="H2618" i="14" s="1"/>
  <c r="G2618" i="14"/>
  <c r="I2618" i="14" s="1"/>
  <c r="K2618" i="14"/>
  <c r="F2619" i="14"/>
  <c r="H2619" i="14" s="1"/>
  <c r="G2619" i="14"/>
  <c r="I2619" i="14" s="1"/>
  <c r="K2619" i="14"/>
  <c r="F2620" i="14"/>
  <c r="H2620" i="14" s="1"/>
  <c r="G2620" i="14"/>
  <c r="I2620" i="14" s="1"/>
  <c r="K2620" i="14"/>
  <c r="F2621" i="14"/>
  <c r="H2621" i="14" s="1"/>
  <c r="G2621" i="14"/>
  <c r="I2621" i="14" s="1"/>
  <c r="K2621" i="14"/>
  <c r="F2622" i="14"/>
  <c r="H2622" i="14" s="1"/>
  <c r="G2622" i="14"/>
  <c r="I2622" i="14" s="1"/>
  <c r="K2622" i="14"/>
  <c r="F2623" i="14"/>
  <c r="H2623" i="14" s="1"/>
  <c r="G2623" i="14"/>
  <c r="I2623" i="14" s="1"/>
  <c r="K2623" i="14"/>
  <c r="F2624" i="14"/>
  <c r="H2624" i="14" s="1"/>
  <c r="G2624" i="14"/>
  <c r="I2624" i="14" s="1"/>
  <c r="K2624" i="14"/>
  <c r="F2625" i="14"/>
  <c r="H2625" i="14" s="1"/>
  <c r="G2625" i="14"/>
  <c r="I2625" i="14" s="1"/>
  <c r="K2625" i="14"/>
  <c r="F2626" i="14"/>
  <c r="H2626" i="14" s="1"/>
  <c r="G2626" i="14"/>
  <c r="I2626" i="14" s="1"/>
  <c r="J2626" i="14" s="1"/>
  <c r="K2626" i="14"/>
  <c r="F2627" i="14"/>
  <c r="H2627" i="14" s="1"/>
  <c r="G2627" i="14"/>
  <c r="I2627" i="14" s="1"/>
  <c r="K2627" i="14"/>
  <c r="F2628" i="14"/>
  <c r="H2628" i="14" s="1"/>
  <c r="G2628" i="14"/>
  <c r="I2628" i="14" s="1"/>
  <c r="K2628" i="14"/>
  <c r="F2629" i="14"/>
  <c r="H2629" i="14" s="1"/>
  <c r="G2629" i="14"/>
  <c r="I2629" i="14" s="1"/>
  <c r="K2629" i="14"/>
  <c r="F2630" i="14"/>
  <c r="H2630" i="14" s="1"/>
  <c r="G2630" i="14"/>
  <c r="I2630" i="14" s="1"/>
  <c r="K2630" i="14"/>
  <c r="F2631" i="14"/>
  <c r="H2631" i="14" s="1"/>
  <c r="G2631" i="14"/>
  <c r="I2631" i="14" s="1"/>
  <c r="K2631" i="14"/>
  <c r="F2632" i="14"/>
  <c r="H2632" i="14" s="1"/>
  <c r="G2632" i="14"/>
  <c r="I2632" i="14" s="1"/>
  <c r="K2632" i="14"/>
  <c r="F2633" i="14"/>
  <c r="H2633" i="14" s="1"/>
  <c r="G2633" i="14"/>
  <c r="I2633" i="14" s="1"/>
  <c r="K2633" i="14"/>
  <c r="F2634" i="14"/>
  <c r="H2634" i="14" s="1"/>
  <c r="G2634" i="14"/>
  <c r="I2634" i="14" s="1"/>
  <c r="K2634" i="14"/>
  <c r="F2635" i="14"/>
  <c r="H2635" i="14" s="1"/>
  <c r="G2635" i="14"/>
  <c r="I2635" i="14" s="1"/>
  <c r="K2635" i="14"/>
  <c r="F2636" i="14"/>
  <c r="H2636" i="14" s="1"/>
  <c r="G2636" i="14"/>
  <c r="I2636" i="14" s="1"/>
  <c r="J2636" i="14" s="1"/>
  <c r="K2636" i="14"/>
  <c r="F2637" i="14"/>
  <c r="H2637" i="14" s="1"/>
  <c r="G2637" i="14"/>
  <c r="I2637" i="14"/>
  <c r="K2637" i="14"/>
  <c r="F2638" i="14"/>
  <c r="H2638" i="14" s="1"/>
  <c r="G2638" i="14"/>
  <c r="I2638" i="14" s="1"/>
  <c r="K2638" i="14"/>
  <c r="F2639" i="14"/>
  <c r="H2639" i="14" s="1"/>
  <c r="G2639" i="14"/>
  <c r="I2639" i="14" s="1"/>
  <c r="K2639" i="14"/>
  <c r="F2640" i="14"/>
  <c r="H2640" i="14" s="1"/>
  <c r="G2640" i="14"/>
  <c r="I2640" i="14" s="1"/>
  <c r="K2640" i="14"/>
  <c r="F2641" i="14"/>
  <c r="H2641" i="14" s="1"/>
  <c r="G2641" i="14"/>
  <c r="I2641" i="14" s="1"/>
  <c r="K2641" i="14"/>
  <c r="F2642" i="14"/>
  <c r="H2642" i="14" s="1"/>
  <c r="G2642" i="14"/>
  <c r="I2642" i="14" s="1"/>
  <c r="K2642" i="14"/>
  <c r="F2643" i="14"/>
  <c r="H2643" i="14" s="1"/>
  <c r="G2643" i="14"/>
  <c r="I2643" i="14" s="1"/>
  <c r="K2643" i="14"/>
  <c r="F2644" i="14"/>
  <c r="H2644" i="14" s="1"/>
  <c r="G2644" i="14"/>
  <c r="I2644" i="14" s="1"/>
  <c r="K2644" i="14"/>
  <c r="F2645" i="14"/>
  <c r="H2645" i="14" s="1"/>
  <c r="G2645" i="14"/>
  <c r="I2645" i="14" s="1"/>
  <c r="K2645" i="14"/>
  <c r="F2646" i="14"/>
  <c r="H2646" i="14" s="1"/>
  <c r="G2646" i="14"/>
  <c r="I2646" i="14" s="1"/>
  <c r="K2646" i="14"/>
  <c r="F2647" i="14"/>
  <c r="H2647" i="14" s="1"/>
  <c r="G2647" i="14"/>
  <c r="I2647" i="14" s="1"/>
  <c r="K2647" i="14"/>
  <c r="F2648" i="14"/>
  <c r="H2648" i="14" s="1"/>
  <c r="G2648" i="14"/>
  <c r="I2648" i="14" s="1"/>
  <c r="K2648" i="14"/>
  <c r="F2649" i="14"/>
  <c r="H2649" i="14" s="1"/>
  <c r="G2649" i="14"/>
  <c r="I2649" i="14" s="1"/>
  <c r="K2649" i="14"/>
  <c r="F2650" i="14"/>
  <c r="H2650" i="14" s="1"/>
  <c r="G2650" i="14"/>
  <c r="I2650" i="14" s="1"/>
  <c r="J2650" i="14" s="1"/>
  <c r="K2650" i="14"/>
  <c r="F2651" i="14"/>
  <c r="H2651" i="14" s="1"/>
  <c r="G2651" i="14"/>
  <c r="I2651" i="14" s="1"/>
  <c r="K2651" i="14"/>
  <c r="F2652" i="14"/>
  <c r="H2652" i="14" s="1"/>
  <c r="G2652" i="14"/>
  <c r="I2652" i="14" s="1"/>
  <c r="K2652" i="14"/>
  <c r="F2653" i="14"/>
  <c r="H2653" i="14" s="1"/>
  <c r="G2653" i="14"/>
  <c r="I2653" i="14" s="1"/>
  <c r="K2653" i="14"/>
  <c r="F2654" i="14"/>
  <c r="H2654" i="14" s="1"/>
  <c r="G2654" i="14"/>
  <c r="I2654" i="14" s="1"/>
  <c r="K2654" i="14"/>
  <c r="F2655" i="14"/>
  <c r="H2655" i="14" s="1"/>
  <c r="G2655" i="14"/>
  <c r="I2655" i="14" s="1"/>
  <c r="K2655" i="14"/>
  <c r="F2656" i="14"/>
  <c r="H2656" i="14" s="1"/>
  <c r="G2656" i="14"/>
  <c r="I2656" i="14" s="1"/>
  <c r="K2656" i="14"/>
  <c r="F2657" i="14"/>
  <c r="H2657" i="14" s="1"/>
  <c r="G2657" i="14"/>
  <c r="I2657" i="14" s="1"/>
  <c r="K2657" i="14"/>
  <c r="F2658" i="14"/>
  <c r="H2658" i="14" s="1"/>
  <c r="G2658" i="14"/>
  <c r="I2658" i="14" s="1"/>
  <c r="K2658" i="14"/>
  <c r="F2659" i="14"/>
  <c r="H2659" i="14" s="1"/>
  <c r="G2659" i="14"/>
  <c r="I2659" i="14" s="1"/>
  <c r="K2659" i="14"/>
  <c r="F2660" i="14"/>
  <c r="H2660" i="14" s="1"/>
  <c r="G2660" i="14"/>
  <c r="I2660" i="14" s="1"/>
  <c r="K2660" i="14"/>
  <c r="F2661" i="14"/>
  <c r="H2661" i="14" s="1"/>
  <c r="G2661" i="14"/>
  <c r="I2661" i="14" s="1"/>
  <c r="K2661" i="14"/>
  <c r="F2662" i="14"/>
  <c r="H2662" i="14" s="1"/>
  <c r="G2662" i="14"/>
  <c r="I2662" i="14" s="1"/>
  <c r="K2662" i="14"/>
  <c r="F2663" i="14"/>
  <c r="H2663" i="14" s="1"/>
  <c r="G2663" i="14"/>
  <c r="I2663" i="14" s="1"/>
  <c r="K2663" i="14"/>
  <c r="F2664" i="14"/>
  <c r="H2664" i="14" s="1"/>
  <c r="G2664" i="14"/>
  <c r="I2664" i="14" s="1"/>
  <c r="J2664" i="14" s="1"/>
  <c r="K2664" i="14"/>
  <c r="F2665" i="14"/>
  <c r="H2665" i="14" s="1"/>
  <c r="G2665" i="14"/>
  <c r="I2665" i="14"/>
  <c r="K2665" i="14"/>
  <c r="F2666" i="14"/>
  <c r="H2666" i="14" s="1"/>
  <c r="G2666" i="14"/>
  <c r="I2666" i="14"/>
  <c r="J2666" i="14" s="1"/>
  <c r="K2666" i="14"/>
  <c r="F2667" i="14"/>
  <c r="G2667" i="14"/>
  <c r="I2667" i="14" s="1"/>
  <c r="H2667" i="14"/>
  <c r="K2667" i="14"/>
  <c r="F2668" i="14"/>
  <c r="H2668" i="14" s="1"/>
  <c r="G2668" i="14"/>
  <c r="I2668" i="14"/>
  <c r="J2668" i="14" s="1"/>
  <c r="K2668" i="14"/>
  <c r="F2669" i="14"/>
  <c r="G2669" i="14"/>
  <c r="H2669" i="14"/>
  <c r="I2669" i="14"/>
  <c r="K2669" i="14"/>
  <c r="F2670" i="14"/>
  <c r="H2670" i="14" s="1"/>
  <c r="G2670" i="14"/>
  <c r="I2670" i="14" s="1"/>
  <c r="J2670" i="14" s="1"/>
  <c r="K2670" i="14"/>
  <c r="F2671" i="14"/>
  <c r="G2671" i="14"/>
  <c r="I2671" i="14" s="1"/>
  <c r="H2671" i="14"/>
  <c r="K2671" i="14"/>
  <c r="F2672" i="14"/>
  <c r="H2672" i="14" s="1"/>
  <c r="G2672" i="14"/>
  <c r="I2672" i="14" s="1"/>
  <c r="K2672" i="14"/>
  <c r="F2673" i="14"/>
  <c r="H2673" i="14" s="1"/>
  <c r="G2673" i="14"/>
  <c r="I2673" i="14" s="1"/>
  <c r="K2673" i="14"/>
  <c r="F2674" i="14"/>
  <c r="H2674" i="14" s="1"/>
  <c r="G2674" i="14"/>
  <c r="I2674" i="14" s="1"/>
  <c r="K2674" i="14"/>
  <c r="F2675" i="14"/>
  <c r="H2675" i="14" s="1"/>
  <c r="G2675" i="14"/>
  <c r="I2675" i="14" s="1"/>
  <c r="K2675" i="14"/>
  <c r="F2676" i="14"/>
  <c r="H2676" i="14" s="1"/>
  <c r="G2676" i="14"/>
  <c r="I2676" i="14" s="1"/>
  <c r="K2676" i="14"/>
  <c r="F2677" i="14"/>
  <c r="H2677" i="14" s="1"/>
  <c r="G2677" i="14"/>
  <c r="I2677" i="14" s="1"/>
  <c r="K2677" i="14"/>
  <c r="F2678" i="14"/>
  <c r="H2678" i="14" s="1"/>
  <c r="G2678" i="14"/>
  <c r="I2678" i="14" s="1"/>
  <c r="K2678" i="14"/>
  <c r="F2679" i="14"/>
  <c r="H2679" i="14" s="1"/>
  <c r="G2679" i="14"/>
  <c r="I2679" i="14" s="1"/>
  <c r="K2679" i="14"/>
  <c r="F2680" i="14"/>
  <c r="H2680" i="14" s="1"/>
  <c r="G2680" i="14"/>
  <c r="I2680" i="14" s="1"/>
  <c r="K2680" i="14"/>
  <c r="F2681" i="14"/>
  <c r="H2681" i="14" s="1"/>
  <c r="G2681" i="14"/>
  <c r="I2681" i="14" s="1"/>
  <c r="K2681" i="14"/>
  <c r="F2682" i="14"/>
  <c r="H2682" i="14" s="1"/>
  <c r="G2682" i="14"/>
  <c r="I2682" i="14" s="1"/>
  <c r="J2682" i="14" s="1"/>
  <c r="K2682" i="14"/>
  <c r="F2683" i="14"/>
  <c r="H2683" i="14" s="1"/>
  <c r="G2683" i="14"/>
  <c r="I2683" i="14" s="1"/>
  <c r="K2683" i="14"/>
  <c r="F2684" i="14"/>
  <c r="H2684" i="14" s="1"/>
  <c r="G2684" i="14"/>
  <c r="I2684" i="14" s="1"/>
  <c r="J2684" i="14" s="1"/>
  <c r="K2684" i="14"/>
  <c r="F2685" i="14"/>
  <c r="H2685" i="14" s="1"/>
  <c r="G2685" i="14"/>
  <c r="I2685" i="14" s="1"/>
  <c r="K2685" i="14"/>
  <c r="F2686" i="14"/>
  <c r="H2686" i="14" s="1"/>
  <c r="G2686" i="14"/>
  <c r="I2686" i="14" s="1"/>
  <c r="K2686" i="14"/>
  <c r="F2687" i="14"/>
  <c r="H2687" i="14" s="1"/>
  <c r="G2687" i="14"/>
  <c r="I2687" i="14" s="1"/>
  <c r="K2687" i="14"/>
  <c r="F2688" i="14"/>
  <c r="H2688" i="14" s="1"/>
  <c r="G2688" i="14"/>
  <c r="I2688" i="14" s="1"/>
  <c r="K2688" i="14"/>
  <c r="F2689" i="14"/>
  <c r="H2689" i="14" s="1"/>
  <c r="G2689" i="14"/>
  <c r="I2689" i="14" s="1"/>
  <c r="K2689" i="14"/>
  <c r="F2690" i="14"/>
  <c r="H2690" i="14" s="1"/>
  <c r="G2690" i="14"/>
  <c r="I2690" i="14" s="1"/>
  <c r="J2690" i="14" s="1"/>
  <c r="K2690" i="14"/>
  <c r="F2691" i="14"/>
  <c r="H2691" i="14" s="1"/>
  <c r="G2691" i="14"/>
  <c r="I2691" i="14" s="1"/>
  <c r="K2691" i="14"/>
  <c r="F2692" i="14"/>
  <c r="H2692" i="14" s="1"/>
  <c r="G2692" i="14"/>
  <c r="I2692" i="14" s="1"/>
  <c r="J2692" i="14" s="1"/>
  <c r="K2692" i="14"/>
  <c r="F2693" i="14"/>
  <c r="H2693" i="14" s="1"/>
  <c r="G2693" i="14"/>
  <c r="I2693" i="14" s="1"/>
  <c r="K2693" i="14"/>
  <c r="F2694" i="14"/>
  <c r="H2694" i="14" s="1"/>
  <c r="G2694" i="14"/>
  <c r="I2694" i="14" s="1"/>
  <c r="K2694" i="14"/>
  <c r="F2695" i="14"/>
  <c r="H2695" i="14" s="1"/>
  <c r="G2695" i="14"/>
  <c r="I2695" i="14" s="1"/>
  <c r="K2695" i="14"/>
  <c r="F2696" i="14"/>
  <c r="H2696" i="14" s="1"/>
  <c r="G2696" i="14"/>
  <c r="I2696" i="14" s="1"/>
  <c r="J2696" i="14" s="1"/>
  <c r="K2696" i="14"/>
  <c r="F2697" i="14"/>
  <c r="H2697" i="14" s="1"/>
  <c r="G2697" i="14"/>
  <c r="I2697" i="14" s="1"/>
  <c r="K2697" i="14"/>
  <c r="F2698" i="14"/>
  <c r="H2698" i="14" s="1"/>
  <c r="G2698" i="14"/>
  <c r="I2698" i="14" s="1"/>
  <c r="K2698" i="14"/>
  <c r="F2699" i="14"/>
  <c r="H2699" i="14" s="1"/>
  <c r="G2699" i="14"/>
  <c r="I2699" i="14" s="1"/>
  <c r="K2699" i="14"/>
  <c r="F2700" i="14"/>
  <c r="H2700" i="14" s="1"/>
  <c r="G2700" i="14"/>
  <c r="I2700" i="14" s="1"/>
  <c r="K2700" i="14"/>
  <c r="F2701" i="14"/>
  <c r="H2701" i="14" s="1"/>
  <c r="G2701" i="14"/>
  <c r="I2701" i="14" s="1"/>
  <c r="K2701" i="14"/>
  <c r="F2702" i="14"/>
  <c r="H2702" i="14" s="1"/>
  <c r="G2702" i="14"/>
  <c r="I2702" i="14" s="1"/>
  <c r="J2702" i="14" s="1"/>
  <c r="K2702" i="14"/>
  <c r="F2703" i="14"/>
  <c r="H2703" i="14" s="1"/>
  <c r="G2703" i="14"/>
  <c r="I2703" i="14" s="1"/>
  <c r="K2703" i="14"/>
  <c r="F2704" i="14"/>
  <c r="H2704" i="14" s="1"/>
  <c r="G2704" i="14"/>
  <c r="I2704" i="14" s="1"/>
  <c r="J2704" i="14" s="1"/>
  <c r="K2704" i="14"/>
  <c r="F2705" i="14"/>
  <c r="G2705" i="14"/>
  <c r="I2705" i="14" s="1"/>
  <c r="H2705" i="14"/>
  <c r="K2705" i="14"/>
  <c r="F2706" i="14"/>
  <c r="H2706" i="14" s="1"/>
  <c r="G2706" i="14"/>
  <c r="I2706" i="14" s="1"/>
  <c r="K2706" i="14"/>
  <c r="F2707" i="14"/>
  <c r="H2707" i="14" s="1"/>
  <c r="G2707" i="14"/>
  <c r="I2707" i="14" s="1"/>
  <c r="K2707" i="14"/>
  <c r="F2708" i="14"/>
  <c r="H2708" i="14" s="1"/>
  <c r="G2708" i="14"/>
  <c r="I2708" i="14" s="1"/>
  <c r="K2708" i="14"/>
  <c r="F2709" i="14"/>
  <c r="H2709" i="14" s="1"/>
  <c r="G2709" i="14"/>
  <c r="I2709" i="14" s="1"/>
  <c r="K2709" i="14"/>
  <c r="F2710" i="14"/>
  <c r="H2710" i="14" s="1"/>
  <c r="G2710" i="14"/>
  <c r="I2710" i="14" s="1"/>
  <c r="K2710" i="14"/>
  <c r="F2711" i="14"/>
  <c r="H2711" i="14" s="1"/>
  <c r="G2711" i="14"/>
  <c r="I2711" i="14" s="1"/>
  <c r="K2711" i="14"/>
  <c r="F2712" i="14"/>
  <c r="H2712" i="14" s="1"/>
  <c r="G2712" i="14"/>
  <c r="I2712" i="14" s="1"/>
  <c r="K2712" i="14"/>
  <c r="F2713" i="14"/>
  <c r="H2713" i="14" s="1"/>
  <c r="G2713" i="14"/>
  <c r="I2713" i="14" s="1"/>
  <c r="K2713" i="14"/>
  <c r="F2714" i="14"/>
  <c r="H2714" i="14" s="1"/>
  <c r="G2714" i="14"/>
  <c r="I2714" i="14" s="1"/>
  <c r="K2714" i="14"/>
  <c r="F2715" i="14"/>
  <c r="H2715" i="14" s="1"/>
  <c r="G2715" i="14"/>
  <c r="I2715" i="14" s="1"/>
  <c r="K2715" i="14"/>
  <c r="F2716" i="14"/>
  <c r="H2716" i="14" s="1"/>
  <c r="G2716" i="14"/>
  <c r="I2716" i="14"/>
  <c r="K2716" i="14"/>
  <c r="F2717" i="14"/>
  <c r="H2717" i="14" s="1"/>
  <c r="G2717" i="14"/>
  <c r="I2717" i="14"/>
  <c r="K2717" i="14"/>
  <c r="F2718" i="14"/>
  <c r="H2718" i="14" s="1"/>
  <c r="G2718" i="14"/>
  <c r="I2718" i="14"/>
  <c r="K2718" i="14"/>
  <c r="F2719" i="14"/>
  <c r="H2719" i="14" s="1"/>
  <c r="G2719" i="14"/>
  <c r="I2719" i="14" s="1"/>
  <c r="K2719" i="14"/>
  <c r="F2720" i="14"/>
  <c r="H2720" i="14" s="1"/>
  <c r="G2720" i="14"/>
  <c r="I2720" i="14" s="1"/>
  <c r="K2720" i="14"/>
  <c r="F2721" i="14"/>
  <c r="G2721" i="14"/>
  <c r="I2721" i="14" s="1"/>
  <c r="J2721" i="14" s="1"/>
  <c r="H2721" i="14"/>
  <c r="K2721" i="14"/>
  <c r="F2722" i="14"/>
  <c r="H2722" i="14" s="1"/>
  <c r="G2722" i="14"/>
  <c r="I2722" i="14"/>
  <c r="K2722" i="14"/>
  <c r="F2723" i="14"/>
  <c r="H2723" i="14" s="1"/>
  <c r="G2723" i="14"/>
  <c r="I2723" i="14" s="1"/>
  <c r="K2723" i="14"/>
  <c r="F2724" i="14"/>
  <c r="H2724" i="14" s="1"/>
  <c r="G2724" i="14"/>
  <c r="I2724" i="14"/>
  <c r="K2724" i="14"/>
  <c r="F2725" i="14"/>
  <c r="H2725" i="14" s="1"/>
  <c r="G2725" i="14"/>
  <c r="I2725" i="14" s="1"/>
  <c r="K2725" i="14"/>
  <c r="F2726" i="14"/>
  <c r="H2726" i="14" s="1"/>
  <c r="G2726" i="14"/>
  <c r="I2726" i="14" s="1"/>
  <c r="K2726" i="14"/>
  <c r="F2727" i="14"/>
  <c r="H2727" i="14" s="1"/>
  <c r="G2727" i="14"/>
  <c r="I2727" i="14" s="1"/>
  <c r="K2727" i="14"/>
  <c r="F2728" i="14"/>
  <c r="H2728" i="14" s="1"/>
  <c r="G2728" i="14"/>
  <c r="I2728" i="14" s="1"/>
  <c r="K2728" i="14"/>
  <c r="F2729" i="14"/>
  <c r="H2729" i="14" s="1"/>
  <c r="G2729" i="14"/>
  <c r="I2729" i="14" s="1"/>
  <c r="J2729" i="14" s="1"/>
  <c r="K2729" i="14"/>
  <c r="F2730" i="14"/>
  <c r="H2730" i="14" s="1"/>
  <c r="G2730" i="14"/>
  <c r="I2730" i="14"/>
  <c r="K2730" i="14"/>
  <c r="F2731" i="14"/>
  <c r="H2731" i="14" s="1"/>
  <c r="G2731" i="14"/>
  <c r="I2731" i="14" s="1"/>
  <c r="K2731" i="14"/>
  <c r="F2732" i="14"/>
  <c r="H2732" i="14" s="1"/>
  <c r="G2732" i="14"/>
  <c r="I2732" i="14" s="1"/>
  <c r="K2732" i="14"/>
  <c r="F2733" i="14"/>
  <c r="H2733" i="14" s="1"/>
  <c r="G2733" i="14"/>
  <c r="I2733" i="14" s="1"/>
  <c r="K2733" i="14"/>
  <c r="F2734" i="14"/>
  <c r="H2734" i="14" s="1"/>
  <c r="G2734" i="14"/>
  <c r="I2734" i="14" s="1"/>
  <c r="K2734" i="14"/>
  <c r="F2735" i="14"/>
  <c r="H2735" i="14" s="1"/>
  <c r="G2735" i="14"/>
  <c r="I2735" i="14" s="1"/>
  <c r="K2735" i="14"/>
  <c r="F2736" i="14"/>
  <c r="H2736" i="14" s="1"/>
  <c r="G2736" i="14"/>
  <c r="I2736" i="14" s="1"/>
  <c r="K2736" i="14"/>
  <c r="F2737" i="14"/>
  <c r="H2737" i="14" s="1"/>
  <c r="G2737" i="14"/>
  <c r="I2737" i="14" s="1"/>
  <c r="K2737" i="14"/>
  <c r="F2738" i="14"/>
  <c r="H2738" i="14" s="1"/>
  <c r="G2738" i="14"/>
  <c r="I2738" i="14" s="1"/>
  <c r="J2738" i="14" s="1"/>
  <c r="K2738" i="14"/>
  <c r="F2739" i="14"/>
  <c r="H2739" i="14" s="1"/>
  <c r="G2739" i="14"/>
  <c r="I2739" i="14" s="1"/>
  <c r="K2739" i="14"/>
  <c r="F2740" i="14"/>
  <c r="H2740" i="14" s="1"/>
  <c r="G2740" i="14"/>
  <c r="I2740" i="14" s="1"/>
  <c r="J2740" i="14" s="1"/>
  <c r="K2740" i="14"/>
  <c r="F2741" i="14"/>
  <c r="H2741" i="14" s="1"/>
  <c r="G2741" i="14"/>
  <c r="I2741" i="14" s="1"/>
  <c r="K2741" i="14"/>
  <c r="F2742" i="14"/>
  <c r="H2742" i="14" s="1"/>
  <c r="G2742" i="14"/>
  <c r="I2742" i="14" s="1"/>
  <c r="K2742" i="14"/>
  <c r="F2743" i="14"/>
  <c r="H2743" i="14" s="1"/>
  <c r="G2743" i="14"/>
  <c r="I2743" i="14" s="1"/>
  <c r="K2743" i="14"/>
  <c r="F2744" i="14"/>
  <c r="H2744" i="14" s="1"/>
  <c r="G2744" i="14"/>
  <c r="I2744" i="14" s="1"/>
  <c r="J2744" i="14" s="1"/>
  <c r="K2744" i="14"/>
  <c r="F2745" i="14"/>
  <c r="H2745" i="14" s="1"/>
  <c r="G2745" i="14"/>
  <c r="I2745" i="14" s="1"/>
  <c r="K2745" i="14"/>
  <c r="F2746" i="14"/>
  <c r="H2746" i="14" s="1"/>
  <c r="G2746" i="14"/>
  <c r="I2746" i="14" s="1"/>
  <c r="K2746" i="14"/>
  <c r="F2747" i="14"/>
  <c r="H2747" i="14" s="1"/>
  <c r="G2747" i="14"/>
  <c r="I2747" i="14" s="1"/>
  <c r="K2747" i="14"/>
  <c r="F2748" i="14"/>
  <c r="H2748" i="14" s="1"/>
  <c r="G2748" i="14"/>
  <c r="I2748" i="14" s="1"/>
  <c r="K2748" i="14"/>
  <c r="F2749" i="14"/>
  <c r="H2749" i="14" s="1"/>
  <c r="G2749" i="14"/>
  <c r="I2749" i="14" s="1"/>
  <c r="K2749" i="14"/>
  <c r="F2750" i="14"/>
  <c r="H2750" i="14" s="1"/>
  <c r="G2750" i="14"/>
  <c r="I2750" i="14" s="1"/>
  <c r="K2750" i="14"/>
  <c r="F2751" i="14"/>
  <c r="G2751" i="14"/>
  <c r="I2751" i="14" s="1"/>
  <c r="H2751" i="14"/>
  <c r="K2751" i="14"/>
  <c r="F2752" i="14"/>
  <c r="H2752" i="14" s="1"/>
  <c r="G2752" i="14"/>
  <c r="I2752" i="14" s="1"/>
  <c r="K2752" i="14"/>
  <c r="F2753" i="14"/>
  <c r="H2753" i="14" s="1"/>
  <c r="G2753" i="14"/>
  <c r="I2753" i="14" s="1"/>
  <c r="K2753" i="14"/>
  <c r="F2754" i="14"/>
  <c r="H2754" i="14" s="1"/>
  <c r="G2754" i="14"/>
  <c r="I2754" i="14" s="1"/>
  <c r="K2754" i="14"/>
  <c r="F2755" i="14"/>
  <c r="H2755" i="14" s="1"/>
  <c r="G2755" i="14"/>
  <c r="I2755" i="14" s="1"/>
  <c r="K2755" i="14"/>
  <c r="F2756" i="14"/>
  <c r="H2756" i="14" s="1"/>
  <c r="G2756" i="14"/>
  <c r="I2756" i="14" s="1"/>
  <c r="K2756" i="14"/>
  <c r="F2757" i="14"/>
  <c r="H2757" i="14" s="1"/>
  <c r="G2757" i="14"/>
  <c r="I2757" i="14" s="1"/>
  <c r="K2757" i="14"/>
  <c r="F2758" i="14"/>
  <c r="H2758" i="14" s="1"/>
  <c r="G2758" i="14"/>
  <c r="I2758" i="14" s="1"/>
  <c r="K2758" i="14"/>
  <c r="F2759" i="14"/>
  <c r="H2759" i="14" s="1"/>
  <c r="G2759" i="14"/>
  <c r="I2759" i="14" s="1"/>
  <c r="K2759" i="14"/>
  <c r="F2760" i="14"/>
  <c r="H2760" i="14" s="1"/>
  <c r="G2760" i="14"/>
  <c r="I2760" i="14" s="1"/>
  <c r="K2760" i="14"/>
  <c r="F2761" i="14"/>
  <c r="H2761" i="14" s="1"/>
  <c r="G2761" i="14"/>
  <c r="I2761" i="14" s="1"/>
  <c r="K2761" i="14"/>
  <c r="F2762" i="14"/>
  <c r="H2762" i="14" s="1"/>
  <c r="G2762" i="14"/>
  <c r="I2762" i="14"/>
  <c r="K2762" i="14"/>
  <c r="F2763" i="14"/>
  <c r="H2763" i="14" s="1"/>
  <c r="G2763" i="14"/>
  <c r="I2763" i="14"/>
  <c r="K2763" i="14"/>
  <c r="F2764" i="14"/>
  <c r="H2764" i="14" s="1"/>
  <c r="G2764" i="14"/>
  <c r="I2764" i="14" s="1"/>
  <c r="K2764" i="14"/>
  <c r="F2765" i="14"/>
  <c r="G2765" i="14"/>
  <c r="I2765" i="14" s="1"/>
  <c r="H2765" i="14"/>
  <c r="K2765" i="14"/>
  <c r="F2766" i="14"/>
  <c r="H2766" i="14" s="1"/>
  <c r="G2766" i="14"/>
  <c r="I2766" i="14" s="1"/>
  <c r="K2766" i="14"/>
  <c r="F2767" i="14"/>
  <c r="H2767" i="14" s="1"/>
  <c r="G2767" i="14"/>
  <c r="I2767" i="14"/>
  <c r="K2767" i="14"/>
  <c r="F2768" i="14"/>
  <c r="H2768" i="14" s="1"/>
  <c r="G2768" i="14"/>
  <c r="I2768" i="14"/>
  <c r="J2768" i="14" s="1"/>
  <c r="K2768" i="14"/>
  <c r="F2769" i="14"/>
  <c r="G2769" i="14"/>
  <c r="I2769" i="14" s="1"/>
  <c r="H2769" i="14"/>
  <c r="K2769" i="14"/>
  <c r="F2770" i="14"/>
  <c r="H2770" i="14" s="1"/>
  <c r="G2770" i="14"/>
  <c r="I2770" i="14"/>
  <c r="K2770" i="14"/>
  <c r="F2771" i="14"/>
  <c r="G2771" i="14"/>
  <c r="I2771" i="14" s="1"/>
  <c r="H2771" i="14"/>
  <c r="K2771" i="14"/>
  <c r="F2772" i="14"/>
  <c r="H2772" i="14" s="1"/>
  <c r="G2772" i="14"/>
  <c r="I2772" i="14" s="1"/>
  <c r="K2772" i="14"/>
  <c r="F2773" i="14"/>
  <c r="H2773" i="14" s="1"/>
  <c r="G2773" i="14"/>
  <c r="I2773" i="14" s="1"/>
  <c r="K2773" i="14"/>
  <c r="F2774" i="14"/>
  <c r="H2774" i="14" s="1"/>
  <c r="G2774" i="14"/>
  <c r="I2774" i="14" s="1"/>
  <c r="K2774" i="14"/>
  <c r="F2775" i="14"/>
  <c r="H2775" i="14" s="1"/>
  <c r="G2775" i="14"/>
  <c r="I2775" i="14" s="1"/>
  <c r="K2775" i="14"/>
  <c r="F2776" i="14"/>
  <c r="H2776" i="14" s="1"/>
  <c r="G2776" i="14"/>
  <c r="I2776" i="14"/>
  <c r="K2776" i="14"/>
  <c r="F2777" i="14"/>
  <c r="H2777" i="14" s="1"/>
  <c r="G2777" i="14"/>
  <c r="I2777" i="14" s="1"/>
  <c r="K2777" i="14"/>
  <c r="F2778" i="14"/>
  <c r="H2778" i="14" s="1"/>
  <c r="G2778" i="14"/>
  <c r="I2778" i="14" s="1"/>
  <c r="K2778" i="14"/>
  <c r="F2779" i="14"/>
  <c r="H2779" i="14" s="1"/>
  <c r="G2779" i="14"/>
  <c r="I2779" i="14" s="1"/>
  <c r="K2779" i="14"/>
  <c r="F2780" i="14"/>
  <c r="H2780" i="14" s="1"/>
  <c r="G2780" i="14"/>
  <c r="I2780" i="14" s="1"/>
  <c r="K2780" i="14"/>
  <c r="F2781" i="14"/>
  <c r="G2781" i="14"/>
  <c r="I2781" i="14" s="1"/>
  <c r="H2781" i="14"/>
  <c r="K2781" i="14"/>
  <c r="F2782" i="14"/>
  <c r="H2782" i="14" s="1"/>
  <c r="G2782" i="14"/>
  <c r="I2782" i="14" s="1"/>
  <c r="K2782" i="14"/>
  <c r="F2783" i="14"/>
  <c r="H2783" i="14" s="1"/>
  <c r="G2783" i="14"/>
  <c r="I2783" i="14"/>
  <c r="K2783" i="14"/>
  <c r="F2784" i="14"/>
  <c r="H2784" i="14" s="1"/>
  <c r="G2784" i="14"/>
  <c r="I2784" i="14" s="1"/>
  <c r="K2784" i="14"/>
  <c r="F2785" i="14"/>
  <c r="H2785" i="14" s="1"/>
  <c r="G2785" i="14"/>
  <c r="I2785" i="14" s="1"/>
  <c r="K2785" i="14"/>
  <c r="F2786" i="14"/>
  <c r="H2786" i="14" s="1"/>
  <c r="G2786" i="14"/>
  <c r="I2786" i="14" s="1"/>
  <c r="K2786" i="14"/>
  <c r="F2787" i="14"/>
  <c r="H2787" i="14" s="1"/>
  <c r="G2787" i="14"/>
  <c r="I2787" i="14" s="1"/>
  <c r="K2787" i="14"/>
  <c r="F2788" i="14"/>
  <c r="H2788" i="14" s="1"/>
  <c r="G2788" i="14"/>
  <c r="I2788" i="14" s="1"/>
  <c r="J2788" i="14" s="1"/>
  <c r="K2788" i="14"/>
  <c r="F2789" i="14"/>
  <c r="H2789" i="14" s="1"/>
  <c r="G2789" i="14"/>
  <c r="I2789" i="14" s="1"/>
  <c r="K2789" i="14"/>
  <c r="F2790" i="14"/>
  <c r="H2790" i="14" s="1"/>
  <c r="G2790" i="14"/>
  <c r="I2790" i="14" s="1"/>
  <c r="K2790" i="14"/>
  <c r="F2791" i="14"/>
  <c r="H2791" i="14" s="1"/>
  <c r="G2791" i="14"/>
  <c r="I2791" i="14" s="1"/>
  <c r="K2791" i="14"/>
  <c r="F2792" i="14"/>
  <c r="H2792" i="14" s="1"/>
  <c r="G2792" i="14"/>
  <c r="I2792" i="14" s="1"/>
  <c r="K2792" i="14"/>
  <c r="F2793" i="14"/>
  <c r="H2793" i="14" s="1"/>
  <c r="G2793" i="14"/>
  <c r="I2793" i="14" s="1"/>
  <c r="K2793" i="14"/>
  <c r="F2794" i="14"/>
  <c r="H2794" i="14" s="1"/>
  <c r="G2794" i="14"/>
  <c r="I2794" i="14" s="1"/>
  <c r="K2794" i="14"/>
  <c r="F2795" i="14"/>
  <c r="H2795" i="14" s="1"/>
  <c r="G2795" i="14"/>
  <c r="I2795" i="14" s="1"/>
  <c r="K2795" i="14"/>
  <c r="F2796" i="14"/>
  <c r="H2796" i="14" s="1"/>
  <c r="G2796" i="14"/>
  <c r="I2796" i="14" s="1"/>
  <c r="J2796" i="14" s="1"/>
  <c r="K2796" i="14"/>
  <c r="F2797" i="14"/>
  <c r="H2797" i="14" s="1"/>
  <c r="G2797" i="14"/>
  <c r="I2797" i="14" s="1"/>
  <c r="K2797" i="14"/>
  <c r="F2798" i="14"/>
  <c r="H2798" i="14" s="1"/>
  <c r="G2798" i="14"/>
  <c r="I2798" i="14" s="1"/>
  <c r="K2798" i="14"/>
  <c r="F2799" i="14"/>
  <c r="H2799" i="14" s="1"/>
  <c r="G2799" i="14"/>
  <c r="I2799" i="14" s="1"/>
  <c r="K2799" i="14"/>
  <c r="F2800" i="14"/>
  <c r="H2800" i="14" s="1"/>
  <c r="G2800" i="14"/>
  <c r="I2800" i="14" s="1"/>
  <c r="J2800" i="14" s="1"/>
  <c r="K2800" i="14"/>
  <c r="F2801" i="14"/>
  <c r="H2801" i="14" s="1"/>
  <c r="G2801" i="14"/>
  <c r="I2801" i="14" s="1"/>
  <c r="K2801" i="14"/>
  <c r="F2802" i="14"/>
  <c r="H2802" i="14" s="1"/>
  <c r="G2802" i="14"/>
  <c r="I2802" i="14"/>
  <c r="K2802" i="14"/>
  <c r="F2803" i="14"/>
  <c r="H2803" i="14" s="1"/>
  <c r="G2803" i="14"/>
  <c r="I2803" i="14" s="1"/>
  <c r="K2803" i="14"/>
  <c r="F2804" i="14"/>
  <c r="H2804" i="14" s="1"/>
  <c r="G2804" i="14"/>
  <c r="I2804" i="14" s="1"/>
  <c r="K2804" i="14"/>
  <c r="F2805" i="14"/>
  <c r="H2805" i="14" s="1"/>
  <c r="G2805" i="14"/>
  <c r="I2805" i="14" s="1"/>
  <c r="K2805" i="14"/>
  <c r="F2806" i="14"/>
  <c r="H2806" i="14" s="1"/>
  <c r="G2806" i="14"/>
  <c r="I2806" i="14" s="1"/>
  <c r="J2806" i="14" s="1"/>
  <c r="K2806" i="14"/>
  <c r="F2807" i="14"/>
  <c r="H2807" i="14" s="1"/>
  <c r="G2807" i="14"/>
  <c r="I2807" i="14" s="1"/>
  <c r="K2807" i="14"/>
  <c r="F2808" i="14"/>
  <c r="H2808" i="14" s="1"/>
  <c r="G2808" i="14"/>
  <c r="I2808" i="14" s="1"/>
  <c r="K2808" i="14"/>
  <c r="F2809" i="14"/>
  <c r="H2809" i="14" s="1"/>
  <c r="G2809" i="14"/>
  <c r="I2809" i="14" s="1"/>
  <c r="K2809" i="14"/>
  <c r="F2810" i="14"/>
  <c r="H2810" i="14" s="1"/>
  <c r="G2810" i="14"/>
  <c r="I2810" i="14" s="1"/>
  <c r="K2810" i="14"/>
  <c r="F2811" i="14"/>
  <c r="H2811" i="14" s="1"/>
  <c r="G2811" i="14"/>
  <c r="I2811" i="14" s="1"/>
  <c r="K2811" i="14"/>
  <c r="F2812" i="14"/>
  <c r="H2812" i="14" s="1"/>
  <c r="G2812" i="14"/>
  <c r="I2812" i="14" s="1"/>
  <c r="K2812" i="14"/>
  <c r="F2813" i="14"/>
  <c r="H2813" i="14" s="1"/>
  <c r="G2813" i="14"/>
  <c r="I2813" i="14" s="1"/>
  <c r="K2813" i="14"/>
  <c r="F2814" i="14"/>
  <c r="H2814" i="14" s="1"/>
  <c r="G2814" i="14"/>
  <c r="I2814" i="14" s="1"/>
  <c r="K2814" i="14"/>
  <c r="F2815" i="14"/>
  <c r="H2815" i="14" s="1"/>
  <c r="G2815" i="14"/>
  <c r="I2815" i="14" s="1"/>
  <c r="K2815" i="14"/>
  <c r="F2816" i="14"/>
  <c r="H2816" i="14" s="1"/>
  <c r="G2816" i="14"/>
  <c r="I2816" i="14" s="1"/>
  <c r="J2816" i="14" s="1"/>
  <c r="K2816" i="14"/>
  <c r="F2817" i="14"/>
  <c r="H2817" i="14" s="1"/>
  <c r="G2817" i="14"/>
  <c r="I2817" i="14" s="1"/>
  <c r="K2817" i="14"/>
  <c r="F2818" i="14"/>
  <c r="H2818" i="14" s="1"/>
  <c r="G2818" i="14"/>
  <c r="I2818" i="14" s="1"/>
  <c r="K2818" i="14"/>
  <c r="F2819" i="14"/>
  <c r="H2819" i="14" s="1"/>
  <c r="G2819" i="14"/>
  <c r="I2819" i="14" s="1"/>
  <c r="K2819" i="14"/>
  <c r="F2820" i="14"/>
  <c r="H2820" i="14" s="1"/>
  <c r="G2820" i="14"/>
  <c r="I2820" i="14" s="1"/>
  <c r="J2820" i="14" s="1"/>
  <c r="K2820" i="14"/>
  <c r="F2821" i="14"/>
  <c r="H2821" i="14" s="1"/>
  <c r="G2821" i="14"/>
  <c r="I2821" i="14" s="1"/>
  <c r="K2821" i="14"/>
  <c r="F2822" i="14"/>
  <c r="H2822" i="14" s="1"/>
  <c r="G2822" i="14"/>
  <c r="I2822" i="14" s="1"/>
  <c r="K2822" i="14"/>
  <c r="F2823" i="14"/>
  <c r="H2823" i="14" s="1"/>
  <c r="G2823" i="14"/>
  <c r="I2823" i="14" s="1"/>
  <c r="K2823" i="14"/>
  <c r="F2824" i="14"/>
  <c r="H2824" i="14" s="1"/>
  <c r="G2824" i="14"/>
  <c r="I2824" i="14" s="1"/>
  <c r="K2824" i="14"/>
  <c r="F2825" i="14"/>
  <c r="H2825" i="14" s="1"/>
  <c r="G2825" i="14"/>
  <c r="I2825" i="14" s="1"/>
  <c r="K2825" i="14"/>
  <c r="F2826" i="14"/>
  <c r="H2826" i="14" s="1"/>
  <c r="G2826" i="14"/>
  <c r="I2826" i="14" s="1"/>
  <c r="K2826" i="14"/>
  <c r="F2827" i="14"/>
  <c r="H2827" i="14" s="1"/>
  <c r="G2827" i="14"/>
  <c r="I2827" i="14" s="1"/>
  <c r="K2827" i="14"/>
  <c r="F2828" i="14"/>
  <c r="H2828" i="14" s="1"/>
  <c r="G2828" i="14"/>
  <c r="I2828" i="14" s="1"/>
  <c r="J2828" i="14" s="1"/>
  <c r="K2828" i="14"/>
  <c r="F2829" i="14"/>
  <c r="G2829" i="14"/>
  <c r="I2829" i="14" s="1"/>
  <c r="H2829" i="14"/>
  <c r="K2829" i="14"/>
  <c r="F2830" i="14"/>
  <c r="H2830" i="14" s="1"/>
  <c r="G2830" i="14"/>
  <c r="I2830" i="14" s="1"/>
  <c r="K2830" i="14"/>
  <c r="F2831" i="14"/>
  <c r="H2831" i="14" s="1"/>
  <c r="G2831" i="14"/>
  <c r="I2831" i="14" s="1"/>
  <c r="K2831" i="14"/>
  <c r="F2832" i="14"/>
  <c r="H2832" i="14" s="1"/>
  <c r="G2832" i="14"/>
  <c r="I2832" i="14" s="1"/>
  <c r="J2832" i="14" s="1"/>
  <c r="K2832" i="14"/>
  <c r="F2833" i="14"/>
  <c r="H2833" i="14" s="1"/>
  <c r="G2833" i="14"/>
  <c r="I2833" i="14" s="1"/>
  <c r="K2833" i="14"/>
  <c r="F2834" i="14"/>
  <c r="H2834" i="14" s="1"/>
  <c r="G2834" i="14"/>
  <c r="I2834" i="14" s="1"/>
  <c r="K2834" i="14"/>
  <c r="F2835" i="14"/>
  <c r="H2835" i="14" s="1"/>
  <c r="G2835" i="14"/>
  <c r="I2835" i="14" s="1"/>
  <c r="K2835" i="14"/>
  <c r="F2836" i="14"/>
  <c r="H2836" i="14" s="1"/>
  <c r="G2836" i="14"/>
  <c r="I2836" i="14" s="1"/>
  <c r="K2836" i="14"/>
  <c r="F2837" i="14"/>
  <c r="H2837" i="14" s="1"/>
  <c r="G2837" i="14"/>
  <c r="I2837" i="14" s="1"/>
  <c r="K2837" i="14"/>
  <c r="F2838" i="14"/>
  <c r="H2838" i="14" s="1"/>
  <c r="G2838" i="14"/>
  <c r="I2838" i="14" s="1"/>
  <c r="K2838" i="14"/>
  <c r="F2839" i="14"/>
  <c r="H2839" i="14" s="1"/>
  <c r="G2839" i="14"/>
  <c r="I2839" i="14" s="1"/>
  <c r="K2839" i="14"/>
  <c r="F2840" i="14"/>
  <c r="H2840" i="14" s="1"/>
  <c r="G2840" i="14"/>
  <c r="I2840" i="14" s="1"/>
  <c r="K2840" i="14"/>
  <c r="F2841" i="14"/>
  <c r="H2841" i="14" s="1"/>
  <c r="G2841" i="14"/>
  <c r="I2841" i="14" s="1"/>
  <c r="J2841" i="14" s="1"/>
  <c r="K2841" i="14"/>
  <c r="F2842" i="14"/>
  <c r="H2842" i="14" s="1"/>
  <c r="G2842" i="14"/>
  <c r="I2842" i="14" s="1"/>
  <c r="K2842" i="14"/>
  <c r="F2843" i="14"/>
  <c r="H2843" i="14" s="1"/>
  <c r="G2843" i="14"/>
  <c r="I2843" i="14" s="1"/>
  <c r="K2843" i="14"/>
  <c r="F2844" i="14"/>
  <c r="H2844" i="14" s="1"/>
  <c r="G2844" i="14"/>
  <c r="I2844" i="14" s="1"/>
  <c r="K2844" i="14"/>
  <c r="F2845" i="14"/>
  <c r="H2845" i="14" s="1"/>
  <c r="G2845" i="14"/>
  <c r="I2845" i="14" s="1"/>
  <c r="K2845" i="14"/>
  <c r="F2846" i="14"/>
  <c r="H2846" i="14" s="1"/>
  <c r="G2846" i="14"/>
  <c r="I2846" i="14" s="1"/>
  <c r="K2846" i="14"/>
  <c r="F2847" i="14"/>
  <c r="H2847" i="14" s="1"/>
  <c r="G2847" i="14"/>
  <c r="I2847" i="14" s="1"/>
  <c r="K2847" i="14"/>
  <c r="F2848" i="14"/>
  <c r="G2848" i="14"/>
  <c r="I2848" i="14" s="1"/>
  <c r="H2848" i="14"/>
  <c r="K2848" i="14"/>
  <c r="F2849" i="14"/>
  <c r="H2849" i="14" s="1"/>
  <c r="G2849" i="14"/>
  <c r="I2849" i="14" s="1"/>
  <c r="J2849" i="14" s="1"/>
  <c r="K2849" i="14"/>
  <c r="F2850" i="14"/>
  <c r="G2850" i="14"/>
  <c r="I2850" i="14" s="1"/>
  <c r="H2850" i="14"/>
  <c r="K2850" i="14"/>
  <c r="F2851" i="14"/>
  <c r="H2851" i="14" s="1"/>
  <c r="G2851" i="14"/>
  <c r="I2851" i="14" s="1"/>
  <c r="K2851" i="14"/>
  <c r="F2852" i="14"/>
  <c r="H2852" i="14" s="1"/>
  <c r="G2852" i="14"/>
  <c r="I2852" i="14" s="1"/>
  <c r="K2852" i="14"/>
  <c r="F2853" i="14"/>
  <c r="H2853" i="14" s="1"/>
  <c r="G2853" i="14"/>
  <c r="I2853" i="14" s="1"/>
  <c r="K2853" i="14"/>
  <c r="F2854" i="14"/>
  <c r="H2854" i="14" s="1"/>
  <c r="G2854" i="14"/>
  <c r="I2854" i="14" s="1"/>
  <c r="K2854" i="14"/>
  <c r="F2855" i="14"/>
  <c r="H2855" i="14" s="1"/>
  <c r="G2855" i="14"/>
  <c r="I2855" i="14" s="1"/>
  <c r="K2855" i="14"/>
  <c r="F2856" i="14"/>
  <c r="H2856" i="14" s="1"/>
  <c r="G2856" i="14"/>
  <c r="I2856" i="14" s="1"/>
  <c r="K2856" i="14"/>
  <c r="F2857" i="14"/>
  <c r="H2857" i="14" s="1"/>
  <c r="G2857" i="14"/>
  <c r="I2857" i="14" s="1"/>
  <c r="J2857" i="14" s="1"/>
  <c r="K2857" i="14"/>
  <c r="F2858" i="14"/>
  <c r="H2858" i="14" s="1"/>
  <c r="G2858" i="14"/>
  <c r="I2858" i="14" s="1"/>
  <c r="K2858" i="14"/>
  <c r="F2859" i="14"/>
  <c r="H2859" i="14" s="1"/>
  <c r="G2859" i="14"/>
  <c r="I2859" i="14" s="1"/>
  <c r="K2859" i="14"/>
  <c r="F2860" i="14"/>
  <c r="H2860" i="14" s="1"/>
  <c r="G2860" i="14"/>
  <c r="I2860" i="14" s="1"/>
  <c r="K2860" i="14"/>
  <c r="F2861" i="14"/>
  <c r="H2861" i="14" s="1"/>
  <c r="G2861" i="14"/>
  <c r="I2861" i="14" s="1"/>
  <c r="K2861" i="14"/>
  <c r="F2862" i="14"/>
  <c r="H2862" i="14" s="1"/>
  <c r="G2862" i="14"/>
  <c r="I2862" i="14" s="1"/>
  <c r="K2862" i="14"/>
  <c r="F2863" i="14"/>
  <c r="H2863" i="14" s="1"/>
  <c r="G2863" i="14"/>
  <c r="I2863" i="14" s="1"/>
  <c r="K2863" i="14"/>
  <c r="F2864" i="14"/>
  <c r="G2864" i="14"/>
  <c r="I2864" i="14" s="1"/>
  <c r="H2864" i="14"/>
  <c r="K2864" i="14"/>
  <c r="F2865" i="14"/>
  <c r="H2865" i="14" s="1"/>
  <c r="G2865" i="14"/>
  <c r="I2865" i="14" s="1"/>
  <c r="J2865" i="14" s="1"/>
  <c r="K2865" i="14"/>
  <c r="F2866" i="14"/>
  <c r="G2866" i="14"/>
  <c r="I2866" i="14" s="1"/>
  <c r="H2866" i="14"/>
  <c r="K2866" i="14"/>
  <c r="F2867" i="14"/>
  <c r="H2867" i="14" s="1"/>
  <c r="G2867" i="14"/>
  <c r="I2867" i="14" s="1"/>
  <c r="K2867" i="14"/>
  <c r="F2868" i="14"/>
  <c r="H2868" i="14" s="1"/>
  <c r="G2868" i="14"/>
  <c r="I2868" i="14" s="1"/>
  <c r="K2868" i="14"/>
  <c r="F2869" i="14"/>
  <c r="H2869" i="14" s="1"/>
  <c r="G2869" i="14"/>
  <c r="I2869" i="14" s="1"/>
  <c r="K2869" i="14"/>
  <c r="F2870" i="14"/>
  <c r="H2870" i="14" s="1"/>
  <c r="G2870" i="14"/>
  <c r="I2870" i="14" s="1"/>
  <c r="K2870" i="14"/>
  <c r="F2871" i="14"/>
  <c r="H2871" i="14" s="1"/>
  <c r="G2871" i="14"/>
  <c r="I2871" i="14" s="1"/>
  <c r="K2871" i="14"/>
  <c r="F2872" i="14"/>
  <c r="H2872" i="14" s="1"/>
  <c r="G2872" i="14"/>
  <c r="I2872" i="14" s="1"/>
  <c r="K2872" i="14"/>
  <c r="F2873" i="14"/>
  <c r="H2873" i="14" s="1"/>
  <c r="G2873" i="14"/>
  <c r="I2873" i="14" s="1"/>
  <c r="J2873" i="14" s="1"/>
  <c r="K2873" i="14"/>
  <c r="F2874" i="14"/>
  <c r="H2874" i="14" s="1"/>
  <c r="G2874" i="14"/>
  <c r="I2874" i="14" s="1"/>
  <c r="K2874" i="14"/>
  <c r="F2875" i="14"/>
  <c r="H2875" i="14" s="1"/>
  <c r="G2875" i="14"/>
  <c r="I2875" i="14" s="1"/>
  <c r="K2875" i="14"/>
  <c r="F2876" i="14"/>
  <c r="H2876" i="14" s="1"/>
  <c r="G2876" i="14"/>
  <c r="I2876" i="14" s="1"/>
  <c r="K2876" i="14"/>
  <c r="F2877" i="14"/>
  <c r="H2877" i="14" s="1"/>
  <c r="G2877" i="14"/>
  <c r="I2877" i="14" s="1"/>
  <c r="K2877" i="14"/>
  <c r="F2878" i="14"/>
  <c r="H2878" i="14" s="1"/>
  <c r="G2878" i="14"/>
  <c r="I2878" i="14" s="1"/>
  <c r="K2878" i="14"/>
  <c r="F2879" i="14"/>
  <c r="H2879" i="14" s="1"/>
  <c r="G2879" i="14"/>
  <c r="I2879" i="14" s="1"/>
  <c r="K2879" i="14"/>
  <c r="F2880" i="14"/>
  <c r="G2880" i="14"/>
  <c r="I2880" i="14" s="1"/>
  <c r="H2880" i="14"/>
  <c r="K2880" i="14"/>
  <c r="F2881" i="14"/>
  <c r="H2881" i="14" s="1"/>
  <c r="G2881" i="14"/>
  <c r="I2881" i="14" s="1"/>
  <c r="J2881" i="14" s="1"/>
  <c r="K2881" i="14"/>
  <c r="F2882" i="14"/>
  <c r="G2882" i="14"/>
  <c r="I2882" i="14" s="1"/>
  <c r="H2882" i="14"/>
  <c r="K2882" i="14"/>
  <c r="F2883" i="14"/>
  <c r="H2883" i="14" s="1"/>
  <c r="G2883" i="14"/>
  <c r="I2883" i="14" s="1"/>
  <c r="K2883" i="14"/>
  <c r="F2884" i="14"/>
  <c r="H2884" i="14" s="1"/>
  <c r="G2884" i="14"/>
  <c r="I2884" i="14" s="1"/>
  <c r="K2884" i="14"/>
  <c r="F2885" i="14"/>
  <c r="H2885" i="14" s="1"/>
  <c r="G2885" i="14"/>
  <c r="I2885" i="14" s="1"/>
  <c r="K2885" i="14"/>
  <c r="F2886" i="14"/>
  <c r="H2886" i="14" s="1"/>
  <c r="G2886" i="14"/>
  <c r="I2886" i="14" s="1"/>
  <c r="K2886" i="14"/>
  <c r="F2887" i="14"/>
  <c r="H2887" i="14" s="1"/>
  <c r="G2887" i="14"/>
  <c r="I2887" i="14" s="1"/>
  <c r="K2887" i="14"/>
  <c r="F2888" i="14"/>
  <c r="H2888" i="14" s="1"/>
  <c r="G2888" i="14"/>
  <c r="I2888" i="14" s="1"/>
  <c r="K2888" i="14"/>
  <c r="F2889" i="14"/>
  <c r="H2889" i="14" s="1"/>
  <c r="G2889" i="14"/>
  <c r="I2889" i="14" s="1"/>
  <c r="J2889" i="14" s="1"/>
  <c r="K2889" i="14"/>
  <c r="F2890" i="14"/>
  <c r="H2890" i="14" s="1"/>
  <c r="G2890" i="14"/>
  <c r="I2890" i="14" s="1"/>
  <c r="K2890" i="14"/>
  <c r="F2891" i="14"/>
  <c r="H2891" i="14" s="1"/>
  <c r="G2891" i="14"/>
  <c r="I2891" i="14" s="1"/>
  <c r="K2891" i="14"/>
  <c r="F2892" i="14"/>
  <c r="H2892" i="14" s="1"/>
  <c r="G2892" i="14"/>
  <c r="I2892" i="14" s="1"/>
  <c r="K2892" i="14"/>
  <c r="F2893" i="14"/>
  <c r="H2893" i="14" s="1"/>
  <c r="G2893" i="14"/>
  <c r="I2893" i="14" s="1"/>
  <c r="K2893" i="14"/>
  <c r="F2894" i="14"/>
  <c r="H2894" i="14" s="1"/>
  <c r="G2894" i="14"/>
  <c r="I2894" i="14" s="1"/>
  <c r="K2894" i="14"/>
  <c r="F2895" i="14"/>
  <c r="H2895" i="14" s="1"/>
  <c r="G2895" i="14"/>
  <c r="I2895" i="14" s="1"/>
  <c r="K2895" i="14"/>
  <c r="F2896" i="14"/>
  <c r="G2896" i="14"/>
  <c r="I2896" i="14" s="1"/>
  <c r="H2896" i="14"/>
  <c r="K2896" i="14"/>
  <c r="F2897" i="14"/>
  <c r="H2897" i="14" s="1"/>
  <c r="G2897" i="14"/>
  <c r="I2897" i="14" s="1"/>
  <c r="J2897" i="14" s="1"/>
  <c r="K2897" i="14"/>
  <c r="F2898" i="14"/>
  <c r="G2898" i="14"/>
  <c r="I2898" i="14" s="1"/>
  <c r="H2898" i="14"/>
  <c r="K2898" i="14"/>
  <c r="F2899" i="14"/>
  <c r="H2899" i="14" s="1"/>
  <c r="G2899" i="14"/>
  <c r="I2899" i="14" s="1"/>
  <c r="K2899" i="14"/>
  <c r="F2900" i="14"/>
  <c r="H2900" i="14" s="1"/>
  <c r="G2900" i="14"/>
  <c r="I2900" i="14" s="1"/>
  <c r="K2900" i="14"/>
  <c r="F2901" i="14"/>
  <c r="H2901" i="14" s="1"/>
  <c r="G2901" i="14"/>
  <c r="I2901" i="14" s="1"/>
  <c r="K2901" i="14"/>
  <c r="F2902" i="14"/>
  <c r="H2902" i="14" s="1"/>
  <c r="G2902" i="14"/>
  <c r="I2902" i="14" s="1"/>
  <c r="K2902" i="14"/>
  <c r="F2903" i="14"/>
  <c r="H2903" i="14" s="1"/>
  <c r="G2903" i="14"/>
  <c r="I2903" i="14" s="1"/>
  <c r="K2903" i="14"/>
  <c r="F2904" i="14"/>
  <c r="H2904" i="14" s="1"/>
  <c r="G2904" i="14"/>
  <c r="I2904" i="14" s="1"/>
  <c r="K2904" i="14"/>
  <c r="F2905" i="14"/>
  <c r="H2905" i="14" s="1"/>
  <c r="G2905" i="14"/>
  <c r="I2905" i="14" s="1"/>
  <c r="J2905" i="14" s="1"/>
  <c r="K2905" i="14"/>
  <c r="F2906" i="14"/>
  <c r="G2906" i="14"/>
  <c r="I2906" i="14" s="1"/>
  <c r="H2906" i="14"/>
  <c r="K2906" i="14"/>
  <c r="F2907" i="14"/>
  <c r="H2907" i="14" s="1"/>
  <c r="G2907" i="14"/>
  <c r="I2907" i="14" s="1"/>
  <c r="K2907" i="14"/>
  <c r="F2908" i="14"/>
  <c r="H2908" i="14" s="1"/>
  <c r="G2908" i="14"/>
  <c r="I2908" i="14" s="1"/>
  <c r="K2908" i="14"/>
  <c r="F2909" i="14"/>
  <c r="H2909" i="14" s="1"/>
  <c r="G2909" i="14"/>
  <c r="I2909" i="14" s="1"/>
  <c r="K2909" i="14"/>
  <c r="F2910" i="14"/>
  <c r="H2910" i="14" s="1"/>
  <c r="G2910" i="14"/>
  <c r="I2910" i="14" s="1"/>
  <c r="K2910" i="14"/>
  <c r="F2911" i="14"/>
  <c r="H2911" i="14" s="1"/>
  <c r="G2911" i="14"/>
  <c r="I2911" i="14" s="1"/>
  <c r="K2911" i="14"/>
  <c r="F2912" i="14"/>
  <c r="G2912" i="14"/>
  <c r="I2912" i="14" s="1"/>
  <c r="H2912" i="14"/>
  <c r="K2912" i="14"/>
  <c r="F2913" i="14"/>
  <c r="H2913" i="14" s="1"/>
  <c r="G2913" i="14"/>
  <c r="I2913" i="14" s="1"/>
  <c r="J2913" i="14" s="1"/>
  <c r="K2913" i="14"/>
  <c r="F2914" i="14"/>
  <c r="H2914" i="14" s="1"/>
  <c r="G2914" i="14"/>
  <c r="I2914" i="14" s="1"/>
  <c r="K2914" i="14"/>
  <c r="F2915" i="14"/>
  <c r="H2915" i="14" s="1"/>
  <c r="G2915" i="14"/>
  <c r="I2915" i="14" s="1"/>
  <c r="K2915" i="14"/>
  <c r="F2916" i="14"/>
  <c r="H2916" i="14" s="1"/>
  <c r="G2916" i="14"/>
  <c r="I2916" i="14" s="1"/>
  <c r="K2916" i="14"/>
  <c r="F2917" i="14"/>
  <c r="H2917" i="14" s="1"/>
  <c r="G2917" i="14"/>
  <c r="I2917" i="14" s="1"/>
  <c r="K2917" i="14"/>
  <c r="F2918" i="14"/>
  <c r="H2918" i="14" s="1"/>
  <c r="G2918" i="14"/>
  <c r="I2918" i="14" s="1"/>
  <c r="K2918" i="14"/>
  <c r="F2919" i="14"/>
  <c r="H2919" i="14" s="1"/>
  <c r="G2919" i="14"/>
  <c r="I2919" i="14" s="1"/>
  <c r="K2919" i="14"/>
  <c r="F2920" i="14"/>
  <c r="H2920" i="14" s="1"/>
  <c r="G2920" i="14"/>
  <c r="I2920" i="14" s="1"/>
  <c r="K2920" i="14"/>
  <c r="F2921" i="14"/>
  <c r="H2921" i="14" s="1"/>
  <c r="G2921" i="14"/>
  <c r="I2921" i="14" s="1"/>
  <c r="J2921" i="14" s="1"/>
  <c r="K2921" i="14"/>
  <c r="F2922" i="14"/>
  <c r="H2922" i="14" s="1"/>
  <c r="G2922" i="14"/>
  <c r="I2922" i="14" s="1"/>
  <c r="K2922" i="14"/>
  <c r="F2923" i="14"/>
  <c r="H2923" i="14" s="1"/>
  <c r="G2923" i="14"/>
  <c r="I2923" i="14" s="1"/>
  <c r="K2923" i="14"/>
  <c r="F2924" i="14"/>
  <c r="H2924" i="14" s="1"/>
  <c r="G2924" i="14"/>
  <c r="I2924" i="14" s="1"/>
  <c r="K2924" i="14"/>
  <c r="F2925" i="14"/>
  <c r="H2925" i="14" s="1"/>
  <c r="G2925" i="14"/>
  <c r="I2925" i="14" s="1"/>
  <c r="K2925" i="14"/>
  <c r="F2926" i="14"/>
  <c r="H2926" i="14" s="1"/>
  <c r="G2926" i="14"/>
  <c r="I2926" i="14" s="1"/>
  <c r="K2926" i="14"/>
  <c r="F2927" i="14"/>
  <c r="H2927" i="14" s="1"/>
  <c r="G2927" i="14"/>
  <c r="I2927" i="14" s="1"/>
  <c r="K2927" i="14"/>
  <c r="F2928" i="14"/>
  <c r="G2928" i="14"/>
  <c r="I2928" i="14" s="1"/>
  <c r="H2928" i="14"/>
  <c r="K2928" i="14"/>
  <c r="F2929" i="14"/>
  <c r="H2929" i="14" s="1"/>
  <c r="G2929" i="14"/>
  <c r="I2929" i="14" s="1"/>
  <c r="J2929" i="14" s="1"/>
  <c r="K2929" i="14"/>
  <c r="F2930" i="14"/>
  <c r="H2930" i="14" s="1"/>
  <c r="G2930" i="14"/>
  <c r="I2930" i="14" s="1"/>
  <c r="K2930" i="14"/>
  <c r="F2931" i="14"/>
  <c r="H2931" i="14" s="1"/>
  <c r="G2931" i="14"/>
  <c r="I2931" i="14" s="1"/>
  <c r="K2931" i="14"/>
  <c r="F2932" i="14"/>
  <c r="H2932" i="14" s="1"/>
  <c r="G2932" i="14"/>
  <c r="I2932" i="14" s="1"/>
  <c r="K2932" i="14"/>
  <c r="F2933" i="14"/>
  <c r="H2933" i="14" s="1"/>
  <c r="G2933" i="14"/>
  <c r="I2933" i="14" s="1"/>
  <c r="K2933" i="14"/>
  <c r="F2934" i="14"/>
  <c r="G2934" i="14"/>
  <c r="I2934" i="14" s="1"/>
  <c r="H2934" i="14"/>
  <c r="K2934" i="14"/>
  <c r="F2935" i="14"/>
  <c r="H2935" i="14" s="1"/>
  <c r="G2935" i="14"/>
  <c r="I2935" i="14" s="1"/>
  <c r="K2935" i="14"/>
  <c r="F2936" i="14"/>
  <c r="H2936" i="14" s="1"/>
  <c r="G2936" i="14"/>
  <c r="I2936" i="14" s="1"/>
  <c r="K2936" i="14"/>
  <c r="F2937" i="14"/>
  <c r="H2937" i="14" s="1"/>
  <c r="G2937" i="14"/>
  <c r="I2937" i="14" s="1"/>
  <c r="J2937" i="14" s="1"/>
  <c r="K2937" i="14"/>
  <c r="F2938" i="14"/>
  <c r="H2938" i="14" s="1"/>
  <c r="G2938" i="14"/>
  <c r="I2938" i="14" s="1"/>
  <c r="K2938" i="14"/>
  <c r="F2939" i="14"/>
  <c r="H2939" i="14" s="1"/>
  <c r="G2939" i="14"/>
  <c r="I2939" i="14" s="1"/>
  <c r="K2939" i="14"/>
  <c r="F2940" i="14"/>
  <c r="H2940" i="14" s="1"/>
  <c r="G2940" i="14"/>
  <c r="I2940" i="14" s="1"/>
  <c r="K2940" i="14"/>
  <c r="F2941" i="14"/>
  <c r="H2941" i="14" s="1"/>
  <c r="G2941" i="14"/>
  <c r="I2941" i="14" s="1"/>
  <c r="K2941" i="14"/>
  <c r="F2942" i="14"/>
  <c r="H2942" i="14" s="1"/>
  <c r="G2942" i="14"/>
  <c r="I2942" i="14" s="1"/>
  <c r="K2942" i="14"/>
  <c r="F2943" i="14"/>
  <c r="H2943" i="14" s="1"/>
  <c r="G2943" i="14"/>
  <c r="I2943" i="14" s="1"/>
  <c r="K2943" i="14"/>
  <c r="F2944" i="14"/>
  <c r="H2944" i="14" s="1"/>
  <c r="G2944" i="14"/>
  <c r="I2944" i="14" s="1"/>
  <c r="K2944" i="14"/>
  <c r="F2945" i="14"/>
  <c r="H2945" i="14" s="1"/>
  <c r="G2945" i="14"/>
  <c r="I2945" i="14" s="1"/>
  <c r="K2945" i="14"/>
  <c r="F2946" i="14"/>
  <c r="H2946" i="14" s="1"/>
  <c r="G2946" i="14"/>
  <c r="I2946" i="14" s="1"/>
  <c r="K2946" i="14"/>
  <c r="F2947" i="14"/>
  <c r="H2947" i="14" s="1"/>
  <c r="G2947" i="14"/>
  <c r="I2947" i="14"/>
  <c r="K2947" i="14"/>
  <c r="F2948" i="14"/>
  <c r="H2948" i="14" s="1"/>
  <c r="G2948" i="14"/>
  <c r="I2948" i="14" s="1"/>
  <c r="K2948" i="14"/>
  <c r="F2949" i="14"/>
  <c r="H2949" i="14" s="1"/>
  <c r="G2949" i="14"/>
  <c r="I2949" i="14" s="1"/>
  <c r="K2949" i="14"/>
  <c r="F2950" i="14"/>
  <c r="H2950" i="14" s="1"/>
  <c r="G2950" i="14"/>
  <c r="I2950" i="14" s="1"/>
  <c r="K2950" i="14"/>
  <c r="F2951" i="14"/>
  <c r="H2951" i="14" s="1"/>
  <c r="G2951" i="14"/>
  <c r="I2951" i="14" s="1"/>
  <c r="J2951" i="14" s="1"/>
  <c r="K2951" i="14"/>
  <c r="F2952" i="14"/>
  <c r="H2952" i="14" s="1"/>
  <c r="G2952" i="14"/>
  <c r="I2952" i="14" s="1"/>
  <c r="K2952" i="14"/>
  <c r="F2953" i="14"/>
  <c r="H2953" i="14" s="1"/>
  <c r="G2953" i="14"/>
  <c r="I2953" i="14" s="1"/>
  <c r="K2953" i="14"/>
  <c r="F2954" i="14"/>
  <c r="H2954" i="14" s="1"/>
  <c r="G2954" i="14"/>
  <c r="I2954" i="14" s="1"/>
  <c r="K2954" i="14"/>
  <c r="F2955" i="14"/>
  <c r="H2955" i="14" s="1"/>
  <c r="G2955" i="14"/>
  <c r="I2955" i="14" s="1"/>
  <c r="J2955" i="14" s="1"/>
  <c r="K2955" i="14"/>
  <c r="F2956" i="14"/>
  <c r="G2956" i="14"/>
  <c r="I2956" i="14" s="1"/>
  <c r="H2956" i="14"/>
  <c r="K2956" i="14"/>
  <c r="F2957" i="14"/>
  <c r="H2957" i="14" s="1"/>
  <c r="G2957" i="14"/>
  <c r="I2957" i="14" s="1"/>
  <c r="J2957" i="14" s="1"/>
  <c r="K2957" i="14"/>
  <c r="F2958" i="14"/>
  <c r="H2958" i="14" s="1"/>
  <c r="G2958" i="14"/>
  <c r="I2958" i="14" s="1"/>
  <c r="K2958" i="14"/>
  <c r="F2959" i="14"/>
  <c r="H2959" i="14" s="1"/>
  <c r="G2959" i="14"/>
  <c r="I2959" i="14" s="1"/>
  <c r="K2959" i="14"/>
  <c r="F2960" i="14"/>
  <c r="G2960" i="14"/>
  <c r="I2960" i="14" s="1"/>
  <c r="H2960" i="14"/>
  <c r="K2960" i="14"/>
  <c r="F2961" i="14"/>
  <c r="H2961" i="14" s="1"/>
  <c r="G2961" i="14"/>
  <c r="I2961" i="14" s="1"/>
  <c r="K2961" i="14"/>
  <c r="F2962" i="14"/>
  <c r="G2962" i="14"/>
  <c r="H2962" i="14"/>
  <c r="I2962" i="14"/>
  <c r="K2962" i="14"/>
  <c r="F2963" i="14"/>
  <c r="H2963" i="14" s="1"/>
  <c r="G2963" i="14"/>
  <c r="I2963" i="14" s="1"/>
  <c r="K2963" i="14"/>
  <c r="F2964" i="14"/>
  <c r="G2964" i="14"/>
  <c r="I2964" i="14" s="1"/>
  <c r="J2964" i="14" s="1"/>
  <c r="H2964" i="14"/>
  <c r="K2964" i="14"/>
  <c r="F2965" i="14"/>
  <c r="H2965" i="14" s="1"/>
  <c r="G2965" i="14"/>
  <c r="I2965" i="14" s="1"/>
  <c r="J2965" i="14" s="1"/>
  <c r="K2965" i="14"/>
  <c r="F2966" i="14"/>
  <c r="H2966" i="14" s="1"/>
  <c r="G2966" i="14"/>
  <c r="I2966" i="14" s="1"/>
  <c r="K2966" i="14"/>
  <c r="F2967" i="14"/>
  <c r="H2967" i="14" s="1"/>
  <c r="G2967" i="14"/>
  <c r="I2967" i="14" s="1"/>
  <c r="K2967" i="14"/>
  <c r="F2968" i="14"/>
  <c r="H2968" i="14" s="1"/>
  <c r="G2968" i="14"/>
  <c r="I2968" i="14" s="1"/>
  <c r="K2968" i="14"/>
  <c r="F2969" i="14"/>
  <c r="H2969" i="14" s="1"/>
  <c r="G2969" i="14"/>
  <c r="I2969" i="14" s="1"/>
  <c r="K2969" i="14"/>
  <c r="F2970" i="14"/>
  <c r="H2970" i="14" s="1"/>
  <c r="G2970" i="14"/>
  <c r="I2970" i="14" s="1"/>
  <c r="K2970" i="14"/>
  <c r="F2971" i="14"/>
  <c r="H2971" i="14" s="1"/>
  <c r="G2971" i="14"/>
  <c r="I2971" i="14" s="1"/>
  <c r="K2971" i="14"/>
  <c r="F2972" i="14"/>
  <c r="H2972" i="14" s="1"/>
  <c r="G2972" i="14"/>
  <c r="I2972" i="14" s="1"/>
  <c r="K2972" i="14"/>
  <c r="F2973" i="14"/>
  <c r="H2973" i="14" s="1"/>
  <c r="G2973" i="14"/>
  <c r="I2973" i="14" s="1"/>
  <c r="K2973" i="14"/>
  <c r="F2974" i="14"/>
  <c r="H2974" i="14" s="1"/>
  <c r="G2974" i="14"/>
  <c r="I2974" i="14" s="1"/>
  <c r="K2974" i="14"/>
  <c r="F2975" i="14"/>
  <c r="H2975" i="14" s="1"/>
  <c r="G2975" i="14"/>
  <c r="I2975" i="14" s="1"/>
  <c r="K2975" i="14"/>
  <c r="F2976" i="14"/>
  <c r="H2976" i="14" s="1"/>
  <c r="G2976" i="14"/>
  <c r="I2976" i="14" s="1"/>
  <c r="K2976" i="14"/>
  <c r="F2977" i="14"/>
  <c r="H2977" i="14" s="1"/>
  <c r="G2977" i="14"/>
  <c r="I2977" i="14" s="1"/>
  <c r="K2977" i="14"/>
  <c r="F2978" i="14"/>
  <c r="H2978" i="14" s="1"/>
  <c r="G2978" i="14"/>
  <c r="I2978" i="14" s="1"/>
  <c r="K2978" i="14"/>
  <c r="F2979" i="14"/>
  <c r="H2979" i="14" s="1"/>
  <c r="G2979" i="14"/>
  <c r="I2979" i="14"/>
  <c r="K2979" i="14"/>
  <c r="F2980" i="14"/>
  <c r="H2980" i="14" s="1"/>
  <c r="G2980" i="14"/>
  <c r="I2980" i="14" s="1"/>
  <c r="K2980" i="14"/>
  <c r="F2981" i="14"/>
  <c r="H2981" i="14" s="1"/>
  <c r="G2981" i="14"/>
  <c r="I2981" i="14" s="1"/>
  <c r="K2981" i="14"/>
  <c r="F2982" i="14"/>
  <c r="H2982" i="14" s="1"/>
  <c r="G2982" i="14"/>
  <c r="I2982" i="14" s="1"/>
  <c r="K2982" i="14"/>
  <c r="F2983" i="14"/>
  <c r="H2983" i="14" s="1"/>
  <c r="G2983" i="14"/>
  <c r="I2983" i="14" s="1"/>
  <c r="J2983" i="14" s="1"/>
  <c r="K2983" i="14"/>
  <c r="F2984" i="14"/>
  <c r="H2984" i="14" s="1"/>
  <c r="G2984" i="14"/>
  <c r="I2984" i="14" s="1"/>
  <c r="K2984" i="14"/>
  <c r="F2985" i="14"/>
  <c r="H2985" i="14" s="1"/>
  <c r="G2985" i="14"/>
  <c r="I2985" i="14" s="1"/>
  <c r="K2985" i="14"/>
  <c r="F2986" i="14"/>
  <c r="H2986" i="14" s="1"/>
  <c r="G2986" i="14"/>
  <c r="I2986" i="14" s="1"/>
  <c r="K2986" i="14"/>
  <c r="F2987" i="14"/>
  <c r="H2987" i="14" s="1"/>
  <c r="G2987" i="14"/>
  <c r="I2987" i="14" s="1"/>
  <c r="K2987" i="14"/>
  <c r="F2988" i="14"/>
  <c r="H2988" i="14" s="1"/>
  <c r="G2988" i="14"/>
  <c r="I2988" i="14" s="1"/>
  <c r="K2988" i="14"/>
  <c r="F2989" i="14"/>
  <c r="H2989" i="14" s="1"/>
  <c r="G2989" i="14"/>
  <c r="I2989" i="14" s="1"/>
  <c r="K2989" i="14"/>
  <c r="F2990" i="14"/>
  <c r="H2990" i="14" s="1"/>
  <c r="G2990" i="14"/>
  <c r="I2990" i="14" s="1"/>
  <c r="K2990" i="14"/>
  <c r="F2991" i="14"/>
  <c r="H2991" i="14" s="1"/>
  <c r="G2991" i="14"/>
  <c r="I2991" i="14" s="1"/>
  <c r="K2991" i="14"/>
  <c r="F2992" i="14"/>
  <c r="G2992" i="14"/>
  <c r="I2992" i="14" s="1"/>
  <c r="H2992" i="14"/>
  <c r="K2992" i="14"/>
  <c r="F2993" i="14"/>
  <c r="H2993" i="14" s="1"/>
  <c r="G2993" i="14"/>
  <c r="I2993" i="14" s="1"/>
  <c r="K2993" i="14"/>
  <c r="F2994" i="14"/>
  <c r="H2994" i="14" s="1"/>
  <c r="G2994" i="14"/>
  <c r="I2994" i="14"/>
  <c r="K2994" i="14"/>
  <c r="F2995" i="14"/>
  <c r="H2995" i="14" s="1"/>
  <c r="G2995" i="14"/>
  <c r="I2995" i="14" s="1"/>
  <c r="K2995" i="14"/>
  <c r="F2996" i="14"/>
  <c r="H2996" i="14" s="1"/>
  <c r="G2996" i="14"/>
  <c r="I2996" i="14" s="1"/>
  <c r="J2996" i="14" s="1"/>
  <c r="K2996" i="14"/>
  <c r="F2997" i="14"/>
  <c r="H2997" i="14" s="1"/>
  <c r="G2997" i="14"/>
  <c r="I2997" i="14" s="1"/>
  <c r="K2997" i="14"/>
  <c r="F2998" i="14"/>
  <c r="H2998" i="14" s="1"/>
  <c r="G2998" i="14"/>
  <c r="I2998" i="14" s="1"/>
  <c r="K2998" i="14"/>
  <c r="F2999" i="14"/>
  <c r="H2999" i="14" s="1"/>
  <c r="G2999" i="14"/>
  <c r="I2999" i="14" s="1"/>
  <c r="K2999" i="14"/>
  <c r="F3000" i="14"/>
  <c r="H3000" i="14" s="1"/>
  <c r="G3000" i="14"/>
  <c r="I3000" i="14" s="1"/>
  <c r="K3000" i="14"/>
  <c r="F3001" i="14"/>
  <c r="H3001" i="14" s="1"/>
  <c r="G3001" i="14"/>
  <c r="I3001" i="14" s="1"/>
  <c r="K3001" i="14"/>
  <c r="F3002" i="14"/>
  <c r="G3002" i="14"/>
  <c r="I3002" i="14" s="1"/>
  <c r="J3002" i="14" s="1"/>
  <c r="H3002" i="14"/>
  <c r="K3002" i="14"/>
  <c r="F3003" i="14"/>
  <c r="H3003" i="14" s="1"/>
  <c r="G3003" i="14"/>
  <c r="I3003" i="14" s="1"/>
  <c r="J3003" i="14" s="1"/>
  <c r="K3003" i="14"/>
  <c r="F3004" i="14"/>
  <c r="H3004" i="14" s="1"/>
  <c r="G3004" i="14"/>
  <c r="I3004" i="14" s="1"/>
  <c r="K3004" i="14"/>
  <c r="F3005" i="14"/>
  <c r="H3005" i="14" s="1"/>
  <c r="G3005" i="14"/>
  <c r="I3005" i="14" s="1"/>
  <c r="K3005" i="14"/>
  <c r="F3006" i="14"/>
  <c r="H3006" i="14" s="1"/>
  <c r="G3006" i="14"/>
  <c r="I3006" i="14" s="1"/>
  <c r="K3006" i="14"/>
  <c r="F3007" i="14"/>
  <c r="H3007" i="14" s="1"/>
  <c r="G3007" i="14"/>
  <c r="I3007" i="14" s="1"/>
  <c r="J3007" i="14" s="1"/>
  <c r="K3007" i="14"/>
  <c r="F3008" i="14"/>
  <c r="H3008" i="14" s="1"/>
  <c r="G3008" i="14"/>
  <c r="I3008" i="14" s="1"/>
  <c r="K3008" i="14"/>
  <c r="F3009" i="14"/>
  <c r="H3009" i="14" s="1"/>
  <c r="G3009" i="14"/>
  <c r="I3009" i="14" s="1"/>
  <c r="K3009" i="14"/>
  <c r="F3010" i="14"/>
  <c r="H3010" i="14" s="1"/>
  <c r="G3010" i="14"/>
  <c r="I3010" i="14" s="1"/>
  <c r="K3010" i="14"/>
  <c r="F3011" i="14"/>
  <c r="H3011" i="14" s="1"/>
  <c r="G3011" i="14"/>
  <c r="I3011" i="14" s="1"/>
  <c r="K3011" i="14"/>
  <c r="F3012" i="14"/>
  <c r="H3012" i="14" s="1"/>
  <c r="G3012" i="14"/>
  <c r="I3012" i="14" s="1"/>
  <c r="K3012" i="14"/>
  <c r="F3013" i="14"/>
  <c r="H3013" i="14" s="1"/>
  <c r="G3013" i="14"/>
  <c r="I3013" i="14" s="1"/>
  <c r="K3013" i="14"/>
  <c r="F3014" i="14"/>
  <c r="H3014" i="14" s="1"/>
  <c r="G3014" i="14"/>
  <c r="I3014" i="14" s="1"/>
  <c r="K3014" i="14"/>
  <c r="F3015" i="14"/>
  <c r="H3015" i="14" s="1"/>
  <c r="G3015" i="14"/>
  <c r="I3015" i="14" s="1"/>
  <c r="K3015" i="14"/>
  <c r="F3016" i="14"/>
  <c r="G3016" i="14"/>
  <c r="I3016" i="14" s="1"/>
  <c r="H3016" i="14"/>
  <c r="K3016" i="14"/>
  <c r="F3017" i="14"/>
  <c r="H3017" i="14" s="1"/>
  <c r="G3017" i="14"/>
  <c r="I3017" i="14" s="1"/>
  <c r="K3017" i="14"/>
  <c r="F3018" i="14"/>
  <c r="H3018" i="14" s="1"/>
  <c r="G3018" i="14"/>
  <c r="I3018" i="14"/>
  <c r="K3018" i="14"/>
  <c r="F3019" i="14"/>
  <c r="H3019" i="14" s="1"/>
  <c r="G3019" i="14"/>
  <c r="I3019" i="14"/>
  <c r="J3019" i="14" s="1"/>
  <c r="K3019" i="14"/>
  <c r="F3020" i="14"/>
  <c r="G3020" i="14"/>
  <c r="I3020" i="14" s="1"/>
  <c r="H3020" i="14"/>
  <c r="K3020" i="14"/>
  <c r="F3021" i="14"/>
  <c r="H3021" i="14" s="1"/>
  <c r="G3021" i="14"/>
  <c r="I3021" i="14" s="1"/>
  <c r="J3021" i="14" s="1"/>
  <c r="K3021" i="14"/>
  <c r="F3022" i="14"/>
  <c r="H3022" i="14" s="1"/>
  <c r="G3022" i="14"/>
  <c r="I3022" i="14" s="1"/>
  <c r="K3022" i="14"/>
  <c r="F3023" i="14"/>
  <c r="H3023" i="14" s="1"/>
  <c r="G3023" i="14"/>
  <c r="I3023" i="14" s="1"/>
  <c r="K3023" i="14"/>
  <c r="F3024" i="14"/>
  <c r="G3024" i="14"/>
  <c r="I3024" i="14" s="1"/>
  <c r="H3024" i="14"/>
  <c r="K3024" i="14"/>
  <c r="F3025" i="14"/>
  <c r="H3025" i="14" s="1"/>
  <c r="G3025" i="14"/>
  <c r="I3025" i="14" s="1"/>
  <c r="K3025" i="14"/>
  <c r="F3026" i="14"/>
  <c r="G3026" i="14"/>
  <c r="H3026" i="14"/>
  <c r="I3026" i="14"/>
  <c r="K3026" i="14"/>
  <c r="F3027" i="14"/>
  <c r="H3027" i="14" s="1"/>
  <c r="G3027" i="14"/>
  <c r="I3027" i="14" s="1"/>
  <c r="J3027" i="14" s="1"/>
  <c r="K3027" i="14"/>
  <c r="F3028" i="14"/>
  <c r="G3028" i="14"/>
  <c r="I3028" i="14" s="1"/>
  <c r="H3028" i="14"/>
  <c r="K3028" i="14"/>
  <c r="F3029" i="14"/>
  <c r="H3029" i="14" s="1"/>
  <c r="G3029" i="14"/>
  <c r="I3029" i="14" s="1"/>
  <c r="K3029" i="14"/>
  <c r="F3030" i="14"/>
  <c r="H3030" i="14" s="1"/>
  <c r="G3030" i="14"/>
  <c r="I3030" i="14" s="1"/>
  <c r="K3030" i="14"/>
  <c r="F3031" i="14"/>
  <c r="H3031" i="14" s="1"/>
  <c r="G3031" i="14"/>
  <c r="I3031" i="14" s="1"/>
  <c r="K3031" i="14"/>
  <c r="F3032" i="14"/>
  <c r="H3032" i="14" s="1"/>
  <c r="G3032" i="14"/>
  <c r="I3032" i="14" s="1"/>
  <c r="K3032" i="14"/>
  <c r="F3033" i="14"/>
  <c r="H3033" i="14" s="1"/>
  <c r="G3033" i="14"/>
  <c r="I3033" i="14" s="1"/>
  <c r="K3033" i="14"/>
  <c r="F3034" i="14"/>
  <c r="H3034" i="14" s="1"/>
  <c r="G3034" i="14"/>
  <c r="I3034" i="14" s="1"/>
  <c r="K3034" i="14"/>
  <c r="F3035" i="14"/>
  <c r="H3035" i="14" s="1"/>
  <c r="G3035" i="14"/>
  <c r="I3035" i="14" s="1"/>
  <c r="J3035" i="14" s="1"/>
  <c r="K3035" i="14"/>
  <c r="F3036" i="14"/>
  <c r="H3036" i="14" s="1"/>
  <c r="G3036" i="14"/>
  <c r="I3036" i="14" s="1"/>
  <c r="K3036" i="14"/>
  <c r="F3037" i="14"/>
  <c r="H3037" i="14" s="1"/>
  <c r="G3037" i="14"/>
  <c r="I3037" i="14" s="1"/>
  <c r="K3037" i="14"/>
  <c r="F3038" i="14"/>
  <c r="H3038" i="14" s="1"/>
  <c r="G3038" i="14"/>
  <c r="I3038" i="14" s="1"/>
  <c r="K3038" i="14"/>
  <c r="F3039" i="14"/>
  <c r="H3039" i="14" s="1"/>
  <c r="G3039" i="14"/>
  <c r="I3039" i="14" s="1"/>
  <c r="J3039" i="14" s="1"/>
  <c r="K3039" i="14"/>
  <c r="F3040" i="14"/>
  <c r="H3040" i="14" s="1"/>
  <c r="G3040" i="14"/>
  <c r="I3040" i="14" s="1"/>
  <c r="K3040" i="14"/>
  <c r="F3041" i="14"/>
  <c r="H3041" i="14" s="1"/>
  <c r="G3041" i="14"/>
  <c r="I3041" i="14" s="1"/>
  <c r="K3041" i="14"/>
  <c r="F3042" i="14"/>
  <c r="H3042" i="14" s="1"/>
  <c r="G3042" i="14"/>
  <c r="I3042" i="14" s="1"/>
  <c r="K3042" i="14"/>
  <c r="F3043" i="14"/>
  <c r="H3043" i="14" s="1"/>
  <c r="G3043" i="14"/>
  <c r="I3043" i="14" s="1"/>
  <c r="K3043" i="14"/>
  <c r="F3044" i="14"/>
  <c r="H3044" i="14" s="1"/>
  <c r="G3044" i="14"/>
  <c r="I3044" i="14" s="1"/>
  <c r="K3044" i="14"/>
  <c r="F3045" i="14"/>
  <c r="H3045" i="14" s="1"/>
  <c r="G3045" i="14"/>
  <c r="I3045" i="14" s="1"/>
  <c r="K3045" i="14"/>
  <c r="F3046" i="14"/>
  <c r="H3046" i="14" s="1"/>
  <c r="G3046" i="14"/>
  <c r="I3046" i="14" s="1"/>
  <c r="K3046" i="14"/>
  <c r="F3047" i="14"/>
  <c r="H3047" i="14" s="1"/>
  <c r="G3047" i="14"/>
  <c r="I3047" i="14" s="1"/>
  <c r="K3047" i="14"/>
  <c r="F3048" i="14"/>
  <c r="H3048" i="14" s="1"/>
  <c r="G3048" i="14"/>
  <c r="I3048" i="14" s="1"/>
  <c r="K3048" i="14"/>
  <c r="F3049" i="14"/>
  <c r="H3049" i="14" s="1"/>
  <c r="G3049" i="14"/>
  <c r="I3049" i="14" s="1"/>
  <c r="K3049" i="14"/>
  <c r="F3050" i="14"/>
  <c r="H3050" i="14" s="1"/>
  <c r="G3050" i="14"/>
  <c r="I3050" i="14" s="1"/>
  <c r="K3050" i="14"/>
  <c r="F3051" i="14"/>
  <c r="H3051" i="14" s="1"/>
  <c r="G3051" i="14"/>
  <c r="I3051" i="14" s="1"/>
  <c r="K3051" i="14"/>
  <c r="F3052" i="14"/>
  <c r="H3052" i="14" s="1"/>
  <c r="G3052" i="14"/>
  <c r="I3052" i="14" s="1"/>
  <c r="K3052" i="14"/>
  <c r="F3053" i="14"/>
  <c r="H3053" i="14" s="1"/>
  <c r="G3053" i="14"/>
  <c r="I3053" i="14" s="1"/>
  <c r="K3053" i="14"/>
  <c r="F3054" i="14"/>
  <c r="H3054" i="14" s="1"/>
  <c r="G3054" i="14"/>
  <c r="I3054" i="14" s="1"/>
  <c r="K3054" i="14"/>
  <c r="F3055" i="14"/>
  <c r="H3055" i="14" s="1"/>
  <c r="G3055" i="14"/>
  <c r="I3055" i="14" s="1"/>
  <c r="K3055" i="14"/>
  <c r="F3056" i="14"/>
  <c r="H3056" i="14" s="1"/>
  <c r="G3056" i="14"/>
  <c r="I3056" i="14" s="1"/>
  <c r="K3056" i="14"/>
  <c r="F3057" i="14"/>
  <c r="H3057" i="14" s="1"/>
  <c r="G3057" i="14"/>
  <c r="I3057" i="14" s="1"/>
  <c r="K3057" i="14"/>
  <c r="F3058" i="14"/>
  <c r="H3058" i="14" s="1"/>
  <c r="G3058" i="14"/>
  <c r="I3058" i="14" s="1"/>
  <c r="K3058" i="14"/>
  <c r="F3059" i="14"/>
  <c r="H3059" i="14" s="1"/>
  <c r="G3059" i="14"/>
  <c r="I3059" i="14" s="1"/>
  <c r="K3059" i="14"/>
  <c r="F3060" i="14"/>
  <c r="H3060" i="14" s="1"/>
  <c r="G3060" i="14"/>
  <c r="I3060" i="14" s="1"/>
  <c r="K3060" i="14"/>
  <c r="F3061" i="14"/>
  <c r="H3061" i="14" s="1"/>
  <c r="G3061" i="14"/>
  <c r="I3061" i="14" s="1"/>
  <c r="J3061" i="14" s="1"/>
  <c r="K3061" i="14"/>
  <c r="F3062" i="14"/>
  <c r="H3062" i="14" s="1"/>
  <c r="G3062" i="14"/>
  <c r="I3062" i="14" s="1"/>
  <c r="K3062" i="14"/>
  <c r="F3063" i="14"/>
  <c r="H3063" i="14" s="1"/>
  <c r="G3063" i="14"/>
  <c r="I3063" i="14" s="1"/>
  <c r="K3063" i="14"/>
  <c r="F3064" i="14"/>
  <c r="H3064" i="14" s="1"/>
  <c r="G3064" i="14"/>
  <c r="I3064" i="14" s="1"/>
  <c r="K3064" i="14"/>
  <c r="F3065" i="14"/>
  <c r="H3065" i="14" s="1"/>
  <c r="G3065" i="14"/>
  <c r="I3065" i="14" s="1"/>
  <c r="K3065" i="14"/>
  <c r="F3066" i="14"/>
  <c r="H3066" i="14" s="1"/>
  <c r="G3066" i="14"/>
  <c r="I3066" i="14" s="1"/>
  <c r="K3066" i="14"/>
  <c r="F3067" i="14"/>
  <c r="H3067" i="14" s="1"/>
  <c r="G3067" i="14"/>
  <c r="I3067" i="14" s="1"/>
  <c r="K3067" i="14"/>
  <c r="F3068" i="14"/>
  <c r="H3068" i="14" s="1"/>
  <c r="G3068" i="14"/>
  <c r="I3068" i="14" s="1"/>
  <c r="K3068" i="14"/>
  <c r="F3069" i="14"/>
  <c r="H3069" i="14" s="1"/>
  <c r="G3069" i="14"/>
  <c r="I3069" i="14" s="1"/>
  <c r="K3069" i="14"/>
  <c r="F3070" i="14"/>
  <c r="H3070" i="14" s="1"/>
  <c r="G3070" i="14"/>
  <c r="I3070" i="14" s="1"/>
  <c r="K3070" i="14"/>
  <c r="F3071" i="14"/>
  <c r="H3071" i="14" s="1"/>
  <c r="G3071" i="14"/>
  <c r="I3071" i="14" s="1"/>
  <c r="K3071" i="14"/>
  <c r="F3072" i="14"/>
  <c r="H3072" i="14" s="1"/>
  <c r="G3072" i="14"/>
  <c r="I3072" i="14" s="1"/>
  <c r="K3072" i="14"/>
  <c r="F3073" i="14"/>
  <c r="H3073" i="14" s="1"/>
  <c r="G3073" i="14"/>
  <c r="I3073" i="14" s="1"/>
  <c r="K3073" i="14"/>
  <c r="F3074" i="14"/>
  <c r="G3074" i="14"/>
  <c r="I3074" i="14" s="1"/>
  <c r="J3074" i="14" s="1"/>
  <c r="H3074" i="14"/>
  <c r="K3074" i="14"/>
  <c r="F3075" i="14"/>
  <c r="H3075" i="14" s="1"/>
  <c r="G3075" i="14"/>
  <c r="I3075" i="14" s="1"/>
  <c r="K3075" i="14"/>
  <c r="F3076" i="14"/>
  <c r="H3076" i="14" s="1"/>
  <c r="G3076" i="14"/>
  <c r="I3076" i="14" s="1"/>
  <c r="K3076" i="14"/>
  <c r="F3077" i="14"/>
  <c r="H3077" i="14" s="1"/>
  <c r="G3077" i="14"/>
  <c r="I3077" i="14" s="1"/>
  <c r="J3077" i="14" s="1"/>
  <c r="K3077" i="14"/>
  <c r="F3078" i="14"/>
  <c r="H3078" i="14" s="1"/>
  <c r="G3078" i="14"/>
  <c r="I3078" i="14" s="1"/>
  <c r="K3078" i="14"/>
  <c r="F3079" i="14"/>
  <c r="H3079" i="14" s="1"/>
  <c r="G3079" i="14"/>
  <c r="I3079" i="14" s="1"/>
  <c r="K3079" i="14"/>
  <c r="F3080" i="14"/>
  <c r="H3080" i="14" s="1"/>
  <c r="G3080" i="14"/>
  <c r="I3080" i="14" s="1"/>
  <c r="K3080" i="14"/>
  <c r="F3081" i="14"/>
  <c r="H3081" i="14" s="1"/>
  <c r="G3081" i="14"/>
  <c r="I3081" i="14" s="1"/>
  <c r="K3081" i="14"/>
  <c r="F3082" i="14"/>
  <c r="H3082" i="14" s="1"/>
  <c r="G3082" i="14"/>
  <c r="I3082" i="14" s="1"/>
  <c r="K3082" i="14"/>
  <c r="F3083" i="14"/>
  <c r="H3083" i="14" s="1"/>
  <c r="G3083" i="14"/>
  <c r="I3083" i="14" s="1"/>
  <c r="K3083" i="14"/>
  <c r="F3084" i="14"/>
  <c r="H3084" i="14" s="1"/>
  <c r="G3084" i="14"/>
  <c r="I3084" i="14" s="1"/>
  <c r="K3084" i="14"/>
  <c r="F3085" i="14"/>
  <c r="H3085" i="14" s="1"/>
  <c r="G3085" i="14"/>
  <c r="I3085" i="14" s="1"/>
  <c r="K3085" i="14"/>
  <c r="F3086" i="14"/>
  <c r="H3086" i="14" s="1"/>
  <c r="G3086" i="14"/>
  <c r="I3086" i="14" s="1"/>
  <c r="K3086" i="14"/>
  <c r="F3087" i="14"/>
  <c r="H3087" i="14" s="1"/>
  <c r="G3087" i="14"/>
  <c r="I3087" i="14" s="1"/>
  <c r="K3087" i="14"/>
  <c r="F3088" i="14"/>
  <c r="H3088" i="14" s="1"/>
  <c r="G3088" i="14"/>
  <c r="I3088" i="14" s="1"/>
  <c r="K3088" i="14"/>
  <c r="F3089" i="14"/>
  <c r="H3089" i="14" s="1"/>
  <c r="G3089" i="14"/>
  <c r="I3089" i="14" s="1"/>
  <c r="K3089" i="14"/>
  <c r="F3090" i="14"/>
  <c r="H3090" i="14" s="1"/>
  <c r="G3090" i="14"/>
  <c r="I3090" i="14" s="1"/>
  <c r="K3090" i="14"/>
  <c r="F3091" i="14"/>
  <c r="H3091" i="14" s="1"/>
  <c r="G3091" i="14"/>
  <c r="I3091" i="14" s="1"/>
  <c r="K3091" i="14"/>
  <c r="F3092" i="14"/>
  <c r="H3092" i="14" s="1"/>
  <c r="G3092" i="14"/>
  <c r="I3092" i="14" s="1"/>
  <c r="K3092" i="14"/>
  <c r="F3093" i="14"/>
  <c r="H3093" i="14" s="1"/>
  <c r="G3093" i="14"/>
  <c r="I3093" i="14" s="1"/>
  <c r="J3093" i="14" s="1"/>
  <c r="K3093" i="14"/>
  <c r="F3094" i="14"/>
  <c r="H3094" i="14" s="1"/>
  <c r="G3094" i="14"/>
  <c r="I3094" i="14" s="1"/>
  <c r="K3094" i="14"/>
  <c r="F3095" i="14"/>
  <c r="H3095" i="14" s="1"/>
  <c r="G3095" i="14"/>
  <c r="I3095" i="14" s="1"/>
  <c r="K3095" i="14"/>
  <c r="F3096" i="14"/>
  <c r="H3096" i="14" s="1"/>
  <c r="G3096" i="14"/>
  <c r="I3096" i="14" s="1"/>
  <c r="K3096" i="14"/>
  <c r="F3097" i="14"/>
  <c r="H3097" i="14" s="1"/>
  <c r="G3097" i="14"/>
  <c r="I3097" i="14" s="1"/>
  <c r="K3097" i="14"/>
  <c r="F3098" i="14"/>
  <c r="H3098" i="14" s="1"/>
  <c r="G3098" i="14"/>
  <c r="I3098" i="14" s="1"/>
  <c r="K3098" i="14"/>
  <c r="F3099" i="14"/>
  <c r="H3099" i="14" s="1"/>
  <c r="G3099" i="14"/>
  <c r="I3099" i="14" s="1"/>
  <c r="K3099" i="14"/>
  <c r="F3100" i="14"/>
  <c r="H3100" i="14" s="1"/>
  <c r="G3100" i="14"/>
  <c r="I3100" i="14" s="1"/>
  <c r="K3100" i="14"/>
  <c r="F3101" i="14"/>
  <c r="H3101" i="14" s="1"/>
  <c r="G3101" i="14"/>
  <c r="I3101" i="14" s="1"/>
  <c r="K3101" i="14"/>
  <c r="F3102" i="14"/>
  <c r="H3102" i="14" s="1"/>
  <c r="G3102" i="14"/>
  <c r="I3102" i="14" s="1"/>
  <c r="K3102" i="14"/>
  <c r="F3103" i="14"/>
  <c r="H3103" i="14" s="1"/>
  <c r="G3103" i="14"/>
  <c r="I3103" i="14" s="1"/>
  <c r="K3103" i="14"/>
  <c r="F3104" i="14"/>
  <c r="H3104" i="14" s="1"/>
  <c r="G3104" i="14"/>
  <c r="I3104" i="14" s="1"/>
  <c r="K3104" i="14"/>
  <c r="F3105" i="14"/>
  <c r="H3105" i="14" s="1"/>
  <c r="G3105" i="14"/>
  <c r="I3105" i="14" s="1"/>
  <c r="K3105" i="14"/>
  <c r="F3106" i="14"/>
  <c r="G3106" i="14"/>
  <c r="I3106" i="14" s="1"/>
  <c r="J3106" i="14" s="1"/>
  <c r="H3106" i="14"/>
  <c r="K3106" i="14"/>
  <c r="F3107" i="14"/>
  <c r="H3107" i="14" s="1"/>
  <c r="G3107" i="14"/>
  <c r="I3107" i="14" s="1"/>
  <c r="K3107" i="14"/>
  <c r="F3108" i="14"/>
  <c r="H3108" i="14" s="1"/>
  <c r="G3108" i="14"/>
  <c r="I3108" i="14" s="1"/>
  <c r="K3108" i="14"/>
  <c r="F3109" i="14"/>
  <c r="H3109" i="14" s="1"/>
  <c r="G3109" i="14"/>
  <c r="I3109" i="14" s="1"/>
  <c r="J3109" i="14" s="1"/>
  <c r="K3109" i="14"/>
  <c r="F3110" i="14"/>
  <c r="H3110" i="14" s="1"/>
  <c r="G3110" i="14"/>
  <c r="I3110" i="14" s="1"/>
  <c r="K3110" i="14"/>
  <c r="F3111" i="14"/>
  <c r="H3111" i="14" s="1"/>
  <c r="G3111" i="14"/>
  <c r="I3111" i="14" s="1"/>
  <c r="K3111" i="14"/>
  <c r="F3112" i="14"/>
  <c r="H3112" i="14" s="1"/>
  <c r="G3112" i="14"/>
  <c r="I3112" i="14" s="1"/>
  <c r="K3112" i="14"/>
  <c r="F3113" i="14"/>
  <c r="H3113" i="14" s="1"/>
  <c r="G3113" i="14"/>
  <c r="I3113" i="14" s="1"/>
  <c r="K3113" i="14"/>
  <c r="F3114" i="14"/>
  <c r="H3114" i="14" s="1"/>
  <c r="G3114" i="14"/>
  <c r="I3114" i="14" s="1"/>
  <c r="K3114" i="14"/>
  <c r="F3115" i="14"/>
  <c r="H3115" i="14" s="1"/>
  <c r="G3115" i="14"/>
  <c r="I3115" i="14" s="1"/>
  <c r="K3115" i="14"/>
  <c r="F3116" i="14"/>
  <c r="H3116" i="14" s="1"/>
  <c r="G3116" i="14"/>
  <c r="I3116" i="14" s="1"/>
  <c r="K3116" i="14"/>
  <c r="F3117" i="14"/>
  <c r="H3117" i="14" s="1"/>
  <c r="G3117" i="14"/>
  <c r="I3117" i="14" s="1"/>
  <c r="J3117" i="14" s="1"/>
  <c r="K3117" i="14"/>
  <c r="F3118" i="14"/>
  <c r="H3118" i="14" s="1"/>
  <c r="G3118" i="14"/>
  <c r="I3118" i="14" s="1"/>
  <c r="K3118" i="14"/>
  <c r="F3119" i="14"/>
  <c r="H3119" i="14" s="1"/>
  <c r="G3119" i="14"/>
  <c r="I3119" i="14" s="1"/>
  <c r="K3119" i="14"/>
  <c r="F3120" i="14"/>
  <c r="H3120" i="14" s="1"/>
  <c r="G3120" i="14"/>
  <c r="I3120" i="14" s="1"/>
  <c r="K3120" i="14"/>
  <c r="F3121" i="14"/>
  <c r="H3121" i="14" s="1"/>
  <c r="G3121" i="14"/>
  <c r="I3121" i="14" s="1"/>
  <c r="K3121" i="14"/>
  <c r="F3122" i="14"/>
  <c r="G3122" i="14"/>
  <c r="I3122" i="14" s="1"/>
  <c r="H3122" i="14"/>
  <c r="K3122" i="14"/>
  <c r="F3123" i="14"/>
  <c r="H3123" i="14" s="1"/>
  <c r="G3123" i="14"/>
  <c r="I3123" i="14" s="1"/>
  <c r="K3123" i="14"/>
  <c r="F3124" i="14"/>
  <c r="H3124" i="14" s="1"/>
  <c r="G3124" i="14"/>
  <c r="I3124" i="14" s="1"/>
  <c r="K3124" i="14"/>
  <c r="F3125" i="14"/>
  <c r="H3125" i="14" s="1"/>
  <c r="G3125" i="14"/>
  <c r="I3125" i="14" s="1"/>
  <c r="K3125" i="14"/>
  <c r="F3126" i="14"/>
  <c r="H3126" i="14" s="1"/>
  <c r="G3126" i="14"/>
  <c r="I3126" i="14" s="1"/>
  <c r="K3126" i="14"/>
  <c r="F3127" i="14"/>
  <c r="H3127" i="14" s="1"/>
  <c r="G3127" i="14"/>
  <c r="I3127" i="14" s="1"/>
  <c r="K3127" i="14"/>
  <c r="F3128" i="14"/>
  <c r="H3128" i="14" s="1"/>
  <c r="G3128" i="14"/>
  <c r="I3128" i="14" s="1"/>
  <c r="K3128" i="14"/>
  <c r="F3129" i="14"/>
  <c r="H3129" i="14" s="1"/>
  <c r="G3129" i="14"/>
  <c r="I3129" i="14" s="1"/>
  <c r="K3129" i="14"/>
  <c r="F3130" i="14"/>
  <c r="H3130" i="14" s="1"/>
  <c r="G3130" i="14"/>
  <c r="I3130" i="14" s="1"/>
  <c r="K3130" i="14"/>
  <c r="F3131" i="14"/>
  <c r="H3131" i="14" s="1"/>
  <c r="G3131" i="14"/>
  <c r="I3131" i="14" s="1"/>
  <c r="J3131" i="14" s="1"/>
  <c r="K3131" i="14"/>
  <c r="F3132" i="14"/>
  <c r="H3132" i="14" s="1"/>
  <c r="G3132" i="14"/>
  <c r="I3132" i="14" s="1"/>
  <c r="K3132" i="14"/>
  <c r="F3133" i="14"/>
  <c r="H3133" i="14" s="1"/>
  <c r="G3133" i="14"/>
  <c r="I3133" i="14" s="1"/>
  <c r="K3133" i="14"/>
  <c r="F3134" i="14"/>
  <c r="H3134" i="14" s="1"/>
  <c r="G3134" i="14"/>
  <c r="I3134" i="14" s="1"/>
  <c r="K3134" i="14"/>
  <c r="F3135" i="14"/>
  <c r="H3135" i="14" s="1"/>
  <c r="G3135" i="14"/>
  <c r="I3135" i="14" s="1"/>
  <c r="K3135" i="14"/>
  <c r="F3136" i="14"/>
  <c r="H3136" i="14" s="1"/>
  <c r="G3136" i="14"/>
  <c r="I3136" i="14" s="1"/>
  <c r="K3136" i="14"/>
  <c r="F3137" i="14"/>
  <c r="H3137" i="14" s="1"/>
  <c r="G3137" i="14"/>
  <c r="I3137" i="14" s="1"/>
  <c r="K3137" i="14"/>
  <c r="F3138" i="14"/>
  <c r="H3138" i="14" s="1"/>
  <c r="G3138" i="14"/>
  <c r="I3138" i="14" s="1"/>
  <c r="K3138" i="14"/>
  <c r="F3139" i="14"/>
  <c r="H3139" i="14" s="1"/>
  <c r="G3139" i="14"/>
  <c r="I3139" i="14" s="1"/>
  <c r="K3139" i="14"/>
  <c r="F3140" i="14"/>
  <c r="H3140" i="14" s="1"/>
  <c r="G3140" i="14"/>
  <c r="I3140" i="14" s="1"/>
  <c r="K3140" i="14"/>
  <c r="F3141" i="14"/>
  <c r="H3141" i="14" s="1"/>
  <c r="G3141" i="14"/>
  <c r="I3141" i="14" s="1"/>
  <c r="J3141" i="14" s="1"/>
  <c r="K3141" i="14"/>
  <c r="F3142" i="14"/>
  <c r="H3142" i="14" s="1"/>
  <c r="G3142" i="14"/>
  <c r="I3142" i="14" s="1"/>
  <c r="K3142" i="14"/>
  <c r="F3143" i="14"/>
  <c r="H3143" i="14" s="1"/>
  <c r="G3143" i="14"/>
  <c r="I3143" i="14" s="1"/>
  <c r="K3143" i="14"/>
  <c r="F3144" i="14"/>
  <c r="H3144" i="14" s="1"/>
  <c r="G3144" i="14"/>
  <c r="I3144" i="14" s="1"/>
  <c r="K3144" i="14"/>
  <c r="F3145" i="14"/>
  <c r="H3145" i="14" s="1"/>
  <c r="G3145" i="14"/>
  <c r="I3145" i="14" s="1"/>
  <c r="K3145" i="14"/>
  <c r="F3146" i="14"/>
  <c r="H3146" i="14" s="1"/>
  <c r="G3146" i="14"/>
  <c r="I3146" i="14" s="1"/>
  <c r="K3146" i="14"/>
  <c r="F3147" i="14"/>
  <c r="H3147" i="14" s="1"/>
  <c r="G3147" i="14"/>
  <c r="I3147" i="14" s="1"/>
  <c r="K3147" i="14"/>
  <c r="F3148" i="14"/>
  <c r="H3148" i="14" s="1"/>
  <c r="G3148" i="14"/>
  <c r="I3148" i="14" s="1"/>
  <c r="K3148" i="14"/>
  <c r="F3149" i="14"/>
  <c r="H3149" i="14" s="1"/>
  <c r="G3149" i="14"/>
  <c r="I3149" i="14" s="1"/>
  <c r="K3149" i="14"/>
  <c r="F3150" i="14"/>
  <c r="H3150" i="14" s="1"/>
  <c r="G3150" i="14"/>
  <c r="I3150" i="14" s="1"/>
  <c r="K3150" i="14"/>
  <c r="F3151" i="14"/>
  <c r="H3151" i="14" s="1"/>
  <c r="G3151" i="14"/>
  <c r="I3151" i="14" s="1"/>
  <c r="K3151" i="14"/>
  <c r="F3152" i="14"/>
  <c r="H3152" i="14" s="1"/>
  <c r="G3152" i="14"/>
  <c r="I3152" i="14" s="1"/>
  <c r="K3152" i="14"/>
  <c r="F3153" i="14"/>
  <c r="H3153" i="14" s="1"/>
  <c r="G3153" i="14"/>
  <c r="I3153" i="14" s="1"/>
  <c r="K3153" i="14"/>
  <c r="F3154" i="14"/>
  <c r="H3154" i="14" s="1"/>
  <c r="G3154" i="14"/>
  <c r="I3154" i="14" s="1"/>
  <c r="K3154" i="14"/>
  <c r="F3155" i="14"/>
  <c r="H3155" i="14" s="1"/>
  <c r="G3155" i="14"/>
  <c r="I3155" i="14" s="1"/>
  <c r="K3155" i="14"/>
  <c r="F3156" i="14"/>
  <c r="H3156" i="14" s="1"/>
  <c r="G3156" i="14"/>
  <c r="I3156" i="14" s="1"/>
  <c r="K3156" i="14"/>
  <c r="F3157" i="14"/>
  <c r="H3157" i="14" s="1"/>
  <c r="G3157" i="14"/>
  <c r="I3157" i="14" s="1"/>
  <c r="J3157" i="14" s="1"/>
  <c r="K3157" i="14"/>
  <c r="F3158" i="14"/>
  <c r="H3158" i="14" s="1"/>
  <c r="G3158" i="14"/>
  <c r="I3158" i="14" s="1"/>
  <c r="K3158" i="14"/>
  <c r="F3159" i="14"/>
  <c r="H3159" i="14" s="1"/>
  <c r="G3159" i="14"/>
  <c r="I3159" i="14" s="1"/>
  <c r="K3159" i="14"/>
  <c r="F3160" i="14"/>
  <c r="H3160" i="14" s="1"/>
  <c r="G3160" i="14"/>
  <c r="I3160" i="14" s="1"/>
  <c r="K3160" i="14"/>
  <c r="F3161" i="14"/>
  <c r="H3161" i="14" s="1"/>
  <c r="G3161" i="14"/>
  <c r="I3161" i="14" s="1"/>
  <c r="K3161" i="14"/>
  <c r="F3162" i="14"/>
  <c r="H3162" i="14" s="1"/>
  <c r="G3162" i="14"/>
  <c r="I3162" i="14" s="1"/>
  <c r="K3162" i="14"/>
  <c r="F3163" i="14"/>
  <c r="H3163" i="14" s="1"/>
  <c r="G3163" i="14"/>
  <c r="I3163" i="14" s="1"/>
  <c r="K3163" i="14"/>
  <c r="F3164" i="14"/>
  <c r="H3164" i="14" s="1"/>
  <c r="G3164" i="14"/>
  <c r="I3164" i="14" s="1"/>
  <c r="K3164" i="14"/>
  <c r="F3165" i="14"/>
  <c r="H3165" i="14" s="1"/>
  <c r="G3165" i="14"/>
  <c r="I3165" i="14" s="1"/>
  <c r="K3165" i="14"/>
  <c r="F3166" i="14"/>
  <c r="H3166" i="14" s="1"/>
  <c r="G3166" i="14"/>
  <c r="I3166" i="14" s="1"/>
  <c r="K3166" i="14"/>
  <c r="F3167" i="14"/>
  <c r="H3167" i="14" s="1"/>
  <c r="G3167" i="14"/>
  <c r="I3167" i="14" s="1"/>
  <c r="K3167" i="14"/>
  <c r="F3168" i="14"/>
  <c r="H3168" i="14" s="1"/>
  <c r="G3168" i="14"/>
  <c r="I3168" i="14" s="1"/>
  <c r="K3168" i="14"/>
  <c r="F3169" i="14"/>
  <c r="H3169" i="14" s="1"/>
  <c r="G3169" i="14"/>
  <c r="I3169" i="14" s="1"/>
  <c r="K3169" i="14"/>
  <c r="F3170" i="14"/>
  <c r="G3170" i="14"/>
  <c r="I3170" i="14" s="1"/>
  <c r="H3170" i="14"/>
  <c r="K3170" i="14"/>
  <c r="F3171" i="14"/>
  <c r="H3171" i="14" s="1"/>
  <c r="G3171" i="14"/>
  <c r="I3171" i="14" s="1"/>
  <c r="K3171" i="14"/>
  <c r="F3172" i="14"/>
  <c r="G3172" i="14"/>
  <c r="I3172" i="14" s="1"/>
  <c r="H3172" i="14"/>
  <c r="K3172" i="14"/>
  <c r="F3173" i="14"/>
  <c r="H3173" i="14" s="1"/>
  <c r="G3173" i="14"/>
  <c r="I3173" i="14" s="1"/>
  <c r="J3173" i="14" s="1"/>
  <c r="K3173" i="14"/>
  <c r="F3174" i="14"/>
  <c r="H3174" i="14" s="1"/>
  <c r="G3174" i="14"/>
  <c r="I3174" i="14" s="1"/>
  <c r="K3174" i="14"/>
  <c r="F3175" i="14"/>
  <c r="H3175" i="14" s="1"/>
  <c r="G3175" i="14"/>
  <c r="I3175" i="14" s="1"/>
  <c r="K3175" i="14"/>
  <c r="F3176" i="14"/>
  <c r="H3176" i="14" s="1"/>
  <c r="G3176" i="14"/>
  <c r="I3176" i="14" s="1"/>
  <c r="K3176" i="14"/>
  <c r="F3177" i="14"/>
  <c r="H3177" i="14" s="1"/>
  <c r="G3177" i="14"/>
  <c r="I3177" i="14" s="1"/>
  <c r="K3177" i="14"/>
  <c r="F3178" i="14"/>
  <c r="H3178" i="14" s="1"/>
  <c r="G3178" i="14"/>
  <c r="I3178" i="14" s="1"/>
  <c r="K3178" i="14"/>
  <c r="F3179" i="14"/>
  <c r="H3179" i="14" s="1"/>
  <c r="G3179" i="14"/>
  <c r="I3179" i="14" s="1"/>
  <c r="K3179" i="14"/>
  <c r="F3180" i="14"/>
  <c r="H3180" i="14" s="1"/>
  <c r="G3180" i="14"/>
  <c r="I3180" i="14" s="1"/>
  <c r="K3180" i="14"/>
  <c r="F3181" i="14"/>
  <c r="H3181" i="14" s="1"/>
  <c r="G3181" i="14"/>
  <c r="I3181" i="14" s="1"/>
  <c r="K3181" i="14"/>
  <c r="F3182" i="14"/>
  <c r="H3182" i="14" s="1"/>
  <c r="G3182" i="14"/>
  <c r="I3182" i="14" s="1"/>
  <c r="K3182" i="14"/>
  <c r="F3183" i="14"/>
  <c r="H3183" i="14" s="1"/>
  <c r="G3183" i="14"/>
  <c r="I3183" i="14" s="1"/>
  <c r="K3183" i="14"/>
  <c r="F3184" i="14"/>
  <c r="H3184" i="14" s="1"/>
  <c r="G3184" i="14"/>
  <c r="I3184" i="14" s="1"/>
  <c r="K3184" i="14"/>
  <c r="F3185" i="14"/>
  <c r="H3185" i="14" s="1"/>
  <c r="G3185" i="14"/>
  <c r="I3185" i="14" s="1"/>
  <c r="K3185" i="14"/>
  <c r="F3186" i="14"/>
  <c r="H3186" i="14" s="1"/>
  <c r="G3186" i="14"/>
  <c r="I3186" i="14" s="1"/>
  <c r="K3186" i="14"/>
  <c r="F3187" i="14"/>
  <c r="H3187" i="14" s="1"/>
  <c r="G3187" i="14"/>
  <c r="I3187" i="14" s="1"/>
  <c r="K3187" i="14"/>
  <c r="F3188" i="14"/>
  <c r="H3188" i="14" s="1"/>
  <c r="G3188" i="14"/>
  <c r="I3188" i="14" s="1"/>
  <c r="K3188" i="14"/>
  <c r="F3189" i="14"/>
  <c r="H3189" i="14" s="1"/>
  <c r="G3189" i="14"/>
  <c r="I3189" i="14" s="1"/>
  <c r="J3189" i="14" s="1"/>
  <c r="K3189" i="14"/>
  <c r="F3190" i="14"/>
  <c r="H3190" i="14" s="1"/>
  <c r="G3190" i="14"/>
  <c r="I3190" i="14" s="1"/>
  <c r="K3190" i="14"/>
  <c r="F3191" i="14"/>
  <c r="H3191" i="14" s="1"/>
  <c r="G3191" i="14"/>
  <c r="I3191" i="14" s="1"/>
  <c r="K3191" i="14"/>
  <c r="F3192" i="14"/>
  <c r="H3192" i="14" s="1"/>
  <c r="G3192" i="14"/>
  <c r="I3192" i="14" s="1"/>
  <c r="K3192" i="14"/>
  <c r="F3193" i="14"/>
  <c r="H3193" i="14" s="1"/>
  <c r="G3193" i="14"/>
  <c r="I3193" i="14" s="1"/>
  <c r="K3193" i="14"/>
  <c r="F3194" i="14"/>
  <c r="H3194" i="14" s="1"/>
  <c r="G3194" i="14"/>
  <c r="I3194" i="14" s="1"/>
  <c r="K3194" i="14"/>
  <c r="F3195" i="14"/>
  <c r="H3195" i="14" s="1"/>
  <c r="G3195" i="14"/>
  <c r="I3195" i="14" s="1"/>
  <c r="K3195" i="14"/>
  <c r="F3196" i="14"/>
  <c r="H3196" i="14" s="1"/>
  <c r="G3196" i="14"/>
  <c r="I3196" i="14" s="1"/>
  <c r="K3196" i="14"/>
  <c r="F3197" i="14"/>
  <c r="H3197" i="14" s="1"/>
  <c r="G3197" i="14"/>
  <c r="I3197" i="14" s="1"/>
  <c r="K3197" i="14"/>
  <c r="F3198" i="14"/>
  <c r="H3198" i="14" s="1"/>
  <c r="G3198" i="14"/>
  <c r="I3198" i="14" s="1"/>
  <c r="K3198" i="14"/>
  <c r="F3199" i="14"/>
  <c r="H3199" i="14" s="1"/>
  <c r="G3199" i="14"/>
  <c r="I3199" i="14" s="1"/>
  <c r="K3199" i="14"/>
  <c r="F3200" i="14"/>
  <c r="H3200" i="14" s="1"/>
  <c r="G3200" i="14"/>
  <c r="I3200" i="14" s="1"/>
  <c r="K3200" i="14"/>
  <c r="F3201" i="14"/>
  <c r="H3201" i="14" s="1"/>
  <c r="G3201" i="14"/>
  <c r="I3201" i="14" s="1"/>
  <c r="K3201" i="14"/>
  <c r="F3202" i="14"/>
  <c r="G3202" i="14"/>
  <c r="I3202" i="14" s="1"/>
  <c r="H3202" i="14"/>
  <c r="K3202" i="14"/>
  <c r="F3203" i="14"/>
  <c r="H3203" i="14" s="1"/>
  <c r="G3203" i="14"/>
  <c r="I3203" i="14" s="1"/>
  <c r="K3203" i="14"/>
  <c r="F3204" i="14"/>
  <c r="G3204" i="14"/>
  <c r="I3204" i="14" s="1"/>
  <c r="H3204" i="14"/>
  <c r="K3204" i="14"/>
  <c r="F3205" i="14"/>
  <c r="H3205" i="14" s="1"/>
  <c r="G3205" i="14"/>
  <c r="I3205" i="14" s="1"/>
  <c r="J3205" i="14" s="1"/>
  <c r="K3205" i="14"/>
  <c r="F3206" i="14"/>
  <c r="H3206" i="14" s="1"/>
  <c r="G3206" i="14"/>
  <c r="I3206" i="14" s="1"/>
  <c r="K3206" i="14"/>
  <c r="F3207" i="14"/>
  <c r="H3207" i="14" s="1"/>
  <c r="G3207" i="14"/>
  <c r="I3207" i="14" s="1"/>
  <c r="K3207" i="14"/>
  <c r="F3208" i="14"/>
  <c r="H3208" i="14" s="1"/>
  <c r="G3208" i="14"/>
  <c r="I3208" i="14" s="1"/>
  <c r="K3208" i="14"/>
  <c r="F3209" i="14"/>
  <c r="H3209" i="14" s="1"/>
  <c r="G3209" i="14"/>
  <c r="I3209" i="14" s="1"/>
  <c r="K3209" i="14"/>
  <c r="F3210" i="14"/>
  <c r="H3210" i="14" s="1"/>
  <c r="G3210" i="14"/>
  <c r="I3210" i="14" s="1"/>
  <c r="K3210" i="14"/>
  <c r="F3211" i="14"/>
  <c r="H3211" i="14" s="1"/>
  <c r="G3211" i="14"/>
  <c r="I3211" i="14" s="1"/>
  <c r="K3211" i="14"/>
  <c r="F3212" i="14"/>
  <c r="H3212" i="14" s="1"/>
  <c r="G3212" i="14"/>
  <c r="I3212" i="14" s="1"/>
  <c r="K3212" i="14"/>
  <c r="F3213" i="14"/>
  <c r="H3213" i="14" s="1"/>
  <c r="G3213" i="14"/>
  <c r="I3213" i="14" s="1"/>
  <c r="K3213" i="14"/>
  <c r="F3214" i="14"/>
  <c r="H3214" i="14" s="1"/>
  <c r="G3214" i="14"/>
  <c r="I3214" i="14" s="1"/>
  <c r="K3214" i="14"/>
  <c r="F3215" i="14"/>
  <c r="H3215" i="14" s="1"/>
  <c r="G3215" i="14"/>
  <c r="I3215" i="14" s="1"/>
  <c r="K3215" i="14"/>
  <c r="F3216" i="14"/>
  <c r="H3216" i="14" s="1"/>
  <c r="G3216" i="14"/>
  <c r="I3216" i="14" s="1"/>
  <c r="K3216" i="14"/>
  <c r="F3217" i="14"/>
  <c r="H3217" i="14" s="1"/>
  <c r="G3217" i="14"/>
  <c r="I3217" i="14" s="1"/>
  <c r="K3217" i="14"/>
  <c r="F3218" i="14"/>
  <c r="H3218" i="14" s="1"/>
  <c r="G3218" i="14"/>
  <c r="I3218" i="14" s="1"/>
  <c r="K3218" i="14"/>
  <c r="F3219" i="14"/>
  <c r="H3219" i="14" s="1"/>
  <c r="G3219" i="14"/>
  <c r="I3219" i="14" s="1"/>
  <c r="K3219" i="14"/>
  <c r="F3220" i="14"/>
  <c r="H3220" i="14" s="1"/>
  <c r="G3220" i="14"/>
  <c r="I3220" i="14" s="1"/>
  <c r="K3220" i="14"/>
  <c r="F3221" i="14"/>
  <c r="H3221" i="14" s="1"/>
  <c r="G3221" i="14"/>
  <c r="I3221" i="14" s="1"/>
  <c r="K3221" i="14"/>
  <c r="F3222" i="14"/>
  <c r="H3222" i="14" s="1"/>
  <c r="G3222" i="14"/>
  <c r="I3222" i="14" s="1"/>
  <c r="K3222" i="14"/>
  <c r="F3223" i="14"/>
  <c r="H3223" i="14" s="1"/>
  <c r="G3223" i="14"/>
  <c r="I3223" i="14" s="1"/>
  <c r="K3223" i="14"/>
  <c r="F3224" i="14"/>
  <c r="H3224" i="14" s="1"/>
  <c r="G3224" i="14"/>
  <c r="I3224" i="14" s="1"/>
  <c r="K3224" i="14"/>
  <c r="F3225" i="14"/>
  <c r="H3225" i="14" s="1"/>
  <c r="G3225" i="14"/>
  <c r="I3225" i="14" s="1"/>
  <c r="J3225" i="14" s="1"/>
  <c r="K3225" i="14"/>
  <c r="F3226" i="14"/>
  <c r="H3226" i="14" s="1"/>
  <c r="G3226" i="14"/>
  <c r="I3226" i="14"/>
  <c r="K3226" i="14"/>
  <c r="F3227" i="14"/>
  <c r="H3227" i="14" s="1"/>
  <c r="G3227" i="14"/>
  <c r="I3227" i="14"/>
  <c r="K3227" i="14"/>
  <c r="F3228" i="14"/>
  <c r="H3228" i="14" s="1"/>
  <c r="G3228" i="14"/>
  <c r="I3228" i="14" s="1"/>
  <c r="K3228" i="14"/>
  <c r="F3229" i="14"/>
  <c r="H3229" i="14" s="1"/>
  <c r="G3229" i="14"/>
  <c r="I3229" i="14" s="1"/>
  <c r="K3229" i="14"/>
  <c r="F3230" i="14"/>
  <c r="H3230" i="14" s="1"/>
  <c r="G3230" i="14"/>
  <c r="I3230" i="14" s="1"/>
  <c r="K3230" i="14"/>
  <c r="F3231" i="14"/>
  <c r="H3231" i="14" s="1"/>
  <c r="G3231" i="14"/>
  <c r="I3231" i="14" s="1"/>
  <c r="K3231" i="14"/>
  <c r="F3232" i="14"/>
  <c r="H3232" i="14" s="1"/>
  <c r="G3232" i="14"/>
  <c r="I3232" i="14" s="1"/>
  <c r="K3232" i="14"/>
  <c r="F3233" i="14"/>
  <c r="H3233" i="14" s="1"/>
  <c r="G3233" i="14"/>
  <c r="I3233" i="14" s="1"/>
  <c r="K3233" i="14"/>
  <c r="F3234" i="14"/>
  <c r="H3234" i="14" s="1"/>
  <c r="G3234" i="14"/>
  <c r="I3234" i="14" s="1"/>
  <c r="K3234" i="14"/>
  <c r="F3235" i="14"/>
  <c r="H3235" i="14" s="1"/>
  <c r="G3235" i="14"/>
  <c r="I3235" i="14" s="1"/>
  <c r="K3235" i="14"/>
  <c r="F3236" i="14"/>
  <c r="H3236" i="14" s="1"/>
  <c r="G3236" i="14"/>
  <c r="I3236" i="14" s="1"/>
  <c r="K3236" i="14"/>
  <c r="F3237" i="14"/>
  <c r="H3237" i="14" s="1"/>
  <c r="G3237" i="14"/>
  <c r="I3237" i="14" s="1"/>
  <c r="K3237" i="14"/>
  <c r="F3238" i="14"/>
  <c r="H3238" i="14" s="1"/>
  <c r="G3238" i="14"/>
  <c r="I3238" i="14" s="1"/>
  <c r="K3238" i="14"/>
  <c r="F3239" i="14"/>
  <c r="H3239" i="14" s="1"/>
  <c r="G3239" i="14"/>
  <c r="I3239" i="14" s="1"/>
  <c r="K3239" i="14"/>
  <c r="F3240" i="14"/>
  <c r="H3240" i="14" s="1"/>
  <c r="G3240" i="14"/>
  <c r="I3240" i="14" s="1"/>
  <c r="J3240" i="14" s="1"/>
  <c r="K3240" i="14"/>
  <c r="F3241" i="14"/>
  <c r="H3241" i="14" s="1"/>
  <c r="G3241" i="14"/>
  <c r="I3241" i="14" s="1"/>
  <c r="J3241" i="14" s="1"/>
  <c r="K3241" i="14"/>
  <c r="F3242" i="14"/>
  <c r="H3242" i="14" s="1"/>
  <c r="G3242" i="14"/>
  <c r="I3242" i="14" s="1"/>
  <c r="K3242" i="14"/>
  <c r="F3243" i="14"/>
  <c r="H3243" i="14" s="1"/>
  <c r="G3243" i="14"/>
  <c r="I3243" i="14" s="1"/>
  <c r="K3243" i="14"/>
  <c r="F3244" i="14"/>
  <c r="H3244" i="14" s="1"/>
  <c r="G3244" i="14"/>
  <c r="I3244" i="14" s="1"/>
  <c r="K3244" i="14"/>
  <c r="F3245" i="14"/>
  <c r="H3245" i="14" s="1"/>
  <c r="G3245" i="14"/>
  <c r="I3245" i="14" s="1"/>
  <c r="K3245" i="14"/>
  <c r="F3246" i="14"/>
  <c r="H3246" i="14" s="1"/>
  <c r="G3246" i="14"/>
  <c r="I3246" i="14" s="1"/>
  <c r="K3246" i="14"/>
  <c r="F3247" i="14"/>
  <c r="H3247" i="14" s="1"/>
  <c r="G3247" i="14"/>
  <c r="I3247" i="14" s="1"/>
  <c r="K3247" i="14"/>
  <c r="F3248" i="14"/>
  <c r="H3248" i="14" s="1"/>
  <c r="G3248" i="14"/>
  <c r="I3248" i="14" s="1"/>
  <c r="K3248" i="14"/>
  <c r="F3249" i="14"/>
  <c r="H3249" i="14" s="1"/>
  <c r="G3249" i="14"/>
  <c r="I3249" i="14" s="1"/>
  <c r="K3249" i="14"/>
  <c r="F3250" i="14"/>
  <c r="H3250" i="14" s="1"/>
  <c r="G3250" i="14"/>
  <c r="I3250" i="14" s="1"/>
  <c r="K3250" i="14"/>
  <c r="F3251" i="14"/>
  <c r="H3251" i="14" s="1"/>
  <c r="G3251" i="14"/>
  <c r="I3251" i="14" s="1"/>
  <c r="K3251" i="14"/>
  <c r="F3252" i="14"/>
  <c r="H3252" i="14" s="1"/>
  <c r="G3252" i="14"/>
  <c r="I3252" i="14" s="1"/>
  <c r="K3252" i="14"/>
  <c r="F3253" i="14"/>
  <c r="H3253" i="14" s="1"/>
  <c r="G3253" i="14"/>
  <c r="I3253" i="14" s="1"/>
  <c r="K3253" i="14"/>
  <c r="F3254" i="14"/>
  <c r="H3254" i="14" s="1"/>
  <c r="G3254" i="14"/>
  <c r="I3254" i="14" s="1"/>
  <c r="K3254" i="14"/>
  <c r="F3255" i="14"/>
  <c r="H3255" i="14" s="1"/>
  <c r="G3255" i="14"/>
  <c r="I3255" i="14" s="1"/>
  <c r="K3255" i="14"/>
  <c r="F3256" i="14"/>
  <c r="H3256" i="14" s="1"/>
  <c r="G3256" i="14"/>
  <c r="I3256" i="14" s="1"/>
  <c r="K3256" i="14"/>
  <c r="F3257" i="14"/>
  <c r="H3257" i="14" s="1"/>
  <c r="G3257" i="14"/>
  <c r="I3257" i="14" s="1"/>
  <c r="K3257" i="14"/>
  <c r="F3258" i="14"/>
  <c r="H3258" i="14" s="1"/>
  <c r="G3258" i="14"/>
  <c r="I3258" i="14" s="1"/>
  <c r="K3258" i="14"/>
  <c r="F3259" i="14"/>
  <c r="H3259" i="14" s="1"/>
  <c r="G3259" i="14"/>
  <c r="I3259" i="14" s="1"/>
  <c r="K3259" i="14"/>
  <c r="F3260" i="14"/>
  <c r="H3260" i="14" s="1"/>
  <c r="G3260" i="14"/>
  <c r="I3260" i="14" s="1"/>
  <c r="K3260" i="14"/>
  <c r="F3261" i="14"/>
  <c r="H3261" i="14" s="1"/>
  <c r="G3261" i="14"/>
  <c r="I3261" i="14" s="1"/>
  <c r="K3261" i="14"/>
  <c r="F3262" i="14"/>
  <c r="H3262" i="14" s="1"/>
  <c r="G3262" i="14"/>
  <c r="I3262" i="14" s="1"/>
  <c r="K3262" i="14"/>
  <c r="F3263" i="14"/>
  <c r="H3263" i="14" s="1"/>
  <c r="G3263" i="14"/>
  <c r="I3263" i="14" s="1"/>
  <c r="K3263" i="14"/>
  <c r="F3264" i="14"/>
  <c r="H3264" i="14" s="1"/>
  <c r="G3264" i="14"/>
  <c r="I3264" i="14" s="1"/>
  <c r="K3264" i="14"/>
  <c r="F3265" i="14"/>
  <c r="H3265" i="14" s="1"/>
  <c r="G3265" i="14"/>
  <c r="I3265" i="14" s="1"/>
  <c r="K3265" i="14"/>
  <c r="F3266" i="14"/>
  <c r="H3266" i="14" s="1"/>
  <c r="G3266" i="14"/>
  <c r="I3266" i="14" s="1"/>
  <c r="K3266" i="14"/>
  <c r="F3267" i="14"/>
  <c r="H3267" i="14" s="1"/>
  <c r="G3267" i="14"/>
  <c r="I3267" i="14" s="1"/>
  <c r="K3267" i="14"/>
  <c r="F3268" i="14"/>
  <c r="H3268" i="14" s="1"/>
  <c r="G3268" i="14"/>
  <c r="I3268" i="14" s="1"/>
  <c r="K3268" i="14"/>
  <c r="F3269" i="14"/>
  <c r="H3269" i="14" s="1"/>
  <c r="G3269" i="14"/>
  <c r="I3269" i="14" s="1"/>
  <c r="K3269" i="14"/>
  <c r="F3270" i="14"/>
  <c r="H3270" i="14" s="1"/>
  <c r="G3270" i="14"/>
  <c r="I3270" i="14" s="1"/>
  <c r="K3270" i="14"/>
  <c r="F3271" i="14"/>
  <c r="H3271" i="14" s="1"/>
  <c r="G3271" i="14"/>
  <c r="I3271" i="14" s="1"/>
  <c r="K3271" i="14"/>
  <c r="F3272" i="14"/>
  <c r="H3272" i="14" s="1"/>
  <c r="G3272" i="14"/>
  <c r="I3272" i="14" s="1"/>
  <c r="K3272" i="14"/>
  <c r="F3273" i="14"/>
  <c r="H3273" i="14" s="1"/>
  <c r="G3273" i="14"/>
  <c r="I3273" i="14" s="1"/>
  <c r="K3273" i="14"/>
  <c r="F3274" i="14"/>
  <c r="H3274" i="14" s="1"/>
  <c r="G3274" i="14"/>
  <c r="I3274" i="14" s="1"/>
  <c r="K3274" i="14"/>
  <c r="F3275" i="14"/>
  <c r="H3275" i="14" s="1"/>
  <c r="G3275" i="14"/>
  <c r="I3275" i="14" s="1"/>
  <c r="K3275" i="14"/>
  <c r="F3276" i="14"/>
  <c r="H3276" i="14" s="1"/>
  <c r="G3276" i="14"/>
  <c r="I3276" i="14" s="1"/>
  <c r="K3276" i="14"/>
  <c r="F3277" i="14"/>
  <c r="H3277" i="14" s="1"/>
  <c r="G3277" i="14"/>
  <c r="I3277" i="14" s="1"/>
  <c r="K3277" i="14"/>
  <c r="F3278" i="14"/>
  <c r="H3278" i="14" s="1"/>
  <c r="G3278" i="14"/>
  <c r="I3278" i="14" s="1"/>
  <c r="K3278" i="14"/>
  <c r="F3279" i="14"/>
  <c r="H3279" i="14" s="1"/>
  <c r="G3279" i="14"/>
  <c r="I3279" i="14" s="1"/>
  <c r="K3279" i="14"/>
  <c r="F3280" i="14"/>
  <c r="H3280" i="14" s="1"/>
  <c r="G3280" i="14"/>
  <c r="I3280" i="14" s="1"/>
  <c r="K3280" i="14"/>
  <c r="F3281" i="14"/>
  <c r="H3281" i="14" s="1"/>
  <c r="G3281" i="14"/>
  <c r="I3281" i="14" s="1"/>
  <c r="K3281" i="14"/>
  <c r="F3282" i="14"/>
  <c r="H3282" i="14" s="1"/>
  <c r="G3282" i="14"/>
  <c r="I3282" i="14" s="1"/>
  <c r="K3282" i="14"/>
  <c r="F3283" i="14"/>
  <c r="H3283" i="14" s="1"/>
  <c r="G3283" i="14"/>
  <c r="I3283" i="14" s="1"/>
  <c r="K3283" i="14"/>
  <c r="F3284" i="14"/>
  <c r="H3284" i="14" s="1"/>
  <c r="G3284" i="14"/>
  <c r="I3284" i="14" s="1"/>
  <c r="K3284" i="14"/>
  <c r="F3285" i="14"/>
  <c r="H3285" i="14" s="1"/>
  <c r="G3285" i="14"/>
  <c r="I3285" i="14" s="1"/>
  <c r="K3285" i="14"/>
  <c r="F3286" i="14"/>
  <c r="H3286" i="14" s="1"/>
  <c r="G3286" i="14"/>
  <c r="I3286" i="14" s="1"/>
  <c r="K3286" i="14"/>
  <c r="F3287" i="14"/>
  <c r="H3287" i="14" s="1"/>
  <c r="G3287" i="14"/>
  <c r="I3287" i="14" s="1"/>
  <c r="K3287" i="14"/>
  <c r="F3288" i="14"/>
  <c r="H3288" i="14" s="1"/>
  <c r="G3288" i="14"/>
  <c r="I3288" i="14" s="1"/>
  <c r="K3288" i="14"/>
  <c r="F3289" i="14"/>
  <c r="H3289" i="14" s="1"/>
  <c r="G3289" i="14"/>
  <c r="I3289" i="14" s="1"/>
  <c r="K3289" i="14"/>
  <c r="F3290" i="14"/>
  <c r="H3290" i="14" s="1"/>
  <c r="G3290" i="14"/>
  <c r="I3290" i="14" s="1"/>
  <c r="K3290" i="14"/>
  <c r="F3291" i="14"/>
  <c r="H3291" i="14" s="1"/>
  <c r="G3291" i="14"/>
  <c r="I3291" i="14" s="1"/>
  <c r="K3291" i="14"/>
  <c r="F3292" i="14"/>
  <c r="H3292" i="14" s="1"/>
  <c r="G3292" i="14"/>
  <c r="I3292" i="14" s="1"/>
  <c r="K3292" i="14"/>
  <c r="F3293" i="14"/>
  <c r="H3293" i="14" s="1"/>
  <c r="G3293" i="14"/>
  <c r="I3293" i="14" s="1"/>
  <c r="K3293" i="14"/>
  <c r="F3294" i="14"/>
  <c r="H3294" i="14" s="1"/>
  <c r="G3294" i="14"/>
  <c r="I3294" i="14" s="1"/>
  <c r="K3294" i="14"/>
  <c r="F3295" i="14"/>
  <c r="H3295" i="14" s="1"/>
  <c r="G3295" i="14"/>
  <c r="I3295" i="14" s="1"/>
  <c r="K3295" i="14"/>
  <c r="F3296" i="14"/>
  <c r="H3296" i="14" s="1"/>
  <c r="G3296" i="14"/>
  <c r="I3296" i="14" s="1"/>
  <c r="K3296" i="14"/>
  <c r="F3297" i="14"/>
  <c r="H3297" i="14" s="1"/>
  <c r="G3297" i="14"/>
  <c r="I3297" i="14" s="1"/>
  <c r="K3297" i="14"/>
  <c r="F3298" i="14"/>
  <c r="H3298" i="14" s="1"/>
  <c r="G3298" i="14"/>
  <c r="I3298" i="14" s="1"/>
  <c r="K3298" i="14"/>
  <c r="F3299" i="14"/>
  <c r="H3299" i="14" s="1"/>
  <c r="G3299" i="14"/>
  <c r="I3299" i="14" s="1"/>
  <c r="K3299" i="14"/>
  <c r="F3300" i="14"/>
  <c r="H3300" i="14" s="1"/>
  <c r="G3300" i="14"/>
  <c r="I3300" i="14" s="1"/>
  <c r="K3300" i="14"/>
  <c r="F3301" i="14"/>
  <c r="H3301" i="14" s="1"/>
  <c r="G3301" i="14"/>
  <c r="I3301" i="14" s="1"/>
  <c r="K3301" i="14"/>
  <c r="F3302" i="14"/>
  <c r="H3302" i="14" s="1"/>
  <c r="G3302" i="14"/>
  <c r="I3302" i="14" s="1"/>
  <c r="K3302" i="14"/>
  <c r="F3303" i="14"/>
  <c r="H3303" i="14" s="1"/>
  <c r="G3303" i="14"/>
  <c r="I3303" i="14" s="1"/>
  <c r="K3303" i="14"/>
  <c r="F3304" i="14"/>
  <c r="H3304" i="14" s="1"/>
  <c r="G3304" i="14"/>
  <c r="I3304" i="14" s="1"/>
  <c r="K3304" i="14"/>
  <c r="F3305" i="14"/>
  <c r="H3305" i="14" s="1"/>
  <c r="G3305" i="14"/>
  <c r="I3305" i="14" s="1"/>
  <c r="J3305" i="14" s="1"/>
  <c r="K3305" i="14"/>
  <c r="F3306" i="14"/>
  <c r="H3306" i="14" s="1"/>
  <c r="G3306" i="14"/>
  <c r="I3306" i="14" s="1"/>
  <c r="K3306" i="14"/>
  <c r="F3307" i="14"/>
  <c r="H3307" i="14" s="1"/>
  <c r="G3307" i="14"/>
  <c r="I3307" i="14" s="1"/>
  <c r="K3307" i="14"/>
  <c r="F3308" i="14"/>
  <c r="H3308" i="14" s="1"/>
  <c r="G3308" i="14"/>
  <c r="I3308" i="14" s="1"/>
  <c r="K3308" i="14"/>
  <c r="F3309" i="14"/>
  <c r="H3309" i="14" s="1"/>
  <c r="G3309" i="14"/>
  <c r="I3309" i="14" s="1"/>
  <c r="K3309" i="14"/>
  <c r="F3310" i="14"/>
  <c r="H3310" i="14" s="1"/>
  <c r="G3310" i="14"/>
  <c r="I3310" i="14" s="1"/>
  <c r="K3310" i="14"/>
  <c r="F3311" i="14"/>
  <c r="H3311" i="14" s="1"/>
  <c r="G3311" i="14"/>
  <c r="I3311" i="14" s="1"/>
  <c r="K3311" i="14"/>
  <c r="F3312" i="14"/>
  <c r="H3312" i="14" s="1"/>
  <c r="G3312" i="14"/>
  <c r="I3312" i="14" s="1"/>
  <c r="K3312" i="14"/>
  <c r="F3313" i="14"/>
  <c r="H3313" i="14" s="1"/>
  <c r="G3313" i="14"/>
  <c r="I3313" i="14" s="1"/>
  <c r="K3313" i="14"/>
  <c r="F3314" i="14"/>
  <c r="H3314" i="14" s="1"/>
  <c r="G3314" i="14"/>
  <c r="I3314" i="14" s="1"/>
  <c r="J3314" i="14" s="1"/>
  <c r="K3314" i="14"/>
  <c r="F3315" i="14"/>
  <c r="H3315" i="14" s="1"/>
  <c r="G3315" i="14"/>
  <c r="I3315" i="14"/>
  <c r="K3315" i="14"/>
  <c r="F3316" i="14"/>
  <c r="H3316" i="14" s="1"/>
  <c r="G3316" i="14"/>
  <c r="I3316" i="14" s="1"/>
  <c r="K3316" i="14"/>
  <c r="F3317" i="14"/>
  <c r="H3317" i="14" s="1"/>
  <c r="G3317" i="14"/>
  <c r="I3317" i="14" s="1"/>
  <c r="K3317" i="14"/>
  <c r="F3318" i="14"/>
  <c r="H3318" i="14" s="1"/>
  <c r="G3318" i="14"/>
  <c r="I3318" i="14" s="1"/>
  <c r="K3318" i="14"/>
  <c r="F3319" i="14"/>
  <c r="H3319" i="14" s="1"/>
  <c r="G3319" i="14"/>
  <c r="I3319" i="14" s="1"/>
  <c r="J3319" i="14" s="1"/>
  <c r="K3319" i="14"/>
  <c r="F3320" i="14"/>
  <c r="H3320" i="14" s="1"/>
  <c r="G3320" i="14"/>
  <c r="I3320" i="14" s="1"/>
  <c r="K3320" i="14"/>
  <c r="F3321" i="14"/>
  <c r="H3321" i="14" s="1"/>
  <c r="G3321" i="14"/>
  <c r="I3321" i="14" s="1"/>
  <c r="K3321" i="14"/>
  <c r="F3322" i="14"/>
  <c r="H3322" i="14" s="1"/>
  <c r="G3322" i="14"/>
  <c r="I3322" i="14" s="1"/>
  <c r="K3322" i="14"/>
  <c r="F3323" i="14"/>
  <c r="H3323" i="14" s="1"/>
  <c r="G3323" i="14"/>
  <c r="I3323" i="14" s="1"/>
  <c r="K3323" i="14"/>
  <c r="F3324" i="14"/>
  <c r="H3324" i="14" s="1"/>
  <c r="G3324" i="14"/>
  <c r="I3324" i="14" s="1"/>
  <c r="K3324" i="14"/>
  <c r="F3325" i="14"/>
  <c r="H3325" i="14" s="1"/>
  <c r="G3325" i="14"/>
  <c r="I3325" i="14" s="1"/>
  <c r="K3325" i="14"/>
  <c r="F3326" i="14"/>
  <c r="H3326" i="14" s="1"/>
  <c r="G3326" i="14"/>
  <c r="I3326" i="14" s="1"/>
  <c r="K3326" i="14"/>
  <c r="F3327" i="14"/>
  <c r="H3327" i="14" s="1"/>
  <c r="G3327" i="14"/>
  <c r="I3327" i="14" s="1"/>
  <c r="K3327" i="14"/>
  <c r="F3328" i="14"/>
  <c r="H3328" i="14" s="1"/>
  <c r="G3328" i="14"/>
  <c r="I3328" i="14" s="1"/>
  <c r="K3328" i="14"/>
  <c r="F3329" i="14"/>
  <c r="H3329" i="14" s="1"/>
  <c r="G3329" i="14"/>
  <c r="I3329" i="14" s="1"/>
  <c r="K3329" i="14"/>
  <c r="F3330" i="14"/>
  <c r="H3330" i="14" s="1"/>
  <c r="G3330" i="14"/>
  <c r="I3330" i="14" s="1"/>
  <c r="K3330" i="14"/>
  <c r="F3331" i="14"/>
  <c r="H3331" i="14" s="1"/>
  <c r="G3331" i="14"/>
  <c r="I3331" i="14" s="1"/>
  <c r="K3331" i="14"/>
  <c r="F3332" i="14"/>
  <c r="H3332" i="14" s="1"/>
  <c r="G3332" i="14"/>
  <c r="I3332" i="14" s="1"/>
  <c r="K3332" i="14"/>
  <c r="F3333" i="14"/>
  <c r="H3333" i="14" s="1"/>
  <c r="G3333" i="14"/>
  <c r="I3333" i="14" s="1"/>
  <c r="K3333" i="14"/>
  <c r="F3334" i="14"/>
  <c r="H3334" i="14" s="1"/>
  <c r="G3334" i="14"/>
  <c r="I3334" i="14" s="1"/>
  <c r="K3334" i="14"/>
  <c r="F3335" i="14"/>
  <c r="H3335" i="14" s="1"/>
  <c r="G3335" i="14"/>
  <c r="I3335" i="14" s="1"/>
  <c r="K3335" i="14"/>
  <c r="F3336" i="14"/>
  <c r="H3336" i="14" s="1"/>
  <c r="G3336" i="14"/>
  <c r="I3336" i="14" s="1"/>
  <c r="K3336" i="14"/>
  <c r="F3337" i="14"/>
  <c r="H3337" i="14" s="1"/>
  <c r="G3337" i="14"/>
  <c r="I3337" i="14" s="1"/>
  <c r="K3337" i="14"/>
  <c r="F3338" i="14"/>
  <c r="H3338" i="14" s="1"/>
  <c r="G3338" i="14"/>
  <c r="I3338" i="14" s="1"/>
  <c r="K3338" i="14"/>
  <c r="F3339" i="14"/>
  <c r="H3339" i="14" s="1"/>
  <c r="G3339" i="14"/>
  <c r="I3339" i="14"/>
  <c r="K3339" i="14"/>
  <c r="F3340" i="14"/>
  <c r="H3340" i="14" s="1"/>
  <c r="G3340" i="14"/>
  <c r="I3340" i="14" s="1"/>
  <c r="K3340" i="14"/>
  <c r="F3341" i="14"/>
  <c r="H3341" i="14" s="1"/>
  <c r="G3341" i="14"/>
  <c r="I3341" i="14" s="1"/>
  <c r="K3341" i="14"/>
  <c r="F3342" i="14"/>
  <c r="H3342" i="14" s="1"/>
  <c r="G3342" i="14"/>
  <c r="I3342" i="14" s="1"/>
  <c r="K3342" i="14"/>
  <c r="F3343" i="14"/>
  <c r="H3343" i="14" s="1"/>
  <c r="G3343" i="14"/>
  <c r="I3343" i="14" s="1"/>
  <c r="K3343" i="14"/>
  <c r="F3344" i="14"/>
  <c r="H3344" i="14" s="1"/>
  <c r="G3344" i="14"/>
  <c r="I3344" i="14" s="1"/>
  <c r="K3344" i="14"/>
  <c r="F3345" i="14"/>
  <c r="H3345" i="14" s="1"/>
  <c r="G3345" i="14"/>
  <c r="I3345" i="14" s="1"/>
  <c r="J3345" i="14" s="1"/>
  <c r="K3345" i="14"/>
  <c r="F3346" i="14"/>
  <c r="H3346" i="14" s="1"/>
  <c r="G3346" i="14"/>
  <c r="I3346" i="14" s="1"/>
  <c r="K3346" i="14"/>
  <c r="F3347" i="14"/>
  <c r="H3347" i="14" s="1"/>
  <c r="G3347" i="14"/>
  <c r="I3347" i="14" s="1"/>
  <c r="K3347" i="14"/>
  <c r="F3348" i="14"/>
  <c r="H3348" i="14" s="1"/>
  <c r="G3348" i="14"/>
  <c r="I3348" i="14" s="1"/>
  <c r="K3348" i="14"/>
  <c r="F3349" i="14"/>
  <c r="H3349" i="14" s="1"/>
  <c r="G3349" i="14"/>
  <c r="I3349" i="14" s="1"/>
  <c r="K3349" i="14"/>
  <c r="F3350" i="14"/>
  <c r="H3350" i="14" s="1"/>
  <c r="G3350" i="14"/>
  <c r="I3350" i="14" s="1"/>
  <c r="K3350" i="14"/>
  <c r="F3351" i="14"/>
  <c r="H3351" i="14" s="1"/>
  <c r="G3351" i="14"/>
  <c r="I3351" i="14" s="1"/>
  <c r="K3351" i="14"/>
  <c r="F3352" i="14"/>
  <c r="H3352" i="14" s="1"/>
  <c r="G3352" i="14"/>
  <c r="I3352" i="14" s="1"/>
  <c r="K3352" i="14"/>
  <c r="F3353" i="14"/>
  <c r="H3353" i="14" s="1"/>
  <c r="G3353" i="14"/>
  <c r="I3353" i="14" s="1"/>
  <c r="K3353" i="14"/>
  <c r="F3354" i="14"/>
  <c r="H3354" i="14" s="1"/>
  <c r="G3354" i="14"/>
  <c r="I3354" i="14" s="1"/>
  <c r="J3354" i="14" s="1"/>
  <c r="K3354" i="14"/>
  <c r="F3355" i="14"/>
  <c r="H3355" i="14" s="1"/>
  <c r="G3355" i="14"/>
  <c r="I3355" i="14"/>
  <c r="J3355" i="14" s="1"/>
  <c r="K3355" i="14"/>
  <c r="F3356" i="14"/>
  <c r="H3356" i="14" s="1"/>
  <c r="G3356" i="14"/>
  <c r="I3356" i="14" s="1"/>
  <c r="K3356" i="14"/>
  <c r="F3357" i="14"/>
  <c r="H3357" i="14" s="1"/>
  <c r="G3357" i="14"/>
  <c r="I3357" i="14" s="1"/>
  <c r="K3357" i="14"/>
  <c r="F3358" i="14"/>
  <c r="H3358" i="14" s="1"/>
  <c r="G3358" i="14"/>
  <c r="I3358" i="14" s="1"/>
  <c r="K3358" i="14"/>
  <c r="F3359" i="14"/>
  <c r="H3359" i="14" s="1"/>
  <c r="G3359" i="14"/>
  <c r="I3359" i="14" s="1"/>
  <c r="J3359" i="14" s="1"/>
  <c r="K3359" i="14"/>
  <c r="F3360" i="14"/>
  <c r="H3360" i="14" s="1"/>
  <c r="G3360" i="14"/>
  <c r="I3360" i="14" s="1"/>
  <c r="K3360" i="14"/>
  <c r="F3361" i="14"/>
  <c r="H3361" i="14" s="1"/>
  <c r="G3361" i="14"/>
  <c r="I3361" i="14" s="1"/>
  <c r="K3361" i="14"/>
  <c r="F3362" i="14"/>
  <c r="H3362" i="14" s="1"/>
  <c r="G3362" i="14"/>
  <c r="I3362" i="14" s="1"/>
  <c r="K3362" i="14"/>
  <c r="F3363" i="14"/>
  <c r="H3363" i="14" s="1"/>
  <c r="G3363" i="14"/>
  <c r="I3363" i="14" s="1"/>
  <c r="K3363" i="14"/>
  <c r="F3364" i="14"/>
  <c r="H3364" i="14" s="1"/>
  <c r="G3364" i="14"/>
  <c r="I3364" i="14" s="1"/>
  <c r="K3364" i="14"/>
  <c r="F3365" i="14"/>
  <c r="H3365" i="14" s="1"/>
  <c r="G3365" i="14"/>
  <c r="I3365" i="14" s="1"/>
  <c r="K3365" i="14"/>
  <c r="F3366" i="14"/>
  <c r="H3366" i="14" s="1"/>
  <c r="G3366" i="14"/>
  <c r="I3366" i="14" s="1"/>
  <c r="K3366" i="14"/>
  <c r="F3367" i="14"/>
  <c r="H3367" i="14" s="1"/>
  <c r="G3367" i="14"/>
  <c r="I3367" i="14" s="1"/>
  <c r="K3367" i="14"/>
  <c r="F3368" i="14"/>
  <c r="H3368" i="14" s="1"/>
  <c r="G3368" i="14"/>
  <c r="I3368" i="14" s="1"/>
  <c r="K3368" i="14"/>
  <c r="F3369" i="14"/>
  <c r="H3369" i="14" s="1"/>
  <c r="G3369" i="14"/>
  <c r="I3369" i="14" s="1"/>
  <c r="K3369" i="14"/>
  <c r="F3370" i="14"/>
  <c r="H3370" i="14" s="1"/>
  <c r="G3370" i="14"/>
  <c r="I3370" i="14" s="1"/>
  <c r="K3370" i="14"/>
  <c r="F3371" i="14"/>
  <c r="H3371" i="14" s="1"/>
  <c r="G3371" i="14"/>
  <c r="I3371" i="14" s="1"/>
  <c r="K3371" i="14"/>
  <c r="F3372" i="14"/>
  <c r="H3372" i="14" s="1"/>
  <c r="G3372" i="14"/>
  <c r="I3372" i="14" s="1"/>
  <c r="K3372" i="14"/>
  <c r="F3373" i="14"/>
  <c r="H3373" i="14" s="1"/>
  <c r="G3373" i="14"/>
  <c r="I3373" i="14" s="1"/>
  <c r="K3373" i="14"/>
  <c r="F3374" i="14"/>
  <c r="H3374" i="14" s="1"/>
  <c r="G3374" i="14"/>
  <c r="I3374" i="14" s="1"/>
  <c r="K3374" i="14"/>
  <c r="F3375" i="14"/>
  <c r="H3375" i="14" s="1"/>
  <c r="G3375" i="14"/>
  <c r="I3375" i="14" s="1"/>
  <c r="K3375" i="14"/>
  <c r="F3376" i="14"/>
  <c r="H3376" i="14" s="1"/>
  <c r="G3376" i="14"/>
  <c r="I3376" i="14" s="1"/>
  <c r="K3376" i="14"/>
  <c r="F3377" i="14"/>
  <c r="H3377" i="14" s="1"/>
  <c r="G3377" i="14"/>
  <c r="I3377" i="14" s="1"/>
  <c r="K3377" i="14"/>
  <c r="F3378" i="14"/>
  <c r="H3378" i="14" s="1"/>
  <c r="G3378" i="14"/>
  <c r="I3378" i="14" s="1"/>
  <c r="K3378" i="14"/>
  <c r="F3379" i="14"/>
  <c r="H3379" i="14" s="1"/>
  <c r="G3379" i="14"/>
  <c r="I3379" i="14" s="1"/>
  <c r="K3379" i="14"/>
  <c r="F3380" i="14"/>
  <c r="H3380" i="14" s="1"/>
  <c r="G3380" i="14"/>
  <c r="I3380" i="14" s="1"/>
  <c r="K3380" i="14"/>
  <c r="F3381" i="14"/>
  <c r="H3381" i="14" s="1"/>
  <c r="G3381" i="14"/>
  <c r="I3381" i="14" s="1"/>
  <c r="K3381" i="14"/>
  <c r="F3382" i="14"/>
  <c r="H3382" i="14" s="1"/>
  <c r="G3382" i="14"/>
  <c r="I3382" i="14" s="1"/>
  <c r="K3382" i="14"/>
  <c r="F3383" i="14"/>
  <c r="H3383" i="14" s="1"/>
  <c r="G3383" i="14"/>
  <c r="I3383" i="14" s="1"/>
  <c r="K3383" i="14"/>
  <c r="F3384" i="14"/>
  <c r="H3384" i="14" s="1"/>
  <c r="G3384" i="14"/>
  <c r="I3384" i="14" s="1"/>
  <c r="K3384" i="14"/>
  <c r="F3385" i="14"/>
  <c r="H3385" i="14" s="1"/>
  <c r="G3385" i="14"/>
  <c r="I3385" i="14" s="1"/>
  <c r="K3385" i="14"/>
  <c r="F3386" i="14"/>
  <c r="H3386" i="14" s="1"/>
  <c r="G3386" i="14"/>
  <c r="I3386" i="14" s="1"/>
  <c r="K3386" i="14"/>
  <c r="F3387" i="14"/>
  <c r="H3387" i="14" s="1"/>
  <c r="G3387" i="14"/>
  <c r="I3387" i="14"/>
  <c r="K3387" i="14"/>
  <c r="F3388" i="14"/>
  <c r="H3388" i="14" s="1"/>
  <c r="G3388" i="14"/>
  <c r="I3388" i="14" s="1"/>
  <c r="K3388" i="14"/>
  <c r="F3389" i="14"/>
  <c r="H3389" i="14" s="1"/>
  <c r="G3389" i="14"/>
  <c r="I3389" i="14" s="1"/>
  <c r="K3389" i="14"/>
  <c r="F3390" i="14"/>
  <c r="H3390" i="14" s="1"/>
  <c r="G3390" i="14"/>
  <c r="I3390" i="14" s="1"/>
  <c r="K3390" i="14"/>
  <c r="F3391" i="14"/>
  <c r="H3391" i="14" s="1"/>
  <c r="G3391" i="14"/>
  <c r="I3391" i="14" s="1"/>
  <c r="J3391" i="14" s="1"/>
  <c r="K3391" i="14"/>
  <c r="F3392" i="14"/>
  <c r="H3392" i="14" s="1"/>
  <c r="G3392" i="14"/>
  <c r="I3392" i="14" s="1"/>
  <c r="K3392" i="14"/>
  <c r="F3393" i="14"/>
  <c r="H3393" i="14" s="1"/>
  <c r="G3393" i="14"/>
  <c r="I3393" i="14" s="1"/>
  <c r="K3393" i="14"/>
  <c r="F3394" i="14"/>
  <c r="H3394" i="14" s="1"/>
  <c r="G3394" i="14"/>
  <c r="I3394" i="14" s="1"/>
  <c r="K3394" i="14"/>
  <c r="F3395" i="14"/>
  <c r="H3395" i="14" s="1"/>
  <c r="G3395" i="14"/>
  <c r="I3395" i="14" s="1"/>
  <c r="K3395" i="14"/>
  <c r="F3396" i="14"/>
  <c r="H3396" i="14" s="1"/>
  <c r="G3396" i="14"/>
  <c r="I3396" i="14" s="1"/>
  <c r="K3396" i="14"/>
  <c r="F3397" i="14"/>
  <c r="H3397" i="14" s="1"/>
  <c r="G3397" i="14"/>
  <c r="I3397" i="14" s="1"/>
  <c r="K3397" i="14"/>
  <c r="F3398" i="14"/>
  <c r="H3398" i="14" s="1"/>
  <c r="G3398" i="14"/>
  <c r="I3398" i="14" s="1"/>
  <c r="K3398" i="14"/>
  <c r="F3399" i="14"/>
  <c r="H3399" i="14" s="1"/>
  <c r="G3399" i="14"/>
  <c r="I3399" i="14" s="1"/>
  <c r="K3399" i="14"/>
  <c r="F3400" i="14"/>
  <c r="H3400" i="14" s="1"/>
  <c r="G3400" i="14"/>
  <c r="I3400" i="14" s="1"/>
  <c r="K3400" i="14"/>
  <c r="F3401" i="14"/>
  <c r="H3401" i="14" s="1"/>
  <c r="G3401" i="14"/>
  <c r="I3401" i="14" s="1"/>
  <c r="K3401" i="14"/>
  <c r="F3402" i="14"/>
  <c r="H3402" i="14" s="1"/>
  <c r="G3402" i="14"/>
  <c r="I3402" i="14" s="1"/>
  <c r="K3402" i="14"/>
  <c r="F3403" i="14"/>
  <c r="H3403" i="14" s="1"/>
  <c r="G3403" i="14"/>
  <c r="I3403" i="14" s="1"/>
  <c r="K3403" i="14"/>
  <c r="F3404" i="14"/>
  <c r="H3404" i="14" s="1"/>
  <c r="G3404" i="14"/>
  <c r="I3404" i="14" s="1"/>
  <c r="K3404" i="14"/>
  <c r="F3405" i="14"/>
  <c r="H3405" i="14" s="1"/>
  <c r="G3405" i="14"/>
  <c r="I3405" i="14" s="1"/>
  <c r="K3405" i="14"/>
  <c r="F3406" i="14"/>
  <c r="H3406" i="14" s="1"/>
  <c r="G3406" i="14"/>
  <c r="I3406" i="14" s="1"/>
  <c r="K3406" i="14"/>
  <c r="F3407" i="14"/>
  <c r="H3407" i="14" s="1"/>
  <c r="G3407" i="14"/>
  <c r="I3407" i="14" s="1"/>
  <c r="K3407" i="14"/>
  <c r="F3408" i="14"/>
  <c r="H3408" i="14" s="1"/>
  <c r="G3408" i="14"/>
  <c r="I3408" i="14" s="1"/>
  <c r="K3408" i="14"/>
  <c r="F3409" i="14"/>
  <c r="H3409" i="14" s="1"/>
  <c r="G3409" i="14"/>
  <c r="I3409" i="14" s="1"/>
  <c r="K3409" i="14"/>
  <c r="F3410" i="14"/>
  <c r="H3410" i="14" s="1"/>
  <c r="G3410" i="14"/>
  <c r="I3410" i="14" s="1"/>
  <c r="K3410" i="14"/>
  <c r="F3411" i="14"/>
  <c r="H3411" i="14" s="1"/>
  <c r="G3411" i="14"/>
  <c r="I3411" i="14"/>
  <c r="K3411" i="14"/>
  <c r="F3412" i="14"/>
  <c r="H3412" i="14" s="1"/>
  <c r="G3412" i="14"/>
  <c r="I3412" i="14" s="1"/>
  <c r="K3412" i="14"/>
  <c r="F3413" i="14"/>
  <c r="H3413" i="14" s="1"/>
  <c r="G3413" i="14"/>
  <c r="I3413" i="14" s="1"/>
  <c r="K3413" i="14"/>
  <c r="F3414" i="14"/>
  <c r="H3414" i="14" s="1"/>
  <c r="G3414" i="14"/>
  <c r="I3414" i="14" s="1"/>
  <c r="K3414" i="14"/>
  <c r="F3415" i="14"/>
  <c r="H3415" i="14" s="1"/>
  <c r="G3415" i="14"/>
  <c r="I3415" i="14" s="1"/>
  <c r="K3415" i="14"/>
  <c r="F3416" i="14"/>
  <c r="H3416" i="14" s="1"/>
  <c r="G3416" i="14"/>
  <c r="I3416" i="14" s="1"/>
  <c r="K3416" i="14"/>
  <c r="F3417" i="14"/>
  <c r="H3417" i="14" s="1"/>
  <c r="G3417" i="14"/>
  <c r="I3417" i="14" s="1"/>
  <c r="K3417" i="14"/>
  <c r="F3418" i="14"/>
  <c r="H3418" i="14" s="1"/>
  <c r="G3418" i="14"/>
  <c r="I3418" i="14" s="1"/>
  <c r="K3418" i="14"/>
  <c r="F3419" i="14"/>
  <c r="H3419" i="14" s="1"/>
  <c r="G3419" i="14"/>
  <c r="I3419" i="14" s="1"/>
  <c r="K3419" i="14"/>
  <c r="F3420" i="14"/>
  <c r="H3420" i="14" s="1"/>
  <c r="G3420" i="14"/>
  <c r="I3420" i="14" s="1"/>
  <c r="K3420" i="14"/>
  <c r="F3421" i="14"/>
  <c r="H3421" i="14" s="1"/>
  <c r="G3421" i="14"/>
  <c r="I3421" i="14" s="1"/>
  <c r="K3421" i="14"/>
  <c r="F3422" i="14"/>
  <c r="H3422" i="14" s="1"/>
  <c r="G3422" i="14"/>
  <c r="I3422" i="14" s="1"/>
  <c r="K3422" i="14"/>
  <c r="F3423" i="14"/>
  <c r="H3423" i="14" s="1"/>
  <c r="G3423" i="14"/>
  <c r="I3423" i="14" s="1"/>
  <c r="K3423" i="14"/>
  <c r="F3424" i="14"/>
  <c r="H3424" i="14" s="1"/>
  <c r="G3424" i="14"/>
  <c r="I3424" i="14" s="1"/>
  <c r="K3424" i="14"/>
  <c r="F3425" i="14"/>
  <c r="H3425" i="14" s="1"/>
  <c r="G3425" i="14"/>
  <c r="I3425" i="14" s="1"/>
  <c r="K3425" i="14"/>
  <c r="F3426" i="14"/>
  <c r="H3426" i="14" s="1"/>
  <c r="G3426" i="14"/>
  <c r="I3426" i="14" s="1"/>
  <c r="K3426" i="14"/>
  <c r="F3427" i="14"/>
  <c r="H3427" i="14" s="1"/>
  <c r="G3427" i="14"/>
  <c r="I3427" i="14" s="1"/>
  <c r="K3427" i="14"/>
  <c r="F3428" i="14"/>
  <c r="H3428" i="14" s="1"/>
  <c r="G3428" i="14"/>
  <c r="I3428" i="14" s="1"/>
  <c r="K3428" i="14"/>
  <c r="F3429" i="14"/>
  <c r="H3429" i="14" s="1"/>
  <c r="G3429" i="14"/>
  <c r="I3429" i="14" s="1"/>
  <c r="K3429" i="14"/>
  <c r="F3430" i="14"/>
  <c r="H3430" i="14" s="1"/>
  <c r="G3430" i="14"/>
  <c r="I3430" i="14" s="1"/>
  <c r="K3430" i="14"/>
  <c r="F3431" i="14"/>
  <c r="H3431" i="14" s="1"/>
  <c r="G3431" i="14"/>
  <c r="I3431" i="14" s="1"/>
  <c r="K3431" i="14"/>
  <c r="F3432" i="14"/>
  <c r="H3432" i="14" s="1"/>
  <c r="G3432" i="14"/>
  <c r="I3432" i="14" s="1"/>
  <c r="K3432" i="14"/>
  <c r="F3433" i="14"/>
  <c r="H3433" i="14" s="1"/>
  <c r="G3433" i="14"/>
  <c r="I3433" i="14" s="1"/>
  <c r="K3433" i="14"/>
  <c r="F3434" i="14"/>
  <c r="H3434" i="14" s="1"/>
  <c r="G3434" i="14"/>
  <c r="I3434" i="14" s="1"/>
  <c r="J3434" i="14" s="1"/>
  <c r="K3434" i="14"/>
  <c r="F3435" i="14"/>
  <c r="H3435" i="14" s="1"/>
  <c r="G3435" i="14"/>
  <c r="I3435" i="14"/>
  <c r="K3435" i="14"/>
  <c r="F3436" i="14"/>
  <c r="H3436" i="14" s="1"/>
  <c r="G3436" i="14"/>
  <c r="I3436" i="14" s="1"/>
  <c r="K3436" i="14"/>
  <c r="F3437" i="14"/>
  <c r="H3437" i="14" s="1"/>
  <c r="G3437" i="14"/>
  <c r="I3437" i="14" s="1"/>
  <c r="K3437" i="14"/>
  <c r="F3438" i="14"/>
  <c r="H3438" i="14" s="1"/>
  <c r="G3438" i="14"/>
  <c r="I3438" i="14" s="1"/>
  <c r="K3438" i="14"/>
  <c r="F3439" i="14"/>
  <c r="H3439" i="14" s="1"/>
  <c r="G3439" i="14"/>
  <c r="I3439" i="14" s="1"/>
  <c r="K3439" i="14"/>
  <c r="F3440" i="14"/>
  <c r="H3440" i="14" s="1"/>
  <c r="G3440" i="14"/>
  <c r="I3440" i="14" s="1"/>
  <c r="K3440" i="14"/>
  <c r="F3441" i="14"/>
  <c r="H3441" i="14" s="1"/>
  <c r="G3441" i="14"/>
  <c r="I3441" i="14" s="1"/>
  <c r="K3441" i="14"/>
  <c r="F3442" i="14"/>
  <c r="H3442" i="14" s="1"/>
  <c r="G3442" i="14"/>
  <c r="I3442" i="14" s="1"/>
  <c r="K3442" i="14"/>
  <c r="F3443" i="14"/>
  <c r="H3443" i="14" s="1"/>
  <c r="G3443" i="14"/>
  <c r="I3443" i="14" s="1"/>
  <c r="J3443" i="14" s="1"/>
  <c r="K3443" i="14"/>
  <c r="F3444" i="14"/>
  <c r="H3444" i="14" s="1"/>
  <c r="G3444" i="14"/>
  <c r="I3444" i="14" s="1"/>
  <c r="K3444" i="14"/>
  <c r="F3445" i="14"/>
  <c r="H3445" i="14" s="1"/>
  <c r="G3445" i="14"/>
  <c r="I3445" i="14" s="1"/>
  <c r="K3445" i="14"/>
  <c r="F3446" i="14"/>
  <c r="H3446" i="14" s="1"/>
  <c r="G3446" i="14"/>
  <c r="I3446" i="14" s="1"/>
  <c r="K3446" i="14"/>
  <c r="F3447" i="14"/>
  <c r="H3447" i="14" s="1"/>
  <c r="G3447" i="14"/>
  <c r="I3447" i="14" s="1"/>
  <c r="K3447" i="14"/>
  <c r="F3448" i="14"/>
  <c r="H3448" i="14" s="1"/>
  <c r="G3448" i="14"/>
  <c r="I3448" i="14" s="1"/>
  <c r="K3448" i="14"/>
  <c r="F3449" i="14"/>
  <c r="H3449" i="14" s="1"/>
  <c r="G3449" i="14"/>
  <c r="I3449" i="14" s="1"/>
  <c r="K3449" i="14"/>
  <c r="F3450" i="14"/>
  <c r="H3450" i="14" s="1"/>
  <c r="G3450" i="14"/>
  <c r="I3450" i="14" s="1"/>
  <c r="K3450" i="14"/>
  <c r="F3451" i="14"/>
  <c r="H3451" i="14" s="1"/>
  <c r="G3451" i="14"/>
  <c r="I3451" i="14" s="1"/>
  <c r="J3451" i="14" s="1"/>
  <c r="K3451" i="14"/>
  <c r="F3452" i="14"/>
  <c r="H3452" i="14" s="1"/>
  <c r="G3452" i="14"/>
  <c r="I3452" i="14" s="1"/>
  <c r="K3452" i="14"/>
  <c r="F3453" i="14"/>
  <c r="H3453" i="14" s="1"/>
  <c r="G3453" i="14"/>
  <c r="I3453" i="14" s="1"/>
  <c r="K3453" i="14"/>
  <c r="F3454" i="14"/>
  <c r="H3454" i="14" s="1"/>
  <c r="G3454" i="14"/>
  <c r="I3454" i="14" s="1"/>
  <c r="K3454" i="14"/>
  <c r="F3455" i="14"/>
  <c r="H3455" i="14" s="1"/>
  <c r="G3455" i="14"/>
  <c r="I3455" i="14" s="1"/>
  <c r="K3455" i="14"/>
  <c r="F3456" i="14"/>
  <c r="H3456" i="14" s="1"/>
  <c r="G3456" i="14"/>
  <c r="I3456" i="14" s="1"/>
  <c r="K3456" i="14"/>
  <c r="F3457" i="14"/>
  <c r="H3457" i="14" s="1"/>
  <c r="G3457" i="14"/>
  <c r="I3457" i="14" s="1"/>
  <c r="K3457" i="14"/>
  <c r="F3458" i="14"/>
  <c r="H3458" i="14" s="1"/>
  <c r="G3458" i="14"/>
  <c r="I3458" i="14" s="1"/>
  <c r="K3458" i="14"/>
  <c r="F3459" i="14"/>
  <c r="H3459" i="14" s="1"/>
  <c r="G3459" i="14"/>
  <c r="I3459" i="14" s="1"/>
  <c r="J3459" i="14" s="1"/>
  <c r="K3459" i="14"/>
  <c r="F3460" i="14"/>
  <c r="H3460" i="14" s="1"/>
  <c r="G3460" i="14"/>
  <c r="I3460" i="14" s="1"/>
  <c r="K3460" i="14"/>
  <c r="F3461" i="14"/>
  <c r="H3461" i="14" s="1"/>
  <c r="G3461" i="14"/>
  <c r="I3461" i="14" s="1"/>
  <c r="K3461" i="14"/>
  <c r="F3462" i="14"/>
  <c r="H3462" i="14" s="1"/>
  <c r="G3462" i="14"/>
  <c r="I3462" i="14" s="1"/>
  <c r="K3462" i="14"/>
  <c r="F3463" i="14"/>
  <c r="H3463" i="14" s="1"/>
  <c r="G3463" i="14"/>
  <c r="I3463" i="14" s="1"/>
  <c r="K3463" i="14"/>
  <c r="F3464" i="14"/>
  <c r="H3464" i="14" s="1"/>
  <c r="G3464" i="14"/>
  <c r="I3464" i="14" s="1"/>
  <c r="K3464" i="14"/>
  <c r="F3465" i="14"/>
  <c r="H3465" i="14" s="1"/>
  <c r="G3465" i="14"/>
  <c r="I3465" i="14" s="1"/>
  <c r="K3465" i="14"/>
  <c r="F3466" i="14"/>
  <c r="H3466" i="14" s="1"/>
  <c r="G3466" i="14"/>
  <c r="I3466" i="14" s="1"/>
  <c r="K3466" i="14"/>
  <c r="F3467" i="14"/>
  <c r="H3467" i="14" s="1"/>
  <c r="G3467" i="14"/>
  <c r="I3467" i="14" s="1"/>
  <c r="K3467" i="14"/>
  <c r="F3468" i="14"/>
  <c r="H3468" i="14" s="1"/>
  <c r="G3468" i="14"/>
  <c r="I3468" i="14" s="1"/>
  <c r="K3468" i="14"/>
  <c r="F3469" i="14"/>
  <c r="H3469" i="14" s="1"/>
  <c r="G3469" i="14"/>
  <c r="I3469" i="14" s="1"/>
  <c r="K3469" i="14"/>
  <c r="F3470" i="14"/>
  <c r="H3470" i="14" s="1"/>
  <c r="G3470" i="14"/>
  <c r="I3470" i="14" s="1"/>
  <c r="K3470" i="14"/>
  <c r="F3471" i="14"/>
  <c r="G3471" i="14"/>
  <c r="I3471" i="14" s="1"/>
  <c r="H3471" i="14"/>
  <c r="K3471" i="14"/>
  <c r="F3472" i="14"/>
  <c r="H3472" i="14" s="1"/>
  <c r="G3472" i="14"/>
  <c r="I3472" i="14" s="1"/>
  <c r="K3472" i="14"/>
  <c r="F3473" i="14"/>
  <c r="G3473" i="14"/>
  <c r="I3473" i="14" s="1"/>
  <c r="H3473" i="14"/>
  <c r="K3473" i="14"/>
  <c r="F3474" i="14"/>
  <c r="H3474" i="14" s="1"/>
  <c r="G3474" i="14"/>
  <c r="I3474" i="14" s="1"/>
  <c r="J3474" i="14" s="1"/>
  <c r="K3474" i="14"/>
  <c r="F3475" i="14"/>
  <c r="H3475" i="14" s="1"/>
  <c r="G3475" i="14"/>
  <c r="I3475" i="14" s="1"/>
  <c r="K3475" i="14"/>
  <c r="F3476" i="14"/>
  <c r="H3476" i="14" s="1"/>
  <c r="G3476" i="14"/>
  <c r="I3476" i="14" s="1"/>
  <c r="K3476" i="14"/>
  <c r="F3477" i="14"/>
  <c r="G3477" i="14"/>
  <c r="I3477" i="14" s="1"/>
  <c r="H3477" i="14"/>
  <c r="K3477" i="14"/>
  <c r="F3478" i="14"/>
  <c r="H3478" i="14" s="1"/>
  <c r="G3478" i="14"/>
  <c r="I3478" i="14" s="1"/>
  <c r="K3478" i="14"/>
  <c r="F3479" i="14"/>
  <c r="H3479" i="14" s="1"/>
  <c r="G3479" i="14"/>
  <c r="I3479" i="14" s="1"/>
  <c r="K3479" i="14"/>
  <c r="F3480" i="14"/>
  <c r="H3480" i="14" s="1"/>
  <c r="G3480" i="14"/>
  <c r="I3480" i="14" s="1"/>
  <c r="K3480" i="14"/>
  <c r="F3481" i="14"/>
  <c r="H3481" i="14" s="1"/>
  <c r="G3481" i="14"/>
  <c r="I3481" i="14" s="1"/>
  <c r="K3481" i="14"/>
  <c r="F3482" i="14"/>
  <c r="H3482" i="14" s="1"/>
  <c r="G3482" i="14"/>
  <c r="I3482" i="14" s="1"/>
  <c r="K3482" i="14"/>
  <c r="F3483" i="14"/>
  <c r="H3483" i="14" s="1"/>
  <c r="G3483" i="14"/>
  <c r="I3483" i="14" s="1"/>
  <c r="K3483" i="14"/>
  <c r="F3484" i="14"/>
  <c r="H3484" i="14" s="1"/>
  <c r="G3484" i="14"/>
  <c r="I3484" i="14" s="1"/>
  <c r="K3484" i="14"/>
  <c r="F3485" i="14"/>
  <c r="H3485" i="14" s="1"/>
  <c r="G3485" i="14"/>
  <c r="I3485" i="14" s="1"/>
  <c r="K3485" i="14"/>
  <c r="F3486" i="14"/>
  <c r="H3486" i="14" s="1"/>
  <c r="G3486" i="14"/>
  <c r="I3486" i="14" s="1"/>
  <c r="K3486" i="14"/>
  <c r="F3487" i="14"/>
  <c r="H3487" i="14" s="1"/>
  <c r="G3487" i="14"/>
  <c r="I3487" i="14" s="1"/>
  <c r="K3487" i="14"/>
  <c r="F3488" i="14"/>
  <c r="H3488" i="14" s="1"/>
  <c r="G3488" i="14"/>
  <c r="I3488" i="14" s="1"/>
  <c r="K3488" i="14"/>
  <c r="F3489" i="14"/>
  <c r="H3489" i="14" s="1"/>
  <c r="G3489" i="14"/>
  <c r="I3489" i="14" s="1"/>
  <c r="K3489" i="14"/>
  <c r="F3490" i="14"/>
  <c r="H3490" i="14" s="1"/>
  <c r="G3490" i="14"/>
  <c r="I3490" i="14" s="1"/>
  <c r="K3490" i="14"/>
  <c r="F3491" i="14"/>
  <c r="H3491" i="14" s="1"/>
  <c r="G3491" i="14"/>
  <c r="I3491" i="14" s="1"/>
  <c r="K3491" i="14"/>
  <c r="F3492" i="14"/>
  <c r="H3492" i="14" s="1"/>
  <c r="G3492" i="14"/>
  <c r="I3492" i="14" s="1"/>
  <c r="K3492" i="14"/>
  <c r="F3493" i="14"/>
  <c r="H3493" i="14" s="1"/>
  <c r="G3493" i="14"/>
  <c r="I3493" i="14" s="1"/>
  <c r="K3493" i="14"/>
  <c r="F3494" i="14"/>
  <c r="H3494" i="14" s="1"/>
  <c r="G3494" i="14"/>
  <c r="I3494" i="14" s="1"/>
  <c r="K3494" i="14"/>
  <c r="F3495" i="14"/>
  <c r="H3495" i="14" s="1"/>
  <c r="G3495" i="14"/>
  <c r="I3495" i="14" s="1"/>
  <c r="K3495" i="14"/>
  <c r="F3496" i="14"/>
  <c r="H3496" i="14" s="1"/>
  <c r="G3496" i="14"/>
  <c r="I3496" i="14" s="1"/>
  <c r="K3496" i="14"/>
  <c r="F3497" i="14"/>
  <c r="H3497" i="14" s="1"/>
  <c r="G3497" i="14"/>
  <c r="I3497" i="14" s="1"/>
  <c r="K3497" i="14"/>
  <c r="F3498" i="14"/>
  <c r="H3498" i="14" s="1"/>
  <c r="G3498" i="14"/>
  <c r="I3498" i="14" s="1"/>
  <c r="K3498" i="14"/>
  <c r="F3499" i="14"/>
  <c r="H3499" i="14" s="1"/>
  <c r="G3499" i="14"/>
  <c r="I3499" i="14" s="1"/>
  <c r="K3499" i="14"/>
  <c r="F3500" i="14"/>
  <c r="H3500" i="14" s="1"/>
  <c r="G3500" i="14"/>
  <c r="I3500" i="14" s="1"/>
  <c r="K3500" i="14"/>
  <c r="F3501" i="14"/>
  <c r="H3501" i="14" s="1"/>
  <c r="G3501" i="14"/>
  <c r="I3501" i="14" s="1"/>
  <c r="K3501" i="14"/>
  <c r="F3502" i="14"/>
  <c r="H3502" i="14" s="1"/>
  <c r="G3502" i="14"/>
  <c r="I3502" i="14" s="1"/>
  <c r="J3502" i="14" s="1"/>
  <c r="K3502" i="14"/>
  <c r="F3503" i="14"/>
  <c r="H3503" i="14" s="1"/>
  <c r="G3503" i="14"/>
  <c r="I3503" i="14"/>
  <c r="K3503" i="14"/>
  <c r="F3504" i="14"/>
  <c r="H3504" i="14" s="1"/>
  <c r="G3504" i="14"/>
  <c r="I3504" i="14" s="1"/>
  <c r="J3504" i="14" s="1"/>
  <c r="K3504" i="14"/>
  <c r="F3505" i="14"/>
  <c r="H3505" i="14" s="1"/>
  <c r="G3505" i="14"/>
  <c r="I3505" i="14" s="1"/>
  <c r="K3505" i="14"/>
  <c r="F3506" i="14"/>
  <c r="H3506" i="14" s="1"/>
  <c r="G3506" i="14"/>
  <c r="I3506" i="14" s="1"/>
  <c r="J3506" i="14" s="1"/>
  <c r="K3506" i="14"/>
  <c r="F3507" i="14"/>
  <c r="H3507" i="14" s="1"/>
  <c r="G3507" i="14"/>
  <c r="I3507" i="14" s="1"/>
  <c r="K3507" i="14"/>
  <c r="F3508" i="14"/>
  <c r="H3508" i="14" s="1"/>
  <c r="G3508" i="14"/>
  <c r="I3508" i="14" s="1"/>
  <c r="K3508" i="14"/>
  <c r="F3509" i="14"/>
  <c r="H3509" i="14" s="1"/>
  <c r="G3509" i="14"/>
  <c r="I3509" i="14" s="1"/>
  <c r="K3509" i="14"/>
  <c r="F3510" i="14"/>
  <c r="H3510" i="14" s="1"/>
  <c r="G3510" i="14"/>
  <c r="I3510" i="14"/>
  <c r="K3510" i="14"/>
  <c r="F3511" i="14"/>
  <c r="H3511" i="14" s="1"/>
  <c r="G3511" i="14"/>
  <c r="I3511" i="14" s="1"/>
  <c r="K3511" i="14"/>
  <c r="F3512" i="14"/>
  <c r="H3512" i="14" s="1"/>
  <c r="G3512" i="14"/>
  <c r="I3512" i="14" s="1"/>
  <c r="K3512" i="14"/>
  <c r="F3513" i="14"/>
  <c r="H3513" i="14" s="1"/>
  <c r="G3513" i="14"/>
  <c r="I3513" i="14" s="1"/>
  <c r="K3513" i="14"/>
  <c r="F3514" i="14"/>
  <c r="H3514" i="14" s="1"/>
  <c r="G3514" i="14"/>
  <c r="I3514" i="14" s="1"/>
  <c r="J3514" i="14" s="1"/>
  <c r="K3514" i="14"/>
  <c r="F3515" i="14"/>
  <c r="H3515" i="14" s="1"/>
  <c r="G3515" i="14"/>
  <c r="I3515" i="14"/>
  <c r="K3515" i="14"/>
  <c r="F3516" i="14"/>
  <c r="H3516" i="14" s="1"/>
  <c r="G3516" i="14"/>
  <c r="I3516" i="14" s="1"/>
  <c r="K3516" i="14"/>
  <c r="F3517" i="14"/>
  <c r="H3517" i="14" s="1"/>
  <c r="G3517" i="14"/>
  <c r="I3517" i="14" s="1"/>
  <c r="K3517" i="14"/>
  <c r="F3518" i="14"/>
  <c r="H3518" i="14" s="1"/>
  <c r="G3518" i="14"/>
  <c r="I3518" i="14" s="1"/>
  <c r="K3518" i="14"/>
  <c r="F3519" i="14"/>
  <c r="H3519" i="14" s="1"/>
  <c r="G3519" i="14"/>
  <c r="I3519" i="14" s="1"/>
  <c r="K3519" i="14"/>
  <c r="F3520" i="14"/>
  <c r="H3520" i="14" s="1"/>
  <c r="G3520" i="14"/>
  <c r="I3520" i="14" s="1"/>
  <c r="K3520" i="14"/>
  <c r="F3521" i="14"/>
  <c r="H3521" i="14" s="1"/>
  <c r="G3521" i="14"/>
  <c r="I3521" i="14" s="1"/>
  <c r="K3521" i="14"/>
  <c r="F3522" i="14"/>
  <c r="H3522" i="14" s="1"/>
  <c r="G3522" i="14"/>
  <c r="I3522" i="14" s="1"/>
  <c r="J3522" i="14" s="1"/>
  <c r="K3522" i="14"/>
  <c r="F3523" i="14"/>
  <c r="H3523" i="14" s="1"/>
  <c r="G3523" i="14"/>
  <c r="I3523" i="14" s="1"/>
  <c r="K3523" i="14"/>
  <c r="F3524" i="14"/>
  <c r="H3524" i="14" s="1"/>
  <c r="G3524" i="14"/>
  <c r="I3524" i="14" s="1"/>
  <c r="J3524" i="14" s="1"/>
  <c r="K3524" i="14"/>
  <c r="F3525" i="14"/>
  <c r="G3525" i="14"/>
  <c r="I3525" i="14" s="1"/>
  <c r="H3525" i="14"/>
  <c r="K3525" i="14"/>
  <c r="F3526" i="14"/>
  <c r="H3526" i="14" s="1"/>
  <c r="G3526" i="14"/>
  <c r="I3526" i="14"/>
  <c r="J3526" i="14" s="1"/>
  <c r="K3526" i="14"/>
  <c r="F3527" i="14"/>
  <c r="H3527" i="14" s="1"/>
  <c r="G3527" i="14"/>
  <c r="I3527" i="14" s="1"/>
  <c r="K3527" i="14"/>
  <c r="F3528" i="14"/>
  <c r="H3528" i="14" s="1"/>
  <c r="G3528" i="14"/>
  <c r="I3528" i="14" s="1"/>
  <c r="K3528" i="14"/>
  <c r="F3529" i="14"/>
  <c r="H3529" i="14" s="1"/>
  <c r="G3529" i="14"/>
  <c r="I3529" i="14" s="1"/>
  <c r="K3529" i="14"/>
  <c r="F3530" i="14"/>
  <c r="H3530" i="14" s="1"/>
  <c r="G3530" i="14"/>
  <c r="I3530" i="14" s="1"/>
  <c r="K3530" i="14"/>
  <c r="F3531" i="14"/>
  <c r="H3531" i="14" s="1"/>
  <c r="G3531" i="14"/>
  <c r="I3531" i="14" s="1"/>
  <c r="K3531" i="14"/>
  <c r="F3532" i="14"/>
  <c r="H3532" i="14" s="1"/>
  <c r="G3532" i="14"/>
  <c r="I3532" i="14" s="1"/>
  <c r="K3532" i="14"/>
  <c r="F3533" i="14"/>
  <c r="H3533" i="14" s="1"/>
  <c r="G3533" i="14"/>
  <c r="I3533" i="14" s="1"/>
  <c r="K3533" i="14"/>
  <c r="F3534" i="14"/>
  <c r="H3534" i="14" s="1"/>
  <c r="G3534" i="14"/>
  <c r="I3534" i="14" s="1"/>
  <c r="K3534" i="14"/>
  <c r="F3535" i="14"/>
  <c r="H3535" i="14" s="1"/>
  <c r="G3535" i="14"/>
  <c r="I3535" i="14" s="1"/>
  <c r="K3535" i="14"/>
  <c r="F3536" i="14"/>
  <c r="H3536" i="14" s="1"/>
  <c r="G3536" i="14"/>
  <c r="I3536" i="14" s="1"/>
  <c r="K3536" i="14"/>
  <c r="F3537" i="14"/>
  <c r="H3537" i="14" s="1"/>
  <c r="G3537" i="14"/>
  <c r="I3537" i="14" s="1"/>
  <c r="K3537" i="14"/>
  <c r="F3538" i="14"/>
  <c r="H3538" i="14" s="1"/>
  <c r="G3538" i="14"/>
  <c r="I3538" i="14" s="1"/>
  <c r="K3538" i="14"/>
  <c r="F3539" i="14"/>
  <c r="H3539" i="14" s="1"/>
  <c r="G3539" i="14"/>
  <c r="I3539" i="14" s="1"/>
  <c r="K3539" i="14"/>
  <c r="F3540" i="14"/>
  <c r="H3540" i="14" s="1"/>
  <c r="G3540" i="14"/>
  <c r="I3540" i="14" s="1"/>
  <c r="K3540" i="14"/>
  <c r="F3541" i="14"/>
  <c r="H3541" i="14" s="1"/>
  <c r="G3541" i="14"/>
  <c r="I3541" i="14" s="1"/>
  <c r="K3541" i="14"/>
  <c r="F3542" i="14"/>
  <c r="H3542" i="14" s="1"/>
  <c r="G3542" i="14"/>
  <c r="I3542" i="14" s="1"/>
  <c r="K3542" i="14"/>
  <c r="F3543" i="14"/>
  <c r="H3543" i="14" s="1"/>
  <c r="G3543" i="14"/>
  <c r="I3543" i="14" s="1"/>
  <c r="K3543" i="14"/>
  <c r="F3544" i="14"/>
  <c r="H3544" i="14" s="1"/>
  <c r="G3544" i="14"/>
  <c r="I3544" i="14" s="1"/>
  <c r="K3544" i="14"/>
  <c r="F3545" i="14"/>
  <c r="H3545" i="14" s="1"/>
  <c r="G3545" i="14"/>
  <c r="I3545" i="14" s="1"/>
  <c r="K3545" i="14"/>
  <c r="F3546" i="14"/>
  <c r="H3546" i="14" s="1"/>
  <c r="G3546" i="14"/>
  <c r="I3546" i="14" s="1"/>
  <c r="K3546" i="14"/>
  <c r="F3547" i="14"/>
  <c r="H3547" i="14" s="1"/>
  <c r="G3547" i="14"/>
  <c r="I3547" i="14" s="1"/>
  <c r="K3547" i="14"/>
  <c r="F3548" i="14"/>
  <c r="H3548" i="14" s="1"/>
  <c r="G3548" i="14"/>
  <c r="I3548" i="14" s="1"/>
  <c r="K3548" i="14"/>
  <c r="F3549" i="14"/>
  <c r="H3549" i="14" s="1"/>
  <c r="G3549" i="14"/>
  <c r="I3549" i="14" s="1"/>
  <c r="K3549" i="14"/>
  <c r="F3550" i="14"/>
  <c r="H3550" i="14" s="1"/>
  <c r="G3550" i="14"/>
  <c r="I3550" i="14" s="1"/>
  <c r="K3550" i="14"/>
  <c r="F3551" i="14"/>
  <c r="H3551" i="14" s="1"/>
  <c r="G3551" i="14"/>
  <c r="I3551" i="14" s="1"/>
  <c r="K3551" i="14"/>
  <c r="F3552" i="14"/>
  <c r="H3552" i="14" s="1"/>
  <c r="G3552" i="14"/>
  <c r="I3552" i="14" s="1"/>
  <c r="K3552" i="14"/>
  <c r="F3553" i="14"/>
  <c r="H3553" i="14" s="1"/>
  <c r="G3553" i="14"/>
  <c r="I3553" i="14" s="1"/>
  <c r="K3553" i="14"/>
  <c r="F3554" i="14"/>
  <c r="H3554" i="14" s="1"/>
  <c r="G3554" i="14"/>
  <c r="I3554" i="14" s="1"/>
  <c r="K3554" i="14"/>
  <c r="F3555" i="14"/>
  <c r="H3555" i="14" s="1"/>
  <c r="G3555" i="14"/>
  <c r="I3555" i="14" s="1"/>
  <c r="K3555" i="14"/>
  <c r="F3556" i="14"/>
  <c r="H3556" i="14" s="1"/>
  <c r="G3556" i="14"/>
  <c r="I3556" i="14" s="1"/>
  <c r="K3556" i="14"/>
  <c r="F3557" i="14"/>
  <c r="H3557" i="14" s="1"/>
  <c r="G3557" i="14"/>
  <c r="I3557" i="14" s="1"/>
  <c r="K3557" i="14"/>
  <c r="F3558" i="14"/>
  <c r="H3558" i="14" s="1"/>
  <c r="G3558" i="14"/>
  <c r="I3558" i="14" s="1"/>
  <c r="K3558" i="14"/>
  <c r="F3559" i="14"/>
  <c r="H3559" i="14" s="1"/>
  <c r="G3559" i="14"/>
  <c r="I3559" i="14" s="1"/>
  <c r="K3559" i="14"/>
  <c r="F3560" i="14"/>
  <c r="H3560" i="14" s="1"/>
  <c r="G3560" i="14"/>
  <c r="I3560" i="14" s="1"/>
  <c r="K3560" i="14"/>
  <c r="F3561" i="14"/>
  <c r="H3561" i="14" s="1"/>
  <c r="G3561" i="14"/>
  <c r="I3561" i="14" s="1"/>
  <c r="K3561" i="14"/>
  <c r="F3562" i="14"/>
  <c r="H3562" i="14" s="1"/>
  <c r="G3562" i="14"/>
  <c r="I3562" i="14" s="1"/>
  <c r="K3562" i="14"/>
  <c r="F3563" i="14"/>
  <c r="H3563" i="14" s="1"/>
  <c r="G3563" i="14"/>
  <c r="I3563" i="14" s="1"/>
  <c r="K3563" i="14"/>
  <c r="F3564" i="14"/>
  <c r="H3564" i="14" s="1"/>
  <c r="G3564" i="14"/>
  <c r="I3564" i="14" s="1"/>
  <c r="K3564" i="14"/>
  <c r="F3565" i="14"/>
  <c r="H3565" i="14" s="1"/>
  <c r="G3565" i="14"/>
  <c r="I3565" i="14" s="1"/>
  <c r="K3565" i="14"/>
  <c r="F3566" i="14"/>
  <c r="H3566" i="14" s="1"/>
  <c r="G3566" i="14"/>
  <c r="I3566" i="14" s="1"/>
  <c r="K3566" i="14"/>
  <c r="F3567" i="14"/>
  <c r="H3567" i="14" s="1"/>
  <c r="G3567" i="14"/>
  <c r="I3567" i="14" s="1"/>
  <c r="K3567" i="14"/>
  <c r="F3568" i="14"/>
  <c r="H3568" i="14" s="1"/>
  <c r="G3568" i="14"/>
  <c r="I3568" i="14" s="1"/>
  <c r="K3568" i="14"/>
  <c r="F3569" i="14"/>
  <c r="H3569" i="14" s="1"/>
  <c r="G3569" i="14"/>
  <c r="I3569" i="14" s="1"/>
  <c r="K3569" i="14"/>
  <c r="F3570" i="14"/>
  <c r="H3570" i="14" s="1"/>
  <c r="G3570" i="14"/>
  <c r="I3570" i="14" s="1"/>
  <c r="K3570" i="14"/>
  <c r="F3571" i="14"/>
  <c r="H3571" i="14" s="1"/>
  <c r="G3571" i="14"/>
  <c r="I3571" i="14" s="1"/>
  <c r="K3571" i="14"/>
  <c r="F3572" i="14"/>
  <c r="H3572" i="14" s="1"/>
  <c r="G3572" i="14"/>
  <c r="I3572" i="14" s="1"/>
  <c r="K3572" i="14"/>
  <c r="F3573" i="14"/>
  <c r="H3573" i="14" s="1"/>
  <c r="G3573" i="14"/>
  <c r="I3573" i="14" s="1"/>
  <c r="K3573" i="14"/>
  <c r="F3574" i="14"/>
  <c r="H3574" i="14" s="1"/>
  <c r="G3574" i="14"/>
  <c r="I3574" i="14" s="1"/>
  <c r="K3574" i="14"/>
  <c r="F3575" i="14"/>
  <c r="H3575" i="14" s="1"/>
  <c r="G3575" i="14"/>
  <c r="I3575" i="14" s="1"/>
  <c r="K3575" i="14"/>
  <c r="F3576" i="14"/>
  <c r="H3576" i="14" s="1"/>
  <c r="G3576" i="14"/>
  <c r="I3576" i="14" s="1"/>
  <c r="K3576" i="14"/>
  <c r="F3577" i="14"/>
  <c r="H3577" i="14" s="1"/>
  <c r="G3577" i="14"/>
  <c r="I3577" i="14" s="1"/>
  <c r="K3577" i="14"/>
  <c r="F3578" i="14"/>
  <c r="H3578" i="14" s="1"/>
  <c r="G3578" i="14"/>
  <c r="I3578" i="14" s="1"/>
  <c r="K3578" i="14"/>
  <c r="F3579" i="14"/>
  <c r="H3579" i="14" s="1"/>
  <c r="G3579" i="14"/>
  <c r="I3579" i="14" s="1"/>
  <c r="K3579" i="14"/>
  <c r="F3580" i="14"/>
  <c r="H3580" i="14" s="1"/>
  <c r="G3580" i="14"/>
  <c r="I3580" i="14" s="1"/>
  <c r="K3580" i="14"/>
  <c r="F3581" i="14"/>
  <c r="H3581" i="14" s="1"/>
  <c r="G3581" i="14"/>
  <c r="I3581" i="14" s="1"/>
  <c r="K3581" i="14"/>
  <c r="F3582" i="14"/>
  <c r="H3582" i="14" s="1"/>
  <c r="G3582" i="14"/>
  <c r="I3582" i="14" s="1"/>
  <c r="K3582" i="14"/>
  <c r="F3583" i="14"/>
  <c r="H3583" i="14" s="1"/>
  <c r="G3583" i="14"/>
  <c r="I3583" i="14" s="1"/>
  <c r="K3583" i="14"/>
  <c r="F3584" i="14"/>
  <c r="H3584" i="14" s="1"/>
  <c r="G3584" i="14"/>
  <c r="I3584" i="14" s="1"/>
  <c r="K3584" i="14"/>
  <c r="F3585" i="14"/>
  <c r="H3585" i="14" s="1"/>
  <c r="G3585" i="14"/>
  <c r="I3585" i="14" s="1"/>
  <c r="K3585" i="14"/>
  <c r="F3586" i="14"/>
  <c r="H3586" i="14" s="1"/>
  <c r="G3586" i="14"/>
  <c r="I3586" i="14" s="1"/>
  <c r="K3586" i="14"/>
  <c r="F3587" i="14"/>
  <c r="H3587" i="14" s="1"/>
  <c r="G3587" i="14"/>
  <c r="I3587" i="14" s="1"/>
  <c r="K3587" i="14"/>
  <c r="F3588" i="14"/>
  <c r="H3588" i="14" s="1"/>
  <c r="G3588" i="14"/>
  <c r="I3588" i="14" s="1"/>
  <c r="K3588" i="14"/>
  <c r="F3589" i="14"/>
  <c r="H3589" i="14" s="1"/>
  <c r="G3589" i="14"/>
  <c r="I3589" i="14" s="1"/>
  <c r="K3589" i="14"/>
  <c r="F3590" i="14"/>
  <c r="H3590" i="14" s="1"/>
  <c r="G3590" i="14"/>
  <c r="I3590" i="14" s="1"/>
  <c r="K3590" i="14"/>
  <c r="F3591" i="14"/>
  <c r="H3591" i="14" s="1"/>
  <c r="G3591" i="14"/>
  <c r="I3591" i="14" s="1"/>
  <c r="K3591" i="14"/>
  <c r="F3592" i="14"/>
  <c r="H3592" i="14" s="1"/>
  <c r="G3592" i="14"/>
  <c r="I3592" i="14" s="1"/>
  <c r="K3592" i="14"/>
  <c r="F3593" i="14"/>
  <c r="H3593" i="14" s="1"/>
  <c r="G3593" i="14"/>
  <c r="I3593" i="14" s="1"/>
  <c r="K3593" i="14"/>
  <c r="F3594" i="14"/>
  <c r="H3594" i="14" s="1"/>
  <c r="G3594" i="14"/>
  <c r="I3594" i="14" s="1"/>
  <c r="K3594" i="14"/>
  <c r="F3595" i="14"/>
  <c r="H3595" i="14" s="1"/>
  <c r="G3595" i="14"/>
  <c r="I3595" i="14" s="1"/>
  <c r="K3595" i="14"/>
  <c r="F3596" i="14"/>
  <c r="H3596" i="14" s="1"/>
  <c r="G3596" i="14"/>
  <c r="I3596" i="14" s="1"/>
  <c r="K3596" i="14"/>
  <c r="F3597" i="14"/>
  <c r="H3597" i="14" s="1"/>
  <c r="G3597" i="14"/>
  <c r="I3597" i="14" s="1"/>
  <c r="K3597" i="14"/>
  <c r="F3598" i="14"/>
  <c r="H3598" i="14" s="1"/>
  <c r="G3598" i="14"/>
  <c r="I3598" i="14" s="1"/>
  <c r="K3598" i="14"/>
  <c r="F3599" i="14"/>
  <c r="H3599" i="14" s="1"/>
  <c r="G3599" i="14"/>
  <c r="I3599" i="14" s="1"/>
  <c r="K3599" i="14"/>
  <c r="F3600" i="14"/>
  <c r="H3600" i="14" s="1"/>
  <c r="G3600" i="14"/>
  <c r="I3600" i="14" s="1"/>
  <c r="K3600" i="14"/>
  <c r="F3601" i="14"/>
  <c r="H3601" i="14" s="1"/>
  <c r="G3601" i="14"/>
  <c r="I3601" i="14" s="1"/>
  <c r="K3601" i="14"/>
  <c r="F3602" i="14"/>
  <c r="H3602" i="14" s="1"/>
  <c r="G3602" i="14"/>
  <c r="I3602" i="14" s="1"/>
  <c r="K3602" i="14"/>
  <c r="F3603" i="14"/>
  <c r="H3603" i="14" s="1"/>
  <c r="G3603" i="14"/>
  <c r="I3603" i="14" s="1"/>
  <c r="K3603" i="14"/>
  <c r="F3604" i="14"/>
  <c r="H3604" i="14" s="1"/>
  <c r="G3604" i="14"/>
  <c r="I3604" i="14" s="1"/>
  <c r="K3604" i="14"/>
  <c r="F3605" i="14"/>
  <c r="H3605" i="14" s="1"/>
  <c r="G3605" i="14"/>
  <c r="I3605" i="14" s="1"/>
  <c r="K3605" i="14"/>
  <c r="F3606" i="14"/>
  <c r="H3606" i="14" s="1"/>
  <c r="G3606" i="14"/>
  <c r="I3606" i="14" s="1"/>
  <c r="K3606" i="14"/>
  <c r="F3607" i="14"/>
  <c r="H3607" i="14" s="1"/>
  <c r="G3607" i="14"/>
  <c r="I3607" i="14" s="1"/>
  <c r="K3607" i="14"/>
  <c r="F3608" i="14"/>
  <c r="H3608" i="14" s="1"/>
  <c r="G3608" i="14"/>
  <c r="I3608" i="14" s="1"/>
  <c r="K3608" i="14"/>
  <c r="F3609" i="14"/>
  <c r="H3609" i="14" s="1"/>
  <c r="G3609" i="14"/>
  <c r="I3609" i="14" s="1"/>
  <c r="K3609" i="14"/>
  <c r="F3610" i="14"/>
  <c r="H3610" i="14" s="1"/>
  <c r="G3610" i="14"/>
  <c r="I3610" i="14" s="1"/>
  <c r="K3610" i="14"/>
  <c r="F3611" i="14"/>
  <c r="H3611" i="14" s="1"/>
  <c r="G3611" i="14"/>
  <c r="I3611" i="14" s="1"/>
  <c r="K3611" i="14"/>
  <c r="F3612" i="14"/>
  <c r="H3612" i="14" s="1"/>
  <c r="G3612" i="14"/>
  <c r="I3612" i="14" s="1"/>
  <c r="K3612" i="14"/>
  <c r="F3613" i="14"/>
  <c r="H3613" i="14" s="1"/>
  <c r="G3613" i="14"/>
  <c r="I3613" i="14" s="1"/>
  <c r="K3613" i="14"/>
  <c r="F3614" i="14"/>
  <c r="H3614" i="14" s="1"/>
  <c r="G3614" i="14"/>
  <c r="I3614" i="14" s="1"/>
  <c r="K3614" i="14"/>
  <c r="F3615" i="14"/>
  <c r="H3615" i="14" s="1"/>
  <c r="G3615" i="14"/>
  <c r="I3615" i="14" s="1"/>
  <c r="K3615" i="14"/>
  <c r="F3616" i="14"/>
  <c r="H3616" i="14" s="1"/>
  <c r="G3616" i="14"/>
  <c r="I3616" i="14" s="1"/>
  <c r="K3616" i="14"/>
  <c r="F3617" i="14"/>
  <c r="H3617" i="14" s="1"/>
  <c r="G3617" i="14"/>
  <c r="I3617" i="14" s="1"/>
  <c r="K3617" i="14"/>
  <c r="F3618" i="14"/>
  <c r="H3618" i="14" s="1"/>
  <c r="G3618" i="14"/>
  <c r="I3618" i="14" s="1"/>
  <c r="K3618" i="14"/>
  <c r="F3619" i="14"/>
  <c r="H3619" i="14" s="1"/>
  <c r="G3619" i="14"/>
  <c r="I3619" i="14" s="1"/>
  <c r="K3619" i="14"/>
  <c r="F3620" i="14"/>
  <c r="H3620" i="14" s="1"/>
  <c r="G3620" i="14"/>
  <c r="I3620" i="14" s="1"/>
  <c r="K3620" i="14"/>
  <c r="F3621" i="14"/>
  <c r="H3621" i="14" s="1"/>
  <c r="G3621" i="14"/>
  <c r="I3621" i="14" s="1"/>
  <c r="K3621" i="14"/>
  <c r="F3622" i="14"/>
  <c r="H3622" i="14" s="1"/>
  <c r="G3622" i="14"/>
  <c r="I3622" i="14" s="1"/>
  <c r="K3622" i="14"/>
  <c r="F3623" i="14"/>
  <c r="H3623" i="14" s="1"/>
  <c r="G3623" i="14"/>
  <c r="I3623" i="14" s="1"/>
  <c r="K3623" i="14"/>
  <c r="F3624" i="14"/>
  <c r="H3624" i="14" s="1"/>
  <c r="G3624" i="14"/>
  <c r="I3624" i="14" s="1"/>
  <c r="K3624" i="14"/>
  <c r="F3625" i="14"/>
  <c r="H3625" i="14" s="1"/>
  <c r="G3625" i="14"/>
  <c r="I3625" i="14" s="1"/>
  <c r="K3625" i="14"/>
  <c r="F3626" i="14"/>
  <c r="H3626" i="14" s="1"/>
  <c r="G3626" i="14"/>
  <c r="I3626" i="14" s="1"/>
  <c r="K3626" i="14"/>
  <c r="F3627" i="14"/>
  <c r="H3627" i="14" s="1"/>
  <c r="G3627" i="14"/>
  <c r="I3627" i="14" s="1"/>
  <c r="K3627" i="14"/>
  <c r="F3628" i="14"/>
  <c r="H3628" i="14" s="1"/>
  <c r="G3628" i="14"/>
  <c r="I3628" i="14" s="1"/>
  <c r="K3628" i="14"/>
  <c r="F3629" i="14"/>
  <c r="H3629" i="14" s="1"/>
  <c r="G3629" i="14"/>
  <c r="I3629" i="14" s="1"/>
  <c r="K3629" i="14"/>
  <c r="F3630" i="14"/>
  <c r="H3630" i="14" s="1"/>
  <c r="G3630" i="14"/>
  <c r="I3630" i="14" s="1"/>
  <c r="K3630" i="14"/>
  <c r="F3631" i="14"/>
  <c r="H3631" i="14" s="1"/>
  <c r="G3631" i="14"/>
  <c r="I3631" i="14" s="1"/>
  <c r="K3631" i="14"/>
  <c r="F3632" i="14"/>
  <c r="H3632" i="14" s="1"/>
  <c r="G3632" i="14"/>
  <c r="I3632" i="14" s="1"/>
  <c r="K3632" i="14"/>
  <c r="F3633" i="14"/>
  <c r="H3633" i="14" s="1"/>
  <c r="G3633" i="14"/>
  <c r="I3633" i="14" s="1"/>
  <c r="K3633" i="14"/>
  <c r="F3634" i="14"/>
  <c r="H3634" i="14" s="1"/>
  <c r="G3634" i="14"/>
  <c r="I3634" i="14" s="1"/>
  <c r="K3634" i="14"/>
  <c r="F3635" i="14"/>
  <c r="H3635" i="14" s="1"/>
  <c r="G3635" i="14"/>
  <c r="I3635" i="14" s="1"/>
  <c r="K3635" i="14"/>
  <c r="F3636" i="14"/>
  <c r="H3636" i="14" s="1"/>
  <c r="G3636" i="14"/>
  <c r="I3636" i="14" s="1"/>
  <c r="K3636" i="14"/>
  <c r="F3637" i="14"/>
  <c r="H3637" i="14" s="1"/>
  <c r="G3637" i="14"/>
  <c r="I3637" i="14" s="1"/>
  <c r="K3637" i="14"/>
  <c r="F3638" i="14"/>
  <c r="H3638" i="14" s="1"/>
  <c r="G3638" i="14"/>
  <c r="I3638" i="14" s="1"/>
  <c r="K3638" i="14"/>
  <c r="F3639" i="14"/>
  <c r="H3639" i="14" s="1"/>
  <c r="G3639" i="14"/>
  <c r="I3639" i="14" s="1"/>
  <c r="K3639" i="14"/>
  <c r="F3640" i="14"/>
  <c r="H3640" i="14" s="1"/>
  <c r="G3640" i="14"/>
  <c r="I3640" i="14" s="1"/>
  <c r="K3640" i="14"/>
  <c r="F3641" i="14"/>
  <c r="H3641" i="14" s="1"/>
  <c r="G3641" i="14"/>
  <c r="I3641" i="14" s="1"/>
  <c r="K3641" i="14"/>
  <c r="F3642" i="14"/>
  <c r="H3642" i="14" s="1"/>
  <c r="G3642" i="14"/>
  <c r="I3642" i="14" s="1"/>
  <c r="K3642" i="14"/>
  <c r="F3643" i="14"/>
  <c r="H3643" i="14" s="1"/>
  <c r="G3643" i="14"/>
  <c r="I3643" i="14" s="1"/>
  <c r="K3643" i="14"/>
  <c r="F3644" i="14"/>
  <c r="H3644" i="14" s="1"/>
  <c r="G3644" i="14"/>
  <c r="I3644" i="14" s="1"/>
  <c r="K3644" i="14"/>
  <c r="F3645" i="14"/>
  <c r="H3645" i="14" s="1"/>
  <c r="G3645" i="14"/>
  <c r="I3645" i="14" s="1"/>
  <c r="K3645" i="14"/>
  <c r="F3646" i="14"/>
  <c r="H3646" i="14" s="1"/>
  <c r="G3646" i="14"/>
  <c r="I3646" i="14" s="1"/>
  <c r="K3646" i="14"/>
  <c r="F3647" i="14"/>
  <c r="H3647" i="14" s="1"/>
  <c r="G3647" i="14"/>
  <c r="I3647" i="14" s="1"/>
  <c r="K3647" i="14"/>
  <c r="F3648" i="14"/>
  <c r="H3648" i="14" s="1"/>
  <c r="G3648" i="14"/>
  <c r="I3648" i="14" s="1"/>
  <c r="K3648" i="14"/>
  <c r="F3649" i="14"/>
  <c r="H3649" i="14" s="1"/>
  <c r="G3649" i="14"/>
  <c r="I3649" i="14" s="1"/>
  <c r="K3649" i="14"/>
  <c r="F3650" i="14"/>
  <c r="H3650" i="14" s="1"/>
  <c r="G3650" i="14"/>
  <c r="I3650" i="14" s="1"/>
  <c r="K3650" i="14"/>
  <c r="F3651" i="14"/>
  <c r="H3651" i="14" s="1"/>
  <c r="G3651" i="14"/>
  <c r="I3651" i="14" s="1"/>
  <c r="K3651" i="14"/>
  <c r="F3652" i="14"/>
  <c r="H3652" i="14" s="1"/>
  <c r="G3652" i="14"/>
  <c r="I3652" i="14" s="1"/>
  <c r="K3652" i="14"/>
  <c r="F3653" i="14"/>
  <c r="H3653" i="14" s="1"/>
  <c r="G3653" i="14"/>
  <c r="I3653" i="14" s="1"/>
  <c r="K3653" i="14"/>
  <c r="F3654" i="14"/>
  <c r="H3654" i="14" s="1"/>
  <c r="G3654" i="14"/>
  <c r="I3654" i="14" s="1"/>
  <c r="K3654" i="14"/>
  <c r="F3655" i="14"/>
  <c r="H3655" i="14" s="1"/>
  <c r="G3655" i="14"/>
  <c r="I3655" i="14" s="1"/>
  <c r="K3655" i="14"/>
  <c r="F3656" i="14"/>
  <c r="H3656" i="14" s="1"/>
  <c r="G3656" i="14"/>
  <c r="I3656" i="14" s="1"/>
  <c r="K3656" i="14"/>
  <c r="F3657" i="14"/>
  <c r="H3657" i="14" s="1"/>
  <c r="G3657" i="14"/>
  <c r="I3657" i="14" s="1"/>
  <c r="K3657" i="14"/>
  <c r="F3658" i="14"/>
  <c r="H3658" i="14" s="1"/>
  <c r="G3658" i="14"/>
  <c r="I3658" i="14" s="1"/>
  <c r="K3658" i="14"/>
  <c r="F3659" i="14"/>
  <c r="H3659" i="14" s="1"/>
  <c r="G3659" i="14"/>
  <c r="I3659" i="14" s="1"/>
  <c r="K3659" i="14"/>
  <c r="F3660" i="14"/>
  <c r="H3660" i="14" s="1"/>
  <c r="G3660" i="14"/>
  <c r="I3660" i="14" s="1"/>
  <c r="K3660" i="14"/>
  <c r="F3661" i="14"/>
  <c r="H3661" i="14" s="1"/>
  <c r="G3661" i="14"/>
  <c r="I3661" i="14" s="1"/>
  <c r="K3661" i="14"/>
  <c r="F3662" i="14"/>
  <c r="H3662" i="14" s="1"/>
  <c r="G3662" i="14"/>
  <c r="I3662" i="14" s="1"/>
  <c r="K3662" i="14"/>
  <c r="F3663" i="14"/>
  <c r="H3663" i="14" s="1"/>
  <c r="G3663" i="14"/>
  <c r="I3663" i="14" s="1"/>
  <c r="K3663" i="14"/>
  <c r="F3664" i="14"/>
  <c r="H3664" i="14" s="1"/>
  <c r="G3664" i="14"/>
  <c r="I3664" i="14" s="1"/>
  <c r="K3664" i="14"/>
  <c r="F3665" i="14"/>
  <c r="H3665" i="14" s="1"/>
  <c r="G3665" i="14"/>
  <c r="I3665" i="14" s="1"/>
  <c r="K3665" i="14"/>
  <c r="F3666" i="14"/>
  <c r="H3666" i="14" s="1"/>
  <c r="G3666" i="14"/>
  <c r="I3666" i="14" s="1"/>
  <c r="K3666" i="14"/>
  <c r="F3667" i="14"/>
  <c r="H3667" i="14" s="1"/>
  <c r="G3667" i="14"/>
  <c r="I3667" i="14" s="1"/>
  <c r="K3667" i="14"/>
  <c r="F3668" i="14"/>
  <c r="H3668" i="14" s="1"/>
  <c r="G3668" i="14"/>
  <c r="I3668" i="14" s="1"/>
  <c r="K3668" i="14"/>
  <c r="F3669" i="14"/>
  <c r="H3669" i="14" s="1"/>
  <c r="G3669" i="14"/>
  <c r="I3669" i="14" s="1"/>
  <c r="K3669" i="14"/>
  <c r="F3670" i="14"/>
  <c r="H3670" i="14" s="1"/>
  <c r="G3670" i="14"/>
  <c r="I3670" i="14" s="1"/>
  <c r="K3670" i="14"/>
  <c r="F3671" i="14"/>
  <c r="H3671" i="14" s="1"/>
  <c r="G3671" i="14"/>
  <c r="I3671" i="14" s="1"/>
  <c r="K3671" i="14"/>
  <c r="F3672" i="14"/>
  <c r="H3672" i="14" s="1"/>
  <c r="G3672" i="14"/>
  <c r="I3672" i="14" s="1"/>
  <c r="K3672" i="14"/>
  <c r="F3673" i="14"/>
  <c r="H3673" i="14" s="1"/>
  <c r="G3673" i="14"/>
  <c r="I3673" i="14" s="1"/>
  <c r="K3673" i="14"/>
  <c r="F3674" i="14"/>
  <c r="H3674" i="14" s="1"/>
  <c r="G3674" i="14"/>
  <c r="I3674" i="14" s="1"/>
  <c r="K3674" i="14"/>
  <c r="F3675" i="14"/>
  <c r="H3675" i="14" s="1"/>
  <c r="G3675" i="14"/>
  <c r="I3675" i="14" s="1"/>
  <c r="K3675" i="14"/>
  <c r="F3676" i="14"/>
  <c r="H3676" i="14" s="1"/>
  <c r="G3676" i="14"/>
  <c r="I3676" i="14" s="1"/>
  <c r="K3676" i="14"/>
  <c r="F3677" i="14"/>
  <c r="H3677" i="14" s="1"/>
  <c r="G3677" i="14"/>
  <c r="I3677" i="14" s="1"/>
  <c r="K3677" i="14"/>
  <c r="F3678" i="14"/>
  <c r="H3678" i="14" s="1"/>
  <c r="G3678" i="14"/>
  <c r="I3678" i="14" s="1"/>
  <c r="K3678" i="14"/>
  <c r="F3679" i="14"/>
  <c r="H3679" i="14" s="1"/>
  <c r="G3679" i="14"/>
  <c r="I3679" i="14" s="1"/>
  <c r="K3679" i="14"/>
  <c r="F3680" i="14"/>
  <c r="H3680" i="14" s="1"/>
  <c r="G3680" i="14"/>
  <c r="I3680" i="14" s="1"/>
  <c r="K3680" i="14"/>
  <c r="F3681" i="14"/>
  <c r="H3681" i="14" s="1"/>
  <c r="G3681" i="14"/>
  <c r="I3681" i="14" s="1"/>
  <c r="K3681" i="14"/>
  <c r="F3682" i="14"/>
  <c r="H3682" i="14" s="1"/>
  <c r="G3682" i="14"/>
  <c r="I3682" i="14" s="1"/>
  <c r="K3682" i="14"/>
  <c r="F3683" i="14"/>
  <c r="H3683" i="14" s="1"/>
  <c r="G3683" i="14"/>
  <c r="I3683" i="14" s="1"/>
  <c r="K3683" i="14"/>
  <c r="F3684" i="14"/>
  <c r="H3684" i="14" s="1"/>
  <c r="G3684" i="14"/>
  <c r="I3684" i="14" s="1"/>
  <c r="K3684" i="14"/>
  <c r="F3685" i="14"/>
  <c r="H3685" i="14" s="1"/>
  <c r="G3685" i="14"/>
  <c r="I3685" i="14" s="1"/>
  <c r="K3685" i="14"/>
  <c r="F3686" i="14"/>
  <c r="H3686" i="14" s="1"/>
  <c r="G3686" i="14"/>
  <c r="I3686" i="14" s="1"/>
  <c r="K3686" i="14"/>
  <c r="F3687" i="14"/>
  <c r="H3687" i="14" s="1"/>
  <c r="G3687" i="14"/>
  <c r="I3687" i="14" s="1"/>
  <c r="K3687" i="14"/>
  <c r="F3688" i="14"/>
  <c r="H3688" i="14" s="1"/>
  <c r="G3688" i="14"/>
  <c r="I3688" i="14" s="1"/>
  <c r="K3688" i="14"/>
  <c r="F3689" i="14"/>
  <c r="H3689" i="14" s="1"/>
  <c r="G3689" i="14"/>
  <c r="I3689" i="14" s="1"/>
  <c r="K3689" i="14"/>
  <c r="F3690" i="14"/>
  <c r="H3690" i="14" s="1"/>
  <c r="G3690" i="14"/>
  <c r="I3690" i="14" s="1"/>
  <c r="K3690" i="14"/>
  <c r="F3691" i="14"/>
  <c r="H3691" i="14" s="1"/>
  <c r="G3691" i="14"/>
  <c r="I3691" i="14" s="1"/>
  <c r="K3691" i="14"/>
  <c r="F3692" i="14"/>
  <c r="H3692" i="14" s="1"/>
  <c r="G3692" i="14"/>
  <c r="I3692" i="14" s="1"/>
  <c r="K3692" i="14"/>
  <c r="F3693" i="14"/>
  <c r="H3693" i="14" s="1"/>
  <c r="G3693" i="14"/>
  <c r="I3693" i="14" s="1"/>
  <c r="K3693" i="14"/>
  <c r="F3694" i="14"/>
  <c r="H3694" i="14" s="1"/>
  <c r="G3694" i="14"/>
  <c r="I3694" i="14" s="1"/>
  <c r="K3694" i="14"/>
  <c r="F3695" i="14"/>
  <c r="H3695" i="14" s="1"/>
  <c r="G3695" i="14"/>
  <c r="I3695" i="14" s="1"/>
  <c r="K3695" i="14"/>
  <c r="F3696" i="14"/>
  <c r="H3696" i="14" s="1"/>
  <c r="G3696" i="14"/>
  <c r="I3696" i="14" s="1"/>
  <c r="K3696" i="14"/>
  <c r="F3697" i="14"/>
  <c r="H3697" i="14" s="1"/>
  <c r="G3697" i="14"/>
  <c r="I3697" i="14" s="1"/>
  <c r="K3697" i="14"/>
  <c r="F3698" i="14"/>
  <c r="H3698" i="14" s="1"/>
  <c r="G3698" i="14"/>
  <c r="I3698" i="14" s="1"/>
  <c r="K3698" i="14"/>
  <c r="F3699" i="14"/>
  <c r="H3699" i="14" s="1"/>
  <c r="G3699" i="14"/>
  <c r="I3699" i="14" s="1"/>
  <c r="K3699" i="14"/>
  <c r="F3700" i="14"/>
  <c r="H3700" i="14" s="1"/>
  <c r="G3700" i="14"/>
  <c r="I3700" i="14" s="1"/>
  <c r="K3700" i="14"/>
  <c r="F3701" i="14"/>
  <c r="H3701" i="14" s="1"/>
  <c r="G3701" i="14"/>
  <c r="I3701" i="14" s="1"/>
  <c r="K3701" i="14"/>
  <c r="F3702" i="14"/>
  <c r="H3702" i="14" s="1"/>
  <c r="G3702" i="14"/>
  <c r="I3702" i="14" s="1"/>
  <c r="K3702" i="14"/>
  <c r="F3703" i="14"/>
  <c r="H3703" i="14" s="1"/>
  <c r="G3703" i="14"/>
  <c r="I3703" i="14" s="1"/>
  <c r="K3703" i="14"/>
  <c r="F3704" i="14"/>
  <c r="H3704" i="14" s="1"/>
  <c r="G3704" i="14"/>
  <c r="I3704" i="14" s="1"/>
  <c r="K3704" i="14"/>
  <c r="F3705" i="14"/>
  <c r="H3705" i="14" s="1"/>
  <c r="G3705" i="14"/>
  <c r="I3705" i="14" s="1"/>
  <c r="K3705" i="14"/>
  <c r="F3706" i="14"/>
  <c r="H3706" i="14" s="1"/>
  <c r="G3706" i="14"/>
  <c r="I3706" i="14" s="1"/>
  <c r="K3706" i="14"/>
  <c r="F3707" i="14"/>
  <c r="H3707" i="14" s="1"/>
  <c r="G3707" i="14"/>
  <c r="I3707" i="14" s="1"/>
  <c r="K3707" i="14"/>
  <c r="F3708" i="14"/>
  <c r="H3708" i="14" s="1"/>
  <c r="G3708" i="14"/>
  <c r="I3708" i="14" s="1"/>
  <c r="K3708" i="14"/>
  <c r="F3709" i="14"/>
  <c r="H3709" i="14" s="1"/>
  <c r="G3709" i="14"/>
  <c r="I3709" i="14" s="1"/>
  <c r="K3709" i="14"/>
  <c r="F3710" i="14"/>
  <c r="H3710" i="14" s="1"/>
  <c r="G3710" i="14"/>
  <c r="I3710" i="14" s="1"/>
  <c r="K3710" i="14"/>
  <c r="F3711" i="14"/>
  <c r="H3711" i="14" s="1"/>
  <c r="G3711" i="14"/>
  <c r="I3711" i="14" s="1"/>
  <c r="K3711" i="14"/>
  <c r="F3712" i="14"/>
  <c r="H3712" i="14" s="1"/>
  <c r="G3712" i="14"/>
  <c r="I3712" i="14" s="1"/>
  <c r="K3712" i="14"/>
  <c r="F3713" i="14"/>
  <c r="H3713" i="14" s="1"/>
  <c r="G3713" i="14"/>
  <c r="I3713" i="14" s="1"/>
  <c r="K3713" i="14"/>
  <c r="F3714" i="14"/>
  <c r="H3714" i="14" s="1"/>
  <c r="G3714" i="14"/>
  <c r="I3714" i="14" s="1"/>
  <c r="K3714" i="14"/>
  <c r="F3715" i="14"/>
  <c r="H3715" i="14" s="1"/>
  <c r="G3715" i="14"/>
  <c r="I3715" i="14" s="1"/>
  <c r="K3715" i="14"/>
  <c r="F3716" i="14"/>
  <c r="H3716" i="14" s="1"/>
  <c r="G3716" i="14"/>
  <c r="I3716" i="14" s="1"/>
  <c r="K3716" i="14"/>
  <c r="F3717" i="14"/>
  <c r="H3717" i="14" s="1"/>
  <c r="G3717" i="14"/>
  <c r="I3717" i="14" s="1"/>
  <c r="K3717" i="14"/>
  <c r="F3718" i="14"/>
  <c r="H3718" i="14" s="1"/>
  <c r="G3718" i="14"/>
  <c r="I3718" i="14" s="1"/>
  <c r="K3718" i="14"/>
  <c r="F3719" i="14"/>
  <c r="H3719" i="14" s="1"/>
  <c r="G3719" i="14"/>
  <c r="I3719" i="14" s="1"/>
  <c r="K3719" i="14"/>
  <c r="F3720" i="14"/>
  <c r="H3720" i="14" s="1"/>
  <c r="G3720" i="14"/>
  <c r="I3720" i="14" s="1"/>
  <c r="K3720" i="14"/>
  <c r="F3721" i="14"/>
  <c r="H3721" i="14" s="1"/>
  <c r="G3721" i="14"/>
  <c r="I3721" i="14" s="1"/>
  <c r="K3721" i="14"/>
  <c r="F3722" i="14"/>
  <c r="H3722" i="14" s="1"/>
  <c r="G3722" i="14"/>
  <c r="I3722" i="14" s="1"/>
  <c r="K3722" i="14"/>
  <c r="F3723" i="14"/>
  <c r="H3723" i="14" s="1"/>
  <c r="G3723" i="14"/>
  <c r="I3723" i="14" s="1"/>
  <c r="K3723" i="14"/>
  <c r="F3724" i="14"/>
  <c r="H3724" i="14" s="1"/>
  <c r="G3724" i="14"/>
  <c r="I3724" i="14" s="1"/>
  <c r="K3724" i="14"/>
  <c r="F3725" i="14"/>
  <c r="H3725" i="14" s="1"/>
  <c r="G3725" i="14"/>
  <c r="I3725" i="14" s="1"/>
  <c r="K3725" i="14"/>
  <c r="F3726" i="14"/>
  <c r="H3726" i="14" s="1"/>
  <c r="G3726" i="14"/>
  <c r="I3726" i="14" s="1"/>
  <c r="K3726" i="14"/>
  <c r="F3727" i="14"/>
  <c r="H3727" i="14" s="1"/>
  <c r="G3727" i="14"/>
  <c r="I3727" i="14" s="1"/>
  <c r="K3727" i="14"/>
  <c r="F3728" i="14"/>
  <c r="H3728" i="14" s="1"/>
  <c r="G3728" i="14"/>
  <c r="I3728" i="14" s="1"/>
  <c r="K3728" i="14"/>
  <c r="F3729" i="14"/>
  <c r="H3729" i="14" s="1"/>
  <c r="G3729" i="14"/>
  <c r="I3729" i="14" s="1"/>
  <c r="K3729" i="14"/>
  <c r="F3730" i="14"/>
  <c r="H3730" i="14" s="1"/>
  <c r="G3730" i="14"/>
  <c r="I3730" i="14" s="1"/>
  <c r="K3730" i="14"/>
  <c r="F3731" i="14"/>
  <c r="H3731" i="14" s="1"/>
  <c r="G3731" i="14"/>
  <c r="I3731" i="14" s="1"/>
  <c r="K3731" i="14"/>
  <c r="F3732" i="14"/>
  <c r="H3732" i="14" s="1"/>
  <c r="G3732" i="14"/>
  <c r="I3732" i="14" s="1"/>
  <c r="K3732" i="14"/>
  <c r="F3733" i="14"/>
  <c r="H3733" i="14" s="1"/>
  <c r="G3733" i="14"/>
  <c r="I3733" i="14" s="1"/>
  <c r="K3733" i="14"/>
  <c r="F3734" i="14"/>
  <c r="H3734" i="14" s="1"/>
  <c r="G3734" i="14"/>
  <c r="I3734" i="14" s="1"/>
  <c r="K3734" i="14"/>
  <c r="F3735" i="14"/>
  <c r="H3735" i="14" s="1"/>
  <c r="G3735" i="14"/>
  <c r="I3735" i="14" s="1"/>
  <c r="K3735" i="14"/>
  <c r="F3736" i="14"/>
  <c r="H3736" i="14" s="1"/>
  <c r="G3736" i="14"/>
  <c r="I3736" i="14" s="1"/>
  <c r="K3736" i="14"/>
  <c r="F3737" i="14"/>
  <c r="H3737" i="14" s="1"/>
  <c r="G3737" i="14"/>
  <c r="I3737" i="14" s="1"/>
  <c r="K3737" i="14"/>
  <c r="F3738" i="14"/>
  <c r="H3738" i="14" s="1"/>
  <c r="G3738" i="14"/>
  <c r="I3738" i="14" s="1"/>
  <c r="K3738" i="14"/>
  <c r="F3739" i="14"/>
  <c r="H3739" i="14" s="1"/>
  <c r="G3739" i="14"/>
  <c r="I3739" i="14" s="1"/>
  <c r="K3739" i="14"/>
  <c r="F3740" i="14"/>
  <c r="H3740" i="14" s="1"/>
  <c r="G3740" i="14"/>
  <c r="I3740" i="14" s="1"/>
  <c r="K3740" i="14"/>
  <c r="F3741" i="14"/>
  <c r="H3741" i="14" s="1"/>
  <c r="G3741" i="14"/>
  <c r="I3741" i="14" s="1"/>
  <c r="K3741" i="14"/>
  <c r="F3742" i="14"/>
  <c r="H3742" i="14" s="1"/>
  <c r="G3742" i="14"/>
  <c r="I3742" i="14" s="1"/>
  <c r="K3742" i="14"/>
  <c r="F3743" i="14"/>
  <c r="H3743" i="14" s="1"/>
  <c r="G3743" i="14"/>
  <c r="I3743" i="14" s="1"/>
  <c r="K3743" i="14"/>
  <c r="F3744" i="14"/>
  <c r="H3744" i="14" s="1"/>
  <c r="G3744" i="14"/>
  <c r="I3744" i="14" s="1"/>
  <c r="K3744" i="14"/>
  <c r="F3745" i="14"/>
  <c r="H3745" i="14" s="1"/>
  <c r="G3745" i="14"/>
  <c r="I3745" i="14" s="1"/>
  <c r="K3745" i="14"/>
  <c r="F3746" i="14"/>
  <c r="H3746" i="14" s="1"/>
  <c r="G3746" i="14"/>
  <c r="I3746" i="14" s="1"/>
  <c r="K3746" i="14"/>
  <c r="F3747" i="14"/>
  <c r="H3747" i="14" s="1"/>
  <c r="G3747" i="14"/>
  <c r="I3747" i="14" s="1"/>
  <c r="K3747" i="14"/>
  <c r="F3748" i="14"/>
  <c r="H3748" i="14" s="1"/>
  <c r="G3748" i="14"/>
  <c r="I3748" i="14" s="1"/>
  <c r="K3748" i="14"/>
  <c r="F3749" i="14"/>
  <c r="H3749" i="14" s="1"/>
  <c r="G3749" i="14"/>
  <c r="I3749" i="14" s="1"/>
  <c r="K3749" i="14"/>
  <c r="F3750" i="14"/>
  <c r="H3750" i="14" s="1"/>
  <c r="G3750" i="14"/>
  <c r="I3750" i="14" s="1"/>
  <c r="K3750" i="14"/>
  <c r="F3751" i="14"/>
  <c r="H3751" i="14" s="1"/>
  <c r="G3751" i="14"/>
  <c r="I3751" i="14" s="1"/>
  <c r="K3751" i="14"/>
  <c r="F3752" i="14"/>
  <c r="H3752" i="14" s="1"/>
  <c r="G3752" i="14"/>
  <c r="I3752" i="14" s="1"/>
  <c r="K3752" i="14"/>
  <c r="F3753" i="14"/>
  <c r="H3753" i="14" s="1"/>
  <c r="G3753" i="14"/>
  <c r="I3753" i="14" s="1"/>
  <c r="K3753" i="14"/>
  <c r="F3754" i="14"/>
  <c r="H3754" i="14" s="1"/>
  <c r="G3754" i="14"/>
  <c r="I3754" i="14" s="1"/>
  <c r="K3754" i="14"/>
  <c r="F3755" i="14"/>
  <c r="H3755" i="14" s="1"/>
  <c r="G3755" i="14"/>
  <c r="I3755" i="14" s="1"/>
  <c r="K3755" i="14"/>
  <c r="F3756" i="14"/>
  <c r="H3756" i="14" s="1"/>
  <c r="G3756" i="14"/>
  <c r="I3756" i="14" s="1"/>
  <c r="K3756" i="14"/>
  <c r="F3757" i="14"/>
  <c r="H3757" i="14" s="1"/>
  <c r="G3757" i="14"/>
  <c r="I3757" i="14" s="1"/>
  <c r="K3757" i="14"/>
  <c r="F3758" i="14"/>
  <c r="H3758" i="14" s="1"/>
  <c r="G3758" i="14"/>
  <c r="I3758" i="14" s="1"/>
  <c r="K3758" i="14"/>
  <c r="F3759" i="14"/>
  <c r="H3759" i="14" s="1"/>
  <c r="G3759" i="14"/>
  <c r="I3759" i="14" s="1"/>
  <c r="K3759" i="14"/>
  <c r="F3760" i="14"/>
  <c r="H3760" i="14" s="1"/>
  <c r="G3760" i="14"/>
  <c r="I3760" i="14" s="1"/>
  <c r="K3760" i="14"/>
  <c r="F3761" i="14"/>
  <c r="H3761" i="14" s="1"/>
  <c r="G3761" i="14"/>
  <c r="I3761" i="14" s="1"/>
  <c r="K3761" i="14"/>
  <c r="F3762" i="14"/>
  <c r="H3762" i="14" s="1"/>
  <c r="G3762" i="14"/>
  <c r="I3762" i="14" s="1"/>
  <c r="K3762" i="14"/>
  <c r="F3763" i="14"/>
  <c r="H3763" i="14" s="1"/>
  <c r="G3763" i="14"/>
  <c r="I3763" i="14" s="1"/>
  <c r="K3763" i="14"/>
  <c r="F3764" i="14"/>
  <c r="H3764" i="14" s="1"/>
  <c r="G3764" i="14"/>
  <c r="I3764" i="14" s="1"/>
  <c r="K3764" i="14"/>
  <c r="F3765" i="14"/>
  <c r="H3765" i="14" s="1"/>
  <c r="G3765" i="14"/>
  <c r="I3765" i="14" s="1"/>
  <c r="K3765" i="14"/>
  <c r="F3766" i="14"/>
  <c r="H3766" i="14" s="1"/>
  <c r="G3766" i="14"/>
  <c r="I3766" i="14" s="1"/>
  <c r="K3766" i="14"/>
  <c r="F3767" i="14"/>
  <c r="H3767" i="14" s="1"/>
  <c r="G3767" i="14"/>
  <c r="I3767" i="14" s="1"/>
  <c r="K3767" i="14"/>
  <c r="F3768" i="14"/>
  <c r="H3768" i="14" s="1"/>
  <c r="G3768" i="14"/>
  <c r="I3768" i="14" s="1"/>
  <c r="K3768" i="14"/>
  <c r="F3769" i="14"/>
  <c r="H3769" i="14" s="1"/>
  <c r="G3769" i="14"/>
  <c r="I3769" i="14" s="1"/>
  <c r="K3769" i="14"/>
  <c r="F3770" i="14"/>
  <c r="H3770" i="14" s="1"/>
  <c r="G3770" i="14"/>
  <c r="I3770" i="14" s="1"/>
  <c r="K3770" i="14"/>
  <c r="F3771" i="14"/>
  <c r="H3771" i="14" s="1"/>
  <c r="G3771" i="14"/>
  <c r="I3771" i="14" s="1"/>
  <c r="K3771" i="14"/>
  <c r="F3772" i="14"/>
  <c r="H3772" i="14" s="1"/>
  <c r="G3772" i="14"/>
  <c r="I3772" i="14" s="1"/>
  <c r="K3772" i="14"/>
  <c r="F3773" i="14"/>
  <c r="H3773" i="14" s="1"/>
  <c r="G3773" i="14"/>
  <c r="I3773" i="14" s="1"/>
  <c r="K3773" i="14"/>
  <c r="F3774" i="14"/>
  <c r="H3774" i="14" s="1"/>
  <c r="G3774" i="14"/>
  <c r="I3774" i="14" s="1"/>
  <c r="K3774" i="14"/>
  <c r="F3775" i="14"/>
  <c r="H3775" i="14" s="1"/>
  <c r="G3775" i="14"/>
  <c r="I3775" i="14" s="1"/>
  <c r="K3775" i="14"/>
  <c r="F3776" i="14"/>
  <c r="H3776" i="14" s="1"/>
  <c r="G3776" i="14"/>
  <c r="I3776" i="14" s="1"/>
  <c r="K3776" i="14"/>
  <c r="F3777" i="14"/>
  <c r="H3777" i="14" s="1"/>
  <c r="G3777" i="14"/>
  <c r="I3777" i="14" s="1"/>
  <c r="K3777" i="14"/>
  <c r="F3778" i="14"/>
  <c r="H3778" i="14" s="1"/>
  <c r="G3778" i="14"/>
  <c r="I3778" i="14" s="1"/>
  <c r="K3778" i="14"/>
  <c r="F3779" i="14"/>
  <c r="H3779" i="14" s="1"/>
  <c r="G3779" i="14"/>
  <c r="I3779" i="14" s="1"/>
  <c r="K3779" i="14"/>
  <c r="F3780" i="14"/>
  <c r="H3780" i="14" s="1"/>
  <c r="G3780" i="14"/>
  <c r="I3780" i="14" s="1"/>
  <c r="K3780" i="14"/>
  <c r="F3781" i="14"/>
  <c r="H3781" i="14" s="1"/>
  <c r="G3781" i="14"/>
  <c r="I3781" i="14" s="1"/>
  <c r="K3781" i="14"/>
  <c r="F3782" i="14"/>
  <c r="H3782" i="14" s="1"/>
  <c r="G3782" i="14"/>
  <c r="I3782" i="14" s="1"/>
  <c r="K3782" i="14"/>
  <c r="F3783" i="14"/>
  <c r="H3783" i="14" s="1"/>
  <c r="G3783" i="14"/>
  <c r="I3783" i="14" s="1"/>
  <c r="K3783" i="14"/>
  <c r="F3784" i="14"/>
  <c r="H3784" i="14" s="1"/>
  <c r="G3784" i="14"/>
  <c r="I3784" i="14" s="1"/>
  <c r="K3784" i="14"/>
  <c r="F3785" i="14"/>
  <c r="H3785" i="14" s="1"/>
  <c r="G3785" i="14"/>
  <c r="I3785" i="14" s="1"/>
  <c r="K3785" i="14"/>
  <c r="F3786" i="14"/>
  <c r="H3786" i="14" s="1"/>
  <c r="G3786" i="14"/>
  <c r="I3786" i="14" s="1"/>
  <c r="K3786" i="14"/>
  <c r="F3787" i="14"/>
  <c r="H3787" i="14" s="1"/>
  <c r="G3787" i="14"/>
  <c r="I3787" i="14" s="1"/>
  <c r="K3787" i="14"/>
  <c r="F3788" i="14"/>
  <c r="H3788" i="14" s="1"/>
  <c r="G3788" i="14"/>
  <c r="I3788" i="14" s="1"/>
  <c r="K3788" i="14"/>
  <c r="F3789" i="14"/>
  <c r="H3789" i="14" s="1"/>
  <c r="G3789" i="14"/>
  <c r="I3789" i="14" s="1"/>
  <c r="K3789" i="14"/>
  <c r="F3790" i="14"/>
  <c r="H3790" i="14" s="1"/>
  <c r="G3790" i="14"/>
  <c r="I3790" i="14" s="1"/>
  <c r="K3790" i="14"/>
  <c r="F3791" i="14"/>
  <c r="H3791" i="14" s="1"/>
  <c r="G3791" i="14"/>
  <c r="I3791" i="14" s="1"/>
  <c r="K3791" i="14"/>
  <c r="F3792" i="14"/>
  <c r="H3792" i="14" s="1"/>
  <c r="G3792" i="14"/>
  <c r="I3792" i="14" s="1"/>
  <c r="K3792" i="14"/>
  <c r="F3793" i="14"/>
  <c r="H3793" i="14" s="1"/>
  <c r="G3793" i="14"/>
  <c r="I3793" i="14" s="1"/>
  <c r="K3793" i="14"/>
  <c r="F3794" i="14"/>
  <c r="H3794" i="14" s="1"/>
  <c r="G3794" i="14"/>
  <c r="I3794" i="14" s="1"/>
  <c r="K3794" i="14"/>
  <c r="F3795" i="14"/>
  <c r="H3795" i="14" s="1"/>
  <c r="G3795" i="14"/>
  <c r="I3795" i="14" s="1"/>
  <c r="K3795" i="14"/>
  <c r="F3796" i="14"/>
  <c r="H3796" i="14" s="1"/>
  <c r="G3796" i="14"/>
  <c r="I3796" i="14" s="1"/>
  <c r="K3796" i="14"/>
  <c r="F3797" i="14"/>
  <c r="H3797" i="14" s="1"/>
  <c r="G3797" i="14"/>
  <c r="I3797" i="14" s="1"/>
  <c r="K3797" i="14"/>
  <c r="F3798" i="14"/>
  <c r="H3798" i="14" s="1"/>
  <c r="G3798" i="14"/>
  <c r="I3798" i="14" s="1"/>
  <c r="K3798" i="14"/>
  <c r="F3799" i="14"/>
  <c r="H3799" i="14" s="1"/>
  <c r="G3799" i="14"/>
  <c r="I3799" i="14" s="1"/>
  <c r="K3799" i="14"/>
  <c r="F3800" i="14"/>
  <c r="H3800" i="14" s="1"/>
  <c r="G3800" i="14"/>
  <c r="I3800" i="14" s="1"/>
  <c r="K3800" i="14"/>
  <c r="F3801" i="14"/>
  <c r="H3801" i="14" s="1"/>
  <c r="G3801" i="14"/>
  <c r="I3801" i="14" s="1"/>
  <c r="K3801" i="14"/>
  <c r="F3802" i="14"/>
  <c r="H3802" i="14" s="1"/>
  <c r="G3802" i="14"/>
  <c r="I3802" i="14" s="1"/>
  <c r="K3802" i="14"/>
  <c r="F3803" i="14"/>
  <c r="H3803" i="14" s="1"/>
  <c r="G3803" i="14"/>
  <c r="I3803" i="14" s="1"/>
  <c r="K3803" i="14"/>
  <c r="F3804" i="14"/>
  <c r="H3804" i="14" s="1"/>
  <c r="G3804" i="14"/>
  <c r="I3804" i="14" s="1"/>
  <c r="K3804" i="14"/>
  <c r="F3805" i="14"/>
  <c r="H3805" i="14" s="1"/>
  <c r="G3805" i="14"/>
  <c r="I3805" i="14" s="1"/>
  <c r="K3805" i="14"/>
  <c r="F3806" i="14"/>
  <c r="H3806" i="14" s="1"/>
  <c r="G3806" i="14"/>
  <c r="I3806" i="14" s="1"/>
  <c r="K3806" i="14"/>
  <c r="F3807" i="14"/>
  <c r="H3807" i="14" s="1"/>
  <c r="G3807" i="14"/>
  <c r="I3807" i="14" s="1"/>
  <c r="K3807" i="14"/>
  <c r="F3808" i="14"/>
  <c r="H3808" i="14" s="1"/>
  <c r="G3808" i="14"/>
  <c r="I3808" i="14" s="1"/>
  <c r="K3808" i="14"/>
  <c r="F3809" i="14"/>
  <c r="H3809" i="14" s="1"/>
  <c r="G3809" i="14"/>
  <c r="I3809" i="14" s="1"/>
  <c r="K3809" i="14"/>
  <c r="F3810" i="14"/>
  <c r="H3810" i="14" s="1"/>
  <c r="G3810" i="14"/>
  <c r="I3810" i="14" s="1"/>
  <c r="K3810" i="14"/>
  <c r="F3811" i="14"/>
  <c r="H3811" i="14" s="1"/>
  <c r="G3811" i="14"/>
  <c r="I3811" i="14" s="1"/>
  <c r="K3811" i="14"/>
  <c r="F3812" i="14"/>
  <c r="H3812" i="14" s="1"/>
  <c r="G3812" i="14"/>
  <c r="I3812" i="14" s="1"/>
  <c r="K3812" i="14"/>
  <c r="F3813" i="14"/>
  <c r="H3813" i="14" s="1"/>
  <c r="G3813" i="14"/>
  <c r="I3813" i="14" s="1"/>
  <c r="K3813" i="14"/>
  <c r="F3814" i="14"/>
  <c r="H3814" i="14" s="1"/>
  <c r="G3814" i="14"/>
  <c r="I3814" i="14" s="1"/>
  <c r="K3814" i="14"/>
  <c r="F3815" i="14"/>
  <c r="H3815" i="14" s="1"/>
  <c r="G3815" i="14"/>
  <c r="I3815" i="14" s="1"/>
  <c r="K3815" i="14"/>
  <c r="F3816" i="14"/>
  <c r="H3816" i="14" s="1"/>
  <c r="G3816" i="14"/>
  <c r="I3816" i="14" s="1"/>
  <c r="K3816" i="14"/>
  <c r="F3817" i="14"/>
  <c r="H3817" i="14" s="1"/>
  <c r="G3817" i="14"/>
  <c r="I3817" i="14" s="1"/>
  <c r="K3817" i="14"/>
  <c r="F3818" i="14"/>
  <c r="H3818" i="14" s="1"/>
  <c r="G3818" i="14"/>
  <c r="I3818" i="14" s="1"/>
  <c r="K3818" i="14"/>
  <c r="F3819" i="14"/>
  <c r="H3819" i="14" s="1"/>
  <c r="G3819" i="14"/>
  <c r="I3819" i="14" s="1"/>
  <c r="K3819" i="14"/>
  <c r="F3820" i="14"/>
  <c r="H3820" i="14" s="1"/>
  <c r="G3820" i="14"/>
  <c r="I3820" i="14" s="1"/>
  <c r="K3820" i="14"/>
  <c r="F3821" i="14"/>
  <c r="H3821" i="14" s="1"/>
  <c r="G3821" i="14"/>
  <c r="I3821" i="14" s="1"/>
  <c r="K3821" i="14"/>
  <c r="F3822" i="14"/>
  <c r="H3822" i="14" s="1"/>
  <c r="G3822" i="14"/>
  <c r="I3822" i="14" s="1"/>
  <c r="K3822" i="14"/>
  <c r="F3823" i="14"/>
  <c r="H3823" i="14" s="1"/>
  <c r="G3823" i="14"/>
  <c r="I3823" i="14" s="1"/>
  <c r="K3823" i="14"/>
  <c r="F3824" i="14"/>
  <c r="H3824" i="14" s="1"/>
  <c r="G3824" i="14"/>
  <c r="I3824" i="14" s="1"/>
  <c r="K3824" i="14"/>
  <c r="F3825" i="14"/>
  <c r="H3825" i="14" s="1"/>
  <c r="G3825" i="14"/>
  <c r="I3825" i="14" s="1"/>
  <c r="K3825" i="14"/>
  <c r="F3826" i="14"/>
  <c r="H3826" i="14" s="1"/>
  <c r="G3826" i="14"/>
  <c r="I3826" i="14" s="1"/>
  <c r="K3826" i="14"/>
  <c r="F3827" i="14"/>
  <c r="H3827" i="14" s="1"/>
  <c r="G3827" i="14"/>
  <c r="I3827" i="14" s="1"/>
  <c r="K3827" i="14"/>
  <c r="F3828" i="14"/>
  <c r="H3828" i="14" s="1"/>
  <c r="G3828" i="14"/>
  <c r="I3828" i="14" s="1"/>
  <c r="K3828" i="14"/>
  <c r="F3829" i="14"/>
  <c r="H3829" i="14" s="1"/>
  <c r="G3829" i="14"/>
  <c r="I3829" i="14" s="1"/>
  <c r="K3829" i="14"/>
  <c r="F3830" i="14"/>
  <c r="H3830" i="14" s="1"/>
  <c r="G3830" i="14"/>
  <c r="I3830" i="14" s="1"/>
  <c r="K3830" i="14"/>
  <c r="F3831" i="14"/>
  <c r="H3831" i="14" s="1"/>
  <c r="G3831" i="14"/>
  <c r="I3831" i="14" s="1"/>
  <c r="K3831" i="14"/>
  <c r="F3832" i="14"/>
  <c r="H3832" i="14" s="1"/>
  <c r="G3832" i="14"/>
  <c r="I3832" i="14" s="1"/>
  <c r="K3832" i="14"/>
  <c r="F3833" i="14"/>
  <c r="H3833" i="14" s="1"/>
  <c r="G3833" i="14"/>
  <c r="I3833" i="14" s="1"/>
  <c r="K3833" i="14"/>
  <c r="F3834" i="14"/>
  <c r="H3834" i="14" s="1"/>
  <c r="G3834" i="14"/>
  <c r="I3834" i="14" s="1"/>
  <c r="K3834" i="14"/>
  <c r="F3835" i="14"/>
  <c r="H3835" i="14" s="1"/>
  <c r="G3835" i="14"/>
  <c r="I3835" i="14" s="1"/>
  <c r="K3835" i="14"/>
  <c r="F3836" i="14"/>
  <c r="H3836" i="14" s="1"/>
  <c r="G3836" i="14"/>
  <c r="I3836" i="14" s="1"/>
  <c r="K3836" i="14"/>
  <c r="F3837" i="14"/>
  <c r="H3837" i="14" s="1"/>
  <c r="G3837" i="14"/>
  <c r="I3837" i="14" s="1"/>
  <c r="K3837" i="14"/>
  <c r="F3838" i="14"/>
  <c r="H3838" i="14" s="1"/>
  <c r="G3838" i="14"/>
  <c r="I3838" i="14" s="1"/>
  <c r="K3838" i="14"/>
  <c r="F3839" i="14"/>
  <c r="H3839" i="14" s="1"/>
  <c r="G3839" i="14"/>
  <c r="I3839" i="14" s="1"/>
  <c r="K3839" i="14"/>
  <c r="F3840" i="14"/>
  <c r="H3840" i="14" s="1"/>
  <c r="G3840" i="14"/>
  <c r="I3840" i="14" s="1"/>
  <c r="K3840" i="14"/>
  <c r="F3841" i="14"/>
  <c r="H3841" i="14" s="1"/>
  <c r="G3841" i="14"/>
  <c r="I3841" i="14" s="1"/>
  <c r="K3841" i="14"/>
  <c r="F3842" i="14"/>
  <c r="H3842" i="14" s="1"/>
  <c r="G3842" i="14"/>
  <c r="I3842" i="14" s="1"/>
  <c r="K3842" i="14"/>
  <c r="F3843" i="14"/>
  <c r="H3843" i="14" s="1"/>
  <c r="G3843" i="14"/>
  <c r="I3843" i="14" s="1"/>
  <c r="K3843" i="14"/>
  <c r="F3844" i="14"/>
  <c r="H3844" i="14" s="1"/>
  <c r="G3844" i="14"/>
  <c r="I3844" i="14" s="1"/>
  <c r="K3844" i="14"/>
  <c r="F3845" i="14"/>
  <c r="H3845" i="14" s="1"/>
  <c r="G3845" i="14"/>
  <c r="I3845" i="14" s="1"/>
  <c r="K3845" i="14"/>
  <c r="F3846" i="14"/>
  <c r="H3846" i="14" s="1"/>
  <c r="G3846" i="14"/>
  <c r="I3846" i="14" s="1"/>
  <c r="K3846" i="14"/>
  <c r="F3847" i="14"/>
  <c r="H3847" i="14" s="1"/>
  <c r="G3847" i="14"/>
  <c r="I3847" i="14" s="1"/>
  <c r="K3847" i="14"/>
  <c r="F3848" i="14"/>
  <c r="H3848" i="14" s="1"/>
  <c r="G3848" i="14"/>
  <c r="I3848" i="14" s="1"/>
  <c r="K3848" i="14"/>
  <c r="F3849" i="14"/>
  <c r="H3849" i="14" s="1"/>
  <c r="G3849" i="14"/>
  <c r="I3849" i="14" s="1"/>
  <c r="K3849" i="14"/>
  <c r="F3850" i="14"/>
  <c r="H3850" i="14" s="1"/>
  <c r="G3850" i="14"/>
  <c r="I3850" i="14" s="1"/>
  <c r="K3850" i="14"/>
  <c r="F3851" i="14"/>
  <c r="H3851" i="14" s="1"/>
  <c r="G3851" i="14"/>
  <c r="I3851" i="14" s="1"/>
  <c r="K3851" i="14"/>
  <c r="F3852" i="14"/>
  <c r="H3852" i="14" s="1"/>
  <c r="G3852" i="14"/>
  <c r="I3852" i="14" s="1"/>
  <c r="K3852" i="14"/>
  <c r="F3853" i="14"/>
  <c r="H3853" i="14" s="1"/>
  <c r="G3853" i="14"/>
  <c r="I3853" i="14" s="1"/>
  <c r="K3853" i="14"/>
  <c r="F3854" i="14"/>
  <c r="H3854" i="14" s="1"/>
  <c r="G3854" i="14"/>
  <c r="I3854" i="14" s="1"/>
  <c r="K3854" i="14"/>
  <c r="F3855" i="14"/>
  <c r="H3855" i="14" s="1"/>
  <c r="G3855" i="14"/>
  <c r="I3855" i="14" s="1"/>
  <c r="K3855" i="14"/>
  <c r="F3856" i="14"/>
  <c r="H3856" i="14" s="1"/>
  <c r="G3856" i="14"/>
  <c r="I3856" i="14" s="1"/>
  <c r="K3856" i="14"/>
  <c r="F3857" i="14"/>
  <c r="H3857" i="14" s="1"/>
  <c r="G3857" i="14"/>
  <c r="I3857" i="14" s="1"/>
  <c r="K3857" i="14"/>
  <c r="F3858" i="14"/>
  <c r="H3858" i="14" s="1"/>
  <c r="G3858" i="14"/>
  <c r="I3858" i="14" s="1"/>
  <c r="K3858" i="14"/>
  <c r="F3859" i="14"/>
  <c r="H3859" i="14" s="1"/>
  <c r="G3859" i="14"/>
  <c r="I3859" i="14" s="1"/>
  <c r="K3859" i="14"/>
  <c r="F3860" i="14"/>
  <c r="H3860" i="14" s="1"/>
  <c r="G3860" i="14"/>
  <c r="I3860" i="14" s="1"/>
  <c r="K3860" i="14"/>
  <c r="F3861" i="14"/>
  <c r="H3861" i="14" s="1"/>
  <c r="G3861" i="14"/>
  <c r="I3861" i="14" s="1"/>
  <c r="K3861" i="14"/>
  <c r="F3862" i="14"/>
  <c r="H3862" i="14" s="1"/>
  <c r="G3862" i="14"/>
  <c r="I3862" i="14" s="1"/>
  <c r="K3862" i="14"/>
  <c r="F3863" i="14"/>
  <c r="H3863" i="14" s="1"/>
  <c r="G3863" i="14"/>
  <c r="I3863" i="14" s="1"/>
  <c r="K3863" i="14"/>
  <c r="F3864" i="14"/>
  <c r="H3864" i="14" s="1"/>
  <c r="G3864" i="14"/>
  <c r="I3864" i="14" s="1"/>
  <c r="K3864" i="14"/>
  <c r="F3865" i="14"/>
  <c r="H3865" i="14" s="1"/>
  <c r="G3865" i="14"/>
  <c r="I3865" i="14" s="1"/>
  <c r="K3865" i="14"/>
  <c r="F3866" i="14"/>
  <c r="H3866" i="14" s="1"/>
  <c r="G3866" i="14"/>
  <c r="I3866" i="14" s="1"/>
  <c r="K3866" i="14"/>
  <c r="F3867" i="14"/>
  <c r="H3867" i="14" s="1"/>
  <c r="G3867" i="14"/>
  <c r="I3867" i="14" s="1"/>
  <c r="K3867" i="14"/>
  <c r="F3868" i="14"/>
  <c r="H3868" i="14" s="1"/>
  <c r="G3868" i="14"/>
  <c r="I3868" i="14" s="1"/>
  <c r="K3868" i="14"/>
  <c r="F3869" i="14"/>
  <c r="H3869" i="14" s="1"/>
  <c r="G3869" i="14"/>
  <c r="I3869" i="14" s="1"/>
  <c r="K3869" i="14"/>
  <c r="F3870" i="14"/>
  <c r="H3870" i="14" s="1"/>
  <c r="G3870" i="14"/>
  <c r="I3870" i="14" s="1"/>
  <c r="K3870" i="14"/>
  <c r="F3871" i="14"/>
  <c r="H3871" i="14" s="1"/>
  <c r="G3871" i="14"/>
  <c r="I3871" i="14" s="1"/>
  <c r="K3871" i="14"/>
  <c r="F3872" i="14"/>
  <c r="H3872" i="14" s="1"/>
  <c r="G3872" i="14"/>
  <c r="I3872" i="14" s="1"/>
  <c r="K3872" i="14"/>
  <c r="F3873" i="14"/>
  <c r="H3873" i="14" s="1"/>
  <c r="G3873" i="14"/>
  <c r="I3873" i="14" s="1"/>
  <c r="K3873" i="14"/>
  <c r="F3874" i="14"/>
  <c r="H3874" i="14" s="1"/>
  <c r="G3874" i="14"/>
  <c r="I3874" i="14" s="1"/>
  <c r="K3874" i="14"/>
  <c r="F3875" i="14"/>
  <c r="H3875" i="14" s="1"/>
  <c r="G3875" i="14"/>
  <c r="I3875" i="14" s="1"/>
  <c r="K3875" i="14"/>
  <c r="F3876" i="14"/>
  <c r="H3876" i="14" s="1"/>
  <c r="G3876" i="14"/>
  <c r="I3876" i="14" s="1"/>
  <c r="K3876" i="14"/>
  <c r="F3877" i="14"/>
  <c r="H3877" i="14" s="1"/>
  <c r="G3877" i="14"/>
  <c r="I3877" i="14" s="1"/>
  <c r="K3877" i="14"/>
  <c r="F3878" i="14"/>
  <c r="H3878" i="14" s="1"/>
  <c r="G3878" i="14"/>
  <c r="I3878" i="14" s="1"/>
  <c r="K3878" i="14"/>
  <c r="F3879" i="14"/>
  <c r="H3879" i="14" s="1"/>
  <c r="G3879" i="14"/>
  <c r="I3879" i="14" s="1"/>
  <c r="K3879" i="14"/>
  <c r="F3880" i="14"/>
  <c r="H3880" i="14" s="1"/>
  <c r="G3880" i="14"/>
  <c r="I3880" i="14" s="1"/>
  <c r="K3880" i="14"/>
  <c r="F3881" i="14"/>
  <c r="H3881" i="14" s="1"/>
  <c r="G3881" i="14"/>
  <c r="I3881" i="14" s="1"/>
  <c r="K3881" i="14"/>
  <c r="F3882" i="14"/>
  <c r="H3882" i="14" s="1"/>
  <c r="G3882" i="14"/>
  <c r="I3882" i="14" s="1"/>
  <c r="K3882" i="14"/>
  <c r="F3883" i="14"/>
  <c r="H3883" i="14" s="1"/>
  <c r="G3883" i="14"/>
  <c r="I3883" i="14" s="1"/>
  <c r="K3883" i="14"/>
  <c r="F3884" i="14"/>
  <c r="H3884" i="14" s="1"/>
  <c r="G3884" i="14"/>
  <c r="I3884" i="14" s="1"/>
  <c r="K3884" i="14"/>
  <c r="F3885" i="14"/>
  <c r="H3885" i="14" s="1"/>
  <c r="G3885" i="14"/>
  <c r="I3885" i="14" s="1"/>
  <c r="K3885" i="14"/>
  <c r="F3886" i="14"/>
  <c r="H3886" i="14" s="1"/>
  <c r="G3886" i="14"/>
  <c r="I3886" i="14" s="1"/>
  <c r="K3886" i="14"/>
  <c r="F3887" i="14"/>
  <c r="H3887" i="14" s="1"/>
  <c r="G3887" i="14"/>
  <c r="I3887" i="14" s="1"/>
  <c r="K3887" i="14"/>
  <c r="F3888" i="14"/>
  <c r="H3888" i="14" s="1"/>
  <c r="G3888" i="14"/>
  <c r="I3888" i="14" s="1"/>
  <c r="K3888" i="14"/>
  <c r="F3889" i="14"/>
  <c r="H3889" i="14" s="1"/>
  <c r="G3889" i="14"/>
  <c r="I3889" i="14" s="1"/>
  <c r="K3889" i="14"/>
  <c r="F3890" i="14"/>
  <c r="H3890" i="14" s="1"/>
  <c r="G3890" i="14"/>
  <c r="I3890" i="14" s="1"/>
  <c r="K3890" i="14"/>
  <c r="F3891" i="14"/>
  <c r="H3891" i="14" s="1"/>
  <c r="G3891" i="14"/>
  <c r="I3891" i="14" s="1"/>
  <c r="K3891" i="14"/>
  <c r="F3892" i="14"/>
  <c r="H3892" i="14" s="1"/>
  <c r="G3892" i="14"/>
  <c r="I3892" i="14" s="1"/>
  <c r="K3892" i="14"/>
  <c r="F3893" i="14"/>
  <c r="H3893" i="14" s="1"/>
  <c r="G3893" i="14"/>
  <c r="I3893" i="14" s="1"/>
  <c r="K3893" i="14"/>
  <c r="F3894" i="14"/>
  <c r="H3894" i="14" s="1"/>
  <c r="G3894" i="14"/>
  <c r="I3894" i="14" s="1"/>
  <c r="K3894" i="14"/>
  <c r="F3895" i="14"/>
  <c r="H3895" i="14" s="1"/>
  <c r="G3895" i="14"/>
  <c r="I3895" i="14" s="1"/>
  <c r="K3895" i="14"/>
  <c r="F3896" i="14"/>
  <c r="H3896" i="14" s="1"/>
  <c r="G3896" i="14"/>
  <c r="I3896" i="14" s="1"/>
  <c r="K3896" i="14"/>
  <c r="F3897" i="14"/>
  <c r="H3897" i="14" s="1"/>
  <c r="G3897" i="14"/>
  <c r="I3897" i="14" s="1"/>
  <c r="K3897" i="14"/>
  <c r="F3898" i="14"/>
  <c r="H3898" i="14" s="1"/>
  <c r="G3898" i="14"/>
  <c r="I3898" i="14" s="1"/>
  <c r="K3898" i="14"/>
  <c r="F3899" i="14"/>
  <c r="H3899" i="14" s="1"/>
  <c r="G3899" i="14"/>
  <c r="I3899" i="14" s="1"/>
  <c r="K3899" i="14"/>
  <c r="F3900" i="14"/>
  <c r="H3900" i="14" s="1"/>
  <c r="G3900" i="14"/>
  <c r="I3900" i="14" s="1"/>
  <c r="K3900" i="14"/>
  <c r="F3901" i="14"/>
  <c r="H3901" i="14" s="1"/>
  <c r="G3901" i="14"/>
  <c r="I3901" i="14" s="1"/>
  <c r="K3901" i="14"/>
  <c r="F3902" i="14"/>
  <c r="H3902" i="14" s="1"/>
  <c r="G3902" i="14"/>
  <c r="I3902" i="14" s="1"/>
  <c r="K3902" i="14"/>
  <c r="F3903" i="14"/>
  <c r="H3903" i="14" s="1"/>
  <c r="G3903" i="14"/>
  <c r="I3903" i="14" s="1"/>
  <c r="K3903" i="14"/>
  <c r="F3904" i="14"/>
  <c r="H3904" i="14" s="1"/>
  <c r="G3904" i="14"/>
  <c r="I3904" i="14" s="1"/>
  <c r="K3904" i="14"/>
  <c r="F3905" i="14"/>
  <c r="H3905" i="14" s="1"/>
  <c r="G3905" i="14"/>
  <c r="I3905" i="14" s="1"/>
  <c r="K3905" i="14"/>
  <c r="F3906" i="14"/>
  <c r="H3906" i="14" s="1"/>
  <c r="G3906" i="14"/>
  <c r="I3906" i="14" s="1"/>
  <c r="K3906" i="14"/>
  <c r="F3907" i="14"/>
  <c r="H3907" i="14" s="1"/>
  <c r="G3907" i="14"/>
  <c r="I3907" i="14" s="1"/>
  <c r="K3907" i="14"/>
  <c r="F3908" i="14"/>
  <c r="H3908" i="14" s="1"/>
  <c r="G3908" i="14"/>
  <c r="I3908" i="14" s="1"/>
  <c r="K3908" i="14"/>
  <c r="F3909" i="14"/>
  <c r="H3909" i="14" s="1"/>
  <c r="G3909" i="14"/>
  <c r="I3909" i="14" s="1"/>
  <c r="K3909" i="14"/>
  <c r="F3910" i="14"/>
  <c r="H3910" i="14" s="1"/>
  <c r="G3910" i="14"/>
  <c r="I3910" i="14" s="1"/>
  <c r="K3910" i="14"/>
  <c r="F3911" i="14"/>
  <c r="H3911" i="14" s="1"/>
  <c r="G3911" i="14"/>
  <c r="I3911" i="14" s="1"/>
  <c r="K3911" i="14"/>
  <c r="F3912" i="14"/>
  <c r="H3912" i="14" s="1"/>
  <c r="G3912" i="14"/>
  <c r="I3912" i="14" s="1"/>
  <c r="K3912" i="14"/>
  <c r="F3913" i="14"/>
  <c r="H3913" i="14" s="1"/>
  <c r="G3913" i="14"/>
  <c r="I3913" i="14" s="1"/>
  <c r="K3913" i="14"/>
  <c r="F3914" i="14"/>
  <c r="H3914" i="14" s="1"/>
  <c r="G3914" i="14"/>
  <c r="I3914" i="14" s="1"/>
  <c r="K3914" i="14"/>
  <c r="F3915" i="14"/>
  <c r="H3915" i="14" s="1"/>
  <c r="G3915" i="14"/>
  <c r="I3915" i="14" s="1"/>
  <c r="K3915" i="14"/>
  <c r="F3916" i="14"/>
  <c r="H3916" i="14" s="1"/>
  <c r="G3916" i="14"/>
  <c r="I3916" i="14" s="1"/>
  <c r="K3916" i="14"/>
  <c r="F3917" i="14"/>
  <c r="H3917" i="14" s="1"/>
  <c r="G3917" i="14"/>
  <c r="I3917" i="14" s="1"/>
  <c r="K3917" i="14"/>
  <c r="F3918" i="14"/>
  <c r="H3918" i="14" s="1"/>
  <c r="G3918" i="14"/>
  <c r="I3918" i="14" s="1"/>
  <c r="K3918" i="14"/>
  <c r="F3919" i="14"/>
  <c r="H3919" i="14" s="1"/>
  <c r="G3919" i="14"/>
  <c r="I3919" i="14" s="1"/>
  <c r="K3919" i="14"/>
  <c r="F3920" i="14"/>
  <c r="H3920" i="14" s="1"/>
  <c r="G3920" i="14"/>
  <c r="I3920" i="14" s="1"/>
  <c r="K3920" i="14"/>
  <c r="F3921" i="14"/>
  <c r="H3921" i="14" s="1"/>
  <c r="G3921" i="14"/>
  <c r="I3921" i="14" s="1"/>
  <c r="K3921" i="14"/>
  <c r="F3922" i="14"/>
  <c r="H3922" i="14" s="1"/>
  <c r="G3922" i="14"/>
  <c r="I3922" i="14" s="1"/>
  <c r="K3922" i="14"/>
  <c r="F3923" i="14"/>
  <c r="H3923" i="14" s="1"/>
  <c r="G3923" i="14"/>
  <c r="I3923" i="14" s="1"/>
  <c r="K3923" i="14"/>
  <c r="F3924" i="14"/>
  <c r="H3924" i="14" s="1"/>
  <c r="G3924" i="14"/>
  <c r="I3924" i="14" s="1"/>
  <c r="K3924" i="14"/>
  <c r="F3925" i="14"/>
  <c r="H3925" i="14" s="1"/>
  <c r="G3925" i="14"/>
  <c r="I3925" i="14" s="1"/>
  <c r="K3925" i="14"/>
  <c r="F3926" i="14"/>
  <c r="H3926" i="14" s="1"/>
  <c r="G3926" i="14"/>
  <c r="I3926" i="14" s="1"/>
  <c r="K3926" i="14"/>
  <c r="F3927" i="14"/>
  <c r="H3927" i="14" s="1"/>
  <c r="G3927" i="14"/>
  <c r="I3927" i="14" s="1"/>
  <c r="K3927" i="14"/>
  <c r="F3928" i="14"/>
  <c r="H3928" i="14" s="1"/>
  <c r="G3928" i="14"/>
  <c r="I3928" i="14" s="1"/>
  <c r="K3928" i="14"/>
  <c r="F3929" i="14"/>
  <c r="H3929" i="14" s="1"/>
  <c r="G3929" i="14"/>
  <c r="I3929" i="14" s="1"/>
  <c r="K3929" i="14"/>
  <c r="F3930" i="14"/>
  <c r="H3930" i="14" s="1"/>
  <c r="G3930" i="14"/>
  <c r="I3930" i="14" s="1"/>
  <c r="K3930" i="14"/>
  <c r="F3931" i="14"/>
  <c r="H3931" i="14" s="1"/>
  <c r="G3931" i="14"/>
  <c r="I3931" i="14" s="1"/>
  <c r="K3931" i="14"/>
  <c r="F3932" i="14"/>
  <c r="H3932" i="14" s="1"/>
  <c r="G3932" i="14"/>
  <c r="I3932" i="14" s="1"/>
  <c r="K3932" i="14"/>
  <c r="F3933" i="14"/>
  <c r="H3933" i="14" s="1"/>
  <c r="G3933" i="14"/>
  <c r="I3933" i="14" s="1"/>
  <c r="K3933" i="14"/>
  <c r="F3934" i="14"/>
  <c r="H3934" i="14" s="1"/>
  <c r="G3934" i="14"/>
  <c r="I3934" i="14" s="1"/>
  <c r="K3934" i="14"/>
  <c r="F3935" i="14"/>
  <c r="H3935" i="14" s="1"/>
  <c r="G3935" i="14"/>
  <c r="I3935" i="14" s="1"/>
  <c r="K3935" i="14"/>
  <c r="F3936" i="14"/>
  <c r="H3936" i="14" s="1"/>
  <c r="G3936" i="14"/>
  <c r="I3936" i="14" s="1"/>
  <c r="K3936" i="14"/>
  <c r="F3937" i="14"/>
  <c r="H3937" i="14" s="1"/>
  <c r="G3937" i="14"/>
  <c r="I3937" i="14" s="1"/>
  <c r="K3937" i="14"/>
  <c r="F3938" i="14"/>
  <c r="H3938" i="14" s="1"/>
  <c r="G3938" i="14"/>
  <c r="I3938" i="14" s="1"/>
  <c r="K3938" i="14"/>
  <c r="F3939" i="14"/>
  <c r="H3939" i="14" s="1"/>
  <c r="G3939" i="14"/>
  <c r="I3939" i="14" s="1"/>
  <c r="K3939" i="14"/>
  <c r="F3940" i="14"/>
  <c r="H3940" i="14" s="1"/>
  <c r="G3940" i="14"/>
  <c r="I3940" i="14" s="1"/>
  <c r="K3940" i="14"/>
  <c r="F3941" i="14"/>
  <c r="H3941" i="14" s="1"/>
  <c r="G3941" i="14"/>
  <c r="I3941" i="14" s="1"/>
  <c r="K3941" i="14"/>
  <c r="F3942" i="14"/>
  <c r="H3942" i="14" s="1"/>
  <c r="G3942" i="14"/>
  <c r="I3942" i="14" s="1"/>
  <c r="K3942" i="14"/>
  <c r="F3943" i="14"/>
  <c r="H3943" i="14" s="1"/>
  <c r="G3943" i="14"/>
  <c r="I3943" i="14" s="1"/>
  <c r="K3943" i="14"/>
  <c r="F3944" i="14"/>
  <c r="H3944" i="14" s="1"/>
  <c r="G3944" i="14"/>
  <c r="I3944" i="14" s="1"/>
  <c r="K3944" i="14"/>
  <c r="F3945" i="14"/>
  <c r="H3945" i="14" s="1"/>
  <c r="G3945" i="14"/>
  <c r="I3945" i="14" s="1"/>
  <c r="K3945" i="14"/>
  <c r="F3946" i="14"/>
  <c r="H3946" i="14" s="1"/>
  <c r="G3946" i="14"/>
  <c r="I3946" i="14" s="1"/>
  <c r="K3946" i="14"/>
  <c r="F3947" i="14"/>
  <c r="H3947" i="14" s="1"/>
  <c r="G3947" i="14"/>
  <c r="I3947" i="14" s="1"/>
  <c r="K3947" i="14"/>
  <c r="F3948" i="14"/>
  <c r="H3948" i="14" s="1"/>
  <c r="G3948" i="14"/>
  <c r="I3948" i="14" s="1"/>
  <c r="K3948" i="14"/>
  <c r="F3949" i="14"/>
  <c r="H3949" i="14" s="1"/>
  <c r="G3949" i="14"/>
  <c r="I3949" i="14" s="1"/>
  <c r="K3949" i="14"/>
  <c r="F3950" i="14"/>
  <c r="H3950" i="14" s="1"/>
  <c r="G3950" i="14"/>
  <c r="I3950" i="14" s="1"/>
  <c r="K3950" i="14"/>
  <c r="F3951" i="14"/>
  <c r="H3951" i="14" s="1"/>
  <c r="G3951" i="14"/>
  <c r="I3951" i="14" s="1"/>
  <c r="K3951" i="14"/>
  <c r="F3952" i="14"/>
  <c r="H3952" i="14" s="1"/>
  <c r="G3952" i="14"/>
  <c r="I3952" i="14" s="1"/>
  <c r="K3952" i="14"/>
  <c r="F3953" i="14"/>
  <c r="H3953" i="14" s="1"/>
  <c r="G3953" i="14"/>
  <c r="I3953" i="14" s="1"/>
  <c r="K3953" i="14"/>
  <c r="F3954" i="14"/>
  <c r="H3954" i="14" s="1"/>
  <c r="G3954" i="14"/>
  <c r="I3954" i="14" s="1"/>
  <c r="K3954" i="14"/>
  <c r="F3955" i="14"/>
  <c r="H3955" i="14" s="1"/>
  <c r="G3955" i="14"/>
  <c r="I3955" i="14" s="1"/>
  <c r="K3955" i="14"/>
  <c r="F3956" i="14"/>
  <c r="H3956" i="14" s="1"/>
  <c r="G3956" i="14"/>
  <c r="I3956" i="14" s="1"/>
  <c r="K3956" i="14"/>
  <c r="F3957" i="14"/>
  <c r="H3957" i="14" s="1"/>
  <c r="G3957" i="14"/>
  <c r="I3957" i="14" s="1"/>
  <c r="K3957" i="14"/>
  <c r="F3958" i="14"/>
  <c r="H3958" i="14" s="1"/>
  <c r="G3958" i="14"/>
  <c r="I3958" i="14" s="1"/>
  <c r="K3958" i="14"/>
  <c r="F3959" i="14"/>
  <c r="H3959" i="14" s="1"/>
  <c r="G3959" i="14"/>
  <c r="I3959" i="14" s="1"/>
  <c r="K3959" i="14"/>
  <c r="F3960" i="14"/>
  <c r="H3960" i="14" s="1"/>
  <c r="G3960" i="14"/>
  <c r="I3960" i="14" s="1"/>
  <c r="K3960" i="14"/>
  <c r="F3961" i="14"/>
  <c r="H3961" i="14" s="1"/>
  <c r="G3961" i="14"/>
  <c r="I3961" i="14" s="1"/>
  <c r="K3961" i="14"/>
  <c r="F3962" i="14"/>
  <c r="H3962" i="14" s="1"/>
  <c r="G3962" i="14"/>
  <c r="I3962" i="14" s="1"/>
  <c r="K3962" i="14"/>
  <c r="F3963" i="14"/>
  <c r="H3963" i="14" s="1"/>
  <c r="G3963" i="14"/>
  <c r="I3963" i="14" s="1"/>
  <c r="K3963" i="14"/>
  <c r="F3964" i="14"/>
  <c r="H3964" i="14" s="1"/>
  <c r="G3964" i="14"/>
  <c r="I3964" i="14" s="1"/>
  <c r="K3964" i="14"/>
  <c r="F3965" i="14"/>
  <c r="H3965" i="14" s="1"/>
  <c r="G3965" i="14"/>
  <c r="I3965" i="14" s="1"/>
  <c r="K3965" i="14"/>
  <c r="F3966" i="14"/>
  <c r="H3966" i="14" s="1"/>
  <c r="G3966" i="14"/>
  <c r="I3966" i="14" s="1"/>
  <c r="K3966" i="14"/>
  <c r="F3967" i="14"/>
  <c r="H3967" i="14" s="1"/>
  <c r="G3967" i="14"/>
  <c r="I3967" i="14" s="1"/>
  <c r="K3967" i="14"/>
  <c r="F3968" i="14"/>
  <c r="H3968" i="14" s="1"/>
  <c r="G3968" i="14"/>
  <c r="I3968" i="14" s="1"/>
  <c r="K3968" i="14"/>
  <c r="F3969" i="14"/>
  <c r="H3969" i="14" s="1"/>
  <c r="G3969" i="14"/>
  <c r="I3969" i="14" s="1"/>
  <c r="K3969" i="14"/>
  <c r="F3970" i="14"/>
  <c r="H3970" i="14" s="1"/>
  <c r="G3970" i="14"/>
  <c r="I3970" i="14" s="1"/>
  <c r="K3970" i="14"/>
  <c r="F3971" i="14"/>
  <c r="H3971" i="14" s="1"/>
  <c r="G3971" i="14"/>
  <c r="I3971" i="14" s="1"/>
  <c r="K3971" i="14"/>
  <c r="F3972" i="14"/>
  <c r="H3972" i="14" s="1"/>
  <c r="G3972" i="14"/>
  <c r="I3972" i="14" s="1"/>
  <c r="K3972" i="14"/>
  <c r="F3973" i="14"/>
  <c r="H3973" i="14" s="1"/>
  <c r="G3973" i="14"/>
  <c r="I3973" i="14" s="1"/>
  <c r="K3973" i="14"/>
  <c r="F3974" i="14"/>
  <c r="H3974" i="14" s="1"/>
  <c r="G3974" i="14"/>
  <c r="I3974" i="14" s="1"/>
  <c r="K3974" i="14"/>
  <c r="F3975" i="14"/>
  <c r="H3975" i="14" s="1"/>
  <c r="G3975" i="14"/>
  <c r="I3975" i="14" s="1"/>
  <c r="K3975" i="14"/>
  <c r="F3976" i="14"/>
  <c r="H3976" i="14" s="1"/>
  <c r="G3976" i="14"/>
  <c r="I3976" i="14" s="1"/>
  <c r="K3976" i="14"/>
  <c r="F3977" i="14"/>
  <c r="H3977" i="14" s="1"/>
  <c r="G3977" i="14"/>
  <c r="I3977" i="14" s="1"/>
  <c r="K3977" i="14"/>
  <c r="F3978" i="14"/>
  <c r="H3978" i="14" s="1"/>
  <c r="G3978" i="14"/>
  <c r="I3978" i="14" s="1"/>
  <c r="K3978" i="14"/>
  <c r="F3979" i="14"/>
  <c r="H3979" i="14" s="1"/>
  <c r="G3979" i="14"/>
  <c r="I3979" i="14" s="1"/>
  <c r="K3979" i="14"/>
  <c r="F3980" i="14"/>
  <c r="H3980" i="14" s="1"/>
  <c r="G3980" i="14"/>
  <c r="I3980" i="14" s="1"/>
  <c r="K3980" i="14"/>
  <c r="F3981" i="14"/>
  <c r="H3981" i="14" s="1"/>
  <c r="G3981" i="14"/>
  <c r="I3981" i="14" s="1"/>
  <c r="K3981" i="14"/>
  <c r="F3982" i="14"/>
  <c r="H3982" i="14" s="1"/>
  <c r="G3982" i="14"/>
  <c r="I3982" i="14" s="1"/>
  <c r="K3982" i="14"/>
  <c r="F3983" i="14"/>
  <c r="H3983" i="14" s="1"/>
  <c r="G3983" i="14"/>
  <c r="I3983" i="14" s="1"/>
  <c r="K3983" i="14"/>
  <c r="F3984" i="14"/>
  <c r="H3984" i="14" s="1"/>
  <c r="G3984" i="14"/>
  <c r="I3984" i="14" s="1"/>
  <c r="K3984" i="14"/>
  <c r="F3985" i="14"/>
  <c r="H3985" i="14" s="1"/>
  <c r="G3985" i="14"/>
  <c r="I3985" i="14" s="1"/>
  <c r="K3985" i="14"/>
  <c r="F3986" i="14"/>
  <c r="H3986" i="14" s="1"/>
  <c r="G3986" i="14"/>
  <c r="I3986" i="14" s="1"/>
  <c r="K3986" i="14"/>
  <c r="F3987" i="14"/>
  <c r="H3987" i="14" s="1"/>
  <c r="G3987" i="14"/>
  <c r="I3987" i="14" s="1"/>
  <c r="K3987" i="14"/>
  <c r="F3988" i="14"/>
  <c r="H3988" i="14" s="1"/>
  <c r="G3988" i="14"/>
  <c r="I3988" i="14" s="1"/>
  <c r="K3988" i="14"/>
  <c r="F3989" i="14"/>
  <c r="H3989" i="14" s="1"/>
  <c r="G3989" i="14"/>
  <c r="I3989" i="14" s="1"/>
  <c r="K3989" i="14"/>
  <c r="F3990" i="14"/>
  <c r="H3990" i="14" s="1"/>
  <c r="G3990" i="14"/>
  <c r="I3990" i="14" s="1"/>
  <c r="K3990" i="14"/>
  <c r="F3991" i="14"/>
  <c r="H3991" i="14" s="1"/>
  <c r="G3991" i="14"/>
  <c r="I3991" i="14" s="1"/>
  <c r="K3991" i="14"/>
  <c r="F3992" i="14"/>
  <c r="H3992" i="14" s="1"/>
  <c r="G3992" i="14"/>
  <c r="I3992" i="14" s="1"/>
  <c r="K3992" i="14"/>
  <c r="F3993" i="14"/>
  <c r="H3993" i="14" s="1"/>
  <c r="G3993" i="14"/>
  <c r="I3993" i="14" s="1"/>
  <c r="K3993" i="14"/>
  <c r="F3994" i="14"/>
  <c r="H3994" i="14" s="1"/>
  <c r="G3994" i="14"/>
  <c r="I3994" i="14" s="1"/>
  <c r="K3994" i="14"/>
  <c r="F3995" i="14"/>
  <c r="H3995" i="14" s="1"/>
  <c r="G3995" i="14"/>
  <c r="I3995" i="14" s="1"/>
  <c r="K3995" i="14"/>
  <c r="F3996" i="14"/>
  <c r="H3996" i="14" s="1"/>
  <c r="G3996" i="14"/>
  <c r="I3996" i="14" s="1"/>
  <c r="K3996" i="14"/>
  <c r="F3997" i="14"/>
  <c r="H3997" i="14" s="1"/>
  <c r="G3997" i="14"/>
  <c r="I3997" i="14" s="1"/>
  <c r="K3997" i="14"/>
  <c r="F3998" i="14"/>
  <c r="H3998" i="14" s="1"/>
  <c r="G3998" i="14"/>
  <c r="I3998" i="14" s="1"/>
  <c r="K3998" i="14"/>
  <c r="F3999" i="14"/>
  <c r="H3999" i="14" s="1"/>
  <c r="G3999" i="14"/>
  <c r="I3999" i="14" s="1"/>
  <c r="K3999" i="14"/>
  <c r="F4000" i="14"/>
  <c r="H4000" i="14" s="1"/>
  <c r="G4000" i="14"/>
  <c r="I4000" i="14" s="1"/>
  <c r="K4000" i="14"/>
  <c r="F4001" i="14"/>
  <c r="H4001" i="14" s="1"/>
  <c r="G4001" i="14"/>
  <c r="I4001" i="14" s="1"/>
  <c r="K4001" i="14"/>
  <c r="F4002" i="14"/>
  <c r="H4002" i="14" s="1"/>
  <c r="G4002" i="14"/>
  <c r="I4002" i="14" s="1"/>
  <c r="K4002" i="14"/>
  <c r="F4003" i="14"/>
  <c r="H4003" i="14" s="1"/>
  <c r="G4003" i="14"/>
  <c r="I4003" i="14" s="1"/>
  <c r="K4003" i="14"/>
  <c r="F4004" i="14"/>
  <c r="H4004" i="14" s="1"/>
  <c r="G4004" i="14"/>
  <c r="I4004" i="14" s="1"/>
  <c r="K4004" i="14"/>
  <c r="F4005" i="14"/>
  <c r="H4005" i="14" s="1"/>
  <c r="G4005" i="14"/>
  <c r="I4005" i="14" s="1"/>
  <c r="K4005" i="14"/>
  <c r="F4006" i="14"/>
  <c r="H4006" i="14" s="1"/>
  <c r="G4006" i="14"/>
  <c r="I4006" i="14" s="1"/>
  <c r="K4006" i="14"/>
  <c r="F4007" i="14"/>
  <c r="H4007" i="14" s="1"/>
  <c r="G4007" i="14"/>
  <c r="I4007" i="14" s="1"/>
  <c r="K4007" i="14"/>
  <c r="F4008" i="14"/>
  <c r="H4008" i="14" s="1"/>
  <c r="G4008" i="14"/>
  <c r="I4008" i="14" s="1"/>
  <c r="K4008" i="14"/>
  <c r="F4009" i="14"/>
  <c r="H4009" i="14" s="1"/>
  <c r="G4009" i="14"/>
  <c r="I4009" i="14" s="1"/>
  <c r="K4009" i="14"/>
  <c r="F4010" i="14"/>
  <c r="H4010" i="14" s="1"/>
  <c r="G4010" i="14"/>
  <c r="I4010" i="14" s="1"/>
  <c r="K4010" i="14"/>
  <c r="F4011" i="14"/>
  <c r="H4011" i="14" s="1"/>
  <c r="G4011" i="14"/>
  <c r="I4011" i="14" s="1"/>
  <c r="K4011" i="14"/>
  <c r="F4012" i="14"/>
  <c r="H4012" i="14" s="1"/>
  <c r="G4012" i="14"/>
  <c r="I4012" i="14" s="1"/>
  <c r="K4012" i="14"/>
  <c r="F4013" i="14"/>
  <c r="H4013" i="14" s="1"/>
  <c r="G4013" i="14"/>
  <c r="I4013" i="14" s="1"/>
  <c r="K4013" i="14"/>
  <c r="F4014" i="14"/>
  <c r="H4014" i="14" s="1"/>
  <c r="G4014" i="14"/>
  <c r="I4014" i="14" s="1"/>
  <c r="J4014" i="14" s="1"/>
  <c r="K4014" i="14"/>
  <c r="F4015" i="14"/>
  <c r="G4015" i="14"/>
  <c r="I4015" i="14" s="1"/>
  <c r="H4015" i="14"/>
  <c r="K4015" i="14"/>
  <c r="F4016" i="14"/>
  <c r="H4016" i="14" s="1"/>
  <c r="G4016" i="14"/>
  <c r="I4016" i="14" s="1"/>
  <c r="J4016" i="14" s="1"/>
  <c r="K4016" i="14"/>
  <c r="F4017" i="14"/>
  <c r="H4017" i="14" s="1"/>
  <c r="G4017" i="14"/>
  <c r="I4017" i="14" s="1"/>
  <c r="K4017" i="14"/>
  <c r="F4018" i="14"/>
  <c r="H4018" i="14" s="1"/>
  <c r="G4018" i="14"/>
  <c r="I4018" i="14" s="1"/>
  <c r="K4018" i="14"/>
  <c r="F4019" i="14"/>
  <c r="H4019" i="14" s="1"/>
  <c r="G4019" i="14"/>
  <c r="I4019" i="14" s="1"/>
  <c r="K4019" i="14"/>
  <c r="F4020" i="14"/>
  <c r="H4020" i="14" s="1"/>
  <c r="G4020" i="14"/>
  <c r="I4020" i="14" s="1"/>
  <c r="J4020" i="14" s="1"/>
  <c r="K4020" i="14"/>
  <c r="F4021" i="14"/>
  <c r="H4021" i="14" s="1"/>
  <c r="G4021" i="14"/>
  <c r="I4021" i="14" s="1"/>
  <c r="K4021" i="14"/>
  <c r="F4022" i="14"/>
  <c r="H4022" i="14" s="1"/>
  <c r="G4022" i="14"/>
  <c r="I4022" i="14" s="1"/>
  <c r="K4022" i="14"/>
  <c r="F4023" i="14"/>
  <c r="H4023" i="14" s="1"/>
  <c r="G4023" i="14"/>
  <c r="I4023" i="14" s="1"/>
  <c r="K4023" i="14"/>
  <c r="F4024" i="14"/>
  <c r="H4024" i="14" s="1"/>
  <c r="G4024" i="14"/>
  <c r="I4024" i="14" s="1"/>
  <c r="K4024" i="14"/>
  <c r="F4025" i="14"/>
  <c r="H4025" i="14" s="1"/>
  <c r="G4025" i="14"/>
  <c r="I4025" i="14" s="1"/>
  <c r="K4025" i="14"/>
  <c r="F4026" i="14"/>
  <c r="H4026" i="14" s="1"/>
  <c r="G4026" i="14"/>
  <c r="I4026" i="14" s="1"/>
  <c r="K4026" i="14"/>
  <c r="F4027" i="14"/>
  <c r="H4027" i="14" s="1"/>
  <c r="G4027" i="14"/>
  <c r="I4027" i="14" s="1"/>
  <c r="K4027" i="14"/>
  <c r="F4028" i="14"/>
  <c r="H4028" i="14" s="1"/>
  <c r="G4028" i="14"/>
  <c r="I4028" i="14" s="1"/>
  <c r="K4028" i="14"/>
  <c r="F4029" i="14"/>
  <c r="G4029" i="14"/>
  <c r="I4029" i="14" s="1"/>
  <c r="H4029" i="14"/>
  <c r="K4029" i="14"/>
  <c r="F4030" i="14"/>
  <c r="H4030" i="14" s="1"/>
  <c r="G4030" i="14"/>
  <c r="I4030" i="14" s="1"/>
  <c r="K4030" i="14"/>
  <c r="F4031" i="14"/>
  <c r="H4031" i="14" s="1"/>
  <c r="G4031" i="14"/>
  <c r="I4031" i="14" s="1"/>
  <c r="K4031" i="14"/>
  <c r="F4032" i="14"/>
  <c r="H4032" i="14" s="1"/>
  <c r="G4032" i="14"/>
  <c r="I4032" i="14" s="1"/>
  <c r="K4032" i="14"/>
  <c r="F4033" i="14"/>
  <c r="H4033" i="14" s="1"/>
  <c r="G4033" i="14"/>
  <c r="I4033" i="14" s="1"/>
  <c r="K4033" i="14"/>
  <c r="F4034" i="14"/>
  <c r="H4034" i="14" s="1"/>
  <c r="G4034" i="14"/>
  <c r="I4034" i="14" s="1"/>
  <c r="K4034" i="14"/>
  <c r="F4035" i="14"/>
  <c r="H4035" i="14" s="1"/>
  <c r="G4035" i="14"/>
  <c r="I4035" i="14" s="1"/>
  <c r="K4035" i="14"/>
  <c r="F4036" i="14"/>
  <c r="H4036" i="14" s="1"/>
  <c r="G4036" i="14"/>
  <c r="I4036" i="14" s="1"/>
  <c r="K4036" i="14"/>
  <c r="F4037" i="14"/>
  <c r="H4037" i="14" s="1"/>
  <c r="G4037" i="14"/>
  <c r="I4037" i="14" s="1"/>
  <c r="J4037" i="14" s="1"/>
  <c r="K4037" i="14"/>
  <c r="F4038" i="14"/>
  <c r="H4038" i="14" s="1"/>
  <c r="G4038" i="14"/>
  <c r="I4038" i="14"/>
  <c r="K4038" i="14"/>
  <c r="F4039" i="14"/>
  <c r="H4039" i="14" s="1"/>
  <c r="G4039" i="14"/>
  <c r="I4039" i="14" s="1"/>
  <c r="K4039" i="14"/>
  <c r="F4040" i="14"/>
  <c r="H4040" i="14" s="1"/>
  <c r="G4040" i="14"/>
  <c r="I4040" i="14" s="1"/>
  <c r="K4040" i="14"/>
  <c r="F4041" i="14"/>
  <c r="H4041" i="14" s="1"/>
  <c r="G4041" i="14"/>
  <c r="I4041" i="14" s="1"/>
  <c r="K4041" i="14"/>
  <c r="F4042" i="14"/>
  <c r="H4042" i="14" s="1"/>
  <c r="G4042" i="14"/>
  <c r="I4042" i="14" s="1"/>
  <c r="K4042" i="14"/>
  <c r="F4043" i="14"/>
  <c r="H4043" i="14" s="1"/>
  <c r="G4043" i="14"/>
  <c r="I4043" i="14" s="1"/>
  <c r="K4043" i="14"/>
  <c r="F4044" i="14"/>
  <c r="H4044" i="14" s="1"/>
  <c r="G4044" i="14"/>
  <c r="I4044" i="14" s="1"/>
  <c r="K4044" i="14"/>
  <c r="F4045" i="14"/>
  <c r="H4045" i="14" s="1"/>
  <c r="G4045" i="14"/>
  <c r="I4045" i="14" s="1"/>
  <c r="K4045" i="14"/>
  <c r="F4046" i="14"/>
  <c r="H4046" i="14" s="1"/>
  <c r="G4046" i="14"/>
  <c r="I4046" i="14" s="1"/>
  <c r="K4046" i="14"/>
  <c r="F4047" i="14"/>
  <c r="H4047" i="14" s="1"/>
  <c r="G4047" i="14"/>
  <c r="I4047" i="14" s="1"/>
  <c r="K4047" i="14"/>
  <c r="F4048" i="14"/>
  <c r="H4048" i="14" s="1"/>
  <c r="G4048" i="14"/>
  <c r="I4048" i="14" s="1"/>
  <c r="K4048" i="14"/>
  <c r="F4049" i="14"/>
  <c r="H4049" i="14" s="1"/>
  <c r="G4049" i="14"/>
  <c r="I4049" i="14" s="1"/>
  <c r="K4049" i="14"/>
  <c r="F4050" i="14"/>
  <c r="H4050" i="14" s="1"/>
  <c r="G4050" i="14"/>
  <c r="I4050" i="14" s="1"/>
  <c r="K4050" i="14"/>
  <c r="F4051" i="14"/>
  <c r="H4051" i="14" s="1"/>
  <c r="G4051" i="14"/>
  <c r="I4051" i="14" s="1"/>
  <c r="J4051" i="14" s="1"/>
  <c r="K4051" i="14"/>
  <c r="F4052" i="14"/>
  <c r="H4052" i="14" s="1"/>
  <c r="G4052" i="14"/>
  <c r="I4052" i="14" s="1"/>
  <c r="K4052" i="14"/>
  <c r="F4053" i="14"/>
  <c r="H4053" i="14" s="1"/>
  <c r="G4053" i="14"/>
  <c r="I4053" i="14" s="1"/>
  <c r="K4053" i="14"/>
  <c r="F4054" i="14"/>
  <c r="H4054" i="14" s="1"/>
  <c r="G4054" i="14"/>
  <c r="I4054" i="14" s="1"/>
  <c r="J4054" i="14" s="1"/>
  <c r="K4054" i="14"/>
  <c r="F4055" i="14"/>
  <c r="H4055" i="14" s="1"/>
  <c r="G4055" i="14"/>
  <c r="I4055" i="14" s="1"/>
  <c r="K4055" i="14"/>
  <c r="F4056" i="14"/>
  <c r="H4056" i="14" s="1"/>
  <c r="G4056" i="14"/>
  <c r="I4056" i="14" s="1"/>
  <c r="K4056" i="14"/>
  <c r="F4057" i="14"/>
  <c r="H4057" i="14" s="1"/>
  <c r="G4057" i="14"/>
  <c r="I4057" i="14" s="1"/>
  <c r="K4057" i="14"/>
  <c r="F4058" i="14"/>
  <c r="H4058" i="14" s="1"/>
  <c r="G4058" i="14"/>
  <c r="I4058" i="14" s="1"/>
  <c r="K4058" i="14"/>
  <c r="F4059" i="14"/>
  <c r="H4059" i="14" s="1"/>
  <c r="G4059" i="14"/>
  <c r="I4059" i="14" s="1"/>
  <c r="K4059" i="14"/>
  <c r="F4060" i="14"/>
  <c r="H4060" i="14" s="1"/>
  <c r="G4060" i="14"/>
  <c r="I4060" i="14" s="1"/>
  <c r="J4060" i="14" s="1"/>
  <c r="K4060" i="14"/>
  <c r="F4061" i="14"/>
  <c r="H4061" i="14" s="1"/>
  <c r="G4061" i="14"/>
  <c r="I4061" i="14" s="1"/>
  <c r="K4061" i="14"/>
  <c r="F4062" i="14"/>
  <c r="H4062" i="14" s="1"/>
  <c r="G4062" i="14"/>
  <c r="I4062" i="14" s="1"/>
  <c r="K4062" i="14"/>
  <c r="F4063" i="14"/>
  <c r="H4063" i="14" s="1"/>
  <c r="G4063" i="14"/>
  <c r="I4063" i="14" s="1"/>
  <c r="K4063" i="14"/>
  <c r="F4064" i="14"/>
  <c r="H4064" i="14" s="1"/>
  <c r="G4064" i="14"/>
  <c r="I4064" i="14" s="1"/>
  <c r="K4064" i="14"/>
  <c r="F4065" i="14"/>
  <c r="H4065" i="14" s="1"/>
  <c r="G4065" i="14"/>
  <c r="I4065" i="14" s="1"/>
  <c r="K4065" i="14"/>
  <c r="F4066" i="14"/>
  <c r="H4066" i="14" s="1"/>
  <c r="G4066" i="14"/>
  <c r="I4066" i="14" s="1"/>
  <c r="K4066" i="14"/>
  <c r="F4067" i="14"/>
  <c r="H4067" i="14" s="1"/>
  <c r="G4067" i="14"/>
  <c r="I4067" i="14" s="1"/>
  <c r="K4067" i="14"/>
  <c r="F4068" i="14"/>
  <c r="H4068" i="14" s="1"/>
  <c r="G4068" i="14"/>
  <c r="I4068" i="14" s="1"/>
  <c r="K4068" i="14"/>
  <c r="F4069" i="14"/>
  <c r="H4069" i="14" s="1"/>
  <c r="G4069" i="14"/>
  <c r="I4069" i="14" s="1"/>
  <c r="K4069" i="14"/>
  <c r="F4070" i="14"/>
  <c r="H4070" i="14" s="1"/>
  <c r="G4070" i="14"/>
  <c r="I4070" i="14" s="1"/>
  <c r="J4070" i="14" s="1"/>
  <c r="K4070" i="14"/>
  <c r="F4071" i="14"/>
  <c r="H4071" i="14" s="1"/>
  <c r="G4071" i="14"/>
  <c r="I4071" i="14" s="1"/>
  <c r="K4071" i="14"/>
  <c r="F4072" i="14"/>
  <c r="H4072" i="14" s="1"/>
  <c r="G4072" i="14"/>
  <c r="I4072" i="14" s="1"/>
  <c r="K4072" i="14"/>
  <c r="F4073" i="14"/>
  <c r="H4073" i="14" s="1"/>
  <c r="G4073" i="14"/>
  <c r="I4073" i="14" s="1"/>
  <c r="K4073" i="14"/>
  <c r="F4074" i="14"/>
  <c r="H4074" i="14" s="1"/>
  <c r="G4074" i="14"/>
  <c r="I4074" i="14" s="1"/>
  <c r="J4074" i="14" s="1"/>
  <c r="K4074" i="14"/>
  <c r="F4075" i="14"/>
  <c r="H4075" i="14" s="1"/>
  <c r="G4075" i="14"/>
  <c r="I4075" i="14" s="1"/>
  <c r="K4075" i="14"/>
  <c r="F4076" i="14"/>
  <c r="H4076" i="14" s="1"/>
  <c r="G4076" i="14"/>
  <c r="I4076" i="14" s="1"/>
  <c r="K4076" i="14"/>
  <c r="F4077" i="14"/>
  <c r="H4077" i="14" s="1"/>
  <c r="G4077" i="14"/>
  <c r="I4077" i="14" s="1"/>
  <c r="K4077" i="14"/>
  <c r="F4078" i="14"/>
  <c r="H4078" i="14" s="1"/>
  <c r="G4078" i="14"/>
  <c r="I4078" i="14" s="1"/>
  <c r="K4078" i="14"/>
  <c r="F4079" i="14"/>
  <c r="H4079" i="14" s="1"/>
  <c r="G4079" i="14"/>
  <c r="I4079" i="14" s="1"/>
  <c r="K4079" i="14"/>
  <c r="F4080" i="14"/>
  <c r="H4080" i="14" s="1"/>
  <c r="G4080" i="14"/>
  <c r="I4080" i="14" s="1"/>
  <c r="K4080" i="14"/>
  <c r="F4081" i="14"/>
  <c r="H4081" i="14" s="1"/>
  <c r="G4081" i="14"/>
  <c r="I4081" i="14" s="1"/>
  <c r="K4081" i="14"/>
  <c r="F4082" i="14"/>
  <c r="H4082" i="14" s="1"/>
  <c r="G4082" i="14"/>
  <c r="I4082" i="14" s="1"/>
  <c r="K4082" i="14"/>
  <c r="F4083" i="14"/>
  <c r="H4083" i="14" s="1"/>
  <c r="G4083" i="14"/>
  <c r="I4083" i="14" s="1"/>
  <c r="K4083" i="14"/>
  <c r="F4084" i="14"/>
  <c r="H4084" i="14" s="1"/>
  <c r="G4084" i="14"/>
  <c r="I4084" i="14" s="1"/>
  <c r="K4084" i="14"/>
  <c r="F4085" i="14"/>
  <c r="H4085" i="14" s="1"/>
  <c r="G4085" i="14"/>
  <c r="I4085" i="14" s="1"/>
  <c r="K4085" i="14"/>
  <c r="F4086" i="14"/>
  <c r="H4086" i="14" s="1"/>
  <c r="G4086" i="14"/>
  <c r="I4086" i="14" s="1"/>
  <c r="J4086" i="14" s="1"/>
  <c r="K4086" i="14"/>
  <c r="F4087" i="14"/>
  <c r="H4087" i="14" s="1"/>
  <c r="G4087" i="14"/>
  <c r="I4087" i="14" s="1"/>
  <c r="K4087" i="14"/>
  <c r="F4088" i="14"/>
  <c r="H4088" i="14" s="1"/>
  <c r="G4088" i="14"/>
  <c r="I4088" i="14" s="1"/>
  <c r="K4088" i="14"/>
  <c r="F4089" i="14"/>
  <c r="H4089" i="14" s="1"/>
  <c r="G4089" i="14"/>
  <c r="I4089" i="14" s="1"/>
  <c r="K4089" i="14"/>
  <c r="F4090" i="14"/>
  <c r="H4090" i="14" s="1"/>
  <c r="G4090" i="14"/>
  <c r="I4090" i="14" s="1"/>
  <c r="J4090" i="14" s="1"/>
  <c r="K4090" i="14"/>
  <c r="F4091" i="14"/>
  <c r="H4091" i="14" s="1"/>
  <c r="G4091" i="14"/>
  <c r="I4091" i="14" s="1"/>
  <c r="K4091" i="14"/>
  <c r="F4092" i="14"/>
  <c r="H4092" i="14" s="1"/>
  <c r="G4092" i="14"/>
  <c r="I4092" i="14" s="1"/>
  <c r="K4092" i="14"/>
  <c r="F4093" i="14"/>
  <c r="H4093" i="14" s="1"/>
  <c r="G4093" i="14"/>
  <c r="I4093" i="14" s="1"/>
  <c r="K4093" i="14"/>
  <c r="F4094" i="14"/>
  <c r="H4094" i="14" s="1"/>
  <c r="G4094" i="14"/>
  <c r="I4094" i="14" s="1"/>
  <c r="K4094" i="14"/>
  <c r="F4095" i="14"/>
  <c r="H4095" i="14" s="1"/>
  <c r="G4095" i="14"/>
  <c r="I4095" i="14" s="1"/>
  <c r="K4095" i="14"/>
  <c r="F4096" i="14"/>
  <c r="H4096" i="14" s="1"/>
  <c r="G4096" i="14"/>
  <c r="I4096" i="14" s="1"/>
  <c r="K4096" i="14"/>
  <c r="F4097" i="14"/>
  <c r="H4097" i="14" s="1"/>
  <c r="G4097" i="14"/>
  <c r="I4097" i="14" s="1"/>
  <c r="K4097" i="14"/>
  <c r="F4098" i="14"/>
  <c r="H4098" i="14" s="1"/>
  <c r="G4098" i="14"/>
  <c r="I4098" i="14" s="1"/>
  <c r="K4098" i="14"/>
  <c r="F4099" i="14"/>
  <c r="H4099" i="14" s="1"/>
  <c r="G4099" i="14"/>
  <c r="I4099" i="14" s="1"/>
  <c r="K4099" i="14"/>
  <c r="F4100" i="14"/>
  <c r="H4100" i="14" s="1"/>
  <c r="G4100" i="14"/>
  <c r="I4100" i="14" s="1"/>
  <c r="K4100" i="14"/>
  <c r="F4101" i="14"/>
  <c r="H4101" i="14" s="1"/>
  <c r="G4101" i="14"/>
  <c r="I4101" i="14" s="1"/>
  <c r="K4101" i="14"/>
  <c r="F4102" i="14"/>
  <c r="H4102" i="14" s="1"/>
  <c r="G4102" i="14"/>
  <c r="I4102" i="14" s="1"/>
  <c r="J4102" i="14" s="1"/>
  <c r="K4102" i="14"/>
  <c r="F4103" i="14"/>
  <c r="H4103" i="14" s="1"/>
  <c r="G4103" i="14"/>
  <c r="I4103" i="14" s="1"/>
  <c r="K4103" i="14"/>
  <c r="F4104" i="14"/>
  <c r="H4104" i="14" s="1"/>
  <c r="G4104" i="14"/>
  <c r="I4104" i="14" s="1"/>
  <c r="K4104" i="14"/>
  <c r="F4105" i="14"/>
  <c r="H4105" i="14" s="1"/>
  <c r="G4105" i="14"/>
  <c r="I4105" i="14" s="1"/>
  <c r="K4105" i="14"/>
  <c r="F4106" i="14"/>
  <c r="H4106" i="14" s="1"/>
  <c r="G4106" i="14"/>
  <c r="I4106" i="14" s="1"/>
  <c r="J4106" i="14" s="1"/>
  <c r="K4106" i="14"/>
  <c r="F4107" i="14"/>
  <c r="H4107" i="14" s="1"/>
  <c r="G4107" i="14"/>
  <c r="I4107" i="14" s="1"/>
  <c r="K4107" i="14"/>
  <c r="F4108" i="14"/>
  <c r="H4108" i="14" s="1"/>
  <c r="G4108" i="14"/>
  <c r="I4108" i="14" s="1"/>
  <c r="K4108" i="14"/>
  <c r="F4109" i="14"/>
  <c r="H4109" i="14" s="1"/>
  <c r="G4109" i="14"/>
  <c r="I4109" i="14" s="1"/>
  <c r="K4109" i="14"/>
  <c r="F4110" i="14"/>
  <c r="H4110" i="14" s="1"/>
  <c r="G4110" i="14"/>
  <c r="I4110" i="14" s="1"/>
  <c r="K4110" i="14"/>
  <c r="F4111" i="14"/>
  <c r="H4111" i="14" s="1"/>
  <c r="G4111" i="14"/>
  <c r="I4111" i="14" s="1"/>
  <c r="K4111" i="14"/>
  <c r="F4112" i="14"/>
  <c r="H4112" i="14" s="1"/>
  <c r="G4112" i="14"/>
  <c r="I4112" i="14" s="1"/>
  <c r="K4112" i="14"/>
  <c r="F4113" i="14"/>
  <c r="H4113" i="14" s="1"/>
  <c r="G4113" i="14"/>
  <c r="I4113" i="14" s="1"/>
  <c r="K4113" i="14"/>
  <c r="F4114" i="14"/>
  <c r="H4114" i="14" s="1"/>
  <c r="G4114" i="14"/>
  <c r="I4114" i="14" s="1"/>
  <c r="K4114" i="14"/>
  <c r="F4115" i="14"/>
  <c r="H4115" i="14" s="1"/>
  <c r="G4115" i="14"/>
  <c r="I4115" i="14" s="1"/>
  <c r="K4115" i="14"/>
  <c r="F4116" i="14"/>
  <c r="H4116" i="14" s="1"/>
  <c r="G4116" i="14"/>
  <c r="I4116" i="14" s="1"/>
  <c r="K4116" i="14"/>
  <c r="F4117" i="14"/>
  <c r="H4117" i="14" s="1"/>
  <c r="G4117" i="14"/>
  <c r="I4117" i="14" s="1"/>
  <c r="K4117" i="14"/>
  <c r="F4118" i="14"/>
  <c r="H4118" i="14" s="1"/>
  <c r="G4118" i="14"/>
  <c r="I4118" i="14" s="1"/>
  <c r="J4118" i="14" s="1"/>
  <c r="K4118" i="14"/>
  <c r="F4119" i="14"/>
  <c r="H4119" i="14" s="1"/>
  <c r="G4119" i="14"/>
  <c r="I4119" i="14" s="1"/>
  <c r="K4119" i="14"/>
  <c r="F4120" i="14"/>
  <c r="H4120" i="14" s="1"/>
  <c r="G4120" i="14"/>
  <c r="I4120" i="14" s="1"/>
  <c r="K4120" i="14"/>
  <c r="F4121" i="14"/>
  <c r="H4121" i="14" s="1"/>
  <c r="G4121" i="14"/>
  <c r="I4121" i="14" s="1"/>
  <c r="K4121" i="14"/>
  <c r="F4122" i="14"/>
  <c r="H4122" i="14" s="1"/>
  <c r="G4122" i="14"/>
  <c r="I4122" i="14" s="1"/>
  <c r="J4122" i="14" s="1"/>
  <c r="K4122" i="14"/>
  <c r="F4123" i="14"/>
  <c r="H4123" i="14" s="1"/>
  <c r="G4123" i="14"/>
  <c r="I4123" i="14" s="1"/>
  <c r="K4123" i="14"/>
  <c r="F4124" i="14"/>
  <c r="H4124" i="14" s="1"/>
  <c r="G4124" i="14"/>
  <c r="I4124" i="14" s="1"/>
  <c r="K4124" i="14"/>
  <c r="F4125" i="14"/>
  <c r="H4125" i="14" s="1"/>
  <c r="G4125" i="14"/>
  <c r="I4125" i="14" s="1"/>
  <c r="K4125" i="14"/>
  <c r="F4126" i="14"/>
  <c r="H4126" i="14" s="1"/>
  <c r="G4126" i="14"/>
  <c r="I4126" i="14" s="1"/>
  <c r="K4126" i="14"/>
  <c r="F4127" i="14"/>
  <c r="H4127" i="14" s="1"/>
  <c r="G4127" i="14"/>
  <c r="I4127" i="14" s="1"/>
  <c r="K4127" i="14"/>
  <c r="F4128" i="14"/>
  <c r="H4128" i="14" s="1"/>
  <c r="G4128" i="14"/>
  <c r="I4128" i="14" s="1"/>
  <c r="K4128" i="14"/>
  <c r="F4129" i="14"/>
  <c r="H4129" i="14" s="1"/>
  <c r="G4129" i="14"/>
  <c r="I4129" i="14" s="1"/>
  <c r="K4129" i="14"/>
  <c r="F4130" i="14"/>
  <c r="H4130" i="14" s="1"/>
  <c r="G4130" i="14"/>
  <c r="I4130" i="14" s="1"/>
  <c r="K4130" i="14"/>
  <c r="F4131" i="14"/>
  <c r="H4131" i="14" s="1"/>
  <c r="G4131" i="14"/>
  <c r="I4131" i="14" s="1"/>
  <c r="K4131" i="14"/>
  <c r="F4132" i="14"/>
  <c r="H4132" i="14" s="1"/>
  <c r="G4132" i="14"/>
  <c r="I4132" i="14" s="1"/>
  <c r="K4132" i="14"/>
  <c r="F4133" i="14"/>
  <c r="H4133" i="14" s="1"/>
  <c r="G4133" i="14"/>
  <c r="I4133" i="14" s="1"/>
  <c r="K4133" i="14"/>
  <c r="F4134" i="14"/>
  <c r="H4134" i="14" s="1"/>
  <c r="G4134" i="14"/>
  <c r="I4134" i="14" s="1"/>
  <c r="J4134" i="14" s="1"/>
  <c r="K4134" i="14"/>
  <c r="F4135" i="14"/>
  <c r="H4135" i="14" s="1"/>
  <c r="G4135" i="14"/>
  <c r="I4135" i="14" s="1"/>
  <c r="K4135" i="14"/>
  <c r="F4136" i="14"/>
  <c r="H4136" i="14" s="1"/>
  <c r="G4136" i="14"/>
  <c r="I4136" i="14" s="1"/>
  <c r="K4136" i="14"/>
  <c r="F4137" i="14"/>
  <c r="H4137" i="14" s="1"/>
  <c r="G4137" i="14"/>
  <c r="I4137" i="14" s="1"/>
  <c r="K4137" i="14"/>
  <c r="F4138" i="14"/>
  <c r="H4138" i="14" s="1"/>
  <c r="G4138" i="14"/>
  <c r="I4138" i="14" s="1"/>
  <c r="K4138" i="14"/>
  <c r="F4139" i="14"/>
  <c r="H4139" i="14" s="1"/>
  <c r="G4139" i="14"/>
  <c r="I4139" i="14" s="1"/>
  <c r="K4139" i="14"/>
  <c r="F4140" i="14"/>
  <c r="H4140" i="14" s="1"/>
  <c r="G4140" i="14"/>
  <c r="I4140" i="14" s="1"/>
  <c r="K4140" i="14"/>
  <c r="F4141" i="14"/>
  <c r="H4141" i="14" s="1"/>
  <c r="G4141" i="14"/>
  <c r="I4141" i="14" s="1"/>
  <c r="K4141" i="14"/>
  <c r="F4142" i="14"/>
  <c r="H4142" i="14" s="1"/>
  <c r="G4142" i="14"/>
  <c r="I4142" i="14" s="1"/>
  <c r="K4142" i="14"/>
  <c r="F4143" i="14"/>
  <c r="H4143" i="14" s="1"/>
  <c r="G4143" i="14"/>
  <c r="I4143" i="14" s="1"/>
  <c r="K4143" i="14"/>
  <c r="F4144" i="14"/>
  <c r="H4144" i="14" s="1"/>
  <c r="G4144" i="14"/>
  <c r="I4144" i="14" s="1"/>
  <c r="K4144" i="14"/>
  <c r="F4145" i="14"/>
  <c r="H4145" i="14" s="1"/>
  <c r="G4145" i="14"/>
  <c r="I4145" i="14" s="1"/>
  <c r="K4145" i="14"/>
  <c r="F4146" i="14"/>
  <c r="H4146" i="14" s="1"/>
  <c r="G4146" i="14"/>
  <c r="I4146" i="14" s="1"/>
  <c r="K4146" i="14"/>
  <c r="F4147" i="14"/>
  <c r="H4147" i="14" s="1"/>
  <c r="G4147" i="14"/>
  <c r="I4147" i="14" s="1"/>
  <c r="K4147" i="14"/>
  <c r="F4148" i="14"/>
  <c r="H4148" i="14" s="1"/>
  <c r="G4148" i="14"/>
  <c r="I4148" i="14" s="1"/>
  <c r="K4148" i="14"/>
  <c r="F4149" i="14"/>
  <c r="H4149" i="14" s="1"/>
  <c r="G4149" i="14"/>
  <c r="I4149" i="14" s="1"/>
  <c r="K4149" i="14"/>
  <c r="F4150" i="14"/>
  <c r="H4150" i="14" s="1"/>
  <c r="G4150" i="14"/>
  <c r="I4150" i="14" s="1"/>
  <c r="K4150" i="14"/>
  <c r="F4151" i="14"/>
  <c r="H4151" i="14" s="1"/>
  <c r="G4151" i="14"/>
  <c r="I4151" i="14" s="1"/>
  <c r="K4151" i="14"/>
  <c r="F4152" i="14"/>
  <c r="H4152" i="14" s="1"/>
  <c r="G4152" i="14"/>
  <c r="I4152" i="14" s="1"/>
  <c r="K4152" i="14"/>
  <c r="F4153" i="14"/>
  <c r="H4153" i="14" s="1"/>
  <c r="G4153" i="14"/>
  <c r="I4153" i="14" s="1"/>
  <c r="K4153" i="14"/>
  <c r="F4154" i="14"/>
  <c r="H4154" i="14" s="1"/>
  <c r="G4154" i="14"/>
  <c r="I4154" i="14" s="1"/>
  <c r="K4154" i="14"/>
  <c r="F4155" i="14"/>
  <c r="H4155" i="14" s="1"/>
  <c r="G4155" i="14"/>
  <c r="I4155" i="14" s="1"/>
  <c r="K4155" i="14"/>
  <c r="F4156" i="14"/>
  <c r="H4156" i="14" s="1"/>
  <c r="G4156" i="14"/>
  <c r="I4156" i="14" s="1"/>
  <c r="K4156" i="14"/>
  <c r="F4157" i="14"/>
  <c r="H4157" i="14" s="1"/>
  <c r="G4157" i="14"/>
  <c r="I4157" i="14" s="1"/>
  <c r="K4157" i="14"/>
  <c r="F4158" i="14"/>
  <c r="H4158" i="14" s="1"/>
  <c r="G4158" i="14"/>
  <c r="I4158" i="14" s="1"/>
  <c r="K4158" i="14"/>
  <c r="F4159" i="14"/>
  <c r="H4159" i="14" s="1"/>
  <c r="G4159" i="14"/>
  <c r="I4159" i="14" s="1"/>
  <c r="K4159" i="14"/>
  <c r="F4160" i="14"/>
  <c r="H4160" i="14" s="1"/>
  <c r="G4160" i="14"/>
  <c r="I4160" i="14" s="1"/>
  <c r="K4160" i="14"/>
  <c r="F4161" i="14"/>
  <c r="H4161" i="14" s="1"/>
  <c r="G4161" i="14"/>
  <c r="I4161" i="14" s="1"/>
  <c r="K4161" i="14"/>
  <c r="F4162" i="14"/>
  <c r="H4162" i="14" s="1"/>
  <c r="G4162" i="14"/>
  <c r="I4162" i="14" s="1"/>
  <c r="K4162" i="14"/>
  <c r="F4163" i="14"/>
  <c r="H4163" i="14" s="1"/>
  <c r="G4163" i="14"/>
  <c r="I4163" i="14" s="1"/>
  <c r="K4163" i="14"/>
  <c r="F4164" i="14"/>
  <c r="H4164" i="14" s="1"/>
  <c r="G4164" i="14"/>
  <c r="I4164" i="14" s="1"/>
  <c r="K4164" i="14"/>
  <c r="F4165" i="14"/>
  <c r="H4165" i="14" s="1"/>
  <c r="G4165" i="14"/>
  <c r="I4165" i="14" s="1"/>
  <c r="K4165" i="14"/>
  <c r="F4166" i="14"/>
  <c r="H4166" i="14" s="1"/>
  <c r="G4166" i="14"/>
  <c r="I4166" i="14" s="1"/>
  <c r="K4166" i="14"/>
  <c r="F4167" i="14"/>
  <c r="H4167" i="14" s="1"/>
  <c r="G4167" i="14"/>
  <c r="I4167" i="14" s="1"/>
  <c r="K4167" i="14"/>
  <c r="F4168" i="14"/>
  <c r="H4168" i="14" s="1"/>
  <c r="G4168" i="14"/>
  <c r="I4168" i="14" s="1"/>
  <c r="K4168" i="14"/>
  <c r="F4169" i="14"/>
  <c r="H4169" i="14" s="1"/>
  <c r="G4169" i="14"/>
  <c r="I4169" i="14" s="1"/>
  <c r="K4169" i="14"/>
  <c r="F4170" i="14"/>
  <c r="H4170" i="14" s="1"/>
  <c r="G4170" i="14"/>
  <c r="I4170" i="14" s="1"/>
  <c r="K4170" i="14"/>
  <c r="F4171" i="14"/>
  <c r="H4171" i="14" s="1"/>
  <c r="G4171" i="14"/>
  <c r="I4171" i="14" s="1"/>
  <c r="K4171" i="14"/>
  <c r="F4172" i="14"/>
  <c r="H4172" i="14" s="1"/>
  <c r="G4172" i="14"/>
  <c r="I4172" i="14" s="1"/>
  <c r="K4172" i="14"/>
  <c r="F4173" i="14"/>
  <c r="H4173" i="14" s="1"/>
  <c r="G4173" i="14"/>
  <c r="I4173" i="14" s="1"/>
  <c r="K4173" i="14"/>
  <c r="F4174" i="14"/>
  <c r="H4174" i="14" s="1"/>
  <c r="G4174" i="14"/>
  <c r="I4174" i="14" s="1"/>
  <c r="K4174" i="14"/>
  <c r="F4175" i="14"/>
  <c r="H4175" i="14" s="1"/>
  <c r="G4175" i="14"/>
  <c r="I4175" i="14" s="1"/>
  <c r="K4175" i="14"/>
  <c r="F4176" i="14"/>
  <c r="H4176" i="14" s="1"/>
  <c r="G4176" i="14"/>
  <c r="I4176" i="14" s="1"/>
  <c r="K4176" i="14"/>
  <c r="F4177" i="14"/>
  <c r="H4177" i="14" s="1"/>
  <c r="G4177" i="14"/>
  <c r="I4177" i="14" s="1"/>
  <c r="K4177" i="14"/>
  <c r="F4178" i="14"/>
  <c r="H4178" i="14" s="1"/>
  <c r="G4178" i="14"/>
  <c r="I4178" i="14" s="1"/>
  <c r="K4178" i="14"/>
  <c r="F4179" i="14"/>
  <c r="H4179" i="14" s="1"/>
  <c r="G4179" i="14"/>
  <c r="I4179" i="14" s="1"/>
  <c r="K4179" i="14"/>
  <c r="F4180" i="14"/>
  <c r="H4180" i="14" s="1"/>
  <c r="G4180" i="14"/>
  <c r="I4180" i="14" s="1"/>
  <c r="K4180" i="14"/>
  <c r="F4181" i="14"/>
  <c r="H4181" i="14" s="1"/>
  <c r="G4181" i="14"/>
  <c r="I4181" i="14" s="1"/>
  <c r="K4181" i="14"/>
  <c r="F4182" i="14"/>
  <c r="H4182" i="14" s="1"/>
  <c r="G4182" i="14"/>
  <c r="I4182" i="14" s="1"/>
  <c r="K4182" i="14"/>
  <c r="F4183" i="14"/>
  <c r="H4183" i="14" s="1"/>
  <c r="G4183" i="14"/>
  <c r="I4183" i="14" s="1"/>
  <c r="K4183" i="14"/>
  <c r="F4184" i="14"/>
  <c r="H4184" i="14" s="1"/>
  <c r="G4184" i="14"/>
  <c r="I4184" i="14" s="1"/>
  <c r="K4184" i="14"/>
  <c r="F4185" i="14"/>
  <c r="H4185" i="14" s="1"/>
  <c r="G4185" i="14"/>
  <c r="I4185" i="14" s="1"/>
  <c r="K4185" i="14"/>
  <c r="F4186" i="14"/>
  <c r="H4186" i="14" s="1"/>
  <c r="G4186" i="14"/>
  <c r="I4186" i="14" s="1"/>
  <c r="K4186" i="14"/>
  <c r="F4187" i="14"/>
  <c r="H4187" i="14" s="1"/>
  <c r="G4187" i="14"/>
  <c r="I4187" i="14" s="1"/>
  <c r="K4187" i="14"/>
  <c r="F4188" i="14"/>
  <c r="H4188" i="14" s="1"/>
  <c r="G4188" i="14"/>
  <c r="I4188" i="14" s="1"/>
  <c r="K4188" i="14"/>
  <c r="F4189" i="14"/>
  <c r="H4189" i="14" s="1"/>
  <c r="G4189" i="14"/>
  <c r="I4189" i="14" s="1"/>
  <c r="K4189" i="14"/>
  <c r="F4190" i="14"/>
  <c r="H4190" i="14" s="1"/>
  <c r="G4190" i="14"/>
  <c r="I4190" i="14" s="1"/>
  <c r="K4190" i="14"/>
  <c r="F4191" i="14"/>
  <c r="H4191" i="14" s="1"/>
  <c r="G4191" i="14"/>
  <c r="I4191" i="14" s="1"/>
  <c r="K4191" i="14"/>
  <c r="F4192" i="14"/>
  <c r="H4192" i="14" s="1"/>
  <c r="G4192" i="14"/>
  <c r="I4192" i="14" s="1"/>
  <c r="K4192" i="14"/>
  <c r="F4193" i="14"/>
  <c r="H4193" i="14" s="1"/>
  <c r="G4193" i="14"/>
  <c r="I4193" i="14" s="1"/>
  <c r="K4193" i="14"/>
  <c r="F4194" i="14"/>
  <c r="H4194" i="14" s="1"/>
  <c r="G4194" i="14"/>
  <c r="I4194" i="14" s="1"/>
  <c r="K4194" i="14"/>
  <c r="F4195" i="14"/>
  <c r="H4195" i="14" s="1"/>
  <c r="G4195" i="14"/>
  <c r="I4195" i="14" s="1"/>
  <c r="K4195" i="14"/>
  <c r="F4196" i="14"/>
  <c r="H4196" i="14" s="1"/>
  <c r="G4196" i="14"/>
  <c r="I4196" i="14" s="1"/>
  <c r="K4196" i="14"/>
  <c r="F4197" i="14"/>
  <c r="H4197" i="14" s="1"/>
  <c r="G4197" i="14"/>
  <c r="I4197" i="14" s="1"/>
  <c r="K4197" i="14"/>
  <c r="F4198" i="14"/>
  <c r="H4198" i="14" s="1"/>
  <c r="G4198" i="14"/>
  <c r="I4198" i="14" s="1"/>
  <c r="J4198" i="14" s="1"/>
  <c r="K4198" i="14"/>
  <c r="F4199" i="14"/>
  <c r="H4199" i="14" s="1"/>
  <c r="G4199" i="14"/>
  <c r="I4199" i="14" s="1"/>
  <c r="K4199" i="14"/>
  <c r="F4200" i="14"/>
  <c r="H4200" i="14" s="1"/>
  <c r="G4200" i="14"/>
  <c r="I4200" i="14" s="1"/>
  <c r="K4200" i="14"/>
  <c r="F4201" i="14"/>
  <c r="H4201" i="14" s="1"/>
  <c r="G4201" i="14"/>
  <c r="I4201" i="14" s="1"/>
  <c r="K4201" i="14"/>
  <c r="F4202" i="14"/>
  <c r="H4202" i="14" s="1"/>
  <c r="G4202" i="14"/>
  <c r="I4202" i="14" s="1"/>
  <c r="K4202" i="14"/>
  <c r="F4203" i="14"/>
  <c r="H4203" i="14" s="1"/>
  <c r="G4203" i="14"/>
  <c r="I4203" i="14" s="1"/>
  <c r="K4203" i="14"/>
  <c r="F4204" i="14"/>
  <c r="H4204" i="14" s="1"/>
  <c r="G4204" i="14"/>
  <c r="I4204" i="14" s="1"/>
  <c r="K4204" i="14"/>
  <c r="F4205" i="14"/>
  <c r="H4205" i="14" s="1"/>
  <c r="G4205" i="14"/>
  <c r="I4205" i="14" s="1"/>
  <c r="K4205" i="14"/>
  <c r="F4206" i="14"/>
  <c r="H4206" i="14" s="1"/>
  <c r="G4206" i="14"/>
  <c r="I4206" i="14" s="1"/>
  <c r="K4206" i="14"/>
  <c r="F4207" i="14"/>
  <c r="H4207" i="14" s="1"/>
  <c r="G4207" i="14"/>
  <c r="I4207" i="14" s="1"/>
  <c r="K4207" i="14"/>
  <c r="F4208" i="14"/>
  <c r="H4208" i="14" s="1"/>
  <c r="G4208" i="14"/>
  <c r="I4208" i="14" s="1"/>
  <c r="K4208" i="14"/>
  <c r="F4209" i="14"/>
  <c r="H4209" i="14" s="1"/>
  <c r="G4209" i="14"/>
  <c r="I4209" i="14" s="1"/>
  <c r="K4209" i="14"/>
  <c r="F4210" i="14"/>
  <c r="H4210" i="14" s="1"/>
  <c r="G4210" i="14"/>
  <c r="I4210" i="14" s="1"/>
  <c r="K4210" i="14"/>
  <c r="F4211" i="14"/>
  <c r="H4211" i="14" s="1"/>
  <c r="G4211" i="14"/>
  <c r="I4211" i="14" s="1"/>
  <c r="K4211" i="14"/>
  <c r="F4212" i="14"/>
  <c r="H4212" i="14" s="1"/>
  <c r="G4212" i="14"/>
  <c r="I4212" i="14" s="1"/>
  <c r="K4212" i="14"/>
  <c r="F4213" i="14"/>
  <c r="H4213" i="14" s="1"/>
  <c r="G4213" i="14"/>
  <c r="I4213" i="14" s="1"/>
  <c r="J4213" i="14" s="1"/>
  <c r="K4213" i="14"/>
  <c r="F4214" i="14"/>
  <c r="H4214" i="14" s="1"/>
  <c r="G4214" i="14"/>
  <c r="I4214" i="14" s="1"/>
  <c r="J4214" i="14" s="1"/>
  <c r="K4214" i="14"/>
  <c r="F4215" i="14"/>
  <c r="G4215" i="14"/>
  <c r="I4215" i="14" s="1"/>
  <c r="H4215" i="14"/>
  <c r="K4215" i="14"/>
  <c r="F4216" i="14"/>
  <c r="H4216" i="14" s="1"/>
  <c r="G4216" i="14"/>
  <c r="I4216" i="14" s="1"/>
  <c r="K4216" i="14"/>
  <c r="F4217" i="14"/>
  <c r="G4217" i="14"/>
  <c r="I4217" i="14" s="1"/>
  <c r="H4217" i="14"/>
  <c r="K4217" i="14"/>
  <c r="F4218" i="14"/>
  <c r="H4218" i="14" s="1"/>
  <c r="G4218" i="14"/>
  <c r="I4218" i="14" s="1"/>
  <c r="J4218" i="14" s="1"/>
  <c r="K4218" i="14"/>
  <c r="F4219" i="14"/>
  <c r="H4219" i="14" s="1"/>
  <c r="G4219" i="14"/>
  <c r="I4219" i="14" s="1"/>
  <c r="K4219" i="14"/>
  <c r="F4220" i="14"/>
  <c r="H4220" i="14" s="1"/>
  <c r="G4220" i="14"/>
  <c r="I4220" i="14" s="1"/>
  <c r="K4220" i="14"/>
  <c r="F4221" i="14"/>
  <c r="H4221" i="14" s="1"/>
  <c r="G4221" i="14"/>
  <c r="I4221" i="14" s="1"/>
  <c r="K4221" i="14"/>
  <c r="F4222" i="14"/>
  <c r="H4222" i="14" s="1"/>
  <c r="G4222" i="14"/>
  <c r="I4222" i="14" s="1"/>
  <c r="K4222" i="14"/>
  <c r="F4223" i="14"/>
  <c r="H4223" i="14" s="1"/>
  <c r="G4223" i="14"/>
  <c r="I4223" i="14" s="1"/>
  <c r="K4223" i="14"/>
  <c r="F4224" i="14"/>
  <c r="H4224" i="14" s="1"/>
  <c r="G4224" i="14"/>
  <c r="I4224" i="14" s="1"/>
  <c r="K4224" i="14"/>
  <c r="F4225" i="14"/>
  <c r="H4225" i="14" s="1"/>
  <c r="G4225" i="14"/>
  <c r="I4225" i="14" s="1"/>
  <c r="K4225" i="14"/>
  <c r="F4226" i="14"/>
  <c r="H4226" i="14" s="1"/>
  <c r="G4226" i="14"/>
  <c r="I4226" i="14" s="1"/>
  <c r="K4226" i="14"/>
  <c r="F4227" i="14"/>
  <c r="H4227" i="14" s="1"/>
  <c r="G4227" i="14"/>
  <c r="I4227" i="14" s="1"/>
  <c r="K4227" i="14"/>
  <c r="F4228" i="14"/>
  <c r="H4228" i="14" s="1"/>
  <c r="G4228" i="14"/>
  <c r="I4228" i="14" s="1"/>
  <c r="K4228" i="14"/>
  <c r="F4229" i="14"/>
  <c r="H4229" i="14" s="1"/>
  <c r="G4229" i="14"/>
  <c r="I4229" i="14" s="1"/>
  <c r="K4229" i="14"/>
  <c r="F4230" i="14"/>
  <c r="H4230" i="14" s="1"/>
  <c r="G4230" i="14"/>
  <c r="I4230" i="14" s="1"/>
  <c r="J4230" i="14" s="1"/>
  <c r="K4230" i="14"/>
  <c r="F4231" i="14"/>
  <c r="H4231" i="14" s="1"/>
  <c r="G4231" i="14"/>
  <c r="I4231" i="14" s="1"/>
  <c r="K4231" i="14"/>
  <c r="F4232" i="14"/>
  <c r="H4232" i="14" s="1"/>
  <c r="G4232" i="14"/>
  <c r="I4232" i="14" s="1"/>
  <c r="K4232" i="14"/>
  <c r="F4233" i="14"/>
  <c r="H4233" i="14" s="1"/>
  <c r="G4233" i="14"/>
  <c r="I4233" i="14" s="1"/>
  <c r="K4233" i="14"/>
  <c r="F4234" i="14"/>
  <c r="H4234" i="14" s="1"/>
  <c r="G4234" i="14"/>
  <c r="I4234" i="14" s="1"/>
  <c r="K4234" i="14"/>
  <c r="F4235" i="14"/>
  <c r="H4235" i="14" s="1"/>
  <c r="G4235" i="14"/>
  <c r="I4235" i="14" s="1"/>
  <c r="K4235" i="14"/>
  <c r="F4236" i="14"/>
  <c r="H4236" i="14" s="1"/>
  <c r="G4236" i="14"/>
  <c r="I4236" i="14" s="1"/>
  <c r="K4236" i="14"/>
  <c r="F4237" i="14"/>
  <c r="H4237" i="14" s="1"/>
  <c r="G4237" i="14"/>
  <c r="I4237" i="14" s="1"/>
  <c r="K4237" i="14"/>
  <c r="F4238" i="14"/>
  <c r="H4238" i="14" s="1"/>
  <c r="G4238" i="14"/>
  <c r="I4238" i="14" s="1"/>
  <c r="K4238" i="14"/>
  <c r="F4239" i="14"/>
  <c r="H4239" i="14" s="1"/>
  <c r="G4239" i="14"/>
  <c r="I4239" i="14" s="1"/>
  <c r="K4239" i="14"/>
  <c r="F4240" i="14"/>
  <c r="H4240" i="14" s="1"/>
  <c r="G4240" i="14"/>
  <c r="I4240" i="14" s="1"/>
  <c r="K4240" i="14"/>
  <c r="F4241" i="14"/>
  <c r="H4241" i="14" s="1"/>
  <c r="G4241" i="14"/>
  <c r="I4241" i="14" s="1"/>
  <c r="K4241" i="14"/>
  <c r="F4242" i="14"/>
  <c r="H4242" i="14" s="1"/>
  <c r="G4242" i="14"/>
  <c r="I4242" i="14" s="1"/>
  <c r="K4242" i="14"/>
  <c r="F4243" i="14"/>
  <c r="H4243" i="14" s="1"/>
  <c r="G4243" i="14"/>
  <c r="I4243" i="14" s="1"/>
  <c r="K4243" i="14"/>
  <c r="F4244" i="14"/>
  <c r="H4244" i="14" s="1"/>
  <c r="G4244" i="14"/>
  <c r="I4244" i="14" s="1"/>
  <c r="K4244" i="14"/>
  <c r="F4245" i="14"/>
  <c r="H4245" i="14" s="1"/>
  <c r="G4245" i="14"/>
  <c r="I4245" i="14" s="1"/>
  <c r="J4245" i="14" s="1"/>
  <c r="K4245" i="14"/>
  <c r="F4246" i="14"/>
  <c r="H4246" i="14" s="1"/>
  <c r="G4246" i="14"/>
  <c r="I4246" i="14" s="1"/>
  <c r="J4246" i="14" s="1"/>
  <c r="K4246" i="14"/>
  <c r="F4247" i="14"/>
  <c r="H4247" i="14" s="1"/>
  <c r="G4247" i="14"/>
  <c r="I4247" i="14" s="1"/>
  <c r="K4247" i="14"/>
  <c r="F4248" i="14"/>
  <c r="H4248" i="14" s="1"/>
  <c r="G4248" i="14"/>
  <c r="I4248" i="14" s="1"/>
  <c r="K4248" i="14"/>
  <c r="F4249" i="14"/>
  <c r="H4249" i="14" s="1"/>
  <c r="G4249" i="14"/>
  <c r="I4249" i="14" s="1"/>
  <c r="K4249" i="14"/>
  <c r="F4250" i="14"/>
  <c r="H4250" i="14" s="1"/>
  <c r="G4250" i="14"/>
  <c r="I4250" i="14" s="1"/>
  <c r="J4250" i="14" s="1"/>
  <c r="K4250" i="14"/>
  <c r="F4251" i="14"/>
  <c r="H4251" i="14" s="1"/>
  <c r="G4251" i="14"/>
  <c r="I4251" i="14" s="1"/>
  <c r="K4251" i="14"/>
  <c r="F4252" i="14"/>
  <c r="H4252" i="14" s="1"/>
  <c r="G4252" i="14"/>
  <c r="I4252" i="14" s="1"/>
  <c r="K4252" i="14"/>
  <c r="F4253" i="14"/>
  <c r="H4253" i="14" s="1"/>
  <c r="G4253" i="14"/>
  <c r="I4253" i="14" s="1"/>
  <c r="K4253" i="14"/>
  <c r="F4254" i="14"/>
  <c r="H4254" i="14" s="1"/>
  <c r="G4254" i="14"/>
  <c r="I4254" i="14" s="1"/>
  <c r="K4254" i="14"/>
  <c r="F4255" i="14"/>
  <c r="H4255" i="14" s="1"/>
  <c r="G4255" i="14"/>
  <c r="I4255" i="14" s="1"/>
  <c r="K4255" i="14"/>
  <c r="F4256" i="14"/>
  <c r="H4256" i="14" s="1"/>
  <c r="G4256" i="14"/>
  <c r="I4256" i="14" s="1"/>
  <c r="K4256" i="14"/>
  <c r="F4257" i="14"/>
  <c r="H4257" i="14" s="1"/>
  <c r="G4257" i="14"/>
  <c r="I4257" i="14" s="1"/>
  <c r="K4257" i="14"/>
  <c r="F4258" i="14"/>
  <c r="H4258" i="14" s="1"/>
  <c r="G4258" i="14"/>
  <c r="I4258" i="14" s="1"/>
  <c r="K4258" i="14"/>
  <c r="F4259" i="14"/>
  <c r="H4259" i="14" s="1"/>
  <c r="G4259" i="14"/>
  <c r="I4259" i="14" s="1"/>
  <c r="K4259" i="14"/>
  <c r="F4260" i="14"/>
  <c r="H4260" i="14" s="1"/>
  <c r="G4260" i="14"/>
  <c r="I4260" i="14"/>
  <c r="K4260" i="14"/>
  <c r="F4261" i="14"/>
  <c r="H4261" i="14" s="1"/>
  <c r="G4261" i="14"/>
  <c r="I4261" i="14"/>
  <c r="K4261" i="14"/>
  <c r="F4262" i="14"/>
  <c r="H4262" i="14" s="1"/>
  <c r="G4262" i="14"/>
  <c r="I4262" i="14"/>
  <c r="J4262" i="14" s="1"/>
  <c r="K4262" i="14"/>
  <c r="F4263" i="14"/>
  <c r="G4263" i="14"/>
  <c r="I4263" i="14" s="1"/>
  <c r="H4263" i="14"/>
  <c r="K4263" i="14"/>
  <c r="F4264" i="14"/>
  <c r="H4264" i="14" s="1"/>
  <c r="G4264" i="14"/>
  <c r="I4264" i="14"/>
  <c r="J4264" i="14" s="1"/>
  <c r="K4264" i="14"/>
  <c r="F4265" i="14"/>
  <c r="G4265" i="14"/>
  <c r="I4265" i="14" s="1"/>
  <c r="H4265" i="14"/>
  <c r="K4265" i="14"/>
  <c r="F4266" i="14"/>
  <c r="H4266" i="14" s="1"/>
  <c r="G4266" i="14"/>
  <c r="I4266" i="14" s="1"/>
  <c r="J4266" i="14" s="1"/>
  <c r="K4266" i="14"/>
  <c r="F4267" i="14"/>
  <c r="G4267" i="14"/>
  <c r="I4267" i="14" s="1"/>
  <c r="H4267" i="14"/>
  <c r="K4267" i="14"/>
  <c r="F4268" i="14"/>
  <c r="H4268" i="14" s="1"/>
  <c r="G4268" i="14"/>
  <c r="I4268" i="14" s="1"/>
  <c r="K4268" i="14"/>
  <c r="F4269" i="14"/>
  <c r="H4269" i="14" s="1"/>
  <c r="G4269" i="14"/>
  <c r="I4269" i="14" s="1"/>
  <c r="K4269" i="14"/>
  <c r="F4270" i="14"/>
  <c r="H4270" i="14" s="1"/>
  <c r="G4270" i="14"/>
  <c r="I4270" i="14" s="1"/>
  <c r="K4270" i="14"/>
  <c r="F4271" i="14"/>
  <c r="H4271" i="14" s="1"/>
  <c r="G4271" i="14"/>
  <c r="I4271" i="14" s="1"/>
  <c r="K4271" i="14"/>
  <c r="F4272" i="14"/>
  <c r="H4272" i="14" s="1"/>
  <c r="G4272" i="14"/>
  <c r="I4272" i="14" s="1"/>
  <c r="K4272" i="14"/>
  <c r="F4273" i="14"/>
  <c r="H4273" i="14" s="1"/>
  <c r="G4273" i="14"/>
  <c r="I4273" i="14" s="1"/>
  <c r="K4273" i="14"/>
  <c r="F4274" i="14"/>
  <c r="H4274" i="14" s="1"/>
  <c r="G4274" i="14"/>
  <c r="I4274" i="14" s="1"/>
  <c r="K4274" i="14"/>
  <c r="F4275" i="14"/>
  <c r="H4275" i="14" s="1"/>
  <c r="G4275" i="14"/>
  <c r="I4275" i="14" s="1"/>
  <c r="K4275" i="14"/>
  <c r="F4276" i="14"/>
  <c r="H4276" i="14" s="1"/>
  <c r="G4276" i="14"/>
  <c r="I4276" i="14"/>
  <c r="K4276" i="14"/>
  <c r="F4277" i="14"/>
  <c r="H4277" i="14" s="1"/>
  <c r="G4277" i="14"/>
  <c r="I4277" i="14"/>
  <c r="K4277" i="14"/>
  <c r="F4278" i="14"/>
  <c r="H4278" i="14" s="1"/>
  <c r="G4278" i="14"/>
  <c r="I4278" i="14" s="1"/>
  <c r="K4278" i="14"/>
  <c r="F4279" i="14"/>
  <c r="H4279" i="14" s="1"/>
  <c r="G4279" i="14"/>
  <c r="I4279" i="14" s="1"/>
  <c r="J4279" i="14" s="1"/>
  <c r="K4279" i="14"/>
  <c r="F4280" i="14"/>
  <c r="H4280" i="14" s="1"/>
  <c r="G4280" i="14"/>
  <c r="I4280" i="14" s="1"/>
  <c r="K4280" i="14"/>
  <c r="F4281" i="14"/>
  <c r="H4281" i="14" s="1"/>
  <c r="G4281" i="14"/>
  <c r="I4281" i="14" s="1"/>
  <c r="K4281" i="14"/>
  <c r="F4282" i="14"/>
  <c r="H4282" i="14" s="1"/>
  <c r="G4282" i="14"/>
  <c r="I4282" i="14" s="1"/>
  <c r="K4282" i="14"/>
  <c r="F4283" i="14"/>
  <c r="H4283" i="14" s="1"/>
  <c r="G4283" i="14"/>
  <c r="I4283" i="14" s="1"/>
  <c r="K4283" i="14"/>
  <c r="F4284" i="14"/>
  <c r="H4284" i="14" s="1"/>
  <c r="G4284" i="14"/>
  <c r="I4284" i="14" s="1"/>
  <c r="K4284" i="14"/>
  <c r="F4285" i="14"/>
  <c r="H4285" i="14" s="1"/>
  <c r="G4285" i="14"/>
  <c r="I4285" i="14" s="1"/>
  <c r="K4285" i="14"/>
  <c r="F4286" i="14"/>
  <c r="H4286" i="14" s="1"/>
  <c r="G4286" i="14"/>
  <c r="I4286" i="14" s="1"/>
  <c r="K4286" i="14"/>
  <c r="F4287" i="14"/>
  <c r="H4287" i="14" s="1"/>
  <c r="G4287" i="14"/>
  <c r="I4287" i="14" s="1"/>
  <c r="K4287" i="14"/>
  <c r="F4288" i="14"/>
  <c r="H4288" i="14" s="1"/>
  <c r="G4288" i="14"/>
  <c r="I4288" i="14" s="1"/>
  <c r="K4288" i="14"/>
  <c r="F4289" i="14"/>
  <c r="H4289" i="14" s="1"/>
  <c r="G4289" i="14"/>
  <c r="I4289" i="14" s="1"/>
  <c r="K4289" i="14"/>
  <c r="F4290" i="14"/>
  <c r="H4290" i="14" s="1"/>
  <c r="G4290" i="14"/>
  <c r="I4290" i="14" s="1"/>
  <c r="K4290" i="14"/>
  <c r="F4291" i="14"/>
  <c r="H4291" i="14" s="1"/>
  <c r="G4291" i="14"/>
  <c r="I4291" i="14" s="1"/>
  <c r="K4291" i="14"/>
  <c r="F4292" i="14"/>
  <c r="H4292" i="14" s="1"/>
  <c r="G4292" i="14"/>
  <c r="I4292" i="14" s="1"/>
  <c r="K4292" i="14"/>
  <c r="F4293" i="14"/>
  <c r="H4293" i="14" s="1"/>
  <c r="G4293" i="14"/>
  <c r="I4293" i="14" s="1"/>
  <c r="J4293" i="14" s="1"/>
  <c r="K4293" i="14"/>
  <c r="F4294" i="14"/>
  <c r="H4294" i="14" s="1"/>
  <c r="G4294" i="14"/>
  <c r="I4294" i="14" s="1"/>
  <c r="J4294" i="14" s="1"/>
  <c r="K4294" i="14"/>
  <c r="F4295" i="14"/>
  <c r="G4295" i="14"/>
  <c r="I4295" i="14" s="1"/>
  <c r="H4295" i="14"/>
  <c r="K4295" i="14"/>
  <c r="F4296" i="14"/>
  <c r="H4296" i="14" s="1"/>
  <c r="G4296" i="14"/>
  <c r="I4296" i="14" s="1"/>
  <c r="J4296" i="14" s="1"/>
  <c r="K4296" i="14"/>
  <c r="F4297" i="14"/>
  <c r="G4297" i="14"/>
  <c r="I4297" i="14" s="1"/>
  <c r="H4297" i="14"/>
  <c r="K4297" i="14"/>
  <c r="F4298" i="14"/>
  <c r="H4298" i="14" s="1"/>
  <c r="G4298" i="14"/>
  <c r="I4298" i="14" s="1"/>
  <c r="K4298" i="14"/>
  <c r="F4299" i="14"/>
  <c r="H4299" i="14" s="1"/>
  <c r="G4299" i="14"/>
  <c r="I4299" i="14" s="1"/>
  <c r="K4299" i="14"/>
  <c r="F4300" i="14"/>
  <c r="H4300" i="14" s="1"/>
  <c r="G4300" i="14"/>
  <c r="I4300" i="14" s="1"/>
  <c r="K4300" i="14"/>
  <c r="F4301" i="14"/>
  <c r="H4301" i="14" s="1"/>
  <c r="G4301" i="14"/>
  <c r="I4301" i="14" s="1"/>
  <c r="K4301" i="14"/>
  <c r="F4302" i="14"/>
  <c r="H4302" i="14" s="1"/>
  <c r="G4302" i="14"/>
  <c r="I4302" i="14" s="1"/>
  <c r="K4302" i="14"/>
  <c r="F4303" i="14"/>
  <c r="H4303" i="14" s="1"/>
  <c r="G4303" i="14"/>
  <c r="I4303" i="14" s="1"/>
  <c r="K4303" i="14"/>
  <c r="F4304" i="14"/>
  <c r="H4304" i="14" s="1"/>
  <c r="G4304" i="14"/>
  <c r="I4304" i="14" s="1"/>
  <c r="K4304" i="14"/>
  <c r="F4305" i="14"/>
  <c r="H4305" i="14" s="1"/>
  <c r="G4305" i="14"/>
  <c r="I4305" i="14" s="1"/>
  <c r="K4305" i="14"/>
  <c r="F4306" i="14"/>
  <c r="H4306" i="14" s="1"/>
  <c r="G4306" i="14"/>
  <c r="I4306" i="14" s="1"/>
  <c r="J4306" i="14" s="1"/>
  <c r="K4306" i="14"/>
  <c r="F4307" i="14"/>
  <c r="H4307" i="14" s="1"/>
  <c r="G4307" i="14"/>
  <c r="I4307" i="14" s="1"/>
  <c r="K4307" i="14"/>
  <c r="F4308" i="14"/>
  <c r="H4308" i="14" s="1"/>
  <c r="G4308" i="14"/>
  <c r="I4308" i="14" s="1"/>
  <c r="K4308" i="14"/>
  <c r="F4309" i="14"/>
  <c r="H4309" i="14" s="1"/>
  <c r="G4309" i="14"/>
  <c r="I4309" i="14" s="1"/>
  <c r="K4309" i="14"/>
  <c r="F4310" i="14"/>
  <c r="H4310" i="14" s="1"/>
  <c r="G4310" i="14"/>
  <c r="I4310" i="14" s="1"/>
  <c r="K4310" i="14"/>
  <c r="F4311" i="14"/>
  <c r="G4311" i="14"/>
  <c r="I4311" i="14" s="1"/>
  <c r="H4311" i="14"/>
  <c r="K4311" i="14"/>
  <c r="F4312" i="14"/>
  <c r="H4312" i="14" s="1"/>
  <c r="G4312" i="14"/>
  <c r="I4312" i="14" s="1"/>
  <c r="K4312" i="14"/>
  <c r="F4313" i="14"/>
  <c r="G4313" i="14"/>
  <c r="I4313" i="14" s="1"/>
  <c r="H4313" i="14"/>
  <c r="K4313" i="14"/>
  <c r="F4314" i="14"/>
  <c r="H4314" i="14" s="1"/>
  <c r="G4314" i="14"/>
  <c r="I4314" i="14" s="1"/>
  <c r="K4314" i="14"/>
  <c r="F4315" i="14"/>
  <c r="H4315" i="14" s="1"/>
  <c r="G4315" i="14"/>
  <c r="I4315" i="14" s="1"/>
  <c r="K4315" i="14"/>
  <c r="F4316" i="14"/>
  <c r="H4316" i="14" s="1"/>
  <c r="G4316" i="14"/>
  <c r="I4316" i="14" s="1"/>
  <c r="K4316" i="14"/>
  <c r="F4317" i="14"/>
  <c r="H4317" i="14" s="1"/>
  <c r="G4317" i="14"/>
  <c r="I4317" i="14" s="1"/>
  <c r="K4317" i="14"/>
  <c r="F4318" i="14"/>
  <c r="H4318" i="14" s="1"/>
  <c r="G4318" i="14"/>
  <c r="I4318" i="14" s="1"/>
  <c r="K4318" i="14"/>
  <c r="F4319" i="14"/>
  <c r="H4319" i="14" s="1"/>
  <c r="G4319" i="14"/>
  <c r="I4319" i="14" s="1"/>
  <c r="K4319" i="14"/>
  <c r="F4320" i="14"/>
  <c r="H4320" i="14" s="1"/>
  <c r="G4320" i="14"/>
  <c r="I4320" i="14" s="1"/>
  <c r="K4320" i="14"/>
  <c r="F4321" i="14"/>
  <c r="H4321" i="14" s="1"/>
  <c r="G4321" i="14"/>
  <c r="I4321" i="14" s="1"/>
  <c r="K4321" i="14"/>
  <c r="F4322" i="14"/>
  <c r="H4322" i="14" s="1"/>
  <c r="G4322" i="14"/>
  <c r="I4322" i="14" s="1"/>
  <c r="K4322" i="14"/>
  <c r="F4323" i="14"/>
  <c r="H4323" i="14" s="1"/>
  <c r="G4323" i="14"/>
  <c r="I4323" i="14" s="1"/>
  <c r="K4323" i="14"/>
  <c r="F4324" i="14"/>
  <c r="H4324" i="14" s="1"/>
  <c r="G4324" i="14"/>
  <c r="I4324" i="14" s="1"/>
  <c r="K4324" i="14"/>
  <c r="F4325" i="14"/>
  <c r="H4325" i="14" s="1"/>
  <c r="G4325" i="14"/>
  <c r="I4325" i="14" s="1"/>
  <c r="K4325" i="14"/>
  <c r="F4326" i="14"/>
  <c r="H4326" i="14" s="1"/>
  <c r="G4326" i="14"/>
  <c r="I4326" i="14" s="1"/>
  <c r="K4326" i="14"/>
  <c r="F4327" i="14"/>
  <c r="H4327" i="14" s="1"/>
  <c r="G4327" i="14"/>
  <c r="I4327" i="14" s="1"/>
  <c r="K4327" i="14"/>
  <c r="F4328" i="14"/>
  <c r="H4328" i="14" s="1"/>
  <c r="G4328" i="14"/>
  <c r="I4328" i="14" s="1"/>
  <c r="K4328" i="14"/>
  <c r="F4329" i="14"/>
  <c r="H4329" i="14" s="1"/>
  <c r="G4329" i="14"/>
  <c r="I4329" i="14" s="1"/>
  <c r="K4329" i="14"/>
  <c r="F4330" i="14"/>
  <c r="H4330" i="14" s="1"/>
  <c r="G4330" i="14"/>
  <c r="I4330" i="14" s="1"/>
  <c r="K4330" i="14"/>
  <c r="F4331" i="14"/>
  <c r="H4331" i="14" s="1"/>
  <c r="G4331" i="14"/>
  <c r="I4331" i="14" s="1"/>
  <c r="K4331" i="14"/>
  <c r="F4332" i="14"/>
  <c r="H4332" i="14" s="1"/>
  <c r="G4332" i="14"/>
  <c r="I4332" i="14" s="1"/>
  <c r="K4332" i="14"/>
  <c r="F4333" i="14"/>
  <c r="H4333" i="14" s="1"/>
  <c r="G4333" i="14"/>
  <c r="I4333" i="14" s="1"/>
  <c r="K4333" i="14"/>
  <c r="F4334" i="14"/>
  <c r="H4334" i="14" s="1"/>
  <c r="G4334" i="14"/>
  <c r="I4334" i="14" s="1"/>
  <c r="K4334" i="14"/>
  <c r="F4335" i="14"/>
  <c r="H4335" i="14" s="1"/>
  <c r="G4335" i="14"/>
  <c r="I4335" i="14" s="1"/>
  <c r="K4335" i="14"/>
  <c r="F4336" i="14"/>
  <c r="H4336" i="14" s="1"/>
  <c r="G4336" i="14"/>
  <c r="I4336" i="14" s="1"/>
  <c r="K4336" i="14"/>
  <c r="F4337" i="14"/>
  <c r="H4337" i="14" s="1"/>
  <c r="G4337" i="14"/>
  <c r="I4337" i="14" s="1"/>
  <c r="K4337" i="14"/>
  <c r="F4338" i="14"/>
  <c r="H4338" i="14" s="1"/>
  <c r="G4338" i="14"/>
  <c r="I4338" i="14" s="1"/>
  <c r="K4338" i="14"/>
  <c r="F4339" i="14"/>
  <c r="H4339" i="14" s="1"/>
  <c r="G4339" i="14"/>
  <c r="I4339" i="14" s="1"/>
  <c r="K4339" i="14"/>
  <c r="F4340" i="14"/>
  <c r="H4340" i="14" s="1"/>
  <c r="G4340" i="14"/>
  <c r="I4340" i="14" s="1"/>
  <c r="K4340" i="14"/>
  <c r="F4341" i="14"/>
  <c r="H4341" i="14" s="1"/>
  <c r="G4341" i="14"/>
  <c r="I4341" i="14" s="1"/>
  <c r="K4341" i="14"/>
  <c r="F4342" i="14"/>
  <c r="H4342" i="14" s="1"/>
  <c r="G4342" i="14"/>
  <c r="I4342" i="14" s="1"/>
  <c r="J4342" i="14" s="1"/>
  <c r="K4342" i="14"/>
  <c r="F4343" i="14"/>
  <c r="G4343" i="14"/>
  <c r="I4343" i="14" s="1"/>
  <c r="H4343" i="14"/>
  <c r="K4343" i="14"/>
  <c r="F4344" i="14"/>
  <c r="H4344" i="14" s="1"/>
  <c r="G4344" i="14"/>
  <c r="I4344" i="14" s="1"/>
  <c r="K4344" i="14"/>
  <c r="F4345" i="14"/>
  <c r="H4345" i="14" s="1"/>
  <c r="G4345" i="14"/>
  <c r="I4345" i="14" s="1"/>
  <c r="K4345" i="14"/>
  <c r="F4346" i="14"/>
  <c r="H4346" i="14" s="1"/>
  <c r="G4346" i="14"/>
  <c r="I4346" i="14" s="1"/>
  <c r="J4346" i="14" s="1"/>
  <c r="K4346" i="14"/>
  <c r="F4347" i="14"/>
  <c r="H4347" i="14" s="1"/>
  <c r="G4347" i="14"/>
  <c r="I4347" i="14" s="1"/>
  <c r="K4347" i="14"/>
  <c r="F4348" i="14"/>
  <c r="H4348" i="14" s="1"/>
  <c r="G4348" i="14"/>
  <c r="I4348" i="14" s="1"/>
  <c r="J4348" i="14" s="1"/>
  <c r="K4348" i="14"/>
  <c r="F4349" i="14"/>
  <c r="H4349" i="14" s="1"/>
  <c r="G4349" i="14"/>
  <c r="I4349" i="14" s="1"/>
  <c r="K4349" i="14"/>
  <c r="F4350" i="14"/>
  <c r="H4350" i="14" s="1"/>
  <c r="G4350" i="14"/>
  <c r="I4350" i="14" s="1"/>
  <c r="K4350" i="14"/>
  <c r="F4351" i="14"/>
  <c r="H4351" i="14" s="1"/>
  <c r="G4351" i="14"/>
  <c r="I4351" i="14" s="1"/>
  <c r="K4351" i="14"/>
  <c r="F4352" i="14"/>
  <c r="H4352" i="14" s="1"/>
  <c r="G4352" i="14"/>
  <c r="I4352" i="14" s="1"/>
  <c r="K4352" i="14"/>
  <c r="F4353" i="14"/>
  <c r="H4353" i="14" s="1"/>
  <c r="G4353" i="14"/>
  <c r="I4353" i="14" s="1"/>
  <c r="K4353" i="14"/>
  <c r="F4354" i="14"/>
  <c r="H4354" i="14" s="1"/>
  <c r="G4354" i="14"/>
  <c r="I4354" i="14" s="1"/>
  <c r="J4354" i="14" s="1"/>
  <c r="K4354" i="14"/>
  <c r="F4355" i="14"/>
  <c r="H4355" i="14" s="1"/>
  <c r="G4355" i="14"/>
  <c r="I4355" i="14" s="1"/>
  <c r="K4355" i="14"/>
  <c r="F4356" i="14"/>
  <c r="H4356" i="14" s="1"/>
  <c r="G4356" i="14"/>
  <c r="I4356" i="14" s="1"/>
  <c r="J4356" i="14" s="1"/>
  <c r="K4356" i="14"/>
  <c r="F4357" i="14"/>
  <c r="H4357" i="14" s="1"/>
  <c r="G4357" i="14"/>
  <c r="I4357" i="14"/>
  <c r="K4357" i="14"/>
  <c r="F4358" i="14"/>
  <c r="H4358" i="14" s="1"/>
  <c r="G4358" i="14"/>
  <c r="I4358" i="14" s="1"/>
  <c r="K4358" i="14"/>
  <c r="F4359" i="14"/>
  <c r="H4359" i="14" s="1"/>
  <c r="G4359" i="14"/>
  <c r="I4359" i="14" s="1"/>
  <c r="K4359" i="14"/>
  <c r="F4360" i="14"/>
  <c r="H4360" i="14" s="1"/>
  <c r="G4360" i="14"/>
  <c r="I4360" i="14" s="1"/>
  <c r="K4360" i="14"/>
  <c r="F4361" i="14"/>
  <c r="H4361" i="14" s="1"/>
  <c r="G4361" i="14"/>
  <c r="I4361" i="14" s="1"/>
  <c r="K4361" i="14"/>
  <c r="F4362" i="14"/>
  <c r="H4362" i="14" s="1"/>
  <c r="G4362" i="14"/>
  <c r="I4362" i="14" s="1"/>
  <c r="K4362" i="14"/>
  <c r="F4363" i="14"/>
  <c r="H4363" i="14" s="1"/>
  <c r="G4363" i="14"/>
  <c r="I4363" i="14" s="1"/>
  <c r="K4363" i="14"/>
  <c r="F4364" i="14"/>
  <c r="H4364" i="14" s="1"/>
  <c r="G4364" i="14"/>
  <c r="I4364" i="14" s="1"/>
  <c r="J4364" i="14" s="1"/>
  <c r="K4364" i="14"/>
  <c r="F4365" i="14"/>
  <c r="H4365" i="14" s="1"/>
  <c r="G4365" i="14"/>
  <c r="I4365" i="14" s="1"/>
  <c r="K4365" i="14"/>
  <c r="F4366" i="14"/>
  <c r="H4366" i="14" s="1"/>
  <c r="G4366" i="14"/>
  <c r="I4366" i="14" s="1"/>
  <c r="K4366" i="14"/>
  <c r="F4367" i="14"/>
  <c r="H4367" i="14" s="1"/>
  <c r="G4367" i="14"/>
  <c r="I4367" i="14" s="1"/>
  <c r="K4367" i="14"/>
  <c r="F4368" i="14"/>
  <c r="H4368" i="14" s="1"/>
  <c r="G4368" i="14"/>
  <c r="I4368" i="14" s="1"/>
  <c r="J4368" i="14" s="1"/>
  <c r="K4368" i="14"/>
  <c r="F4369" i="14"/>
  <c r="H4369" i="14" s="1"/>
  <c r="G4369" i="14"/>
  <c r="I4369" i="14"/>
  <c r="K4369" i="14"/>
  <c r="F4370" i="14"/>
  <c r="H4370" i="14" s="1"/>
  <c r="G4370" i="14"/>
  <c r="I4370" i="14"/>
  <c r="K4370" i="14"/>
  <c r="F4371" i="14"/>
  <c r="H4371" i="14" s="1"/>
  <c r="G4371" i="14"/>
  <c r="I4371" i="14" s="1"/>
  <c r="K4371" i="14"/>
  <c r="F4372" i="14"/>
  <c r="H4372" i="14" s="1"/>
  <c r="G4372" i="14"/>
  <c r="I4372" i="14"/>
  <c r="K4372" i="14"/>
  <c r="F4373" i="14"/>
  <c r="H4373" i="14" s="1"/>
  <c r="G4373" i="14"/>
  <c r="I4373" i="14" s="1"/>
  <c r="K4373" i="14"/>
  <c r="F4374" i="14"/>
  <c r="H4374" i="14" s="1"/>
  <c r="G4374" i="14"/>
  <c r="I4374" i="14" s="1"/>
  <c r="J4374" i="14" s="1"/>
  <c r="K4374" i="14"/>
  <c r="F4375" i="14"/>
  <c r="H4375" i="14" s="1"/>
  <c r="G4375" i="14"/>
  <c r="I4375" i="14" s="1"/>
  <c r="K4375" i="14"/>
  <c r="F4376" i="14"/>
  <c r="H4376" i="14" s="1"/>
  <c r="G4376" i="14"/>
  <c r="I4376" i="14" s="1"/>
  <c r="K4376" i="14"/>
  <c r="F4377" i="14"/>
  <c r="H4377" i="14" s="1"/>
  <c r="G4377" i="14"/>
  <c r="I4377" i="14" s="1"/>
  <c r="K4377" i="14"/>
  <c r="F4378" i="14"/>
  <c r="H4378" i="14" s="1"/>
  <c r="G4378" i="14"/>
  <c r="I4378" i="14" s="1"/>
  <c r="K4378" i="14"/>
  <c r="F4379" i="14"/>
  <c r="H4379" i="14" s="1"/>
  <c r="G4379" i="14"/>
  <c r="I4379" i="14" s="1"/>
  <c r="K4379" i="14"/>
  <c r="F4380" i="14"/>
  <c r="H4380" i="14" s="1"/>
  <c r="G4380" i="14"/>
  <c r="I4380" i="14" s="1"/>
  <c r="K4380" i="14"/>
  <c r="F4381" i="14"/>
  <c r="H4381" i="14" s="1"/>
  <c r="G4381" i="14"/>
  <c r="I4381" i="14" s="1"/>
  <c r="K4381" i="14"/>
  <c r="F4382" i="14"/>
  <c r="H4382" i="14" s="1"/>
  <c r="G4382" i="14"/>
  <c r="I4382" i="14" s="1"/>
  <c r="K4382" i="14"/>
  <c r="F4383" i="14"/>
  <c r="H4383" i="14" s="1"/>
  <c r="G4383" i="14"/>
  <c r="I4383" i="14" s="1"/>
  <c r="K4383" i="14"/>
  <c r="F4384" i="14"/>
  <c r="H4384" i="14" s="1"/>
  <c r="G4384" i="14"/>
  <c r="I4384" i="14" s="1"/>
  <c r="K4384" i="14"/>
  <c r="F4385" i="14"/>
  <c r="H4385" i="14" s="1"/>
  <c r="G4385" i="14"/>
  <c r="I4385" i="14" s="1"/>
  <c r="K4385" i="14"/>
  <c r="F4386" i="14"/>
  <c r="H4386" i="14" s="1"/>
  <c r="G4386" i="14"/>
  <c r="I4386" i="14" s="1"/>
  <c r="J4386" i="14" s="1"/>
  <c r="K4386" i="14"/>
  <c r="F4387" i="14"/>
  <c r="G4387" i="14"/>
  <c r="I4387" i="14" s="1"/>
  <c r="H4387" i="14"/>
  <c r="K4387" i="14"/>
  <c r="F4388" i="14"/>
  <c r="H4388" i="14" s="1"/>
  <c r="G4388" i="14"/>
  <c r="I4388" i="14" s="1"/>
  <c r="J4388" i="14" s="1"/>
  <c r="K4388" i="14"/>
  <c r="F4389" i="14"/>
  <c r="G4389" i="14"/>
  <c r="I4389" i="14" s="1"/>
  <c r="H4389" i="14"/>
  <c r="K4389" i="14"/>
  <c r="F4390" i="14"/>
  <c r="H4390" i="14" s="1"/>
  <c r="G4390" i="14"/>
  <c r="I4390" i="14" s="1"/>
  <c r="K4390" i="14"/>
  <c r="F4391" i="14"/>
  <c r="G4391" i="14"/>
  <c r="I4391" i="14" s="1"/>
  <c r="H4391" i="14"/>
  <c r="K4391" i="14"/>
  <c r="F4392" i="14"/>
  <c r="H4392" i="14" s="1"/>
  <c r="G4392" i="14"/>
  <c r="I4392" i="14" s="1"/>
  <c r="K4392" i="14"/>
  <c r="F4393" i="14"/>
  <c r="H4393" i="14" s="1"/>
  <c r="G4393" i="14"/>
  <c r="I4393" i="14" s="1"/>
  <c r="K4393" i="14"/>
  <c r="F4394" i="14"/>
  <c r="H4394" i="14" s="1"/>
  <c r="G4394" i="14"/>
  <c r="I4394" i="14" s="1"/>
  <c r="K4394" i="14"/>
  <c r="F4395" i="14"/>
  <c r="H4395" i="14" s="1"/>
  <c r="G4395" i="14"/>
  <c r="I4395" i="14" s="1"/>
  <c r="K4395" i="14"/>
  <c r="F4396" i="14"/>
  <c r="H4396" i="14" s="1"/>
  <c r="G4396" i="14"/>
  <c r="I4396" i="14" s="1"/>
  <c r="J4396" i="14" s="1"/>
  <c r="K4396" i="14"/>
  <c r="F4397" i="14"/>
  <c r="H4397" i="14" s="1"/>
  <c r="G4397" i="14"/>
  <c r="I4397" i="14" s="1"/>
  <c r="K4397" i="14"/>
  <c r="F4398" i="14"/>
  <c r="H4398" i="14" s="1"/>
  <c r="G4398" i="14"/>
  <c r="I4398" i="14" s="1"/>
  <c r="K4398" i="14"/>
  <c r="F4399" i="14"/>
  <c r="H4399" i="14" s="1"/>
  <c r="G4399" i="14"/>
  <c r="I4399" i="14" s="1"/>
  <c r="K4399" i="14"/>
  <c r="F4400" i="14"/>
  <c r="H4400" i="14" s="1"/>
  <c r="G4400" i="14"/>
  <c r="I4400" i="14" s="1"/>
  <c r="J4400" i="14" s="1"/>
  <c r="K4400" i="14"/>
  <c r="F4401" i="14"/>
  <c r="H4401" i="14" s="1"/>
  <c r="G4401" i="14"/>
  <c r="I4401" i="14"/>
  <c r="K4401" i="14"/>
  <c r="F4402" i="14"/>
  <c r="H4402" i="14" s="1"/>
  <c r="G4402" i="14"/>
  <c r="I4402" i="14"/>
  <c r="J4402" i="14" s="1"/>
  <c r="K4402" i="14"/>
  <c r="F4403" i="14"/>
  <c r="G4403" i="14"/>
  <c r="I4403" i="14" s="1"/>
  <c r="H4403" i="14"/>
  <c r="K4403" i="14"/>
  <c r="F4404" i="14"/>
  <c r="H4404" i="14" s="1"/>
  <c r="G4404" i="14"/>
  <c r="I4404" i="14"/>
  <c r="J4404" i="14" s="1"/>
  <c r="K4404" i="14"/>
  <c r="F4405" i="14"/>
  <c r="G4405" i="14"/>
  <c r="H4405" i="14"/>
  <c r="I4405" i="14"/>
  <c r="K4405" i="14"/>
  <c r="F4406" i="14"/>
  <c r="H4406" i="14" s="1"/>
  <c r="G4406" i="14"/>
  <c r="I4406" i="14" s="1"/>
  <c r="J4406" i="14" s="1"/>
  <c r="K4406" i="14"/>
  <c r="F4407" i="14"/>
  <c r="G4407" i="14"/>
  <c r="I4407" i="14" s="1"/>
  <c r="H4407" i="14"/>
  <c r="K4407" i="14"/>
  <c r="F4408" i="14"/>
  <c r="H4408" i="14" s="1"/>
  <c r="G4408" i="14"/>
  <c r="I4408" i="14" s="1"/>
  <c r="K4408" i="14"/>
  <c r="F4409" i="14"/>
  <c r="H4409" i="14" s="1"/>
  <c r="G4409" i="14"/>
  <c r="I4409" i="14" s="1"/>
  <c r="K4409" i="14"/>
  <c r="F4410" i="14"/>
  <c r="H4410" i="14" s="1"/>
  <c r="G4410" i="14"/>
  <c r="I4410" i="14" s="1"/>
  <c r="K4410" i="14"/>
  <c r="F4411" i="14"/>
  <c r="H4411" i="14" s="1"/>
  <c r="G4411" i="14"/>
  <c r="I4411" i="14" s="1"/>
  <c r="K4411" i="14"/>
  <c r="F4412" i="14"/>
  <c r="H4412" i="14" s="1"/>
  <c r="G4412" i="14"/>
  <c r="I4412" i="14" s="1"/>
  <c r="K4412" i="14"/>
  <c r="F4413" i="14"/>
  <c r="H4413" i="14" s="1"/>
  <c r="G4413" i="14"/>
  <c r="I4413" i="14" s="1"/>
  <c r="K4413" i="14"/>
  <c r="F4414" i="14"/>
  <c r="H4414" i="14" s="1"/>
  <c r="G4414" i="14"/>
  <c r="I4414" i="14" s="1"/>
  <c r="K4414" i="14"/>
  <c r="F4415" i="14"/>
  <c r="H4415" i="14" s="1"/>
  <c r="G4415" i="14"/>
  <c r="I4415" i="14" s="1"/>
  <c r="K4415" i="14"/>
  <c r="F4416" i="14"/>
  <c r="H4416" i="14" s="1"/>
  <c r="G4416" i="14"/>
  <c r="I4416" i="14" s="1"/>
  <c r="J4416" i="14" s="1"/>
  <c r="K4416" i="14"/>
  <c r="F4417" i="14"/>
  <c r="H4417" i="14" s="1"/>
  <c r="G4417" i="14"/>
  <c r="I4417" i="14"/>
  <c r="K4417" i="14"/>
  <c r="F4418" i="14"/>
  <c r="H4418" i="14" s="1"/>
  <c r="G4418" i="14"/>
  <c r="I4418" i="14"/>
  <c r="J4418" i="14" s="1"/>
  <c r="K4418" i="14"/>
  <c r="F4419" i="14"/>
  <c r="G4419" i="14"/>
  <c r="I4419" i="14" s="1"/>
  <c r="H4419" i="14"/>
  <c r="K4419" i="14"/>
  <c r="F4420" i="14"/>
  <c r="H4420" i="14" s="1"/>
  <c r="G4420" i="14"/>
  <c r="I4420" i="14"/>
  <c r="J4420" i="14" s="1"/>
  <c r="K4420" i="14"/>
  <c r="F4421" i="14"/>
  <c r="G4421" i="14"/>
  <c r="H4421" i="14"/>
  <c r="I4421" i="14"/>
  <c r="K4421" i="14"/>
  <c r="F4422" i="14"/>
  <c r="H4422" i="14" s="1"/>
  <c r="G4422" i="14"/>
  <c r="I4422" i="14" s="1"/>
  <c r="J4422" i="14" s="1"/>
  <c r="K4422" i="14"/>
  <c r="F4423" i="14"/>
  <c r="G4423" i="14"/>
  <c r="I4423" i="14" s="1"/>
  <c r="H4423" i="14"/>
  <c r="K4423" i="14"/>
  <c r="F4424" i="14"/>
  <c r="H4424" i="14" s="1"/>
  <c r="G4424" i="14"/>
  <c r="I4424" i="14" s="1"/>
  <c r="K4424" i="14"/>
  <c r="F4425" i="14"/>
  <c r="H4425" i="14" s="1"/>
  <c r="G4425" i="14"/>
  <c r="I4425" i="14" s="1"/>
  <c r="K4425" i="14"/>
  <c r="F4426" i="14"/>
  <c r="H4426" i="14" s="1"/>
  <c r="G4426" i="14"/>
  <c r="I4426" i="14" s="1"/>
  <c r="K4426" i="14"/>
  <c r="F4427" i="14"/>
  <c r="H4427" i="14" s="1"/>
  <c r="G4427" i="14"/>
  <c r="I4427" i="14" s="1"/>
  <c r="K4427" i="14"/>
  <c r="F4428" i="14"/>
  <c r="H4428" i="14" s="1"/>
  <c r="G4428" i="14"/>
  <c r="I4428" i="14" s="1"/>
  <c r="J4428" i="14" s="1"/>
  <c r="K4428" i="14"/>
  <c r="F4429" i="14"/>
  <c r="H4429" i="14" s="1"/>
  <c r="G4429" i="14"/>
  <c r="I4429" i="14" s="1"/>
  <c r="K4429" i="14"/>
  <c r="F4430" i="14"/>
  <c r="H4430" i="14" s="1"/>
  <c r="G4430" i="14"/>
  <c r="I4430" i="14" s="1"/>
  <c r="K4430" i="14"/>
  <c r="F4431" i="14"/>
  <c r="H4431" i="14" s="1"/>
  <c r="G4431" i="14"/>
  <c r="I4431" i="14" s="1"/>
  <c r="K4431" i="14"/>
  <c r="F4432" i="14"/>
  <c r="H4432" i="14" s="1"/>
  <c r="G4432" i="14"/>
  <c r="I4432" i="14" s="1"/>
  <c r="J4432" i="14" s="1"/>
  <c r="K4432" i="14"/>
  <c r="F4433" i="14"/>
  <c r="H4433" i="14" s="1"/>
  <c r="G4433" i="14"/>
  <c r="I4433" i="14"/>
  <c r="K4433" i="14"/>
  <c r="F4434" i="14"/>
  <c r="H4434" i="14" s="1"/>
  <c r="G4434" i="14"/>
  <c r="I4434" i="14"/>
  <c r="K4434" i="14"/>
  <c r="F4435" i="14"/>
  <c r="H4435" i="14" s="1"/>
  <c r="G4435" i="14"/>
  <c r="I4435" i="14" s="1"/>
  <c r="K4435" i="14"/>
  <c r="F4436" i="14"/>
  <c r="H4436" i="14" s="1"/>
  <c r="G4436" i="14"/>
  <c r="I4436" i="14"/>
  <c r="K4436" i="14"/>
  <c r="F4437" i="14"/>
  <c r="H4437" i="14" s="1"/>
  <c r="G4437" i="14"/>
  <c r="I4437" i="14"/>
  <c r="K4437" i="14"/>
  <c r="F4438" i="14"/>
  <c r="H4438" i="14" s="1"/>
  <c r="G4438" i="14"/>
  <c r="I4438" i="14" s="1"/>
  <c r="J4438" i="14" s="1"/>
  <c r="K4438" i="14"/>
  <c r="F4439" i="14"/>
  <c r="H4439" i="14" s="1"/>
  <c r="G4439" i="14"/>
  <c r="I4439" i="14" s="1"/>
  <c r="K4439" i="14"/>
  <c r="F4440" i="14"/>
  <c r="H4440" i="14" s="1"/>
  <c r="G4440" i="14"/>
  <c r="I4440" i="14" s="1"/>
  <c r="K4440" i="14"/>
  <c r="F4441" i="14"/>
  <c r="H4441" i="14" s="1"/>
  <c r="G4441" i="14"/>
  <c r="I4441" i="14" s="1"/>
  <c r="K4441" i="14"/>
  <c r="F4442" i="14"/>
  <c r="H4442" i="14" s="1"/>
  <c r="G4442" i="14"/>
  <c r="I4442" i="14" s="1"/>
  <c r="J4442" i="14" s="1"/>
  <c r="K4442" i="14"/>
  <c r="F4443" i="14"/>
  <c r="H4443" i="14" s="1"/>
  <c r="G4443" i="14"/>
  <c r="I4443" i="14" s="1"/>
  <c r="K4443" i="14"/>
  <c r="F4444" i="14"/>
  <c r="H4444" i="14" s="1"/>
  <c r="G4444" i="14"/>
  <c r="I4444" i="14" s="1"/>
  <c r="K4444" i="14"/>
  <c r="F4445" i="14"/>
  <c r="H4445" i="14" s="1"/>
  <c r="G4445" i="14"/>
  <c r="I4445" i="14" s="1"/>
  <c r="K4445" i="14"/>
  <c r="F4446" i="14"/>
  <c r="H4446" i="14" s="1"/>
  <c r="G4446" i="14"/>
  <c r="I4446" i="14" s="1"/>
  <c r="J4446" i="14" s="1"/>
  <c r="K4446" i="14"/>
  <c r="F4447" i="14"/>
  <c r="H4447" i="14" s="1"/>
  <c r="G4447" i="14"/>
  <c r="I4447" i="14" s="1"/>
  <c r="K4447" i="14"/>
  <c r="F4448" i="14"/>
  <c r="H4448" i="14" s="1"/>
  <c r="G4448" i="14"/>
  <c r="I4448" i="14" s="1"/>
  <c r="K4448" i="14"/>
  <c r="F4449" i="14"/>
  <c r="H4449" i="14" s="1"/>
  <c r="G4449" i="14"/>
  <c r="I4449" i="14" s="1"/>
  <c r="K4449" i="14"/>
  <c r="F4450" i="14"/>
  <c r="H4450" i="14" s="1"/>
  <c r="G4450" i="14"/>
  <c r="I4450" i="14" s="1"/>
  <c r="J4450" i="14" s="1"/>
  <c r="K4450" i="14"/>
  <c r="F4451" i="14"/>
  <c r="H4451" i="14" s="1"/>
  <c r="G4451" i="14"/>
  <c r="I4451" i="14" s="1"/>
  <c r="K4451" i="14"/>
  <c r="F4452" i="14"/>
  <c r="H4452" i="14" s="1"/>
  <c r="G4452" i="14"/>
  <c r="I4452" i="14" s="1"/>
  <c r="J4452" i="14" s="1"/>
  <c r="K4452" i="14"/>
  <c r="F4453" i="14"/>
  <c r="H4453" i="14" s="1"/>
  <c r="G4453" i="14"/>
  <c r="I4453" i="14" s="1"/>
  <c r="K4453" i="14"/>
  <c r="F4454" i="14"/>
  <c r="H4454" i="14" s="1"/>
  <c r="G4454" i="14"/>
  <c r="I4454" i="14" s="1"/>
  <c r="K4454" i="14"/>
  <c r="F4455" i="14"/>
  <c r="H4455" i="14" s="1"/>
  <c r="G4455" i="14"/>
  <c r="I4455" i="14" s="1"/>
  <c r="K4455" i="14"/>
  <c r="F4456" i="14"/>
  <c r="H4456" i="14" s="1"/>
  <c r="G4456" i="14"/>
  <c r="I4456" i="14" s="1"/>
  <c r="K4456" i="14"/>
  <c r="F4457" i="14"/>
  <c r="H4457" i="14" s="1"/>
  <c r="G4457" i="14"/>
  <c r="I4457" i="14" s="1"/>
  <c r="K4457" i="14"/>
  <c r="F4458" i="14"/>
  <c r="H4458" i="14" s="1"/>
  <c r="G4458" i="14"/>
  <c r="I4458" i="14" s="1"/>
  <c r="J4458" i="14" s="1"/>
  <c r="K4458" i="14"/>
  <c r="F4459" i="14"/>
  <c r="H4459" i="14" s="1"/>
  <c r="G4459" i="14"/>
  <c r="I4459" i="14" s="1"/>
  <c r="K4459" i="14"/>
  <c r="F4460" i="14"/>
  <c r="H4460" i="14" s="1"/>
  <c r="G4460" i="14"/>
  <c r="I4460" i="14" s="1"/>
  <c r="J4460" i="14" s="1"/>
  <c r="K4460" i="14"/>
  <c r="F4461" i="14"/>
  <c r="H4461" i="14" s="1"/>
  <c r="G4461" i="14"/>
  <c r="I4461" i="14" s="1"/>
  <c r="K4461" i="14"/>
  <c r="F4462" i="14"/>
  <c r="H4462" i="14" s="1"/>
  <c r="G4462" i="14"/>
  <c r="I4462" i="14" s="1"/>
  <c r="K4462" i="14"/>
  <c r="F4463" i="14"/>
  <c r="H4463" i="14" s="1"/>
  <c r="G4463" i="14"/>
  <c r="I4463" i="14" s="1"/>
  <c r="K4463" i="14"/>
  <c r="F4464" i="14"/>
  <c r="H4464" i="14" s="1"/>
  <c r="G4464" i="14"/>
  <c r="I4464" i="14" s="1"/>
  <c r="J4464" i="14" s="1"/>
  <c r="K4464" i="14"/>
  <c r="F4465" i="14"/>
  <c r="H4465" i="14" s="1"/>
  <c r="G4465" i="14"/>
  <c r="I4465" i="14"/>
  <c r="K4465" i="14"/>
  <c r="F4466" i="14"/>
  <c r="H4466" i="14" s="1"/>
  <c r="G4466" i="14"/>
  <c r="I4466" i="14"/>
  <c r="K4466" i="14"/>
  <c r="F4467" i="14"/>
  <c r="H4467" i="14" s="1"/>
  <c r="G4467" i="14"/>
  <c r="I4467" i="14" s="1"/>
  <c r="K4467" i="14"/>
  <c r="F4468" i="14"/>
  <c r="H4468" i="14" s="1"/>
  <c r="G4468" i="14"/>
  <c r="I4468" i="14"/>
  <c r="K4468" i="14"/>
  <c r="F4469" i="14"/>
  <c r="H4469" i="14" s="1"/>
  <c r="G4469" i="14"/>
  <c r="I4469" i="14"/>
  <c r="K4469" i="14"/>
  <c r="F4470" i="14"/>
  <c r="H4470" i="14" s="1"/>
  <c r="G4470" i="14"/>
  <c r="I4470" i="14" s="1"/>
  <c r="J4470" i="14" s="1"/>
  <c r="K4470" i="14"/>
  <c r="F4471" i="14"/>
  <c r="H4471" i="14" s="1"/>
  <c r="G4471" i="14"/>
  <c r="I4471" i="14" s="1"/>
  <c r="K4471" i="14"/>
  <c r="F4472" i="14"/>
  <c r="H4472" i="14" s="1"/>
  <c r="G4472" i="14"/>
  <c r="I4472" i="14" s="1"/>
  <c r="K4472" i="14"/>
  <c r="F4473" i="14"/>
  <c r="H4473" i="14" s="1"/>
  <c r="G4473" i="14"/>
  <c r="I4473" i="14" s="1"/>
  <c r="K4473" i="14"/>
  <c r="F4474" i="14"/>
  <c r="H4474" i="14" s="1"/>
  <c r="G4474" i="14"/>
  <c r="I4474" i="14" s="1"/>
  <c r="J4474" i="14" s="1"/>
  <c r="K4474" i="14"/>
  <c r="F4475" i="14"/>
  <c r="H4475" i="14" s="1"/>
  <c r="G4475" i="14"/>
  <c r="I4475" i="14" s="1"/>
  <c r="K4475" i="14"/>
  <c r="F4476" i="14"/>
  <c r="H4476" i="14" s="1"/>
  <c r="G4476" i="14"/>
  <c r="I4476" i="14" s="1"/>
  <c r="J4476" i="14" s="1"/>
  <c r="K4476" i="14"/>
  <c r="F4477" i="14"/>
  <c r="H4477" i="14" s="1"/>
  <c r="G4477" i="14"/>
  <c r="I4477" i="14" s="1"/>
  <c r="K4477" i="14"/>
  <c r="F4478" i="14"/>
  <c r="H4478" i="14" s="1"/>
  <c r="G4478" i="14"/>
  <c r="I4478" i="14" s="1"/>
  <c r="J4478" i="14" s="1"/>
  <c r="K4478" i="14"/>
  <c r="F4479" i="14"/>
  <c r="H4479" i="14" s="1"/>
  <c r="G4479" i="14"/>
  <c r="I4479" i="14" s="1"/>
  <c r="K4479" i="14"/>
  <c r="F4480" i="14"/>
  <c r="H4480" i="14" s="1"/>
  <c r="G4480" i="14"/>
  <c r="I4480" i="14" s="1"/>
  <c r="J4480" i="14" s="1"/>
  <c r="K4480" i="14"/>
  <c r="F4481" i="14"/>
  <c r="H4481" i="14" s="1"/>
  <c r="G4481" i="14"/>
  <c r="I4481" i="14"/>
  <c r="K4481" i="14"/>
  <c r="F4482" i="14"/>
  <c r="H4482" i="14" s="1"/>
  <c r="G4482" i="14"/>
  <c r="I4482" i="14"/>
  <c r="K4482" i="14"/>
  <c r="F4483" i="14"/>
  <c r="H4483" i="14" s="1"/>
  <c r="G4483" i="14"/>
  <c r="I4483" i="14" s="1"/>
  <c r="K4483" i="14"/>
  <c r="F4484" i="14"/>
  <c r="H4484" i="14" s="1"/>
  <c r="G4484" i="14"/>
  <c r="I4484" i="14"/>
  <c r="K4484" i="14"/>
  <c r="F4485" i="14"/>
  <c r="H4485" i="14" s="1"/>
  <c r="G4485" i="14"/>
  <c r="I4485" i="14"/>
  <c r="K4485" i="14"/>
  <c r="F4486" i="14"/>
  <c r="H4486" i="14" s="1"/>
  <c r="G4486" i="14"/>
  <c r="I4486" i="14" s="1"/>
  <c r="J4486" i="14" s="1"/>
  <c r="K4486" i="14"/>
  <c r="F4487" i="14"/>
  <c r="H4487" i="14" s="1"/>
  <c r="G4487" i="14"/>
  <c r="I4487" i="14" s="1"/>
  <c r="K4487" i="14"/>
  <c r="F4488" i="14"/>
  <c r="H4488" i="14" s="1"/>
  <c r="G4488" i="14"/>
  <c r="I4488" i="14" s="1"/>
  <c r="K4488" i="14"/>
  <c r="F4489" i="14"/>
  <c r="H4489" i="14" s="1"/>
  <c r="G4489" i="14"/>
  <c r="I4489" i="14" s="1"/>
  <c r="K4489" i="14"/>
  <c r="F4490" i="14"/>
  <c r="H4490" i="14" s="1"/>
  <c r="G4490" i="14"/>
  <c r="I4490" i="14" s="1"/>
  <c r="J4490" i="14" s="1"/>
  <c r="K4490" i="14"/>
  <c r="F4491" i="14"/>
  <c r="H4491" i="14" s="1"/>
  <c r="G4491" i="14"/>
  <c r="I4491" i="14" s="1"/>
  <c r="K4491" i="14"/>
  <c r="F4492" i="14"/>
  <c r="H4492" i="14" s="1"/>
  <c r="G4492" i="14"/>
  <c r="I4492" i="14" s="1"/>
  <c r="J4492" i="14" s="1"/>
  <c r="K4492" i="14"/>
  <c r="F4493" i="14"/>
  <c r="H4493" i="14" s="1"/>
  <c r="G4493" i="14"/>
  <c r="I4493" i="14" s="1"/>
  <c r="K4493" i="14"/>
  <c r="F4494" i="14"/>
  <c r="H4494" i="14" s="1"/>
  <c r="G4494" i="14"/>
  <c r="I4494" i="14" s="1"/>
  <c r="J4494" i="14" s="1"/>
  <c r="K4494" i="14"/>
  <c r="F4495" i="14"/>
  <c r="H4495" i="14" s="1"/>
  <c r="G4495" i="14"/>
  <c r="I4495" i="14" s="1"/>
  <c r="K4495" i="14"/>
  <c r="F4496" i="14"/>
  <c r="H4496" i="14" s="1"/>
  <c r="G4496" i="14"/>
  <c r="I4496" i="14" s="1"/>
  <c r="J4496" i="14" s="1"/>
  <c r="K4496" i="14"/>
  <c r="F4497" i="14"/>
  <c r="H4497" i="14" s="1"/>
  <c r="G4497" i="14"/>
  <c r="I4497" i="14"/>
  <c r="K4497" i="14"/>
  <c r="F4498" i="14"/>
  <c r="H4498" i="14" s="1"/>
  <c r="G4498" i="14"/>
  <c r="I4498" i="14"/>
  <c r="K4498" i="14"/>
  <c r="F4499" i="14"/>
  <c r="H4499" i="14" s="1"/>
  <c r="G4499" i="14"/>
  <c r="I4499" i="14" s="1"/>
  <c r="K4499" i="14"/>
  <c r="F4500" i="14"/>
  <c r="H4500" i="14" s="1"/>
  <c r="G4500" i="14"/>
  <c r="I4500" i="14" s="1"/>
  <c r="K4500" i="14"/>
  <c r="F4501" i="14"/>
  <c r="H4501" i="14" s="1"/>
  <c r="G4501" i="14"/>
  <c r="I4501" i="14" s="1"/>
  <c r="K4501" i="14"/>
  <c r="F4502" i="14"/>
  <c r="H4502" i="14" s="1"/>
  <c r="G4502" i="14"/>
  <c r="I4502" i="14" s="1"/>
  <c r="J4502" i="14" s="1"/>
  <c r="K4502" i="14"/>
  <c r="F4503" i="14"/>
  <c r="H4503" i="14" s="1"/>
  <c r="G4503" i="14"/>
  <c r="I4503" i="14" s="1"/>
  <c r="K4503" i="14"/>
  <c r="F4504" i="14"/>
  <c r="H4504" i="14" s="1"/>
  <c r="G4504" i="14"/>
  <c r="I4504" i="14" s="1"/>
  <c r="K4504" i="14"/>
  <c r="F4505" i="14"/>
  <c r="H4505" i="14" s="1"/>
  <c r="G4505" i="14"/>
  <c r="I4505" i="14" s="1"/>
  <c r="K4505" i="14"/>
  <c r="F4506" i="14"/>
  <c r="H4506" i="14" s="1"/>
  <c r="G4506" i="14"/>
  <c r="I4506" i="14" s="1"/>
  <c r="J4506" i="14" s="1"/>
  <c r="K4506" i="14"/>
  <c r="F4507" i="14"/>
  <c r="H4507" i="14" s="1"/>
  <c r="G4507" i="14"/>
  <c r="I4507" i="14" s="1"/>
  <c r="K4507" i="14"/>
  <c r="F4508" i="14"/>
  <c r="H4508" i="14" s="1"/>
  <c r="G4508" i="14"/>
  <c r="I4508" i="14" s="1"/>
  <c r="J4508" i="14" s="1"/>
  <c r="K4508" i="14"/>
  <c r="F4509" i="14"/>
  <c r="H4509" i="14" s="1"/>
  <c r="G4509" i="14"/>
  <c r="I4509" i="14" s="1"/>
  <c r="K4509" i="14"/>
  <c r="F4510" i="14"/>
  <c r="H4510" i="14" s="1"/>
  <c r="G4510" i="14"/>
  <c r="I4510" i="14" s="1"/>
  <c r="J4510" i="14" s="1"/>
  <c r="K4510" i="14"/>
  <c r="F4511" i="14"/>
  <c r="H4511" i="14" s="1"/>
  <c r="G4511" i="14"/>
  <c r="I4511" i="14" s="1"/>
  <c r="K4511" i="14"/>
  <c r="F4512" i="14"/>
  <c r="H4512" i="14" s="1"/>
  <c r="G4512" i="14"/>
  <c r="I4512" i="14" s="1"/>
  <c r="J4512" i="14" s="1"/>
  <c r="K4512" i="14"/>
  <c r="F4513" i="14"/>
  <c r="H4513" i="14" s="1"/>
  <c r="G4513" i="14"/>
  <c r="I4513" i="14" s="1"/>
  <c r="K4513" i="14"/>
  <c r="F4514" i="14"/>
  <c r="H4514" i="14" s="1"/>
  <c r="G4514" i="14"/>
  <c r="I4514" i="14" s="1"/>
  <c r="J4514" i="14" s="1"/>
  <c r="K4514" i="14"/>
  <c r="F4515" i="14"/>
  <c r="H4515" i="14" s="1"/>
  <c r="G4515" i="14"/>
  <c r="I4515" i="14" s="1"/>
  <c r="K4515" i="14"/>
  <c r="F4516" i="14"/>
  <c r="H4516" i="14" s="1"/>
  <c r="G4516" i="14"/>
  <c r="I4516" i="14" s="1"/>
  <c r="J4516" i="14" s="1"/>
  <c r="K4516" i="14"/>
  <c r="F4517" i="14"/>
  <c r="H4517" i="14" s="1"/>
  <c r="G4517" i="14"/>
  <c r="I4517" i="14"/>
  <c r="K4517" i="14"/>
  <c r="F4518" i="14"/>
  <c r="H4518" i="14" s="1"/>
  <c r="G4518" i="14"/>
  <c r="I4518" i="14" s="1"/>
  <c r="K4518" i="14"/>
  <c r="F4519" i="14"/>
  <c r="H4519" i="14" s="1"/>
  <c r="G4519" i="14"/>
  <c r="I4519" i="14" s="1"/>
  <c r="K4519" i="14"/>
  <c r="F4520" i="14"/>
  <c r="H4520" i="14" s="1"/>
  <c r="G4520" i="14"/>
  <c r="I4520" i="14" s="1"/>
  <c r="K4520" i="14"/>
  <c r="F4521" i="14"/>
  <c r="H4521" i="14" s="1"/>
  <c r="G4521" i="14"/>
  <c r="I4521" i="14" s="1"/>
  <c r="K4521" i="14"/>
  <c r="F4522" i="14"/>
  <c r="H4522" i="14" s="1"/>
  <c r="G4522" i="14"/>
  <c r="I4522" i="14" s="1"/>
  <c r="K4522" i="14"/>
  <c r="F4523" i="14"/>
  <c r="H4523" i="14" s="1"/>
  <c r="G4523" i="14"/>
  <c r="I4523" i="14" s="1"/>
  <c r="K4523" i="14"/>
  <c r="F4524" i="14"/>
  <c r="H4524" i="14" s="1"/>
  <c r="G4524" i="14"/>
  <c r="I4524" i="14" s="1"/>
  <c r="K4524" i="14"/>
  <c r="F4525" i="14"/>
  <c r="H4525" i="14" s="1"/>
  <c r="G4525" i="14"/>
  <c r="I4525" i="14" s="1"/>
  <c r="K4525" i="14"/>
  <c r="F4526" i="14"/>
  <c r="H4526" i="14" s="1"/>
  <c r="G4526" i="14"/>
  <c r="I4526" i="14" s="1"/>
  <c r="K4526" i="14"/>
  <c r="F4527" i="14"/>
  <c r="H4527" i="14" s="1"/>
  <c r="G4527" i="14"/>
  <c r="I4527" i="14" s="1"/>
  <c r="K4527" i="14"/>
  <c r="F4528" i="14"/>
  <c r="H4528" i="14" s="1"/>
  <c r="G4528" i="14"/>
  <c r="I4528" i="14" s="1"/>
  <c r="K4528" i="14"/>
  <c r="F4529" i="14"/>
  <c r="H4529" i="14" s="1"/>
  <c r="G4529" i="14"/>
  <c r="I4529" i="14" s="1"/>
  <c r="K4529" i="14"/>
  <c r="F4530" i="14"/>
  <c r="H4530" i="14" s="1"/>
  <c r="G4530" i="14"/>
  <c r="I4530" i="14" s="1"/>
  <c r="K4530" i="14"/>
  <c r="F4531" i="14"/>
  <c r="H4531" i="14" s="1"/>
  <c r="G4531" i="14"/>
  <c r="I4531" i="14" s="1"/>
  <c r="K4531" i="14"/>
  <c r="F4532" i="14"/>
  <c r="H4532" i="14" s="1"/>
  <c r="G4532" i="14"/>
  <c r="I4532" i="14" s="1"/>
  <c r="K4532" i="14"/>
  <c r="F4533" i="14"/>
  <c r="H4533" i="14" s="1"/>
  <c r="G4533" i="14"/>
  <c r="I4533" i="14" s="1"/>
  <c r="K4533" i="14"/>
  <c r="F4534" i="14"/>
  <c r="H4534" i="14" s="1"/>
  <c r="G4534" i="14"/>
  <c r="I4534" i="14" s="1"/>
  <c r="K4534" i="14"/>
  <c r="F4535" i="14"/>
  <c r="H4535" i="14" s="1"/>
  <c r="G4535" i="14"/>
  <c r="I4535" i="14"/>
  <c r="K4535" i="14"/>
  <c r="F4536" i="14"/>
  <c r="H4536" i="14" s="1"/>
  <c r="G4536" i="14"/>
  <c r="I4536" i="14" s="1"/>
  <c r="K4536" i="14"/>
  <c r="F4537" i="14"/>
  <c r="H4537" i="14" s="1"/>
  <c r="G4537" i="14"/>
  <c r="I4537" i="14" s="1"/>
  <c r="K4537" i="14"/>
  <c r="F4538" i="14"/>
  <c r="H4538" i="14" s="1"/>
  <c r="G4538" i="14"/>
  <c r="I4538" i="14" s="1"/>
  <c r="K4538" i="14"/>
  <c r="F4539" i="14"/>
  <c r="H4539" i="14" s="1"/>
  <c r="G4539" i="14"/>
  <c r="I4539" i="14" s="1"/>
  <c r="K4539" i="14"/>
  <c r="F4540" i="14"/>
  <c r="H4540" i="14" s="1"/>
  <c r="G4540" i="14"/>
  <c r="I4540" i="14" s="1"/>
  <c r="K4540" i="14"/>
  <c r="F4541" i="14"/>
  <c r="H4541" i="14" s="1"/>
  <c r="G4541" i="14"/>
  <c r="I4541" i="14"/>
  <c r="K4541" i="14"/>
  <c r="F4542" i="14"/>
  <c r="H4542" i="14" s="1"/>
  <c r="G4542" i="14"/>
  <c r="I4542" i="14" s="1"/>
  <c r="K4542" i="14"/>
  <c r="F4543" i="14"/>
  <c r="H4543" i="14" s="1"/>
  <c r="G4543" i="14"/>
  <c r="I4543" i="14"/>
  <c r="K4543" i="14"/>
  <c r="F4544" i="14"/>
  <c r="H4544" i="14" s="1"/>
  <c r="G4544" i="14"/>
  <c r="I4544" i="14" s="1"/>
  <c r="K4544" i="14"/>
  <c r="F4545" i="14"/>
  <c r="H4545" i="14" s="1"/>
  <c r="G4545" i="14"/>
  <c r="I4545" i="14" s="1"/>
  <c r="K4545" i="14"/>
  <c r="F4546" i="14"/>
  <c r="H4546" i="14" s="1"/>
  <c r="G4546" i="14"/>
  <c r="I4546" i="14" s="1"/>
  <c r="K4546" i="14"/>
  <c r="F4547" i="14"/>
  <c r="H4547" i="14" s="1"/>
  <c r="G4547" i="14"/>
  <c r="I4547" i="14" s="1"/>
  <c r="K4547" i="14"/>
  <c r="F4548" i="14"/>
  <c r="H4548" i="14" s="1"/>
  <c r="G4548" i="14"/>
  <c r="I4548" i="14" s="1"/>
  <c r="K4548" i="14"/>
  <c r="F4549" i="14"/>
  <c r="H4549" i="14" s="1"/>
  <c r="G4549" i="14"/>
  <c r="I4549" i="14" s="1"/>
  <c r="K4549" i="14"/>
  <c r="F4550" i="14"/>
  <c r="H4550" i="14" s="1"/>
  <c r="G4550" i="14"/>
  <c r="I4550" i="14" s="1"/>
  <c r="K4550" i="14"/>
  <c r="F4551" i="14"/>
  <c r="H4551" i="14" s="1"/>
  <c r="G4551" i="14"/>
  <c r="I4551" i="14"/>
  <c r="K4551" i="14"/>
  <c r="F4552" i="14"/>
  <c r="H4552" i="14" s="1"/>
  <c r="G4552" i="14"/>
  <c r="I4552" i="14" s="1"/>
  <c r="K4552" i="14"/>
  <c r="F4553" i="14"/>
  <c r="H4553" i="14" s="1"/>
  <c r="G4553" i="14"/>
  <c r="I4553" i="14" s="1"/>
  <c r="K4553" i="14"/>
  <c r="F4554" i="14"/>
  <c r="H4554" i="14" s="1"/>
  <c r="G4554" i="14"/>
  <c r="I4554" i="14" s="1"/>
  <c r="K4554" i="14"/>
  <c r="F4555" i="14"/>
  <c r="H4555" i="14" s="1"/>
  <c r="G4555" i="14"/>
  <c r="I4555" i="14" s="1"/>
  <c r="K4555" i="14"/>
  <c r="F4556" i="14"/>
  <c r="H4556" i="14" s="1"/>
  <c r="G4556" i="14"/>
  <c r="I4556" i="14" s="1"/>
  <c r="K4556" i="14"/>
  <c r="F4557" i="14"/>
  <c r="H4557" i="14" s="1"/>
  <c r="G4557" i="14"/>
  <c r="I4557" i="14" s="1"/>
  <c r="K4557" i="14"/>
  <c r="F4558" i="14"/>
  <c r="H4558" i="14" s="1"/>
  <c r="G4558" i="14"/>
  <c r="I4558" i="14" s="1"/>
  <c r="K4558" i="14"/>
  <c r="F4559" i="14"/>
  <c r="H4559" i="14" s="1"/>
  <c r="G4559" i="14"/>
  <c r="I4559" i="14"/>
  <c r="K4559" i="14"/>
  <c r="F4560" i="14"/>
  <c r="H4560" i="14" s="1"/>
  <c r="G4560" i="14"/>
  <c r="I4560" i="14" s="1"/>
  <c r="K4560" i="14"/>
  <c r="F4561" i="14"/>
  <c r="H4561" i="14" s="1"/>
  <c r="G4561" i="14"/>
  <c r="I4561" i="14" s="1"/>
  <c r="K4561" i="14"/>
  <c r="F4562" i="14"/>
  <c r="H4562" i="14" s="1"/>
  <c r="G4562" i="14"/>
  <c r="I4562" i="14" s="1"/>
  <c r="K4562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D1529" i="14"/>
  <c r="D1530" i="14"/>
  <c r="D1531" i="14"/>
  <c r="D1532" i="14"/>
  <c r="D1533" i="14"/>
  <c r="D1534" i="14"/>
  <c r="D1535" i="14"/>
  <c r="D1536" i="14"/>
  <c r="D1537" i="14"/>
  <c r="D1538" i="14"/>
  <c r="D1539" i="14"/>
  <c r="D1540" i="14"/>
  <c r="D1541" i="14"/>
  <c r="D1542" i="14"/>
  <c r="D1543" i="14"/>
  <c r="D1544" i="14"/>
  <c r="D1545" i="14"/>
  <c r="D1546" i="14"/>
  <c r="D1547" i="14"/>
  <c r="D1548" i="14"/>
  <c r="D1549" i="14"/>
  <c r="D1550" i="14"/>
  <c r="D1551" i="14"/>
  <c r="D1552" i="14"/>
  <c r="D1553" i="14"/>
  <c r="D1554" i="14"/>
  <c r="D1555" i="14"/>
  <c r="D1556" i="14"/>
  <c r="D1557" i="14"/>
  <c r="D1558" i="14"/>
  <c r="D1559" i="14"/>
  <c r="D1560" i="14"/>
  <c r="D1561" i="14"/>
  <c r="D1562" i="14"/>
  <c r="D1563" i="14"/>
  <c r="D1564" i="14"/>
  <c r="D1565" i="14"/>
  <c r="D1566" i="14"/>
  <c r="D1567" i="14"/>
  <c r="D1568" i="14"/>
  <c r="D1569" i="14"/>
  <c r="D1570" i="14"/>
  <c r="D1571" i="14"/>
  <c r="D1572" i="14"/>
  <c r="D1573" i="14"/>
  <c r="D1574" i="14"/>
  <c r="D1575" i="14"/>
  <c r="D1576" i="14"/>
  <c r="D1577" i="14"/>
  <c r="D1578" i="14"/>
  <c r="D1579" i="14"/>
  <c r="D1580" i="14"/>
  <c r="D1581" i="14"/>
  <c r="D1582" i="14"/>
  <c r="D1583" i="14"/>
  <c r="D1584" i="14"/>
  <c r="D1585" i="14"/>
  <c r="D1586" i="14"/>
  <c r="D1587" i="14"/>
  <c r="D1588" i="14"/>
  <c r="D1589" i="14"/>
  <c r="D1590" i="14"/>
  <c r="D1591" i="14"/>
  <c r="D1592" i="14"/>
  <c r="D1593" i="14"/>
  <c r="D1594" i="14"/>
  <c r="D1595" i="14"/>
  <c r="D1596" i="14"/>
  <c r="D1597" i="14"/>
  <c r="D1598" i="14"/>
  <c r="D1599" i="14"/>
  <c r="D1600" i="14"/>
  <c r="D1601" i="14"/>
  <c r="D1602" i="14"/>
  <c r="D1603" i="14"/>
  <c r="D1604" i="14"/>
  <c r="D1605" i="14"/>
  <c r="D1606" i="14"/>
  <c r="D1607" i="14"/>
  <c r="D1608" i="14"/>
  <c r="D1609" i="14"/>
  <c r="D1610" i="14"/>
  <c r="D1611" i="14"/>
  <c r="D1612" i="14"/>
  <c r="D1613" i="14"/>
  <c r="D1614" i="14"/>
  <c r="D1615" i="14"/>
  <c r="D1616" i="14"/>
  <c r="D1617" i="14"/>
  <c r="D1618" i="14"/>
  <c r="D1619" i="14"/>
  <c r="D1620" i="14"/>
  <c r="D1621" i="14"/>
  <c r="D1622" i="14"/>
  <c r="D1623" i="14"/>
  <c r="D1624" i="14"/>
  <c r="D1625" i="14"/>
  <c r="D1626" i="14"/>
  <c r="D1627" i="14"/>
  <c r="D1628" i="14"/>
  <c r="D1629" i="14"/>
  <c r="D1630" i="14"/>
  <c r="D1631" i="14"/>
  <c r="D1632" i="14"/>
  <c r="D1633" i="14"/>
  <c r="D1634" i="14"/>
  <c r="D1635" i="14"/>
  <c r="D1636" i="14"/>
  <c r="D1637" i="14"/>
  <c r="D1638" i="14"/>
  <c r="D1639" i="14"/>
  <c r="D1640" i="14"/>
  <c r="D1641" i="14"/>
  <c r="D1642" i="14"/>
  <c r="D1643" i="14"/>
  <c r="D1644" i="14"/>
  <c r="D1645" i="14"/>
  <c r="D1646" i="14"/>
  <c r="D1647" i="14"/>
  <c r="D1648" i="14"/>
  <c r="D1649" i="14"/>
  <c r="D1650" i="14"/>
  <c r="D1651" i="14"/>
  <c r="D1652" i="14"/>
  <c r="D1653" i="14"/>
  <c r="D1654" i="14"/>
  <c r="D1655" i="14"/>
  <c r="D1656" i="14"/>
  <c r="D1657" i="14"/>
  <c r="D1658" i="14"/>
  <c r="D1659" i="14"/>
  <c r="D1660" i="14"/>
  <c r="D1661" i="14"/>
  <c r="D1662" i="14"/>
  <c r="D1663" i="14"/>
  <c r="D1664" i="14"/>
  <c r="D1665" i="14"/>
  <c r="D1666" i="14"/>
  <c r="D1667" i="14"/>
  <c r="D1668" i="14"/>
  <c r="D1669" i="14"/>
  <c r="D1670" i="14"/>
  <c r="D1671" i="14"/>
  <c r="D1672" i="14"/>
  <c r="D1673" i="14"/>
  <c r="D1674" i="14"/>
  <c r="D1675" i="14"/>
  <c r="D1676" i="14"/>
  <c r="D1677" i="14"/>
  <c r="D1678" i="14"/>
  <c r="D1679" i="14"/>
  <c r="D1680" i="14"/>
  <c r="D1681" i="14"/>
  <c r="D1682" i="14"/>
  <c r="D1683" i="14"/>
  <c r="D1684" i="14"/>
  <c r="D1685" i="14"/>
  <c r="D1686" i="14"/>
  <c r="D1687" i="14"/>
  <c r="D1688" i="14"/>
  <c r="D1689" i="14"/>
  <c r="D1690" i="14"/>
  <c r="D1691" i="14"/>
  <c r="D1692" i="14"/>
  <c r="D1693" i="14"/>
  <c r="D1694" i="14"/>
  <c r="D1695" i="14"/>
  <c r="D1696" i="14"/>
  <c r="D1697" i="14"/>
  <c r="D1698" i="14"/>
  <c r="D1699" i="14"/>
  <c r="D1700" i="14"/>
  <c r="D1701" i="14"/>
  <c r="D1702" i="14"/>
  <c r="D1703" i="14"/>
  <c r="D1704" i="14"/>
  <c r="D1705" i="14"/>
  <c r="D1706" i="14"/>
  <c r="D1707" i="14"/>
  <c r="D1708" i="14"/>
  <c r="D1709" i="14"/>
  <c r="D1710" i="14"/>
  <c r="D1711" i="14"/>
  <c r="D1712" i="14"/>
  <c r="D1713" i="14"/>
  <c r="D1714" i="14"/>
  <c r="D1715" i="14"/>
  <c r="D1716" i="14"/>
  <c r="D1717" i="14"/>
  <c r="D1718" i="14"/>
  <c r="D1719" i="14"/>
  <c r="D1720" i="14"/>
  <c r="D1721" i="14"/>
  <c r="D1722" i="14"/>
  <c r="D1723" i="14"/>
  <c r="D1724" i="14"/>
  <c r="D1725" i="14"/>
  <c r="D1726" i="14"/>
  <c r="D1727" i="14"/>
  <c r="D1728" i="14"/>
  <c r="D1729" i="14"/>
  <c r="D1730" i="14"/>
  <c r="D1731" i="14"/>
  <c r="D1732" i="14"/>
  <c r="D1733" i="14"/>
  <c r="D1734" i="14"/>
  <c r="D1735" i="14"/>
  <c r="D1736" i="14"/>
  <c r="D1737" i="14"/>
  <c r="D1738" i="14"/>
  <c r="D1739" i="14"/>
  <c r="D1740" i="14"/>
  <c r="D1741" i="14"/>
  <c r="D1742" i="14"/>
  <c r="D1743" i="14"/>
  <c r="D1744" i="14"/>
  <c r="D1745" i="14"/>
  <c r="D1746" i="14"/>
  <c r="D1747" i="14"/>
  <c r="D1748" i="14"/>
  <c r="D1749" i="14"/>
  <c r="D1750" i="14"/>
  <c r="D1751" i="14"/>
  <c r="D1752" i="14"/>
  <c r="D1753" i="14"/>
  <c r="D1754" i="14"/>
  <c r="D1755" i="14"/>
  <c r="D1756" i="14"/>
  <c r="D1757" i="14"/>
  <c r="D1758" i="14"/>
  <c r="D1759" i="14"/>
  <c r="D1760" i="14"/>
  <c r="D1761" i="14"/>
  <c r="D1762" i="14"/>
  <c r="D1763" i="14"/>
  <c r="D1764" i="14"/>
  <c r="D1765" i="14"/>
  <c r="D1766" i="14"/>
  <c r="D1767" i="14"/>
  <c r="D1768" i="14"/>
  <c r="D1769" i="14"/>
  <c r="D1770" i="14"/>
  <c r="D1771" i="14"/>
  <c r="D1772" i="14"/>
  <c r="D1773" i="14"/>
  <c r="D1774" i="14"/>
  <c r="D1775" i="14"/>
  <c r="D1776" i="14"/>
  <c r="D1777" i="14"/>
  <c r="D1778" i="14"/>
  <c r="D1779" i="14"/>
  <c r="D1780" i="14"/>
  <c r="D1781" i="14"/>
  <c r="D1782" i="14"/>
  <c r="D1783" i="14"/>
  <c r="D1784" i="14"/>
  <c r="D1785" i="14"/>
  <c r="D1786" i="14"/>
  <c r="D1787" i="14"/>
  <c r="D1788" i="14"/>
  <c r="D1789" i="14"/>
  <c r="D1790" i="14"/>
  <c r="D1791" i="14"/>
  <c r="D1792" i="14"/>
  <c r="D1793" i="14"/>
  <c r="D1794" i="14"/>
  <c r="D1795" i="14"/>
  <c r="D1796" i="14"/>
  <c r="D1797" i="14"/>
  <c r="D1798" i="14"/>
  <c r="D1799" i="14"/>
  <c r="D1800" i="14"/>
  <c r="D1801" i="14"/>
  <c r="D1802" i="14"/>
  <c r="D1803" i="14"/>
  <c r="D1804" i="14"/>
  <c r="D1805" i="14"/>
  <c r="D1806" i="14"/>
  <c r="D1807" i="14"/>
  <c r="D1808" i="14"/>
  <c r="D1809" i="14"/>
  <c r="D1810" i="14"/>
  <c r="D1811" i="14"/>
  <c r="D1812" i="14"/>
  <c r="D1813" i="14"/>
  <c r="D1814" i="14"/>
  <c r="D1815" i="14"/>
  <c r="D1816" i="14"/>
  <c r="D1817" i="14"/>
  <c r="D1818" i="14"/>
  <c r="D1819" i="14"/>
  <c r="D1820" i="14"/>
  <c r="D1821" i="14"/>
  <c r="D1822" i="14"/>
  <c r="D1823" i="14"/>
  <c r="D1824" i="14"/>
  <c r="D1825" i="14"/>
  <c r="D1826" i="14"/>
  <c r="D1827" i="14"/>
  <c r="D1828" i="14"/>
  <c r="D1829" i="14"/>
  <c r="D1830" i="14"/>
  <c r="D1831" i="14"/>
  <c r="D1832" i="14"/>
  <c r="D1833" i="14"/>
  <c r="D1834" i="14"/>
  <c r="D1835" i="14"/>
  <c r="D1836" i="14"/>
  <c r="D1837" i="14"/>
  <c r="D1838" i="14"/>
  <c r="D1839" i="14"/>
  <c r="D1840" i="14"/>
  <c r="D1841" i="14"/>
  <c r="D1842" i="14"/>
  <c r="D1843" i="14"/>
  <c r="D1844" i="14"/>
  <c r="D1845" i="14"/>
  <c r="D1846" i="14"/>
  <c r="D1847" i="14"/>
  <c r="D1848" i="14"/>
  <c r="D1849" i="14"/>
  <c r="D1850" i="14"/>
  <c r="D1851" i="14"/>
  <c r="D1852" i="14"/>
  <c r="D1853" i="14"/>
  <c r="D1854" i="14"/>
  <c r="D1855" i="14"/>
  <c r="D1856" i="14"/>
  <c r="D1857" i="14"/>
  <c r="D1858" i="14"/>
  <c r="D1859" i="14"/>
  <c r="D1860" i="14"/>
  <c r="D1861" i="14"/>
  <c r="D1862" i="14"/>
  <c r="D1863" i="14"/>
  <c r="D1864" i="14"/>
  <c r="D1865" i="14"/>
  <c r="D1866" i="14"/>
  <c r="D1867" i="14"/>
  <c r="D1868" i="14"/>
  <c r="D1869" i="14"/>
  <c r="D1870" i="14"/>
  <c r="D1871" i="14"/>
  <c r="D1872" i="14"/>
  <c r="D1873" i="14"/>
  <c r="D1874" i="14"/>
  <c r="D1875" i="14"/>
  <c r="D1876" i="14"/>
  <c r="D1877" i="14"/>
  <c r="D1878" i="14"/>
  <c r="D1879" i="14"/>
  <c r="D1880" i="14"/>
  <c r="D1881" i="14"/>
  <c r="D1882" i="14"/>
  <c r="D1883" i="14"/>
  <c r="D1884" i="14"/>
  <c r="D1885" i="14"/>
  <c r="D1886" i="14"/>
  <c r="D1887" i="14"/>
  <c r="D1888" i="14"/>
  <c r="D1889" i="14"/>
  <c r="D1890" i="14"/>
  <c r="D1891" i="14"/>
  <c r="D1892" i="14"/>
  <c r="D1893" i="14"/>
  <c r="D1894" i="14"/>
  <c r="D1895" i="14"/>
  <c r="D1896" i="14"/>
  <c r="D1897" i="14"/>
  <c r="D1898" i="14"/>
  <c r="D1899" i="14"/>
  <c r="D1900" i="14"/>
  <c r="D1901" i="14"/>
  <c r="D1902" i="14"/>
  <c r="D1903" i="14"/>
  <c r="D1904" i="14"/>
  <c r="D1905" i="14"/>
  <c r="D1906" i="14"/>
  <c r="D1907" i="14"/>
  <c r="D1908" i="14"/>
  <c r="D1909" i="14"/>
  <c r="D1910" i="14"/>
  <c r="D1911" i="14"/>
  <c r="D1912" i="14"/>
  <c r="D1913" i="14"/>
  <c r="D1914" i="14"/>
  <c r="D1915" i="14"/>
  <c r="D1916" i="14"/>
  <c r="D1917" i="14"/>
  <c r="D1918" i="14"/>
  <c r="D1919" i="14"/>
  <c r="D1920" i="14"/>
  <c r="D1921" i="14"/>
  <c r="D1922" i="14"/>
  <c r="D1923" i="14"/>
  <c r="D1924" i="14"/>
  <c r="D1925" i="14"/>
  <c r="D1926" i="14"/>
  <c r="D1927" i="14"/>
  <c r="D1928" i="14"/>
  <c r="D1929" i="14"/>
  <c r="D1930" i="14"/>
  <c r="D1931" i="14"/>
  <c r="D1932" i="14"/>
  <c r="D1933" i="14"/>
  <c r="D1934" i="14"/>
  <c r="D1935" i="14"/>
  <c r="D1936" i="14"/>
  <c r="D1937" i="14"/>
  <c r="D1938" i="14"/>
  <c r="D1939" i="14"/>
  <c r="D1940" i="14"/>
  <c r="D1941" i="14"/>
  <c r="D1942" i="14"/>
  <c r="D1943" i="14"/>
  <c r="D1944" i="14"/>
  <c r="D1945" i="14"/>
  <c r="D1946" i="14"/>
  <c r="D1947" i="14"/>
  <c r="D1948" i="14"/>
  <c r="D1949" i="14"/>
  <c r="D1950" i="14"/>
  <c r="D1951" i="14"/>
  <c r="D1952" i="14"/>
  <c r="D1953" i="14"/>
  <c r="D1954" i="14"/>
  <c r="D1955" i="14"/>
  <c r="D1956" i="14"/>
  <c r="D1957" i="14"/>
  <c r="D1958" i="14"/>
  <c r="D1959" i="14"/>
  <c r="D1960" i="14"/>
  <c r="D1961" i="14"/>
  <c r="D1962" i="14"/>
  <c r="D1963" i="14"/>
  <c r="D1964" i="14"/>
  <c r="D1965" i="14"/>
  <c r="D1966" i="14"/>
  <c r="D1967" i="14"/>
  <c r="D1968" i="14"/>
  <c r="D1969" i="14"/>
  <c r="D1970" i="14"/>
  <c r="D1971" i="14"/>
  <c r="D1972" i="14"/>
  <c r="D1973" i="14"/>
  <c r="D1974" i="14"/>
  <c r="D1975" i="14"/>
  <c r="D1976" i="14"/>
  <c r="D1977" i="14"/>
  <c r="D1978" i="14"/>
  <c r="D1979" i="14"/>
  <c r="D1980" i="14"/>
  <c r="D1981" i="14"/>
  <c r="D1982" i="14"/>
  <c r="D1983" i="14"/>
  <c r="D1984" i="14"/>
  <c r="D1985" i="14"/>
  <c r="D1986" i="14"/>
  <c r="D1987" i="14"/>
  <c r="D1988" i="14"/>
  <c r="D1989" i="14"/>
  <c r="D1990" i="14"/>
  <c r="D1991" i="14"/>
  <c r="D1992" i="14"/>
  <c r="D1993" i="14"/>
  <c r="D1994" i="14"/>
  <c r="D1995" i="14"/>
  <c r="D1996" i="14"/>
  <c r="D1997" i="14"/>
  <c r="D1998" i="14"/>
  <c r="D1999" i="14"/>
  <c r="D2000" i="14"/>
  <c r="D2001" i="14"/>
  <c r="D2002" i="14"/>
  <c r="D2003" i="14"/>
  <c r="D2004" i="14"/>
  <c r="D2005" i="14"/>
  <c r="D2006" i="14"/>
  <c r="D2007" i="14"/>
  <c r="D2008" i="14"/>
  <c r="D2009" i="14"/>
  <c r="D2010" i="14"/>
  <c r="D2011" i="14"/>
  <c r="D2012" i="14"/>
  <c r="D2013" i="14"/>
  <c r="D2014" i="14"/>
  <c r="D2015" i="14"/>
  <c r="D2016" i="14"/>
  <c r="D2017" i="14"/>
  <c r="D2018" i="14"/>
  <c r="D2019" i="14"/>
  <c r="D2020" i="14"/>
  <c r="D2021" i="14"/>
  <c r="D2022" i="14"/>
  <c r="D2023" i="14"/>
  <c r="D2024" i="14"/>
  <c r="D2025" i="14"/>
  <c r="D2026" i="14"/>
  <c r="D2027" i="14"/>
  <c r="D2028" i="14"/>
  <c r="D2029" i="14"/>
  <c r="D2030" i="14"/>
  <c r="D2031" i="14"/>
  <c r="D2032" i="14"/>
  <c r="D2033" i="14"/>
  <c r="D2034" i="14"/>
  <c r="D2035" i="14"/>
  <c r="D2036" i="14"/>
  <c r="D2037" i="14"/>
  <c r="D2038" i="14"/>
  <c r="D2039" i="14"/>
  <c r="D2040" i="14"/>
  <c r="D2041" i="14"/>
  <c r="D2042" i="14"/>
  <c r="D2043" i="14"/>
  <c r="D2044" i="14"/>
  <c r="D2045" i="14"/>
  <c r="D2046" i="14"/>
  <c r="D2047" i="14"/>
  <c r="D2048" i="14"/>
  <c r="D2049" i="14"/>
  <c r="D2050" i="14"/>
  <c r="D2051" i="14"/>
  <c r="D2052" i="14"/>
  <c r="D2053" i="14"/>
  <c r="D2054" i="14"/>
  <c r="D2055" i="14"/>
  <c r="D2056" i="14"/>
  <c r="D2057" i="14"/>
  <c r="D2058" i="14"/>
  <c r="D2059" i="14"/>
  <c r="D2060" i="14"/>
  <c r="D2061" i="14"/>
  <c r="D2062" i="14"/>
  <c r="D2063" i="14"/>
  <c r="D2064" i="14"/>
  <c r="D2065" i="14"/>
  <c r="D2066" i="14"/>
  <c r="D2067" i="14"/>
  <c r="D2068" i="14"/>
  <c r="D2069" i="14"/>
  <c r="D2070" i="14"/>
  <c r="D2071" i="14"/>
  <c r="D2072" i="14"/>
  <c r="D2073" i="14"/>
  <c r="D2074" i="14"/>
  <c r="D2075" i="14"/>
  <c r="D2076" i="14"/>
  <c r="D2077" i="14"/>
  <c r="D2078" i="14"/>
  <c r="D2079" i="14"/>
  <c r="D2080" i="14"/>
  <c r="D2081" i="14"/>
  <c r="D2082" i="14"/>
  <c r="D2083" i="14"/>
  <c r="D2084" i="14"/>
  <c r="D2085" i="14"/>
  <c r="D2086" i="14"/>
  <c r="D2087" i="14"/>
  <c r="D2088" i="14"/>
  <c r="D2089" i="14"/>
  <c r="D2090" i="14"/>
  <c r="D2091" i="14"/>
  <c r="D2092" i="14"/>
  <c r="D2093" i="14"/>
  <c r="D2094" i="14"/>
  <c r="D2095" i="14"/>
  <c r="D2096" i="14"/>
  <c r="D2097" i="14"/>
  <c r="D2098" i="14"/>
  <c r="D2099" i="14"/>
  <c r="D2100" i="14"/>
  <c r="D2101" i="14"/>
  <c r="D2102" i="14"/>
  <c r="D2103" i="14"/>
  <c r="D2104" i="14"/>
  <c r="D2105" i="14"/>
  <c r="D2106" i="14"/>
  <c r="D2107" i="14"/>
  <c r="D2108" i="14"/>
  <c r="D2109" i="14"/>
  <c r="D2110" i="14"/>
  <c r="D2111" i="14"/>
  <c r="D2112" i="14"/>
  <c r="D2113" i="14"/>
  <c r="D2114" i="14"/>
  <c r="D2115" i="14"/>
  <c r="D2116" i="14"/>
  <c r="D2117" i="14"/>
  <c r="D2118" i="14"/>
  <c r="D2119" i="14"/>
  <c r="D2120" i="14"/>
  <c r="D2121" i="14"/>
  <c r="D2122" i="14"/>
  <c r="D2123" i="14"/>
  <c r="D2124" i="14"/>
  <c r="D2125" i="14"/>
  <c r="D2126" i="14"/>
  <c r="D2127" i="14"/>
  <c r="D2128" i="14"/>
  <c r="D2129" i="14"/>
  <c r="D2130" i="14"/>
  <c r="D2131" i="14"/>
  <c r="D2132" i="14"/>
  <c r="D2133" i="14"/>
  <c r="D2134" i="14"/>
  <c r="D2135" i="14"/>
  <c r="D2136" i="14"/>
  <c r="D2137" i="14"/>
  <c r="D2138" i="14"/>
  <c r="D2139" i="14"/>
  <c r="D2140" i="14"/>
  <c r="D2141" i="14"/>
  <c r="D2142" i="14"/>
  <c r="D2143" i="14"/>
  <c r="D2144" i="14"/>
  <c r="D2145" i="14"/>
  <c r="D2146" i="14"/>
  <c r="D2147" i="14"/>
  <c r="D2148" i="14"/>
  <c r="D2149" i="14"/>
  <c r="D2150" i="14"/>
  <c r="D2151" i="14"/>
  <c r="D2152" i="14"/>
  <c r="D2153" i="14"/>
  <c r="D2154" i="14"/>
  <c r="D2155" i="14"/>
  <c r="D2156" i="14"/>
  <c r="D2157" i="14"/>
  <c r="D2158" i="14"/>
  <c r="D2159" i="14"/>
  <c r="D2160" i="14"/>
  <c r="D2161" i="14"/>
  <c r="D2162" i="14"/>
  <c r="D2163" i="14"/>
  <c r="D2164" i="14"/>
  <c r="D2165" i="14"/>
  <c r="D2166" i="14"/>
  <c r="D2167" i="14"/>
  <c r="D2168" i="14"/>
  <c r="D2169" i="14"/>
  <c r="D2170" i="14"/>
  <c r="D2171" i="14"/>
  <c r="D2172" i="14"/>
  <c r="D2173" i="14"/>
  <c r="D2174" i="14"/>
  <c r="D2175" i="14"/>
  <c r="D2176" i="14"/>
  <c r="D2177" i="14"/>
  <c r="D2178" i="14"/>
  <c r="D2179" i="14"/>
  <c r="D2180" i="14"/>
  <c r="D2181" i="14"/>
  <c r="D2182" i="14"/>
  <c r="D2183" i="14"/>
  <c r="D2184" i="14"/>
  <c r="D2185" i="14"/>
  <c r="D2186" i="14"/>
  <c r="D2187" i="14"/>
  <c r="D2188" i="14"/>
  <c r="D2189" i="14"/>
  <c r="D2190" i="14"/>
  <c r="D2191" i="14"/>
  <c r="D2192" i="14"/>
  <c r="D2193" i="14"/>
  <c r="D2194" i="14"/>
  <c r="D2195" i="14"/>
  <c r="D2196" i="14"/>
  <c r="D2197" i="14"/>
  <c r="D2198" i="14"/>
  <c r="D2199" i="14"/>
  <c r="D2200" i="14"/>
  <c r="D2201" i="14"/>
  <c r="D2202" i="14"/>
  <c r="D2203" i="14"/>
  <c r="D2204" i="14"/>
  <c r="D2205" i="14"/>
  <c r="D2206" i="14"/>
  <c r="D2207" i="14"/>
  <c r="D2208" i="14"/>
  <c r="D2209" i="14"/>
  <c r="D2210" i="14"/>
  <c r="D2211" i="14"/>
  <c r="D2212" i="14"/>
  <c r="D2213" i="14"/>
  <c r="D2214" i="14"/>
  <c r="D2215" i="14"/>
  <c r="D2216" i="14"/>
  <c r="D2217" i="14"/>
  <c r="D2218" i="14"/>
  <c r="D2219" i="14"/>
  <c r="D2220" i="14"/>
  <c r="D2221" i="14"/>
  <c r="D2222" i="14"/>
  <c r="D2223" i="14"/>
  <c r="D2224" i="14"/>
  <c r="D2225" i="14"/>
  <c r="D2226" i="14"/>
  <c r="D2227" i="14"/>
  <c r="D2228" i="14"/>
  <c r="D2229" i="14"/>
  <c r="D2230" i="14"/>
  <c r="D2231" i="14"/>
  <c r="D2232" i="14"/>
  <c r="D2233" i="14"/>
  <c r="D2234" i="14"/>
  <c r="D2235" i="14"/>
  <c r="D2236" i="14"/>
  <c r="D2237" i="14"/>
  <c r="D2238" i="14"/>
  <c r="D2239" i="14"/>
  <c r="D2240" i="14"/>
  <c r="D2241" i="14"/>
  <c r="D2242" i="14"/>
  <c r="D2243" i="14"/>
  <c r="D2244" i="14"/>
  <c r="D2245" i="14"/>
  <c r="D2246" i="14"/>
  <c r="D2247" i="14"/>
  <c r="D2248" i="14"/>
  <c r="D2249" i="14"/>
  <c r="D2250" i="14"/>
  <c r="D2251" i="14"/>
  <c r="D2252" i="14"/>
  <c r="D2253" i="14"/>
  <c r="D2254" i="14"/>
  <c r="D2255" i="14"/>
  <c r="D2256" i="14"/>
  <c r="D2257" i="14"/>
  <c r="D2258" i="14"/>
  <c r="D2259" i="14"/>
  <c r="D2260" i="14"/>
  <c r="D2261" i="14"/>
  <c r="D2262" i="14"/>
  <c r="D2263" i="14"/>
  <c r="D2264" i="14"/>
  <c r="D2265" i="14"/>
  <c r="D2266" i="14"/>
  <c r="D2267" i="14"/>
  <c r="D2268" i="14"/>
  <c r="D2269" i="14"/>
  <c r="D2270" i="14"/>
  <c r="D2271" i="14"/>
  <c r="D2272" i="14"/>
  <c r="D2273" i="14"/>
  <c r="D2274" i="14"/>
  <c r="D2275" i="14"/>
  <c r="D2276" i="14"/>
  <c r="D2277" i="14"/>
  <c r="D2278" i="14"/>
  <c r="D2279" i="14"/>
  <c r="D2280" i="14"/>
  <c r="D2281" i="14"/>
  <c r="D2282" i="14"/>
  <c r="D2283" i="14"/>
  <c r="D2284" i="14"/>
  <c r="D2285" i="14"/>
  <c r="D2286" i="14"/>
  <c r="D2287" i="14"/>
  <c r="D2288" i="14"/>
  <c r="D2289" i="14"/>
  <c r="D2290" i="14"/>
  <c r="D2291" i="14"/>
  <c r="D2292" i="14"/>
  <c r="D2293" i="14"/>
  <c r="D2294" i="14"/>
  <c r="D2295" i="14"/>
  <c r="D2296" i="14"/>
  <c r="D2297" i="14"/>
  <c r="D2298" i="14"/>
  <c r="D2299" i="14"/>
  <c r="D2300" i="14"/>
  <c r="D2301" i="14"/>
  <c r="D2302" i="14"/>
  <c r="D2303" i="14"/>
  <c r="D2304" i="14"/>
  <c r="D2305" i="14"/>
  <c r="D2306" i="14"/>
  <c r="D2307" i="14"/>
  <c r="D2308" i="14"/>
  <c r="D2309" i="14"/>
  <c r="D2310" i="14"/>
  <c r="D2311" i="14"/>
  <c r="D2312" i="14"/>
  <c r="D2313" i="14"/>
  <c r="D2314" i="14"/>
  <c r="D2315" i="14"/>
  <c r="D2316" i="14"/>
  <c r="D2317" i="14"/>
  <c r="D2318" i="14"/>
  <c r="D2319" i="14"/>
  <c r="D2320" i="14"/>
  <c r="D2321" i="14"/>
  <c r="D2322" i="14"/>
  <c r="D2323" i="14"/>
  <c r="D2324" i="14"/>
  <c r="D2325" i="14"/>
  <c r="D2326" i="14"/>
  <c r="D2327" i="14"/>
  <c r="D2328" i="14"/>
  <c r="D2329" i="14"/>
  <c r="D2330" i="14"/>
  <c r="D2331" i="14"/>
  <c r="D2332" i="14"/>
  <c r="D2333" i="14"/>
  <c r="D2334" i="14"/>
  <c r="D2335" i="14"/>
  <c r="D2336" i="14"/>
  <c r="D2337" i="14"/>
  <c r="D2338" i="14"/>
  <c r="D2339" i="14"/>
  <c r="D2340" i="14"/>
  <c r="D2341" i="14"/>
  <c r="D2342" i="14"/>
  <c r="D2343" i="14"/>
  <c r="D2344" i="14"/>
  <c r="D2345" i="14"/>
  <c r="D2346" i="14"/>
  <c r="D2347" i="14"/>
  <c r="D2348" i="14"/>
  <c r="D2349" i="14"/>
  <c r="D2350" i="14"/>
  <c r="D2351" i="14"/>
  <c r="D2352" i="14"/>
  <c r="D2353" i="14"/>
  <c r="D2354" i="14"/>
  <c r="D2355" i="14"/>
  <c r="D2356" i="14"/>
  <c r="D2357" i="14"/>
  <c r="D2358" i="14"/>
  <c r="D2359" i="14"/>
  <c r="D2360" i="14"/>
  <c r="D2361" i="14"/>
  <c r="D2362" i="14"/>
  <c r="D2363" i="14"/>
  <c r="D2364" i="14"/>
  <c r="D2365" i="14"/>
  <c r="D2366" i="14"/>
  <c r="D2367" i="14"/>
  <c r="D2368" i="14"/>
  <c r="D2369" i="14"/>
  <c r="D2370" i="14"/>
  <c r="D2371" i="14"/>
  <c r="D2372" i="14"/>
  <c r="D2373" i="14"/>
  <c r="D2374" i="14"/>
  <c r="D2375" i="14"/>
  <c r="D2376" i="14"/>
  <c r="D2377" i="14"/>
  <c r="D2378" i="14"/>
  <c r="D2379" i="14"/>
  <c r="D2380" i="14"/>
  <c r="D2381" i="14"/>
  <c r="D2382" i="14"/>
  <c r="D2383" i="14"/>
  <c r="D2384" i="14"/>
  <c r="D2385" i="14"/>
  <c r="D2386" i="14"/>
  <c r="D2387" i="14"/>
  <c r="D2388" i="14"/>
  <c r="D2389" i="14"/>
  <c r="D2390" i="14"/>
  <c r="D2391" i="14"/>
  <c r="D2392" i="14"/>
  <c r="D2393" i="14"/>
  <c r="D2394" i="14"/>
  <c r="D2395" i="14"/>
  <c r="D2396" i="14"/>
  <c r="D2397" i="14"/>
  <c r="D2398" i="14"/>
  <c r="D2399" i="14"/>
  <c r="D2400" i="14"/>
  <c r="D2401" i="14"/>
  <c r="D2402" i="14"/>
  <c r="D2403" i="14"/>
  <c r="D2404" i="14"/>
  <c r="D2405" i="14"/>
  <c r="D2406" i="14"/>
  <c r="D2407" i="14"/>
  <c r="D2408" i="14"/>
  <c r="D2409" i="14"/>
  <c r="D2410" i="14"/>
  <c r="D2411" i="14"/>
  <c r="D2412" i="14"/>
  <c r="D2413" i="14"/>
  <c r="D2414" i="14"/>
  <c r="D2415" i="14"/>
  <c r="D2416" i="14"/>
  <c r="D2417" i="14"/>
  <c r="D2418" i="14"/>
  <c r="D2419" i="14"/>
  <c r="D2420" i="14"/>
  <c r="D2421" i="14"/>
  <c r="D2422" i="14"/>
  <c r="D2423" i="14"/>
  <c r="D2424" i="14"/>
  <c r="D2425" i="14"/>
  <c r="D2426" i="14"/>
  <c r="D2427" i="14"/>
  <c r="D2428" i="14"/>
  <c r="D2429" i="14"/>
  <c r="D2430" i="14"/>
  <c r="D2431" i="14"/>
  <c r="D2432" i="14"/>
  <c r="D2433" i="14"/>
  <c r="D2434" i="14"/>
  <c r="D2435" i="14"/>
  <c r="D2436" i="14"/>
  <c r="D2437" i="14"/>
  <c r="D2438" i="14"/>
  <c r="D2439" i="14"/>
  <c r="D2440" i="14"/>
  <c r="D2441" i="14"/>
  <c r="D2442" i="14"/>
  <c r="D2443" i="14"/>
  <c r="D2444" i="14"/>
  <c r="D2445" i="14"/>
  <c r="D2446" i="14"/>
  <c r="D2447" i="14"/>
  <c r="D2448" i="14"/>
  <c r="D2449" i="14"/>
  <c r="D2450" i="14"/>
  <c r="D2451" i="14"/>
  <c r="D2452" i="14"/>
  <c r="D2453" i="14"/>
  <c r="D2454" i="14"/>
  <c r="D2455" i="14"/>
  <c r="D2456" i="14"/>
  <c r="D2457" i="14"/>
  <c r="D2458" i="14"/>
  <c r="D2459" i="14"/>
  <c r="D2460" i="14"/>
  <c r="D2461" i="14"/>
  <c r="D2462" i="14"/>
  <c r="D2463" i="14"/>
  <c r="D2464" i="14"/>
  <c r="D2465" i="14"/>
  <c r="D2466" i="14"/>
  <c r="D2467" i="14"/>
  <c r="D2468" i="14"/>
  <c r="D2469" i="14"/>
  <c r="D2470" i="14"/>
  <c r="D2471" i="14"/>
  <c r="D2472" i="14"/>
  <c r="D2473" i="14"/>
  <c r="D2474" i="14"/>
  <c r="D2475" i="14"/>
  <c r="D2476" i="14"/>
  <c r="D2477" i="14"/>
  <c r="D2478" i="14"/>
  <c r="D2479" i="14"/>
  <c r="D2480" i="14"/>
  <c r="D2481" i="14"/>
  <c r="D2482" i="14"/>
  <c r="D2483" i="14"/>
  <c r="D2484" i="14"/>
  <c r="D2485" i="14"/>
  <c r="D2486" i="14"/>
  <c r="D2487" i="14"/>
  <c r="D2488" i="14"/>
  <c r="D2489" i="14"/>
  <c r="D2490" i="14"/>
  <c r="D2491" i="14"/>
  <c r="D2492" i="14"/>
  <c r="D2493" i="14"/>
  <c r="D2494" i="14"/>
  <c r="D2495" i="14"/>
  <c r="D2496" i="14"/>
  <c r="D2497" i="14"/>
  <c r="D2498" i="14"/>
  <c r="D2499" i="14"/>
  <c r="D2500" i="14"/>
  <c r="D2501" i="14"/>
  <c r="D2502" i="14"/>
  <c r="D2503" i="14"/>
  <c r="D2504" i="14"/>
  <c r="D2505" i="14"/>
  <c r="D2506" i="14"/>
  <c r="D2507" i="14"/>
  <c r="D2508" i="14"/>
  <c r="D2509" i="14"/>
  <c r="D2510" i="14"/>
  <c r="D2511" i="14"/>
  <c r="D2512" i="14"/>
  <c r="D2513" i="14"/>
  <c r="D2514" i="14"/>
  <c r="D2515" i="14"/>
  <c r="D2516" i="14"/>
  <c r="D2517" i="14"/>
  <c r="D2518" i="14"/>
  <c r="D2519" i="14"/>
  <c r="D2520" i="14"/>
  <c r="D2521" i="14"/>
  <c r="D2522" i="14"/>
  <c r="D2523" i="14"/>
  <c r="D2524" i="14"/>
  <c r="D2525" i="14"/>
  <c r="D2526" i="14"/>
  <c r="D2527" i="14"/>
  <c r="D2528" i="14"/>
  <c r="D2529" i="14"/>
  <c r="D2530" i="14"/>
  <c r="D2531" i="14"/>
  <c r="D2532" i="14"/>
  <c r="D2533" i="14"/>
  <c r="D2534" i="14"/>
  <c r="D2535" i="14"/>
  <c r="D2536" i="14"/>
  <c r="D2537" i="14"/>
  <c r="D2538" i="14"/>
  <c r="D2539" i="14"/>
  <c r="D2540" i="14"/>
  <c r="D2541" i="14"/>
  <c r="D2542" i="14"/>
  <c r="D2543" i="14"/>
  <c r="D2544" i="14"/>
  <c r="D2545" i="14"/>
  <c r="D2546" i="14"/>
  <c r="D2547" i="14"/>
  <c r="D2548" i="14"/>
  <c r="D2549" i="14"/>
  <c r="D2550" i="14"/>
  <c r="D2551" i="14"/>
  <c r="D2552" i="14"/>
  <c r="D2553" i="14"/>
  <c r="D2554" i="14"/>
  <c r="D2555" i="14"/>
  <c r="D2556" i="14"/>
  <c r="D2557" i="14"/>
  <c r="D2558" i="14"/>
  <c r="D2559" i="14"/>
  <c r="D2560" i="14"/>
  <c r="D2561" i="14"/>
  <c r="D2562" i="14"/>
  <c r="D2563" i="14"/>
  <c r="D2564" i="14"/>
  <c r="D2565" i="14"/>
  <c r="D2566" i="14"/>
  <c r="D2567" i="14"/>
  <c r="D2568" i="14"/>
  <c r="D2569" i="14"/>
  <c r="D2570" i="14"/>
  <c r="D2571" i="14"/>
  <c r="D2572" i="14"/>
  <c r="D2573" i="14"/>
  <c r="D2574" i="14"/>
  <c r="D2575" i="14"/>
  <c r="D2576" i="14"/>
  <c r="D2577" i="14"/>
  <c r="D2578" i="14"/>
  <c r="D2579" i="14"/>
  <c r="D2580" i="14"/>
  <c r="D2581" i="14"/>
  <c r="D2582" i="14"/>
  <c r="D2583" i="14"/>
  <c r="D2584" i="14"/>
  <c r="D2585" i="14"/>
  <c r="D2586" i="14"/>
  <c r="D2587" i="14"/>
  <c r="D2588" i="14"/>
  <c r="D2589" i="14"/>
  <c r="D2590" i="14"/>
  <c r="D2591" i="14"/>
  <c r="D2592" i="14"/>
  <c r="D2593" i="14"/>
  <c r="D2594" i="14"/>
  <c r="D2595" i="14"/>
  <c r="D2596" i="14"/>
  <c r="D2597" i="14"/>
  <c r="D2598" i="14"/>
  <c r="D2599" i="14"/>
  <c r="D2600" i="14"/>
  <c r="D2601" i="14"/>
  <c r="D2602" i="14"/>
  <c r="D2603" i="14"/>
  <c r="D2604" i="14"/>
  <c r="D2605" i="14"/>
  <c r="D2606" i="14"/>
  <c r="D2607" i="14"/>
  <c r="D2608" i="14"/>
  <c r="D2609" i="14"/>
  <c r="D2610" i="14"/>
  <c r="D2611" i="14"/>
  <c r="D2612" i="14"/>
  <c r="D2613" i="14"/>
  <c r="D2614" i="14"/>
  <c r="D2615" i="14"/>
  <c r="D2616" i="14"/>
  <c r="D2617" i="14"/>
  <c r="D2618" i="14"/>
  <c r="D2619" i="14"/>
  <c r="D2620" i="14"/>
  <c r="D2621" i="14"/>
  <c r="D2622" i="14"/>
  <c r="D2623" i="14"/>
  <c r="D2624" i="14"/>
  <c r="D2625" i="14"/>
  <c r="D2626" i="14"/>
  <c r="D2627" i="14"/>
  <c r="D2628" i="14"/>
  <c r="D2629" i="14"/>
  <c r="D2630" i="14"/>
  <c r="D2631" i="14"/>
  <c r="D2632" i="14"/>
  <c r="D2633" i="14"/>
  <c r="D2634" i="14"/>
  <c r="D2635" i="14"/>
  <c r="D2636" i="14"/>
  <c r="D2637" i="14"/>
  <c r="D2638" i="14"/>
  <c r="D2639" i="14"/>
  <c r="D2640" i="14"/>
  <c r="D2641" i="14"/>
  <c r="D2642" i="14"/>
  <c r="D2643" i="14"/>
  <c r="D2644" i="14"/>
  <c r="D2645" i="14"/>
  <c r="D2646" i="14"/>
  <c r="D2647" i="14"/>
  <c r="D2648" i="14"/>
  <c r="D2649" i="14"/>
  <c r="D2650" i="14"/>
  <c r="D2651" i="14"/>
  <c r="D2652" i="14"/>
  <c r="D2653" i="14"/>
  <c r="D2654" i="14"/>
  <c r="D2655" i="14"/>
  <c r="D2656" i="14"/>
  <c r="D2657" i="14"/>
  <c r="D2658" i="14"/>
  <c r="D2659" i="14"/>
  <c r="D2660" i="14"/>
  <c r="D2661" i="14"/>
  <c r="D2662" i="14"/>
  <c r="D2663" i="14"/>
  <c r="D2664" i="14"/>
  <c r="D2665" i="14"/>
  <c r="D2666" i="14"/>
  <c r="D2667" i="14"/>
  <c r="D2668" i="14"/>
  <c r="D2669" i="14"/>
  <c r="D2670" i="14"/>
  <c r="D2671" i="14"/>
  <c r="D2672" i="14"/>
  <c r="D2673" i="14"/>
  <c r="D2674" i="14"/>
  <c r="D2675" i="14"/>
  <c r="D2676" i="14"/>
  <c r="D2677" i="14"/>
  <c r="D2678" i="14"/>
  <c r="D2679" i="14"/>
  <c r="D2680" i="14"/>
  <c r="D2681" i="14"/>
  <c r="D2682" i="14"/>
  <c r="D2683" i="14"/>
  <c r="D2684" i="14"/>
  <c r="D2685" i="14"/>
  <c r="D2686" i="14"/>
  <c r="D2687" i="14"/>
  <c r="D2688" i="14"/>
  <c r="D2689" i="14"/>
  <c r="D2690" i="14"/>
  <c r="D2691" i="14"/>
  <c r="D2692" i="14"/>
  <c r="D2693" i="14"/>
  <c r="D2694" i="14"/>
  <c r="D2695" i="14"/>
  <c r="D2696" i="14"/>
  <c r="D2697" i="14"/>
  <c r="D2698" i="14"/>
  <c r="D2699" i="14"/>
  <c r="D2700" i="14"/>
  <c r="D2701" i="14"/>
  <c r="D2702" i="14"/>
  <c r="D2703" i="14"/>
  <c r="D2704" i="14"/>
  <c r="D2705" i="14"/>
  <c r="D2706" i="14"/>
  <c r="D2707" i="14"/>
  <c r="D2708" i="14"/>
  <c r="D2709" i="14"/>
  <c r="D2710" i="14"/>
  <c r="D2711" i="14"/>
  <c r="D2712" i="14"/>
  <c r="D2713" i="14"/>
  <c r="D2714" i="14"/>
  <c r="D2715" i="14"/>
  <c r="D2716" i="14"/>
  <c r="D2717" i="14"/>
  <c r="D2718" i="14"/>
  <c r="D2719" i="14"/>
  <c r="D2720" i="14"/>
  <c r="D2721" i="14"/>
  <c r="D2722" i="14"/>
  <c r="D2723" i="14"/>
  <c r="D2724" i="14"/>
  <c r="D2725" i="14"/>
  <c r="D2726" i="14"/>
  <c r="D2727" i="14"/>
  <c r="D2728" i="14"/>
  <c r="D2729" i="14"/>
  <c r="D2730" i="14"/>
  <c r="D2731" i="14"/>
  <c r="D2732" i="14"/>
  <c r="D2733" i="14"/>
  <c r="D2734" i="14"/>
  <c r="D2735" i="14"/>
  <c r="D2736" i="14"/>
  <c r="D2737" i="14"/>
  <c r="D2738" i="14"/>
  <c r="D2739" i="14"/>
  <c r="D2740" i="14"/>
  <c r="D2741" i="14"/>
  <c r="D2742" i="14"/>
  <c r="D2743" i="14"/>
  <c r="D2744" i="14"/>
  <c r="D2745" i="14"/>
  <c r="D2746" i="14"/>
  <c r="D2747" i="14"/>
  <c r="D2748" i="14"/>
  <c r="D2749" i="14"/>
  <c r="D2750" i="14"/>
  <c r="D2751" i="14"/>
  <c r="D2752" i="14"/>
  <c r="D2753" i="14"/>
  <c r="D2754" i="14"/>
  <c r="D2755" i="14"/>
  <c r="D2756" i="14"/>
  <c r="D2757" i="14"/>
  <c r="D2758" i="14"/>
  <c r="D2759" i="14"/>
  <c r="D2760" i="14"/>
  <c r="D2761" i="14"/>
  <c r="D2762" i="14"/>
  <c r="D2763" i="14"/>
  <c r="D2764" i="14"/>
  <c r="D2765" i="14"/>
  <c r="D2766" i="14"/>
  <c r="D2767" i="14"/>
  <c r="D2768" i="14"/>
  <c r="D2769" i="14"/>
  <c r="D2770" i="14"/>
  <c r="D2771" i="14"/>
  <c r="D2772" i="14"/>
  <c r="D2773" i="14"/>
  <c r="D2774" i="14"/>
  <c r="D2775" i="14"/>
  <c r="D2776" i="14"/>
  <c r="D2777" i="14"/>
  <c r="D2778" i="14"/>
  <c r="D2779" i="14"/>
  <c r="D2780" i="14"/>
  <c r="D2781" i="14"/>
  <c r="D2782" i="14"/>
  <c r="D2783" i="14"/>
  <c r="D2784" i="14"/>
  <c r="D2785" i="14"/>
  <c r="D2786" i="14"/>
  <c r="D2787" i="14"/>
  <c r="D2788" i="14"/>
  <c r="D2789" i="14"/>
  <c r="D2790" i="14"/>
  <c r="D2791" i="14"/>
  <c r="D2792" i="14"/>
  <c r="D2793" i="14"/>
  <c r="D2794" i="14"/>
  <c r="D2795" i="14"/>
  <c r="D2796" i="14"/>
  <c r="D2797" i="14"/>
  <c r="D2798" i="14"/>
  <c r="D2799" i="14"/>
  <c r="D2800" i="14"/>
  <c r="D2801" i="14"/>
  <c r="D2802" i="14"/>
  <c r="D2803" i="14"/>
  <c r="D2804" i="14"/>
  <c r="D2805" i="14"/>
  <c r="D2806" i="14"/>
  <c r="D2807" i="14"/>
  <c r="D2808" i="14"/>
  <c r="D2809" i="14"/>
  <c r="D2810" i="14"/>
  <c r="D2811" i="14"/>
  <c r="D2812" i="14"/>
  <c r="D2813" i="14"/>
  <c r="D2814" i="14"/>
  <c r="D2815" i="14"/>
  <c r="D2816" i="14"/>
  <c r="D2817" i="14"/>
  <c r="D2818" i="14"/>
  <c r="D2819" i="14"/>
  <c r="D2820" i="14"/>
  <c r="D2821" i="14"/>
  <c r="D2822" i="14"/>
  <c r="D2823" i="14"/>
  <c r="D2824" i="14"/>
  <c r="D2825" i="14"/>
  <c r="D2826" i="14"/>
  <c r="D2827" i="14"/>
  <c r="D2828" i="14"/>
  <c r="D2829" i="14"/>
  <c r="D2830" i="14"/>
  <c r="D2831" i="14"/>
  <c r="D2832" i="14"/>
  <c r="D2833" i="14"/>
  <c r="D2834" i="14"/>
  <c r="D2835" i="14"/>
  <c r="D2836" i="14"/>
  <c r="D2837" i="14"/>
  <c r="D2838" i="14"/>
  <c r="D2839" i="14"/>
  <c r="D2840" i="14"/>
  <c r="D2841" i="14"/>
  <c r="D2842" i="14"/>
  <c r="D2843" i="14"/>
  <c r="D2844" i="14"/>
  <c r="D2845" i="14"/>
  <c r="D2846" i="14"/>
  <c r="D2847" i="14"/>
  <c r="D2848" i="14"/>
  <c r="D2849" i="14"/>
  <c r="D2850" i="14"/>
  <c r="D2851" i="14"/>
  <c r="D2852" i="14"/>
  <c r="D2853" i="14"/>
  <c r="D2854" i="14"/>
  <c r="D2855" i="14"/>
  <c r="D2856" i="14"/>
  <c r="D2857" i="14"/>
  <c r="D2858" i="14"/>
  <c r="D2859" i="14"/>
  <c r="D2860" i="14"/>
  <c r="D2861" i="14"/>
  <c r="D2862" i="14"/>
  <c r="D2863" i="14"/>
  <c r="D2864" i="14"/>
  <c r="D2865" i="14"/>
  <c r="D2866" i="14"/>
  <c r="D2867" i="14"/>
  <c r="D2868" i="14"/>
  <c r="D2869" i="14"/>
  <c r="D2870" i="14"/>
  <c r="D2871" i="14"/>
  <c r="D2872" i="14"/>
  <c r="D2873" i="14"/>
  <c r="D2874" i="14"/>
  <c r="D2875" i="14"/>
  <c r="D2876" i="14"/>
  <c r="D2877" i="14"/>
  <c r="D2878" i="14"/>
  <c r="D2879" i="14"/>
  <c r="D2880" i="14"/>
  <c r="D2881" i="14"/>
  <c r="D2882" i="14"/>
  <c r="D2883" i="14"/>
  <c r="D2884" i="14"/>
  <c r="D2885" i="14"/>
  <c r="D2886" i="14"/>
  <c r="D2887" i="14"/>
  <c r="D2888" i="14"/>
  <c r="D2889" i="14"/>
  <c r="D2890" i="14"/>
  <c r="D2891" i="14"/>
  <c r="D2892" i="14"/>
  <c r="D2893" i="14"/>
  <c r="D2894" i="14"/>
  <c r="D2895" i="14"/>
  <c r="D2896" i="14"/>
  <c r="D2897" i="14"/>
  <c r="D2898" i="14"/>
  <c r="D2899" i="14"/>
  <c r="D2900" i="14"/>
  <c r="D2901" i="14"/>
  <c r="D2902" i="14"/>
  <c r="D2903" i="14"/>
  <c r="D2904" i="14"/>
  <c r="D2905" i="14"/>
  <c r="D2906" i="14"/>
  <c r="D2907" i="14"/>
  <c r="D2908" i="14"/>
  <c r="D2909" i="14"/>
  <c r="D2910" i="14"/>
  <c r="D2911" i="14"/>
  <c r="D2912" i="14"/>
  <c r="D2913" i="14"/>
  <c r="D2914" i="14"/>
  <c r="D2915" i="14"/>
  <c r="D2916" i="14"/>
  <c r="D2917" i="14"/>
  <c r="D2918" i="14"/>
  <c r="D2919" i="14"/>
  <c r="D2920" i="14"/>
  <c r="D2921" i="14"/>
  <c r="D2922" i="14"/>
  <c r="D2923" i="14"/>
  <c r="D2924" i="14"/>
  <c r="D2925" i="14"/>
  <c r="D2926" i="14"/>
  <c r="D2927" i="14"/>
  <c r="D2928" i="14"/>
  <c r="D2929" i="14"/>
  <c r="D2930" i="14"/>
  <c r="D2931" i="14"/>
  <c r="D2932" i="14"/>
  <c r="D2933" i="14"/>
  <c r="D2934" i="14"/>
  <c r="D2935" i="14"/>
  <c r="D2936" i="14"/>
  <c r="D2937" i="14"/>
  <c r="D2938" i="14"/>
  <c r="D2939" i="14"/>
  <c r="D2940" i="14"/>
  <c r="D2941" i="14"/>
  <c r="D2942" i="14"/>
  <c r="D2943" i="14"/>
  <c r="D2944" i="14"/>
  <c r="D2945" i="14"/>
  <c r="D2946" i="14"/>
  <c r="D2947" i="14"/>
  <c r="D2948" i="14"/>
  <c r="D2949" i="14"/>
  <c r="D2950" i="14"/>
  <c r="D2951" i="14"/>
  <c r="D2952" i="14"/>
  <c r="D2953" i="14"/>
  <c r="D2954" i="14"/>
  <c r="D2955" i="14"/>
  <c r="D2956" i="14"/>
  <c r="D2957" i="14"/>
  <c r="D2958" i="14"/>
  <c r="D2959" i="14"/>
  <c r="D2960" i="14"/>
  <c r="D2961" i="14"/>
  <c r="D2962" i="14"/>
  <c r="D2963" i="14"/>
  <c r="D2964" i="14"/>
  <c r="D2965" i="14"/>
  <c r="D2966" i="14"/>
  <c r="D2967" i="14"/>
  <c r="D2968" i="14"/>
  <c r="D2969" i="14"/>
  <c r="D2970" i="14"/>
  <c r="D2971" i="14"/>
  <c r="D2972" i="14"/>
  <c r="D2973" i="14"/>
  <c r="D2974" i="14"/>
  <c r="D2975" i="14"/>
  <c r="D2976" i="14"/>
  <c r="D2977" i="14"/>
  <c r="D2978" i="14"/>
  <c r="D2979" i="14"/>
  <c r="D2980" i="14"/>
  <c r="D2981" i="14"/>
  <c r="D2982" i="14"/>
  <c r="D2983" i="14"/>
  <c r="D2984" i="14"/>
  <c r="D2985" i="14"/>
  <c r="D2986" i="14"/>
  <c r="D2987" i="14"/>
  <c r="D2988" i="14"/>
  <c r="D2989" i="14"/>
  <c r="D2990" i="14"/>
  <c r="D2991" i="14"/>
  <c r="D2992" i="14"/>
  <c r="D2993" i="14"/>
  <c r="D2994" i="14"/>
  <c r="D2995" i="14"/>
  <c r="D2996" i="14"/>
  <c r="D2997" i="14"/>
  <c r="D2998" i="14"/>
  <c r="D2999" i="14"/>
  <c r="D3000" i="14"/>
  <c r="D3001" i="14"/>
  <c r="D3002" i="14"/>
  <c r="D3003" i="14"/>
  <c r="D3004" i="14"/>
  <c r="D3005" i="14"/>
  <c r="D3006" i="14"/>
  <c r="D3007" i="14"/>
  <c r="D3008" i="14"/>
  <c r="D3009" i="14"/>
  <c r="D3010" i="14"/>
  <c r="D3011" i="14"/>
  <c r="D3012" i="14"/>
  <c r="D3013" i="14"/>
  <c r="D3014" i="14"/>
  <c r="D3015" i="14"/>
  <c r="D3016" i="14"/>
  <c r="D3017" i="14"/>
  <c r="D3018" i="14"/>
  <c r="D3019" i="14"/>
  <c r="D3020" i="14"/>
  <c r="D3021" i="14"/>
  <c r="D3022" i="14"/>
  <c r="D3023" i="14"/>
  <c r="D3024" i="14"/>
  <c r="D3025" i="14"/>
  <c r="D3026" i="14"/>
  <c r="D3027" i="14"/>
  <c r="D3028" i="14"/>
  <c r="D3029" i="14"/>
  <c r="D3030" i="14"/>
  <c r="D3031" i="14"/>
  <c r="D3032" i="14"/>
  <c r="D3033" i="14"/>
  <c r="D3034" i="14"/>
  <c r="D3035" i="14"/>
  <c r="D3036" i="14"/>
  <c r="D3037" i="14"/>
  <c r="D3038" i="14"/>
  <c r="D3039" i="14"/>
  <c r="D3040" i="14"/>
  <c r="D3041" i="14"/>
  <c r="D3042" i="14"/>
  <c r="D3043" i="14"/>
  <c r="D3044" i="14"/>
  <c r="D3045" i="14"/>
  <c r="D3046" i="14"/>
  <c r="D3047" i="14"/>
  <c r="D3048" i="14"/>
  <c r="D3049" i="14"/>
  <c r="D3050" i="14"/>
  <c r="D3051" i="14"/>
  <c r="D3052" i="14"/>
  <c r="D3053" i="14"/>
  <c r="D3054" i="14"/>
  <c r="D3055" i="14"/>
  <c r="D3056" i="14"/>
  <c r="D3057" i="14"/>
  <c r="D3058" i="14"/>
  <c r="D3059" i="14"/>
  <c r="D3060" i="14"/>
  <c r="D3061" i="14"/>
  <c r="D3062" i="14"/>
  <c r="D3063" i="14"/>
  <c r="D3064" i="14"/>
  <c r="D3065" i="14"/>
  <c r="D3066" i="14"/>
  <c r="D3067" i="14"/>
  <c r="D3068" i="14"/>
  <c r="D3069" i="14"/>
  <c r="D3070" i="14"/>
  <c r="D3071" i="14"/>
  <c r="D3072" i="14"/>
  <c r="D3073" i="14"/>
  <c r="D3074" i="14"/>
  <c r="D3075" i="14"/>
  <c r="D3076" i="14"/>
  <c r="D3077" i="14"/>
  <c r="D3078" i="14"/>
  <c r="D3079" i="14"/>
  <c r="D3080" i="14"/>
  <c r="D3081" i="14"/>
  <c r="D3082" i="14"/>
  <c r="D3083" i="14"/>
  <c r="D3084" i="14"/>
  <c r="D3085" i="14"/>
  <c r="D3086" i="14"/>
  <c r="D3087" i="14"/>
  <c r="D3088" i="14"/>
  <c r="D3089" i="14"/>
  <c r="D3090" i="14"/>
  <c r="D3091" i="14"/>
  <c r="D3092" i="14"/>
  <c r="D3093" i="14"/>
  <c r="D3094" i="14"/>
  <c r="D3095" i="14"/>
  <c r="D3096" i="14"/>
  <c r="D3097" i="14"/>
  <c r="D3098" i="14"/>
  <c r="D3099" i="14"/>
  <c r="D3100" i="14"/>
  <c r="D3101" i="14"/>
  <c r="D3102" i="14"/>
  <c r="D3103" i="14"/>
  <c r="D3104" i="14"/>
  <c r="D3105" i="14"/>
  <c r="D3106" i="14"/>
  <c r="D3107" i="14"/>
  <c r="D3108" i="14"/>
  <c r="D3109" i="14"/>
  <c r="D3110" i="14"/>
  <c r="D3111" i="14"/>
  <c r="D3112" i="14"/>
  <c r="D3113" i="14"/>
  <c r="D3114" i="14"/>
  <c r="D3115" i="14"/>
  <c r="D3116" i="14"/>
  <c r="D3117" i="14"/>
  <c r="D3118" i="14"/>
  <c r="D3119" i="14"/>
  <c r="D3120" i="14"/>
  <c r="D3121" i="14"/>
  <c r="D3122" i="14"/>
  <c r="D3123" i="14"/>
  <c r="D3124" i="14"/>
  <c r="D3125" i="14"/>
  <c r="D3126" i="14"/>
  <c r="D3127" i="14"/>
  <c r="D3128" i="14"/>
  <c r="D3129" i="14"/>
  <c r="D3130" i="14"/>
  <c r="D3131" i="14"/>
  <c r="D3132" i="14"/>
  <c r="D3133" i="14"/>
  <c r="D3134" i="14"/>
  <c r="D3135" i="14"/>
  <c r="D3136" i="14"/>
  <c r="D3137" i="14"/>
  <c r="D3138" i="14"/>
  <c r="D3139" i="14"/>
  <c r="D3140" i="14"/>
  <c r="D3141" i="14"/>
  <c r="D3142" i="14"/>
  <c r="D3143" i="14"/>
  <c r="D3144" i="14"/>
  <c r="D3145" i="14"/>
  <c r="D3146" i="14"/>
  <c r="D3147" i="14"/>
  <c r="D3148" i="14"/>
  <c r="D3149" i="14"/>
  <c r="D3150" i="14"/>
  <c r="D3151" i="14"/>
  <c r="D3152" i="14"/>
  <c r="D3153" i="14"/>
  <c r="D3154" i="14"/>
  <c r="D3155" i="14"/>
  <c r="D3156" i="14"/>
  <c r="D3157" i="14"/>
  <c r="D3158" i="14"/>
  <c r="D3159" i="14"/>
  <c r="D3160" i="14"/>
  <c r="D3161" i="14"/>
  <c r="D3162" i="14"/>
  <c r="D3163" i="14"/>
  <c r="D3164" i="14"/>
  <c r="D3165" i="14"/>
  <c r="D3166" i="14"/>
  <c r="D3167" i="14"/>
  <c r="D3168" i="14"/>
  <c r="D3169" i="14"/>
  <c r="D3170" i="14"/>
  <c r="D3171" i="14"/>
  <c r="D3172" i="14"/>
  <c r="D3173" i="14"/>
  <c r="D3174" i="14"/>
  <c r="D3175" i="14"/>
  <c r="D3176" i="14"/>
  <c r="D3177" i="14"/>
  <c r="D3178" i="14"/>
  <c r="D3179" i="14"/>
  <c r="D3180" i="14"/>
  <c r="D3181" i="14"/>
  <c r="D3182" i="14"/>
  <c r="D3183" i="14"/>
  <c r="D3184" i="14"/>
  <c r="D3185" i="14"/>
  <c r="D3186" i="14"/>
  <c r="D3187" i="14"/>
  <c r="D3188" i="14"/>
  <c r="D3189" i="14"/>
  <c r="D3190" i="14"/>
  <c r="D3191" i="14"/>
  <c r="D3192" i="14"/>
  <c r="D3193" i="14"/>
  <c r="D3194" i="14"/>
  <c r="D3195" i="14"/>
  <c r="D3196" i="14"/>
  <c r="D3197" i="14"/>
  <c r="D3198" i="14"/>
  <c r="D3199" i="14"/>
  <c r="D3200" i="14"/>
  <c r="D3201" i="14"/>
  <c r="D3202" i="14"/>
  <c r="D3203" i="14"/>
  <c r="D3204" i="14"/>
  <c r="D3205" i="14"/>
  <c r="D3206" i="14"/>
  <c r="D3207" i="14"/>
  <c r="D3208" i="14"/>
  <c r="D3209" i="14"/>
  <c r="D3210" i="14"/>
  <c r="D3211" i="14"/>
  <c r="D3212" i="14"/>
  <c r="D3213" i="14"/>
  <c r="D3214" i="14"/>
  <c r="D3215" i="14"/>
  <c r="D3216" i="14"/>
  <c r="D3217" i="14"/>
  <c r="D3218" i="14"/>
  <c r="D3219" i="14"/>
  <c r="D3220" i="14"/>
  <c r="D3221" i="14"/>
  <c r="D3222" i="14"/>
  <c r="D3223" i="14"/>
  <c r="D3224" i="14"/>
  <c r="D3225" i="14"/>
  <c r="D3226" i="14"/>
  <c r="D3227" i="14"/>
  <c r="D3228" i="14"/>
  <c r="D3229" i="14"/>
  <c r="D3230" i="14"/>
  <c r="D3231" i="14"/>
  <c r="D3232" i="14"/>
  <c r="D3233" i="14"/>
  <c r="D3234" i="14"/>
  <c r="D3235" i="14"/>
  <c r="D3236" i="14"/>
  <c r="D3237" i="14"/>
  <c r="D3238" i="14"/>
  <c r="D3239" i="14"/>
  <c r="D3240" i="14"/>
  <c r="D3241" i="14"/>
  <c r="D3242" i="14"/>
  <c r="D3243" i="14"/>
  <c r="D3244" i="14"/>
  <c r="D3245" i="14"/>
  <c r="D3246" i="14"/>
  <c r="D3247" i="14"/>
  <c r="D3248" i="14"/>
  <c r="D3249" i="14"/>
  <c r="D3250" i="14"/>
  <c r="D3251" i="14"/>
  <c r="D3252" i="14"/>
  <c r="D3253" i="14"/>
  <c r="D3254" i="14"/>
  <c r="D3255" i="14"/>
  <c r="D3256" i="14"/>
  <c r="D3257" i="14"/>
  <c r="D3258" i="14"/>
  <c r="D3259" i="14"/>
  <c r="D3260" i="14"/>
  <c r="D3261" i="14"/>
  <c r="D3262" i="14"/>
  <c r="D3263" i="14"/>
  <c r="D3264" i="14"/>
  <c r="D3265" i="14"/>
  <c r="D3266" i="14"/>
  <c r="D3267" i="14"/>
  <c r="D3268" i="14"/>
  <c r="D3269" i="14"/>
  <c r="D3270" i="14"/>
  <c r="D3271" i="14"/>
  <c r="D3272" i="14"/>
  <c r="D3273" i="14"/>
  <c r="D3274" i="14"/>
  <c r="D3275" i="14"/>
  <c r="D3276" i="14"/>
  <c r="D3277" i="14"/>
  <c r="D3278" i="14"/>
  <c r="D3279" i="14"/>
  <c r="D3280" i="14"/>
  <c r="D3281" i="14"/>
  <c r="D3282" i="14"/>
  <c r="D3283" i="14"/>
  <c r="D3284" i="14"/>
  <c r="D3285" i="14"/>
  <c r="D3286" i="14"/>
  <c r="D3287" i="14"/>
  <c r="D3288" i="14"/>
  <c r="D3289" i="14"/>
  <c r="D3290" i="14"/>
  <c r="D3291" i="14"/>
  <c r="D3292" i="14"/>
  <c r="D3293" i="14"/>
  <c r="D3294" i="14"/>
  <c r="D3295" i="14"/>
  <c r="D3296" i="14"/>
  <c r="D3297" i="14"/>
  <c r="D3298" i="14"/>
  <c r="D3299" i="14"/>
  <c r="D3300" i="14"/>
  <c r="D3301" i="14"/>
  <c r="D3302" i="14"/>
  <c r="D3303" i="14"/>
  <c r="D3304" i="14"/>
  <c r="D3305" i="14"/>
  <c r="D3306" i="14"/>
  <c r="D3307" i="14"/>
  <c r="D3308" i="14"/>
  <c r="D3309" i="14"/>
  <c r="D3310" i="14"/>
  <c r="D3311" i="14"/>
  <c r="D3312" i="14"/>
  <c r="D3313" i="14"/>
  <c r="D3314" i="14"/>
  <c r="D3315" i="14"/>
  <c r="D3316" i="14"/>
  <c r="D3317" i="14"/>
  <c r="D3318" i="14"/>
  <c r="D3319" i="14"/>
  <c r="D3320" i="14"/>
  <c r="D3321" i="14"/>
  <c r="D3322" i="14"/>
  <c r="D3323" i="14"/>
  <c r="D3324" i="14"/>
  <c r="D3325" i="14"/>
  <c r="D3326" i="14"/>
  <c r="D3327" i="14"/>
  <c r="D3328" i="14"/>
  <c r="D3329" i="14"/>
  <c r="D3330" i="14"/>
  <c r="D3331" i="14"/>
  <c r="D3332" i="14"/>
  <c r="D3333" i="14"/>
  <c r="D3334" i="14"/>
  <c r="D3335" i="14"/>
  <c r="D3336" i="14"/>
  <c r="D3337" i="14"/>
  <c r="D3338" i="14"/>
  <c r="D3339" i="14"/>
  <c r="D3340" i="14"/>
  <c r="D3341" i="14"/>
  <c r="D3342" i="14"/>
  <c r="D3343" i="14"/>
  <c r="D3344" i="14"/>
  <c r="D3345" i="14"/>
  <c r="D3346" i="14"/>
  <c r="D3347" i="14"/>
  <c r="D3348" i="14"/>
  <c r="D3349" i="14"/>
  <c r="D3350" i="14"/>
  <c r="D3351" i="14"/>
  <c r="D3352" i="14"/>
  <c r="D3353" i="14"/>
  <c r="D3354" i="14"/>
  <c r="D3355" i="14"/>
  <c r="D3356" i="14"/>
  <c r="D3357" i="14"/>
  <c r="D3358" i="14"/>
  <c r="D3359" i="14"/>
  <c r="D3360" i="14"/>
  <c r="D3361" i="14"/>
  <c r="D3362" i="14"/>
  <c r="D3363" i="14"/>
  <c r="D3364" i="14"/>
  <c r="D3365" i="14"/>
  <c r="D3366" i="14"/>
  <c r="D3367" i="14"/>
  <c r="D3368" i="14"/>
  <c r="D3369" i="14"/>
  <c r="D3370" i="14"/>
  <c r="D3371" i="14"/>
  <c r="D3372" i="14"/>
  <c r="D3373" i="14"/>
  <c r="D3374" i="14"/>
  <c r="D3375" i="14"/>
  <c r="D3376" i="14"/>
  <c r="D3377" i="14"/>
  <c r="D3378" i="14"/>
  <c r="D3379" i="14"/>
  <c r="D3380" i="14"/>
  <c r="D3381" i="14"/>
  <c r="D3382" i="14"/>
  <c r="D3383" i="14"/>
  <c r="D3384" i="14"/>
  <c r="D3385" i="14"/>
  <c r="D3386" i="14"/>
  <c r="D3387" i="14"/>
  <c r="D3388" i="14"/>
  <c r="D3389" i="14"/>
  <c r="D3390" i="14"/>
  <c r="D3391" i="14"/>
  <c r="D3392" i="14"/>
  <c r="D3393" i="14"/>
  <c r="D3394" i="14"/>
  <c r="D3395" i="14"/>
  <c r="D3396" i="14"/>
  <c r="D3397" i="14"/>
  <c r="D3398" i="14"/>
  <c r="D3399" i="14"/>
  <c r="D3400" i="14"/>
  <c r="D3401" i="14"/>
  <c r="D3402" i="14"/>
  <c r="D3403" i="14"/>
  <c r="D3404" i="14"/>
  <c r="D3405" i="14"/>
  <c r="D3406" i="14"/>
  <c r="D3407" i="14"/>
  <c r="D3408" i="14"/>
  <c r="D3409" i="14"/>
  <c r="D3410" i="14"/>
  <c r="D3411" i="14"/>
  <c r="D3412" i="14"/>
  <c r="D3413" i="14"/>
  <c r="D3414" i="14"/>
  <c r="D3415" i="14"/>
  <c r="D3416" i="14"/>
  <c r="D3417" i="14"/>
  <c r="D3418" i="14"/>
  <c r="D3419" i="14"/>
  <c r="D3420" i="14"/>
  <c r="D3421" i="14"/>
  <c r="D3422" i="14"/>
  <c r="D3423" i="14"/>
  <c r="D3424" i="14"/>
  <c r="D3425" i="14"/>
  <c r="D3426" i="14"/>
  <c r="D3427" i="14"/>
  <c r="D3428" i="14"/>
  <c r="D3429" i="14"/>
  <c r="D3430" i="14"/>
  <c r="D3431" i="14"/>
  <c r="D3432" i="14"/>
  <c r="D3433" i="14"/>
  <c r="D3434" i="14"/>
  <c r="D3435" i="14"/>
  <c r="D3436" i="14"/>
  <c r="D3437" i="14"/>
  <c r="D3438" i="14"/>
  <c r="D3439" i="14"/>
  <c r="D3440" i="14"/>
  <c r="D3441" i="14"/>
  <c r="D3442" i="14"/>
  <c r="D3443" i="14"/>
  <c r="D3444" i="14"/>
  <c r="D3445" i="14"/>
  <c r="D3446" i="14"/>
  <c r="D3447" i="14"/>
  <c r="D3448" i="14"/>
  <c r="D3449" i="14"/>
  <c r="D3450" i="14"/>
  <c r="D3451" i="14"/>
  <c r="D3452" i="14"/>
  <c r="D3453" i="14"/>
  <c r="D3454" i="14"/>
  <c r="D3455" i="14"/>
  <c r="D3456" i="14"/>
  <c r="D3457" i="14"/>
  <c r="D3458" i="14"/>
  <c r="D3459" i="14"/>
  <c r="D3460" i="14"/>
  <c r="D3461" i="14"/>
  <c r="D3462" i="14"/>
  <c r="D3463" i="14"/>
  <c r="D3464" i="14"/>
  <c r="D3465" i="14"/>
  <c r="D3466" i="14"/>
  <c r="D3467" i="14"/>
  <c r="D3468" i="14"/>
  <c r="D3469" i="14"/>
  <c r="D3470" i="14"/>
  <c r="D3471" i="14"/>
  <c r="D3472" i="14"/>
  <c r="D3473" i="14"/>
  <c r="D3474" i="14"/>
  <c r="D3475" i="14"/>
  <c r="D3476" i="14"/>
  <c r="D3477" i="14"/>
  <c r="D3478" i="14"/>
  <c r="D3479" i="14"/>
  <c r="D3480" i="14"/>
  <c r="D3481" i="14"/>
  <c r="D3482" i="14"/>
  <c r="D3483" i="14"/>
  <c r="D3484" i="14"/>
  <c r="D3485" i="14"/>
  <c r="D3486" i="14"/>
  <c r="D3487" i="14"/>
  <c r="D3488" i="14"/>
  <c r="D3489" i="14"/>
  <c r="D3490" i="14"/>
  <c r="D3491" i="14"/>
  <c r="D3492" i="14"/>
  <c r="D3493" i="14"/>
  <c r="D3494" i="14"/>
  <c r="D3495" i="14"/>
  <c r="D3496" i="14"/>
  <c r="D3497" i="14"/>
  <c r="D3498" i="14"/>
  <c r="D3499" i="14"/>
  <c r="D3500" i="14"/>
  <c r="D3501" i="14"/>
  <c r="D3502" i="14"/>
  <c r="D3503" i="14"/>
  <c r="D3504" i="14"/>
  <c r="D3505" i="14"/>
  <c r="D3506" i="14"/>
  <c r="D3507" i="14"/>
  <c r="D3508" i="14"/>
  <c r="D3509" i="14"/>
  <c r="D3510" i="14"/>
  <c r="D3511" i="14"/>
  <c r="D3512" i="14"/>
  <c r="D3513" i="14"/>
  <c r="D3514" i="14"/>
  <c r="D3515" i="14"/>
  <c r="D3516" i="14"/>
  <c r="D3517" i="14"/>
  <c r="D3518" i="14"/>
  <c r="D3519" i="14"/>
  <c r="D3520" i="14"/>
  <c r="D3521" i="14"/>
  <c r="D3522" i="14"/>
  <c r="D3523" i="14"/>
  <c r="D3524" i="14"/>
  <c r="D3525" i="14"/>
  <c r="D3526" i="14"/>
  <c r="D3527" i="14"/>
  <c r="D3528" i="14"/>
  <c r="D3529" i="14"/>
  <c r="D3530" i="14"/>
  <c r="D3531" i="14"/>
  <c r="D3532" i="14"/>
  <c r="D3533" i="14"/>
  <c r="D3534" i="14"/>
  <c r="D3535" i="14"/>
  <c r="D3536" i="14"/>
  <c r="D3537" i="14"/>
  <c r="D3538" i="14"/>
  <c r="D3539" i="14"/>
  <c r="D3540" i="14"/>
  <c r="D3541" i="14"/>
  <c r="D3542" i="14"/>
  <c r="D3543" i="14"/>
  <c r="D3544" i="14"/>
  <c r="D3545" i="14"/>
  <c r="D3546" i="14"/>
  <c r="D3547" i="14"/>
  <c r="D3548" i="14"/>
  <c r="D3549" i="14"/>
  <c r="D3550" i="14"/>
  <c r="D3551" i="14"/>
  <c r="D3552" i="14"/>
  <c r="D3553" i="14"/>
  <c r="D3554" i="14"/>
  <c r="D3555" i="14"/>
  <c r="D3556" i="14"/>
  <c r="D3557" i="14"/>
  <c r="D3558" i="14"/>
  <c r="D3559" i="14"/>
  <c r="D3560" i="14"/>
  <c r="D3561" i="14"/>
  <c r="D3562" i="14"/>
  <c r="D3563" i="14"/>
  <c r="D3564" i="14"/>
  <c r="D3565" i="14"/>
  <c r="D3566" i="14"/>
  <c r="D3567" i="14"/>
  <c r="D3568" i="14"/>
  <c r="D3569" i="14"/>
  <c r="D3570" i="14"/>
  <c r="D3571" i="14"/>
  <c r="D3572" i="14"/>
  <c r="D3573" i="14"/>
  <c r="D3574" i="14"/>
  <c r="D3575" i="14"/>
  <c r="D3576" i="14"/>
  <c r="D3577" i="14"/>
  <c r="D3578" i="14"/>
  <c r="D3579" i="14"/>
  <c r="D3580" i="14"/>
  <c r="D3581" i="14"/>
  <c r="D3582" i="14"/>
  <c r="D3583" i="14"/>
  <c r="D3584" i="14"/>
  <c r="D3585" i="14"/>
  <c r="D3586" i="14"/>
  <c r="D3587" i="14"/>
  <c r="D3588" i="14"/>
  <c r="D3589" i="14"/>
  <c r="D3590" i="14"/>
  <c r="D3591" i="14"/>
  <c r="D3592" i="14"/>
  <c r="D3593" i="14"/>
  <c r="D3594" i="14"/>
  <c r="D3595" i="14"/>
  <c r="D3596" i="14"/>
  <c r="D3597" i="14"/>
  <c r="D3598" i="14"/>
  <c r="D3599" i="14"/>
  <c r="D3600" i="14"/>
  <c r="D3601" i="14"/>
  <c r="D3602" i="14"/>
  <c r="D3603" i="14"/>
  <c r="D3604" i="14"/>
  <c r="D3605" i="14"/>
  <c r="D3606" i="14"/>
  <c r="D3607" i="14"/>
  <c r="D3608" i="14"/>
  <c r="D3609" i="14"/>
  <c r="D3610" i="14"/>
  <c r="D3611" i="14"/>
  <c r="D3612" i="14"/>
  <c r="D3613" i="14"/>
  <c r="D3614" i="14"/>
  <c r="D3615" i="14"/>
  <c r="D3616" i="14"/>
  <c r="D3617" i="14"/>
  <c r="D3618" i="14"/>
  <c r="D3619" i="14"/>
  <c r="D3620" i="14"/>
  <c r="D3621" i="14"/>
  <c r="D3622" i="14"/>
  <c r="D3623" i="14"/>
  <c r="D3624" i="14"/>
  <c r="D3625" i="14"/>
  <c r="D3626" i="14"/>
  <c r="D3627" i="14"/>
  <c r="D3628" i="14"/>
  <c r="D3629" i="14"/>
  <c r="D3630" i="14"/>
  <c r="D3631" i="14"/>
  <c r="D3632" i="14"/>
  <c r="D3633" i="14"/>
  <c r="D3634" i="14"/>
  <c r="D3635" i="14"/>
  <c r="D3636" i="14"/>
  <c r="D3637" i="14"/>
  <c r="D3638" i="14"/>
  <c r="D3639" i="14"/>
  <c r="D3640" i="14"/>
  <c r="D3641" i="14"/>
  <c r="D3642" i="14"/>
  <c r="D3643" i="14"/>
  <c r="D3644" i="14"/>
  <c r="D3645" i="14"/>
  <c r="D3646" i="14"/>
  <c r="D3647" i="14"/>
  <c r="D3648" i="14"/>
  <c r="D3649" i="14"/>
  <c r="D3650" i="14"/>
  <c r="D3651" i="14"/>
  <c r="D3652" i="14"/>
  <c r="D3653" i="14"/>
  <c r="D3654" i="14"/>
  <c r="D3655" i="14"/>
  <c r="D3656" i="14"/>
  <c r="D3657" i="14"/>
  <c r="D3658" i="14"/>
  <c r="D3659" i="14"/>
  <c r="D3660" i="14"/>
  <c r="D3661" i="14"/>
  <c r="D3662" i="14"/>
  <c r="D3663" i="14"/>
  <c r="D3664" i="14"/>
  <c r="D3665" i="14"/>
  <c r="D3666" i="14"/>
  <c r="D3667" i="14"/>
  <c r="D3668" i="14"/>
  <c r="D3669" i="14"/>
  <c r="D3670" i="14"/>
  <c r="D3671" i="14"/>
  <c r="D3672" i="14"/>
  <c r="D3673" i="14"/>
  <c r="D3674" i="14"/>
  <c r="D3675" i="14"/>
  <c r="D3676" i="14"/>
  <c r="D3677" i="14"/>
  <c r="D3678" i="14"/>
  <c r="D3679" i="14"/>
  <c r="D3680" i="14"/>
  <c r="D3681" i="14"/>
  <c r="D3682" i="14"/>
  <c r="D3683" i="14"/>
  <c r="D3684" i="14"/>
  <c r="D3685" i="14"/>
  <c r="D3686" i="14"/>
  <c r="D3687" i="14"/>
  <c r="D3688" i="14"/>
  <c r="D3689" i="14"/>
  <c r="D3690" i="14"/>
  <c r="D3691" i="14"/>
  <c r="D3692" i="14"/>
  <c r="D3693" i="14"/>
  <c r="D3694" i="14"/>
  <c r="D3695" i="14"/>
  <c r="D3696" i="14"/>
  <c r="D3697" i="14"/>
  <c r="D3698" i="14"/>
  <c r="D3699" i="14"/>
  <c r="D3700" i="14"/>
  <c r="D3701" i="14"/>
  <c r="D3702" i="14"/>
  <c r="D3703" i="14"/>
  <c r="D3704" i="14"/>
  <c r="D3705" i="14"/>
  <c r="D3706" i="14"/>
  <c r="D3707" i="14"/>
  <c r="D3708" i="14"/>
  <c r="D3709" i="14"/>
  <c r="D3710" i="14"/>
  <c r="D3711" i="14"/>
  <c r="D3712" i="14"/>
  <c r="D3713" i="14"/>
  <c r="D3714" i="14"/>
  <c r="D3715" i="14"/>
  <c r="D3716" i="14"/>
  <c r="D3717" i="14"/>
  <c r="D3718" i="14"/>
  <c r="D3719" i="14"/>
  <c r="D3720" i="14"/>
  <c r="D3721" i="14"/>
  <c r="D3722" i="14"/>
  <c r="D3723" i="14"/>
  <c r="D3724" i="14"/>
  <c r="D3725" i="14"/>
  <c r="D3726" i="14"/>
  <c r="D3727" i="14"/>
  <c r="D3728" i="14"/>
  <c r="D3729" i="14"/>
  <c r="D3730" i="14"/>
  <c r="D3731" i="14"/>
  <c r="D3732" i="14"/>
  <c r="D3733" i="14"/>
  <c r="D3734" i="14"/>
  <c r="D3735" i="14"/>
  <c r="D3736" i="14"/>
  <c r="D3737" i="14"/>
  <c r="D3738" i="14"/>
  <c r="D3739" i="14"/>
  <c r="D3740" i="14"/>
  <c r="D3741" i="14"/>
  <c r="D3742" i="14"/>
  <c r="D3743" i="14"/>
  <c r="D3744" i="14"/>
  <c r="D3745" i="14"/>
  <c r="D3746" i="14"/>
  <c r="D3747" i="14"/>
  <c r="D3748" i="14"/>
  <c r="D3749" i="14"/>
  <c r="D3750" i="14"/>
  <c r="D3751" i="14"/>
  <c r="D3752" i="14"/>
  <c r="D3753" i="14"/>
  <c r="D3754" i="14"/>
  <c r="D3755" i="14"/>
  <c r="D3756" i="14"/>
  <c r="D3757" i="14"/>
  <c r="D3758" i="14"/>
  <c r="D3759" i="14"/>
  <c r="D3760" i="14"/>
  <c r="D3761" i="14"/>
  <c r="D3762" i="14"/>
  <c r="D3763" i="14"/>
  <c r="D3764" i="14"/>
  <c r="D3765" i="14"/>
  <c r="D3766" i="14"/>
  <c r="D3767" i="14"/>
  <c r="D3768" i="14"/>
  <c r="D3769" i="14"/>
  <c r="D3770" i="14"/>
  <c r="D3771" i="14"/>
  <c r="D3772" i="14"/>
  <c r="D3773" i="14"/>
  <c r="D3774" i="14"/>
  <c r="D3775" i="14"/>
  <c r="D3776" i="14"/>
  <c r="D3777" i="14"/>
  <c r="D3778" i="14"/>
  <c r="D3779" i="14"/>
  <c r="D3780" i="14"/>
  <c r="D3781" i="14"/>
  <c r="D3782" i="14"/>
  <c r="D3783" i="14"/>
  <c r="D3784" i="14"/>
  <c r="D3785" i="14"/>
  <c r="D3786" i="14"/>
  <c r="D3787" i="14"/>
  <c r="D3788" i="14"/>
  <c r="D3789" i="14"/>
  <c r="D3790" i="14"/>
  <c r="D3791" i="14"/>
  <c r="D3792" i="14"/>
  <c r="D3793" i="14"/>
  <c r="D3794" i="14"/>
  <c r="D3795" i="14"/>
  <c r="D3796" i="14"/>
  <c r="D3797" i="14"/>
  <c r="D3798" i="14"/>
  <c r="D3799" i="14"/>
  <c r="D3800" i="14"/>
  <c r="D3801" i="14"/>
  <c r="D3802" i="14"/>
  <c r="D3803" i="14"/>
  <c r="D3804" i="14"/>
  <c r="D3805" i="14"/>
  <c r="D3806" i="14"/>
  <c r="D3807" i="14"/>
  <c r="D3808" i="14"/>
  <c r="D3809" i="14"/>
  <c r="D3810" i="14"/>
  <c r="D3811" i="14"/>
  <c r="D3812" i="14"/>
  <c r="D3813" i="14"/>
  <c r="D3814" i="14"/>
  <c r="D3815" i="14"/>
  <c r="D3816" i="14"/>
  <c r="D3817" i="14"/>
  <c r="D3818" i="14"/>
  <c r="D3819" i="14"/>
  <c r="D3820" i="14"/>
  <c r="D3821" i="14"/>
  <c r="D3822" i="14"/>
  <c r="D3823" i="14"/>
  <c r="D3824" i="14"/>
  <c r="D3825" i="14"/>
  <c r="D3826" i="14"/>
  <c r="D3827" i="14"/>
  <c r="D3828" i="14"/>
  <c r="D3829" i="14"/>
  <c r="D3830" i="14"/>
  <c r="D3831" i="14"/>
  <c r="D3832" i="14"/>
  <c r="D3833" i="14"/>
  <c r="D3834" i="14"/>
  <c r="D3835" i="14"/>
  <c r="D3836" i="14"/>
  <c r="D3837" i="14"/>
  <c r="D3838" i="14"/>
  <c r="D3839" i="14"/>
  <c r="D3840" i="14"/>
  <c r="D3841" i="14"/>
  <c r="D3842" i="14"/>
  <c r="D3843" i="14"/>
  <c r="D3844" i="14"/>
  <c r="D3845" i="14"/>
  <c r="D3846" i="14"/>
  <c r="D3847" i="14"/>
  <c r="D3848" i="14"/>
  <c r="D3849" i="14"/>
  <c r="D3850" i="14"/>
  <c r="D3851" i="14"/>
  <c r="D3852" i="14"/>
  <c r="D3853" i="14"/>
  <c r="D3854" i="14"/>
  <c r="D3855" i="14"/>
  <c r="D3856" i="14"/>
  <c r="D3857" i="14"/>
  <c r="D3858" i="14"/>
  <c r="D3859" i="14"/>
  <c r="D3860" i="14"/>
  <c r="D3861" i="14"/>
  <c r="D3862" i="14"/>
  <c r="D3863" i="14"/>
  <c r="D3864" i="14"/>
  <c r="D3865" i="14"/>
  <c r="D3866" i="14"/>
  <c r="D3867" i="14"/>
  <c r="D3868" i="14"/>
  <c r="D3869" i="14"/>
  <c r="D3870" i="14"/>
  <c r="D3871" i="14"/>
  <c r="D3872" i="14"/>
  <c r="D3873" i="14"/>
  <c r="D3874" i="14"/>
  <c r="D3875" i="14"/>
  <c r="D3876" i="14"/>
  <c r="D3877" i="14"/>
  <c r="D3878" i="14"/>
  <c r="D3879" i="14"/>
  <c r="D3880" i="14"/>
  <c r="D3881" i="14"/>
  <c r="D3882" i="14"/>
  <c r="D3883" i="14"/>
  <c r="D3884" i="14"/>
  <c r="D3885" i="14"/>
  <c r="D3886" i="14"/>
  <c r="D3887" i="14"/>
  <c r="D3888" i="14"/>
  <c r="D3889" i="14"/>
  <c r="D3890" i="14"/>
  <c r="D3891" i="14"/>
  <c r="D3892" i="14"/>
  <c r="D3893" i="14"/>
  <c r="D3894" i="14"/>
  <c r="D3895" i="14"/>
  <c r="D3896" i="14"/>
  <c r="D3897" i="14"/>
  <c r="D3898" i="14"/>
  <c r="D3899" i="14"/>
  <c r="D3900" i="14"/>
  <c r="D3901" i="14"/>
  <c r="D3902" i="14"/>
  <c r="D3903" i="14"/>
  <c r="D3904" i="14"/>
  <c r="D3905" i="14"/>
  <c r="D3906" i="14"/>
  <c r="D3907" i="14"/>
  <c r="D3908" i="14"/>
  <c r="D3909" i="14"/>
  <c r="D3910" i="14"/>
  <c r="D3911" i="14"/>
  <c r="D3912" i="14"/>
  <c r="D3913" i="14"/>
  <c r="D3914" i="14"/>
  <c r="D3915" i="14"/>
  <c r="D3916" i="14"/>
  <c r="D3917" i="14"/>
  <c r="D3918" i="14"/>
  <c r="D3919" i="14"/>
  <c r="D3920" i="14"/>
  <c r="D3921" i="14"/>
  <c r="D3922" i="14"/>
  <c r="D3923" i="14"/>
  <c r="D3924" i="14"/>
  <c r="D3925" i="14"/>
  <c r="D3926" i="14"/>
  <c r="D3927" i="14"/>
  <c r="D3928" i="14"/>
  <c r="D3929" i="14"/>
  <c r="D3930" i="14"/>
  <c r="D3931" i="14"/>
  <c r="D3932" i="14"/>
  <c r="D3933" i="14"/>
  <c r="D3934" i="14"/>
  <c r="D3935" i="14"/>
  <c r="D3936" i="14"/>
  <c r="D3937" i="14"/>
  <c r="D3938" i="14"/>
  <c r="D3939" i="14"/>
  <c r="D3940" i="14"/>
  <c r="D3941" i="14"/>
  <c r="D3942" i="14"/>
  <c r="D3943" i="14"/>
  <c r="D3944" i="14"/>
  <c r="D3945" i="14"/>
  <c r="D3946" i="14"/>
  <c r="D3947" i="14"/>
  <c r="D3948" i="14"/>
  <c r="D3949" i="14"/>
  <c r="D3950" i="14"/>
  <c r="D3951" i="14"/>
  <c r="D3952" i="14"/>
  <c r="D3953" i="14"/>
  <c r="D3954" i="14"/>
  <c r="D3955" i="14"/>
  <c r="D3956" i="14"/>
  <c r="D3957" i="14"/>
  <c r="D3958" i="14"/>
  <c r="D3959" i="14"/>
  <c r="D3960" i="14"/>
  <c r="D3961" i="14"/>
  <c r="D3962" i="14"/>
  <c r="D3963" i="14"/>
  <c r="D3964" i="14"/>
  <c r="D3965" i="14"/>
  <c r="D3966" i="14"/>
  <c r="D3967" i="14"/>
  <c r="D3968" i="14"/>
  <c r="D3969" i="14"/>
  <c r="D3970" i="14"/>
  <c r="D3971" i="14"/>
  <c r="D3972" i="14"/>
  <c r="D3973" i="14"/>
  <c r="D3974" i="14"/>
  <c r="D3975" i="14"/>
  <c r="D3976" i="14"/>
  <c r="D3977" i="14"/>
  <c r="D3978" i="14"/>
  <c r="D3979" i="14"/>
  <c r="D3980" i="14"/>
  <c r="D3981" i="14"/>
  <c r="D3982" i="14"/>
  <c r="D3983" i="14"/>
  <c r="D3984" i="14"/>
  <c r="D3985" i="14"/>
  <c r="D3986" i="14"/>
  <c r="D3987" i="14"/>
  <c r="D3988" i="14"/>
  <c r="D3989" i="14"/>
  <c r="D3990" i="14"/>
  <c r="D3991" i="14"/>
  <c r="D3992" i="14"/>
  <c r="D3993" i="14"/>
  <c r="D3994" i="14"/>
  <c r="D3995" i="14"/>
  <c r="D3996" i="14"/>
  <c r="D3997" i="14"/>
  <c r="D3998" i="14"/>
  <c r="D3999" i="14"/>
  <c r="D4000" i="14"/>
  <c r="D4001" i="14"/>
  <c r="D4002" i="14"/>
  <c r="D4003" i="14"/>
  <c r="D4004" i="14"/>
  <c r="D4005" i="14"/>
  <c r="D4006" i="14"/>
  <c r="D4007" i="14"/>
  <c r="D4008" i="14"/>
  <c r="D4009" i="14"/>
  <c r="D4010" i="14"/>
  <c r="D4011" i="14"/>
  <c r="D4012" i="14"/>
  <c r="D4013" i="14"/>
  <c r="D4014" i="14"/>
  <c r="D4015" i="14"/>
  <c r="D4016" i="14"/>
  <c r="D4017" i="14"/>
  <c r="D4018" i="14"/>
  <c r="D4019" i="14"/>
  <c r="D4020" i="14"/>
  <c r="D4021" i="14"/>
  <c r="D4022" i="14"/>
  <c r="D4023" i="14"/>
  <c r="D4024" i="14"/>
  <c r="D4025" i="14"/>
  <c r="D4026" i="14"/>
  <c r="D4027" i="14"/>
  <c r="D4028" i="14"/>
  <c r="D4029" i="14"/>
  <c r="D4030" i="14"/>
  <c r="D4031" i="14"/>
  <c r="D4032" i="14"/>
  <c r="D4033" i="14"/>
  <c r="D4034" i="14"/>
  <c r="D4035" i="14"/>
  <c r="D4036" i="14"/>
  <c r="D4037" i="14"/>
  <c r="D4038" i="14"/>
  <c r="D4039" i="14"/>
  <c r="D4040" i="14"/>
  <c r="D4041" i="14"/>
  <c r="D4042" i="14"/>
  <c r="D4043" i="14"/>
  <c r="D4044" i="14"/>
  <c r="D4045" i="14"/>
  <c r="D4046" i="14"/>
  <c r="D4047" i="14"/>
  <c r="D4048" i="14"/>
  <c r="D4049" i="14"/>
  <c r="D4050" i="14"/>
  <c r="D4051" i="14"/>
  <c r="D4052" i="14"/>
  <c r="D4053" i="14"/>
  <c r="D4054" i="14"/>
  <c r="D4055" i="14"/>
  <c r="D4056" i="14"/>
  <c r="D4057" i="14"/>
  <c r="D4058" i="14"/>
  <c r="D4059" i="14"/>
  <c r="D4060" i="14"/>
  <c r="D4061" i="14"/>
  <c r="D4062" i="14"/>
  <c r="D4063" i="14"/>
  <c r="D4064" i="14"/>
  <c r="D4065" i="14"/>
  <c r="D4066" i="14"/>
  <c r="D4067" i="14"/>
  <c r="D4068" i="14"/>
  <c r="D4069" i="14"/>
  <c r="D4070" i="14"/>
  <c r="D4071" i="14"/>
  <c r="D4072" i="14"/>
  <c r="D4073" i="14"/>
  <c r="D4074" i="14"/>
  <c r="D4075" i="14"/>
  <c r="D4076" i="14"/>
  <c r="D4077" i="14"/>
  <c r="D4078" i="14"/>
  <c r="D4079" i="14"/>
  <c r="D4080" i="14"/>
  <c r="D4081" i="14"/>
  <c r="D4082" i="14"/>
  <c r="D4083" i="14"/>
  <c r="D4084" i="14"/>
  <c r="D4085" i="14"/>
  <c r="D4086" i="14"/>
  <c r="D4087" i="14"/>
  <c r="D4088" i="14"/>
  <c r="D4089" i="14"/>
  <c r="D4090" i="14"/>
  <c r="D4091" i="14"/>
  <c r="D4092" i="14"/>
  <c r="D4093" i="14"/>
  <c r="D4094" i="14"/>
  <c r="D4095" i="14"/>
  <c r="D4096" i="14"/>
  <c r="D4097" i="14"/>
  <c r="D4098" i="14"/>
  <c r="D4099" i="14"/>
  <c r="D4100" i="14"/>
  <c r="D4101" i="14"/>
  <c r="D4102" i="14"/>
  <c r="D4103" i="14"/>
  <c r="D4104" i="14"/>
  <c r="D4105" i="14"/>
  <c r="D4106" i="14"/>
  <c r="D4107" i="14"/>
  <c r="D4108" i="14"/>
  <c r="D4109" i="14"/>
  <c r="D4110" i="14"/>
  <c r="D4111" i="14"/>
  <c r="D4112" i="14"/>
  <c r="D4113" i="14"/>
  <c r="D4114" i="14"/>
  <c r="D4115" i="14"/>
  <c r="D4116" i="14"/>
  <c r="D4117" i="14"/>
  <c r="D4118" i="14"/>
  <c r="D4119" i="14"/>
  <c r="D4120" i="14"/>
  <c r="D4121" i="14"/>
  <c r="D4122" i="14"/>
  <c r="D4123" i="14"/>
  <c r="D4124" i="14"/>
  <c r="D4125" i="14"/>
  <c r="D4126" i="14"/>
  <c r="D4127" i="14"/>
  <c r="D4128" i="14"/>
  <c r="D4129" i="14"/>
  <c r="D4130" i="14"/>
  <c r="D4131" i="14"/>
  <c r="D4132" i="14"/>
  <c r="D4133" i="14"/>
  <c r="D4134" i="14"/>
  <c r="D4135" i="14"/>
  <c r="D4136" i="14"/>
  <c r="D4137" i="14"/>
  <c r="D4138" i="14"/>
  <c r="D4139" i="14"/>
  <c r="D4140" i="14"/>
  <c r="D4141" i="14"/>
  <c r="D4142" i="14"/>
  <c r="D4143" i="14"/>
  <c r="D4144" i="14"/>
  <c r="D4145" i="14"/>
  <c r="D4146" i="14"/>
  <c r="D4147" i="14"/>
  <c r="D4148" i="14"/>
  <c r="D4149" i="14"/>
  <c r="D4150" i="14"/>
  <c r="D4151" i="14"/>
  <c r="D4152" i="14"/>
  <c r="D4153" i="14"/>
  <c r="D4154" i="14"/>
  <c r="D4155" i="14"/>
  <c r="D4156" i="14"/>
  <c r="D4157" i="14"/>
  <c r="D4158" i="14"/>
  <c r="D4159" i="14"/>
  <c r="D4160" i="14"/>
  <c r="D4161" i="14"/>
  <c r="D4162" i="14"/>
  <c r="D4163" i="14"/>
  <c r="D4164" i="14"/>
  <c r="D4165" i="14"/>
  <c r="D4166" i="14"/>
  <c r="D4167" i="14"/>
  <c r="D4168" i="14"/>
  <c r="D4169" i="14"/>
  <c r="D4170" i="14"/>
  <c r="D4171" i="14"/>
  <c r="D4172" i="14"/>
  <c r="D4173" i="14"/>
  <c r="D4174" i="14"/>
  <c r="D4175" i="14"/>
  <c r="D4176" i="14"/>
  <c r="D4177" i="14"/>
  <c r="D4178" i="14"/>
  <c r="D4179" i="14"/>
  <c r="D4180" i="14"/>
  <c r="D4181" i="14"/>
  <c r="D4182" i="14"/>
  <c r="D4183" i="14"/>
  <c r="D4184" i="14"/>
  <c r="D4185" i="14"/>
  <c r="D4186" i="14"/>
  <c r="D4187" i="14"/>
  <c r="D4188" i="14"/>
  <c r="D4189" i="14"/>
  <c r="D4190" i="14"/>
  <c r="D4191" i="14"/>
  <c r="D4192" i="14"/>
  <c r="D4193" i="14"/>
  <c r="D4194" i="14"/>
  <c r="D4195" i="14"/>
  <c r="D4196" i="14"/>
  <c r="D4197" i="14"/>
  <c r="D4198" i="14"/>
  <c r="D4199" i="14"/>
  <c r="D4200" i="14"/>
  <c r="D4201" i="14"/>
  <c r="D4202" i="14"/>
  <c r="D4203" i="14"/>
  <c r="D4204" i="14"/>
  <c r="D4205" i="14"/>
  <c r="D4206" i="14"/>
  <c r="D4207" i="14"/>
  <c r="D4208" i="14"/>
  <c r="D4209" i="14"/>
  <c r="D4210" i="14"/>
  <c r="D4211" i="14"/>
  <c r="D4212" i="14"/>
  <c r="D4213" i="14"/>
  <c r="D4214" i="14"/>
  <c r="D4215" i="14"/>
  <c r="D4216" i="14"/>
  <c r="D4217" i="14"/>
  <c r="D4218" i="14"/>
  <c r="D4219" i="14"/>
  <c r="D4220" i="14"/>
  <c r="D4221" i="14"/>
  <c r="D4222" i="14"/>
  <c r="D4223" i="14"/>
  <c r="D4224" i="14"/>
  <c r="D4225" i="14"/>
  <c r="D4226" i="14"/>
  <c r="D4227" i="14"/>
  <c r="D4228" i="14"/>
  <c r="D4229" i="14"/>
  <c r="D4230" i="14"/>
  <c r="D4231" i="14"/>
  <c r="D4232" i="14"/>
  <c r="D4233" i="14"/>
  <c r="D4234" i="14"/>
  <c r="D4235" i="14"/>
  <c r="D4236" i="14"/>
  <c r="D4237" i="14"/>
  <c r="D4238" i="14"/>
  <c r="D4239" i="14"/>
  <c r="D4240" i="14"/>
  <c r="D4241" i="14"/>
  <c r="D4242" i="14"/>
  <c r="D4243" i="14"/>
  <c r="D4244" i="14"/>
  <c r="D4245" i="14"/>
  <c r="D4246" i="14"/>
  <c r="D4247" i="14"/>
  <c r="D4248" i="14"/>
  <c r="D4249" i="14"/>
  <c r="D4250" i="14"/>
  <c r="D4251" i="14"/>
  <c r="D4252" i="14"/>
  <c r="D4253" i="14"/>
  <c r="D4254" i="14"/>
  <c r="D4255" i="14"/>
  <c r="D4256" i="14"/>
  <c r="D4257" i="14"/>
  <c r="D4258" i="14"/>
  <c r="D4259" i="14"/>
  <c r="D4260" i="14"/>
  <c r="D4261" i="14"/>
  <c r="D4262" i="14"/>
  <c r="D4263" i="14"/>
  <c r="D4264" i="14"/>
  <c r="D4265" i="14"/>
  <c r="D4266" i="14"/>
  <c r="D4267" i="14"/>
  <c r="D4268" i="14"/>
  <c r="D4269" i="14"/>
  <c r="D4270" i="14"/>
  <c r="D4271" i="14"/>
  <c r="D4272" i="14"/>
  <c r="D4273" i="14"/>
  <c r="D4274" i="14"/>
  <c r="D4275" i="14"/>
  <c r="D4276" i="14"/>
  <c r="D4277" i="14"/>
  <c r="D4278" i="14"/>
  <c r="D4279" i="14"/>
  <c r="D4280" i="14"/>
  <c r="D4281" i="14"/>
  <c r="D4282" i="14"/>
  <c r="D4283" i="14"/>
  <c r="D4284" i="14"/>
  <c r="D4285" i="14"/>
  <c r="D4286" i="14"/>
  <c r="D4287" i="14"/>
  <c r="D4288" i="14"/>
  <c r="D4289" i="14"/>
  <c r="D4290" i="14"/>
  <c r="D4291" i="14"/>
  <c r="D4292" i="14"/>
  <c r="D4293" i="14"/>
  <c r="D4294" i="14"/>
  <c r="D4295" i="14"/>
  <c r="D4296" i="14"/>
  <c r="D4297" i="14"/>
  <c r="D4298" i="14"/>
  <c r="D4299" i="14"/>
  <c r="D4300" i="14"/>
  <c r="D4301" i="14"/>
  <c r="D4302" i="14"/>
  <c r="D4303" i="14"/>
  <c r="D4304" i="14"/>
  <c r="D4305" i="14"/>
  <c r="D4306" i="14"/>
  <c r="D4307" i="14"/>
  <c r="D4308" i="14"/>
  <c r="D4309" i="14"/>
  <c r="D4310" i="14"/>
  <c r="D4311" i="14"/>
  <c r="D4312" i="14"/>
  <c r="D4313" i="14"/>
  <c r="D4314" i="14"/>
  <c r="D4315" i="14"/>
  <c r="D4316" i="14"/>
  <c r="D4317" i="14"/>
  <c r="D4318" i="14"/>
  <c r="D4319" i="14"/>
  <c r="D4320" i="14"/>
  <c r="D4321" i="14"/>
  <c r="D4322" i="14"/>
  <c r="D4323" i="14"/>
  <c r="D4324" i="14"/>
  <c r="D4325" i="14"/>
  <c r="D4326" i="14"/>
  <c r="D4327" i="14"/>
  <c r="D4328" i="14"/>
  <c r="D4329" i="14"/>
  <c r="D4330" i="14"/>
  <c r="D4331" i="14"/>
  <c r="D4332" i="14"/>
  <c r="D4333" i="14"/>
  <c r="D4334" i="14"/>
  <c r="D4335" i="14"/>
  <c r="D4336" i="14"/>
  <c r="D4337" i="14"/>
  <c r="D4338" i="14"/>
  <c r="D4339" i="14"/>
  <c r="D4340" i="14"/>
  <c r="D4341" i="14"/>
  <c r="D4342" i="14"/>
  <c r="D4343" i="14"/>
  <c r="D4344" i="14"/>
  <c r="D4345" i="14"/>
  <c r="D4346" i="14"/>
  <c r="D4347" i="14"/>
  <c r="D4348" i="14"/>
  <c r="D4349" i="14"/>
  <c r="D4350" i="14"/>
  <c r="D4351" i="14"/>
  <c r="D4352" i="14"/>
  <c r="D4353" i="14"/>
  <c r="D4354" i="14"/>
  <c r="D4355" i="14"/>
  <c r="D4356" i="14"/>
  <c r="D4357" i="14"/>
  <c r="D4358" i="14"/>
  <c r="D4359" i="14"/>
  <c r="D4360" i="14"/>
  <c r="D4361" i="14"/>
  <c r="D4362" i="14"/>
  <c r="D4363" i="14"/>
  <c r="D4364" i="14"/>
  <c r="D4365" i="14"/>
  <c r="D4366" i="14"/>
  <c r="D4367" i="14"/>
  <c r="D4368" i="14"/>
  <c r="D4369" i="14"/>
  <c r="D4370" i="14"/>
  <c r="D4371" i="14"/>
  <c r="D4372" i="14"/>
  <c r="D4373" i="14"/>
  <c r="D4374" i="14"/>
  <c r="D4375" i="14"/>
  <c r="D4376" i="14"/>
  <c r="D4377" i="14"/>
  <c r="D4378" i="14"/>
  <c r="D4379" i="14"/>
  <c r="D4380" i="14"/>
  <c r="D4381" i="14"/>
  <c r="D4382" i="14"/>
  <c r="D4383" i="14"/>
  <c r="D4384" i="14"/>
  <c r="D4385" i="14"/>
  <c r="D4386" i="14"/>
  <c r="D4387" i="14"/>
  <c r="D4388" i="14"/>
  <c r="D4389" i="14"/>
  <c r="D4390" i="14"/>
  <c r="D4391" i="14"/>
  <c r="D4392" i="14"/>
  <c r="D4393" i="14"/>
  <c r="D4394" i="14"/>
  <c r="D4395" i="14"/>
  <c r="D4396" i="14"/>
  <c r="D4397" i="14"/>
  <c r="D4398" i="14"/>
  <c r="D4399" i="14"/>
  <c r="D4400" i="14"/>
  <c r="D4401" i="14"/>
  <c r="D4402" i="14"/>
  <c r="D4403" i="14"/>
  <c r="D4404" i="14"/>
  <c r="D4405" i="14"/>
  <c r="D4406" i="14"/>
  <c r="D4407" i="14"/>
  <c r="D4408" i="14"/>
  <c r="D4409" i="14"/>
  <c r="D4410" i="14"/>
  <c r="D4411" i="14"/>
  <c r="D4412" i="14"/>
  <c r="D4413" i="14"/>
  <c r="D4414" i="14"/>
  <c r="D4415" i="14"/>
  <c r="D4416" i="14"/>
  <c r="D4417" i="14"/>
  <c r="D4418" i="14"/>
  <c r="D4419" i="14"/>
  <c r="D4420" i="14"/>
  <c r="D4421" i="14"/>
  <c r="D4422" i="14"/>
  <c r="D4423" i="14"/>
  <c r="D4424" i="14"/>
  <c r="D4425" i="14"/>
  <c r="D4426" i="14"/>
  <c r="D4427" i="14"/>
  <c r="D4428" i="14"/>
  <c r="D4429" i="14"/>
  <c r="D4430" i="14"/>
  <c r="D4431" i="14"/>
  <c r="D4432" i="14"/>
  <c r="D4433" i="14"/>
  <c r="D4434" i="14"/>
  <c r="D4435" i="14"/>
  <c r="D4436" i="14"/>
  <c r="D4437" i="14"/>
  <c r="D4438" i="14"/>
  <c r="D4439" i="14"/>
  <c r="D4440" i="14"/>
  <c r="D4441" i="14"/>
  <c r="D4442" i="14"/>
  <c r="D4443" i="14"/>
  <c r="D4444" i="14"/>
  <c r="D4445" i="14"/>
  <c r="D4446" i="14"/>
  <c r="D4447" i="14"/>
  <c r="D4448" i="14"/>
  <c r="D4449" i="14"/>
  <c r="D4450" i="14"/>
  <c r="D4451" i="14"/>
  <c r="D4452" i="14"/>
  <c r="D4453" i="14"/>
  <c r="D4454" i="14"/>
  <c r="D4455" i="14"/>
  <c r="D4456" i="14"/>
  <c r="D4457" i="14"/>
  <c r="D4458" i="14"/>
  <c r="D4459" i="14"/>
  <c r="D4460" i="14"/>
  <c r="D4461" i="14"/>
  <c r="D4462" i="14"/>
  <c r="D4463" i="14"/>
  <c r="D4464" i="14"/>
  <c r="D4465" i="14"/>
  <c r="D4466" i="14"/>
  <c r="D4467" i="14"/>
  <c r="D4468" i="14"/>
  <c r="D4469" i="14"/>
  <c r="D4470" i="14"/>
  <c r="D4471" i="14"/>
  <c r="D4472" i="14"/>
  <c r="D4473" i="14"/>
  <c r="D4474" i="14"/>
  <c r="D4475" i="14"/>
  <c r="D4476" i="14"/>
  <c r="D4477" i="14"/>
  <c r="D4478" i="14"/>
  <c r="D4479" i="14"/>
  <c r="D4480" i="14"/>
  <c r="D4481" i="14"/>
  <c r="D4482" i="14"/>
  <c r="D4483" i="14"/>
  <c r="D4484" i="14"/>
  <c r="D4485" i="14"/>
  <c r="D4486" i="14"/>
  <c r="D4487" i="14"/>
  <c r="D4488" i="14"/>
  <c r="D4489" i="14"/>
  <c r="D4490" i="14"/>
  <c r="D4491" i="14"/>
  <c r="D4492" i="14"/>
  <c r="D4493" i="14"/>
  <c r="D4494" i="14"/>
  <c r="D4495" i="14"/>
  <c r="D4496" i="14"/>
  <c r="D4497" i="14"/>
  <c r="D4498" i="14"/>
  <c r="D4499" i="14"/>
  <c r="D4500" i="14"/>
  <c r="D4501" i="14"/>
  <c r="D4502" i="14"/>
  <c r="D4503" i="14"/>
  <c r="D4504" i="14"/>
  <c r="D4505" i="14"/>
  <c r="D4506" i="14"/>
  <c r="D4507" i="14"/>
  <c r="D4508" i="14"/>
  <c r="D4509" i="14"/>
  <c r="D4510" i="14"/>
  <c r="D4511" i="14"/>
  <c r="D4512" i="14"/>
  <c r="D4513" i="14"/>
  <c r="D4514" i="14"/>
  <c r="D4515" i="14"/>
  <c r="D4516" i="14"/>
  <c r="D4517" i="14"/>
  <c r="D4518" i="14"/>
  <c r="D4519" i="14"/>
  <c r="D4520" i="14"/>
  <c r="D4521" i="14"/>
  <c r="D4522" i="14"/>
  <c r="D4523" i="14"/>
  <c r="D4524" i="14"/>
  <c r="D4525" i="14"/>
  <c r="D4526" i="14"/>
  <c r="D4527" i="14"/>
  <c r="D4528" i="14"/>
  <c r="D4529" i="14"/>
  <c r="D4530" i="14"/>
  <c r="D4531" i="14"/>
  <c r="D4532" i="14"/>
  <c r="D4533" i="14"/>
  <c r="D4534" i="14"/>
  <c r="D4535" i="14"/>
  <c r="D4536" i="14"/>
  <c r="D4537" i="14"/>
  <c r="D4538" i="14"/>
  <c r="D4539" i="14"/>
  <c r="D4540" i="14"/>
  <c r="D4541" i="14"/>
  <c r="D4542" i="14"/>
  <c r="D4543" i="14"/>
  <c r="D4544" i="14"/>
  <c r="D4545" i="14"/>
  <c r="D4546" i="14"/>
  <c r="D4547" i="14"/>
  <c r="D4548" i="14"/>
  <c r="D4549" i="14"/>
  <c r="D4550" i="14"/>
  <c r="D4551" i="14"/>
  <c r="D4552" i="14"/>
  <c r="D4553" i="14"/>
  <c r="D4554" i="14"/>
  <c r="D4555" i="14"/>
  <c r="D4556" i="14"/>
  <c r="D4557" i="14"/>
  <c r="D4558" i="14"/>
  <c r="D4559" i="14"/>
  <c r="D4560" i="14"/>
  <c r="D4561" i="14"/>
  <c r="D4562" i="14"/>
  <c r="K4" i="14"/>
  <c r="G4" i="14"/>
  <c r="F4" i="14"/>
  <c r="D4" i="14"/>
  <c r="J4526" i="14" l="1"/>
  <c r="J4522" i="14"/>
  <c r="J4412" i="14"/>
  <c r="J4358" i="14"/>
  <c r="J4353" i="14"/>
  <c r="J4326" i="14"/>
  <c r="J4321" i="14"/>
  <c r="J4312" i="14"/>
  <c r="J4311" i="14"/>
  <c r="J4305" i="14"/>
  <c r="J4292" i="14"/>
  <c r="J4284" i="14"/>
  <c r="J4280" i="14"/>
  <c r="J4272" i="14"/>
  <c r="J4268" i="14"/>
  <c r="J4255" i="14"/>
  <c r="J4229" i="14"/>
  <c r="J4207" i="14"/>
  <c r="J4191" i="14"/>
  <c r="J4175" i="14"/>
  <c r="J4159" i="14"/>
  <c r="J4143" i="14"/>
  <c r="J4127" i="14"/>
  <c r="J4111" i="14"/>
  <c r="J4095" i="14"/>
  <c r="J4079" i="14"/>
  <c r="J4069" i="14"/>
  <c r="J4030" i="14"/>
  <c r="J4029" i="14"/>
  <c r="J4019" i="14"/>
  <c r="J4011" i="14"/>
  <c r="J3494" i="14"/>
  <c r="J3490" i="14"/>
  <c r="J3478" i="14"/>
  <c r="J3466" i="14"/>
  <c r="J3442" i="14"/>
  <c r="J3429" i="14"/>
  <c r="J3421" i="14"/>
  <c r="J3351" i="14"/>
  <c r="J3346" i="14"/>
  <c r="J3337" i="14"/>
  <c r="J3306" i="14"/>
  <c r="J3298" i="14"/>
  <c r="J3294" i="14"/>
  <c r="J3290" i="14"/>
  <c r="J3130" i="14"/>
  <c r="J3090" i="14"/>
  <c r="J3058" i="14"/>
  <c r="J3034" i="14"/>
  <c r="J4436" i="14"/>
  <c r="J4434" i="14"/>
  <c r="J4372" i="14"/>
  <c r="J4370" i="14"/>
  <c r="J4369" i="14"/>
  <c r="J3258" i="14"/>
  <c r="J3254" i="14"/>
  <c r="J3242" i="14"/>
  <c r="J3202" i="14"/>
  <c r="J3198" i="14"/>
  <c r="J3170" i="14"/>
  <c r="J3166" i="14"/>
  <c r="J3140" i="14"/>
  <c r="J3123" i="14"/>
  <c r="J3092" i="14"/>
  <c r="J3087" i="14"/>
  <c r="J3060" i="14"/>
  <c r="J3055" i="14"/>
  <c r="J3015" i="14"/>
  <c r="J2997" i="14"/>
  <c r="J2987" i="14"/>
  <c r="J2963" i="14"/>
  <c r="J4454" i="14"/>
  <c r="J4448" i="14"/>
  <c r="J4444" i="14"/>
  <c r="J4390" i="14"/>
  <c r="J4384" i="14"/>
  <c r="J4380" i="14"/>
  <c r="J4328" i="14"/>
  <c r="J4308" i="14"/>
  <c r="J4257" i="14"/>
  <c r="J4239" i="14"/>
  <c r="J4133" i="14"/>
  <c r="J4117" i="14"/>
  <c r="J4101" i="14"/>
  <c r="J4085" i="14"/>
  <c r="J4063" i="14"/>
  <c r="J4052" i="14"/>
  <c r="J3520" i="14"/>
  <c r="J3518" i="14"/>
  <c r="J3508" i="14"/>
  <c r="J3331" i="14"/>
  <c r="J3327" i="14"/>
  <c r="J3313" i="14"/>
  <c r="J3255" i="14"/>
  <c r="J3238" i="14"/>
  <c r="J3234" i="14"/>
  <c r="J4073" i="14"/>
  <c r="J4059" i="14"/>
  <c r="J4053" i="14"/>
  <c r="J3239" i="14"/>
  <c r="J3230" i="14"/>
  <c r="J3186" i="14"/>
  <c r="J3182" i="14"/>
  <c r="J3154" i="14"/>
  <c r="J3150" i="14"/>
  <c r="J3108" i="14"/>
  <c r="J3103" i="14"/>
  <c r="J3076" i="14"/>
  <c r="J3071" i="14"/>
  <c r="J3047" i="14"/>
  <c r="J3029" i="14"/>
  <c r="J3028" i="14"/>
  <c r="J2989" i="14"/>
  <c r="J2995" i="14"/>
  <c r="J2975" i="14"/>
  <c r="J2971" i="14"/>
  <c r="J2970" i="14"/>
  <c r="J2935" i="14"/>
  <c r="J2934" i="14"/>
  <c r="J2919" i="14"/>
  <c r="J2918" i="14"/>
  <c r="J2903" i="14"/>
  <c r="J2887" i="14"/>
  <c r="J2871" i="14"/>
  <c r="J2855" i="14"/>
  <c r="J2839" i="14"/>
  <c r="J2784" i="14"/>
  <c r="J2781" i="14"/>
  <c r="J2756" i="14"/>
  <c r="J2752" i="14"/>
  <c r="J2751" i="14"/>
  <c r="J2710" i="14"/>
  <c r="J2706" i="14"/>
  <c r="J2705" i="14"/>
  <c r="J2689" i="14"/>
  <c r="J2680" i="14"/>
  <c r="J2676" i="14"/>
  <c r="J2644" i="14"/>
  <c r="J2635" i="14"/>
  <c r="J2580" i="14"/>
  <c r="J2572" i="14"/>
  <c r="J2568" i="14"/>
  <c r="J2564" i="14"/>
  <c r="J2560" i="14"/>
  <c r="J2556" i="14"/>
  <c r="J2552" i="14"/>
  <c r="J2548" i="14"/>
  <c r="J2544" i="14"/>
  <c r="J2540" i="14"/>
  <c r="J2536" i="14"/>
  <c r="J2532" i="14"/>
  <c r="J2528" i="14"/>
  <c r="J2201" i="14"/>
  <c r="J2169" i="14"/>
  <c r="J2160" i="14"/>
  <c r="J2121" i="14"/>
  <c r="J2099" i="14"/>
  <c r="J2098" i="14"/>
  <c r="J2065" i="14"/>
  <c r="J2055" i="14"/>
  <c r="J2020" i="14"/>
  <c r="J2002" i="14"/>
  <c r="J1986" i="14"/>
  <c r="J1970" i="14"/>
  <c r="J1954" i="14"/>
  <c r="J1938" i="14"/>
  <c r="J1922" i="14"/>
  <c r="J1906" i="14"/>
  <c r="J1589" i="14"/>
  <c r="J1583" i="14"/>
  <c r="J1514" i="14"/>
  <c r="J1466" i="14"/>
  <c r="J1462" i="14"/>
  <c r="J1238" i="14"/>
  <c r="J1232" i="14"/>
  <c r="J1214" i="14"/>
  <c r="J1213" i="14"/>
  <c r="J1204" i="14"/>
  <c r="J1189" i="14"/>
  <c r="J1096" i="14"/>
  <c r="J2813" i="14"/>
  <c r="J2724" i="14"/>
  <c r="J2722" i="14"/>
  <c r="J2718" i="14"/>
  <c r="J1288" i="14"/>
  <c r="J1272" i="14"/>
  <c r="J1256" i="14"/>
  <c r="J1240" i="14"/>
  <c r="J1234" i="14"/>
  <c r="J1216" i="14"/>
  <c r="J1194" i="14"/>
  <c r="J1180" i="14"/>
  <c r="J1171" i="14"/>
  <c r="J1166" i="14"/>
  <c r="J1165" i="14"/>
  <c r="J1126" i="14"/>
  <c r="J1112" i="14"/>
  <c r="J1102" i="14"/>
  <c r="J916" i="14"/>
  <c r="J911" i="14"/>
  <c r="J906" i="14"/>
  <c r="J905" i="14"/>
  <c r="J886" i="14"/>
  <c r="J866" i="14"/>
  <c r="J848" i="14"/>
  <c r="J840" i="14"/>
  <c r="J836" i="14"/>
  <c r="J834" i="14"/>
  <c r="J2943" i="14"/>
  <c r="J2927" i="14"/>
  <c r="J2926" i="14"/>
  <c r="J2911" i="14"/>
  <c r="J2895" i="14"/>
  <c r="J2879" i="14"/>
  <c r="J2863" i="14"/>
  <c r="J2847" i="14"/>
  <c r="J2774" i="14"/>
  <c r="J2764" i="14"/>
  <c r="J2737" i="14"/>
  <c r="J2726" i="14"/>
  <c r="J2720" i="14"/>
  <c r="J2708" i="14"/>
  <c r="J2612" i="14"/>
  <c r="J2603" i="14"/>
  <c r="J2171" i="14"/>
  <c r="J2167" i="14"/>
  <c r="J2142" i="14"/>
  <c r="J2137" i="14"/>
  <c r="J2128" i="14"/>
  <c r="J2115" i="14"/>
  <c r="J2052" i="14"/>
  <c r="J2033" i="14"/>
  <c r="J1994" i="14"/>
  <c r="J1978" i="14"/>
  <c r="J1962" i="14"/>
  <c r="J1946" i="14"/>
  <c r="J1930" i="14"/>
  <c r="J1914" i="14"/>
  <c r="J1627" i="14"/>
  <c r="J1617" i="14"/>
  <c r="J1613" i="14"/>
  <c r="J1482" i="14"/>
  <c r="J1478" i="14"/>
  <c r="J1450" i="14"/>
  <c r="J1446" i="14"/>
  <c r="J1246" i="14"/>
  <c r="J1224" i="14"/>
  <c r="J1222" i="14"/>
  <c r="J1221" i="14"/>
  <c r="J1196" i="14"/>
  <c r="J1182" i="14"/>
  <c r="J1181" i="14"/>
  <c r="J1168" i="14"/>
  <c r="J1142" i="14"/>
  <c r="J1141" i="14"/>
  <c r="J900" i="14"/>
  <c r="J828" i="14"/>
  <c r="J800" i="14"/>
  <c r="J778" i="14"/>
  <c r="J595" i="14"/>
  <c r="J547" i="14"/>
  <c r="J546" i="14"/>
  <c r="J300" i="14"/>
  <c r="J805" i="14"/>
  <c r="J799" i="14"/>
  <c r="J790" i="14"/>
  <c r="J780" i="14"/>
  <c r="J772" i="14"/>
  <c r="J764" i="14"/>
  <c r="J754" i="14"/>
  <c r="J597" i="14"/>
  <c r="J581" i="14"/>
  <c r="J572" i="14"/>
  <c r="J522" i="14"/>
  <c r="J517" i="14"/>
  <c r="J513" i="14"/>
  <c r="J486" i="14"/>
  <c r="J482" i="14"/>
  <c r="J470" i="14"/>
  <c r="J466" i="14"/>
  <c r="J454" i="14"/>
  <c r="J434" i="14"/>
  <c r="J430" i="14"/>
  <c r="J426" i="14"/>
  <c r="J422" i="14"/>
  <c r="J418" i="14"/>
  <c r="J414" i="14"/>
  <c r="J405" i="14"/>
  <c r="J401" i="14"/>
  <c r="J365" i="14"/>
  <c r="J341" i="14"/>
  <c r="J337" i="14"/>
  <c r="J333" i="14"/>
  <c r="J329" i="14"/>
  <c r="J325" i="14"/>
  <c r="J321" i="14"/>
  <c r="J317" i="14"/>
  <c r="J313" i="14"/>
  <c r="J309" i="14"/>
  <c r="J305" i="14"/>
  <c r="J299" i="14"/>
  <c r="J285" i="14"/>
  <c r="J261" i="14"/>
  <c r="J256" i="14"/>
  <c r="J238" i="14"/>
  <c r="J228" i="14"/>
  <c r="J224" i="14"/>
  <c r="J202" i="14"/>
  <c r="J194" i="14"/>
  <c r="J97" i="14"/>
  <c r="J91" i="14"/>
  <c r="J90" i="14"/>
  <c r="J51" i="14"/>
  <c r="J47" i="14"/>
  <c r="J133" i="14"/>
  <c r="J99" i="14"/>
  <c r="J762" i="14"/>
  <c r="J750" i="14"/>
  <c r="J615" i="14"/>
  <c r="J612" i="14"/>
  <c r="J562" i="14"/>
  <c r="J558" i="14"/>
  <c r="J551" i="14"/>
  <c r="J543" i="14"/>
  <c r="J525" i="14"/>
  <c r="J511" i="14"/>
  <c r="J490" i="14"/>
  <c r="J474" i="14"/>
  <c r="J458" i="14"/>
  <c r="J379" i="14"/>
  <c r="J373" i="14"/>
  <c r="J291" i="14"/>
  <c r="J287" i="14"/>
  <c r="J273" i="14"/>
  <c r="J258" i="14"/>
  <c r="J257" i="14"/>
  <c r="J240" i="14"/>
  <c r="J222" i="14"/>
  <c r="J218" i="14"/>
  <c r="J212" i="14"/>
  <c r="J208" i="14"/>
  <c r="J204" i="14"/>
  <c r="J93" i="14"/>
  <c r="J79" i="14"/>
  <c r="J73" i="14"/>
  <c r="J69" i="14"/>
  <c r="J65" i="14"/>
  <c r="J31" i="14"/>
  <c r="J4528" i="14"/>
  <c r="J4524" i="14"/>
  <c r="J4518" i="14"/>
  <c r="J4500" i="14"/>
  <c r="J4498" i="14"/>
  <c r="J4484" i="14"/>
  <c r="J4482" i="14"/>
  <c r="J4468" i="14"/>
  <c r="J4466" i="14"/>
  <c r="J4345" i="14"/>
  <c r="J4228" i="14"/>
  <c r="J4520" i="14"/>
  <c r="J4519" i="14"/>
  <c r="J4504" i="14"/>
  <c r="J4503" i="14"/>
  <c r="J4488" i="14"/>
  <c r="J4487" i="14"/>
  <c r="J4472" i="14"/>
  <c r="J4471" i="14"/>
  <c r="J4456" i="14"/>
  <c r="J4455" i="14"/>
  <c r="J4440" i="14"/>
  <c r="J4439" i="14"/>
  <c r="J4424" i="14"/>
  <c r="J4423" i="14"/>
  <c r="J4413" i="14"/>
  <c r="J4408" i="14"/>
  <c r="J4407" i="14"/>
  <c r="J4397" i="14"/>
  <c r="J4392" i="14"/>
  <c r="J4391" i="14"/>
  <c r="J4381" i="14"/>
  <c r="J4376" i="14"/>
  <c r="J4375" i="14"/>
  <c r="J4360" i="14"/>
  <c r="J4359" i="14"/>
  <c r="J4344" i="14"/>
  <c r="J4343" i="14"/>
  <c r="J4330" i="14"/>
  <c r="J4314" i="14"/>
  <c r="J4313" i="14"/>
  <c r="J4302" i="14"/>
  <c r="J4298" i="14"/>
  <c r="J4297" i="14"/>
  <c r="J4249" i="14"/>
  <c r="J4217" i="14"/>
  <c r="J4521" i="14"/>
  <c r="J4505" i="14"/>
  <c r="J4489" i="14"/>
  <c r="J4473" i="14"/>
  <c r="J4462" i="14"/>
  <c r="J4457" i="14"/>
  <c r="J4441" i="14"/>
  <c r="J4430" i="14"/>
  <c r="J4426" i="14"/>
  <c r="J4425" i="14"/>
  <c r="J4414" i="14"/>
  <c r="J4410" i="14"/>
  <c r="J4409" i="14"/>
  <c r="J4398" i="14"/>
  <c r="J4394" i="14"/>
  <c r="J4393" i="14"/>
  <c r="J4382" i="14"/>
  <c r="J4378" i="14"/>
  <c r="J4377" i="14"/>
  <c r="J4362" i="14"/>
  <c r="J4361" i="14"/>
  <c r="J4337" i="14"/>
  <c r="J4332" i="14"/>
  <c r="J4331" i="14"/>
  <c r="J4319" i="14"/>
  <c r="J4290" i="14"/>
  <c r="J4282" i="14"/>
  <c r="J4281" i="14"/>
  <c r="J4267" i="14"/>
  <c r="J4244" i="14"/>
  <c r="J4223" i="14"/>
  <c r="J4212" i="14"/>
  <c r="J4197" i="14"/>
  <c r="J4196" i="14"/>
  <c r="J4185" i="14"/>
  <c r="J4181" i="14"/>
  <c r="J4180" i="14"/>
  <c r="J4169" i="14"/>
  <c r="J4165" i="14"/>
  <c r="J4164" i="14"/>
  <c r="J4153" i="14"/>
  <c r="J4149" i="14"/>
  <c r="J4148" i="14"/>
  <c r="J4137" i="14"/>
  <c r="J4121" i="14"/>
  <c r="J4105" i="14"/>
  <c r="J4089" i="14"/>
  <c r="J4334" i="14"/>
  <c r="J4333" i="14"/>
  <c r="J4316" i="14"/>
  <c r="J4310" i="14"/>
  <c r="J4304" i="14"/>
  <c r="J4300" i="14"/>
  <c r="J4287" i="14"/>
  <c r="J4234" i="14"/>
  <c r="J4233" i="14"/>
  <c r="J4202" i="14"/>
  <c r="J4201" i="14"/>
  <c r="J4186" i="14"/>
  <c r="J4182" i="14"/>
  <c r="J4170" i="14"/>
  <c r="J4166" i="14"/>
  <c r="J4154" i="14"/>
  <c r="J4150" i="14"/>
  <c r="J4138" i="14"/>
  <c r="J4056" i="14"/>
  <c r="J4028" i="14"/>
  <c r="J4024" i="14"/>
  <c r="J4023" i="14"/>
  <c r="J3482" i="14"/>
  <c r="J3476" i="14"/>
  <c r="J3472" i="14"/>
  <c r="J3470" i="14"/>
  <c r="J3461" i="14"/>
  <c r="J3453" i="14"/>
  <c r="J3445" i="14"/>
  <c r="J3437" i="14"/>
  <c r="J3414" i="14"/>
  <c r="J3409" i="14"/>
  <c r="J3383" i="14"/>
  <c r="J3378" i="14"/>
  <c r="J3369" i="14"/>
  <c r="J3279" i="14"/>
  <c r="J3275" i="14"/>
  <c r="J3271" i="14"/>
  <c r="J3266" i="14"/>
  <c r="J3257" i="14"/>
  <c r="J3253" i="14"/>
  <c r="J3245" i="14"/>
  <c r="J3010" i="14"/>
  <c r="J2946" i="14"/>
  <c r="J4132" i="14"/>
  <c r="J4116" i="14"/>
  <c r="J4100" i="14"/>
  <c r="J4084" i="14"/>
  <c r="J4068" i="14"/>
  <c r="J4046" i="14"/>
  <c r="J3510" i="14"/>
  <c r="J4289" i="14"/>
  <c r="J4278" i="14"/>
  <c r="J4270" i="14"/>
  <c r="J4269" i="14"/>
  <c r="J4241" i="14"/>
  <c r="J4240" i="14"/>
  <c r="J4225" i="14"/>
  <c r="J4224" i="14"/>
  <c r="J4209" i="14"/>
  <c r="J4208" i="14"/>
  <c r="J4193" i="14"/>
  <c r="J4192" i="14"/>
  <c r="J4177" i="14"/>
  <c r="J4176" i="14"/>
  <c r="J4161" i="14"/>
  <c r="J4160" i="14"/>
  <c r="J4145" i="14"/>
  <c r="J4144" i="14"/>
  <c r="J4129" i="14"/>
  <c r="J4128" i="14"/>
  <c r="J4113" i="14"/>
  <c r="J4112" i="14"/>
  <c r="J4097" i="14"/>
  <c r="J4096" i="14"/>
  <c r="J4081" i="14"/>
  <c r="J4080" i="14"/>
  <c r="J4065" i="14"/>
  <c r="J4064" i="14"/>
  <c r="J4048" i="14"/>
  <c r="J4032" i="14"/>
  <c r="J4022" i="14"/>
  <c r="J4009" i="14"/>
  <c r="J3498" i="14"/>
  <c r="J3492" i="14"/>
  <c r="J3488" i="14"/>
  <c r="J3486" i="14"/>
  <c r="J3395" i="14"/>
  <c r="J3042" i="14"/>
  <c r="J2978" i="14"/>
  <c r="J3204" i="14"/>
  <c r="J3188" i="14"/>
  <c r="J3172" i="14"/>
  <c r="J3156" i="14"/>
  <c r="J3122" i="14"/>
  <c r="J3043" i="14"/>
  <c r="J3020" i="14"/>
  <c r="J3011" i="14"/>
  <c r="J2988" i="14"/>
  <c r="J2979" i="14"/>
  <c r="J2956" i="14"/>
  <c r="J2947" i="14"/>
  <c r="J2936" i="14"/>
  <c r="J2928" i="14"/>
  <c r="J2920" i="14"/>
  <c r="J2912" i="14"/>
  <c r="J2904" i="14"/>
  <c r="J2896" i="14"/>
  <c r="J2888" i="14"/>
  <c r="J2880" i="14"/>
  <c r="J2872" i="14"/>
  <c r="J2864" i="14"/>
  <c r="J2856" i="14"/>
  <c r="J2848" i="14"/>
  <c r="J2840" i="14"/>
  <c r="J2831" i="14"/>
  <c r="J2799" i="14"/>
  <c r="J2767" i="14"/>
  <c r="J2725" i="14"/>
  <c r="J2719" i="14"/>
  <c r="J3427" i="14"/>
  <c r="J3419" i="14"/>
  <c r="J3413" i="14"/>
  <c r="J3399" i="14"/>
  <c r="J3394" i="14"/>
  <c r="J3385" i="14"/>
  <c r="J3367" i="14"/>
  <c r="J3362" i="14"/>
  <c r="J3353" i="14"/>
  <c r="J3335" i="14"/>
  <c r="J3330" i="14"/>
  <c r="J3321" i="14"/>
  <c r="J3299" i="14"/>
  <c r="J3295" i="14"/>
  <c r="J3291" i="14"/>
  <c r="J3286" i="14"/>
  <c r="J3278" i="14"/>
  <c r="J3274" i="14"/>
  <c r="J3270" i="14"/>
  <c r="J3265" i="14"/>
  <c r="J3256" i="14"/>
  <c r="J3252" i="14"/>
  <c r="J3243" i="14"/>
  <c r="J3210" i="14"/>
  <c r="J3206" i="14"/>
  <c r="J3194" i="14"/>
  <c r="J3190" i="14"/>
  <c r="J3178" i="14"/>
  <c r="J3174" i="14"/>
  <c r="J3162" i="14"/>
  <c r="J3158" i="14"/>
  <c r="J3146" i="14"/>
  <c r="J3133" i="14"/>
  <c r="J3124" i="14"/>
  <c r="J3115" i="14"/>
  <c r="J3114" i="14"/>
  <c r="J3100" i="14"/>
  <c r="J3098" i="14"/>
  <c r="J3084" i="14"/>
  <c r="J3082" i="14"/>
  <c r="J3068" i="14"/>
  <c r="J3066" i="14"/>
  <c r="J3052" i="14"/>
  <c r="J3050" i="14"/>
  <c r="J3045" i="14"/>
  <c r="J3044" i="14"/>
  <c r="J3031" i="14"/>
  <c r="J3013" i="14"/>
  <c r="J3012" i="14"/>
  <c r="J2999" i="14"/>
  <c r="J2981" i="14"/>
  <c r="J2980" i="14"/>
  <c r="J2967" i="14"/>
  <c r="J2949" i="14"/>
  <c r="J2948" i="14"/>
  <c r="J2939" i="14"/>
  <c r="J2938" i="14"/>
  <c r="J2931" i="14"/>
  <c r="J2930" i="14"/>
  <c r="J2923" i="14"/>
  <c r="J2922" i="14"/>
  <c r="J2915" i="14"/>
  <c r="J2914" i="14"/>
  <c r="J2907" i="14"/>
  <c r="J2906" i="14"/>
  <c r="J2899" i="14"/>
  <c r="J2898" i="14"/>
  <c r="J2891" i="14"/>
  <c r="J2890" i="14"/>
  <c r="J2883" i="14"/>
  <c r="J2882" i="14"/>
  <c r="J2875" i="14"/>
  <c r="J2874" i="14"/>
  <c r="J2867" i="14"/>
  <c r="J2866" i="14"/>
  <c r="J2859" i="14"/>
  <c r="J2858" i="14"/>
  <c r="J2851" i="14"/>
  <c r="J2850" i="14"/>
  <c r="J2843" i="14"/>
  <c r="J2842" i="14"/>
  <c r="J2836" i="14"/>
  <c r="J2835" i="14"/>
  <c r="J2829" i="14"/>
  <c r="J2822" i="14"/>
  <c r="J2804" i="14"/>
  <c r="J2803" i="14"/>
  <c r="J2797" i="14"/>
  <c r="J2790" i="14"/>
  <c r="J2772" i="14"/>
  <c r="J2771" i="14"/>
  <c r="J2765" i="14"/>
  <c r="J2745" i="14"/>
  <c r="J2734" i="14"/>
  <c r="J2712" i="14"/>
  <c r="J2697" i="14"/>
  <c r="J2686" i="14"/>
  <c r="J2677" i="14"/>
  <c r="J2672" i="14"/>
  <c r="J2671" i="14"/>
  <c r="J2660" i="14"/>
  <c r="J2651" i="14"/>
  <c r="J2642" i="14"/>
  <c r="J2628" i="14"/>
  <c r="J2619" i="14"/>
  <c r="J2596" i="14"/>
  <c r="J2587" i="14"/>
  <c r="J2574" i="14"/>
  <c r="J2570" i="14"/>
  <c r="J2566" i="14"/>
  <c r="J2562" i="14"/>
  <c r="J2558" i="14"/>
  <c r="J2554" i="14"/>
  <c r="J2550" i="14"/>
  <c r="J2546" i="14"/>
  <c r="J2542" i="14"/>
  <c r="J2538" i="14"/>
  <c r="J2534" i="14"/>
  <c r="J2530" i="14"/>
  <c r="J2194" i="14"/>
  <c r="J2122" i="14"/>
  <c r="J3237" i="14"/>
  <c r="J3232" i="14"/>
  <c r="J3197" i="14"/>
  <c r="J3196" i="14"/>
  <c r="J3181" i="14"/>
  <c r="J3180" i="14"/>
  <c r="J3165" i="14"/>
  <c r="J3164" i="14"/>
  <c r="J3149" i="14"/>
  <c r="J3148" i="14"/>
  <c r="J3139" i="14"/>
  <c r="J3138" i="14"/>
  <c r="J3125" i="14"/>
  <c r="J3101" i="14"/>
  <c r="J3095" i="14"/>
  <c r="J3085" i="14"/>
  <c r="J3079" i="14"/>
  <c r="J3069" i="14"/>
  <c r="J3063" i="14"/>
  <c r="J3053" i="14"/>
  <c r="J3037" i="14"/>
  <c r="J3036" i="14"/>
  <c r="J3026" i="14"/>
  <c r="J3023" i="14"/>
  <c r="J3005" i="14"/>
  <c r="J3004" i="14"/>
  <c r="J2994" i="14"/>
  <c r="J2991" i="14"/>
  <c r="J2973" i="14"/>
  <c r="J2972" i="14"/>
  <c r="J2962" i="14"/>
  <c r="J2959" i="14"/>
  <c r="J2941" i="14"/>
  <c r="J2940" i="14"/>
  <c r="J2933" i="14"/>
  <c r="J2932" i="14"/>
  <c r="J2925" i="14"/>
  <c r="J2924" i="14"/>
  <c r="J2917" i="14"/>
  <c r="J2916" i="14"/>
  <c r="J2909" i="14"/>
  <c r="J2908" i="14"/>
  <c r="J2901" i="14"/>
  <c r="J2900" i="14"/>
  <c r="J2893" i="14"/>
  <c r="J2892" i="14"/>
  <c r="J2885" i="14"/>
  <c r="J2884" i="14"/>
  <c r="J2877" i="14"/>
  <c r="J2876" i="14"/>
  <c r="J2869" i="14"/>
  <c r="J2868" i="14"/>
  <c r="J2861" i="14"/>
  <c r="J2860" i="14"/>
  <c r="J2853" i="14"/>
  <c r="J2852" i="14"/>
  <c r="J2845" i="14"/>
  <c r="J2844" i="14"/>
  <c r="J2837" i="14"/>
  <c r="J2815" i="14"/>
  <c r="J2812" i="14"/>
  <c r="J2783" i="14"/>
  <c r="J2780" i="14"/>
  <c r="J2748" i="14"/>
  <c r="J2742" i="14"/>
  <c r="J2741" i="14"/>
  <c r="J2736" i="14"/>
  <c r="J2735" i="14"/>
  <c r="J2728" i="14"/>
  <c r="J2694" i="14"/>
  <c r="J2693" i="14"/>
  <c r="J2688" i="14"/>
  <c r="J2687" i="14"/>
  <c r="J2678" i="14"/>
  <c r="J2674" i="14"/>
  <c r="J2673" i="14"/>
  <c r="J2652" i="14"/>
  <c r="J2634" i="14"/>
  <c r="J2620" i="14"/>
  <c r="J2588" i="14"/>
  <c r="J2189" i="14"/>
  <c r="J2187" i="14"/>
  <c r="J2114" i="14"/>
  <c r="J2105" i="14"/>
  <c r="J3018" i="14"/>
  <c r="J2986" i="14"/>
  <c r="J2954" i="14"/>
  <c r="J2910" i="14"/>
  <c r="J2902" i="14"/>
  <c r="J2894" i="14"/>
  <c r="J2886" i="14"/>
  <c r="J2878" i="14"/>
  <c r="J2870" i="14"/>
  <c r="J2862" i="14"/>
  <c r="J2854" i="14"/>
  <c r="J2846" i="14"/>
  <c r="J2838" i="14"/>
  <c r="J2819" i="14"/>
  <c r="J2787" i="14"/>
  <c r="J2755" i="14"/>
  <c r="J2749" i="14"/>
  <c r="J2709" i="14"/>
  <c r="J2703" i="14"/>
  <c r="J2199" i="14"/>
  <c r="J2191" i="14"/>
  <c r="J2177" i="14"/>
  <c r="J2163" i="14"/>
  <c r="J2159" i="14"/>
  <c r="J2097" i="14"/>
  <c r="J2043" i="14"/>
  <c r="J2023" i="14"/>
  <c r="J2011" i="14"/>
  <c r="J2003" i="14"/>
  <c r="J1995" i="14"/>
  <c r="J1987" i="14"/>
  <c r="J1979" i="14"/>
  <c r="J1971" i="14"/>
  <c r="J1963" i="14"/>
  <c r="J1955" i="14"/>
  <c r="J1947" i="14"/>
  <c r="J1939" i="14"/>
  <c r="J1931" i="14"/>
  <c r="J1923" i="14"/>
  <c r="J1915" i="14"/>
  <c r="J1907" i="14"/>
  <c r="J2179" i="14"/>
  <c r="J2175" i="14"/>
  <c r="J2161" i="14"/>
  <c r="J2147" i="14"/>
  <c r="J2143" i="14"/>
  <c r="J2129" i="14"/>
  <c r="J2057" i="14"/>
  <c r="J2047" i="14"/>
  <c r="J2038" i="14"/>
  <c r="J2036" i="14"/>
  <c r="J2035" i="14"/>
  <c r="J2025" i="14"/>
  <c r="J2015" i="14"/>
  <c r="J2006" i="14"/>
  <c r="J2005" i="14"/>
  <c r="J1998" i="14"/>
  <c r="J1997" i="14"/>
  <c r="J1990" i="14"/>
  <c r="J1989" i="14"/>
  <c r="J1982" i="14"/>
  <c r="J1981" i="14"/>
  <c r="J1974" i="14"/>
  <c r="J1973" i="14"/>
  <c r="J1966" i="14"/>
  <c r="J1965" i="14"/>
  <c r="J1958" i="14"/>
  <c r="J1957" i="14"/>
  <c r="J1950" i="14"/>
  <c r="J1949" i="14"/>
  <c r="J1942" i="14"/>
  <c r="J1941" i="14"/>
  <c r="J1934" i="14"/>
  <c r="J1933" i="14"/>
  <c r="J1926" i="14"/>
  <c r="J1925" i="14"/>
  <c r="J1918" i="14"/>
  <c r="J1917" i="14"/>
  <c r="J1910" i="14"/>
  <c r="J1909" i="14"/>
  <c r="J1902" i="14"/>
  <c r="J1901" i="14"/>
  <c r="J2158" i="14"/>
  <c r="J2153" i="14"/>
  <c r="J2144" i="14"/>
  <c r="J2139" i="14"/>
  <c r="J2135" i="14"/>
  <c r="J2126" i="14"/>
  <c r="J2119" i="14"/>
  <c r="J2111" i="14"/>
  <c r="J2103" i="14"/>
  <c r="J2095" i="14"/>
  <c r="J2091" i="14"/>
  <c r="J2077" i="14"/>
  <c r="J2062" i="14"/>
  <c r="J2060" i="14"/>
  <c r="J2059" i="14"/>
  <c r="J2049" i="14"/>
  <c r="J2039" i="14"/>
  <c r="J2030" i="14"/>
  <c r="J2028" i="14"/>
  <c r="J2027" i="14"/>
  <c r="J2017" i="14"/>
  <c r="J2008" i="14"/>
  <c r="J2007" i="14"/>
  <c r="J2000" i="14"/>
  <c r="J1999" i="14"/>
  <c r="J1992" i="14"/>
  <c r="J1991" i="14"/>
  <c r="J1984" i="14"/>
  <c r="J1983" i="14"/>
  <c r="J1976" i="14"/>
  <c r="J1975" i="14"/>
  <c r="J1968" i="14"/>
  <c r="J1967" i="14"/>
  <c r="J1960" i="14"/>
  <c r="J1959" i="14"/>
  <c r="J1952" i="14"/>
  <c r="J1951" i="14"/>
  <c r="J1944" i="14"/>
  <c r="J1943" i="14"/>
  <c r="J1936" i="14"/>
  <c r="J1935" i="14"/>
  <c r="J1928" i="14"/>
  <c r="J1927" i="14"/>
  <c r="J1920" i="14"/>
  <c r="J1919" i="14"/>
  <c r="J1912" i="14"/>
  <c r="J1911" i="14"/>
  <c r="J1904" i="14"/>
  <c r="J1903" i="14"/>
  <c r="J1898" i="14"/>
  <c r="J1765" i="14"/>
  <c r="J1629" i="14"/>
  <c r="J2063" i="14"/>
  <c r="J2051" i="14"/>
  <c r="J2041" i="14"/>
  <c r="J2031" i="14"/>
  <c r="J2019" i="14"/>
  <c r="J2009" i="14"/>
  <c r="J2001" i="14"/>
  <c r="J1993" i="14"/>
  <c r="J1985" i="14"/>
  <c r="J1977" i="14"/>
  <c r="J1969" i="14"/>
  <c r="J1961" i="14"/>
  <c r="J1953" i="14"/>
  <c r="J1945" i="14"/>
  <c r="J1937" i="14"/>
  <c r="J1929" i="14"/>
  <c r="J1921" i="14"/>
  <c r="J1913" i="14"/>
  <c r="J1905" i="14"/>
  <c r="J1615" i="14"/>
  <c r="J1346" i="14"/>
  <c r="J1338" i="14"/>
  <c r="J1330" i="14"/>
  <c r="J1322" i="14"/>
  <c r="J1314" i="14"/>
  <c r="J1306" i="14"/>
  <c r="J1298" i="14"/>
  <c r="J1290" i="14"/>
  <c r="J1282" i="14"/>
  <c r="J1274" i="14"/>
  <c r="J1266" i="14"/>
  <c r="J1258" i="14"/>
  <c r="J1250" i="14"/>
  <c r="J1233" i="14"/>
  <c r="J1635" i="14"/>
  <c r="J1625" i="14"/>
  <c r="J1611" i="14"/>
  <c r="J1609" i="14"/>
  <c r="J1608" i="14"/>
  <c r="J1599" i="14"/>
  <c r="J1597" i="14"/>
  <c r="J1596" i="14"/>
  <c r="J1587" i="14"/>
  <c r="J1573" i="14"/>
  <c r="J1567" i="14"/>
  <c r="J1565" i="14"/>
  <c r="J1564" i="14"/>
  <c r="J1555" i="14"/>
  <c r="J1551" i="14"/>
  <c r="J1530" i="14"/>
  <c r="J1512" i="14"/>
  <c r="J1498" i="14"/>
  <c r="J1474" i="14"/>
  <c r="J1458" i="14"/>
  <c r="J1448" i="14"/>
  <c r="J1434" i="14"/>
  <c r="J1430" i="14"/>
  <c r="J1426" i="14"/>
  <c r="J1422" i="14"/>
  <c r="J1418" i="14"/>
  <c r="J1414" i="14"/>
  <c r="J1410" i="14"/>
  <c r="J1406" i="14"/>
  <c r="J1402" i="14"/>
  <c r="J1398" i="14"/>
  <c r="J1394" i="14"/>
  <c r="J1390" i="14"/>
  <c r="J1386" i="14"/>
  <c r="J1382" i="14"/>
  <c r="J1378" i="14"/>
  <c r="J1374" i="14"/>
  <c r="J1370" i="14"/>
  <c r="J1366" i="14"/>
  <c r="J1362" i="14"/>
  <c r="J1358" i="14"/>
  <c r="J1354" i="14"/>
  <c r="J1348" i="14"/>
  <c r="J1340" i="14"/>
  <c r="J1332" i="14"/>
  <c r="J1324" i="14"/>
  <c r="J1316" i="14"/>
  <c r="J1308" i="14"/>
  <c r="J1300" i="14"/>
  <c r="J1292" i="14"/>
  <c r="J1284" i="14"/>
  <c r="J1276" i="14"/>
  <c r="J1268" i="14"/>
  <c r="J1260" i="14"/>
  <c r="J1252" i="14"/>
  <c r="J1244" i="14"/>
  <c r="J1242" i="14"/>
  <c r="J1241" i="14"/>
  <c r="J1603" i="14"/>
  <c r="J1601" i="14"/>
  <c r="J1569" i="14"/>
  <c r="J1470" i="14"/>
  <c r="J1454" i="14"/>
  <c r="J1440" i="14"/>
  <c r="J1350" i="14"/>
  <c r="J1342" i="14"/>
  <c r="J1334" i="14"/>
  <c r="J1326" i="14"/>
  <c r="J1318" i="14"/>
  <c r="J1310" i="14"/>
  <c r="J1302" i="14"/>
  <c r="J1294" i="14"/>
  <c r="J1286" i="14"/>
  <c r="J1278" i="14"/>
  <c r="J1270" i="14"/>
  <c r="J1262" i="14"/>
  <c r="J1254" i="14"/>
  <c r="J1237" i="14"/>
  <c r="J1580" i="14"/>
  <c r="J1344" i="14"/>
  <c r="J1336" i="14"/>
  <c r="J1320" i="14"/>
  <c r="J1304" i="14"/>
  <c r="J1296" i="14"/>
  <c r="J1236" i="14"/>
  <c r="J1228" i="14"/>
  <c r="J1226" i="14"/>
  <c r="J1225" i="14"/>
  <c r="J1193" i="14"/>
  <c r="J1157" i="14"/>
  <c r="J1125" i="14"/>
  <c r="J1103" i="14"/>
  <c r="J1100" i="14"/>
  <c r="J922" i="14"/>
  <c r="J921" i="14"/>
  <c r="J890" i="14"/>
  <c r="J889" i="14"/>
  <c r="J854" i="14"/>
  <c r="J853" i="14"/>
  <c r="J844" i="14"/>
  <c r="J827" i="14"/>
  <c r="J818" i="14"/>
  <c r="J813" i="14"/>
  <c r="J788" i="14"/>
  <c r="J766" i="14"/>
  <c r="J758" i="14"/>
  <c r="J756" i="14"/>
  <c r="J718" i="14"/>
  <c r="J624" i="14"/>
  <c r="J616" i="14"/>
  <c r="J609" i="14"/>
  <c r="J605" i="14"/>
  <c r="J591" i="14"/>
  <c r="J540" i="14"/>
  <c r="J512" i="14"/>
  <c r="J507" i="14"/>
  <c r="J485" i="14"/>
  <c r="J469" i="14"/>
  <c r="J453" i="14"/>
  <c r="J1230" i="14"/>
  <c r="J1229" i="14"/>
  <c r="J1218" i="14"/>
  <c r="J1217" i="14"/>
  <c r="J1208" i="14"/>
  <c r="J1206" i="14"/>
  <c r="J1205" i="14"/>
  <c r="J1198" i="14"/>
  <c r="J1197" i="14"/>
  <c r="J1186" i="14"/>
  <c r="J1185" i="14"/>
  <c r="J1176" i="14"/>
  <c r="J1175" i="14"/>
  <c r="J1149" i="14"/>
  <c r="J1136" i="14"/>
  <c r="J1128" i="14"/>
  <c r="J1110" i="14"/>
  <c r="J1093" i="14"/>
  <c r="J1089" i="14"/>
  <c r="J1085" i="14"/>
  <c r="J1081" i="14"/>
  <c r="J1077" i="14"/>
  <c r="J1073" i="14"/>
  <c r="J1069" i="14"/>
  <c r="J1065" i="14"/>
  <c r="J1049" i="14"/>
  <c r="J1045" i="14"/>
  <c r="J1041" i="14"/>
  <c r="J1037" i="14"/>
  <c r="J1033" i="14"/>
  <c r="J1029" i="14"/>
  <c r="J1025" i="14"/>
  <c r="J1021" i="14"/>
  <c r="J1017" i="14"/>
  <c r="J1013" i="14"/>
  <c r="J1009" i="14"/>
  <c r="J924" i="14"/>
  <c r="J923" i="14"/>
  <c r="J910" i="14"/>
  <c r="J904" i="14"/>
  <c r="J892" i="14"/>
  <c r="J891" i="14"/>
  <c r="J878" i="14"/>
  <c r="J874" i="14"/>
  <c r="J868" i="14"/>
  <c r="J862" i="14"/>
  <c r="J855" i="14"/>
  <c r="J829" i="14"/>
  <c r="J804" i="14"/>
  <c r="J793" i="14"/>
  <c r="J782" i="14"/>
  <c r="J748" i="14"/>
  <c r="J744" i="14"/>
  <c r="J626" i="14"/>
  <c r="J618" i="14"/>
  <c r="J1220" i="14"/>
  <c r="J1212" i="14"/>
  <c r="J1210" i="14"/>
  <c r="J1209" i="14"/>
  <c r="J1200" i="14"/>
  <c r="J1188" i="14"/>
  <c r="J1163" i="14"/>
  <c r="J1150" i="14"/>
  <c r="J1118" i="14"/>
  <c r="J1111" i="14"/>
  <c r="J776" i="14"/>
  <c r="J628" i="14"/>
  <c r="J620" i="14"/>
  <c r="J598" i="14"/>
  <c r="J487" i="14"/>
  <c r="J471" i="14"/>
  <c r="J455" i="14"/>
  <c r="J439" i="14"/>
  <c r="J1055" i="14"/>
  <c r="J1039" i="14"/>
  <c r="J1035" i="14"/>
  <c r="J1031" i="14"/>
  <c r="J1027" i="14"/>
  <c r="J1023" i="14"/>
  <c r="J1019" i="14"/>
  <c r="J1015" i="14"/>
  <c r="J1011" i="14"/>
  <c r="J1007" i="14"/>
  <c r="J926" i="14"/>
  <c r="J920" i="14"/>
  <c r="J908" i="14"/>
  <c r="J907" i="14"/>
  <c r="J894" i="14"/>
  <c r="J888" i="14"/>
  <c r="J876" i="14"/>
  <c r="J872" i="14"/>
  <c r="J871" i="14"/>
  <c r="J852" i="14"/>
  <c r="J847" i="14"/>
  <c r="J846" i="14"/>
  <c r="J831" i="14"/>
  <c r="J830" i="14"/>
  <c r="J825" i="14"/>
  <c r="J808" i="14"/>
  <c r="J807" i="14"/>
  <c r="J746" i="14"/>
  <c r="J742" i="14"/>
  <c r="J708" i="14"/>
  <c r="J630" i="14"/>
  <c r="J622" i="14"/>
  <c r="J589" i="14"/>
  <c r="J587" i="14"/>
  <c r="J494" i="14"/>
  <c r="J478" i="14"/>
  <c r="J462" i="14"/>
  <c r="J284" i="14"/>
  <c r="J253" i="14"/>
  <c r="J237" i="14"/>
  <c r="J221" i="14"/>
  <c r="J201" i="14"/>
  <c r="J400" i="14"/>
  <c r="J378" i="14"/>
  <c r="J346" i="14"/>
  <c r="J344" i="14"/>
  <c r="J298" i="14"/>
  <c r="J58" i="14"/>
  <c r="J41" i="14"/>
  <c r="J539" i="14"/>
  <c r="J489" i="14"/>
  <c r="J481" i="14"/>
  <c r="J473" i="14"/>
  <c r="J465" i="14"/>
  <c r="J457" i="14"/>
  <c r="J449" i="14"/>
  <c r="J441" i="14"/>
  <c r="J406" i="14"/>
  <c r="J383" i="14"/>
  <c r="J369" i="14"/>
  <c r="J368" i="14"/>
  <c r="J361" i="14"/>
  <c r="J259" i="14"/>
  <c r="J245" i="14"/>
  <c r="J229" i="14"/>
  <c r="J159" i="14"/>
  <c r="J81" i="14"/>
  <c r="J60" i="14"/>
  <c r="J21" i="14"/>
  <c r="J11" i="14"/>
  <c r="J578" i="14"/>
  <c r="J533" i="14"/>
  <c r="J492" i="14"/>
  <c r="J491" i="14"/>
  <c r="J484" i="14"/>
  <c r="J483" i="14"/>
  <c r="J476" i="14"/>
  <c r="J475" i="14"/>
  <c r="J468" i="14"/>
  <c r="J467" i="14"/>
  <c r="J460" i="14"/>
  <c r="J459" i="14"/>
  <c r="J452" i="14"/>
  <c r="J451" i="14"/>
  <c r="J443" i="14"/>
  <c r="J408" i="14"/>
  <c r="J363" i="14"/>
  <c r="J348" i="14"/>
  <c r="J289" i="14"/>
  <c r="J283" i="14"/>
  <c r="J279" i="14"/>
  <c r="J277" i="14"/>
  <c r="J263" i="14"/>
  <c r="J210" i="14"/>
  <c r="J200" i="14"/>
  <c r="J183" i="14"/>
  <c r="J55" i="14"/>
  <c r="J53" i="14"/>
  <c r="J49" i="14"/>
  <c r="J45" i="14"/>
  <c r="J26" i="14"/>
  <c r="J18" i="14"/>
  <c r="J4525" i="14"/>
  <c r="J4509" i="14"/>
  <c r="J4493" i="14"/>
  <c r="J4477" i="14"/>
  <c r="J4461" i="14"/>
  <c r="J4445" i="14"/>
  <c r="J4429" i="14"/>
  <c r="J4561" i="14"/>
  <c r="J4559" i="14"/>
  <c r="J4557" i="14"/>
  <c r="J4555" i="14"/>
  <c r="J4553" i="14"/>
  <c r="J4551" i="14"/>
  <c r="J4549" i="14"/>
  <c r="J4547" i="14"/>
  <c r="J4545" i="14"/>
  <c r="J4543" i="14"/>
  <c r="J4541" i="14"/>
  <c r="J4539" i="14"/>
  <c r="J4537" i="14"/>
  <c r="J4535" i="14"/>
  <c r="J4533" i="14"/>
  <c r="J4531" i="14"/>
  <c r="J4529" i="14"/>
  <c r="J4513" i="14"/>
  <c r="J4497" i="14"/>
  <c r="J4481" i="14"/>
  <c r="J4465" i="14"/>
  <c r="J4449" i="14"/>
  <c r="J4433" i="14"/>
  <c r="J4417" i="14"/>
  <c r="J4401" i="14"/>
  <c r="J4385" i="14"/>
  <c r="J4325" i="14"/>
  <c r="J4261" i="14"/>
  <c r="J4515" i="14"/>
  <c r="J4499" i="14"/>
  <c r="J4483" i="14"/>
  <c r="J4467" i="14"/>
  <c r="J4451" i="14"/>
  <c r="J4435" i="14"/>
  <c r="J4419" i="14"/>
  <c r="J4403" i="14"/>
  <c r="J4387" i="14"/>
  <c r="J4350" i="14"/>
  <c r="J4349" i="14"/>
  <c r="J4347" i="14"/>
  <c r="J4341" i="14"/>
  <c r="J4335" i="14"/>
  <c r="J4327" i="14"/>
  <c r="J4324" i="14"/>
  <c r="J4322" i="14"/>
  <c r="J4320" i="14"/>
  <c r="J4286" i="14"/>
  <c r="J4285" i="14"/>
  <c r="J4283" i="14"/>
  <c r="J4277" i="14"/>
  <c r="J4271" i="14"/>
  <c r="J4263" i="14"/>
  <c r="J4260" i="14"/>
  <c r="J4258" i="14"/>
  <c r="J4256" i="14"/>
  <c r="J4045" i="14"/>
  <c r="J4043" i="14"/>
  <c r="J4031" i="14"/>
  <c r="J4005" i="14"/>
  <c r="J4001" i="14"/>
  <c r="J3997" i="14"/>
  <c r="J3993" i="14"/>
  <c r="J3989" i="14"/>
  <c r="J3985" i="14"/>
  <c r="J3981" i="14"/>
  <c r="J3977" i="14"/>
  <c r="J3973" i="14"/>
  <c r="J3969" i="14"/>
  <c r="J3965" i="14"/>
  <c r="J3961" i="14"/>
  <c r="J3957" i="14"/>
  <c r="J3953" i="14"/>
  <c r="J3949" i="14"/>
  <c r="J3945" i="14"/>
  <c r="J3941" i="14"/>
  <c r="J3937" i="14"/>
  <c r="J3933" i="14"/>
  <c r="J3929" i="14"/>
  <c r="J3925" i="14"/>
  <c r="J3921" i="14"/>
  <c r="J3917" i="14"/>
  <c r="J3913" i="14"/>
  <c r="J3909" i="14"/>
  <c r="J3905" i="14"/>
  <c r="J3901" i="14"/>
  <c r="J3897" i="14"/>
  <c r="J3893" i="14"/>
  <c r="J3889" i="14"/>
  <c r="J3885" i="14"/>
  <c r="J3881" i="14"/>
  <c r="J3877" i="14"/>
  <c r="J3873" i="14"/>
  <c r="J3869" i="14"/>
  <c r="J3865" i="14"/>
  <c r="J3861" i="14"/>
  <c r="J3857" i="14"/>
  <c r="J3853" i="14"/>
  <c r="J3849" i="14"/>
  <c r="J3845" i="14"/>
  <c r="J3841" i="14"/>
  <c r="J3837" i="14"/>
  <c r="J3833" i="14"/>
  <c r="J3829" i="14"/>
  <c r="J3825" i="14"/>
  <c r="J3821" i="14"/>
  <c r="J3817" i="14"/>
  <c r="J3813" i="14"/>
  <c r="J3809" i="14"/>
  <c r="J3805" i="14"/>
  <c r="J3801" i="14"/>
  <c r="J3797" i="14"/>
  <c r="J3793" i="14"/>
  <c r="J3789" i="14"/>
  <c r="J3785" i="14"/>
  <c r="J3781" i="14"/>
  <c r="J3777" i="14"/>
  <c r="J3773" i="14"/>
  <c r="J3769" i="14"/>
  <c r="J3765" i="14"/>
  <c r="J3761" i="14"/>
  <c r="J3757" i="14"/>
  <c r="J3753" i="14"/>
  <c r="J3749" i="14"/>
  <c r="J3745" i="14"/>
  <c r="J3741" i="14"/>
  <c r="J3737" i="14"/>
  <c r="J3733" i="14"/>
  <c r="J3729" i="14"/>
  <c r="J3725" i="14"/>
  <c r="J3721" i="14"/>
  <c r="J3717" i="14"/>
  <c r="J3713" i="14"/>
  <c r="J3709" i="14"/>
  <c r="J3705" i="14"/>
  <c r="J3701" i="14"/>
  <c r="J3697" i="14"/>
  <c r="J3693" i="14"/>
  <c r="J3689" i="14"/>
  <c r="J3685" i="14"/>
  <c r="J3681" i="14"/>
  <c r="J3677" i="14"/>
  <c r="J3673" i="14"/>
  <c r="J3669" i="14"/>
  <c r="J3665" i="14"/>
  <c r="J3661" i="14"/>
  <c r="J3657" i="14"/>
  <c r="J3653" i="14"/>
  <c r="J3649" i="14"/>
  <c r="J3645" i="14"/>
  <c r="J3641" i="14"/>
  <c r="J3637" i="14"/>
  <c r="J3633" i="14"/>
  <c r="J3629" i="14"/>
  <c r="J3625" i="14"/>
  <c r="J3621" i="14"/>
  <c r="J3617" i="14"/>
  <c r="J3613" i="14"/>
  <c r="J3609" i="14"/>
  <c r="J3605" i="14"/>
  <c r="J3601" i="14"/>
  <c r="J3597" i="14"/>
  <c r="J3593" i="14"/>
  <c r="J3589" i="14"/>
  <c r="J3585" i="14"/>
  <c r="J3581" i="14"/>
  <c r="J3577" i="14"/>
  <c r="J3573" i="14"/>
  <c r="J3569" i="14"/>
  <c r="J3565" i="14"/>
  <c r="J3561" i="14"/>
  <c r="J3557" i="14"/>
  <c r="J3553" i="14"/>
  <c r="J3549" i="14"/>
  <c r="J3545" i="14"/>
  <c r="J3541" i="14"/>
  <c r="J3537" i="14"/>
  <c r="J3533" i="14"/>
  <c r="J3529" i="14"/>
  <c r="J4527" i="14"/>
  <c r="J4511" i="14"/>
  <c r="J4495" i="14"/>
  <c r="J4479" i="14"/>
  <c r="J4463" i="14"/>
  <c r="J4447" i="14"/>
  <c r="J4431" i="14"/>
  <c r="J4415" i="14"/>
  <c r="J4399" i="14"/>
  <c r="J4383" i="14"/>
  <c r="J4366" i="14"/>
  <c r="J4365" i="14"/>
  <c r="J4363" i="14"/>
  <c r="J4357" i="14"/>
  <c r="J4351" i="14"/>
  <c r="J4340" i="14"/>
  <c r="J4338" i="14"/>
  <c r="J4336" i="14"/>
  <c r="J4301" i="14"/>
  <c r="J4299" i="14"/>
  <c r="J4276" i="14"/>
  <c r="J4274" i="14"/>
  <c r="J4273" i="14"/>
  <c r="J4252" i="14"/>
  <c r="J4013" i="14"/>
  <c r="J4523" i="14"/>
  <c r="J4517" i="14"/>
  <c r="J4507" i="14"/>
  <c r="J4501" i="14"/>
  <c r="J4491" i="14"/>
  <c r="J4485" i="14"/>
  <c r="J4475" i="14"/>
  <c r="J4469" i="14"/>
  <c r="J4459" i="14"/>
  <c r="J4453" i="14"/>
  <c r="J4443" i="14"/>
  <c r="J4437" i="14"/>
  <c r="J4427" i="14"/>
  <c r="J4421" i="14"/>
  <c r="J4411" i="14"/>
  <c r="J4405" i="14"/>
  <c r="J4395" i="14"/>
  <c r="J4389" i="14"/>
  <c r="J4379" i="14"/>
  <c r="J4373" i="14"/>
  <c r="J4367" i="14"/>
  <c r="J4352" i="14"/>
  <c r="J4329" i="14"/>
  <c r="J4318" i="14"/>
  <c r="J4317" i="14"/>
  <c r="J4315" i="14"/>
  <c r="J4309" i="14"/>
  <c r="J4303" i="14"/>
  <c r="J4295" i="14"/>
  <c r="J4288" i="14"/>
  <c r="J4265" i="14"/>
  <c r="J4254" i="14"/>
  <c r="J4253" i="14"/>
  <c r="J4251" i="14"/>
  <c r="J4238" i="14"/>
  <c r="J4237" i="14"/>
  <c r="J4235" i="14"/>
  <c r="J4222" i="14"/>
  <c r="J4221" i="14"/>
  <c r="J4219" i="14"/>
  <c r="J4206" i="14"/>
  <c r="J4205" i="14"/>
  <c r="J4203" i="14"/>
  <c r="J4190" i="14"/>
  <c r="J4189" i="14"/>
  <c r="J4187" i="14"/>
  <c r="J4174" i="14"/>
  <c r="J4173" i="14"/>
  <c r="J4171" i="14"/>
  <c r="J4158" i="14"/>
  <c r="J4157" i="14"/>
  <c r="J4155" i="14"/>
  <c r="J4142" i="14"/>
  <c r="J4141" i="14"/>
  <c r="J4139" i="14"/>
  <c r="J4126" i="14"/>
  <c r="J4125" i="14"/>
  <c r="J4123" i="14"/>
  <c r="J4110" i="14"/>
  <c r="J4109" i="14"/>
  <c r="J4107" i="14"/>
  <c r="J4094" i="14"/>
  <c r="J4093" i="14"/>
  <c r="J4091" i="14"/>
  <c r="J4078" i="14"/>
  <c r="J4077" i="14"/>
  <c r="J4075" i="14"/>
  <c r="J4062" i="14"/>
  <c r="J4061" i="14"/>
  <c r="J4055" i="14"/>
  <c r="J4041" i="14"/>
  <c r="J4036" i="14"/>
  <c r="J4035" i="14"/>
  <c r="J4033" i="14"/>
  <c r="J4027" i="14"/>
  <c r="J4021" i="14"/>
  <c r="J4003" i="14"/>
  <c r="J3999" i="14"/>
  <c r="J3995" i="14"/>
  <c r="J3991" i="14"/>
  <c r="J3987" i="14"/>
  <c r="J3983" i="14"/>
  <c r="J3979" i="14"/>
  <c r="J3975" i="14"/>
  <c r="J3971" i="14"/>
  <c r="J3967" i="14"/>
  <c r="J3963" i="14"/>
  <c r="J3959" i="14"/>
  <c r="J3955" i="14"/>
  <c r="J3951" i="14"/>
  <c r="J3947" i="14"/>
  <c r="J3943" i="14"/>
  <c r="J3939" i="14"/>
  <c r="J3935" i="14"/>
  <c r="J3931" i="14"/>
  <c r="J3927" i="14"/>
  <c r="J3923" i="14"/>
  <c r="J3919" i="14"/>
  <c r="J3915" i="14"/>
  <c r="J3911" i="14"/>
  <c r="J3907" i="14"/>
  <c r="J3903" i="14"/>
  <c r="J3899" i="14"/>
  <c r="J3895" i="14"/>
  <c r="J3891" i="14"/>
  <c r="J3887" i="14"/>
  <c r="J3883" i="14"/>
  <c r="J3879" i="14"/>
  <c r="J3875" i="14"/>
  <c r="J3871" i="14"/>
  <c r="J3867" i="14"/>
  <c r="J3863" i="14"/>
  <c r="J3859" i="14"/>
  <c r="J3855" i="14"/>
  <c r="J3851" i="14"/>
  <c r="J3847" i="14"/>
  <c r="J3843" i="14"/>
  <c r="J3839" i="14"/>
  <c r="J3835" i="14"/>
  <c r="J3831" i="14"/>
  <c r="J3827" i="14"/>
  <c r="J3823" i="14"/>
  <c r="J3819" i="14"/>
  <c r="J3815" i="14"/>
  <c r="J3811" i="14"/>
  <c r="J3807" i="14"/>
  <c r="J3803" i="14"/>
  <c r="J3799" i="14"/>
  <c r="J3795" i="14"/>
  <c r="J3791" i="14"/>
  <c r="J3787" i="14"/>
  <c r="J3783" i="14"/>
  <c r="J3779" i="14"/>
  <c r="J3775" i="14"/>
  <c r="J3771" i="14"/>
  <c r="J3767" i="14"/>
  <c r="J3763" i="14"/>
  <c r="J3759" i="14"/>
  <c r="J3755" i="14"/>
  <c r="J3751" i="14"/>
  <c r="J3747" i="14"/>
  <c r="J3743" i="14"/>
  <c r="J3739" i="14"/>
  <c r="J3735" i="14"/>
  <c r="J3731" i="14"/>
  <c r="J3727" i="14"/>
  <c r="J3723" i="14"/>
  <c r="J3719" i="14"/>
  <c r="J3715" i="14"/>
  <c r="J3711" i="14"/>
  <c r="J3707" i="14"/>
  <c r="J3703" i="14"/>
  <c r="J3699" i="14"/>
  <c r="J3695" i="14"/>
  <c r="J3691" i="14"/>
  <c r="J3687" i="14"/>
  <c r="J3683" i="14"/>
  <c r="J3679" i="14"/>
  <c r="J3675" i="14"/>
  <c r="J3671" i="14"/>
  <c r="J3667" i="14"/>
  <c r="J3663" i="14"/>
  <c r="J3659" i="14"/>
  <c r="J3655" i="14"/>
  <c r="J3651" i="14"/>
  <c r="J3647" i="14"/>
  <c r="J3643" i="14"/>
  <c r="J3639" i="14"/>
  <c r="J3635" i="14"/>
  <c r="J3631" i="14"/>
  <c r="J3627" i="14"/>
  <c r="J3623" i="14"/>
  <c r="J3619" i="14"/>
  <c r="J3615" i="14"/>
  <c r="J3611" i="14"/>
  <c r="J3607" i="14"/>
  <c r="J3603" i="14"/>
  <c r="J3599" i="14"/>
  <c r="J3595" i="14"/>
  <c r="J3591" i="14"/>
  <c r="J3587" i="14"/>
  <c r="J3583" i="14"/>
  <c r="J3579" i="14"/>
  <c r="J3575" i="14"/>
  <c r="J3571" i="14"/>
  <c r="J3567" i="14"/>
  <c r="J3563" i="14"/>
  <c r="J3559" i="14"/>
  <c r="J3555" i="14"/>
  <c r="J3551" i="14"/>
  <c r="J3547" i="14"/>
  <c r="J3543" i="14"/>
  <c r="J3539" i="14"/>
  <c r="J3535" i="14"/>
  <c r="J3531" i="14"/>
  <c r="J3527" i="14"/>
  <c r="J3525" i="14"/>
  <c r="J3509" i="14"/>
  <c r="J3493" i="14"/>
  <c r="J3477" i="14"/>
  <c r="J3467" i="14"/>
  <c r="J3363" i="14"/>
  <c r="J4247" i="14"/>
  <c r="J4242" i="14"/>
  <c r="J4236" i="14"/>
  <c r="J4231" i="14"/>
  <c r="J4226" i="14"/>
  <c r="J4220" i="14"/>
  <c r="J4215" i="14"/>
  <c r="J4210" i="14"/>
  <c r="J4204" i="14"/>
  <c r="J4199" i="14"/>
  <c r="J4194" i="14"/>
  <c r="J4188" i="14"/>
  <c r="J4183" i="14"/>
  <c r="J4178" i="14"/>
  <c r="J4172" i="14"/>
  <c r="J4167" i="14"/>
  <c r="J4162" i="14"/>
  <c r="J4156" i="14"/>
  <c r="J4151" i="14"/>
  <c r="J4146" i="14"/>
  <c r="J4140" i="14"/>
  <c r="J4135" i="14"/>
  <c r="J4130" i="14"/>
  <c r="J4124" i="14"/>
  <c r="J4119" i="14"/>
  <c r="J4114" i="14"/>
  <c r="J4108" i="14"/>
  <c r="J4103" i="14"/>
  <c r="J4098" i="14"/>
  <c r="J4092" i="14"/>
  <c r="J4087" i="14"/>
  <c r="J4082" i="14"/>
  <c r="J4076" i="14"/>
  <c r="J4071" i="14"/>
  <c r="J4066" i="14"/>
  <c r="J4057" i="14"/>
  <c r="J4047" i="14"/>
  <c r="J4044" i="14"/>
  <c r="J4038" i="14"/>
  <c r="J4025" i="14"/>
  <c r="J4015" i="14"/>
  <c r="J4012" i="14"/>
  <c r="J4006" i="14"/>
  <c r="J3521" i="14"/>
  <c r="J3516" i="14"/>
  <c r="J3505" i="14"/>
  <c r="J3500" i="14"/>
  <c r="J3489" i="14"/>
  <c r="J3484" i="14"/>
  <c r="J3473" i="14"/>
  <c r="J3468" i="14"/>
  <c r="J3462" i="14"/>
  <c r="J3454" i="14"/>
  <c r="J3446" i="14"/>
  <c r="J3438" i="14"/>
  <c r="J3430" i="14"/>
  <c r="J3422" i="14"/>
  <c r="J3387" i="14"/>
  <c r="J3386" i="14"/>
  <c r="J3377" i="14"/>
  <c r="J3323" i="14"/>
  <c r="J3322" i="14"/>
  <c r="J3116" i="14"/>
  <c r="J2823" i="14"/>
  <c r="J2791" i="14"/>
  <c r="J2759" i="14"/>
  <c r="J2713" i="14"/>
  <c r="J2643" i="14"/>
  <c r="J2611" i="14"/>
  <c r="J2579" i="14"/>
  <c r="J4371" i="14"/>
  <c r="J4355" i="14"/>
  <c r="J4339" i="14"/>
  <c r="J4323" i="14"/>
  <c r="J4307" i="14"/>
  <c r="J4291" i="14"/>
  <c r="J4275" i="14"/>
  <c r="J4259" i="14"/>
  <c r="J4248" i="14"/>
  <c r="J4243" i="14"/>
  <c r="J4232" i="14"/>
  <c r="J4227" i="14"/>
  <c r="J4216" i="14"/>
  <c r="J4211" i="14"/>
  <c r="J4200" i="14"/>
  <c r="J4195" i="14"/>
  <c r="J4184" i="14"/>
  <c r="J4179" i="14"/>
  <c r="J4168" i="14"/>
  <c r="J4163" i="14"/>
  <c r="J4152" i="14"/>
  <c r="J4147" i="14"/>
  <c r="J4136" i="14"/>
  <c r="J4131" i="14"/>
  <c r="J4120" i="14"/>
  <c r="J4115" i="14"/>
  <c r="J4104" i="14"/>
  <c r="J4099" i="14"/>
  <c r="J4088" i="14"/>
  <c r="J4083" i="14"/>
  <c r="J4072" i="14"/>
  <c r="J4067" i="14"/>
  <c r="J4049" i="14"/>
  <c r="J4040" i="14"/>
  <c r="J4039" i="14"/>
  <c r="J4017" i="14"/>
  <c r="J4008" i="14"/>
  <c r="J4007" i="14"/>
  <c r="J4004" i="14"/>
  <c r="J4002" i="14"/>
  <c r="J4000" i="14"/>
  <c r="J3998" i="14"/>
  <c r="J3996" i="14"/>
  <c r="J3994" i="14"/>
  <c r="J3992" i="14"/>
  <c r="J3990" i="14"/>
  <c r="J3988" i="14"/>
  <c r="J3986" i="14"/>
  <c r="J3984" i="14"/>
  <c r="J3982" i="14"/>
  <c r="J3980" i="14"/>
  <c r="J3978" i="14"/>
  <c r="J3976" i="14"/>
  <c r="J3974" i="14"/>
  <c r="J3972" i="14"/>
  <c r="J3970" i="14"/>
  <c r="J3968" i="14"/>
  <c r="J3966" i="14"/>
  <c r="J3964" i="14"/>
  <c r="J3962" i="14"/>
  <c r="J3960" i="14"/>
  <c r="J3958" i="14"/>
  <c r="J3956" i="14"/>
  <c r="J3954" i="14"/>
  <c r="J3952" i="14"/>
  <c r="J3950" i="14"/>
  <c r="J3948" i="14"/>
  <c r="J3946" i="14"/>
  <c r="J3944" i="14"/>
  <c r="J3942" i="14"/>
  <c r="J3940" i="14"/>
  <c r="J3938" i="14"/>
  <c r="J3936" i="14"/>
  <c r="J3934" i="14"/>
  <c r="J3932" i="14"/>
  <c r="J3930" i="14"/>
  <c r="J3928" i="14"/>
  <c r="J3926" i="14"/>
  <c r="J3924" i="14"/>
  <c r="J3922" i="14"/>
  <c r="J3920" i="14"/>
  <c r="J3918" i="14"/>
  <c r="J3916" i="14"/>
  <c r="J3914" i="14"/>
  <c r="J3912" i="14"/>
  <c r="J3910" i="14"/>
  <c r="J3908" i="14"/>
  <c r="J3906" i="14"/>
  <c r="J3904" i="14"/>
  <c r="J3902" i="14"/>
  <c r="J3900" i="14"/>
  <c r="J3898" i="14"/>
  <c r="J3896" i="14"/>
  <c r="J3894" i="14"/>
  <c r="J3892" i="14"/>
  <c r="J3890" i="14"/>
  <c r="J3888" i="14"/>
  <c r="J3886" i="14"/>
  <c r="J3884" i="14"/>
  <c r="J3882" i="14"/>
  <c r="J3880" i="14"/>
  <c r="J3878" i="14"/>
  <c r="J3876" i="14"/>
  <c r="J3874" i="14"/>
  <c r="J3872" i="14"/>
  <c r="J3870" i="14"/>
  <c r="J3868" i="14"/>
  <c r="J3866" i="14"/>
  <c r="J3864" i="14"/>
  <c r="J3862" i="14"/>
  <c r="J3860" i="14"/>
  <c r="J3858" i="14"/>
  <c r="J3856" i="14"/>
  <c r="J3854" i="14"/>
  <c r="J3852" i="14"/>
  <c r="J3850" i="14"/>
  <c r="J3848" i="14"/>
  <c r="J3846" i="14"/>
  <c r="J3844" i="14"/>
  <c r="J3842" i="14"/>
  <c r="J3840" i="14"/>
  <c r="J3838" i="14"/>
  <c r="J3836" i="14"/>
  <c r="J3834" i="14"/>
  <c r="J3832" i="14"/>
  <c r="J3830" i="14"/>
  <c r="J3828" i="14"/>
  <c r="J3826" i="14"/>
  <c r="J3824" i="14"/>
  <c r="J3822" i="14"/>
  <c r="J3820" i="14"/>
  <c r="J3818" i="14"/>
  <c r="J3816" i="14"/>
  <c r="J3814" i="14"/>
  <c r="J3812" i="14"/>
  <c r="J3810" i="14"/>
  <c r="J3808" i="14"/>
  <c r="J3806" i="14"/>
  <c r="J3804" i="14"/>
  <c r="J3802" i="14"/>
  <c r="J3800" i="14"/>
  <c r="J3798" i="14"/>
  <c r="J3796" i="14"/>
  <c r="J3794" i="14"/>
  <c r="J3792" i="14"/>
  <c r="J3790" i="14"/>
  <c r="J3788" i="14"/>
  <c r="J3786" i="14"/>
  <c r="J3784" i="14"/>
  <c r="J3782" i="14"/>
  <c r="J3780" i="14"/>
  <c r="J3778" i="14"/>
  <c r="J3776" i="14"/>
  <c r="J3774" i="14"/>
  <c r="J3772" i="14"/>
  <c r="J3770" i="14"/>
  <c r="J3768" i="14"/>
  <c r="J3766" i="14"/>
  <c r="J3764" i="14"/>
  <c r="J3762" i="14"/>
  <c r="J3760" i="14"/>
  <c r="J3758" i="14"/>
  <c r="J3756" i="14"/>
  <c r="J3754" i="14"/>
  <c r="J3752" i="14"/>
  <c r="J3750" i="14"/>
  <c r="J3748" i="14"/>
  <c r="J3746" i="14"/>
  <c r="J3744" i="14"/>
  <c r="J3742" i="14"/>
  <c r="J3740" i="14"/>
  <c r="J3738" i="14"/>
  <c r="J3736" i="14"/>
  <c r="J3734" i="14"/>
  <c r="J3732" i="14"/>
  <c r="J3730" i="14"/>
  <c r="J3728" i="14"/>
  <c r="J3726" i="14"/>
  <c r="J3724" i="14"/>
  <c r="J3722" i="14"/>
  <c r="J3720" i="14"/>
  <c r="J3718" i="14"/>
  <c r="J3716" i="14"/>
  <c r="J3714" i="14"/>
  <c r="J3712" i="14"/>
  <c r="J3710" i="14"/>
  <c r="J3708" i="14"/>
  <c r="J3706" i="14"/>
  <c r="J3704" i="14"/>
  <c r="J3702" i="14"/>
  <c r="J3700" i="14"/>
  <c r="J3698" i="14"/>
  <c r="J3696" i="14"/>
  <c r="J3694" i="14"/>
  <c r="J3692" i="14"/>
  <c r="J3690" i="14"/>
  <c r="J3688" i="14"/>
  <c r="J3686" i="14"/>
  <c r="J3684" i="14"/>
  <c r="J3682" i="14"/>
  <c r="J3680" i="14"/>
  <c r="J3678" i="14"/>
  <c r="J3676" i="14"/>
  <c r="J3674" i="14"/>
  <c r="J3672" i="14"/>
  <c r="J3670" i="14"/>
  <c r="J3668" i="14"/>
  <c r="J3666" i="14"/>
  <c r="J3664" i="14"/>
  <c r="J3662" i="14"/>
  <c r="J3660" i="14"/>
  <c r="J3658" i="14"/>
  <c r="J3656" i="14"/>
  <c r="J3654" i="14"/>
  <c r="J3652" i="14"/>
  <c r="J3650" i="14"/>
  <c r="J3648" i="14"/>
  <c r="J3646" i="14"/>
  <c r="J3644" i="14"/>
  <c r="J3642" i="14"/>
  <c r="J3640" i="14"/>
  <c r="J3638" i="14"/>
  <c r="J3636" i="14"/>
  <c r="J3634" i="14"/>
  <c r="J3632" i="14"/>
  <c r="J3630" i="14"/>
  <c r="J3628" i="14"/>
  <c r="J3626" i="14"/>
  <c r="J3624" i="14"/>
  <c r="J3622" i="14"/>
  <c r="J3620" i="14"/>
  <c r="J3618" i="14"/>
  <c r="J3616" i="14"/>
  <c r="J3614" i="14"/>
  <c r="J3612" i="14"/>
  <c r="J3610" i="14"/>
  <c r="J3608" i="14"/>
  <c r="J3606" i="14"/>
  <c r="J3604" i="14"/>
  <c r="J3602" i="14"/>
  <c r="J3600" i="14"/>
  <c r="J3598" i="14"/>
  <c r="J3596" i="14"/>
  <c r="J3594" i="14"/>
  <c r="J3592" i="14"/>
  <c r="J3590" i="14"/>
  <c r="J3588" i="14"/>
  <c r="J3586" i="14"/>
  <c r="J3584" i="14"/>
  <c r="J3582" i="14"/>
  <c r="J3580" i="14"/>
  <c r="J3578" i="14"/>
  <c r="J3576" i="14"/>
  <c r="J3574" i="14"/>
  <c r="J3572" i="14"/>
  <c r="J3570" i="14"/>
  <c r="J3568" i="14"/>
  <c r="J3566" i="14"/>
  <c r="J3564" i="14"/>
  <c r="J3562" i="14"/>
  <c r="J3560" i="14"/>
  <c r="J3558" i="14"/>
  <c r="J3556" i="14"/>
  <c r="J3554" i="14"/>
  <c r="J3552" i="14"/>
  <c r="J3550" i="14"/>
  <c r="J3548" i="14"/>
  <c r="J3546" i="14"/>
  <c r="J3544" i="14"/>
  <c r="J3542" i="14"/>
  <c r="J3540" i="14"/>
  <c r="J3538" i="14"/>
  <c r="J3536" i="14"/>
  <c r="J3534" i="14"/>
  <c r="J3532" i="14"/>
  <c r="J3530" i="14"/>
  <c r="J3528" i="14"/>
  <c r="J3517" i="14"/>
  <c r="J3512" i="14"/>
  <c r="J3501" i="14"/>
  <c r="J3496" i="14"/>
  <c r="J3485" i="14"/>
  <c r="J3480" i="14"/>
  <c r="J3469" i="14"/>
  <c r="J3465" i="14"/>
  <c r="J3463" i="14"/>
  <c r="J3458" i="14"/>
  <c r="J3457" i="14"/>
  <c r="J3455" i="14"/>
  <c r="J3450" i="14"/>
  <c r="J3449" i="14"/>
  <c r="J3447" i="14"/>
  <c r="J3441" i="14"/>
  <c r="J3439" i="14"/>
  <c r="J3435" i="14"/>
  <c r="J3433" i="14"/>
  <c r="J3431" i="14"/>
  <c r="J3426" i="14"/>
  <c r="J3425" i="14"/>
  <c r="J3423" i="14"/>
  <c r="J3418" i="14"/>
  <c r="J3417" i="14"/>
  <c r="J3415" i="14"/>
  <c r="J3411" i="14"/>
  <c r="J3410" i="14"/>
  <c r="J3401" i="14"/>
  <c r="J3379" i="14"/>
  <c r="J3347" i="14"/>
  <c r="J3513" i="14"/>
  <c r="J3497" i="14"/>
  <c r="J3481" i="14"/>
  <c r="J3407" i="14"/>
  <c r="J3403" i="14"/>
  <c r="J3402" i="14"/>
  <c r="J3393" i="14"/>
  <c r="J3375" i="14"/>
  <c r="J3371" i="14"/>
  <c r="J3370" i="14"/>
  <c r="J3361" i="14"/>
  <c r="J3343" i="14"/>
  <c r="J3339" i="14"/>
  <c r="J3338" i="14"/>
  <c r="J3329" i="14"/>
  <c r="J3285" i="14"/>
  <c r="J3251" i="14"/>
  <c r="J3132" i="14"/>
  <c r="J2807" i="14"/>
  <c r="J2775" i="14"/>
  <c r="J2659" i="14"/>
  <c r="J2627" i="14"/>
  <c r="J2595" i="14"/>
  <c r="J3311" i="14"/>
  <c r="J3303" i="14"/>
  <c r="J3283" i="14"/>
  <c r="J3263" i="14"/>
  <c r="J3249" i="14"/>
  <c r="J3244" i="14"/>
  <c r="J2826" i="14"/>
  <c r="J2824" i="14"/>
  <c r="J2810" i="14"/>
  <c r="J2808" i="14"/>
  <c r="J2794" i="14"/>
  <c r="J2792" i="14"/>
  <c r="J2778" i="14"/>
  <c r="J2776" i="14"/>
  <c r="J2762" i="14"/>
  <c r="J2760" i="14"/>
  <c r="J2732" i="14"/>
  <c r="J2730" i="14"/>
  <c r="J2716" i="14"/>
  <c r="J2714" i="14"/>
  <c r="J2700" i="14"/>
  <c r="J2698" i="14"/>
  <c r="J2681" i="14"/>
  <c r="J2665" i="14"/>
  <c r="J2661" i="14"/>
  <c r="J2653" i="14"/>
  <c r="J2645" i="14"/>
  <c r="J2637" i="14"/>
  <c r="J2629" i="14"/>
  <c r="J2621" i="14"/>
  <c r="J2613" i="14"/>
  <c r="J2605" i="14"/>
  <c r="J2597" i="14"/>
  <c r="J2589" i="14"/>
  <c r="J2581" i="14"/>
  <c r="J3315" i="14"/>
  <c r="J3307" i="14"/>
  <c r="J3287" i="14"/>
  <c r="J3267" i="14"/>
  <c r="J3259" i="14"/>
  <c r="J3233" i="14"/>
  <c r="J3229" i="14"/>
  <c r="J2825" i="14"/>
  <c r="J2809" i="14"/>
  <c r="J2793" i="14"/>
  <c r="J2777" i="14"/>
  <c r="J2761" i="14"/>
  <c r="J2731" i="14"/>
  <c r="J2715" i="14"/>
  <c r="J2699" i="14"/>
  <c r="J2683" i="14"/>
  <c r="J2667" i="14"/>
  <c r="J2662" i="14"/>
  <c r="J2654" i="14"/>
  <c r="J2646" i="14"/>
  <c r="J2638" i="14"/>
  <c r="J2630" i="14"/>
  <c r="J2622" i="14"/>
  <c r="J2614" i="14"/>
  <c r="J2606" i="14"/>
  <c r="J2598" i="14"/>
  <c r="J2590" i="14"/>
  <c r="J2582" i="14"/>
  <c r="J2526" i="14"/>
  <c r="J3460" i="14"/>
  <c r="J3452" i="14"/>
  <c r="J3444" i="14"/>
  <c r="J3436" i="14"/>
  <c r="J3428" i="14"/>
  <c r="J3420" i="14"/>
  <c r="J3412" i="14"/>
  <c r="J3404" i="14"/>
  <c r="J3396" i="14"/>
  <c r="J3388" i="14"/>
  <c r="J3380" i="14"/>
  <c r="J3372" i="14"/>
  <c r="J3364" i="14"/>
  <c r="J3356" i="14"/>
  <c r="J3348" i="14"/>
  <c r="J3340" i="14"/>
  <c r="J3332" i="14"/>
  <c r="J3324" i="14"/>
  <c r="J3316" i="14"/>
  <c r="J3308" i="14"/>
  <c r="J3300" i="14"/>
  <c r="J3296" i="14"/>
  <c r="J3292" i="14"/>
  <c r="J3288" i="14"/>
  <c r="J3280" i="14"/>
  <c r="J3276" i="14"/>
  <c r="J3272" i="14"/>
  <c r="J3268" i="14"/>
  <c r="J3260" i="14"/>
  <c r="J3246" i="14"/>
  <c r="J3235" i="14"/>
  <c r="J3228" i="14"/>
  <c r="J3227" i="14"/>
  <c r="J3226" i="14"/>
  <c r="J3207" i="14"/>
  <c r="J3199" i="14"/>
  <c r="J3191" i="14"/>
  <c r="J3183" i="14"/>
  <c r="J3175" i="14"/>
  <c r="J3167" i="14"/>
  <c r="J3159" i="14"/>
  <c r="J3151" i="14"/>
  <c r="J3143" i="14"/>
  <c r="J3142" i="14"/>
  <c r="J3135" i="14"/>
  <c r="J3134" i="14"/>
  <c r="J3127" i="14"/>
  <c r="J3126" i="14"/>
  <c r="J3119" i="14"/>
  <c r="J3118" i="14"/>
  <c r="J3111" i="14"/>
  <c r="J3110" i="14"/>
  <c r="J3107" i="14"/>
  <c r="J3102" i="14"/>
  <c r="J3099" i="14"/>
  <c r="J3094" i="14"/>
  <c r="J3091" i="14"/>
  <c r="J3086" i="14"/>
  <c r="J3083" i="14"/>
  <c r="J3078" i="14"/>
  <c r="J3075" i="14"/>
  <c r="J3070" i="14"/>
  <c r="J3067" i="14"/>
  <c r="J3062" i="14"/>
  <c r="J3059" i="14"/>
  <c r="J3054" i="14"/>
  <c r="J3051" i="14"/>
  <c r="J3046" i="14"/>
  <c r="J3038" i="14"/>
  <c r="J3030" i="14"/>
  <c r="J3022" i="14"/>
  <c r="J3014" i="14"/>
  <c r="J3006" i="14"/>
  <c r="J2998" i="14"/>
  <c r="J2990" i="14"/>
  <c r="J2982" i="14"/>
  <c r="J2974" i="14"/>
  <c r="J2966" i="14"/>
  <c r="J2958" i="14"/>
  <c r="J2950" i="14"/>
  <c r="J2942" i="14"/>
  <c r="J2821" i="14"/>
  <c r="J2805" i="14"/>
  <c r="J2789" i="14"/>
  <c r="J2773" i="14"/>
  <c r="J2757" i="14"/>
  <c r="J2743" i="14"/>
  <c r="J2727" i="14"/>
  <c r="J2711" i="14"/>
  <c r="J2695" i="14"/>
  <c r="J2679" i="14"/>
  <c r="J2663" i="14"/>
  <c r="J2658" i="14"/>
  <c r="J2657" i="14"/>
  <c r="J2655" i="14"/>
  <c r="J2649" i="14"/>
  <c r="J2647" i="14"/>
  <c r="J2641" i="14"/>
  <c r="J2639" i="14"/>
  <c r="J2633" i="14"/>
  <c r="J2631" i="14"/>
  <c r="J2625" i="14"/>
  <c r="J2623" i="14"/>
  <c r="J2618" i="14"/>
  <c r="J2617" i="14"/>
  <c r="J2615" i="14"/>
  <c r="J2610" i="14"/>
  <c r="J2609" i="14"/>
  <c r="J2607" i="14"/>
  <c r="J2602" i="14"/>
  <c r="J2601" i="14"/>
  <c r="J2599" i="14"/>
  <c r="J2594" i="14"/>
  <c r="J2593" i="14"/>
  <c r="J2591" i="14"/>
  <c r="J2586" i="14"/>
  <c r="J2585" i="14"/>
  <c r="J2583" i="14"/>
  <c r="J2578" i="14"/>
  <c r="J2577" i="14"/>
  <c r="J2575" i="14"/>
  <c r="J2573" i="14"/>
  <c r="J2571" i="14"/>
  <c r="J2569" i="14"/>
  <c r="J2567" i="14"/>
  <c r="J2565" i="14"/>
  <c r="J2563" i="14"/>
  <c r="J2561" i="14"/>
  <c r="J2559" i="14"/>
  <c r="J2557" i="14"/>
  <c r="J2555" i="14"/>
  <c r="J2553" i="14"/>
  <c r="J2551" i="14"/>
  <c r="J2549" i="14"/>
  <c r="J2547" i="14"/>
  <c r="J2545" i="14"/>
  <c r="J2543" i="14"/>
  <c r="J2541" i="14"/>
  <c r="J2539" i="14"/>
  <c r="J2537" i="14"/>
  <c r="J2535" i="14"/>
  <c r="J2533" i="14"/>
  <c r="J2531" i="14"/>
  <c r="J2529" i="14"/>
  <c r="J2527" i="14"/>
  <c r="J2525" i="14"/>
  <c r="J2523" i="14"/>
  <c r="J2521" i="14"/>
  <c r="J2519" i="14"/>
  <c r="J2517" i="14"/>
  <c r="J2515" i="14"/>
  <c r="J3406" i="14"/>
  <c r="J3405" i="14"/>
  <c r="J3398" i="14"/>
  <c r="J3397" i="14"/>
  <c r="J3390" i="14"/>
  <c r="J3389" i="14"/>
  <c r="J3382" i="14"/>
  <c r="J3381" i="14"/>
  <c r="J3374" i="14"/>
  <c r="J3373" i="14"/>
  <c r="J3366" i="14"/>
  <c r="J3365" i="14"/>
  <c r="J3358" i="14"/>
  <c r="J3357" i="14"/>
  <c r="J3350" i="14"/>
  <c r="J3349" i="14"/>
  <c r="J3342" i="14"/>
  <c r="J3341" i="14"/>
  <c r="J3334" i="14"/>
  <c r="J3333" i="14"/>
  <c r="J3326" i="14"/>
  <c r="J3325" i="14"/>
  <c r="J3318" i="14"/>
  <c r="J3317" i="14"/>
  <c r="J3310" i="14"/>
  <c r="J3309" i="14"/>
  <c r="J3302" i="14"/>
  <c r="J3301" i="14"/>
  <c r="J3297" i="14"/>
  <c r="J3293" i="14"/>
  <c r="J3289" i="14"/>
  <c r="J3282" i="14"/>
  <c r="J3281" i="14"/>
  <c r="J3277" i="14"/>
  <c r="J3273" i="14"/>
  <c r="J3269" i="14"/>
  <c r="J3262" i="14"/>
  <c r="J3261" i="14"/>
  <c r="J3248" i="14"/>
  <c r="J3247" i="14"/>
  <c r="J3231" i="14"/>
  <c r="J3209" i="14"/>
  <c r="J3208" i="14"/>
  <c r="J3201" i="14"/>
  <c r="J3200" i="14"/>
  <c r="J3193" i="14"/>
  <c r="J3192" i="14"/>
  <c r="J3185" i="14"/>
  <c r="J3184" i="14"/>
  <c r="J3177" i="14"/>
  <c r="J3176" i="14"/>
  <c r="J3169" i="14"/>
  <c r="J3168" i="14"/>
  <c r="J3161" i="14"/>
  <c r="J3160" i="14"/>
  <c r="J3153" i="14"/>
  <c r="J3152" i="14"/>
  <c r="J3145" i="14"/>
  <c r="J3144" i="14"/>
  <c r="J3137" i="14"/>
  <c r="J3136" i="14"/>
  <c r="J3129" i="14"/>
  <c r="J3128" i="14"/>
  <c r="J3121" i="14"/>
  <c r="J3120" i="14"/>
  <c r="J3113" i="14"/>
  <c r="J3112" i="14"/>
  <c r="J3105" i="14"/>
  <c r="J3104" i="14"/>
  <c r="J3097" i="14"/>
  <c r="J3096" i="14"/>
  <c r="J3089" i="14"/>
  <c r="J3088" i="14"/>
  <c r="J3081" i="14"/>
  <c r="J3080" i="14"/>
  <c r="J3073" i="14"/>
  <c r="J3072" i="14"/>
  <c r="J3065" i="14"/>
  <c r="J3064" i="14"/>
  <c r="J3057" i="14"/>
  <c r="J3056" i="14"/>
  <c r="J3049" i="14"/>
  <c r="J3048" i="14"/>
  <c r="J3041" i="14"/>
  <c r="J3040" i="14"/>
  <c r="J3033" i="14"/>
  <c r="J3032" i="14"/>
  <c r="J3025" i="14"/>
  <c r="J3024" i="14"/>
  <c r="J3017" i="14"/>
  <c r="J3016" i="14"/>
  <c r="J3009" i="14"/>
  <c r="J3008" i="14"/>
  <c r="J3001" i="14"/>
  <c r="J3000" i="14"/>
  <c r="J2993" i="14"/>
  <c r="J2992" i="14"/>
  <c r="J2985" i="14"/>
  <c r="J2984" i="14"/>
  <c r="J2977" i="14"/>
  <c r="J2976" i="14"/>
  <c r="J2969" i="14"/>
  <c r="J2968" i="14"/>
  <c r="J2961" i="14"/>
  <c r="J2960" i="14"/>
  <c r="J2953" i="14"/>
  <c r="J2952" i="14"/>
  <c r="J2945" i="14"/>
  <c r="J2944" i="14"/>
  <c r="J2833" i="14"/>
  <c r="J2827" i="14"/>
  <c r="J2817" i="14"/>
  <c r="J2811" i="14"/>
  <c r="J2801" i="14"/>
  <c r="J2795" i="14"/>
  <c r="J2785" i="14"/>
  <c r="J2779" i="14"/>
  <c r="J2769" i="14"/>
  <c r="J2763" i="14"/>
  <c r="J2753" i="14"/>
  <c r="J2747" i="14"/>
  <c r="J2739" i="14"/>
  <c r="J2733" i="14"/>
  <c r="J2723" i="14"/>
  <c r="J2717" i="14"/>
  <c r="J2707" i="14"/>
  <c r="J2701" i="14"/>
  <c r="J2691" i="14"/>
  <c r="J2685" i="14"/>
  <c r="J2675" i="14"/>
  <c r="J2669" i="14"/>
  <c r="J2202" i="14"/>
  <c r="J1520" i="14"/>
  <c r="J1506" i="14"/>
  <c r="J1488" i="14"/>
  <c r="J2513" i="14"/>
  <c r="J2198" i="14"/>
  <c r="J2166" i="14"/>
  <c r="J2152" i="14"/>
  <c r="J2134" i="14"/>
  <c r="J2085" i="14"/>
  <c r="J2067" i="14"/>
  <c r="J2186" i="14"/>
  <c r="J1522" i="14"/>
  <c r="J1504" i="14"/>
  <c r="J1490" i="14"/>
  <c r="J2182" i="14"/>
  <c r="J2168" i="14"/>
  <c r="J2150" i="14"/>
  <c r="J2136" i="14"/>
  <c r="J2083" i="14"/>
  <c r="J2069" i="14"/>
  <c r="J2089" i="14"/>
  <c r="J2081" i="14"/>
  <c r="J2073" i="14"/>
  <c r="J1632" i="14"/>
  <c r="J1607" i="14"/>
  <c r="J1595" i="14"/>
  <c r="J1593" i="14"/>
  <c r="J1592" i="14"/>
  <c r="J1579" i="14"/>
  <c r="J1577" i="14"/>
  <c r="J1576" i="14"/>
  <c r="J1563" i="14"/>
  <c r="J1561" i="14"/>
  <c r="J1560" i="14"/>
  <c r="J1526" i="14"/>
  <c r="J1518" i="14"/>
  <c r="J1510" i="14"/>
  <c r="J1502" i="14"/>
  <c r="J1494" i="14"/>
  <c r="J1486" i="14"/>
  <c r="J2511" i="14"/>
  <c r="J2509" i="14"/>
  <c r="J2507" i="14"/>
  <c r="J2505" i="14"/>
  <c r="J2503" i="14"/>
  <c r="J2501" i="14"/>
  <c r="J2499" i="14"/>
  <c r="J2497" i="14"/>
  <c r="J2495" i="14"/>
  <c r="J2493" i="14"/>
  <c r="J2491" i="14"/>
  <c r="J2489" i="14"/>
  <c r="J2487" i="14"/>
  <c r="J2485" i="14"/>
  <c r="J2483" i="14"/>
  <c r="J2481" i="14"/>
  <c r="J2479" i="14"/>
  <c r="J2477" i="14"/>
  <c r="J2475" i="14"/>
  <c r="J2473" i="14"/>
  <c r="J2471" i="14"/>
  <c r="J2469" i="14"/>
  <c r="J2467" i="14"/>
  <c r="J2465" i="14"/>
  <c r="J2463" i="14"/>
  <c r="J2461" i="14"/>
  <c r="J2459" i="14"/>
  <c r="J2457" i="14"/>
  <c r="J2455" i="14"/>
  <c r="J2453" i="14"/>
  <c r="J2451" i="14"/>
  <c r="J2449" i="14"/>
  <c r="J2447" i="14"/>
  <c r="J2445" i="14"/>
  <c r="J2443" i="14"/>
  <c r="J2441" i="14"/>
  <c r="J2439" i="14"/>
  <c r="J2437" i="14"/>
  <c r="J2435" i="14"/>
  <c r="J2433" i="14"/>
  <c r="J2431" i="14"/>
  <c r="J2429" i="14"/>
  <c r="J2427" i="14"/>
  <c r="J2425" i="14"/>
  <c r="J2423" i="14"/>
  <c r="J2421" i="14"/>
  <c r="J2419" i="14"/>
  <c r="J2417" i="14"/>
  <c r="J2415" i="14"/>
  <c r="J2413" i="14"/>
  <c r="J2411" i="14"/>
  <c r="J2409" i="14"/>
  <c r="J2407" i="14"/>
  <c r="J2405" i="14"/>
  <c r="J2403" i="14"/>
  <c r="J2401" i="14"/>
  <c r="J2399" i="14"/>
  <c r="J2397" i="14"/>
  <c r="J2395" i="14"/>
  <c r="J2393" i="14"/>
  <c r="J2391" i="14"/>
  <c r="J2389" i="14"/>
  <c r="J2387" i="14"/>
  <c r="J2385" i="14"/>
  <c r="J2383" i="14"/>
  <c r="J2381" i="14"/>
  <c r="J2379" i="14"/>
  <c r="J2377" i="14"/>
  <c r="J2375" i="14"/>
  <c r="J2373" i="14"/>
  <c r="J2371" i="14"/>
  <c r="J2369" i="14"/>
  <c r="J2367" i="14"/>
  <c r="J2365" i="14"/>
  <c r="J2363" i="14"/>
  <c r="J2361" i="14"/>
  <c r="J2359" i="14"/>
  <c r="J2357" i="14"/>
  <c r="J2355" i="14"/>
  <c r="J2353" i="14"/>
  <c r="J2351" i="14"/>
  <c r="J2349" i="14"/>
  <c r="J2347" i="14"/>
  <c r="J2345" i="14"/>
  <c r="J2343" i="14"/>
  <c r="J2341" i="14"/>
  <c r="J2339" i="14"/>
  <c r="J2337" i="14"/>
  <c r="J2335" i="14"/>
  <c r="J2333" i="14"/>
  <c r="J2331" i="14"/>
  <c r="J2329" i="14"/>
  <c r="J2327" i="14"/>
  <c r="J2325" i="14"/>
  <c r="J2323" i="14"/>
  <c r="J2321" i="14"/>
  <c r="J2319" i="14"/>
  <c r="J2317" i="14"/>
  <c r="J2315" i="14"/>
  <c r="J2313" i="14"/>
  <c r="J2311" i="14"/>
  <c r="J2309" i="14"/>
  <c r="J2307" i="14"/>
  <c r="J2305" i="14"/>
  <c r="J2303" i="14"/>
  <c r="J2301" i="14"/>
  <c r="J2299" i="14"/>
  <c r="J2297" i="14"/>
  <c r="J2295" i="14"/>
  <c r="J2293" i="14"/>
  <c r="J2291" i="14"/>
  <c r="J2289" i="14"/>
  <c r="J2287" i="14"/>
  <c r="J2285" i="14"/>
  <c r="J2283" i="14"/>
  <c r="J2281" i="14"/>
  <c r="J2279" i="14"/>
  <c r="J2277" i="14"/>
  <c r="J2275" i="14"/>
  <c r="J2273" i="14"/>
  <c r="J2271" i="14"/>
  <c r="J2269" i="14"/>
  <c r="J2267" i="14"/>
  <c r="J2265" i="14"/>
  <c r="J2263" i="14"/>
  <c r="J2261" i="14"/>
  <c r="J2259" i="14"/>
  <c r="J2257" i="14"/>
  <c r="J2255" i="14"/>
  <c r="J2253" i="14"/>
  <c r="J2251" i="14"/>
  <c r="J2249" i="14"/>
  <c r="J2247" i="14"/>
  <c r="J2245" i="14"/>
  <c r="J2243" i="14"/>
  <c r="J2241" i="14"/>
  <c r="J2239" i="14"/>
  <c r="J2237" i="14"/>
  <c r="J2235" i="14"/>
  <c r="J2233" i="14"/>
  <c r="J2231" i="14"/>
  <c r="J2229" i="14"/>
  <c r="J2227" i="14"/>
  <c r="J2225" i="14"/>
  <c r="J2223" i="14"/>
  <c r="J2221" i="14"/>
  <c r="J2219" i="14"/>
  <c r="J2217" i="14"/>
  <c r="J2215" i="14"/>
  <c r="J2213" i="14"/>
  <c r="J2211" i="14"/>
  <c r="J2209" i="14"/>
  <c r="J2207" i="14"/>
  <c r="J2205" i="14"/>
  <c r="J2203" i="14"/>
  <c r="J2188" i="14"/>
  <c r="J2120" i="14"/>
  <c r="J2118" i="14"/>
  <c r="J2112" i="14"/>
  <c r="J2110" i="14"/>
  <c r="J2104" i="14"/>
  <c r="J2102" i="14"/>
  <c r="J2096" i="14"/>
  <c r="J2094" i="14"/>
  <c r="J1630" i="14"/>
  <c r="J1626" i="14"/>
  <c r="J1622" i="14"/>
  <c r="J1618" i="14"/>
  <c r="J2274" i="14"/>
  <c r="J2272" i="14"/>
  <c r="J2270" i="14"/>
  <c r="J2268" i="14"/>
  <c r="J2266" i="14"/>
  <c r="J2264" i="14"/>
  <c r="J2262" i="14"/>
  <c r="J2260" i="14"/>
  <c r="J2258" i="14"/>
  <c r="J2256" i="14"/>
  <c r="J2254" i="14"/>
  <c r="J2252" i="14"/>
  <c r="J2250" i="14"/>
  <c r="J2248" i="14"/>
  <c r="J2246" i="14"/>
  <c r="J2244" i="14"/>
  <c r="J2242" i="14"/>
  <c r="J2240" i="14"/>
  <c r="J2238" i="14"/>
  <c r="J2236" i="14"/>
  <c r="J2234" i="14"/>
  <c r="J2232" i="14"/>
  <c r="J2230" i="14"/>
  <c r="J2228" i="14"/>
  <c r="J2226" i="14"/>
  <c r="J2224" i="14"/>
  <c r="J2222" i="14"/>
  <c r="J2220" i="14"/>
  <c r="J2218" i="14"/>
  <c r="J2216" i="14"/>
  <c r="J2214" i="14"/>
  <c r="J2212" i="14"/>
  <c r="J2210" i="14"/>
  <c r="J2208" i="14"/>
  <c r="J2206" i="14"/>
  <c r="J2204" i="14"/>
  <c r="J2200" i="14"/>
  <c r="J2197" i="14"/>
  <c r="J2195" i="14"/>
  <c r="J2184" i="14"/>
  <c r="J2181" i="14"/>
  <c r="J2178" i="14"/>
  <c r="J2170" i="14"/>
  <c r="J2162" i="14"/>
  <c r="J2154" i="14"/>
  <c r="J2146" i="14"/>
  <c r="J2138" i="14"/>
  <c r="J2130" i="14"/>
  <c r="J2086" i="14"/>
  <c r="J2078" i="14"/>
  <c r="J2070" i="14"/>
  <c r="J1897" i="14"/>
  <c r="J1895" i="14"/>
  <c r="J1893" i="14"/>
  <c r="J1891" i="14"/>
  <c r="J1889" i="14"/>
  <c r="J1887" i="14"/>
  <c r="J1885" i="14"/>
  <c r="J1883" i="14"/>
  <c r="J1881" i="14"/>
  <c r="J1879" i="14"/>
  <c r="J1877" i="14"/>
  <c r="J1875" i="14"/>
  <c r="J1873" i="14"/>
  <c r="J1871" i="14"/>
  <c r="J1869" i="14"/>
  <c r="J1867" i="14"/>
  <c r="J1865" i="14"/>
  <c r="J1863" i="14"/>
  <c r="J1861" i="14"/>
  <c r="J1859" i="14"/>
  <c r="J1857" i="14"/>
  <c r="J1855" i="14"/>
  <c r="J1853" i="14"/>
  <c r="J1851" i="14"/>
  <c r="J1849" i="14"/>
  <c r="J1847" i="14"/>
  <c r="J1845" i="14"/>
  <c r="J1843" i="14"/>
  <c r="J1841" i="14"/>
  <c r="J1839" i="14"/>
  <c r="J1837" i="14"/>
  <c r="J1835" i="14"/>
  <c r="J1833" i="14"/>
  <c r="J1831" i="14"/>
  <c r="J1829" i="14"/>
  <c r="J1827" i="14"/>
  <c r="J1825" i="14"/>
  <c r="J1823" i="14"/>
  <c r="J1821" i="14"/>
  <c r="J1819" i="14"/>
  <c r="J1817" i="14"/>
  <c r="J1815" i="14"/>
  <c r="J1813" i="14"/>
  <c r="J1811" i="14"/>
  <c r="J1809" i="14"/>
  <c r="J1807" i="14"/>
  <c r="J1805" i="14"/>
  <c r="J1803" i="14"/>
  <c r="J1801" i="14"/>
  <c r="J1799" i="14"/>
  <c r="J1797" i="14"/>
  <c r="J1795" i="14"/>
  <c r="J1793" i="14"/>
  <c r="J1791" i="14"/>
  <c r="J1789" i="14"/>
  <c r="J1787" i="14"/>
  <c r="J1785" i="14"/>
  <c r="J1783" i="14"/>
  <c r="J1781" i="14"/>
  <c r="J1779" i="14"/>
  <c r="J1777" i="14"/>
  <c r="J1775" i="14"/>
  <c r="J1773" i="14"/>
  <c r="J1771" i="14"/>
  <c r="J1769" i="14"/>
  <c r="J1767" i="14"/>
  <c r="J1763" i="14"/>
  <c r="J1761" i="14"/>
  <c r="J1759" i="14"/>
  <c r="J1757" i="14"/>
  <c r="J1755" i="14"/>
  <c r="J1753" i="14"/>
  <c r="J1751" i="14"/>
  <c r="J1749" i="14"/>
  <c r="J1747" i="14"/>
  <c r="J1745" i="14"/>
  <c r="J1743" i="14"/>
  <c r="J1741" i="14"/>
  <c r="J1739" i="14"/>
  <c r="J1737" i="14"/>
  <c r="J1735" i="14"/>
  <c r="J1733" i="14"/>
  <c r="J1731" i="14"/>
  <c r="J1729" i="14"/>
  <c r="J1727" i="14"/>
  <c r="J1725" i="14"/>
  <c r="J1723" i="14"/>
  <c r="J1721" i="14"/>
  <c r="J1719" i="14"/>
  <c r="J1717" i="14"/>
  <c r="J1715" i="14"/>
  <c r="J1713" i="14"/>
  <c r="J1711" i="14"/>
  <c r="J1709" i="14"/>
  <c r="J1707" i="14"/>
  <c r="J1705" i="14"/>
  <c r="J1703" i="14"/>
  <c r="J1701" i="14"/>
  <c r="J1699" i="14"/>
  <c r="J1697" i="14"/>
  <c r="J1695" i="14"/>
  <c r="J1693" i="14"/>
  <c r="J1691" i="14"/>
  <c r="J1689" i="14"/>
  <c r="J1687" i="14"/>
  <c r="J1685" i="14"/>
  <c r="J1683" i="14"/>
  <c r="J1681" i="14"/>
  <c r="J1679" i="14"/>
  <c r="J1677" i="14"/>
  <c r="J1675" i="14"/>
  <c r="J1673" i="14"/>
  <c r="J1671" i="14"/>
  <c r="J1669" i="14"/>
  <c r="J1667" i="14"/>
  <c r="J1665" i="14"/>
  <c r="J1663" i="14"/>
  <c r="J1661" i="14"/>
  <c r="J1659" i="14"/>
  <c r="J1657" i="14"/>
  <c r="J1655" i="14"/>
  <c r="J1653" i="14"/>
  <c r="J1651" i="14"/>
  <c r="J1649" i="14"/>
  <c r="J1647" i="14"/>
  <c r="J1645" i="14"/>
  <c r="J1643" i="14"/>
  <c r="J1641" i="14"/>
  <c r="J1639" i="14"/>
  <c r="J1637" i="14"/>
  <c r="J1628" i="14"/>
  <c r="J1624" i="14"/>
  <c r="J1620" i="14"/>
  <c r="J1616" i="14"/>
  <c r="J1531" i="14"/>
  <c r="J1523" i="14"/>
  <c r="J1515" i="14"/>
  <c r="J1507" i="14"/>
  <c r="J1499" i="14"/>
  <c r="J1491" i="14"/>
  <c r="J1483" i="14"/>
  <c r="J1480" i="14"/>
  <c r="J1472" i="14"/>
  <c r="J1464" i="14"/>
  <c r="J1456" i="14"/>
  <c r="J2196" i="14"/>
  <c r="J2190" i="14"/>
  <c r="J2180" i="14"/>
  <c r="J2172" i="14"/>
  <c r="J2164" i="14"/>
  <c r="J2156" i="14"/>
  <c r="J2148" i="14"/>
  <c r="J2140" i="14"/>
  <c r="J2132" i="14"/>
  <c r="J2124" i="14"/>
  <c r="J2116" i="14"/>
  <c r="J2108" i="14"/>
  <c r="J2100" i="14"/>
  <c r="J2092" i="14"/>
  <c r="J2088" i="14"/>
  <c r="J2087" i="14"/>
  <c r="J2084" i="14"/>
  <c r="J2080" i="14"/>
  <c r="J2079" i="14"/>
  <c r="J2076" i="14"/>
  <c r="J2072" i="14"/>
  <c r="J2071" i="14"/>
  <c r="J2068" i="14"/>
  <c r="J2064" i="14"/>
  <c r="J2061" i="14"/>
  <c r="J2056" i="14"/>
  <c r="J2053" i="14"/>
  <c r="J2048" i="14"/>
  <c r="J2045" i="14"/>
  <c r="J2040" i="14"/>
  <c r="J2037" i="14"/>
  <c r="J2032" i="14"/>
  <c r="J2029" i="14"/>
  <c r="J2024" i="14"/>
  <c r="J2021" i="14"/>
  <c r="J2016" i="14"/>
  <c r="J2013" i="14"/>
  <c r="J1899" i="14"/>
  <c r="J1716" i="14"/>
  <c r="J1714" i="14"/>
  <c r="J1712" i="14"/>
  <c r="J1710" i="14"/>
  <c r="J1708" i="14"/>
  <c r="J1706" i="14"/>
  <c r="J1704" i="14"/>
  <c r="J1702" i="14"/>
  <c r="J1700" i="14"/>
  <c r="J1698" i="14"/>
  <c r="J1696" i="14"/>
  <c r="J1694" i="14"/>
  <c r="J1692" i="14"/>
  <c r="J1690" i="14"/>
  <c r="J1688" i="14"/>
  <c r="J1686" i="14"/>
  <c r="J1684" i="14"/>
  <c r="J1682" i="14"/>
  <c r="J1680" i="14"/>
  <c r="J1678" i="14"/>
  <c r="J1676" i="14"/>
  <c r="J1674" i="14"/>
  <c r="J1672" i="14"/>
  <c r="J1670" i="14"/>
  <c r="J1668" i="14"/>
  <c r="J1666" i="14"/>
  <c r="J1664" i="14"/>
  <c r="J1662" i="14"/>
  <c r="J1660" i="14"/>
  <c r="J1658" i="14"/>
  <c r="J1656" i="14"/>
  <c r="J1654" i="14"/>
  <c r="J1652" i="14"/>
  <c r="J1650" i="14"/>
  <c r="J1648" i="14"/>
  <c r="J1646" i="14"/>
  <c r="J1644" i="14"/>
  <c r="J1642" i="14"/>
  <c r="J1640" i="14"/>
  <c r="J1638" i="14"/>
  <c r="J1636" i="14"/>
  <c r="J1591" i="14"/>
  <c r="J1575" i="14"/>
  <c r="J1559" i="14"/>
  <c r="J1557" i="14"/>
  <c r="J1553" i="14"/>
  <c r="J1549" i="14"/>
  <c r="J1545" i="14"/>
  <c r="J1541" i="14"/>
  <c r="J1537" i="14"/>
  <c r="J1533" i="14"/>
  <c r="J1529" i="14"/>
  <c r="J1525" i="14"/>
  <c r="J1524" i="14"/>
  <c r="J1521" i="14"/>
  <c r="J1517" i="14"/>
  <c r="J1516" i="14"/>
  <c r="J1513" i="14"/>
  <c r="J1509" i="14"/>
  <c r="J1508" i="14"/>
  <c r="J1505" i="14"/>
  <c r="J1501" i="14"/>
  <c r="J1500" i="14"/>
  <c r="J1497" i="14"/>
  <c r="J1493" i="14"/>
  <c r="J1492" i="14"/>
  <c r="J1489" i="14"/>
  <c r="J1485" i="14"/>
  <c r="J1484" i="14"/>
  <c r="J1475" i="14"/>
  <c r="J1467" i="14"/>
  <c r="J1459" i="14"/>
  <c r="J1451" i="14"/>
  <c r="J1443" i="14"/>
  <c r="J1435" i="14"/>
  <c r="J1428" i="14"/>
  <c r="J1424" i="14"/>
  <c r="J1420" i="14"/>
  <c r="J1416" i="14"/>
  <c r="J1412" i="14"/>
  <c r="J1408" i="14"/>
  <c r="J1404" i="14"/>
  <c r="J1400" i="14"/>
  <c r="J1396" i="14"/>
  <c r="J1392" i="14"/>
  <c r="J1388" i="14"/>
  <c r="J1384" i="14"/>
  <c r="J1380" i="14"/>
  <c r="J1376" i="14"/>
  <c r="J1372" i="14"/>
  <c r="J1368" i="14"/>
  <c r="J1364" i="14"/>
  <c r="J1360" i="14"/>
  <c r="J1356" i="14"/>
  <c r="J1352" i="14"/>
  <c r="J1061" i="14"/>
  <c r="J1057" i="14"/>
  <c r="J1053" i="14"/>
  <c r="J1481" i="14"/>
  <c r="J1477" i="14"/>
  <c r="J1476" i="14"/>
  <c r="J1473" i="14"/>
  <c r="J1469" i="14"/>
  <c r="J1468" i="14"/>
  <c r="J1465" i="14"/>
  <c r="J1461" i="14"/>
  <c r="J1460" i="14"/>
  <c r="J1457" i="14"/>
  <c r="J1453" i="14"/>
  <c r="J1452" i="14"/>
  <c r="J1449" i="14"/>
  <c r="J1445" i="14"/>
  <c r="J1444" i="14"/>
  <c r="J1441" i="14"/>
  <c r="J1437" i="14"/>
  <c r="J1436" i="14"/>
  <c r="J1433" i="14"/>
  <c r="J1172" i="14"/>
  <c r="J1164" i="14"/>
  <c r="J1133" i="14"/>
  <c r="J1095" i="14"/>
  <c r="J1091" i="14"/>
  <c r="J1087" i="14"/>
  <c r="J1083" i="14"/>
  <c r="J1079" i="14"/>
  <c r="J1075" i="14"/>
  <c r="J1071" i="14"/>
  <c r="J1063" i="14"/>
  <c r="J1059" i="14"/>
  <c r="J1051" i="14"/>
  <c r="J1047" i="14"/>
  <c r="J1043" i="14"/>
  <c r="J1173" i="14"/>
  <c r="J927" i="14"/>
  <c r="J895" i="14"/>
  <c r="J1114" i="14"/>
  <c r="J1098" i="14"/>
  <c r="J915" i="14"/>
  <c r="J899" i="14"/>
  <c r="J883" i="14"/>
  <c r="J819" i="14"/>
  <c r="J810" i="14"/>
  <c r="J1178" i="14"/>
  <c r="J1177" i="14"/>
  <c r="J1162" i="14"/>
  <c r="J1161" i="14"/>
  <c r="J1148" i="14"/>
  <c r="J1146" i="14"/>
  <c r="J1145" i="14"/>
  <c r="J1132" i="14"/>
  <c r="J1130" i="14"/>
  <c r="J1129" i="14"/>
  <c r="J1115" i="14"/>
  <c r="J1099" i="14"/>
  <c r="J928" i="14"/>
  <c r="J917" i="14"/>
  <c r="J914" i="14"/>
  <c r="J912" i="14"/>
  <c r="J901" i="14"/>
  <c r="J898" i="14"/>
  <c r="J896" i="14"/>
  <c r="J885" i="14"/>
  <c r="J882" i="14"/>
  <c r="J880" i="14"/>
  <c r="J858" i="14"/>
  <c r="J856" i="14"/>
  <c r="J850" i="14"/>
  <c r="J843" i="14"/>
  <c r="J841" i="14"/>
  <c r="J835" i="14"/>
  <c r="J826" i="14"/>
  <c r="J821" i="14"/>
  <c r="J816" i="14"/>
  <c r="J815" i="14"/>
  <c r="J798" i="14"/>
  <c r="J795" i="14"/>
  <c r="J786" i="14"/>
  <c r="J784" i="14"/>
  <c r="J774" i="14"/>
  <c r="J770" i="14"/>
  <c r="J759" i="14"/>
  <c r="J757" i="14"/>
  <c r="J743" i="14"/>
  <c r="J728" i="14"/>
  <c r="J721" i="14"/>
  <c r="J720" i="14"/>
  <c r="J713" i="14"/>
  <c r="J711" i="14"/>
  <c r="J706" i="14"/>
  <c r="J702" i="14"/>
  <c r="J698" i="14"/>
  <c r="J694" i="14"/>
  <c r="J1005" i="14"/>
  <c r="J1003" i="14"/>
  <c r="J1001" i="14"/>
  <c r="J999" i="14"/>
  <c r="J997" i="14"/>
  <c r="J995" i="14"/>
  <c r="J993" i="14"/>
  <c r="J991" i="14"/>
  <c r="J989" i="14"/>
  <c r="J987" i="14"/>
  <c r="J985" i="14"/>
  <c r="J983" i="14"/>
  <c r="J981" i="14"/>
  <c r="J979" i="14"/>
  <c r="J977" i="14"/>
  <c r="J975" i="14"/>
  <c r="J973" i="14"/>
  <c r="J971" i="14"/>
  <c r="J969" i="14"/>
  <c r="J967" i="14"/>
  <c r="J965" i="14"/>
  <c r="J963" i="14"/>
  <c r="J961" i="14"/>
  <c r="J959" i="14"/>
  <c r="J957" i="14"/>
  <c r="J955" i="14"/>
  <c r="J953" i="14"/>
  <c r="J951" i="14"/>
  <c r="J949" i="14"/>
  <c r="J947" i="14"/>
  <c r="J945" i="14"/>
  <c r="J943" i="14"/>
  <c r="J941" i="14"/>
  <c r="J939" i="14"/>
  <c r="J937" i="14"/>
  <c r="J935" i="14"/>
  <c r="J933" i="14"/>
  <c r="J931" i="14"/>
  <c r="J929" i="14"/>
  <c r="J913" i="14"/>
  <c r="J897" i="14"/>
  <c r="J881" i="14"/>
  <c r="J860" i="14"/>
  <c r="J859" i="14"/>
  <c r="J857" i="14"/>
  <c r="J851" i="14"/>
  <c r="J845" i="14"/>
  <c r="J842" i="14"/>
  <c r="J837" i="14"/>
  <c r="J832" i="14"/>
  <c r="J814" i="14"/>
  <c r="J802" i="14"/>
  <c r="J794" i="14"/>
  <c r="J791" i="14"/>
  <c r="J726" i="14"/>
  <c r="J608" i="14"/>
  <c r="J604" i="14"/>
  <c r="J1243" i="14"/>
  <c r="J1239" i="14"/>
  <c r="J1235" i="14"/>
  <c r="J1231" i="14"/>
  <c r="J1227" i="14"/>
  <c r="J1223" i="14"/>
  <c r="J1219" i="14"/>
  <c r="J1215" i="14"/>
  <c r="J1211" i="14"/>
  <c r="J1207" i="14"/>
  <c r="J1203" i="14"/>
  <c r="J1199" i="14"/>
  <c r="J1195" i="14"/>
  <c r="J1191" i="14"/>
  <c r="J1187" i="14"/>
  <c r="J1183" i="14"/>
  <c r="J1170" i="14"/>
  <c r="J1169" i="14"/>
  <c r="J1167" i="14"/>
  <c r="J1156" i="14"/>
  <c r="J1154" i="14"/>
  <c r="J1153" i="14"/>
  <c r="J1140" i="14"/>
  <c r="J1138" i="14"/>
  <c r="J1137" i="14"/>
  <c r="J1124" i="14"/>
  <c r="J1122" i="14"/>
  <c r="J1121" i="14"/>
  <c r="J1107" i="14"/>
  <c r="J1002" i="14"/>
  <c r="J1000" i="14"/>
  <c r="J998" i="14"/>
  <c r="J996" i="14"/>
  <c r="J994" i="14"/>
  <c r="J992" i="14"/>
  <c r="J990" i="14"/>
  <c r="J988" i="14"/>
  <c r="J986" i="14"/>
  <c r="J984" i="14"/>
  <c r="J982" i="14"/>
  <c r="J980" i="14"/>
  <c r="J978" i="14"/>
  <c r="J976" i="14"/>
  <c r="J974" i="14"/>
  <c r="J972" i="14"/>
  <c r="J970" i="14"/>
  <c r="J968" i="14"/>
  <c r="J966" i="14"/>
  <c r="J964" i="14"/>
  <c r="J962" i="14"/>
  <c r="J960" i="14"/>
  <c r="J958" i="14"/>
  <c r="J956" i="14"/>
  <c r="J954" i="14"/>
  <c r="J952" i="14"/>
  <c r="J950" i="14"/>
  <c r="J948" i="14"/>
  <c r="J946" i="14"/>
  <c r="J944" i="14"/>
  <c r="J942" i="14"/>
  <c r="J940" i="14"/>
  <c r="J938" i="14"/>
  <c r="J936" i="14"/>
  <c r="J934" i="14"/>
  <c r="J932" i="14"/>
  <c r="J930" i="14"/>
  <c r="J925" i="14"/>
  <c r="J919" i="14"/>
  <c r="J909" i="14"/>
  <c r="J903" i="14"/>
  <c r="J893" i="14"/>
  <c r="J887" i="14"/>
  <c r="J877" i="14"/>
  <c r="J875" i="14"/>
  <c r="J873" i="14"/>
  <c r="J867" i="14"/>
  <c r="J861" i="14"/>
  <c r="J823" i="14"/>
  <c r="J812" i="14"/>
  <c r="J811" i="14"/>
  <c r="J809" i="14"/>
  <c r="J803" i="14"/>
  <c r="J797" i="14"/>
  <c r="J768" i="14"/>
  <c r="J745" i="14"/>
  <c r="J741" i="14"/>
  <c r="J730" i="14"/>
  <c r="J722" i="14"/>
  <c r="J719" i="14"/>
  <c r="J704" i="14"/>
  <c r="J700" i="14"/>
  <c r="J696" i="14"/>
  <c r="J692" i="14"/>
  <c r="J594" i="14"/>
  <c r="J588" i="14"/>
  <c r="J865" i="14"/>
  <c r="J849" i="14"/>
  <c r="J838" i="14"/>
  <c r="J833" i="14"/>
  <c r="J822" i="14"/>
  <c r="J817" i="14"/>
  <c r="J806" i="14"/>
  <c r="J801" i="14"/>
  <c r="J796" i="14"/>
  <c r="J777" i="14"/>
  <c r="J775" i="14"/>
  <c r="J773" i="14"/>
  <c r="J760" i="14"/>
  <c r="J751" i="14"/>
  <c r="J749" i="14"/>
  <c r="J737" i="14"/>
  <c r="J735" i="14"/>
  <c r="J714" i="14"/>
  <c r="J614" i="14"/>
  <c r="J600" i="14"/>
  <c r="J590" i="14"/>
  <c r="J586" i="14"/>
  <c r="J580" i="14"/>
  <c r="J554" i="14"/>
  <c r="J552" i="14"/>
  <c r="J388" i="14"/>
  <c r="J304" i="14"/>
  <c r="J769" i="14"/>
  <c r="J767" i="14"/>
  <c r="J765" i="14"/>
  <c r="J752" i="14"/>
  <c r="J729" i="14"/>
  <c r="J727" i="14"/>
  <c r="J705" i="14"/>
  <c r="J703" i="14"/>
  <c r="J701" i="14"/>
  <c r="J699" i="14"/>
  <c r="J697" i="14"/>
  <c r="J695" i="14"/>
  <c r="J693" i="14"/>
  <c r="J691" i="14"/>
  <c r="J689" i="14"/>
  <c r="J687" i="14"/>
  <c r="J685" i="14"/>
  <c r="J683" i="14"/>
  <c r="J681" i="14"/>
  <c r="J679" i="14"/>
  <c r="J677" i="14"/>
  <c r="J675" i="14"/>
  <c r="J673" i="14"/>
  <c r="J671" i="14"/>
  <c r="J669" i="14"/>
  <c r="J667" i="14"/>
  <c r="J665" i="14"/>
  <c r="J663" i="14"/>
  <c r="J661" i="14"/>
  <c r="J659" i="14"/>
  <c r="J657" i="14"/>
  <c r="J655" i="14"/>
  <c r="J653" i="14"/>
  <c r="J651" i="14"/>
  <c r="J649" i="14"/>
  <c r="J647" i="14"/>
  <c r="J645" i="14"/>
  <c r="J643" i="14"/>
  <c r="J641" i="14"/>
  <c r="J639" i="14"/>
  <c r="J637" i="14"/>
  <c r="J635" i="14"/>
  <c r="J633" i="14"/>
  <c r="J631" i="14"/>
  <c r="J629" i="14"/>
  <c r="J627" i="14"/>
  <c r="J625" i="14"/>
  <c r="J623" i="14"/>
  <c r="J621" i="14"/>
  <c r="J619" i="14"/>
  <c r="J617" i="14"/>
  <c r="J611" i="14"/>
  <c r="J610" i="14"/>
  <c r="J592" i="14"/>
  <c r="J583" i="14"/>
  <c r="J582" i="14"/>
  <c r="J579" i="14"/>
  <c r="J568" i="14"/>
  <c r="J564" i="14"/>
  <c r="J560" i="14"/>
  <c r="J556" i="14"/>
  <c r="J549" i="14"/>
  <c r="J548" i="14"/>
  <c r="J542" i="14"/>
  <c r="J538" i="14"/>
  <c r="J532" i="14"/>
  <c r="J514" i="14"/>
  <c r="J436" i="14"/>
  <c r="J432" i="14"/>
  <c r="J428" i="14"/>
  <c r="J424" i="14"/>
  <c r="J420" i="14"/>
  <c r="J416" i="14"/>
  <c r="J382" i="14"/>
  <c r="J690" i="14"/>
  <c r="J688" i="14"/>
  <c r="J686" i="14"/>
  <c r="J684" i="14"/>
  <c r="J682" i="14"/>
  <c r="J680" i="14"/>
  <c r="J678" i="14"/>
  <c r="J676" i="14"/>
  <c r="J674" i="14"/>
  <c r="J672" i="14"/>
  <c r="J670" i="14"/>
  <c r="J668" i="14"/>
  <c r="J666" i="14"/>
  <c r="J664" i="14"/>
  <c r="J662" i="14"/>
  <c r="J660" i="14"/>
  <c r="J658" i="14"/>
  <c r="J656" i="14"/>
  <c r="J654" i="14"/>
  <c r="J652" i="14"/>
  <c r="J650" i="14"/>
  <c r="J648" i="14"/>
  <c r="J646" i="14"/>
  <c r="J644" i="14"/>
  <c r="J642" i="14"/>
  <c r="J640" i="14"/>
  <c r="J638" i="14"/>
  <c r="J636" i="14"/>
  <c r="J634" i="14"/>
  <c r="J632" i="14"/>
  <c r="J607" i="14"/>
  <c r="J606" i="14"/>
  <c r="J602" i="14"/>
  <c r="J596" i="14"/>
  <c r="J584" i="14"/>
  <c r="J573" i="14"/>
  <c r="J571" i="14"/>
  <c r="J570" i="14"/>
  <c r="J565" i="14"/>
  <c r="J561" i="14"/>
  <c r="J557" i="14"/>
  <c r="J550" i="14"/>
  <c r="J530" i="14"/>
  <c r="J524" i="14"/>
  <c r="J409" i="14"/>
  <c r="J339" i="14"/>
  <c r="J335" i="14"/>
  <c r="J331" i="14"/>
  <c r="J327" i="14"/>
  <c r="J323" i="14"/>
  <c r="J319" i="14"/>
  <c r="J315" i="14"/>
  <c r="J311" i="14"/>
  <c r="J307" i="14"/>
  <c r="J288" i="14"/>
  <c r="J575" i="14"/>
  <c r="J574" i="14"/>
  <c r="J544" i="14"/>
  <c r="J535" i="14"/>
  <c r="J534" i="14"/>
  <c r="J527" i="14"/>
  <c r="J526" i="14"/>
  <c r="J519" i="14"/>
  <c r="J518" i="14"/>
  <c r="J504" i="14"/>
  <c r="J500" i="14"/>
  <c r="J407" i="14"/>
  <c r="J402" i="14"/>
  <c r="J393" i="14"/>
  <c r="J392" i="14"/>
  <c r="J385" i="14"/>
  <c r="J384" i="14"/>
  <c r="J380" i="14"/>
  <c r="J377" i="14"/>
  <c r="J376" i="14"/>
  <c r="J372" i="14"/>
  <c r="J366" i="14"/>
  <c r="J364" i="14"/>
  <c r="J362" i="14"/>
  <c r="J360" i="14"/>
  <c r="J358" i="14"/>
  <c r="J356" i="14"/>
  <c r="J354" i="14"/>
  <c r="J352" i="14"/>
  <c r="J350" i="14"/>
  <c r="J347" i="14"/>
  <c r="J345" i="14"/>
  <c r="J343" i="14"/>
  <c r="J312" i="14"/>
  <c r="J310" i="14"/>
  <c r="J308" i="14"/>
  <c r="J306" i="14"/>
  <c r="J302" i="14"/>
  <c r="J296" i="14"/>
  <c r="J276" i="14"/>
  <c r="J250" i="14"/>
  <c r="J249" i="14"/>
  <c r="J244" i="14"/>
  <c r="J239" i="14"/>
  <c r="J234" i="14"/>
  <c r="J233" i="14"/>
  <c r="J217" i="14"/>
  <c r="J193" i="14"/>
  <c r="J567" i="14"/>
  <c r="J566" i="14"/>
  <c r="J536" i="14"/>
  <c r="J528" i="14"/>
  <c r="J520" i="14"/>
  <c r="J515" i="14"/>
  <c r="J505" i="14"/>
  <c r="J501" i="14"/>
  <c r="J412" i="14"/>
  <c r="J403" i="14"/>
  <c r="J394" i="14"/>
  <c r="J386" i="14"/>
  <c r="J295" i="14"/>
  <c r="J293" i="14"/>
  <c r="J213" i="14"/>
  <c r="J516" i="14"/>
  <c r="J506" i="14"/>
  <c r="J502" i="14"/>
  <c r="J450" i="14"/>
  <c r="J448" i="14"/>
  <c r="J446" i="14"/>
  <c r="J444" i="14"/>
  <c r="J442" i="14"/>
  <c r="J440" i="14"/>
  <c r="J438" i="14"/>
  <c r="J437" i="14"/>
  <c r="J435" i="14"/>
  <c r="J433" i="14"/>
  <c r="J431" i="14"/>
  <c r="J429" i="14"/>
  <c r="J427" i="14"/>
  <c r="J425" i="14"/>
  <c r="J423" i="14"/>
  <c r="J421" i="14"/>
  <c r="J419" i="14"/>
  <c r="J417" i="14"/>
  <c r="J415" i="14"/>
  <c r="J413" i="14"/>
  <c r="J410" i="14"/>
  <c r="J404" i="14"/>
  <c r="J398" i="14"/>
  <c r="J390" i="14"/>
  <c r="J370" i="14"/>
  <c r="J294" i="14"/>
  <c r="J281" i="14"/>
  <c r="J280" i="14"/>
  <c r="J272" i="14"/>
  <c r="J268" i="14"/>
  <c r="J264" i="14"/>
  <c r="J252" i="14"/>
  <c r="J247" i="14"/>
  <c r="J242" i="14"/>
  <c r="J241" i="14"/>
  <c r="J236" i="14"/>
  <c r="J231" i="14"/>
  <c r="J226" i="14"/>
  <c r="J225" i="14"/>
  <c r="J220" i="14"/>
  <c r="J215" i="14"/>
  <c r="J209" i="14"/>
  <c r="J196" i="14"/>
  <c r="J191" i="14"/>
  <c r="J187" i="14"/>
  <c r="J269" i="14"/>
  <c r="J184" i="14"/>
  <c r="J176" i="14"/>
  <c r="J168" i="14"/>
  <c r="J153" i="14"/>
  <c r="J145" i="14"/>
  <c r="J137" i="14"/>
  <c r="J129" i="14"/>
  <c r="J121" i="14"/>
  <c r="J113" i="14"/>
  <c r="J105" i="14"/>
  <c r="J12" i="14"/>
  <c r="J265" i="14"/>
  <c r="J255" i="14"/>
  <c r="J206" i="14"/>
  <c r="J205" i="14"/>
  <c r="J198" i="14"/>
  <c r="J197" i="14"/>
  <c r="J190" i="14"/>
  <c r="J189" i="14"/>
  <c r="J186" i="14"/>
  <c r="J185" i="14"/>
  <c r="J180" i="14"/>
  <c r="J178" i="14"/>
  <c r="J177" i="14"/>
  <c r="J172" i="14"/>
  <c r="J170" i="14"/>
  <c r="J169" i="14"/>
  <c r="J164" i="14"/>
  <c r="J147" i="14"/>
  <c r="J139" i="14"/>
  <c r="J131" i="14"/>
  <c r="J123" i="14"/>
  <c r="J115" i="14"/>
  <c r="J107" i="14"/>
  <c r="J82" i="14"/>
  <c r="J62" i="14"/>
  <c r="J50" i="14"/>
  <c r="J182" i="14"/>
  <c r="J181" i="14"/>
  <c r="J174" i="14"/>
  <c r="J173" i="14"/>
  <c r="J166" i="14"/>
  <c r="J165" i="14"/>
  <c r="J162" i="14"/>
  <c r="J160" i="14"/>
  <c r="J158" i="14"/>
  <c r="J156" i="14"/>
  <c r="J154" i="14"/>
  <c r="J152" i="14"/>
  <c r="J150" i="14"/>
  <c r="J148" i="14"/>
  <c r="J146" i="14"/>
  <c r="J144" i="14"/>
  <c r="J142" i="14"/>
  <c r="J140" i="14"/>
  <c r="J138" i="14"/>
  <c r="J86" i="14"/>
  <c r="J76" i="14"/>
  <c r="J71" i="14"/>
  <c r="J70" i="14"/>
  <c r="J68" i="14"/>
  <c r="J64" i="14"/>
  <c r="J43" i="14"/>
  <c r="J16" i="14"/>
  <c r="J14" i="14"/>
  <c r="J10" i="14"/>
  <c r="J88" i="14"/>
  <c r="J85" i="14"/>
  <c r="J83" i="14"/>
  <c r="J72" i="14"/>
  <c r="J63" i="14"/>
  <c r="J48" i="14"/>
  <c r="J46" i="14"/>
  <c r="J44" i="14"/>
  <c r="J42" i="14"/>
  <c r="J40" i="14"/>
  <c r="J38" i="14"/>
  <c r="J36" i="14"/>
  <c r="J34" i="14"/>
  <c r="J22" i="14"/>
  <c r="J20" i="14"/>
  <c r="J84" i="14"/>
  <c r="J78" i="14"/>
  <c r="J66" i="14"/>
  <c r="J61" i="14"/>
  <c r="J57" i="14"/>
  <c r="J54" i="14"/>
  <c r="J52" i="14"/>
  <c r="J4562" i="14"/>
  <c r="J4560" i="14"/>
  <c r="J4558" i="14"/>
  <c r="J4556" i="14"/>
  <c r="J4554" i="14"/>
  <c r="J4552" i="14"/>
  <c r="J4550" i="14"/>
  <c r="J4548" i="14"/>
  <c r="J4546" i="14"/>
  <c r="J4544" i="14"/>
  <c r="J4542" i="14"/>
  <c r="J4540" i="14"/>
  <c r="J4538" i="14"/>
  <c r="J4536" i="14"/>
  <c r="J4534" i="14"/>
  <c r="J4532" i="14"/>
  <c r="J4530" i="14"/>
  <c r="J4058" i="14"/>
  <c r="J4050" i="14"/>
  <c r="J4042" i="14"/>
  <c r="J4034" i="14"/>
  <c r="J4026" i="14"/>
  <c r="J4018" i="14"/>
  <c r="J4010" i="14"/>
  <c r="J3464" i="14"/>
  <c r="J3456" i="14"/>
  <c r="J3448" i="14"/>
  <c r="J3440" i="14"/>
  <c r="J3432" i="14"/>
  <c r="J3424" i="14"/>
  <c r="J3416" i="14"/>
  <c r="J3408" i="14"/>
  <c r="J3400" i="14"/>
  <c r="J3392" i="14"/>
  <c r="J3384" i="14"/>
  <c r="J3376" i="14"/>
  <c r="J3368" i="14"/>
  <c r="J3360" i="14"/>
  <c r="J3352" i="14"/>
  <c r="J3344" i="14"/>
  <c r="J3336" i="14"/>
  <c r="J3328" i="14"/>
  <c r="J3320" i="14"/>
  <c r="J3312" i="14"/>
  <c r="J3304" i="14"/>
  <c r="J3284" i="14"/>
  <c r="J3264" i="14"/>
  <c r="J3250" i="14"/>
  <c r="J3236" i="14"/>
  <c r="J3224" i="14"/>
  <c r="J3223" i="14"/>
  <c r="J3222" i="14"/>
  <c r="J3221" i="14"/>
  <c r="J3220" i="14"/>
  <c r="J3219" i="14"/>
  <c r="J3218" i="14"/>
  <c r="J3217" i="14"/>
  <c r="J3216" i="14"/>
  <c r="J3215" i="14"/>
  <c r="J3214" i="14"/>
  <c r="J3213" i="14"/>
  <c r="J3212" i="14"/>
  <c r="J3211" i="14"/>
  <c r="J3203" i="14"/>
  <c r="J3195" i="14"/>
  <c r="J3187" i="14"/>
  <c r="J3179" i="14"/>
  <c r="J3171" i="14"/>
  <c r="J3163" i="14"/>
  <c r="J3155" i="14"/>
  <c r="J3147" i="14"/>
  <c r="J2834" i="14"/>
  <c r="J2818" i="14"/>
  <c r="J2802" i="14"/>
  <c r="J2786" i="14"/>
  <c r="J2770" i="14"/>
  <c r="J2754" i="14"/>
  <c r="J2830" i="14"/>
  <c r="J2814" i="14"/>
  <c r="J2798" i="14"/>
  <c r="J2782" i="14"/>
  <c r="J2766" i="14"/>
  <c r="J2750" i="14"/>
  <c r="J3523" i="14"/>
  <c r="J3519" i="14"/>
  <c r="J3515" i="14"/>
  <c r="J3511" i="14"/>
  <c r="J3507" i="14"/>
  <c r="J3503" i="14"/>
  <c r="J3499" i="14"/>
  <c r="J3495" i="14"/>
  <c r="J3491" i="14"/>
  <c r="J3487" i="14"/>
  <c r="J3483" i="14"/>
  <c r="J3479" i="14"/>
  <c r="J3475" i="14"/>
  <c r="J3471" i="14"/>
  <c r="J2746" i="14"/>
  <c r="J2758" i="14"/>
  <c r="J2656" i="14"/>
  <c r="J2648" i="14"/>
  <c r="J2640" i="14"/>
  <c r="J2632" i="14"/>
  <c r="J2624" i="14"/>
  <c r="J2616" i="14"/>
  <c r="J2608" i="14"/>
  <c r="J2600" i="14"/>
  <c r="J2592" i="14"/>
  <c r="J2584" i="14"/>
  <c r="J2576" i="14"/>
  <c r="J2524" i="14"/>
  <c r="J2522" i="14"/>
  <c r="J2520" i="14"/>
  <c r="J2518" i="14"/>
  <c r="J2516" i="14"/>
  <c r="J2514" i="14"/>
  <c r="J2512" i="14"/>
  <c r="J2510" i="14"/>
  <c r="J2508" i="14"/>
  <c r="J2506" i="14"/>
  <c r="J2504" i="14"/>
  <c r="J2502" i="14"/>
  <c r="J2500" i="14"/>
  <c r="J2498" i="14"/>
  <c r="J2496" i="14"/>
  <c r="J2494" i="14"/>
  <c r="J2492" i="14"/>
  <c r="J2490" i="14"/>
  <c r="J2488" i="14"/>
  <c r="J2486" i="14"/>
  <c r="J2484" i="14"/>
  <c r="J2482" i="14"/>
  <c r="J2480" i="14"/>
  <c r="J2478" i="14"/>
  <c r="J2476" i="14"/>
  <c r="J2474" i="14"/>
  <c r="J2472" i="14"/>
  <c r="J2470" i="14"/>
  <c r="J2468" i="14"/>
  <c r="J2466" i="14"/>
  <c r="J2464" i="14"/>
  <c r="J2462" i="14"/>
  <c r="J2460" i="14"/>
  <c r="J2458" i="14"/>
  <c r="J2456" i="14"/>
  <c r="J2454" i="14"/>
  <c r="J2452" i="14"/>
  <c r="J2450" i="14"/>
  <c r="J2448" i="14"/>
  <c r="J2446" i="14"/>
  <c r="J2444" i="14"/>
  <c r="J2442" i="14"/>
  <c r="J2440" i="14"/>
  <c r="J2438" i="14"/>
  <c r="J2436" i="14"/>
  <c r="J2434" i="14"/>
  <c r="J2432" i="14"/>
  <c r="J2430" i="14"/>
  <c r="J2428" i="14"/>
  <c r="J2426" i="14"/>
  <c r="J2424" i="14"/>
  <c r="J2422" i="14"/>
  <c r="J2420" i="14"/>
  <c r="J2418" i="14"/>
  <c r="J2416" i="14"/>
  <c r="J2414" i="14"/>
  <c r="J2412" i="14"/>
  <c r="J2410" i="14"/>
  <c r="J2408" i="14"/>
  <c r="J2406" i="14"/>
  <c r="J2404" i="14"/>
  <c r="J2402" i="14"/>
  <c r="J2400" i="14"/>
  <c r="J2398" i="14"/>
  <c r="J2396" i="14"/>
  <c r="J2394" i="14"/>
  <c r="J2392" i="14"/>
  <c r="J2390" i="14"/>
  <c r="J2388" i="14"/>
  <c r="J2386" i="14"/>
  <c r="J2384" i="14"/>
  <c r="J2382" i="14"/>
  <c r="J2380" i="14"/>
  <c r="J2378" i="14"/>
  <c r="J2376" i="14"/>
  <c r="J2374" i="14"/>
  <c r="J2372" i="14"/>
  <c r="J2370" i="14"/>
  <c r="J2368" i="14"/>
  <c r="J2366" i="14"/>
  <c r="J2364" i="14"/>
  <c r="J2362" i="14"/>
  <c r="J2360" i="14"/>
  <c r="J2358" i="14"/>
  <c r="J2356" i="14"/>
  <c r="J2354" i="14"/>
  <c r="J2352" i="14"/>
  <c r="J2350" i="14"/>
  <c r="J2348" i="14"/>
  <c r="J2346" i="14"/>
  <c r="J2344" i="14"/>
  <c r="J2342" i="14"/>
  <c r="J2340" i="14"/>
  <c r="J2338" i="14"/>
  <c r="J2336" i="14"/>
  <c r="J2334" i="14"/>
  <c r="J2332" i="14"/>
  <c r="J2330" i="14"/>
  <c r="J2328" i="14"/>
  <c r="J2326" i="14"/>
  <c r="J2324" i="14"/>
  <c r="J2322" i="14"/>
  <c r="J2320" i="14"/>
  <c r="J2318" i="14"/>
  <c r="J2316" i="14"/>
  <c r="J2314" i="14"/>
  <c r="J2312" i="14"/>
  <c r="J2310" i="14"/>
  <c r="J2308" i="14"/>
  <c r="J2306" i="14"/>
  <c r="J2304" i="14"/>
  <c r="J2302" i="14"/>
  <c r="J2300" i="14"/>
  <c r="J2298" i="14"/>
  <c r="J2296" i="14"/>
  <c r="J2294" i="14"/>
  <c r="J2292" i="14"/>
  <c r="J2290" i="14"/>
  <c r="J2288" i="14"/>
  <c r="J2286" i="14"/>
  <c r="J2284" i="14"/>
  <c r="J2282" i="14"/>
  <c r="J2280" i="14"/>
  <c r="J2278" i="14"/>
  <c r="J2276" i="14"/>
  <c r="J1896" i="14"/>
  <c r="J1894" i="14"/>
  <c r="J1892" i="14"/>
  <c r="J1890" i="14"/>
  <c r="J1888" i="14"/>
  <c r="J1886" i="14"/>
  <c r="J1884" i="14"/>
  <c r="J1882" i="14"/>
  <c r="J1880" i="14"/>
  <c r="J1878" i="14"/>
  <c r="J1876" i="14"/>
  <c r="J1874" i="14"/>
  <c r="J1872" i="14"/>
  <c r="J1870" i="14"/>
  <c r="J1868" i="14"/>
  <c r="J1866" i="14"/>
  <c r="J1864" i="14"/>
  <c r="J1862" i="14"/>
  <c r="J1860" i="14"/>
  <c r="J1858" i="14"/>
  <c r="J1856" i="14"/>
  <c r="J1854" i="14"/>
  <c r="J1852" i="14"/>
  <c r="J1850" i="14"/>
  <c r="J1848" i="14"/>
  <c r="J1846" i="14"/>
  <c r="J1844" i="14"/>
  <c r="J1842" i="14"/>
  <c r="J1840" i="14"/>
  <c r="J1838" i="14"/>
  <c r="J1836" i="14"/>
  <c r="J1834" i="14"/>
  <c r="J1832" i="14"/>
  <c r="J1830" i="14"/>
  <c r="J1828" i="14"/>
  <c r="J1826" i="14"/>
  <c r="J1824" i="14"/>
  <c r="J1822" i="14"/>
  <c r="J1820" i="14"/>
  <c r="J1818" i="14"/>
  <c r="J1816" i="14"/>
  <c r="J1814" i="14"/>
  <c r="J1812" i="14"/>
  <c r="J1810" i="14"/>
  <c r="J1808" i="14"/>
  <c r="J1806" i="14"/>
  <c r="J1804" i="14"/>
  <c r="J1802" i="14"/>
  <c r="J1800" i="14"/>
  <c r="J1798" i="14"/>
  <c r="J1796" i="14"/>
  <c r="J1794" i="14"/>
  <c r="J1792" i="14"/>
  <c r="J1790" i="14"/>
  <c r="J1788" i="14"/>
  <c r="J1786" i="14"/>
  <c r="J1784" i="14"/>
  <c r="J1782" i="14"/>
  <c r="J1780" i="14"/>
  <c r="J1778" i="14"/>
  <c r="J1776" i="14"/>
  <c r="J1774" i="14"/>
  <c r="J1772" i="14"/>
  <c r="J1770" i="14"/>
  <c r="J1768" i="14"/>
  <c r="J1766" i="14"/>
  <c r="J1764" i="14"/>
  <c r="J1762" i="14"/>
  <c r="J1760" i="14"/>
  <c r="J1758" i="14"/>
  <c r="J1756" i="14"/>
  <c r="J1754" i="14"/>
  <c r="J1752" i="14"/>
  <c r="J1750" i="14"/>
  <c r="J1748" i="14"/>
  <c r="J1746" i="14"/>
  <c r="J1744" i="14"/>
  <c r="J1742" i="14"/>
  <c r="J1740" i="14"/>
  <c r="J1738" i="14"/>
  <c r="J1736" i="14"/>
  <c r="J1734" i="14"/>
  <c r="J1732" i="14"/>
  <c r="J1730" i="14"/>
  <c r="J1728" i="14"/>
  <c r="J1726" i="14"/>
  <c r="J1724" i="14"/>
  <c r="J1722" i="14"/>
  <c r="J1720" i="14"/>
  <c r="J1718" i="14"/>
  <c r="J2173" i="14"/>
  <c r="J2165" i="14"/>
  <c r="J2157" i="14"/>
  <c r="J2149" i="14"/>
  <c r="J2141" i="14"/>
  <c r="J2133" i="14"/>
  <c r="J2125" i="14"/>
  <c r="J2117" i="14"/>
  <c r="J2109" i="14"/>
  <c r="J2101" i="14"/>
  <c r="J2090" i="14"/>
  <c r="J2082" i="14"/>
  <c r="J2074" i="14"/>
  <c r="J2066" i="14"/>
  <c r="J2058" i="14"/>
  <c r="J2050" i="14"/>
  <c r="J2042" i="14"/>
  <c r="J2034" i="14"/>
  <c r="J2026" i="14"/>
  <c r="J2018" i="14"/>
  <c r="J2010" i="14"/>
  <c r="J1633" i="14"/>
  <c r="J1604" i="14"/>
  <c r="J1588" i="14"/>
  <c r="J1572" i="14"/>
  <c r="J1600" i="14"/>
  <c r="J1584" i="14"/>
  <c r="J1568" i="14"/>
  <c r="J1612" i="14"/>
  <c r="J1556" i="14"/>
  <c r="J1552" i="14"/>
  <c r="J1548" i="14"/>
  <c r="J1544" i="14"/>
  <c r="J1540" i="14"/>
  <c r="J1536" i="14"/>
  <c r="J1532" i="14"/>
  <c r="J1614" i="14"/>
  <c r="J1610" i="14"/>
  <c r="J1606" i="14"/>
  <c r="J1602" i="14"/>
  <c r="J1598" i="14"/>
  <c r="J1594" i="14"/>
  <c r="J1590" i="14"/>
  <c r="J1586" i="14"/>
  <c r="J1582" i="14"/>
  <c r="J1578" i="14"/>
  <c r="J1574" i="14"/>
  <c r="J1570" i="14"/>
  <c r="J1566" i="14"/>
  <c r="J1562" i="14"/>
  <c r="J1558" i="14"/>
  <c r="J1554" i="14"/>
  <c r="J1550" i="14"/>
  <c r="J1546" i="14"/>
  <c r="J1542" i="14"/>
  <c r="J1538" i="14"/>
  <c r="J1534" i="14"/>
  <c r="J1527" i="14"/>
  <c r="J1519" i="14"/>
  <c r="J1511" i="14"/>
  <c r="J1503" i="14"/>
  <c r="J1495" i="14"/>
  <c r="J1487" i="14"/>
  <c r="J1479" i="14"/>
  <c r="J1471" i="14"/>
  <c r="J1463" i="14"/>
  <c r="J1455" i="14"/>
  <c r="J1447" i="14"/>
  <c r="J1439" i="14"/>
  <c r="J1431" i="14"/>
  <c r="J1429" i="14"/>
  <c r="J1427" i="14"/>
  <c r="J1425" i="14"/>
  <c r="J1423" i="14"/>
  <c r="J1421" i="14"/>
  <c r="J1419" i="14"/>
  <c r="J1417" i="14"/>
  <c r="J1415" i="14"/>
  <c r="J1413" i="14"/>
  <c r="J1411" i="14"/>
  <c r="J1409" i="14"/>
  <c r="J1407" i="14"/>
  <c r="J1405" i="14"/>
  <c r="J1403" i="14"/>
  <c r="J1401" i="14"/>
  <c r="J1399" i="14"/>
  <c r="J1397" i="14"/>
  <c r="J1395" i="14"/>
  <c r="J1393" i="14"/>
  <c r="J1391" i="14"/>
  <c r="J1389" i="14"/>
  <c r="J1387" i="14"/>
  <c r="J1385" i="14"/>
  <c r="J1383" i="14"/>
  <c r="J1381" i="14"/>
  <c r="J1379" i="14"/>
  <c r="J1377" i="14"/>
  <c r="J1375" i="14"/>
  <c r="J1373" i="14"/>
  <c r="J1371" i="14"/>
  <c r="J1369" i="14"/>
  <c r="J1367" i="14"/>
  <c r="J1365" i="14"/>
  <c r="J1363" i="14"/>
  <c r="J1361" i="14"/>
  <c r="J1359" i="14"/>
  <c r="J1357" i="14"/>
  <c r="J1355" i="14"/>
  <c r="J1353" i="14"/>
  <c r="J1351" i="14"/>
  <c r="J1349" i="14"/>
  <c r="J1347" i="14"/>
  <c r="J1345" i="14"/>
  <c r="J1343" i="14"/>
  <c r="J1341" i="14"/>
  <c r="J1339" i="14"/>
  <c r="J1337" i="14"/>
  <c r="J1335" i="14"/>
  <c r="J1333" i="14"/>
  <c r="J1331" i="14"/>
  <c r="J1329" i="14"/>
  <c r="J1327" i="14"/>
  <c r="J1325" i="14"/>
  <c r="J1323" i="14"/>
  <c r="J1321" i="14"/>
  <c r="J1319" i="14"/>
  <c r="J1317" i="14"/>
  <c r="J1315" i="14"/>
  <c r="J1313" i="14"/>
  <c r="J1311" i="14"/>
  <c r="J1309" i="14"/>
  <c r="J1307" i="14"/>
  <c r="J1305" i="14"/>
  <c r="J1303" i="14"/>
  <c r="J1301" i="14"/>
  <c r="J1299" i="14"/>
  <c r="J1297" i="14"/>
  <c r="J1295" i="14"/>
  <c r="J1293" i="14"/>
  <c r="J1291" i="14"/>
  <c r="J1289" i="14"/>
  <c r="J1287" i="14"/>
  <c r="J1285" i="14"/>
  <c r="J1283" i="14"/>
  <c r="J1281" i="14"/>
  <c r="J1279" i="14"/>
  <c r="J1277" i="14"/>
  <c r="J1275" i="14"/>
  <c r="J1273" i="14"/>
  <c r="J1271" i="14"/>
  <c r="J1269" i="14"/>
  <c r="J1267" i="14"/>
  <c r="J1265" i="14"/>
  <c r="J1263" i="14"/>
  <c r="J1261" i="14"/>
  <c r="J1259" i="14"/>
  <c r="J1257" i="14"/>
  <c r="J1255" i="14"/>
  <c r="J1253" i="14"/>
  <c r="J1251" i="14"/>
  <c r="J1249" i="14"/>
  <c r="J1247" i="14"/>
  <c r="J1245" i="14"/>
  <c r="J1159" i="14"/>
  <c r="J1155" i="14"/>
  <c r="J1151" i="14"/>
  <c r="J1147" i="14"/>
  <c r="J1143" i="14"/>
  <c r="J1139" i="14"/>
  <c r="J1135" i="14"/>
  <c r="J1131" i="14"/>
  <c r="J1127" i="14"/>
  <c r="J1123" i="14"/>
  <c r="J1113" i="14"/>
  <c r="J1105" i="14"/>
  <c r="J1097" i="14"/>
  <c r="J1094" i="14"/>
  <c r="J1092" i="14"/>
  <c r="J1090" i="14"/>
  <c r="J1088" i="14"/>
  <c r="J1086" i="14"/>
  <c r="J1084" i="14"/>
  <c r="J1082" i="14"/>
  <c r="J1080" i="14"/>
  <c r="J1078" i="14"/>
  <c r="J1076" i="14"/>
  <c r="J1074" i="14"/>
  <c r="J1072" i="14"/>
  <c r="J1070" i="14"/>
  <c r="J1068" i="14"/>
  <c r="J1066" i="14"/>
  <c r="J1064" i="14"/>
  <c r="J1062" i="14"/>
  <c r="J1060" i="14"/>
  <c r="J1058" i="14"/>
  <c r="J1056" i="14"/>
  <c r="J1054" i="14"/>
  <c r="J1052" i="14"/>
  <c r="J1050" i="14"/>
  <c r="J1048" i="14"/>
  <c r="J1046" i="14"/>
  <c r="J1044" i="14"/>
  <c r="J1042" i="14"/>
  <c r="J1040" i="14"/>
  <c r="J1038" i="14"/>
  <c r="J1036" i="14"/>
  <c r="J1034" i="14"/>
  <c r="J1032" i="14"/>
  <c r="J1030" i="14"/>
  <c r="J1028" i="14"/>
  <c r="J1026" i="14"/>
  <c r="J1024" i="14"/>
  <c r="J1022" i="14"/>
  <c r="J1020" i="14"/>
  <c r="J1018" i="14"/>
  <c r="J1016" i="14"/>
  <c r="J1014" i="14"/>
  <c r="J1012" i="14"/>
  <c r="J1010" i="14"/>
  <c r="J1008" i="14"/>
  <c r="J1006" i="14"/>
  <c r="J1004" i="14"/>
  <c r="J1117" i="14"/>
  <c r="J1109" i="14"/>
  <c r="J1101" i="14"/>
  <c r="J789" i="14"/>
  <c r="J781" i="14"/>
  <c r="J733" i="14"/>
  <c r="J725" i="14"/>
  <c r="J717" i="14"/>
  <c r="J709" i="14"/>
  <c r="J787" i="14"/>
  <c r="J779" i="14"/>
  <c r="J771" i="14"/>
  <c r="J763" i="14"/>
  <c r="J755" i="14"/>
  <c r="J747" i="14"/>
  <c r="J739" i="14"/>
  <c r="J731" i="14"/>
  <c r="J723" i="14"/>
  <c r="J715" i="14"/>
  <c r="J707" i="14"/>
  <c r="J785" i="14"/>
  <c r="J761" i="14"/>
  <c r="J753" i="14"/>
  <c r="J601" i="14"/>
  <c r="J593" i="14"/>
  <c r="J585" i="14"/>
  <c r="J577" i="14"/>
  <c r="J569" i="14"/>
  <c r="J553" i="14"/>
  <c r="J545" i="14"/>
  <c r="J537" i="14"/>
  <c r="J529" i="14"/>
  <c r="J521" i="14"/>
  <c r="J510" i="14"/>
  <c r="J509" i="14"/>
  <c r="J508" i="14"/>
  <c r="J359" i="14"/>
  <c r="J357" i="14"/>
  <c r="J355" i="14"/>
  <c r="J353" i="14"/>
  <c r="J351" i="14"/>
  <c r="J349" i="14"/>
  <c r="J395" i="14"/>
  <c r="J387" i="14"/>
  <c r="J371" i="14"/>
  <c r="J340" i="14"/>
  <c r="J338" i="14"/>
  <c r="J336" i="14"/>
  <c r="J334" i="14"/>
  <c r="J332" i="14"/>
  <c r="J330" i="14"/>
  <c r="J328" i="14"/>
  <c r="J326" i="14"/>
  <c r="J324" i="14"/>
  <c r="J322" i="14"/>
  <c r="J320" i="14"/>
  <c r="J318" i="14"/>
  <c r="J316" i="14"/>
  <c r="J314" i="14"/>
  <c r="J278" i="14"/>
  <c r="J270" i="14"/>
  <c r="J262" i="14"/>
  <c r="J254" i="14"/>
  <c r="J260" i="14"/>
  <c r="J274" i="14"/>
  <c r="J136" i="14"/>
  <c r="J134" i="14"/>
  <c r="J132" i="14"/>
  <c r="J130" i="14"/>
  <c r="J128" i="14"/>
  <c r="J126" i="14"/>
  <c r="J124" i="14"/>
  <c r="J122" i="14"/>
  <c r="J120" i="14"/>
  <c r="J118" i="14"/>
  <c r="J116" i="14"/>
  <c r="J114" i="14"/>
  <c r="J112" i="14"/>
  <c r="J110" i="14"/>
  <c r="J108" i="14"/>
  <c r="J106" i="14"/>
  <c r="J104" i="14"/>
  <c r="J102" i="14"/>
  <c r="J100" i="14"/>
  <c r="J98" i="14"/>
  <c r="J96" i="14"/>
  <c r="J94" i="14"/>
  <c r="J92" i="14"/>
  <c r="J67" i="14"/>
  <c r="J59" i="14"/>
  <c r="J28" i="14"/>
  <c r="J23" i="14"/>
  <c r="J5" i="14"/>
  <c r="J27" i="14"/>
  <c r="J25" i="14"/>
  <c r="J24" i="14"/>
  <c r="J7" i="14"/>
  <c r="J6" i="14"/>
  <c r="H4" i="14"/>
  <c r="I4" i="14"/>
  <c r="J4" i="14" l="1"/>
</calcChain>
</file>

<file path=xl/sharedStrings.xml><?xml version="1.0" encoding="utf-8"?>
<sst xmlns="http://schemas.openxmlformats.org/spreadsheetml/2006/main" count="9137" uniqueCount="477">
  <si>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</si>
  <si>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</si>
  <si>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</si>
  <si>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</si>
  <si>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</si>
  <si>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</si>
  <si>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</si>
  <si>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</si>
  <si>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</si>
  <si>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</si>
  <si>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</si>
  <si>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</si>
  <si>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</si>
  <si>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</si>
  <si>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</si>
  <si>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AY11</t>
  </si>
  <si>
    <t>AY13</t>
  </si>
  <si>
    <t>AY14</t>
  </si>
  <si>
    <t>AY15</t>
  </si>
  <si>
    <t>AR1</t>
  </si>
  <si>
    <t>AR2</t>
  </si>
  <si>
    <t>AR3</t>
  </si>
  <si>
    <t>AR4</t>
  </si>
  <si>
    <t>AR5</t>
  </si>
  <si>
    <t>AR6</t>
  </si>
  <si>
    <t>AR7</t>
  </si>
  <si>
    <t>AR8</t>
  </si>
  <si>
    <t>AR9</t>
  </si>
  <si>
    <t>AR10</t>
  </si>
  <si>
    <t>AR11</t>
  </si>
  <si>
    <t>AR12</t>
  </si>
  <si>
    <t>AR13</t>
  </si>
  <si>
    <t>AYO1</t>
  </si>
  <si>
    <t>AYO2</t>
  </si>
  <si>
    <t>AYO3</t>
  </si>
  <si>
    <t>AYO4</t>
  </si>
  <si>
    <t>AYO5</t>
  </si>
  <si>
    <t>AYO7</t>
  </si>
  <si>
    <t>AYO8</t>
  </si>
  <si>
    <t>AYO10</t>
  </si>
  <si>
    <t>AYO11</t>
  </si>
  <si>
    <t>AYO13</t>
  </si>
  <si>
    <t>AYO15</t>
  </si>
  <si>
    <t>AYO16</t>
  </si>
  <si>
    <t>AN1</t>
  </si>
  <si>
    <t>AN2</t>
  </si>
  <si>
    <t>AN3</t>
  </si>
  <si>
    <t>AN4</t>
  </si>
  <si>
    <t>AN6</t>
  </si>
  <si>
    <t>AN7</t>
  </si>
  <si>
    <t>AN8</t>
  </si>
  <si>
    <t>AN9</t>
  </si>
  <si>
    <t>AC1</t>
  </si>
  <si>
    <t>AC2</t>
  </si>
  <si>
    <t>AC3</t>
  </si>
  <si>
    <t>AC4</t>
  </si>
  <si>
    <t>AC5</t>
  </si>
  <si>
    <t>AC7</t>
  </si>
  <si>
    <t>AC8</t>
  </si>
  <si>
    <t>AC9</t>
  </si>
  <si>
    <t>AC10</t>
  </si>
  <si>
    <t>AC11</t>
  </si>
  <si>
    <t>AC12</t>
  </si>
  <si>
    <t>AC14</t>
  </si>
  <si>
    <t>AC15</t>
  </si>
  <si>
    <t>AC16</t>
  </si>
  <si>
    <t>AC18</t>
  </si>
  <si>
    <t>AC19</t>
  </si>
  <si>
    <t>AC20</t>
  </si>
  <si>
    <t>AC23</t>
  </si>
  <si>
    <t>AC24</t>
  </si>
  <si>
    <t>AC25</t>
  </si>
  <si>
    <t>AC26</t>
  </si>
  <si>
    <t>AC27</t>
  </si>
  <si>
    <t>AC28</t>
  </si>
  <si>
    <t>AC29</t>
  </si>
  <si>
    <t>AC30</t>
  </si>
  <si>
    <t>AC32</t>
  </si>
  <si>
    <t>AC33</t>
  </si>
  <si>
    <t>AC35</t>
  </si>
  <si>
    <t>AC36</t>
  </si>
  <si>
    <t>AC37</t>
  </si>
  <si>
    <t>AC38</t>
  </si>
  <si>
    <t>AC39</t>
  </si>
  <si>
    <t>AC40</t>
  </si>
  <si>
    <t>AC41</t>
  </si>
  <si>
    <t>AC42</t>
  </si>
  <si>
    <t>AC43</t>
  </si>
  <si>
    <t>AC44</t>
  </si>
  <si>
    <t>AA1</t>
  </si>
  <si>
    <t>AA2</t>
  </si>
  <si>
    <t>AA4</t>
  </si>
  <si>
    <t>AA5</t>
  </si>
  <si>
    <t>AA6</t>
  </si>
  <si>
    <t>AA7</t>
  </si>
  <si>
    <t>AA8</t>
  </si>
  <si>
    <t>AA9</t>
  </si>
  <si>
    <t>AAP1</t>
  </si>
  <si>
    <t>AAP2</t>
  </si>
  <si>
    <t>AAP3</t>
  </si>
  <si>
    <t>AAP4</t>
  </si>
  <si>
    <t>AAP5</t>
  </si>
  <si>
    <t>AAP6</t>
  </si>
  <si>
    <t>AAP7</t>
  </si>
  <si>
    <t>AAP8</t>
  </si>
  <si>
    <t>AAP9</t>
  </si>
  <si>
    <t>AAP10</t>
  </si>
  <si>
    <t>AAP11</t>
  </si>
  <si>
    <t>AAP12</t>
  </si>
  <si>
    <t>AAP13</t>
  </si>
  <si>
    <t>AAP14</t>
  </si>
  <si>
    <t>AAP15</t>
  </si>
  <si>
    <t>LED1</t>
  </si>
  <si>
    <t>LED2</t>
  </si>
  <si>
    <t>LED3</t>
  </si>
  <si>
    <t>LED4</t>
  </si>
  <si>
    <t>LED5</t>
  </si>
  <si>
    <t>LED6</t>
  </si>
  <si>
    <t>LED7</t>
  </si>
  <si>
    <t>LED8</t>
  </si>
  <si>
    <t>LED9</t>
  </si>
  <si>
    <t>LED10</t>
  </si>
  <si>
    <t>LED11</t>
  </si>
  <si>
    <t>LED12</t>
  </si>
  <si>
    <t>LED13</t>
  </si>
  <si>
    <t>LED14</t>
  </si>
  <si>
    <t>LED15</t>
  </si>
  <si>
    <t>LED16</t>
  </si>
  <si>
    <t>LED17</t>
  </si>
  <si>
    <t>LED18</t>
  </si>
  <si>
    <t>LED19</t>
  </si>
  <si>
    <t>LED20</t>
  </si>
  <si>
    <t>LED21</t>
  </si>
  <si>
    <t>LED22</t>
  </si>
  <si>
    <t>LED23</t>
  </si>
  <si>
    <t>LED24</t>
  </si>
  <si>
    <t>LED25</t>
  </si>
  <si>
    <t>LED26</t>
  </si>
  <si>
    <t>LED28</t>
  </si>
  <si>
    <t>LED29</t>
  </si>
  <si>
    <t>LED30</t>
  </si>
  <si>
    <t>LED31</t>
  </si>
  <si>
    <t>LED32</t>
  </si>
  <si>
    <t>LED34</t>
  </si>
  <si>
    <t>LED35</t>
  </si>
  <si>
    <t>LED36</t>
  </si>
  <si>
    <t>LED37</t>
  </si>
  <si>
    <t>LED38</t>
  </si>
  <si>
    <t>LED39</t>
  </si>
  <si>
    <t>LED40</t>
  </si>
  <si>
    <t>LED41</t>
  </si>
  <si>
    <t>LED42</t>
  </si>
  <si>
    <t>LED43</t>
  </si>
  <si>
    <t>LED44</t>
  </si>
  <si>
    <t>LED45</t>
  </si>
  <si>
    <t>LED46</t>
  </si>
  <si>
    <t>LED47</t>
  </si>
  <si>
    <t>LED49</t>
  </si>
  <si>
    <t>LED50</t>
  </si>
  <si>
    <t>LED51</t>
  </si>
  <si>
    <t>LED52</t>
  </si>
  <si>
    <t>LED53</t>
  </si>
  <si>
    <t>LED55</t>
  </si>
  <si>
    <t>LED56</t>
  </si>
  <si>
    <t>LED57</t>
  </si>
  <si>
    <t>LED58</t>
  </si>
  <si>
    <t>LED59</t>
  </si>
  <si>
    <t>LED61</t>
  </si>
  <si>
    <t>LED62</t>
  </si>
  <si>
    <t>LED63</t>
  </si>
  <si>
    <t>LED64</t>
  </si>
  <si>
    <t>LED65</t>
  </si>
  <si>
    <t>LED67</t>
  </si>
  <si>
    <t>LED68</t>
  </si>
  <si>
    <t>LED69</t>
  </si>
  <si>
    <t>LED70</t>
  </si>
  <si>
    <t>LED71</t>
  </si>
  <si>
    <t>LED72</t>
  </si>
  <si>
    <t>LED73</t>
  </si>
  <si>
    <t>LED75</t>
  </si>
  <si>
    <t>LED76</t>
  </si>
  <si>
    <t>LED77</t>
  </si>
  <si>
    <t>LED78</t>
  </si>
  <si>
    <t>LED79</t>
  </si>
  <si>
    <t>LED81</t>
  </si>
  <si>
    <t>LED82</t>
  </si>
  <si>
    <t>LED83</t>
  </si>
  <si>
    <t>LED84</t>
  </si>
  <si>
    <t>LED85</t>
  </si>
  <si>
    <t>LED86</t>
  </si>
  <si>
    <t>LED87</t>
  </si>
  <si>
    <t>LED88</t>
  </si>
  <si>
    <t>LED90</t>
  </si>
  <si>
    <t>LED91</t>
  </si>
  <si>
    <t>LED92</t>
  </si>
  <si>
    <t>LED93</t>
  </si>
  <si>
    <t>AP2</t>
  </si>
  <si>
    <t>AP3</t>
  </si>
  <si>
    <t>AP4</t>
  </si>
  <si>
    <t>AP5</t>
  </si>
  <si>
    <t>AP6</t>
  </si>
  <si>
    <t>AP7</t>
  </si>
  <si>
    <t>AP8</t>
  </si>
  <si>
    <t>AP9</t>
  </si>
  <si>
    <t>AP10</t>
  </si>
  <si>
    <t>AP11</t>
  </si>
  <si>
    <t>AP12</t>
  </si>
  <si>
    <t>AP13</t>
  </si>
  <si>
    <t>AP14</t>
  </si>
  <si>
    <t>AP15</t>
  </si>
  <si>
    <t>AP16</t>
  </si>
  <si>
    <t>AP17</t>
  </si>
  <si>
    <t>AP18</t>
  </si>
  <si>
    <t>AP19</t>
  </si>
  <si>
    <t>AP20</t>
  </si>
  <si>
    <t>AP21</t>
  </si>
  <si>
    <t>AP22</t>
  </si>
  <si>
    <t>AP23</t>
  </si>
  <si>
    <t>AP24</t>
  </si>
  <si>
    <t>AP25</t>
  </si>
  <si>
    <t>AP26</t>
  </si>
  <si>
    <t>AP27</t>
  </si>
  <si>
    <t>AP28</t>
  </si>
  <si>
    <t>AP29</t>
  </si>
  <si>
    <t>AP30</t>
  </si>
  <si>
    <t>AP31</t>
  </si>
  <si>
    <t>AP32</t>
  </si>
  <si>
    <t>AP33</t>
  </si>
  <si>
    <t>AP34</t>
  </si>
  <si>
    <t>AP35</t>
  </si>
  <si>
    <t>AP36</t>
  </si>
  <si>
    <t>AP37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</si>
  <si>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</si>
  <si>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</si>
  <si>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</si>
  <si>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</si>
  <si>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</si>
  <si>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</si>
  <si>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</si>
  <si>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</si>
  <si>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</si>
  <si>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</si>
  <si>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</si>
  <si>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AP50</t>
  </si>
  <si>
    <t>AP51</t>
  </si>
  <si>
    <t>AP52</t>
  </si>
  <si>
    <t>AL1</t>
  </si>
  <si>
    <t>AL3</t>
  </si>
  <si>
    <t>AL4</t>
  </si>
  <si>
    <t>AL5</t>
  </si>
  <si>
    <t>AL8</t>
  </si>
  <si>
    <t>AL9</t>
  </si>
  <si>
    <t>AL10</t>
  </si>
  <si>
    <t>AL12</t>
  </si>
  <si>
    <t>AL14</t>
  </si>
  <si>
    <t>AL15</t>
  </si>
  <si>
    <t>AL16</t>
  </si>
  <si>
    <t>AL17</t>
  </si>
  <si>
    <t>AL18</t>
  </si>
  <si>
    <t>AL19</t>
  </si>
  <si>
    <t>AL20</t>
  </si>
  <si>
    <t>AL21</t>
  </si>
  <si>
    <t>AL22</t>
  </si>
  <si>
    <t>AL23</t>
  </si>
  <si>
    <t>AL25</t>
  </si>
  <si>
    <t>AL27</t>
  </si>
  <si>
    <t>AL28</t>
  </si>
  <si>
    <t>AL31</t>
  </si>
  <si>
    <t>AL32</t>
  </si>
  <si>
    <t>AL33</t>
  </si>
  <si>
    <t>AL34</t>
  </si>
  <si>
    <t>AL35</t>
  </si>
  <si>
    <t>AL36</t>
  </si>
  <si>
    <t>AL37</t>
  </si>
  <si>
    <t>AL38</t>
  </si>
  <si>
    <t>AL39</t>
  </si>
  <si>
    <t>AL40</t>
  </si>
  <si>
    <t>AL41</t>
  </si>
  <si>
    <t>AL42</t>
  </si>
  <si>
    <t>AL43</t>
  </si>
  <si>
    <t>AL24</t>
  </si>
  <si>
    <t>AL30</t>
  </si>
  <si>
    <t>AL44</t>
  </si>
  <si>
    <t>AL45</t>
  </si>
  <si>
    <t>AL46</t>
  </si>
  <si>
    <t>AL47</t>
  </si>
  <si>
    <t>AL48</t>
  </si>
  <si>
    <t>AL49</t>
  </si>
  <si>
    <t>AL50</t>
  </si>
  <si>
    <t>AL51</t>
  </si>
  <si>
    <t>AL52</t>
  </si>
  <si>
    <t>AL53</t>
  </si>
  <si>
    <t>AL54</t>
  </si>
  <si>
    <t>AL55</t>
  </si>
  <si>
    <t>AL56</t>
  </si>
  <si>
    <t>AL57</t>
  </si>
  <si>
    <t>AL58</t>
  </si>
  <si>
    <t>AL59</t>
  </si>
  <si>
    <t>AL60</t>
  </si>
  <si>
    <t>AL61</t>
  </si>
  <si>
    <t>AL62</t>
  </si>
  <si>
    <t>AL63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</si>
  <si>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</si>
  <si>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</si>
  <si>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</si>
  <si>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</si>
  <si>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</si>
  <si>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</si>
  <si>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</si>
  <si>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</si>
  <si>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</si>
  <si>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</si>
  <si>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</si>
  <si>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</si>
  <si>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</si>
  <si>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AL77</t>
  </si>
  <si>
    <t>AL78</t>
  </si>
  <si>
    <t>AL79</t>
  </si>
  <si>
    <t>AL80</t>
  </si>
  <si>
    <t>AL81</t>
  </si>
  <si>
    <t>AL82</t>
  </si>
  <si>
    <t>AL83</t>
  </si>
  <si>
    <t>AL84</t>
  </si>
  <si>
    <t>AL86</t>
  </si>
  <si>
    <t>AL87</t>
  </si>
  <si>
    <t>AL89</t>
  </si>
  <si>
    <t>AL90</t>
  </si>
  <si>
    <t>AL91</t>
  </si>
  <si>
    <t>AL92</t>
  </si>
  <si>
    <t>AL93</t>
  </si>
  <si>
    <t>AL94</t>
  </si>
  <si>
    <t>AL95</t>
  </si>
  <si>
    <t>AL96</t>
  </si>
  <si>
    <t>AL97</t>
  </si>
  <si>
    <t>AL98</t>
  </si>
  <si>
    <t>AL99</t>
  </si>
  <si>
    <t>AL100</t>
  </si>
  <si>
    <t>AL101</t>
  </si>
  <si>
    <t>AL102</t>
  </si>
  <si>
    <t>AL103</t>
  </si>
  <si>
    <t>AL104</t>
  </si>
  <si>
    <t>AL106</t>
  </si>
  <si>
    <t>AL107</t>
  </si>
  <si>
    <t>AL108</t>
  </si>
  <si>
    <t>AL109</t>
  </si>
  <si>
    <t>AK1</t>
  </si>
  <si>
    <t>AK2</t>
  </si>
  <si>
    <t>AK3</t>
  </si>
  <si>
    <t>AK4</t>
  </si>
  <si>
    <t>AK5</t>
  </si>
  <si>
    <t>AK6</t>
  </si>
  <si>
    <t>AK7</t>
  </si>
  <si>
    <t>AK9</t>
  </si>
  <si>
    <t>AK10</t>
  </si>
  <si>
    <t>AK11</t>
  </si>
  <si>
    <t>AK12</t>
  </si>
  <si>
    <t>AK13</t>
  </si>
  <si>
    <t>AK14</t>
  </si>
  <si>
    <t>AK15</t>
  </si>
  <si>
    <t>AK16</t>
  </si>
  <si>
    <t>AK18</t>
  </si>
  <si>
    <t>AK19</t>
  </si>
  <si>
    <t>AK20</t>
  </si>
  <si>
    <t>AK30</t>
  </si>
  <si>
    <t>AK21</t>
  </si>
  <si>
    <t>AK22</t>
  </si>
  <si>
    <t>AK23</t>
  </si>
  <si>
    <t>AK24</t>
  </si>
  <si>
    <t>AK25</t>
  </si>
  <si>
    <t>AK26</t>
  </si>
  <si>
    <t>AK27</t>
  </si>
  <si>
    <t>AK28</t>
  </si>
  <si>
    <t>AK29</t>
  </si>
  <si>
    <t>AB1</t>
  </si>
  <si>
    <t>AB2</t>
  </si>
  <si>
    <t>AB3</t>
  </si>
  <si>
    <t>AB4</t>
  </si>
  <si>
    <t>AB5</t>
  </si>
  <si>
    <t>AB6</t>
  </si>
  <si>
    <t>AB7</t>
  </si>
  <si>
    <t>AB8</t>
  </si>
  <si>
    <t>AB9</t>
  </si>
  <si>
    <t>AB10</t>
  </si>
  <si>
    <t>AB11</t>
  </si>
  <si>
    <t>AB12</t>
  </si>
  <si>
    <t>AB13</t>
  </si>
  <si>
    <t>AB14</t>
  </si>
  <si>
    <t>AB15</t>
  </si>
  <si>
    <t>AB16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</si>
  <si>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</si>
  <si>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</si>
  <si>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</si>
  <si>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</si>
  <si>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</si>
  <si>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</si>
  <si>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</si>
  <si>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</si>
  <si>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</si>
  <si>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</si>
  <si>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</si>
  <si>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</si>
  <si>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</si>
  <si>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</si>
  <si>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</si>
  <si>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</si>
  <si>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</si>
  <si>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</si>
  <si>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</si>
  <si>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</si>
  <si>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</si>
  <si>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</si>
  <si>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</si>
  <si>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</si>
  <si>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</si>
  <si>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</si>
  <si>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</si>
  <si>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</si>
  <si>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</si>
  <si>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</si>
  <si>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</si>
  <si>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</si>
  <si>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</si>
  <si>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</si>
  <si>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</si>
  <si>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</si>
  <si>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</si>
  <si>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</si>
  <si>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</si>
  <si>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</si>
  <si>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</si>
  <si>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</si>
  <si>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</si>
  <si>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</si>
  <si>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</si>
  <si>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</si>
  <si>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</si>
  <si>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</si>
  <si>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</si>
  <si>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</si>
  <si>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</si>
  <si>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</si>
  <si>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</si>
  <si>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</si>
  <si>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</si>
  <si>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</si>
  <si>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</si>
  <si>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</si>
  <si>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</si>
  <si>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</si>
  <si>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</si>
  <si>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</si>
  <si>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</si>
  <si>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</si>
  <si>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</si>
  <si>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</si>
  <si>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</si>
  <si>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</si>
  <si>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</si>
  <si>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</si>
  <si>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</si>
  <si>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</si>
  <si>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</si>
  <si>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</si>
  <si>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</si>
  <si>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</si>
  <si>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</si>
  <si>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</si>
  <si>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</si>
  <si>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</si>
  <si>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</si>
  <si>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CABANG</t>
  </si>
  <si>
    <t>Bobby Aquatic 1</t>
  </si>
  <si>
    <t>Last Billed:</t>
  </si>
  <si>
    <t>Tanggal:</t>
  </si>
  <si>
    <t>Kode Transaksi:</t>
  </si>
  <si>
    <t>Kode Barang:</t>
  </si>
  <si>
    <t>Jumlah: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</si>
</sst>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&quot;/&quot;mm&quot;/&quot;yy"/>
  </numFmts>
  <fonts count="6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 applyFont="1" applyAlignment="1"/>
    <xf numFmtId="0" fontId="1" fillId="0" borderId="0" xfId="0" applyFont="1" applyAlignment="1">
      <alignment horizontal="center"/>
    </xf>
    <xf numFmtId="164" fontId="2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Font="1" applyBorder="1" applyAlignment="1"/>
    <xf numFmtId="0" fontId="0" fillId="0" borderId="2" xfId="0" applyFont="1" applyBorder="1" applyAlignment="1"/>
    <xf numFmtId="164" fontId="1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657225</xdr:colOff>
      <xdr:row>12</xdr:row>
      <xdr:rowOff>53975</xdr:rowOff>
    </xdr:from>
    <xdr:to>
      <xdr:col>3</xdr:col>
      <xdr:colOff>452437</xdr:colOff>
      <xdr:row>13</xdr:row>
      <xdr:rowOff>130969</xdr:rowOff>
    </xdr:to>
    <xdr:sp macro="[0]!PENJUALAN2022" textlink="">
      <xdr:nvSpPr>
        <xdr:cNvPr id="2" name="Rounded Rectangle 1"/>
        <xdr:cNvSpPr/>
      </xdr:nvSpPr>
      <xdr:spPr>
        <a:xfrm>
          <a:off x="1268413" y="1958975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ome/levina/airflow/dags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H13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0.26953125" customWidth="1"/>
    <col min="8" max="8" width="12.90625" customWidth="1"/>
  </cols>
  <sheetData>
    <row r="4" spans="2:8" x14ac:dyDescent="0.25">
      <c r="B4" s="7"/>
      <c r="C4" s="7"/>
      <c r="D4" s="7"/>
    </row>
    <row r="5" spans="2:8" x14ac:dyDescent="0.25">
      <c r="B5" s="8" t="s">
        <v>472</v>
      </c>
      <c r="D5" s="7"/>
      <c r="F5" s="7"/>
      <c r="G5" s="7"/>
      <c r="H5" s="7"/>
    </row>
    <row r="6" spans="2:8" x14ac:dyDescent="0.25">
      <c r="D6" s="7"/>
      <c r="F6" s="7"/>
      <c r="G6" s="7"/>
      <c r="H6" s="7"/>
    </row>
    <row r="7" spans="2:8" x14ac:dyDescent="0.25">
      <c r="B7" s="8" t="s">
        <v>473</v>
      </c>
      <c r="D7" s="9"/>
      <c r="F7" s="7"/>
      <c r="G7" s="7"/>
      <c r="H7" s="9"/>
    </row>
    <row r="8" spans="2:8" x14ac:dyDescent="0.25">
      <c r="B8" s="8" t="s">
        <v>474</v>
      </c>
      <c r="D8" s="1"/>
      <c r="F8" s="7"/>
      <c r="G8" s="7"/>
      <c r="H8" s="13"/>
    </row>
    <row r="9" spans="2:8" x14ac:dyDescent="0.25">
      <c r="B9" s="8" t="s">
        <v>475</v>
      </c>
      <c r="D9" s="9"/>
      <c r="F9" s="7"/>
      <c r="G9" s="7"/>
      <c r="H9" s="12"/>
    </row>
    <row r="10" spans="2:8" x14ac:dyDescent="0.25">
      <c r="B10" s="7"/>
      <c r="D10" s="10"/>
      <c r="F10" s="7"/>
      <c r="G10" s="7"/>
      <c r="H10" s="10"/>
    </row>
    <row r="11" spans="2:8" x14ac:dyDescent="0.25">
      <c r="B11" s="8" t="s">
        <v>476</v>
      </c>
      <c r="D11" s="11"/>
      <c r="F11" s="7"/>
      <c r="G11" s="7"/>
      <c r="H11" s="11"/>
    </row>
    <row r="12" spans="2:8" x14ac:dyDescent="0.25">
      <c r="F12" s="10"/>
    </row>
    <row r="13" spans="2:8" x14ac:dyDescent="0.25">
      <c r="F13" s="1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824"/>
  <sheetViews>
    <sheetView tabSelected="1" topLeftCell="C1" workbookViewId="0">
      <selection activeCell="L3" sqref="L3"/>
    </sheetView>
  </sheetViews>
  <sheetFormatPr defaultColWidth="12.6328125" defaultRowHeight="12.5" x14ac:dyDescent="0.25"/>
  <cols>
    <col min="1" max="1" width="13.6328125" customWidth="1"/>
    <col min="2" max="2" width="19.6328125" customWidth="1"/>
    <col min="3" max="3" width="14.453125" customWidth="1"/>
    <col min="4" max="4" width="30.36328125" customWidth="1"/>
    <col min="5" max="6" width="13" customWidth="1"/>
    <col min="7" max="7" width="14" customWidth="1"/>
    <col min="8" max="8" width="13" customWidth="1"/>
    <col min="9" max="9" width="13.453125" customWidth="1"/>
    <col min="10" max="10" width="13.26953125" customWidth="1"/>
    <col min="11" max="11" width="13.7265625" customWidth="1"/>
    <col min="12" max="12" width="25" customWidth="1"/>
  </cols>
  <sheetData>
    <row r="1" spans="1:12" ht="12" customHeight="1" x14ac:dyDescent="0.25">
      <c r="A1" s="2" t="s">
        <v>464</v>
      </c>
      <c r="B1" s="3" t="s">
        <v>465</v>
      </c>
      <c r="C1" s="3" t="s">
        <v>0</v>
      </c>
      <c r="D1" s="3" t="s">
        <v>1</v>
      </c>
      <c r="E1" s="3" t="s">
        <v>466</v>
      </c>
      <c r="F1" s="3" t="s">
        <v>2</v>
      </c>
      <c r="G1" s="3" t="s">
        <v>3</v>
      </c>
      <c r="H1" s="3" t="s">
        <v>467</v>
      </c>
      <c r="I1" s="3" t="s">
        <v>468</v>
      </c>
      <c r="J1" s="3" t="s">
        <v>469</v>
      </c>
      <c r="K1" s="3" t="s">
        <v>4</v>
      </c>
      <c r="L1" s="4" t="s">
        <v>470</v>
      </c>
    </row>
    <row r="2" spans="1:12" ht="12" customHeight="1" x14ac:dyDescent="0.25">
      <c r="A2" s="14"/>
      <c r="B2" s="15"/>
      <c r="C2" s="15"/>
      <c r="D2" s="15"/>
      <c r="E2" s="15"/>
      <c r="F2" s="15"/>
      <c r="G2" s="15"/>
      <c r="H2" s="15"/>
      <c r="I2" s="15"/>
      <c r="J2" s="15"/>
      <c r="K2" s="15"/>
      <c r="L2" s="4"/>
    </row>
    <row r="3" spans="1:12" ht="12" customHeight="1" x14ac:dyDescent="0.25">
      <c r="A3" s="9">
        <v>44926</v>
      </c>
      <c r="B3" s="1">
        <v>2204560</v>
      </c>
      <c r="C3" s="9" t="s">
        <v>407</v>
      </c>
      <c r="D3" s="5" t="str">
        <f>VLOOKUP(C3,[1]master_data!$A$2:$E$495,2,FALSE)</f>
        <v>CUPANG</v>
      </c>
      <c r="E3" s="11">
        <v>1</v>
      </c>
      <c r="F3" s="5">
        <f>VLOOKUP(C3,[1]master_data!$A$2:$E$495,3,FALSE)</f>
        <v>2000</v>
      </c>
      <c r="G3" s="5">
        <f>VLOOKUP(C3,[1]master_data!$A$2:$E$495,4,FALSE)</f>
        <v>5000</v>
      </c>
      <c r="H3" s="5">
        <f t="shared" ref="H3" si="0">E3*F3</f>
        <v>2000</v>
      </c>
      <c r="I3" s="5">
        <f t="shared" ref="I3" si="1">E3*G3</f>
        <v>5000</v>
      </c>
      <c r="J3" s="5">
        <f t="shared" ref="J3" si="2">I3-H3</f>
        <v>3000</v>
      </c>
      <c r="K3" s="5" t="str">
        <f>VLOOKUP(C3,[1]master_data!$A$2:$E$495,5,FALSE)</f>
        <v>Ikan</v>
      </c>
      <c r="L3" s="5" t="s">
        <v>471</v>
      </c>
    </row>
    <row r="4" spans="1:12" ht="12" customHeight="1" x14ac:dyDescent="0.25">
      <c r="A4" s="9">
        <v>44926</v>
      </c>
      <c r="B4" s="1">
        <v>2204559</v>
      </c>
      <c r="C4" s="9" t="s">
        <v>407</v>
      </c>
      <c r="D4" s="5" t="str">
        <f>VLOOKUP(C4,[1]master_data!$A$2:$E$495,2,FALSE)</f>
        <v>CUPANG</v>
      </c>
      <c r="E4" s="11">
        <v>1</v>
      </c>
      <c r="F4" s="5">
        <f>VLOOKUP(C4,[1]master_data!$A$2:$E$495,3,FALSE)</f>
        <v>2000</v>
      </c>
      <c r="G4" s="5">
        <f>VLOOKUP(C4,[1]master_data!$A$2:$E$495,4,FALSE)</f>
        <v>5000</v>
      </c>
      <c r="H4" s="5">
        <f t="shared" ref="H4" si="3">E4*F4</f>
        <v>2000</v>
      </c>
      <c r="I4" s="5">
        <f t="shared" ref="I4" si="4">E4*G4</f>
        <v>5000</v>
      </c>
      <c r="J4" s="5">
        <f t="shared" ref="J4" si="5">I4-H4</f>
        <v>3000</v>
      </c>
      <c r="K4" s="5" t="str">
        <f>VLOOKUP(C4,[1]master_data!$A$2:$E$495,5,FALSE)</f>
        <v>Ikan</v>
      </c>
      <c r="L4" s="5" t="s">
        <v>471</v>
      </c>
    </row>
    <row r="5" spans="1:12" ht="12" customHeight="1" x14ac:dyDescent="0.25">
      <c r="A5" s="9">
        <v>44926</v>
      </c>
      <c r="B5" s="1">
        <v>2204558</v>
      </c>
      <c r="C5" s="9" t="s">
        <v>7</v>
      </c>
      <c r="D5" s="5" t="str">
        <f>VLOOKUP(C5,[1]master_data!$A$2:$E$495,2,FALSE)</f>
        <v>MESIN YANG 1600</v>
      </c>
      <c r="E5" s="11">
        <v>1</v>
      </c>
      <c r="F5" s="5">
        <f>VLOOKUP(C5,[1]master_data!$A$2:$E$495,3,FALSE)</f>
        <v>64000</v>
      </c>
      <c r="G5" s="5">
        <f>VLOOKUP(C5,[1]master_data!$A$2:$E$495,4,FALSE)</f>
        <v>90000</v>
      </c>
      <c r="H5" s="5">
        <f t="shared" ref="H5:H68" si="6">E5*F5</f>
        <v>64000</v>
      </c>
      <c r="I5" s="5">
        <f t="shared" ref="I5:I68" si="7">E5*G5</f>
        <v>90000</v>
      </c>
      <c r="J5" s="5">
        <f t="shared" ref="J5:J68" si="8">I5-H5</f>
        <v>26000</v>
      </c>
      <c r="K5" s="5" t="str">
        <f>VLOOKUP(C5,[1]master_data!$A$2:$E$495,5,FALSE)</f>
        <v>Aksesoris</v>
      </c>
      <c r="L5" s="5" t="s">
        <v>471</v>
      </c>
    </row>
    <row r="6" spans="1:12" ht="12" customHeight="1" x14ac:dyDescent="0.25">
      <c r="A6" s="6">
        <v>44926</v>
      </c>
      <c r="B6" s="1">
        <v>2204557</v>
      </c>
      <c r="C6" s="5" t="s">
        <v>256</v>
      </c>
      <c r="D6" s="5" t="str">
        <f>VLOOKUP(C6,[1]master_data!$A$2:$E$495,2,FALSE)</f>
        <v>BACKGROUND</v>
      </c>
      <c r="E6" s="5">
        <v>10</v>
      </c>
      <c r="F6" s="5">
        <f>VLOOKUP(C6,[1]master_data!$A$2:$E$495,3,FALSE)</f>
        <v>8000</v>
      </c>
      <c r="G6" s="5">
        <f>VLOOKUP(C6,[1]master_data!$A$2:$E$495,4,FALSE)</f>
        <v>15000</v>
      </c>
      <c r="H6" s="5">
        <f t="shared" si="6"/>
        <v>80000</v>
      </c>
      <c r="I6" s="5">
        <f t="shared" si="7"/>
        <v>150000</v>
      </c>
      <c r="J6" s="5">
        <f t="shared" si="8"/>
        <v>70000</v>
      </c>
      <c r="K6" s="5" t="str">
        <f>VLOOKUP(C6,[1]master_data!$A$2:$E$495,5,FALSE)</f>
        <v>Aksesoris</v>
      </c>
      <c r="L6" s="5" t="s">
        <v>471</v>
      </c>
    </row>
    <row r="7" spans="1:12" ht="12" customHeight="1" x14ac:dyDescent="0.25">
      <c r="A7" s="6">
        <v>44926</v>
      </c>
      <c r="B7" s="1">
        <v>2204556</v>
      </c>
      <c r="C7" s="5" t="s">
        <v>459</v>
      </c>
      <c r="D7" s="5" t="str">
        <f>VLOOKUP(C7,[1]master_data!$A$2:$E$495,2,FALSE)</f>
        <v>ZEBRA UNGU</v>
      </c>
      <c r="E7" s="5">
        <v>10</v>
      </c>
      <c r="F7" s="5">
        <f>VLOOKUP(C7,[1]master_data!$A$2:$E$495,3,FALSE)</f>
        <v>800</v>
      </c>
      <c r="G7" s="5">
        <f>VLOOKUP(C7,[1]master_data!$A$2:$E$495,4,FALSE)</f>
        <v>2000</v>
      </c>
      <c r="H7" s="5">
        <f t="shared" si="6"/>
        <v>8000</v>
      </c>
      <c r="I7" s="5">
        <f t="shared" si="7"/>
        <v>20000</v>
      </c>
      <c r="J7" s="5">
        <f t="shared" si="8"/>
        <v>12000</v>
      </c>
      <c r="K7" s="5" t="str">
        <f>VLOOKUP(C7,[1]master_data!$A$2:$E$495,5,FALSE)</f>
        <v>Ikan</v>
      </c>
      <c r="L7" s="5" t="s">
        <v>471</v>
      </c>
    </row>
    <row r="8" spans="1:12" ht="12" customHeight="1" x14ac:dyDescent="0.25">
      <c r="A8" s="6">
        <v>44926</v>
      </c>
      <c r="B8" s="1">
        <v>2204555</v>
      </c>
      <c r="C8" s="5" t="s">
        <v>407</v>
      </c>
      <c r="D8" s="5" t="str">
        <f>VLOOKUP(C8,[1]master_data!$A$2:$E$495,2,FALSE)</f>
        <v>CUPANG</v>
      </c>
      <c r="E8" s="5">
        <v>10</v>
      </c>
      <c r="F8" s="5">
        <f>VLOOKUP(C8,[1]master_data!$A$2:$E$495,3,FALSE)</f>
        <v>2000</v>
      </c>
      <c r="G8" s="5">
        <f>VLOOKUP(C8,[1]master_data!$A$2:$E$495,4,FALSE)</f>
        <v>5000</v>
      </c>
      <c r="H8" s="5">
        <f t="shared" si="6"/>
        <v>20000</v>
      </c>
      <c r="I8" s="5">
        <f t="shared" si="7"/>
        <v>50000</v>
      </c>
      <c r="J8" s="5">
        <f t="shared" si="8"/>
        <v>30000</v>
      </c>
      <c r="K8" s="5" t="str">
        <f>VLOOKUP(C8,[1]master_data!$A$2:$E$495,5,FALSE)</f>
        <v>Ikan</v>
      </c>
      <c r="L8" s="5" t="s">
        <v>471</v>
      </c>
    </row>
    <row r="9" spans="1:12" ht="12" customHeight="1" x14ac:dyDescent="0.25">
      <c r="A9" s="6">
        <v>44926</v>
      </c>
      <c r="B9" s="1">
        <v>2204554</v>
      </c>
      <c r="C9" s="5" t="s">
        <v>411</v>
      </c>
      <c r="D9" s="5" t="str">
        <f>VLOOKUP(C9,[1]master_data!$A$2:$E$495,2,FALSE)</f>
        <v>GOLDEN BLACK</v>
      </c>
      <c r="E9" s="5">
        <v>25</v>
      </c>
      <c r="F9" s="5">
        <f>VLOOKUP(C9,[1]master_data!$A$2:$E$495,3,FALSE)</f>
        <v>800</v>
      </c>
      <c r="G9" s="5">
        <f>VLOOKUP(C9,[1]master_data!$A$2:$E$495,4,FALSE)</f>
        <v>2000</v>
      </c>
      <c r="H9" s="5">
        <f t="shared" si="6"/>
        <v>20000</v>
      </c>
      <c r="I9" s="5">
        <f t="shared" si="7"/>
        <v>50000</v>
      </c>
      <c r="J9" s="5">
        <f t="shared" si="8"/>
        <v>30000</v>
      </c>
      <c r="K9" s="5" t="str">
        <f>VLOOKUP(C9,[1]master_data!$A$2:$E$495,5,FALSE)</f>
        <v>Ikan</v>
      </c>
      <c r="L9" s="5" t="s">
        <v>471</v>
      </c>
    </row>
    <row r="10" spans="1:12" ht="12" customHeight="1" x14ac:dyDescent="0.25">
      <c r="A10" s="6">
        <v>44926</v>
      </c>
      <c r="B10" s="1">
        <v>2204553</v>
      </c>
      <c r="C10" s="5" t="s">
        <v>184</v>
      </c>
      <c r="D10" s="5" t="str">
        <f>VLOOKUP(C10,[1]master_data!$A$2:$E$495,2,FALSE)</f>
        <v>LED KANDILA PRO RED 150 CM</v>
      </c>
      <c r="E10" s="5">
        <v>1</v>
      </c>
      <c r="F10" s="5">
        <f>VLOOKUP(C10,[1]master_data!$A$2:$E$495,3,FALSE)</f>
        <v>265000</v>
      </c>
      <c r="G10" s="5">
        <f>VLOOKUP(C10,[1]master_data!$A$2:$E$495,4,FALSE)</f>
        <v>365000</v>
      </c>
      <c r="H10" s="5">
        <f t="shared" si="6"/>
        <v>265000</v>
      </c>
      <c r="I10" s="5">
        <f t="shared" si="7"/>
        <v>365000</v>
      </c>
      <c r="J10" s="5">
        <f t="shared" si="8"/>
        <v>100000</v>
      </c>
      <c r="K10" s="5" t="str">
        <f>VLOOKUP(C10,[1]master_data!$A$2:$E$495,5,FALSE)</f>
        <v>Aksesoris</v>
      </c>
      <c r="L10" s="5" t="s">
        <v>471</v>
      </c>
    </row>
    <row r="11" spans="1:12" ht="12" customHeight="1" x14ac:dyDescent="0.25">
      <c r="A11" s="6">
        <v>44926</v>
      </c>
      <c r="B11" s="1">
        <v>2204552</v>
      </c>
      <c r="C11" s="5" t="s">
        <v>412</v>
      </c>
      <c r="D11" s="5" t="str">
        <f>VLOOKUP(C11,[1]master_data!$A$2:$E$495,2,FALSE)</f>
        <v>HIU TAWAR</v>
      </c>
      <c r="E11" s="5">
        <v>20</v>
      </c>
      <c r="F11" s="5">
        <f>VLOOKUP(C11,[1]master_data!$A$2:$E$495,3,FALSE)</f>
        <v>600</v>
      </c>
      <c r="G11" s="5">
        <f>VLOOKUP(C11,[1]master_data!$A$2:$E$495,4,FALSE)</f>
        <v>2000</v>
      </c>
      <c r="H11" s="5">
        <f t="shared" si="6"/>
        <v>12000</v>
      </c>
      <c r="I11" s="5">
        <f t="shared" si="7"/>
        <v>40000</v>
      </c>
      <c r="J11" s="5">
        <f t="shared" si="8"/>
        <v>28000</v>
      </c>
      <c r="K11" s="5" t="str">
        <f>VLOOKUP(C11,[1]master_data!$A$2:$E$495,5,FALSE)</f>
        <v>Ikan</v>
      </c>
      <c r="L11" s="5" t="s">
        <v>471</v>
      </c>
    </row>
    <row r="12" spans="1:12" ht="12" customHeight="1" x14ac:dyDescent="0.25">
      <c r="A12" s="6">
        <v>44926</v>
      </c>
      <c r="B12" s="1">
        <v>2204551</v>
      </c>
      <c r="C12" s="5" t="s">
        <v>310</v>
      </c>
      <c r="D12" s="5" t="str">
        <f>VLOOKUP(C12,[1]master_data!$A$2:$E$495,2,FALSE)</f>
        <v>SELANG FUSO</v>
      </c>
      <c r="E12" s="5">
        <v>30</v>
      </c>
      <c r="F12" s="5">
        <f>VLOOKUP(C12,[1]master_data!$A$2:$E$495,3,FALSE)</f>
        <v>800</v>
      </c>
      <c r="G12" s="5">
        <f>VLOOKUP(C12,[1]master_data!$A$2:$E$495,4,FALSE)</f>
        <v>2000</v>
      </c>
      <c r="H12" s="5">
        <f t="shared" si="6"/>
        <v>24000</v>
      </c>
      <c r="I12" s="5">
        <f t="shared" si="7"/>
        <v>60000</v>
      </c>
      <c r="J12" s="5">
        <f t="shared" si="8"/>
        <v>36000</v>
      </c>
      <c r="K12" s="5" t="str">
        <f>VLOOKUP(C12,[1]master_data!$A$2:$E$495,5,FALSE)</f>
        <v>Aksesoris</v>
      </c>
      <c r="L12" s="5" t="s">
        <v>471</v>
      </c>
    </row>
    <row r="13" spans="1:12" ht="12" customHeight="1" x14ac:dyDescent="0.25">
      <c r="A13" s="6">
        <v>44926</v>
      </c>
      <c r="B13" s="1">
        <v>2204550</v>
      </c>
      <c r="C13" s="5" t="s">
        <v>12</v>
      </c>
      <c r="D13" s="5" t="str">
        <f>VLOOKUP(C13,[1]master_data!$A$2:$E$495,2,FALSE)</f>
        <v>MESIN YANG 104</v>
      </c>
      <c r="E13" s="5">
        <v>2</v>
      </c>
      <c r="F13" s="5">
        <f>VLOOKUP(C13,[1]master_data!$A$2:$E$495,3,FALSE)</f>
        <v>98000</v>
      </c>
      <c r="G13" s="5">
        <f>VLOOKUP(C13,[1]master_data!$A$2:$E$495,4,FALSE)</f>
        <v>140000</v>
      </c>
      <c r="H13" s="5">
        <f t="shared" si="6"/>
        <v>196000</v>
      </c>
      <c r="I13" s="5">
        <f t="shared" si="7"/>
        <v>280000</v>
      </c>
      <c r="J13" s="5">
        <f t="shared" si="8"/>
        <v>84000</v>
      </c>
      <c r="K13" s="5" t="str">
        <f>VLOOKUP(C13,[1]master_data!$A$2:$E$495,5,FALSE)</f>
        <v>Aksesoris</v>
      </c>
      <c r="L13" s="5" t="s">
        <v>471</v>
      </c>
    </row>
    <row r="14" spans="1:12" ht="12" customHeight="1" x14ac:dyDescent="0.25">
      <c r="A14" s="6">
        <v>44925</v>
      </c>
      <c r="B14" s="1">
        <v>2204549</v>
      </c>
      <c r="C14" s="5" t="s">
        <v>418</v>
      </c>
      <c r="D14" s="5" t="str">
        <f>VLOOKUP(C14,[1]master_data!$A$2:$E$495,2,FALSE)</f>
        <v>KOI B</v>
      </c>
      <c r="E14" s="5">
        <v>2</v>
      </c>
      <c r="F14" s="5">
        <f>VLOOKUP(C14,[1]master_data!$A$2:$E$495,3,FALSE)</f>
        <v>9000</v>
      </c>
      <c r="G14" s="5">
        <f>VLOOKUP(C14,[1]master_data!$A$2:$E$495,4,FALSE)</f>
        <v>30000</v>
      </c>
      <c r="H14" s="5">
        <f t="shared" si="6"/>
        <v>18000</v>
      </c>
      <c r="I14" s="5">
        <f t="shared" si="7"/>
        <v>60000</v>
      </c>
      <c r="J14" s="5">
        <f t="shared" si="8"/>
        <v>42000</v>
      </c>
      <c r="K14" s="5" t="str">
        <f>VLOOKUP(C14,[1]master_data!$A$2:$E$495,5,FALSE)</f>
        <v>Ikan</v>
      </c>
      <c r="L14" s="5" t="s">
        <v>471</v>
      </c>
    </row>
    <row r="15" spans="1:12" ht="12" customHeight="1" x14ac:dyDescent="0.25">
      <c r="A15" s="6">
        <v>44925</v>
      </c>
      <c r="B15" s="1">
        <v>2204548</v>
      </c>
      <c r="C15" s="5" t="s">
        <v>265</v>
      </c>
      <c r="D15" s="5" t="str">
        <f>VLOOKUP(C15,[1]master_data!$A$2:$E$495,2,FALSE)</f>
        <v>COP SELANG</v>
      </c>
      <c r="E15" s="5">
        <v>1</v>
      </c>
      <c r="F15" s="5">
        <f>VLOOKUP(C15,[1]master_data!$A$2:$E$495,3,FALSE)</f>
        <v>750</v>
      </c>
      <c r="G15" s="5">
        <f>VLOOKUP(C15,[1]master_data!$A$2:$E$495,4,FALSE)</f>
        <v>1500</v>
      </c>
      <c r="H15" s="5">
        <f t="shared" si="6"/>
        <v>750</v>
      </c>
      <c r="I15" s="5">
        <f t="shared" si="7"/>
        <v>1500</v>
      </c>
      <c r="J15" s="5">
        <f t="shared" si="8"/>
        <v>750</v>
      </c>
      <c r="K15" s="5" t="str">
        <f>VLOOKUP(C15,[1]master_data!$A$2:$E$495,5,FALSE)</f>
        <v>Aksesoris</v>
      </c>
      <c r="L15" s="5" t="s">
        <v>471</v>
      </c>
    </row>
    <row r="16" spans="1:12" ht="12" customHeight="1" x14ac:dyDescent="0.25">
      <c r="A16" s="6">
        <v>44925</v>
      </c>
      <c r="B16" s="1">
        <v>2204547</v>
      </c>
      <c r="C16" s="5" t="s">
        <v>205</v>
      </c>
      <c r="D16" s="5" t="str">
        <f>VLOOKUP(C16,[1]master_data!$A$2:$E$495,2,FALSE)</f>
        <v>HIKARI VIBRA BITES 35 GR</v>
      </c>
      <c r="E16" s="5">
        <v>1</v>
      </c>
      <c r="F16" s="5">
        <f>VLOOKUP(C16,[1]master_data!$A$2:$E$495,3,FALSE)</f>
        <v>28500</v>
      </c>
      <c r="G16" s="5">
        <f>VLOOKUP(C16,[1]master_data!$A$2:$E$495,4,FALSE)</f>
        <v>40000</v>
      </c>
      <c r="H16" s="5">
        <f t="shared" si="6"/>
        <v>28500</v>
      </c>
      <c r="I16" s="5">
        <f t="shared" si="7"/>
        <v>40000</v>
      </c>
      <c r="J16" s="5">
        <f t="shared" si="8"/>
        <v>11500</v>
      </c>
      <c r="K16" s="5" t="str">
        <f>VLOOKUP(C16,[1]master_data!$A$2:$E$495,5,FALSE)</f>
        <v>Aksesoris</v>
      </c>
      <c r="L16" s="5" t="s">
        <v>471</v>
      </c>
    </row>
    <row r="17" spans="1:12" ht="12" customHeight="1" x14ac:dyDescent="0.25">
      <c r="A17" s="6">
        <v>44925</v>
      </c>
      <c r="B17" s="1">
        <v>2204546</v>
      </c>
      <c r="C17" s="5" t="s">
        <v>59</v>
      </c>
      <c r="D17" s="5" t="str">
        <f>VLOOKUP(C17,[1]master_data!$A$2:$E$495,2,FALSE)</f>
        <v>MESIN KANDILA 1200</v>
      </c>
      <c r="E17" s="5">
        <v>10</v>
      </c>
      <c r="F17" s="5">
        <f>VLOOKUP(C17,[1]master_data!$A$2:$E$495,3,FALSE)</f>
        <v>19000</v>
      </c>
      <c r="G17" s="5">
        <f>VLOOKUP(C17,[1]master_data!$A$2:$E$495,4,FALSE)</f>
        <v>30000</v>
      </c>
      <c r="H17" s="5">
        <f t="shared" si="6"/>
        <v>190000</v>
      </c>
      <c r="I17" s="5">
        <f t="shared" si="7"/>
        <v>300000</v>
      </c>
      <c r="J17" s="5">
        <f t="shared" si="8"/>
        <v>110000</v>
      </c>
      <c r="K17" s="5" t="str">
        <f>VLOOKUP(C17,[1]master_data!$A$2:$E$495,5,FALSE)</f>
        <v>Aksesoris</v>
      </c>
      <c r="L17" s="5" t="s">
        <v>471</v>
      </c>
    </row>
    <row r="18" spans="1:12" ht="12" customHeight="1" x14ac:dyDescent="0.25">
      <c r="A18" s="6">
        <v>44925</v>
      </c>
      <c r="B18" s="1">
        <v>2204545</v>
      </c>
      <c r="C18" s="5" t="s">
        <v>452</v>
      </c>
      <c r="D18" s="5" t="str">
        <f>VLOOKUP(C18,[1]master_data!$A$2:$E$495,2,FALSE)</f>
        <v>SNOW WHITE</v>
      </c>
      <c r="E18" s="5">
        <v>25</v>
      </c>
      <c r="F18" s="5">
        <f>VLOOKUP(C18,[1]master_data!$A$2:$E$495,3,FALSE)</f>
        <v>1500</v>
      </c>
      <c r="G18" s="5">
        <f>VLOOKUP(C18,[1]master_data!$A$2:$E$495,4,FALSE)</f>
        <v>3000</v>
      </c>
      <c r="H18" s="5">
        <f t="shared" si="6"/>
        <v>37500</v>
      </c>
      <c r="I18" s="5">
        <f t="shared" si="7"/>
        <v>75000</v>
      </c>
      <c r="J18" s="5">
        <f t="shared" si="8"/>
        <v>37500</v>
      </c>
      <c r="K18" s="5" t="str">
        <f>VLOOKUP(C18,[1]master_data!$A$2:$E$495,5,FALSE)</f>
        <v>Ikan</v>
      </c>
      <c r="L18" s="5" t="s">
        <v>471</v>
      </c>
    </row>
    <row r="19" spans="1:12" ht="12" customHeight="1" x14ac:dyDescent="0.25">
      <c r="A19" s="6">
        <v>44925</v>
      </c>
      <c r="B19" s="1">
        <v>2204544</v>
      </c>
      <c r="C19" s="5" t="s">
        <v>266</v>
      </c>
      <c r="D19" s="5" t="str">
        <f>VLOOKUP(C19,[1]master_data!$A$2:$E$495,2,FALSE)</f>
        <v>HEATER STENLEES 25 W</v>
      </c>
      <c r="E19" s="5">
        <v>1</v>
      </c>
      <c r="F19" s="5">
        <f>VLOOKUP(C19,[1]master_data!$A$2:$E$495,3,FALSE)</f>
        <v>56500</v>
      </c>
      <c r="G19" s="5">
        <f>VLOOKUP(C19,[1]master_data!$A$2:$E$495,4,FALSE)</f>
        <v>85000</v>
      </c>
      <c r="H19" s="5">
        <f t="shared" si="6"/>
        <v>56500</v>
      </c>
      <c r="I19" s="5">
        <f t="shared" si="7"/>
        <v>85000</v>
      </c>
      <c r="J19" s="5">
        <f t="shared" si="8"/>
        <v>28500</v>
      </c>
      <c r="K19" s="5" t="str">
        <f>VLOOKUP(C19,[1]master_data!$A$2:$E$495,5,FALSE)</f>
        <v>Aksesoris</v>
      </c>
      <c r="L19" s="5" t="s">
        <v>471</v>
      </c>
    </row>
    <row r="20" spans="1:12" ht="12" customHeight="1" x14ac:dyDescent="0.25">
      <c r="A20" s="6">
        <v>44925</v>
      </c>
      <c r="B20" s="1">
        <v>2204543</v>
      </c>
      <c r="C20" s="5" t="s">
        <v>441</v>
      </c>
      <c r="D20" s="5" t="str">
        <f>VLOOKUP(C20,[1]master_data!$A$2:$E$495,2,FALSE)</f>
        <v>PEMBERSIH KACA BIASA</v>
      </c>
      <c r="E20" s="5">
        <v>1</v>
      </c>
      <c r="F20" s="5">
        <f>VLOOKUP(C20,[1]master_data!$A$2:$E$495,3,FALSE)</f>
        <v>2000</v>
      </c>
      <c r="G20" s="5">
        <f>VLOOKUP(C20,[1]master_data!$A$2:$E$495,4,FALSE)</f>
        <v>5000</v>
      </c>
      <c r="H20" s="5">
        <f t="shared" si="6"/>
        <v>2000</v>
      </c>
      <c r="I20" s="5">
        <f t="shared" si="7"/>
        <v>5000</v>
      </c>
      <c r="J20" s="5">
        <f t="shared" si="8"/>
        <v>3000</v>
      </c>
      <c r="K20" s="5" t="str">
        <f>VLOOKUP(C20,[1]master_data!$A$2:$E$495,5,FALSE)</f>
        <v>Ikan</v>
      </c>
      <c r="L20" s="5" t="s">
        <v>471</v>
      </c>
    </row>
    <row r="21" spans="1:12" ht="12" customHeight="1" x14ac:dyDescent="0.25">
      <c r="A21" s="6">
        <v>44925</v>
      </c>
      <c r="B21" s="1">
        <v>2204542</v>
      </c>
      <c r="C21" s="5" t="s">
        <v>170</v>
      </c>
      <c r="D21" s="5" t="str">
        <f>VLOOKUP(C21,[1]master_data!$A$2:$E$495,2,FALSE)</f>
        <v>LED KANDILA DnN 60 CM</v>
      </c>
      <c r="E21" s="5">
        <v>1</v>
      </c>
      <c r="F21" s="5">
        <f>VLOOKUP(C21,[1]master_data!$A$2:$E$495,3,FALSE)</f>
        <v>32000</v>
      </c>
      <c r="G21" s="5">
        <f>VLOOKUP(C21,[1]master_data!$A$2:$E$495,4,FALSE)</f>
        <v>70000</v>
      </c>
      <c r="H21" s="5">
        <f t="shared" si="6"/>
        <v>32000</v>
      </c>
      <c r="I21" s="5">
        <f t="shared" si="7"/>
        <v>70000</v>
      </c>
      <c r="J21" s="5">
        <f t="shared" si="8"/>
        <v>38000</v>
      </c>
      <c r="K21" s="5" t="str">
        <f>VLOOKUP(C21,[1]master_data!$A$2:$E$495,5,FALSE)</f>
        <v>Aksesoris</v>
      </c>
      <c r="L21" s="5" t="s">
        <v>471</v>
      </c>
    </row>
    <row r="22" spans="1:12" ht="12" customHeight="1" x14ac:dyDescent="0.25">
      <c r="A22" s="6">
        <v>44925</v>
      </c>
      <c r="B22" s="1">
        <v>2204541</v>
      </c>
      <c r="C22" s="5" t="s">
        <v>50</v>
      </c>
      <c r="D22" s="5" t="str">
        <f>VLOOKUP(C22,[1]master_data!$A$2:$E$495,2,FALSE)</f>
        <v>MESIN SWI 1600</v>
      </c>
      <c r="E22" s="5">
        <v>1</v>
      </c>
      <c r="F22" s="5">
        <f>VLOOKUP(C22,[1]master_data!$A$2:$E$495,3,FALSE)</f>
        <v>37500</v>
      </c>
      <c r="G22" s="5">
        <f>VLOOKUP(C22,[1]master_data!$A$2:$E$495,4,FALSE)</f>
        <v>55000</v>
      </c>
      <c r="H22" s="5">
        <f t="shared" si="6"/>
        <v>37500</v>
      </c>
      <c r="I22" s="5">
        <f t="shared" si="7"/>
        <v>55000</v>
      </c>
      <c r="J22" s="5">
        <f t="shared" si="8"/>
        <v>17500</v>
      </c>
      <c r="K22" s="5" t="str">
        <f>VLOOKUP(C22,[1]master_data!$A$2:$E$495,5,FALSE)</f>
        <v>Aksesoris</v>
      </c>
      <c r="L22" s="5" t="s">
        <v>471</v>
      </c>
    </row>
    <row r="23" spans="1:12" ht="12" customHeight="1" x14ac:dyDescent="0.25">
      <c r="A23" s="6">
        <v>44925</v>
      </c>
      <c r="B23" s="1">
        <v>2204540</v>
      </c>
      <c r="C23" s="5" t="s">
        <v>186</v>
      </c>
      <c r="D23" s="5" t="str">
        <f>VLOOKUP(C23,[1]master_data!$A$2:$E$495,2,FALSE)</f>
        <v>LED RECENT DnN 50CM</v>
      </c>
      <c r="E23" s="5">
        <v>1</v>
      </c>
      <c r="F23" s="5">
        <f>VLOOKUP(C23,[1]master_data!$A$2:$E$495,3,FALSE)</f>
        <v>30000</v>
      </c>
      <c r="G23" s="5">
        <f>VLOOKUP(C23,[1]master_data!$A$2:$E$495,4,FALSE)</f>
        <v>60000</v>
      </c>
      <c r="H23" s="5">
        <f t="shared" si="6"/>
        <v>30000</v>
      </c>
      <c r="I23" s="5">
        <f t="shared" si="7"/>
        <v>60000</v>
      </c>
      <c r="J23" s="5">
        <f t="shared" si="8"/>
        <v>30000</v>
      </c>
      <c r="K23" s="5" t="str">
        <f>VLOOKUP(C23,[1]master_data!$A$2:$E$495,5,FALSE)</f>
        <v>Aksesoris</v>
      </c>
      <c r="L23" s="5" t="s">
        <v>471</v>
      </c>
    </row>
    <row r="24" spans="1:12" ht="12" customHeight="1" x14ac:dyDescent="0.25">
      <c r="A24" s="6">
        <v>44925</v>
      </c>
      <c r="B24" s="1">
        <v>2204539</v>
      </c>
      <c r="C24" s="5" t="s">
        <v>154</v>
      </c>
      <c r="D24" s="5" t="str">
        <f>VLOOKUP(C24,[1]master_data!$A$2:$E$495,2,FALSE)</f>
        <v>LED VOSSO A 600</v>
      </c>
      <c r="E24" s="5">
        <v>2</v>
      </c>
      <c r="F24" s="5">
        <f>VLOOKUP(C24,[1]master_data!$A$2:$E$495,3,FALSE)</f>
        <v>55000</v>
      </c>
      <c r="G24" s="5">
        <f>VLOOKUP(C24,[1]master_data!$A$2:$E$495,4,FALSE)</f>
        <v>75000</v>
      </c>
      <c r="H24" s="5">
        <f t="shared" si="6"/>
        <v>110000</v>
      </c>
      <c r="I24" s="5">
        <f t="shared" si="7"/>
        <v>150000</v>
      </c>
      <c r="J24" s="5">
        <f t="shared" si="8"/>
        <v>40000</v>
      </c>
      <c r="K24" s="5" t="str">
        <f>VLOOKUP(C24,[1]master_data!$A$2:$E$495,5,FALSE)</f>
        <v>Aksesoris</v>
      </c>
      <c r="L24" s="5" t="s">
        <v>471</v>
      </c>
    </row>
    <row r="25" spans="1:12" ht="12" customHeight="1" x14ac:dyDescent="0.25">
      <c r="A25" s="6">
        <v>44925</v>
      </c>
      <c r="B25" s="1">
        <v>2204538</v>
      </c>
      <c r="C25" s="5" t="s">
        <v>410</v>
      </c>
      <c r="D25" s="5" t="str">
        <f>VLOOKUP(C25,[1]master_data!$A$2:$E$495,2,FALSE)</f>
        <v>GUPY</v>
      </c>
      <c r="E25" s="5">
        <v>1</v>
      </c>
      <c r="F25" s="5">
        <f>VLOOKUP(C25,[1]master_data!$A$2:$E$495,3,FALSE)</f>
        <v>1200</v>
      </c>
      <c r="G25" s="5">
        <f>VLOOKUP(C25,[1]master_data!$A$2:$E$495,4,FALSE)</f>
        <v>2500</v>
      </c>
      <c r="H25" s="5">
        <f t="shared" si="6"/>
        <v>1200</v>
      </c>
      <c r="I25" s="5">
        <f t="shared" si="7"/>
        <v>2500</v>
      </c>
      <c r="J25" s="5">
        <f t="shared" si="8"/>
        <v>1300</v>
      </c>
      <c r="K25" s="5" t="str">
        <f>VLOOKUP(C25,[1]master_data!$A$2:$E$495,5,FALSE)</f>
        <v>Ikan</v>
      </c>
      <c r="L25" s="5" t="s">
        <v>471</v>
      </c>
    </row>
    <row r="26" spans="1:12" ht="12" customHeight="1" x14ac:dyDescent="0.25">
      <c r="A26" s="6">
        <v>44925</v>
      </c>
      <c r="B26" s="1">
        <v>2204537</v>
      </c>
      <c r="C26" s="5" t="s">
        <v>364</v>
      </c>
      <c r="D26" s="5" t="str">
        <f>VLOOKUP(C26,[1]master_data!$A$2:$E$495,2,FALSE)</f>
        <v>AKUARIUM 40 ROBOT</v>
      </c>
      <c r="E26" s="5">
        <v>1</v>
      </c>
      <c r="F26" s="5">
        <f>VLOOKUP(C26,[1]master_data!$A$2:$E$495,3,FALSE)</f>
        <v>9000</v>
      </c>
      <c r="G26" s="5">
        <f>VLOOKUP(C26,[1]master_data!$A$2:$E$495,4,FALSE)</f>
        <v>135000</v>
      </c>
      <c r="H26" s="5">
        <f t="shared" si="6"/>
        <v>9000</v>
      </c>
      <c r="I26" s="5">
        <f t="shared" si="7"/>
        <v>135000</v>
      </c>
      <c r="J26" s="5">
        <f t="shared" si="8"/>
        <v>126000</v>
      </c>
      <c r="K26" s="5" t="str">
        <f>VLOOKUP(C26,[1]master_data!$A$2:$E$495,5,FALSE)</f>
        <v>Aksesoris</v>
      </c>
      <c r="L26" s="5" t="s">
        <v>471</v>
      </c>
    </row>
    <row r="27" spans="1:12" ht="12" customHeight="1" x14ac:dyDescent="0.25">
      <c r="A27" s="6">
        <v>44925</v>
      </c>
      <c r="B27" s="1">
        <v>2204536</v>
      </c>
      <c r="C27" s="5" t="s">
        <v>22</v>
      </c>
      <c r="D27" s="5" t="str">
        <f>VLOOKUP(C27,[1]master_data!$A$2:$E$495,2,FALSE)</f>
        <v>MESIN ROSTON 2600</v>
      </c>
      <c r="E27" s="5">
        <v>1</v>
      </c>
      <c r="F27" s="5">
        <f>VLOOKUP(C27,[1]master_data!$A$2:$E$495,3,FALSE)</f>
        <v>45000</v>
      </c>
      <c r="G27" s="5">
        <f>VLOOKUP(C27,[1]master_data!$A$2:$E$495,4,FALSE)</f>
        <v>75000</v>
      </c>
      <c r="H27" s="5">
        <f t="shared" si="6"/>
        <v>45000</v>
      </c>
      <c r="I27" s="5">
        <f t="shared" si="7"/>
        <v>75000</v>
      </c>
      <c r="J27" s="5">
        <f t="shared" si="8"/>
        <v>30000</v>
      </c>
      <c r="K27" s="5" t="str">
        <f>VLOOKUP(C27,[1]master_data!$A$2:$E$495,5,FALSE)</f>
        <v>Aksesoris</v>
      </c>
      <c r="L27" s="5" t="s">
        <v>471</v>
      </c>
    </row>
    <row r="28" spans="1:12" ht="12" customHeight="1" x14ac:dyDescent="0.25">
      <c r="A28" s="6">
        <v>44925</v>
      </c>
      <c r="B28" s="1">
        <v>2204535</v>
      </c>
      <c r="C28" s="5" t="s">
        <v>280</v>
      </c>
      <c r="D28" s="5" t="str">
        <f>VLOOKUP(C28,[1]master_data!$A$2:$E$495,2,FALSE)</f>
        <v>KRAN 2 W</v>
      </c>
      <c r="E28" s="5">
        <v>1</v>
      </c>
      <c r="F28" s="5">
        <f>VLOOKUP(C28,[1]master_data!$A$2:$E$495,3,FALSE)</f>
        <v>4000</v>
      </c>
      <c r="G28" s="5">
        <f>VLOOKUP(C28,[1]master_data!$A$2:$E$495,4,FALSE)</f>
        <v>6000</v>
      </c>
      <c r="H28" s="5">
        <f t="shared" si="6"/>
        <v>4000</v>
      </c>
      <c r="I28" s="5">
        <f t="shared" si="7"/>
        <v>6000</v>
      </c>
      <c r="J28" s="5">
        <f t="shared" si="8"/>
        <v>2000</v>
      </c>
      <c r="K28" s="5" t="str">
        <f>VLOOKUP(C28,[1]master_data!$A$2:$E$495,5,FALSE)</f>
        <v>Aksesoris</v>
      </c>
      <c r="L28" s="5" t="s">
        <v>471</v>
      </c>
    </row>
    <row r="29" spans="1:12" ht="12" customHeight="1" x14ac:dyDescent="0.25">
      <c r="A29" s="6">
        <v>44924</v>
      </c>
      <c r="B29" s="1">
        <v>2204534</v>
      </c>
      <c r="C29" s="5" t="s">
        <v>100</v>
      </c>
      <c r="D29" s="5" t="str">
        <f>VLOOKUP(C29,[1]master_data!$A$2:$E$495,2,FALSE)</f>
        <v>AIRATOR AMARA LUB 1</v>
      </c>
      <c r="E29" s="5">
        <v>1</v>
      </c>
      <c r="F29" s="5">
        <f>VLOOKUP(C29,[1]master_data!$A$2:$E$495,3,FALSE)</f>
        <v>17500</v>
      </c>
      <c r="G29" s="5">
        <f>VLOOKUP(C29,[1]master_data!$A$2:$E$495,4,FALSE)</f>
        <v>30000</v>
      </c>
      <c r="H29" s="5">
        <f t="shared" si="6"/>
        <v>17500</v>
      </c>
      <c r="I29" s="5">
        <f t="shared" si="7"/>
        <v>30000</v>
      </c>
      <c r="J29" s="5">
        <f t="shared" si="8"/>
        <v>12500</v>
      </c>
      <c r="K29" s="5" t="str">
        <f>VLOOKUP(C29,[1]master_data!$A$2:$E$495,5,FALSE)</f>
        <v>Aksesoris</v>
      </c>
      <c r="L29" s="5" t="s">
        <v>471</v>
      </c>
    </row>
    <row r="30" spans="1:12" ht="12" customHeight="1" x14ac:dyDescent="0.25">
      <c r="A30" s="6">
        <v>44924</v>
      </c>
      <c r="B30" s="1">
        <v>2204533</v>
      </c>
      <c r="C30" s="5" t="s">
        <v>96</v>
      </c>
      <c r="D30" s="5" t="str">
        <f>VLOOKUP(C30,[1]master_data!$A$2:$E$495,2,FALSE)</f>
        <v>MESIN AMARA 1800</v>
      </c>
      <c r="E30" s="5">
        <v>1</v>
      </c>
      <c r="F30" s="5">
        <f>VLOOKUP(C30,[1]master_data!$A$2:$E$495,3,FALSE)</f>
        <v>52500</v>
      </c>
      <c r="G30" s="5">
        <f>VLOOKUP(C30,[1]master_data!$A$2:$E$495,4,FALSE)</f>
        <v>90000</v>
      </c>
      <c r="H30" s="5">
        <f t="shared" si="6"/>
        <v>52500</v>
      </c>
      <c r="I30" s="5">
        <f t="shared" si="7"/>
        <v>90000</v>
      </c>
      <c r="J30" s="5">
        <f t="shared" si="8"/>
        <v>37500</v>
      </c>
      <c r="K30" s="5" t="str">
        <f>VLOOKUP(C30,[1]master_data!$A$2:$E$495,5,FALSE)</f>
        <v>Aksesoris</v>
      </c>
      <c r="L30" s="5" t="s">
        <v>471</v>
      </c>
    </row>
    <row r="31" spans="1:12" ht="12" customHeight="1" x14ac:dyDescent="0.25">
      <c r="A31" s="6">
        <v>44924</v>
      </c>
      <c r="B31" s="1">
        <v>2204532</v>
      </c>
      <c r="C31" s="5" t="s">
        <v>69</v>
      </c>
      <c r="D31" s="5" t="str">
        <f>VLOOKUP(C31,[1]master_data!$A$2:$E$495,2,FALSE)</f>
        <v>TOP FILTER HAILONG 650</v>
      </c>
      <c r="E31" s="5">
        <v>10</v>
      </c>
      <c r="F31" s="5">
        <f>VLOOKUP(C31,[1]master_data!$A$2:$E$495,3,FALSE)</f>
        <v>41000</v>
      </c>
      <c r="G31" s="5">
        <f>VLOOKUP(C31,[1]master_data!$A$2:$E$495,4,FALSE)</f>
        <v>60000</v>
      </c>
      <c r="H31" s="5">
        <f t="shared" si="6"/>
        <v>410000</v>
      </c>
      <c r="I31" s="5">
        <f t="shared" si="7"/>
        <v>600000</v>
      </c>
      <c r="J31" s="5">
        <f t="shared" si="8"/>
        <v>190000</v>
      </c>
      <c r="K31" s="5" t="str">
        <f>VLOOKUP(C31,[1]master_data!$A$2:$E$495,5,FALSE)</f>
        <v>Aksesoris</v>
      </c>
      <c r="L31" s="5" t="s">
        <v>471</v>
      </c>
    </row>
    <row r="32" spans="1:12" ht="12" customHeight="1" x14ac:dyDescent="0.25">
      <c r="A32" s="6">
        <v>44924</v>
      </c>
      <c r="B32" s="1">
        <v>2204531</v>
      </c>
      <c r="C32" s="5" t="s">
        <v>329</v>
      </c>
      <c r="D32" s="5" t="str">
        <f>VLOOKUP(C32,[1]master_data!$A$2:$E$495,2,FALSE)</f>
        <v>AIRSTONE D2L5</v>
      </c>
      <c r="E32" s="5">
        <v>10</v>
      </c>
      <c r="F32" s="5">
        <f>VLOOKUP(C32,[1]master_data!$A$2:$E$495,3,FALSE)</f>
        <v>1850</v>
      </c>
      <c r="G32" s="5">
        <f>VLOOKUP(C32,[1]master_data!$A$2:$E$495,4,FALSE)</f>
        <v>5000</v>
      </c>
      <c r="H32" s="5">
        <f t="shared" si="6"/>
        <v>18500</v>
      </c>
      <c r="I32" s="5">
        <f t="shared" si="7"/>
        <v>50000</v>
      </c>
      <c r="J32" s="5">
        <f t="shared" si="8"/>
        <v>31500</v>
      </c>
      <c r="K32" s="5" t="str">
        <f>VLOOKUP(C32,[1]master_data!$A$2:$E$495,5,FALSE)</f>
        <v>Aksesoris</v>
      </c>
      <c r="L32" s="5" t="s">
        <v>471</v>
      </c>
    </row>
    <row r="33" spans="1:12" ht="12" customHeight="1" x14ac:dyDescent="0.25">
      <c r="A33" s="6">
        <v>44924</v>
      </c>
      <c r="B33" s="1">
        <v>2204530</v>
      </c>
      <c r="C33" s="5" t="s">
        <v>404</v>
      </c>
      <c r="D33" s="5" t="str">
        <f>VLOOKUP(C33,[1]master_data!$A$2:$E$495,2,FALSE)</f>
        <v>CHANNA BLUE PULCHRA B</v>
      </c>
      <c r="E33" s="5">
        <v>2</v>
      </c>
      <c r="F33" s="5">
        <f>VLOOKUP(C33,[1]master_data!$A$2:$E$495,3,FALSE)</f>
        <v>125000</v>
      </c>
      <c r="G33" s="5">
        <f>VLOOKUP(C33,[1]master_data!$A$2:$E$495,4,FALSE)</f>
        <v>200000</v>
      </c>
      <c r="H33" s="5">
        <f t="shared" si="6"/>
        <v>250000</v>
      </c>
      <c r="I33" s="5">
        <f t="shared" si="7"/>
        <v>400000</v>
      </c>
      <c r="J33" s="5">
        <f t="shared" si="8"/>
        <v>150000</v>
      </c>
      <c r="K33" s="5" t="str">
        <f>VLOOKUP(C33,[1]master_data!$A$2:$E$495,5,FALSE)</f>
        <v>Ikan</v>
      </c>
      <c r="L33" s="5" t="s">
        <v>471</v>
      </c>
    </row>
    <row r="34" spans="1:12" ht="12" customHeight="1" x14ac:dyDescent="0.25">
      <c r="A34" s="6">
        <v>44924</v>
      </c>
      <c r="B34" s="1">
        <v>2204529</v>
      </c>
      <c r="C34" s="5" t="s">
        <v>159</v>
      </c>
      <c r="D34" s="5" t="str">
        <f>VLOOKUP(C34,[1]master_data!$A$2:$E$495,2,FALSE)</f>
        <v>LED KANDILA 2 BRS 80 CM</v>
      </c>
      <c r="E34" s="5">
        <v>1</v>
      </c>
      <c r="F34" s="5">
        <f>VLOOKUP(C34,[1]master_data!$A$2:$E$495,3,FALSE)</f>
        <v>45000</v>
      </c>
      <c r="G34" s="5">
        <f>VLOOKUP(C34,[1]master_data!$A$2:$E$495,4,FALSE)</f>
        <v>85000</v>
      </c>
      <c r="H34" s="5">
        <f t="shared" si="6"/>
        <v>45000</v>
      </c>
      <c r="I34" s="5">
        <f t="shared" si="7"/>
        <v>85000</v>
      </c>
      <c r="J34" s="5">
        <f t="shared" si="8"/>
        <v>40000</v>
      </c>
      <c r="K34" s="5" t="str">
        <f>VLOOKUP(C34,[1]master_data!$A$2:$E$495,5,FALSE)</f>
        <v>Aksesoris</v>
      </c>
      <c r="L34" s="5" t="s">
        <v>471</v>
      </c>
    </row>
    <row r="35" spans="1:12" ht="12" customHeight="1" x14ac:dyDescent="0.25">
      <c r="A35" s="6">
        <v>44924</v>
      </c>
      <c r="B35" s="1">
        <v>2204528</v>
      </c>
      <c r="C35" s="5" t="s">
        <v>422</v>
      </c>
      <c r="D35" s="5" t="str">
        <f>VLOOKUP(C35,[1]master_data!$A$2:$E$495,2,FALSE)</f>
        <v>KOMET SLAYER</v>
      </c>
      <c r="E35" s="5">
        <v>10</v>
      </c>
      <c r="F35" s="5">
        <f>VLOOKUP(C35,[1]master_data!$A$2:$E$495,3,FALSE)</f>
        <v>2000</v>
      </c>
      <c r="G35" s="5">
        <f>VLOOKUP(C35,[1]master_data!$A$2:$E$495,4,FALSE)</f>
        <v>5000</v>
      </c>
      <c r="H35" s="5">
        <f t="shared" si="6"/>
        <v>20000</v>
      </c>
      <c r="I35" s="5">
        <f t="shared" si="7"/>
        <v>50000</v>
      </c>
      <c r="J35" s="5">
        <f t="shared" si="8"/>
        <v>30000</v>
      </c>
      <c r="K35" s="5" t="str">
        <f>VLOOKUP(C35,[1]master_data!$A$2:$E$495,5,FALSE)</f>
        <v>Ikan</v>
      </c>
      <c r="L35" s="5" t="s">
        <v>471</v>
      </c>
    </row>
    <row r="36" spans="1:12" ht="12" customHeight="1" x14ac:dyDescent="0.25">
      <c r="A36" s="6">
        <v>44924</v>
      </c>
      <c r="B36" s="1">
        <v>2204527</v>
      </c>
      <c r="C36" s="5" t="s">
        <v>453</v>
      </c>
      <c r="D36" s="5" t="str">
        <f>VLOOKUP(C36,[1]master_data!$A$2:$E$495,2,FALSE)</f>
        <v>SYNODONTIS K</v>
      </c>
      <c r="E36" s="5">
        <v>20</v>
      </c>
      <c r="F36" s="5">
        <f>VLOOKUP(C36,[1]master_data!$A$2:$E$495,3,FALSE)</f>
        <v>1500</v>
      </c>
      <c r="G36" s="5">
        <f>VLOOKUP(C36,[1]master_data!$A$2:$E$495,4,FALSE)</f>
        <v>5000</v>
      </c>
      <c r="H36" s="5">
        <f t="shared" si="6"/>
        <v>30000</v>
      </c>
      <c r="I36" s="5">
        <f t="shared" si="7"/>
        <v>100000</v>
      </c>
      <c r="J36" s="5">
        <f t="shared" si="8"/>
        <v>70000</v>
      </c>
      <c r="K36" s="5" t="str">
        <f>VLOOKUP(C36,[1]master_data!$A$2:$E$495,5,FALSE)</f>
        <v>Ikan</v>
      </c>
      <c r="L36" s="5" t="s">
        <v>471</v>
      </c>
    </row>
    <row r="37" spans="1:12" ht="12" customHeight="1" x14ac:dyDescent="0.25">
      <c r="A37" s="6">
        <v>44924</v>
      </c>
      <c r="B37" s="1">
        <v>2204526</v>
      </c>
      <c r="C37" s="5" t="s">
        <v>332</v>
      </c>
      <c r="D37" s="5" t="str">
        <f>VLOOKUP(C37,[1]master_data!$A$2:$E$495,2,FALSE)</f>
        <v>TERMOMETER</v>
      </c>
      <c r="E37" s="5">
        <v>1</v>
      </c>
      <c r="F37" s="5">
        <f>VLOOKUP(C37,[1]master_data!$A$2:$E$495,3,FALSE)</f>
        <v>5250</v>
      </c>
      <c r="G37" s="5">
        <f>VLOOKUP(C37,[1]master_data!$A$2:$E$495,4,FALSE)</f>
        <v>10000</v>
      </c>
      <c r="H37" s="5">
        <f t="shared" si="6"/>
        <v>5250</v>
      </c>
      <c r="I37" s="5">
        <f t="shared" si="7"/>
        <v>10000</v>
      </c>
      <c r="J37" s="5">
        <f t="shared" si="8"/>
        <v>4750</v>
      </c>
      <c r="K37" s="5" t="str">
        <f>VLOOKUP(C37,[1]master_data!$A$2:$E$495,5,FALSE)</f>
        <v>Aksesoris</v>
      </c>
      <c r="L37" s="5" t="s">
        <v>471</v>
      </c>
    </row>
    <row r="38" spans="1:12" ht="12" customHeight="1" x14ac:dyDescent="0.25">
      <c r="A38" s="6">
        <v>44924</v>
      </c>
      <c r="B38" s="1">
        <v>2204525</v>
      </c>
      <c r="C38" s="5" t="s">
        <v>441</v>
      </c>
      <c r="D38" s="5" t="str">
        <f>VLOOKUP(C38,[1]master_data!$A$2:$E$495,2,FALSE)</f>
        <v>PEMBERSIH KACA BIASA</v>
      </c>
      <c r="E38" s="5">
        <v>2</v>
      </c>
      <c r="F38" s="5">
        <f>VLOOKUP(C38,[1]master_data!$A$2:$E$495,3,FALSE)</f>
        <v>2000</v>
      </c>
      <c r="G38" s="5">
        <f>VLOOKUP(C38,[1]master_data!$A$2:$E$495,4,FALSE)</f>
        <v>5000</v>
      </c>
      <c r="H38" s="5">
        <f t="shared" si="6"/>
        <v>4000</v>
      </c>
      <c r="I38" s="5">
        <f t="shared" si="7"/>
        <v>10000</v>
      </c>
      <c r="J38" s="5">
        <f t="shared" si="8"/>
        <v>6000</v>
      </c>
      <c r="K38" s="5" t="str">
        <f>VLOOKUP(C38,[1]master_data!$A$2:$E$495,5,FALSE)</f>
        <v>Ikan</v>
      </c>
      <c r="L38" s="5" t="s">
        <v>471</v>
      </c>
    </row>
    <row r="39" spans="1:12" ht="12" customHeight="1" x14ac:dyDescent="0.25">
      <c r="A39" s="6">
        <v>44923</v>
      </c>
      <c r="B39" s="1">
        <v>2204524</v>
      </c>
      <c r="C39" s="5" t="s">
        <v>452</v>
      </c>
      <c r="D39" s="5" t="str">
        <f>VLOOKUP(C39,[1]master_data!$A$2:$E$495,2,FALSE)</f>
        <v>SNOW WHITE</v>
      </c>
      <c r="E39" s="5">
        <v>10</v>
      </c>
      <c r="F39" s="5">
        <f>VLOOKUP(C39,[1]master_data!$A$2:$E$495,3,FALSE)</f>
        <v>1500</v>
      </c>
      <c r="G39" s="5">
        <f>VLOOKUP(C39,[1]master_data!$A$2:$E$495,4,FALSE)</f>
        <v>3000</v>
      </c>
      <c r="H39" s="5">
        <f t="shared" si="6"/>
        <v>15000</v>
      </c>
      <c r="I39" s="5">
        <f t="shared" si="7"/>
        <v>30000</v>
      </c>
      <c r="J39" s="5">
        <f t="shared" si="8"/>
        <v>15000</v>
      </c>
      <c r="K39" s="5" t="str">
        <f>VLOOKUP(C39,[1]master_data!$A$2:$E$495,5,FALSE)</f>
        <v>Ikan</v>
      </c>
      <c r="L39" s="5" t="s">
        <v>471</v>
      </c>
    </row>
    <row r="40" spans="1:12" ht="12" customHeight="1" x14ac:dyDescent="0.25">
      <c r="A40" s="6">
        <v>44923</v>
      </c>
      <c r="B40" s="1">
        <v>2204523</v>
      </c>
      <c r="C40" s="5" t="s">
        <v>457</v>
      </c>
      <c r="D40" s="5" t="str">
        <f>VLOOKUP(C40,[1]master_data!$A$2:$E$495,2,FALSE)</f>
        <v>ZEBRA PINK</v>
      </c>
      <c r="E40" s="5">
        <v>30</v>
      </c>
      <c r="F40" s="5">
        <f>VLOOKUP(C40,[1]master_data!$A$2:$E$495,3,FALSE)</f>
        <v>800</v>
      </c>
      <c r="G40" s="5">
        <f>VLOOKUP(C40,[1]master_data!$A$2:$E$495,4,FALSE)</f>
        <v>2000</v>
      </c>
      <c r="H40" s="5">
        <f t="shared" si="6"/>
        <v>24000</v>
      </c>
      <c r="I40" s="5">
        <f t="shared" si="7"/>
        <v>60000</v>
      </c>
      <c r="J40" s="5">
        <f t="shared" si="8"/>
        <v>36000</v>
      </c>
      <c r="K40" s="5" t="str">
        <f>VLOOKUP(C40,[1]master_data!$A$2:$E$495,5,FALSE)</f>
        <v>Ikan</v>
      </c>
      <c r="L40" s="5" t="s">
        <v>471</v>
      </c>
    </row>
    <row r="41" spans="1:12" ht="12" customHeight="1" x14ac:dyDescent="0.25">
      <c r="A41" s="6">
        <v>44923</v>
      </c>
      <c r="B41" s="1">
        <v>2204522</v>
      </c>
      <c r="C41" s="5" t="s">
        <v>446</v>
      </c>
      <c r="D41" s="5" t="str">
        <f>VLOOKUP(C41,[1]master_data!$A$2:$E$495,2,FALSE)</f>
        <v>REDFIN HITAM</v>
      </c>
      <c r="E41" s="5">
        <v>20</v>
      </c>
      <c r="F41" s="5">
        <f>VLOOKUP(C41,[1]master_data!$A$2:$E$495,3,FALSE)</f>
        <v>1500</v>
      </c>
      <c r="G41" s="5">
        <f>VLOOKUP(C41,[1]master_data!$A$2:$E$495,4,FALSE)</f>
        <v>4000</v>
      </c>
      <c r="H41" s="5">
        <f t="shared" si="6"/>
        <v>30000</v>
      </c>
      <c r="I41" s="5">
        <f t="shared" si="7"/>
        <v>80000</v>
      </c>
      <c r="J41" s="5">
        <f t="shared" si="8"/>
        <v>50000</v>
      </c>
      <c r="K41" s="5" t="str">
        <f>VLOOKUP(C41,[1]master_data!$A$2:$E$495,5,FALSE)</f>
        <v>Ikan</v>
      </c>
      <c r="L41" s="5" t="s">
        <v>471</v>
      </c>
    </row>
    <row r="42" spans="1:12" ht="12" customHeight="1" x14ac:dyDescent="0.25">
      <c r="A42" s="6">
        <v>44923</v>
      </c>
      <c r="B42" s="1">
        <v>2204521</v>
      </c>
      <c r="C42" s="5" t="s">
        <v>405</v>
      </c>
      <c r="D42" s="5" t="str">
        <f>VLOOKUP(C42,[1]master_data!$A$2:$E$495,2,FALSE)</f>
        <v>KOMET BOKIM</v>
      </c>
      <c r="E42" s="5">
        <v>20</v>
      </c>
      <c r="F42" s="5">
        <f>VLOOKUP(C42,[1]master_data!$A$2:$E$495,3,FALSE)</f>
        <v>1500</v>
      </c>
      <c r="G42" s="5">
        <f>VLOOKUP(C42,[1]master_data!$A$2:$E$495,4,FALSE)</f>
        <v>5000</v>
      </c>
      <c r="H42" s="5">
        <f t="shared" si="6"/>
        <v>30000</v>
      </c>
      <c r="I42" s="5">
        <f t="shared" si="7"/>
        <v>100000</v>
      </c>
      <c r="J42" s="5">
        <f t="shared" si="8"/>
        <v>70000</v>
      </c>
      <c r="K42" s="5" t="str">
        <f>VLOOKUP(C42,[1]master_data!$A$2:$E$495,5,FALSE)</f>
        <v>Ikan</v>
      </c>
      <c r="L42" s="5" t="s">
        <v>471</v>
      </c>
    </row>
    <row r="43" spans="1:12" ht="12" customHeight="1" x14ac:dyDescent="0.25">
      <c r="A43" s="6">
        <v>44923</v>
      </c>
      <c r="B43" s="1">
        <v>2204520</v>
      </c>
      <c r="C43" s="5" t="s">
        <v>454</v>
      </c>
      <c r="D43" s="5" t="str">
        <f>VLOOKUP(C43,[1]master_data!$A$2:$E$495,2,FALSE)</f>
        <v>SYNODONTI B</v>
      </c>
      <c r="E43" s="5">
        <v>10</v>
      </c>
      <c r="F43" s="5">
        <f>VLOOKUP(C43,[1]master_data!$A$2:$E$495,3,FALSE)</f>
        <v>4000</v>
      </c>
      <c r="G43" s="5">
        <f>VLOOKUP(C43,[1]master_data!$A$2:$E$495,4,FALSE)</f>
        <v>10000</v>
      </c>
      <c r="H43" s="5">
        <f t="shared" si="6"/>
        <v>40000</v>
      </c>
      <c r="I43" s="5">
        <f t="shared" si="7"/>
        <v>100000</v>
      </c>
      <c r="J43" s="5">
        <f t="shared" si="8"/>
        <v>60000</v>
      </c>
      <c r="K43" s="5" t="str">
        <f>VLOOKUP(C43,[1]master_data!$A$2:$E$495,5,FALSE)</f>
        <v>Ikan</v>
      </c>
      <c r="L43" s="5" t="s">
        <v>471</v>
      </c>
    </row>
    <row r="44" spans="1:12" ht="12" customHeight="1" x14ac:dyDescent="0.25">
      <c r="A44" s="6">
        <v>44923</v>
      </c>
      <c r="B44" s="1">
        <v>2204519</v>
      </c>
      <c r="C44" s="5" t="s">
        <v>427</v>
      </c>
      <c r="D44" s="5" t="str">
        <f>VLOOKUP(C44,[1]master_data!$A$2:$E$495,2,FALSE)</f>
        <v>LEMON</v>
      </c>
      <c r="E44" s="5">
        <v>30</v>
      </c>
      <c r="F44" s="5">
        <f>VLOOKUP(C44,[1]master_data!$A$2:$E$495,3,FALSE)</f>
        <v>1000</v>
      </c>
      <c r="G44" s="5">
        <f>VLOOKUP(C44,[1]master_data!$A$2:$E$495,4,FALSE)</f>
        <v>2000</v>
      </c>
      <c r="H44" s="5">
        <f t="shared" si="6"/>
        <v>30000</v>
      </c>
      <c r="I44" s="5">
        <f t="shared" si="7"/>
        <v>60000</v>
      </c>
      <c r="J44" s="5">
        <f t="shared" si="8"/>
        <v>30000</v>
      </c>
      <c r="K44" s="5" t="str">
        <f>VLOOKUP(C44,[1]master_data!$A$2:$E$495,5,FALSE)</f>
        <v>Ikan</v>
      </c>
      <c r="L44" s="5" t="s">
        <v>471</v>
      </c>
    </row>
    <row r="45" spans="1:12" ht="12" customHeight="1" x14ac:dyDescent="0.25">
      <c r="A45" s="6">
        <v>44923</v>
      </c>
      <c r="B45" s="1">
        <v>2204518</v>
      </c>
      <c r="C45" s="5" t="s">
        <v>455</v>
      </c>
      <c r="D45" s="5" t="str">
        <f>VLOOKUP(C45,[1]master_data!$A$2:$E$495,2,FALSE)</f>
        <v>TETRA</v>
      </c>
      <c r="E45" s="5">
        <v>10</v>
      </c>
      <c r="F45" s="5">
        <f>VLOOKUP(C45,[1]master_data!$A$2:$E$495,3,FALSE)</f>
        <v>800</v>
      </c>
      <c r="G45" s="5">
        <f>VLOOKUP(C45,[1]master_data!$A$2:$E$495,4,FALSE)</f>
        <v>2000</v>
      </c>
      <c r="H45" s="5">
        <f t="shared" si="6"/>
        <v>8000</v>
      </c>
      <c r="I45" s="5">
        <f t="shared" si="7"/>
        <v>20000</v>
      </c>
      <c r="J45" s="5">
        <f t="shared" si="8"/>
        <v>12000</v>
      </c>
      <c r="K45" s="5" t="str">
        <f>VLOOKUP(C45,[1]master_data!$A$2:$E$495,5,FALSE)</f>
        <v>Ikan</v>
      </c>
      <c r="L45" s="5" t="s">
        <v>471</v>
      </c>
    </row>
    <row r="46" spans="1:12" ht="12" customHeight="1" x14ac:dyDescent="0.25">
      <c r="A46" s="6">
        <v>44923</v>
      </c>
      <c r="B46" s="1">
        <v>2204517</v>
      </c>
      <c r="C46" s="5" t="s">
        <v>168</v>
      </c>
      <c r="D46" s="5" t="str">
        <f>VLOOKUP(C46,[1]master_data!$A$2:$E$495,2,FALSE)</f>
        <v>LED RECENT ATAS 3 MODE 80 CM</v>
      </c>
      <c r="E46" s="5">
        <v>1</v>
      </c>
      <c r="F46" s="5">
        <f>VLOOKUP(C46,[1]master_data!$A$2:$E$495,3,FALSE)</f>
        <v>88000</v>
      </c>
      <c r="G46" s="5">
        <f>VLOOKUP(C46,[1]master_data!$A$2:$E$495,4,FALSE)</f>
        <v>130000</v>
      </c>
      <c r="H46" s="5">
        <f t="shared" si="6"/>
        <v>88000</v>
      </c>
      <c r="I46" s="5">
        <f t="shared" si="7"/>
        <v>130000</v>
      </c>
      <c r="J46" s="5">
        <f t="shared" si="8"/>
        <v>42000</v>
      </c>
      <c r="K46" s="5" t="str">
        <f>VLOOKUP(C46,[1]master_data!$A$2:$E$495,5,FALSE)</f>
        <v>Aksesoris</v>
      </c>
      <c r="L46" s="5" t="s">
        <v>471</v>
      </c>
    </row>
    <row r="47" spans="1:12" ht="12" customHeight="1" x14ac:dyDescent="0.25">
      <c r="A47" s="6">
        <v>44923</v>
      </c>
      <c r="B47" s="1">
        <v>2204516</v>
      </c>
      <c r="C47" s="5" t="s">
        <v>459</v>
      </c>
      <c r="D47" s="5" t="str">
        <f>VLOOKUP(C47,[1]master_data!$A$2:$E$495,2,FALSE)</f>
        <v>ZEBRA UNGU</v>
      </c>
      <c r="E47" s="5">
        <v>10</v>
      </c>
      <c r="F47" s="5">
        <f>VLOOKUP(C47,[1]master_data!$A$2:$E$495,3,FALSE)</f>
        <v>800</v>
      </c>
      <c r="G47" s="5">
        <f>VLOOKUP(C47,[1]master_data!$A$2:$E$495,4,FALSE)</f>
        <v>2000</v>
      </c>
      <c r="H47" s="5">
        <f t="shared" si="6"/>
        <v>8000</v>
      </c>
      <c r="I47" s="5">
        <f t="shared" si="7"/>
        <v>20000</v>
      </c>
      <c r="J47" s="5">
        <f t="shared" si="8"/>
        <v>12000</v>
      </c>
      <c r="K47" s="5" t="str">
        <f>VLOOKUP(C47,[1]master_data!$A$2:$E$495,5,FALSE)</f>
        <v>Ikan</v>
      </c>
      <c r="L47" s="5" t="s">
        <v>471</v>
      </c>
    </row>
    <row r="48" spans="1:12" ht="12" customHeight="1" x14ac:dyDescent="0.25">
      <c r="A48" s="6">
        <v>44923</v>
      </c>
      <c r="B48" s="1">
        <v>2204515</v>
      </c>
      <c r="C48" s="5" t="s">
        <v>16</v>
      </c>
      <c r="D48" s="5" t="str">
        <f>VLOOKUP(C48,[1]master_data!$A$2:$E$495,2,FALSE)</f>
        <v>HANG ON YANG 502</v>
      </c>
      <c r="E48" s="5">
        <v>1</v>
      </c>
      <c r="F48" s="5">
        <f>VLOOKUP(C48,[1]master_data!$A$2:$E$495,3,FALSE)</f>
        <v>71000</v>
      </c>
      <c r="G48" s="5">
        <f>VLOOKUP(C48,[1]master_data!$A$2:$E$495,4,FALSE)</f>
        <v>95000</v>
      </c>
      <c r="H48" s="5">
        <f t="shared" si="6"/>
        <v>71000</v>
      </c>
      <c r="I48" s="5">
        <f t="shared" si="7"/>
        <v>95000</v>
      </c>
      <c r="J48" s="5">
        <f t="shared" si="8"/>
        <v>24000</v>
      </c>
      <c r="K48" s="5" t="str">
        <f>VLOOKUP(C48,[1]master_data!$A$2:$E$495,5,FALSE)</f>
        <v>Aksesoris</v>
      </c>
      <c r="L48" s="5" t="s">
        <v>471</v>
      </c>
    </row>
    <row r="49" spans="1:12" ht="12" customHeight="1" x14ac:dyDescent="0.25">
      <c r="A49" s="6">
        <v>44923</v>
      </c>
      <c r="B49" s="1">
        <v>2204514</v>
      </c>
      <c r="C49" s="5" t="s">
        <v>392</v>
      </c>
      <c r="D49" s="5" t="str">
        <f>VLOOKUP(C49,[1]master_data!$A$2:$E$495,2,FALSE)</f>
        <v>CHANNA ASIATICA B</v>
      </c>
      <c r="E49" s="5">
        <v>2</v>
      </c>
      <c r="F49" s="5">
        <f>VLOOKUP(C49,[1]master_data!$A$2:$E$495,3,FALSE)</f>
        <v>40000</v>
      </c>
      <c r="G49" s="5">
        <f>VLOOKUP(C49,[1]master_data!$A$2:$E$495,4,FALSE)</f>
        <v>100000</v>
      </c>
      <c r="H49" s="5">
        <f t="shared" si="6"/>
        <v>80000</v>
      </c>
      <c r="I49" s="5">
        <f t="shared" si="7"/>
        <v>200000</v>
      </c>
      <c r="J49" s="5">
        <f t="shared" si="8"/>
        <v>120000</v>
      </c>
      <c r="K49" s="5" t="str">
        <f>VLOOKUP(C49,[1]master_data!$A$2:$E$495,5,FALSE)</f>
        <v>Ikan</v>
      </c>
      <c r="L49" s="5" t="s">
        <v>471</v>
      </c>
    </row>
    <row r="50" spans="1:12" ht="12" customHeight="1" x14ac:dyDescent="0.25">
      <c r="A50" s="6">
        <v>44923</v>
      </c>
      <c r="B50" s="1">
        <v>2204513</v>
      </c>
      <c r="C50" s="5" t="s">
        <v>445</v>
      </c>
      <c r="D50" s="5" t="str">
        <f>VLOOKUP(C50,[1]master_data!$A$2:$E$495,2,FALSE)</f>
        <v>PESO</v>
      </c>
      <c r="E50" s="5">
        <v>1</v>
      </c>
      <c r="F50" s="5">
        <f>VLOOKUP(C50,[1]master_data!$A$2:$E$495,3,FALSE)</f>
        <v>19000</v>
      </c>
      <c r="G50" s="5">
        <f>VLOOKUP(C50,[1]master_data!$A$2:$E$495,4,FALSE)</f>
        <v>40000</v>
      </c>
      <c r="H50" s="5">
        <f t="shared" si="6"/>
        <v>19000</v>
      </c>
      <c r="I50" s="5">
        <f t="shared" si="7"/>
        <v>40000</v>
      </c>
      <c r="J50" s="5">
        <f t="shared" si="8"/>
        <v>21000</v>
      </c>
      <c r="K50" s="5" t="str">
        <f>VLOOKUP(C50,[1]master_data!$A$2:$E$495,5,FALSE)</f>
        <v>Ikan</v>
      </c>
      <c r="L50" s="5" t="s">
        <v>471</v>
      </c>
    </row>
    <row r="51" spans="1:12" ht="12" customHeight="1" x14ac:dyDescent="0.25">
      <c r="A51" s="6">
        <v>44923</v>
      </c>
      <c r="B51" s="1">
        <v>2204512</v>
      </c>
      <c r="C51" s="5" t="s">
        <v>142</v>
      </c>
      <c r="D51" s="5" t="str">
        <f>VLOOKUP(C51,[1]master_data!$A$2:$E$495,2,FALSE)</f>
        <v>LED YANG HW 45 CM</v>
      </c>
      <c r="E51" s="5">
        <v>1</v>
      </c>
      <c r="F51" s="5">
        <f>VLOOKUP(C51,[1]master_data!$A$2:$E$495,3,FALSE)</f>
        <v>70000</v>
      </c>
      <c r="G51" s="5">
        <f>VLOOKUP(C51,[1]master_data!$A$2:$E$495,4,FALSE)</f>
        <v>90000</v>
      </c>
      <c r="H51" s="5">
        <f t="shared" si="6"/>
        <v>70000</v>
      </c>
      <c r="I51" s="5">
        <f t="shared" si="7"/>
        <v>90000</v>
      </c>
      <c r="J51" s="5">
        <f t="shared" si="8"/>
        <v>20000</v>
      </c>
      <c r="K51" s="5" t="str">
        <f>VLOOKUP(C51,[1]master_data!$A$2:$E$495,5,FALSE)</f>
        <v>Aksesoris</v>
      </c>
      <c r="L51" s="5" t="s">
        <v>471</v>
      </c>
    </row>
    <row r="52" spans="1:12" ht="12" customHeight="1" x14ac:dyDescent="0.25">
      <c r="A52" s="6">
        <v>44923</v>
      </c>
      <c r="B52" s="1">
        <v>2204511</v>
      </c>
      <c r="C52" s="5" t="s">
        <v>423</v>
      </c>
      <c r="D52" s="5" t="str">
        <f>VLOOKUP(C52,[1]master_data!$A$2:$E$495,2,FALSE)</f>
        <v>KOI SLAYER K</v>
      </c>
      <c r="E52" s="5">
        <v>10</v>
      </c>
      <c r="F52" s="5">
        <f>VLOOKUP(C52,[1]master_data!$A$2:$E$495,3,FALSE)</f>
        <v>3500</v>
      </c>
      <c r="G52" s="5">
        <f>VLOOKUP(C52,[1]master_data!$A$2:$E$495,4,FALSE)</f>
        <v>10000</v>
      </c>
      <c r="H52" s="5">
        <f t="shared" si="6"/>
        <v>35000</v>
      </c>
      <c r="I52" s="5">
        <f t="shared" si="7"/>
        <v>100000</v>
      </c>
      <c r="J52" s="5">
        <f t="shared" si="8"/>
        <v>65000</v>
      </c>
      <c r="K52" s="5" t="str">
        <f>VLOOKUP(C52,[1]master_data!$A$2:$E$495,5,FALSE)</f>
        <v>Ikan</v>
      </c>
      <c r="L52" s="5" t="s">
        <v>471</v>
      </c>
    </row>
    <row r="53" spans="1:12" ht="12" customHeight="1" x14ac:dyDescent="0.25">
      <c r="A53" s="6">
        <v>44922</v>
      </c>
      <c r="B53" s="1">
        <v>2204510</v>
      </c>
      <c r="C53" s="5" t="s">
        <v>378</v>
      </c>
      <c r="D53" s="5" t="str">
        <f>VLOOKUP(C53,[1]master_data!$A$2:$E$495,2,FALSE)</f>
        <v>PASIR PANTAI</v>
      </c>
      <c r="E53" s="5">
        <v>10</v>
      </c>
      <c r="F53" s="5">
        <f>VLOOKUP(C53,[1]master_data!$A$2:$E$495,3,FALSE)</f>
        <v>5000</v>
      </c>
      <c r="G53" s="5">
        <f>VLOOKUP(C53,[1]master_data!$A$2:$E$495,4,FALSE)</f>
        <v>10000</v>
      </c>
      <c r="H53" s="5">
        <f t="shared" si="6"/>
        <v>50000</v>
      </c>
      <c r="I53" s="5">
        <f t="shared" si="7"/>
        <v>100000</v>
      </c>
      <c r="J53" s="5">
        <f t="shared" si="8"/>
        <v>50000</v>
      </c>
      <c r="K53" s="5" t="str">
        <f>VLOOKUP(C53,[1]master_data!$A$2:$E$495,5,FALSE)</f>
        <v>Aksesoris</v>
      </c>
      <c r="L53" s="5" t="s">
        <v>471</v>
      </c>
    </row>
    <row r="54" spans="1:12" ht="12" customHeight="1" x14ac:dyDescent="0.25">
      <c r="A54" s="6">
        <v>44922</v>
      </c>
      <c r="B54" s="1">
        <v>2204509</v>
      </c>
      <c r="C54" s="5" t="s">
        <v>445</v>
      </c>
      <c r="D54" s="5" t="str">
        <f>VLOOKUP(C54,[1]master_data!$A$2:$E$495,2,FALSE)</f>
        <v>PESO</v>
      </c>
      <c r="E54" s="5">
        <v>1</v>
      </c>
      <c r="F54" s="5">
        <f>VLOOKUP(C54,[1]master_data!$A$2:$E$495,3,FALSE)</f>
        <v>19000</v>
      </c>
      <c r="G54" s="5">
        <f>VLOOKUP(C54,[1]master_data!$A$2:$E$495,4,FALSE)</f>
        <v>40000</v>
      </c>
      <c r="H54" s="5">
        <f t="shared" si="6"/>
        <v>19000</v>
      </c>
      <c r="I54" s="5">
        <f t="shared" si="7"/>
        <v>40000</v>
      </c>
      <c r="J54" s="5">
        <f t="shared" si="8"/>
        <v>21000</v>
      </c>
      <c r="K54" s="5" t="str">
        <f>VLOOKUP(C54,[1]master_data!$A$2:$E$495,5,FALSE)</f>
        <v>Ikan</v>
      </c>
      <c r="L54" s="5" t="s">
        <v>471</v>
      </c>
    </row>
    <row r="55" spans="1:12" ht="12" customHeight="1" x14ac:dyDescent="0.25">
      <c r="A55" s="6">
        <v>44922</v>
      </c>
      <c r="B55" s="1">
        <v>2204508</v>
      </c>
      <c r="C55" s="5" t="s">
        <v>418</v>
      </c>
      <c r="D55" s="5" t="str">
        <f>VLOOKUP(C55,[1]master_data!$A$2:$E$495,2,FALSE)</f>
        <v>KOI B</v>
      </c>
      <c r="E55" s="5">
        <v>2</v>
      </c>
      <c r="F55" s="5">
        <f>VLOOKUP(C55,[1]master_data!$A$2:$E$495,3,FALSE)</f>
        <v>9000</v>
      </c>
      <c r="G55" s="5">
        <f>VLOOKUP(C55,[1]master_data!$A$2:$E$495,4,FALSE)</f>
        <v>30000</v>
      </c>
      <c r="H55" s="5">
        <f t="shared" si="6"/>
        <v>18000</v>
      </c>
      <c r="I55" s="5">
        <f t="shared" si="7"/>
        <v>60000</v>
      </c>
      <c r="J55" s="5">
        <f t="shared" si="8"/>
        <v>42000</v>
      </c>
      <c r="K55" s="5" t="str">
        <f>VLOOKUP(C55,[1]master_data!$A$2:$E$495,5,FALSE)</f>
        <v>Ikan</v>
      </c>
      <c r="L55" s="5" t="s">
        <v>471</v>
      </c>
    </row>
    <row r="56" spans="1:12" ht="12" customHeight="1" x14ac:dyDescent="0.25">
      <c r="A56" s="6">
        <v>44922</v>
      </c>
      <c r="B56" s="1">
        <v>2204507</v>
      </c>
      <c r="C56" s="5" t="s">
        <v>18</v>
      </c>
      <c r="D56" s="5" t="str">
        <f>VLOOKUP(C56,[1]master_data!$A$2:$E$495,2,FALSE)</f>
        <v>MESIN YANG WAVE MAKER 200</v>
      </c>
      <c r="E56" s="5">
        <v>5</v>
      </c>
      <c r="F56" s="5">
        <f>VLOOKUP(C56,[1]master_data!$A$2:$E$495,3,FALSE)</f>
        <v>118000</v>
      </c>
      <c r="G56" s="5">
        <f>VLOOKUP(C56,[1]master_data!$A$2:$E$495,4,FALSE)</f>
        <v>150000</v>
      </c>
      <c r="H56" s="5">
        <f t="shared" si="6"/>
        <v>590000</v>
      </c>
      <c r="I56" s="5">
        <f t="shared" si="7"/>
        <v>750000</v>
      </c>
      <c r="J56" s="5">
        <f t="shared" si="8"/>
        <v>160000</v>
      </c>
      <c r="K56" s="5" t="str">
        <f>VLOOKUP(C56,[1]master_data!$A$2:$E$495,5,FALSE)</f>
        <v>Aksesoris</v>
      </c>
      <c r="L56" s="5" t="s">
        <v>471</v>
      </c>
    </row>
    <row r="57" spans="1:12" ht="12" customHeight="1" x14ac:dyDescent="0.25">
      <c r="A57" s="6">
        <v>44922</v>
      </c>
      <c r="B57" s="1">
        <v>2204506</v>
      </c>
      <c r="C57" s="5" t="s">
        <v>343</v>
      </c>
      <c r="D57" s="5" t="str">
        <f>VLOOKUP(C57,[1]master_data!$A$2:$E$495,2,FALSE)</f>
        <v>FISH ALL ANTI ALGAE</v>
      </c>
      <c r="E57" s="5">
        <v>5</v>
      </c>
      <c r="F57" s="5">
        <f>VLOOKUP(C57,[1]master_data!$A$2:$E$495,3,FALSE)</f>
        <v>6000</v>
      </c>
      <c r="G57" s="5">
        <f>VLOOKUP(C57,[1]master_data!$A$2:$E$495,4,FALSE)</f>
        <v>12000</v>
      </c>
      <c r="H57" s="5">
        <f t="shared" si="6"/>
        <v>30000</v>
      </c>
      <c r="I57" s="5">
        <f t="shared" si="7"/>
        <v>60000</v>
      </c>
      <c r="J57" s="5">
        <f t="shared" si="8"/>
        <v>30000</v>
      </c>
      <c r="K57" s="5" t="str">
        <f>VLOOKUP(C57,[1]master_data!$A$2:$E$495,5,FALSE)</f>
        <v>Aksesoris</v>
      </c>
      <c r="L57" s="5" t="s">
        <v>471</v>
      </c>
    </row>
    <row r="58" spans="1:12" ht="12" customHeight="1" x14ac:dyDescent="0.25">
      <c r="A58" s="6">
        <v>44922</v>
      </c>
      <c r="B58" s="1">
        <v>2204505</v>
      </c>
      <c r="C58" s="5" t="s">
        <v>461</v>
      </c>
      <c r="D58" s="5" t="str">
        <f>VLOOKUP(C58,[1]master_data!$A$2:$E$495,2,FALSE)</f>
        <v>SEPAT</v>
      </c>
      <c r="E58" s="5">
        <v>15</v>
      </c>
      <c r="F58" s="5">
        <f>VLOOKUP(C58,[1]master_data!$A$2:$E$495,3,FALSE)</f>
        <v>600</v>
      </c>
      <c r="G58" s="5">
        <f>VLOOKUP(C58,[1]master_data!$A$2:$E$495,4,FALSE)</f>
        <v>2000</v>
      </c>
      <c r="H58" s="5">
        <f t="shared" si="6"/>
        <v>9000</v>
      </c>
      <c r="I58" s="5">
        <f t="shared" si="7"/>
        <v>30000</v>
      </c>
      <c r="J58" s="5">
        <f t="shared" si="8"/>
        <v>21000</v>
      </c>
      <c r="K58" s="5" t="str">
        <f>VLOOKUP(C58,[1]master_data!$A$2:$E$495,5,FALSE)</f>
        <v>Ikan</v>
      </c>
      <c r="L58" s="5" t="s">
        <v>471</v>
      </c>
    </row>
    <row r="59" spans="1:12" ht="12" customHeight="1" x14ac:dyDescent="0.25">
      <c r="A59" s="6">
        <v>44922</v>
      </c>
      <c r="B59" s="1">
        <v>2204504</v>
      </c>
      <c r="C59" s="5" t="s">
        <v>288</v>
      </c>
      <c r="D59" s="5" t="str">
        <f>VLOOKUP(C59,[1]master_data!$A$2:$E$495,2,FALSE)</f>
        <v>JARING 8</v>
      </c>
      <c r="E59" s="5">
        <v>15</v>
      </c>
      <c r="F59" s="5">
        <f>VLOOKUP(C59,[1]master_data!$A$2:$E$495,3,FALSE)</f>
        <v>3000</v>
      </c>
      <c r="G59" s="5">
        <f>VLOOKUP(C59,[1]master_data!$A$2:$E$495,4,FALSE)</f>
        <v>5000</v>
      </c>
      <c r="H59" s="5">
        <f t="shared" si="6"/>
        <v>45000</v>
      </c>
      <c r="I59" s="5">
        <f t="shared" si="7"/>
        <v>75000</v>
      </c>
      <c r="J59" s="5">
        <f t="shared" si="8"/>
        <v>30000</v>
      </c>
      <c r="K59" s="5" t="str">
        <f>VLOOKUP(C59,[1]master_data!$A$2:$E$495,5,FALSE)</f>
        <v>Aksesoris</v>
      </c>
      <c r="L59" s="5" t="s">
        <v>471</v>
      </c>
    </row>
    <row r="60" spans="1:12" ht="12" customHeight="1" x14ac:dyDescent="0.25">
      <c r="A60" s="6">
        <v>44922</v>
      </c>
      <c r="B60" s="1">
        <v>2204503</v>
      </c>
      <c r="C60" s="5" t="s">
        <v>399</v>
      </c>
      <c r="D60" s="5" t="str">
        <f>VLOOKUP(C60,[1]master_data!$A$2:$E$495,2,FALSE)</f>
        <v>BUENOS AIRES TETRA</v>
      </c>
      <c r="E60" s="5">
        <v>10</v>
      </c>
      <c r="F60" s="5">
        <f>VLOOKUP(C60,[1]master_data!$A$2:$E$495,3,FALSE)</f>
        <v>800</v>
      </c>
      <c r="G60" s="5">
        <f>VLOOKUP(C60,[1]master_data!$A$2:$E$495,4,FALSE)</f>
        <v>2000</v>
      </c>
      <c r="H60" s="5">
        <f t="shared" si="6"/>
        <v>8000</v>
      </c>
      <c r="I60" s="5">
        <f t="shared" si="7"/>
        <v>20000</v>
      </c>
      <c r="J60" s="5">
        <f t="shared" si="8"/>
        <v>12000</v>
      </c>
      <c r="K60" s="5" t="str">
        <f>VLOOKUP(C60,[1]master_data!$A$2:$E$495,5,FALSE)</f>
        <v>Ikan</v>
      </c>
      <c r="L60" s="5" t="s">
        <v>471</v>
      </c>
    </row>
    <row r="61" spans="1:12" ht="12" customHeight="1" x14ac:dyDescent="0.25">
      <c r="A61" s="6">
        <v>44922</v>
      </c>
      <c r="B61" s="1">
        <v>2204502</v>
      </c>
      <c r="C61" s="5" t="s">
        <v>294</v>
      </c>
      <c r="D61" s="5" t="str">
        <f>VLOOKUP(C61,[1]master_data!$A$2:$E$495,2,FALSE)</f>
        <v>LEM SEALANT</v>
      </c>
      <c r="E61" s="5">
        <v>15</v>
      </c>
      <c r="F61" s="5">
        <f>VLOOKUP(C61,[1]master_data!$A$2:$E$495,3,FALSE)</f>
        <v>7000</v>
      </c>
      <c r="G61" s="5">
        <f>VLOOKUP(C61,[1]master_data!$A$2:$E$495,4,FALSE)</f>
        <v>10000</v>
      </c>
      <c r="H61" s="5">
        <f t="shared" si="6"/>
        <v>105000</v>
      </c>
      <c r="I61" s="5">
        <f t="shared" si="7"/>
        <v>150000</v>
      </c>
      <c r="J61" s="5">
        <f t="shared" si="8"/>
        <v>45000</v>
      </c>
      <c r="K61" s="5" t="str">
        <f>VLOOKUP(C61,[1]master_data!$A$2:$E$495,5,FALSE)</f>
        <v>Aksesoris</v>
      </c>
      <c r="L61" s="5" t="s">
        <v>471</v>
      </c>
    </row>
    <row r="62" spans="1:12" ht="12" customHeight="1" x14ac:dyDescent="0.25">
      <c r="A62" s="6">
        <v>44922</v>
      </c>
      <c r="B62" s="1">
        <v>2204501</v>
      </c>
      <c r="C62" s="5" t="s">
        <v>376</v>
      </c>
      <c r="D62" s="5" t="str">
        <f>VLOOKUP(C62,[1]master_data!$A$2:$E$495,2,FALSE)</f>
        <v>PASIR MEARAH B</v>
      </c>
      <c r="E62" s="5">
        <v>5</v>
      </c>
      <c r="F62" s="5">
        <f>VLOOKUP(C62,[1]master_data!$A$2:$E$495,3,FALSE)</f>
        <v>8000</v>
      </c>
      <c r="G62" s="5">
        <f>VLOOKUP(C62,[1]master_data!$A$2:$E$495,4,FALSE)</f>
        <v>25000</v>
      </c>
      <c r="H62" s="5">
        <f t="shared" si="6"/>
        <v>40000</v>
      </c>
      <c r="I62" s="5">
        <f t="shared" si="7"/>
        <v>125000</v>
      </c>
      <c r="J62" s="5">
        <f t="shared" si="8"/>
        <v>85000</v>
      </c>
      <c r="K62" s="5" t="str">
        <f>VLOOKUP(C62,[1]master_data!$A$2:$E$495,5,FALSE)</f>
        <v>Aksesoris</v>
      </c>
      <c r="L62" s="5" t="s">
        <v>471</v>
      </c>
    </row>
    <row r="63" spans="1:12" ht="12" customHeight="1" x14ac:dyDescent="0.25">
      <c r="A63" s="6">
        <v>44922</v>
      </c>
      <c r="B63" s="1">
        <v>2204500</v>
      </c>
      <c r="C63" s="5" t="s">
        <v>424</v>
      </c>
      <c r="D63" s="5" t="str">
        <f>VLOOKUP(C63,[1]master_data!$A$2:$E$495,2,FALSE)</f>
        <v>KOI SLAYER B</v>
      </c>
      <c r="E63" s="5">
        <v>5</v>
      </c>
      <c r="F63" s="5">
        <f>VLOOKUP(C63,[1]master_data!$A$2:$E$495,3,FALSE)</f>
        <v>8000</v>
      </c>
      <c r="G63" s="5">
        <f>VLOOKUP(C63,[1]master_data!$A$2:$E$495,4,FALSE)</f>
        <v>20000</v>
      </c>
      <c r="H63" s="5">
        <f t="shared" si="6"/>
        <v>40000</v>
      </c>
      <c r="I63" s="5">
        <f t="shared" si="7"/>
        <v>100000</v>
      </c>
      <c r="J63" s="5">
        <f t="shared" si="8"/>
        <v>60000</v>
      </c>
      <c r="K63" s="5" t="str">
        <f>VLOOKUP(C63,[1]master_data!$A$2:$E$495,5,FALSE)</f>
        <v>Ikan</v>
      </c>
      <c r="L63" s="5" t="s">
        <v>471</v>
      </c>
    </row>
    <row r="64" spans="1:12" ht="12" customHeight="1" x14ac:dyDescent="0.25">
      <c r="A64" s="6">
        <v>44922</v>
      </c>
      <c r="B64" s="1">
        <v>2204499</v>
      </c>
      <c r="C64" s="5" t="s">
        <v>127</v>
      </c>
      <c r="D64" s="5" t="str">
        <f>VLOOKUP(C64,[1]master_data!$A$2:$E$495,2,FALSE)</f>
        <v>LED YAMANO 3W</v>
      </c>
      <c r="E64" s="5">
        <v>1</v>
      </c>
      <c r="F64" s="5">
        <f>VLOOKUP(C64,[1]master_data!$A$2:$E$495,3,FALSE)</f>
        <v>37000</v>
      </c>
      <c r="G64" s="5">
        <f>VLOOKUP(C64,[1]master_data!$A$2:$E$495,4,FALSE)</f>
        <v>60000</v>
      </c>
      <c r="H64" s="5">
        <f t="shared" si="6"/>
        <v>37000</v>
      </c>
      <c r="I64" s="5">
        <f t="shared" si="7"/>
        <v>60000</v>
      </c>
      <c r="J64" s="5">
        <f t="shared" si="8"/>
        <v>23000</v>
      </c>
      <c r="K64" s="5" t="str">
        <f>VLOOKUP(C64,[1]master_data!$A$2:$E$495,5,FALSE)</f>
        <v>Aksesoris</v>
      </c>
      <c r="L64" s="5" t="s">
        <v>471</v>
      </c>
    </row>
    <row r="65" spans="1:12" ht="12" customHeight="1" x14ac:dyDescent="0.25">
      <c r="A65" s="6">
        <v>44922</v>
      </c>
      <c r="B65" s="1">
        <v>2204498</v>
      </c>
      <c r="C65" s="5" t="s">
        <v>424</v>
      </c>
      <c r="D65" s="5" t="str">
        <f>VLOOKUP(C65,[1]master_data!$A$2:$E$495,2,FALSE)</f>
        <v>KOI SLAYER B</v>
      </c>
      <c r="E65" s="5">
        <v>1</v>
      </c>
      <c r="F65" s="5">
        <f>VLOOKUP(C65,[1]master_data!$A$2:$E$495,3,FALSE)</f>
        <v>8000</v>
      </c>
      <c r="G65" s="5">
        <f>VLOOKUP(C65,[1]master_data!$A$2:$E$495,4,FALSE)</f>
        <v>20000</v>
      </c>
      <c r="H65" s="5">
        <f t="shared" si="6"/>
        <v>8000</v>
      </c>
      <c r="I65" s="5">
        <f t="shared" si="7"/>
        <v>20000</v>
      </c>
      <c r="J65" s="5">
        <f t="shared" si="8"/>
        <v>12000</v>
      </c>
      <c r="K65" s="5" t="str">
        <f>VLOOKUP(C65,[1]master_data!$A$2:$E$495,5,FALSE)</f>
        <v>Ikan</v>
      </c>
      <c r="L65" s="5" t="s">
        <v>471</v>
      </c>
    </row>
    <row r="66" spans="1:12" ht="12" customHeight="1" x14ac:dyDescent="0.25">
      <c r="A66" s="6">
        <v>44921</v>
      </c>
      <c r="B66" s="1">
        <v>2204497</v>
      </c>
      <c r="C66" s="5" t="s">
        <v>391</v>
      </c>
      <c r="D66" s="5" t="str">
        <f>VLOOKUP(C66,[1]master_data!$A$2:$E$495,2,FALSE)</f>
        <v>CHANNA ANDRAO K</v>
      </c>
      <c r="E66" s="5">
        <v>10</v>
      </c>
      <c r="F66" s="5">
        <f>VLOOKUP(C66,[1]master_data!$A$2:$E$495,3,FALSE)</f>
        <v>20000</v>
      </c>
      <c r="G66" s="5">
        <f>VLOOKUP(C66,[1]master_data!$A$2:$E$495,4,FALSE)</f>
        <v>50000</v>
      </c>
      <c r="H66" s="5">
        <f t="shared" si="6"/>
        <v>200000</v>
      </c>
      <c r="I66" s="5">
        <f t="shared" si="7"/>
        <v>500000</v>
      </c>
      <c r="J66" s="5">
        <f t="shared" si="8"/>
        <v>300000</v>
      </c>
      <c r="K66" s="5" t="str">
        <f>VLOOKUP(C66,[1]master_data!$A$2:$E$495,5,FALSE)</f>
        <v>Ikan</v>
      </c>
      <c r="L66" s="5" t="s">
        <v>471</v>
      </c>
    </row>
    <row r="67" spans="1:12" ht="12" customHeight="1" x14ac:dyDescent="0.25">
      <c r="A67" s="6">
        <v>44921</v>
      </c>
      <c r="B67" s="1">
        <v>2204496</v>
      </c>
      <c r="C67" s="5" t="s">
        <v>157</v>
      </c>
      <c r="D67" s="5" t="str">
        <f>VLOOKUP(C67,[1]master_data!$A$2:$E$495,2,FALSE)</f>
        <v>LED KANDILA 2 BRS 60 CM</v>
      </c>
      <c r="E67" s="5">
        <v>1</v>
      </c>
      <c r="F67" s="5">
        <f>VLOOKUP(C67,[1]master_data!$A$2:$E$495,3,FALSE)</f>
        <v>30000</v>
      </c>
      <c r="G67" s="5">
        <f>VLOOKUP(C67,[1]master_data!$A$2:$E$495,4,FALSE)</f>
        <v>65000</v>
      </c>
      <c r="H67" s="5">
        <f t="shared" si="6"/>
        <v>30000</v>
      </c>
      <c r="I67" s="5">
        <f t="shared" si="7"/>
        <v>65000</v>
      </c>
      <c r="J67" s="5">
        <f t="shared" si="8"/>
        <v>35000</v>
      </c>
      <c r="K67" s="5" t="str">
        <f>VLOOKUP(C67,[1]master_data!$A$2:$E$495,5,FALSE)</f>
        <v>Aksesoris</v>
      </c>
      <c r="L67" s="5" t="s">
        <v>471</v>
      </c>
    </row>
    <row r="68" spans="1:12" ht="12" customHeight="1" x14ac:dyDescent="0.25">
      <c r="A68" s="6">
        <v>44921</v>
      </c>
      <c r="B68" s="1">
        <v>2204495</v>
      </c>
      <c r="C68" s="5" t="s">
        <v>124</v>
      </c>
      <c r="D68" s="5" t="str">
        <f>VLOOKUP(C68,[1]master_data!$A$2:$E$495,2,FALSE)</f>
        <v>LAMPU YAMANO UV 7W</v>
      </c>
      <c r="E68" s="5">
        <v>1</v>
      </c>
      <c r="F68" s="5">
        <f>VLOOKUP(C68,[1]master_data!$A$2:$E$495,3,FALSE)</f>
        <v>63000</v>
      </c>
      <c r="G68" s="5">
        <f>VLOOKUP(C68,[1]master_data!$A$2:$E$495,4,FALSE)</f>
        <v>80000</v>
      </c>
      <c r="H68" s="5">
        <f t="shared" si="6"/>
        <v>63000</v>
      </c>
      <c r="I68" s="5">
        <f t="shared" si="7"/>
        <v>80000</v>
      </c>
      <c r="J68" s="5">
        <f t="shared" si="8"/>
        <v>17000</v>
      </c>
      <c r="K68" s="5" t="str">
        <f>VLOOKUP(C68,[1]master_data!$A$2:$E$495,5,FALSE)</f>
        <v>Aksesoris</v>
      </c>
      <c r="L68" s="5" t="s">
        <v>471</v>
      </c>
    </row>
    <row r="69" spans="1:12" ht="12" customHeight="1" x14ac:dyDescent="0.25">
      <c r="A69" s="6">
        <v>44921</v>
      </c>
      <c r="B69" s="1">
        <v>2204494</v>
      </c>
      <c r="C69" s="5" t="s">
        <v>439</v>
      </c>
      <c r="D69" s="5" t="str">
        <f>VLOOKUP(C69,[1]master_data!$A$2:$E$495,2,FALSE)</f>
        <v>NEON</v>
      </c>
      <c r="E69" s="5">
        <v>20</v>
      </c>
      <c r="F69" s="5">
        <f>VLOOKUP(C69,[1]master_data!$A$2:$E$495,3,FALSE)</f>
        <v>1250</v>
      </c>
      <c r="G69" s="5">
        <f>VLOOKUP(C69,[1]master_data!$A$2:$E$495,4,FALSE)</f>
        <v>5000</v>
      </c>
      <c r="H69" s="5">
        <f t="shared" ref="H69:H132" si="9">E69*F69</f>
        <v>25000</v>
      </c>
      <c r="I69" s="5">
        <f t="shared" ref="I69:I132" si="10">E69*G69</f>
        <v>100000</v>
      </c>
      <c r="J69" s="5">
        <f t="shared" ref="J69:J132" si="11">I69-H69</f>
        <v>75000</v>
      </c>
      <c r="K69" s="5" t="str">
        <f>VLOOKUP(C69,[1]master_data!$A$2:$E$495,5,FALSE)</f>
        <v>Ikan</v>
      </c>
      <c r="L69" s="5" t="s">
        <v>471</v>
      </c>
    </row>
    <row r="70" spans="1:12" ht="12" customHeight="1" x14ac:dyDescent="0.25">
      <c r="A70" s="6">
        <v>44921</v>
      </c>
      <c r="B70" s="1">
        <v>2204493</v>
      </c>
      <c r="C70" s="5" t="s">
        <v>445</v>
      </c>
      <c r="D70" s="5" t="str">
        <f>VLOOKUP(C70,[1]master_data!$A$2:$E$495,2,FALSE)</f>
        <v>PESO</v>
      </c>
      <c r="E70" s="5">
        <v>7</v>
      </c>
      <c r="F70" s="5">
        <f>VLOOKUP(C70,[1]master_data!$A$2:$E$495,3,FALSE)</f>
        <v>19000</v>
      </c>
      <c r="G70" s="5">
        <f>VLOOKUP(C70,[1]master_data!$A$2:$E$495,4,FALSE)</f>
        <v>40000</v>
      </c>
      <c r="H70" s="5">
        <f t="shared" si="9"/>
        <v>133000</v>
      </c>
      <c r="I70" s="5">
        <f t="shared" si="10"/>
        <v>280000</v>
      </c>
      <c r="J70" s="5">
        <f t="shared" si="11"/>
        <v>147000</v>
      </c>
      <c r="K70" s="5" t="str">
        <f>VLOOKUP(C70,[1]master_data!$A$2:$E$495,5,FALSE)</f>
        <v>Ikan</v>
      </c>
      <c r="L70" s="5" t="s">
        <v>471</v>
      </c>
    </row>
    <row r="71" spans="1:12" ht="12" customHeight="1" x14ac:dyDescent="0.25">
      <c r="A71" s="6">
        <v>44920</v>
      </c>
      <c r="B71" s="1">
        <v>2204492</v>
      </c>
      <c r="C71" s="5" t="s">
        <v>444</v>
      </c>
      <c r="D71" s="5" t="str">
        <f>VLOOKUP(C71,[1]master_data!$A$2:$E$495,2,FALSE)</f>
        <v>PARROT</v>
      </c>
      <c r="E71" s="5">
        <v>1</v>
      </c>
      <c r="F71" s="5">
        <f>VLOOKUP(C71,[1]master_data!$A$2:$E$495,3,FALSE)</f>
        <v>27000</v>
      </c>
      <c r="G71" s="5">
        <f>VLOOKUP(C71,[1]master_data!$A$2:$E$495,4,FALSE)</f>
        <v>60000</v>
      </c>
      <c r="H71" s="5">
        <f t="shared" si="9"/>
        <v>27000</v>
      </c>
      <c r="I71" s="5">
        <f t="shared" si="10"/>
        <v>60000</v>
      </c>
      <c r="J71" s="5">
        <f t="shared" si="11"/>
        <v>33000</v>
      </c>
      <c r="K71" s="5" t="str">
        <f>VLOOKUP(C71,[1]master_data!$A$2:$E$495,5,FALSE)</f>
        <v>Ikan</v>
      </c>
      <c r="L71" s="5" t="s">
        <v>471</v>
      </c>
    </row>
    <row r="72" spans="1:12" ht="12" customHeight="1" x14ac:dyDescent="0.25">
      <c r="A72" s="6">
        <v>44920</v>
      </c>
      <c r="B72" s="1">
        <v>2204491</v>
      </c>
      <c r="C72" s="5" t="s">
        <v>227</v>
      </c>
      <c r="D72" s="5" t="str">
        <f>VLOOKUP(C72,[1]master_data!$A$2:$E$495,2,FALSE)</f>
        <v>SAN KOI 2 MM</v>
      </c>
      <c r="E72" s="5">
        <v>1</v>
      </c>
      <c r="F72" s="5">
        <f>VLOOKUP(C72,[1]master_data!$A$2:$E$495,3,FALSE)</f>
        <v>61750</v>
      </c>
      <c r="G72" s="5">
        <f>VLOOKUP(C72,[1]master_data!$A$2:$E$495,4,FALSE)</f>
        <v>75000</v>
      </c>
      <c r="H72" s="5">
        <f t="shared" si="9"/>
        <v>61750</v>
      </c>
      <c r="I72" s="5">
        <f t="shared" si="10"/>
        <v>75000</v>
      </c>
      <c r="J72" s="5">
        <f t="shared" si="11"/>
        <v>13250</v>
      </c>
      <c r="K72" s="5" t="str">
        <f>VLOOKUP(C72,[1]master_data!$A$2:$E$495,5,FALSE)</f>
        <v>Aksesoris</v>
      </c>
      <c r="L72" s="5" t="s">
        <v>471</v>
      </c>
    </row>
    <row r="73" spans="1:12" ht="12" customHeight="1" x14ac:dyDescent="0.25">
      <c r="A73" s="6">
        <v>44920</v>
      </c>
      <c r="B73" s="1">
        <v>2204490</v>
      </c>
      <c r="C73" s="5" t="s">
        <v>230</v>
      </c>
      <c r="D73" s="5" t="str">
        <f>VLOOKUP(C73,[1]master_data!$A$2:$E$495,2,FALSE)</f>
        <v>OK IKO LOUHAN HIJAU</v>
      </c>
      <c r="E73" s="5">
        <v>1</v>
      </c>
      <c r="F73" s="5">
        <f>VLOOKUP(C73,[1]master_data!$A$2:$E$495,3,FALSE)</f>
        <v>31500</v>
      </c>
      <c r="G73" s="5">
        <f>VLOOKUP(C73,[1]master_data!$A$2:$E$495,4,FALSE)</f>
        <v>50000</v>
      </c>
      <c r="H73" s="5">
        <f t="shared" si="9"/>
        <v>31500</v>
      </c>
      <c r="I73" s="5">
        <f t="shared" si="10"/>
        <v>50000</v>
      </c>
      <c r="J73" s="5">
        <f t="shared" si="11"/>
        <v>18500</v>
      </c>
      <c r="K73" s="5" t="str">
        <f>VLOOKUP(C73,[1]master_data!$A$2:$E$495,5,FALSE)</f>
        <v>Aksesoris</v>
      </c>
      <c r="L73" s="5" t="s">
        <v>471</v>
      </c>
    </row>
    <row r="74" spans="1:12" ht="12" customHeight="1" x14ac:dyDescent="0.25">
      <c r="A74" s="6">
        <v>44920</v>
      </c>
      <c r="B74" s="1">
        <v>2204489</v>
      </c>
      <c r="C74" s="5" t="s">
        <v>192</v>
      </c>
      <c r="D74" s="5" t="str">
        <f>VLOOKUP(C74,[1]master_data!$A$2:$E$495,2,FALSE)</f>
        <v>LED KANDILA DnN ECO 80 CM</v>
      </c>
      <c r="E74" s="5">
        <v>2</v>
      </c>
      <c r="F74" s="5">
        <f>VLOOKUP(C74,[1]master_data!$A$2:$E$495,3,FALSE)</f>
        <v>78000</v>
      </c>
      <c r="G74" s="5">
        <f>VLOOKUP(C74,[1]master_data!$A$2:$E$495,4,FALSE)</f>
        <v>110000</v>
      </c>
      <c r="H74" s="5">
        <f t="shared" si="9"/>
        <v>156000</v>
      </c>
      <c r="I74" s="5">
        <f t="shared" si="10"/>
        <v>220000</v>
      </c>
      <c r="J74" s="5">
        <f t="shared" si="11"/>
        <v>64000</v>
      </c>
      <c r="K74" s="5" t="str">
        <f>VLOOKUP(C74,[1]master_data!$A$2:$E$495,5,FALSE)</f>
        <v>Aksesoris</v>
      </c>
      <c r="L74" s="5" t="s">
        <v>471</v>
      </c>
    </row>
    <row r="75" spans="1:12" ht="12" customHeight="1" x14ac:dyDescent="0.25">
      <c r="A75" s="6">
        <v>44920</v>
      </c>
      <c r="B75" s="1">
        <v>2204488</v>
      </c>
      <c r="C75" s="5" t="s">
        <v>425</v>
      </c>
      <c r="D75" s="5" t="str">
        <f>VLOOKUP(C75,[1]master_data!$A$2:$E$495,2,FALSE)</f>
        <v>CAROLINE</v>
      </c>
      <c r="E75" s="5">
        <v>7</v>
      </c>
      <c r="F75" s="5">
        <f>VLOOKUP(C75,[1]master_data!$A$2:$E$495,3,FALSE)</f>
        <v>900</v>
      </c>
      <c r="G75" s="5">
        <f>VLOOKUP(C75,[1]master_data!$A$2:$E$495,4,FALSE)</f>
        <v>2000</v>
      </c>
      <c r="H75" s="5">
        <f t="shared" si="9"/>
        <v>6300</v>
      </c>
      <c r="I75" s="5">
        <f t="shared" si="10"/>
        <v>14000</v>
      </c>
      <c r="J75" s="5">
        <f t="shared" si="11"/>
        <v>7700</v>
      </c>
      <c r="K75" s="5" t="str">
        <f>VLOOKUP(C75,[1]master_data!$A$2:$E$495,5,FALSE)</f>
        <v>Ikan</v>
      </c>
      <c r="L75" s="5" t="s">
        <v>471</v>
      </c>
    </row>
    <row r="76" spans="1:12" ht="12" customHeight="1" x14ac:dyDescent="0.25">
      <c r="A76" s="6">
        <v>44920</v>
      </c>
      <c r="B76" s="1">
        <v>2204487</v>
      </c>
      <c r="C76" s="5" t="s">
        <v>408</v>
      </c>
      <c r="D76" s="5" t="str">
        <f>VLOOKUP(C76,[1]master_data!$A$2:$E$495,2,FALSE)</f>
        <v>CATFISH</v>
      </c>
      <c r="E76" s="5">
        <v>5</v>
      </c>
      <c r="F76" s="5">
        <f>VLOOKUP(C76,[1]master_data!$A$2:$E$495,3,FALSE)</f>
        <v>20000</v>
      </c>
      <c r="G76" s="5">
        <f>VLOOKUP(C76,[1]master_data!$A$2:$E$495,4,FALSE)</f>
        <v>50000</v>
      </c>
      <c r="H76" s="5">
        <f t="shared" si="9"/>
        <v>100000</v>
      </c>
      <c r="I76" s="5">
        <f t="shared" si="10"/>
        <v>250000</v>
      </c>
      <c r="J76" s="5">
        <f t="shared" si="11"/>
        <v>150000</v>
      </c>
      <c r="K76" s="5" t="str">
        <f>VLOOKUP(C76,[1]master_data!$A$2:$E$495,5,FALSE)</f>
        <v>Ikan</v>
      </c>
      <c r="L76" s="5" t="s">
        <v>471</v>
      </c>
    </row>
    <row r="77" spans="1:12" ht="12" customHeight="1" x14ac:dyDescent="0.25">
      <c r="A77" s="6">
        <v>44920</v>
      </c>
      <c r="B77" s="1">
        <v>2204486</v>
      </c>
      <c r="C77" s="5" t="s">
        <v>84</v>
      </c>
      <c r="D77" s="5" t="str">
        <f>VLOOKUP(C77,[1]master_data!$A$2:$E$495,2,FALSE)</f>
        <v>MESIN RECENT WV 3000</v>
      </c>
      <c r="E77" s="5">
        <v>10</v>
      </c>
      <c r="F77" s="5">
        <f>VLOOKUP(C77,[1]master_data!$A$2:$E$495,3,FALSE)</f>
        <v>59000</v>
      </c>
      <c r="G77" s="5">
        <f>VLOOKUP(C77,[1]master_data!$A$2:$E$495,4,FALSE)</f>
        <v>85000</v>
      </c>
      <c r="H77" s="5">
        <f t="shared" si="9"/>
        <v>590000</v>
      </c>
      <c r="I77" s="5">
        <f t="shared" si="10"/>
        <v>850000</v>
      </c>
      <c r="J77" s="5">
        <f t="shared" si="11"/>
        <v>260000</v>
      </c>
      <c r="K77" s="5" t="str">
        <f>VLOOKUP(C77,[1]master_data!$A$2:$E$495,5,FALSE)</f>
        <v>Aksesoris</v>
      </c>
      <c r="L77" s="5" t="s">
        <v>471</v>
      </c>
    </row>
    <row r="78" spans="1:12" ht="12" customHeight="1" x14ac:dyDescent="0.25">
      <c r="A78" s="6">
        <v>44919</v>
      </c>
      <c r="B78" s="1">
        <v>2204485</v>
      </c>
      <c r="C78" s="5" t="s">
        <v>396</v>
      </c>
      <c r="D78" s="5" t="str">
        <f>VLOOKUP(C78,[1]master_data!$A$2:$E$495,2,FALSE)</f>
        <v>ALGA EATER</v>
      </c>
      <c r="E78" s="5">
        <v>10</v>
      </c>
      <c r="F78" s="5">
        <f>VLOOKUP(C78,[1]master_data!$A$2:$E$495,3,FALSE)</f>
        <v>1750</v>
      </c>
      <c r="G78" s="5">
        <f>VLOOKUP(C78,[1]master_data!$A$2:$E$495,4,FALSE)</f>
        <v>5000</v>
      </c>
      <c r="H78" s="5">
        <f t="shared" si="9"/>
        <v>17500</v>
      </c>
      <c r="I78" s="5">
        <f t="shared" si="10"/>
        <v>50000</v>
      </c>
      <c r="J78" s="5">
        <f t="shared" si="11"/>
        <v>32500</v>
      </c>
      <c r="K78" s="5" t="str">
        <f>VLOOKUP(C78,[1]master_data!$A$2:$E$495,5,FALSE)</f>
        <v>Ikan</v>
      </c>
      <c r="L78" s="5" t="s">
        <v>471</v>
      </c>
    </row>
    <row r="79" spans="1:12" ht="12" customHeight="1" x14ac:dyDescent="0.25">
      <c r="A79" s="6">
        <v>44919</v>
      </c>
      <c r="B79" s="1">
        <v>2204484</v>
      </c>
      <c r="C79" s="5" t="s">
        <v>432</v>
      </c>
      <c r="D79" s="5" t="str">
        <f>VLOOKUP(C79,[1]master_data!$A$2:$E$495,2,FALSE)</f>
        <v>MARU K</v>
      </c>
      <c r="E79" s="5">
        <v>2</v>
      </c>
      <c r="F79" s="5">
        <f>VLOOKUP(C79,[1]master_data!$A$2:$E$495,3,FALSE)</f>
        <v>23000</v>
      </c>
      <c r="G79" s="5">
        <f>VLOOKUP(C79,[1]master_data!$A$2:$E$495,4,FALSE)</f>
        <v>50000</v>
      </c>
      <c r="H79" s="5">
        <f t="shared" si="9"/>
        <v>46000</v>
      </c>
      <c r="I79" s="5">
        <f t="shared" si="10"/>
        <v>100000</v>
      </c>
      <c r="J79" s="5">
        <f t="shared" si="11"/>
        <v>54000</v>
      </c>
      <c r="K79" s="5" t="str">
        <f>VLOOKUP(C79,[1]master_data!$A$2:$E$495,5,FALSE)</f>
        <v>Ikan</v>
      </c>
      <c r="L79" s="5" t="s">
        <v>471</v>
      </c>
    </row>
    <row r="80" spans="1:12" ht="12" customHeight="1" x14ac:dyDescent="0.25">
      <c r="A80" s="6">
        <v>44919</v>
      </c>
      <c r="B80" s="1">
        <v>2204483</v>
      </c>
      <c r="C80" s="5" t="s">
        <v>393</v>
      </c>
      <c r="D80" s="5" t="str">
        <f>VLOOKUP(C80,[1]master_data!$A$2:$E$495,2,FALSE)</f>
        <v>CHANNA ANDRAO B</v>
      </c>
      <c r="E80" s="5">
        <v>2</v>
      </c>
      <c r="F80" s="5">
        <f>VLOOKUP(C80,[1]master_data!$A$2:$E$495,3,FALSE)</f>
        <v>100000</v>
      </c>
      <c r="G80" s="5">
        <f>VLOOKUP(C80,[1]master_data!$A$2:$E$495,4,FALSE)</f>
        <v>200000</v>
      </c>
      <c r="H80" s="5">
        <f t="shared" si="9"/>
        <v>200000</v>
      </c>
      <c r="I80" s="5">
        <f t="shared" si="10"/>
        <v>400000</v>
      </c>
      <c r="J80" s="5">
        <f t="shared" si="11"/>
        <v>200000</v>
      </c>
      <c r="K80" s="5" t="str">
        <f>VLOOKUP(C80,[1]master_data!$A$2:$E$495,5,FALSE)</f>
        <v>Ikan</v>
      </c>
      <c r="L80" s="5" t="s">
        <v>471</v>
      </c>
    </row>
    <row r="81" spans="1:12" ht="12" customHeight="1" x14ac:dyDescent="0.25">
      <c r="A81" s="6">
        <v>44919</v>
      </c>
      <c r="B81" s="1">
        <v>2204482</v>
      </c>
      <c r="C81" s="5" t="s">
        <v>390</v>
      </c>
      <c r="D81" s="5" t="str">
        <f>VLOOKUP(C81,[1]master_data!$A$2:$E$495,2,FALSE)</f>
        <v>CHANNA ASIATICA K</v>
      </c>
      <c r="E81" s="5">
        <v>1</v>
      </c>
      <c r="F81" s="5">
        <f>VLOOKUP(C81,[1]master_data!$A$2:$E$495,3,FALSE)</f>
        <v>10000</v>
      </c>
      <c r="G81" s="5">
        <f>VLOOKUP(C81,[1]master_data!$A$2:$E$495,4,FALSE)</f>
        <v>40000</v>
      </c>
      <c r="H81" s="5">
        <f t="shared" si="9"/>
        <v>10000</v>
      </c>
      <c r="I81" s="5">
        <f t="shared" si="10"/>
        <v>40000</v>
      </c>
      <c r="J81" s="5">
        <f t="shared" si="11"/>
        <v>30000</v>
      </c>
      <c r="K81" s="5" t="str">
        <f>VLOOKUP(C81,[1]master_data!$A$2:$E$495,5,FALSE)</f>
        <v>Ikan</v>
      </c>
      <c r="L81" s="5" t="s">
        <v>471</v>
      </c>
    </row>
    <row r="82" spans="1:12" ht="12" customHeight="1" x14ac:dyDescent="0.25">
      <c r="A82" s="6">
        <v>44919</v>
      </c>
      <c r="B82" s="1">
        <v>2204481</v>
      </c>
      <c r="C82" s="5" t="s">
        <v>39</v>
      </c>
      <c r="D82" s="5" t="str">
        <f>VLOOKUP(C82,[1]master_data!$A$2:$E$495,2,FALSE)</f>
        <v>MESIN YAMANO 107</v>
      </c>
      <c r="E82" s="5">
        <v>1</v>
      </c>
      <c r="F82" s="5">
        <f>VLOOKUP(C82,[1]master_data!$A$2:$E$495,3,FALSE)</f>
        <v>280000</v>
      </c>
      <c r="G82" s="5">
        <f>VLOOKUP(C82,[1]master_data!$A$2:$E$495,4,FALSE)</f>
        <v>321000</v>
      </c>
      <c r="H82" s="5">
        <f t="shared" si="9"/>
        <v>280000</v>
      </c>
      <c r="I82" s="5">
        <f t="shared" si="10"/>
        <v>321000</v>
      </c>
      <c r="J82" s="5">
        <f t="shared" si="11"/>
        <v>41000</v>
      </c>
      <c r="K82" s="5" t="str">
        <f>VLOOKUP(C82,[1]master_data!$A$2:$E$495,5,FALSE)</f>
        <v>Aksesoris</v>
      </c>
      <c r="L82" s="5" t="s">
        <v>471</v>
      </c>
    </row>
    <row r="83" spans="1:12" ht="12" customHeight="1" x14ac:dyDescent="0.25">
      <c r="A83" s="6">
        <v>44919</v>
      </c>
      <c r="B83" s="1">
        <v>2204480</v>
      </c>
      <c r="C83" s="5" t="s">
        <v>453</v>
      </c>
      <c r="D83" s="5" t="str">
        <f>VLOOKUP(C83,[1]master_data!$A$2:$E$495,2,FALSE)</f>
        <v>SYNODONTIS K</v>
      </c>
      <c r="E83" s="5">
        <v>30</v>
      </c>
      <c r="F83" s="5">
        <f>VLOOKUP(C83,[1]master_data!$A$2:$E$495,3,FALSE)</f>
        <v>1500</v>
      </c>
      <c r="G83" s="5">
        <f>VLOOKUP(C83,[1]master_data!$A$2:$E$495,4,FALSE)</f>
        <v>5000</v>
      </c>
      <c r="H83" s="5">
        <f t="shared" si="9"/>
        <v>45000</v>
      </c>
      <c r="I83" s="5">
        <f t="shared" si="10"/>
        <v>150000</v>
      </c>
      <c r="J83" s="5">
        <f t="shared" si="11"/>
        <v>105000</v>
      </c>
      <c r="K83" s="5" t="str">
        <f>VLOOKUP(C83,[1]master_data!$A$2:$E$495,5,FALSE)</f>
        <v>Ikan</v>
      </c>
      <c r="L83" s="5" t="s">
        <v>471</v>
      </c>
    </row>
    <row r="84" spans="1:12" ht="12" customHeight="1" x14ac:dyDescent="0.25">
      <c r="A84" s="6">
        <v>44919</v>
      </c>
      <c r="B84" s="1">
        <v>2204479</v>
      </c>
      <c r="C84" s="5" t="s">
        <v>453</v>
      </c>
      <c r="D84" s="5" t="str">
        <f>VLOOKUP(C84,[1]master_data!$A$2:$E$495,2,FALSE)</f>
        <v>SYNODONTIS K</v>
      </c>
      <c r="E84" s="5">
        <v>25</v>
      </c>
      <c r="F84" s="5">
        <f>VLOOKUP(C84,[1]master_data!$A$2:$E$495,3,FALSE)</f>
        <v>1500</v>
      </c>
      <c r="G84" s="5">
        <f>VLOOKUP(C84,[1]master_data!$A$2:$E$495,4,FALSE)</f>
        <v>5000</v>
      </c>
      <c r="H84" s="5">
        <f t="shared" si="9"/>
        <v>37500</v>
      </c>
      <c r="I84" s="5">
        <f t="shared" si="10"/>
        <v>125000</v>
      </c>
      <c r="J84" s="5">
        <f t="shared" si="11"/>
        <v>87500</v>
      </c>
      <c r="K84" s="5" t="str">
        <f>VLOOKUP(C84,[1]master_data!$A$2:$E$495,5,FALSE)</f>
        <v>Ikan</v>
      </c>
      <c r="L84" s="5" t="s">
        <v>471</v>
      </c>
    </row>
    <row r="85" spans="1:12" ht="12" customHeight="1" x14ac:dyDescent="0.25">
      <c r="A85" s="6">
        <v>44918</v>
      </c>
      <c r="B85" s="1">
        <v>2204478</v>
      </c>
      <c r="C85" s="5" t="s">
        <v>448</v>
      </c>
      <c r="D85" s="5" t="str">
        <f>VLOOKUP(C85,[1]master_data!$A$2:$E$495,2,FALSE)</f>
        <v xml:space="preserve"> CHANNA RED BARITO K</v>
      </c>
      <c r="E85" s="5">
        <v>9</v>
      </c>
      <c r="F85" s="5">
        <f>VLOOKUP(C85,[1]master_data!$A$2:$E$495,3,FALSE)</f>
        <v>45000</v>
      </c>
      <c r="G85" s="5">
        <f>VLOOKUP(C85,[1]master_data!$A$2:$E$495,4,FALSE)</f>
        <v>100000</v>
      </c>
      <c r="H85" s="5">
        <f t="shared" si="9"/>
        <v>405000</v>
      </c>
      <c r="I85" s="5">
        <f t="shared" si="10"/>
        <v>900000</v>
      </c>
      <c r="J85" s="5">
        <f t="shared" si="11"/>
        <v>495000</v>
      </c>
      <c r="K85" s="5" t="str">
        <f>VLOOKUP(C85,[1]master_data!$A$2:$E$495,5,FALSE)</f>
        <v>Ikan</v>
      </c>
      <c r="L85" s="5" t="s">
        <v>471</v>
      </c>
    </row>
    <row r="86" spans="1:12" ht="12" customHeight="1" x14ac:dyDescent="0.25">
      <c r="A86" s="6">
        <v>44918</v>
      </c>
      <c r="B86" s="1">
        <v>2204477</v>
      </c>
      <c r="C86" s="5" t="s">
        <v>62</v>
      </c>
      <c r="D86" s="5" t="str">
        <f>VLOOKUP(C86,[1]master_data!$A$2:$E$495,2,FALSE)</f>
        <v>MESIN SUSUN 3000</v>
      </c>
      <c r="E86" s="5">
        <v>1</v>
      </c>
      <c r="F86" s="5">
        <f>VLOOKUP(C86,[1]master_data!$A$2:$E$495,3,FALSE)</f>
        <v>409000</v>
      </c>
      <c r="G86" s="5">
        <f>VLOOKUP(C86,[1]master_data!$A$2:$E$495,4,FALSE)</f>
        <v>450000</v>
      </c>
      <c r="H86" s="5">
        <f t="shared" si="9"/>
        <v>409000</v>
      </c>
      <c r="I86" s="5">
        <f t="shared" si="10"/>
        <v>450000</v>
      </c>
      <c r="J86" s="5">
        <f t="shared" si="11"/>
        <v>41000</v>
      </c>
      <c r="K86" s="5" t="str">
        <f>VLOOKUP(C86,[1]master_data!$A$2:$E$495,5,FALSE)</f>
        <v>Aksesoris</v>
      </c>
      <c r="L86" s="5" t="s">
        <v>471</v>
      </c>
    </row>
    <row r="87" spans="1:12" ht="12" customHeight="1" x14ac:dyDescent="0.25">
      <c r="A87" s="6">
        <v>44917</v>
      </c>
      <c r="B87" s="1">
        <v>2204476</v>
      </c>
      <c r="C87" s="5" t="s">
        <v>435</v>
      </c>
      <c r="D87" s="5" t="str">
        <f>VLOOKUP(C87,[1]master_data!$A$2:$E$495,2,FALSE)</f>
        <v>MOLI BALON</v>
      </c>
      <c r="E87" s="5">
        <v>15</v>
      </c>
      <c r="F87" s="5">
        <f>VLOOKUP(C87,[1]master_data!$A$2:$E$495,3,FALSE)</f>
        <v>800</v>
      </c>
      <c r="G87" s="5">
        <f>VLOOKUP(C87,[1]master_data!$A$2:$E$495,4,FALSE)</f>
        <v>2000</v>
      </c>
      <c r="H87" s="5">
        <f t="shared" si="9"/>
        <v>12000</v>
      </c>
      <c r="I87" s="5">
        <f t="shared" si="10"/>
        <v>30000</v>
      </c>
      <c r="J87" s="5">
        <f t="shared" si="11"/>
        <v>18000</v>
      </c>
      <c r="K87" s="5" t="str">
        <f>VLOOKUP(C87,[1]master_data!$A$2:$E$495,5,FALSE)</f>
        <v>Ikan</v>
      </c>
      <c r="L87" s="5" t="s">
        <v>471</v>
      </c>
    </row>
    <row r="88" spans="1:12" ht="12" customHeight="1" x14ac:dyDescent="0.25">
      <c r="A88" s="6">
        <v>44917</v>
      </c>
      <c r="B88" s="1">
        <v>2204475</v>
      </c>
      <c r="C88" s="5" t="s">
        <v>453</v>
      </c>
      <c r="D88" s="5" t="str">
        <f>VLOOKUP(C88,[1]master_data!$A$2:$E$495,2,FALSE)</f>
        <v>SYNODONTIS K</v>
      </c>
      <c r="E88" s="5">
        <v>22</v>
      </c>
      <c r="F88" s="5">
        <f>VLOOKUP(C88,[1]master_data!$A$2:$E$495,3,FALSE)</f>
        <v>1500</v>
      </c>
      <c r="G88" s="5">
        <f>VLOOKUP(C88,[1]master_data!$A$2:$E$495,4,FALSE)</f>
        <v>5000</v>
      </c>
      <c r="H88" s="5">
        <f t="shared" si="9"/>
        <v>33000</v>
      </c>
      <c r="I88" s="5">
        <f t="shared" si="10"/>
        <v>110000</v>
      </c>
      <c r="J88" s="5">
        <f t="shared" si="11"/>
        <v>77000</v>
      </c>
      <c r="K88" s="5" t="str">
        <f>VLOOKUP(C88,[1]master_data!$A$2:$E$495,5,FALSE)</f>
        <v>Ikan</v>
      </c>
      <c r="L88" s="5" t="s">
        <v>471</v>
      </c>
    </row>
    <row r="89" spans="1:12" ht="12" customHeight="1" x14ac:dyDescent="0.25">
      <c r="A89" s="6">
        <v>44917</v>
      </c>
      <c r="B89" s="1">
        <v>2204474</v>
      </c>
      <c r="C89" s="5" t="s">
        <v>150</v>
      </c>
      <c r="D89" s="5" t="str">
        <f>VLOOKUP(C89,[1]master_data!$A$2:$E$495,2,FALSE)</f>
        <v>LED KANDILA 2 BRS 100 CM</v>
      </c>
      <c r="E89" s="5">
        <v>1</v>
      </c>
      <c r="F89" s="5">
        <f>VLOOKUP(C89,[1]master_data!$A$2:$E$495,3,FALSE)</f>
        <v>50000</v>
      </c>
      <c r="G89" s="5">
        <f>VLOOKUP(C89,[1]master_data!$A$2:$E$495,4,FALSE)</f>
        <v>100000</v>
      </c>
      <c r="H89" s="5">
        <f t="shared" si="9"/>
        <v>50000</v>
      </c>
      <c r="I89" s="5">
        <f t="shared" si="10"/>
        <v>100000</v>
      </c>
      <c r="J89" s="5">
        <f t="shared" si="11"/>
        <v>50000</v>
      </c>
      <c r="K89" s="5" t="str">
        <f>VLOOKUP(C89,[1]master_data!$A$2:$E$495,5,FALSE)</f>
        <v>Aksesoris</v>
      </c>
      <c r="L89" s="5" t="s">
        <v>471</v>
      </c>
    </row>
    <row r="90" spans="1:12" ht="12" customHeight="1" x14ac:dyDescent="0.25">
      <c r="A90" s="6">
        <v>44917</v>
      </c>
      <c r="B90" s="1">
        <v>2204473</v>
      </c>
      <c r="C90" s="5" t="s">
        <v>29</v>
      </c>
      <c r="D90" s="5" t="str">
        <f>VLOOKUP(C90,[1]master_data!$A$2:$E$495,2,FALSE)</f>
        <v>MESIN ROSTON 108</v>
      </c>
      <c r="E90" s="5">
        <v>1</v>
      </c>
      <c r="F90" s="5">
        <f>VLOOKUP(C90,[1]master_data!$A$2:$E$495,3,FALSE)</f>
        <v>190000</v>
      </c>
      <c r="G90" s="5">
        <f>VLOOKUP(C90,[1]master_data!$A$2:$E$495,4,FALSE)</f>
        <v>275000</v>
      </c>
      <c r="H90" s="5">
        <f t="shared" si="9"/>
        <v>190000</v>
      </c>
      <c r="I90" s="5">
        <f t="shared" si="10"/>
        <v>275000</v>
      </c>
      <c r="J90" s="5">
        <f t="shared" si="11"/>
        <v>85000</v>
      </c>
      <c r="K90" s="5" t="str">
        <f>VLOOKUP(C90,[1]master_data!$A$2:$E$495,5,FALSE)</f>
        <v>Aksesoris</v>
      </c>
      <c r="L90" s="5" t="s">
        <v>471</v>
      </c>
    </row>
    <row r="91" spans="1:12" ht="12" customHeight="1" x14ac:dyDescent="0.25">
      <c r="A91" s="6">
        <v>44917</v>
      </c>
      <c r="B91" s="1">
        <v>2204472</v>
      </c>
      <c r="C91" s="5" t="s">
        <v>401</v>
      </c>
      <c r="D91" s="5" t="str">
        <f>VLOOKUP(C91,[1]master_data!$A$2:$E$495,2,FALSE)</f>
        <v>BALA BALA B</v>
      </c>
      <c r="E91" s="5">
        <v>2</v>
      </c>
      <c r="F91" s="5">
        <f>VLOOKUP(C91,[1]master_data!$A$2:$E$495,3,FALSE)</f>
        <v>7000</v>
      </c>
      <c r="G91" s="5">
        <f>VLOOKUP(C91,[1]master_data!$A$2:$E$495,4,FALSE)</f>
        <v>15000</v>
      </c>
      <c r="H91" s="5">
        <f t="shared" si="9"/>
        <v>14000</v>
      </c>
      <c r="I91" s="5">
        <f t="shared" si="10"/>
        <v>30000</v>
      </c>
      <c r="J91" s="5">
        <f t="shared" si="11"/>
        <v>16000</v>
      </c>
      <c r="K91" s="5" t="str">
        <f>VLOOKUP(C91,[1]master_data!$A$2:$E$495,5,FALSE)</f>
        <v>Ikan</v>
      </c>
      <c r="L91" s="5" t="s">
        <v>471</v>
      </c>
    </row>
    <row r="92" spans="1:12" ht="12" customHeight="1" x14ac:dyDescent="0.25">
      <c r="A92" s="6">
        <v>44917</v>
      </c>
      <c r="B92" s="1">
        <v>2204471</v>
      </c>
      <c r="C92" s="5" t="s">
        <v>401</v>
      </c>
      <c r="D92" s="5" t="str">
        <f>VLOOKUP(C92,[1]master_data!$A$2:$E$495,2,FALSE)</f>
        <v>BALA BALA B</v>
      </c>
      <c r="E92" s="5">
        <v>2</v>
      </c>
      <c r="F92" s="5">
        <f>VLOOKUP(C92,[1]master_data!$A$2:$E$495,3,FALSE)</f>
        <v>7000</v>
      </c>
      <c r="G92" s="5">
        <f>VLOOKUP(C92,[1]master_data!$A$2:$E$495,4,FALSE)</f>
        <v>15000</v>
      </c>
      <c r="H92" s="5">
        <f t="shared" si="9"/>
        <v>14000</v>
      </c>
      <c r="I92" s="5">
        <f t="shared" si="10"/>
        <v>30000</v>
      </c>
      <c r="J92" s="5">
        <f t="shared" si="11"/>
        <v>16000</v>
      </c>
      <c r="K92" s="5" t="str">
        <f>VLOOKUP(C92,[1]master_data!$A$2:$E$495,5,FALSE)</f>
        <v>Ikan</v>
      </c>
      <c r="L92" s="5" t="s">
        <v>471</v>
      </c>
    </row>
    <row r="93" spans="1:12" ht="12" customHeight="1" x14ac:dyDescent="0.25">
      <c r="A93" s="6">
        <v>44917</v>
      </c>
      <c r="B93" s="1">
        <v>2204470</v>
      </c>
      <c r="C93" s="5" t="s">
        <v>401</v>
      </c>
      <c r="D93" s="5" t="str">
        <f>VLOOKUP(C93,[1]master_data!$A$2:$E$495,2,FALSE)</f>
        <v>BALA BALA B</v>
      </c>
      <c r="E93" s="5">
        <v>5</v>
      </c>
      <c r="F93" s="5">
        <f>VLOOKUP(C93,[1]master_data!$A$2:$E$495,3,FALSE)</f>
        <v>7000</v>
      </c>
      <c r="G93" s="5">
        <f>VLOOKUP(C93,[1]master_data!$A$2:$E$495,4,FALSE)</f>
        <v>15000</v>
      </c>
      <c r="H93" s="5">
        <f t="shared" si="9"/>
        <v>35000</v>
      </c>
      <c r="I93" s="5">
        <f t="shared" si="10"/>
        <v>75000</v>
      </c>
      <c r="J93" s="5">
        <f t="shared" si="11"/>
        <v>40000</v>
      </c>
      <c r="K93" s="5" t="str">
        <f>VLOOKUP(C93,[1]master_data!$A$2:$E$495,5,FALSE)</f>
        <v>Ikan</v>
      </c>
      <c r="L93" s="5" t="s">
        <v>471</v>
      </c>
    </row>
    <row r="94" spans="1:12" ht="12" customHeight="1" x14ac:dyDescent="0.25">
      <c r="A94" s="6">
        <v>44917</v>
      </c>
      <c r="B94" s="1">
        <v>2204469</v>
      </c>
      <c r="C94" s="5" t="s">
        <v>409</v>
      </c>
      <c r="D94" s="5" t="str">
        <f>VLOOKUP(C94,[1]master_data!$A$2:$E$495,2,FALSE)</f>
        <v>GOLD FISH</v>
      </c>
      <c r="E94" s="5">
        <v>15</v>
      </c>
      <c r="F94" s="5">
        <f>VLOOKUP(C94,[1]master_data!$A$2:$E$495,3,FALSE)</f>
        <v>800</v>
      </c>
      <c r="G94" s="5">
        <f>VLOOKUP(C94,[1]master_data!$A$2:$E$495,4,FALSE)</f>
        <v>2000</v>
      </c>
      <c r="H94" s="5">
        <f t="shared" si="9"/>
        <v>12000</v>
      </c>
      <c r="I94" s="5">
        <f t="shared" si="10"/>
        <v>30000</v>
      </c>
      <c r="J94" s="5">
        <f t="shared" si="11"/>
        <v>18000</v>
      </c>
      <c r="K94" s="5" t="str">
        <f>VLOOKUP(C94,[1]master_data!$A$2:$E$495,5,FALSE)</f>
        <v>Ikan</v>
      </c>
      <c r="L94" s="5" t="s">
        <v>471</v>
      </c>
    </row>
    <row r="95" spans="1:12" ht="12" customHeight="1" x14ac:dyDescent="0.25">
      <c r="A95" s="6">
        <v>44917</v>
      </c>
      <c r="B95" s="1">
        <v>2204468</v>
      </c>
      <c r="C95" s="5" t="s">
        <v>168</v>
      </c>
      <c r="D95" s="5" t="str">
        <f>VLOOKUP(C95,[1]master_data!$A$2:$E$495,2,FALSE)</f>
        <v>LED RECENT ATAS 3 MODE 80 CM</v>
      </c>
      <c r="E95" s="5">
        <v>2</v>
      </c>
      <c r="F95" s="5">
        <f>VLOOKUP(C95,[1]master_data!$A$2:$E$495,3,FALSE)</f>
        <v>88000</v>
      </c>
      <c r="G95" s="5">
        <f>VLOOKUP(C95,[1]master_data!$A$2:$E$495,4,FALSE)</f>
        <v>130000</v>
      </c>
      <c r="H95" s="5">
        <f t="shared" si="9"/>
        <v>176000</v>
      </c>
      <c r="I95" s="5">
        <f t="shared" si="10"/>
        <v>260000</v>
      </c>
      <c r="J95" s="5">
        <f t="shared" si="11"/>
        <v>84000</v>
      </c>
      <c r="K95" s="5" t="str">
        <f>VLOOKUP(C95,[1]master_data!$A$2:$E$495,5,FALSE)</f>
        <v>Aksesoris</v>
      </c>
      <c r="L95" s="5" t="s">
        <v>471</v>
      </c>
    </row>
    <row r="96" spans="1:12" ht="12" customHeight="1" x14ac:dyDescent="0.25">
      <c r="A96" s="6">
        <v>44917</v>
      </c>
      <c r="B96" s="1">
        <v>2204467</v>
      </c>
      <c r="C96" s="5" t="s">
        <v>423</v>
      </c>
      <c r="D96" s="5" t="str">
        <f>VLOOKUP(C96,[1]master_data!$A$2:$E$495,2,FALSE)</f>
        <v>KOI SLAYER K</v>
      </c>
      <c r="E96" s="5">
        <v>20</v>
      </c>
      <c r="F96" s="5">
        <f>VLOOKUP(C96,[1]master_data!$A$2:$E$495,3,FALSE)</f>
        <v>3500</v>
      </c>
      <c r="G96" s="5">
        <f>VLOOKUP(C96,[1]master_data!$A$2:$E$495,4,FALSE)</f>
        <v>10000</v>
      </c>
      <c r="H96" s="5">
        <f t="shared" si="9"/>
        <v>70000</v>
      </c>
      <c r="I96" s="5">
        <f t="shared" si="10"/>
        <v>200000</v>
      </c>
      <c r="J96" s="5">
        <f t="shared" si="11"/>
        <v>130000</v>
      </c>
      <c r="K96" s="5" t="str">
        <f>VLOOKUP(C96,[1]master_data!$A$2:$E$495,5,FALSE)</f>
        <v>Ikan</v>
      </c>
      <c r="L96" s="5" t="s">
        <v>471</v>
      </c>
    </row>
    <row r="97" spans="1:12" ht="12" customHeight="1" x14ac:dyDescent="0.25">
      <c r="A97" s="6">
        <v>44917</v>
      </c>
      <c r="B97" s="1">
        <v>2204466</v>
      </c>
      <c r="C97" s="5" t="s">
        <v>410</v>
      </c>
      <c r="D97" s="5" t="str">
        <f>VLOOKUP(C97,[1]master_data!$A$2:$E$495,2,FALSE)</f>
        <v>GUPY</v>
      </c>
      <c r="E97" s="5">
        <v>20</v>
      </c>
      <c r="F97" s="5">
        <f>VLOOKUP(C97,[1]master_data!$A$2:$E$495,3,FALSE)</f>
        <v>1200</v>
      </c>
      <c r="G97" s="5">
        <f>VLOOKUP(C97,[1]master_data!$A$2:$E$495,4,FALSE)</f>
        <v>2500</v>
      </c>
      <c r="H97" s="5">
        <f t="shared" si="9"/>
        <v>24000</v>
      </c>
      <c r="I97" s="5">
        <f t="shared" si="10"/>
        <v>50000</v>
      </c>
      <c r="J97" s="5">
        <f t="shared" si="11"/>
        <v>26000</v>
      </c>
      <c r="K97" s="5" t="str">
        <f>VLOOKUP(C97,[1]master_data!$A$2:$E$495,5,FALSE)</f>
        <v>Ikan</v>
      </c>
      <c r="L97" s="5" t="s">
        <v>471</v>
      </c>
    </row>
    <row r="98" spans="1:12" ht="12" customHeight="1" x14ac:dyDescent="0.25">
      <c r="A98" s="6">
        <v>44917</v>
      </c>
      <c r="B98" s="1">
        <v>2204465</v>
      </c>
      <c r="C98" s="5" t="s">
        <v>457</v>
      </c>
      <c r="D98" s="5" t="str">
        <f>VLOOKUP(C98,[1]master_data!$A$2:$E$495,2,FALSE)</f>
        <v>ZEBRA PINK</v>
      </c>
      <c r="E98" s="5">
        <v>30</v>
      </c>
      <c r="F98" s="5">
        <f>VLOOKUP(C98,[1]master_data!$A$2:$E$495,3,FALSE)</f>
        <v>800</v>
      </c>
      <c r="G98" s="5">
        <f>VLOOKUP(C98,[1]master_data!$A$2:$E$495,4,FALSE)</f>
        <v>2000</v>
      </c>
      <c r="H98" s="5">
        <f t="shared" si="9"/>
        <v>24000</v>
      </c>
      <c r="I98" s="5">
        <f t="shared" si="10"/>
        <v>60000</v>
      </c>
      <c r="J98" s="5">
        <f t="shared" si="11"/>
        <v>36000</v>
      </c>
      <c r="K98" s="5" t="str">
        <f>VLOOKUP(C98,[1]master_data!$A$2:$E$495,5,FALSE)</f>
        <v>Ikan</v>
      </c>
      <c r="L98" s="5" t="s">
        <v>471</v>
      </c>
    </row>
    <row r="99" spans="1:12" ht="12" customHeight="1" x14ac:dyDescent="0.25">
      <c r="A99" s="6">
        <v>44916</v>
      </c>
      <c r="B99" s="1">
        <v>2204464</v>
      </c>
      <c r="C99" s="5" t="s">
        <v>396</v>
      </c>
      <c r="D99" s="5" t="str">
        <f>VLOOKUP(C99,[1]master_data!$A$2:$E$495,2,FALSE)</f>
        <v>ALGA EATER</v>
      </c>
      <c r="E99" s="5">
        <v>4</v>
      </c>
      <c r="F99" s="5">
        <f>VLOOKUP(C99,[1]master_data!$A$2:$E$495,3,FALSE)</f>
        <v>1750</v>
      </c>
      <c r="G99" s="5">
        <f>VLOOKUP(C99,[1]master_data!$A$2:$E$495,4,FALSE)</f>
        <v>5000</v>
      </c>
      <c r="H99" s="5">
        <f t="shared" si="9"/>
        <v>7000</v>
      </c>
      <c r="I99" s="5">
        <f t="shared" si="10"/>
        <v>20000</v>
      </c>
      <c r="J99" s="5">
        <f t="shared" si="11"/>
        <v>13000</v>
      </c>
      <c r="K99" s="5" t="str">
        <f>VLOOKUP(C99,[1]master_data!$A$2:$E$495,5,FALSE)</f>
        <v>Ikan</v>
      </c>
      <c r="L99" s="5" t="s">
        <v>471</v>
      </c>
    </row>
    <row r="100" spans="1:12" ht="12" customHeight="1" x14ac:dyDescent="0.25">
      <c r="A100" s="6">
        <v>44916</v>
      </c>
      <c r="B100" s="1">
        <v>2204463</v>
      </c>
      <c r="C100" s="5" t="s">
        <v>28</v>
      </c>
      <c r="D100" s="5" t="str">
        <f>VLOOKUP(C100,[1]master_data!$A$2:$E$495,2,FALSE)</f>
        <v>MESIN ROSTON 107</v>
      </c>
      <c r="E100" s="5">
        <v>2</v>
      </c>
      <c r="F100" s="5">
        <f>VLOOKUP(C100,[1]master_data!$A$2:$E$495,3,FALSE)</f>
        <v>185000</v>
      </c>
      <c r="G100" s="5">
        <f>VLOOKUP(C100,[1]master_data!$A$2:$E$495,4,FALSE)</f>
        <v>260000</v>
      </c>
      <c r="H100" s="5">
        <f t="shared" si="9"/>
        <v>370000</v>
      </c>
      <c r="I100" s="5">
        <f t="shared" si="10"/>
        <v>520000</v>
      </c>
      <c r="J100" s="5">
        <f t="shared" si="11"/>
        <v>150000</v>
      </c>
      <c r="K100" s="5" t="str">
        <f>VLOOKUP(C100,[1]master_data!$A$2:$E$495,5,FALSE)</f>
        <v>Aksesoris</v>
      </c>
      <c r="L100" s="5" t="s">
        <v>471</v>
      </c>
    </row>
    <row r="101" spans="1:12" ht="12" customHeight="1" x14ac:dyDescent="0.25">
      <c r="A101" s="6">
        <v>44916</v>
      </c>
      <c r="B101" s="1">
        <v>2204462</v>
      </c>
      <c r="C101" s="5" t="s">
        <v>329</v>
      </c>
      <c r="D101" s="5" t="str">
        <f>VLOOKUP(C101,[1]master_data!$A$2:$E$495,2,FALSE)</f>
        <v>AIRSTONE D2L5</v>
      </c>
      <c r="E101" s="5">
        <v>20</v>
      </c>
      <c r="F101" s="5">
        <f>VLOOKUP(C101,[1]master_data!$A$2:$E$495,3,FALSE)</f>
        <v>1850</v>
      </c>
      <c r="G101" s="5">
        <f>VLOOKUP(C101,[1]master_data!$A$2:$E$495,4,FALSE)</f>
        <v>5000</v>
      </c>
      <c r="H101" s="5">
        <f t="shared" si="9"/>
        <v>37000</v>
      </c>
      <c r="I101" s="5">
        <f t="shared" si="10"/>
        <v>100000</v>
      </c>
      <c r="J101" s="5">
        <f t="shared" si="11"/>
        <v>63000</v>
      </c>
      <c r="K101" s="5" t="str">
        <f>VLOOKUP(C101,[1]master_data!$A$2:$E$495,5,FALSE)</f>
        <v>Aksesoris</v>
      </c>
      <c r="L101" s="5" t="s">
        <v>471</v>
      </c>
    </row>
    <row r="102" spans="1:12" ht="12" customHeight="1" x14ac:dyDescent="0.25">
      <c r="A102" s="6">
        <v>44916</v>
      </c>
      <c r="B102" s="1">
        <v>2204461</v>
      </c>
      <c r="C102" s="5" t="s">
        <v>434</v>
      </c>
      <c r="D102" s="5" t="str">
        <f>VLOOKUP(C102,[1]master_data!$A$2:$E$495,2,FALSE)</f>
        <v>MOLI PAKAN</v>
      </c>
      <c r="E102" s="5">
        <v>15</v>
      </c>
      <c r="F102" s="5">
        <f>VLOOKUP(C102,[1]master_data!$A$2:$E$495,3,FALSE)</f>
        <v>100</v>
      </c>
      <c r="G102" s="5">
        <f>VLOOKUP(C102,[1]master_data!$A$2:$E$495,4,FALSE)</f>
        <v>200</v>
      </c>
      <c r="H102" s="5">
        <f t="shared" si="9"/>
        <v>1500</v>
      </c>
      <c r="I102" s="5">
        <f t="shared" si="10"/>
        <v>3000</v>
      </c>
      <c r="J102" s="5">
        <f t="shared" si="11"/>
        <v>1500</v>
      </c>
      <c r="K102" s="5" t="str">
        <f>VLOOKUP(C102,[1]master_data!$A$2:$E$495,5,FALSE)</f>
        <v>Ikan</v>
      </c>
      <c r="L102" s="5" t="s">
        <v>471</v>
      </c>
    </row>
    <row r="103" spans="1:12" ht="12" customHeight="1" x14ac:dyDescent="0.25">
      <c r="A103" s="6">
        <v>44916</v>
      </c>
      <c r="B103" s="1">
        <v>2204460</v>
      </c>
      <c r="C103" s="5" t="s">
        <v>384</v>
      </c>
      <c r="D103" s="5" t="str">
        <f>VLOOKUP(C103,[1]master_data!$A$2:$E$495,2,FALSE)</f>
        <v>BATU GOMBONG B</v>
      </c>
      <c r="E103" s="5">
        <v>7</v>
      </c>
      <c r="F103" s="5">
        <f>VLOOKUP(C103,[1]master_data!$A$2:$E$495,3,FALSE)</f>
        <v>60000</v>
      </c>
      <c r="G103" s="5">
        <f>VLOOKUP(C103,[1]master_data!$A$2:$E$495,4,FALSE)</f>
        <v>100000</v>
      </c>
      <c r="H103" s="5">
        <f t="shared" si="9"/>
        <v>420000</v>
      </c>
      <c r="I103" s="5">
        <f t="shared" si="10"/>
        <v>700000</v>
      </c>
      <c r="J103" s="5">
        <f t="shared" si="11"/>
        <v>280000</v>
      </c>
      <c r="K103" s="5" t="str">
        <f>VLOOKUP(C103,[1]master_data!$A$2:$E$495,5,FALSE)</f>
        <v>Aksesoris</v>
      </c>
      <c r="L103" s="5" t="s">
        <v>471</v>
      </c>
    </row>
    <row r="104" spans="1:12" ht="12" customHeight="1" x14ac:dyDescent="0.25">
      <c r="A104" s="6">
        <v>44916</v>
      </c>
      <c r="B104" s="1">
        <v>2204459</v>
      </c>
      <c r="C104" s="5" t="s">
        <v>408</v>
      </c>
      <c r="D104" s="5" t="str">
        <f>VLOOKUP(C104,[1]master_data!$A$2:$E$495,2,FALSE)</f>
        <v>CATFISH</v>
      </c>
      <c r="E104" s="5">
        <v>1</v>
      </c>
      <c r="F104" s="5">
        <f>VLOOKUP(C104,[1]master_data!$A$2:$E$495,3,FALSE)</f>
        <v>20000</v>
      </c>
      <c r="G104" s="5">
        <f>VLOOKUP(C104,[1]master_data!$A$2:$E$495,4,FALSE)</f>
        <v>50000</v>
      </c>
      <c r="H104" s="5">
        <f t="shared" si="9"/>
        <v>20000</v>
      </c>
      <c r="I104" s="5">
        <f t="shared" si="10"/>
        <v>50000</v>
      </c>
      <c r="J104" s="5">
        <f t="shared" si="11"/>
        <v>30000</v>
      </c>
      <c r="K104" s="5" t="str">
        <f>VLOOKUP(C104,[1]master_data!$A$2:$E$495,5,FALSE)</f>
        <v>Ikan</v>
      </c>
      <c r="L104" s="5" t="s">
        <v>471</v>
      </c>
    </row>
    <row r="105" spans="1:12" ht="12" customHeight="1" x14ac:dyDescent="0.25">
      <c r="A105" s="6">
        <v>44915</v>
      </c>
      <c r="B105" s="1">
        <v>2204458</v>
      </c>
      <c r="C105" s="5" t="s">
        <v>218</v>
      </c>
      <c r="D105" s="5" t="str">
        <f>VLOOKUP(C105,[1]master_data!$A$2:$E$495,2,FALSE)</f>
        <v>TAKARI BESAR</v>
      </c>
      <c r="E105" s="5">
        <v>2</v>
      </c>
      <c r="F105" s="5">
        <f>VLOOKUP(C105,[1]master_data!$A$2:$E$495,3,FALSE)</f>
        <v>17000</v>
      </c>
      <c r="G105" s="5">
        <f>VLOOKUP(C105,[1]master_data!$A$2:$E$495,4,FALSE)</f>
        <v>20000</v>
      </c>
      <c r="H105" s="5">
        <f t="shared" si="9"/>
        <v>34000</v>
      </c>
      <c r="I105" s="5">
        <f t="shared" si="10"/>
        <v>40000</v>
      </c>
      <c r="J105" s="5">
        <f t="shared" si="11"/>
        <v>6000</v>
      </c>
      <c r="K105" s="5" t="str">
        <f>VLOOKUP(C105,[1]master_data!$A$2:$E$495,5,FALSE)</f>
        <v>Aksesoris</v>
      </c>
      <c r="L105" s="5" t="s">
        <v>471</v>
      </c>
    </row>
    <row r="106" spans="1:12" ht="12" customHeight="1" x14ac:dyDescent="0.25">
      <c r="A106" s="6">
        <v>44915</v>
      </c>
      <c r="B106" s="1">
        <v>2204457</v>
      </c>
      <c r="C106" s="5" t="s">
        <v>420</v>
      </c>
      <c r="D106" s="5" t="str">
        <f>VLOOKUP(C106,[1]master_data!$A$2:$E$495,2,FALSE)</f>
        <v>KAVIAT</v>
      </c>
      <c r="E106" s="5">
        <v>1</v>
      </c>
      <c r="F106" s="5">
        <f>VLOOKUP(C106,[1]master_data!$A$2:$E$495,3,FALSE)</f>
        <v>3500</v>
      </c>
      <c r="G106" s="5">
        <f>VLOOKUP(C106,[1]master_data!$A$2:$E$495,4,FALSE)</f>
        <v>8000</v>
      </c>
      <c r="H106" s="5">
        <f t="shared" si="9"/>
        <v>3500</v>
      </c>
      <c r="I106" s="5">
        <f t="shared" si="10"/>
        <v>8000</v>
      </c>
      <c r="J106" s="5">
        <f t="shared" si="11"/>
        <v>4500</v>
      </c>
      <c r="K106" s="5" t="str">
        <f>VLOOKUP(C106,[1]master_data!$A$2:$E$495,5,FALSE)</f>
        <v>Ikan</v>
      </c>
      <c r="L106" s="5" t="s">
        <v>471</v>
      </c>
    </row>
    <row r="107" spans="1:12" ht="12" customHeight="1" x14ac:dyDescent="0.25">
      <c r="A107" s="6">
        <v>44915</v>
      </c>
      <c r="B107" s="1">
        <v>2204456</v>
      </c>
      <c r="C107" s="5" t="s">
        <v>454</v>
      </c>
      <c r="D107" s="5" t="str">
        <f>VLOOKUP(C107,[1]master_data!$A$2:$E$495,2,FALSE)</f>
        <v>SYNODONTI B</v>
      </c>
      <c r="E107" s="5">
        <v>2</v>
      </c>
      <c r="F107" s="5">
        <f>VLOOKUP(C107,[1]master_data!$A$2:$E$495,3,FALSE)</f>
        <v>4000</v>
      </c>
      <c r="G107" s="5">
        <f>VLOOKUP(C107,[1]master_data!$A$2:$E$495,4,FALSE)</f>
        <v>10000</v>
      </c>
      <c r="H107" s="5">
        <f t="shared" si="9"/>
        <v>8000</v>
      </c>
      <c r="I107" s="5">
        <f t="shared" si="10"/>
        <v>20000</v>
      </c>
      <c r="J107" s="5">
        <f t="shared" si="11"/>
        <v>12000</v>
      </c>
      <c r="K107" s="5" t="str">
        <f>VLOOKUP(C107,[1]master_data!$A$2:$E$495,5,FALSE)</f>
        <v>Ikan</v>
      </c>
      <c r="L107" s="5" t="s">
        <v>471</v>
      </c>
    </row>
    <row r="108" spans="1:12" ht="12" customHeight="1" x14ac:dyDescent="0.25">
      <c r="A108" s="6">
        <v>44915</v>
      </c>
      <c r="B108" s="1">
        <v>2204455</v>
      </c>
      <c r="C108" s="5" t="s">
        <v>237</v>
      </c>
      <c r="D108" s="5" t="str">
        <f>VLOOKUP(C108,[1]master_data!$A$2:$E$495,2,FALSE)</f>
        <v>QUICK RED BG</v>
      </c>
      <c r="E108" s="5">
        <v>1</v>
      </c>
      <c r="F108" s="5">
        <f>VLOOKUP(C108,[1]master_data!$A$2:$E$495,3,FALSE)</f>
        <v>19200</v>
      </c>
      <c r="G108" s="5">
        <f>VLOOKUP(C108,[1]master_data!$A$2:$E$495,4,FALSE)</f>
        <v>35000</v>
      </c>
      <c r="H108" s="5">
        <f t="shared" si="9"/>
        <v>19200</v>
      </c>
      <c r="I108" s="5">
        <f t="shared" si="10"/>
        <v>35000</v>
      </c>
      <c r="J108" s="5">
        <f t="shared" si="11"/>
        <v>15800</v>
      </c>
      <c r="K108" s="5" t="str">
        <f>VLOOKUP(C108,[1]master_data!$A$2:$E$495,5,FALSE)</f>
        <v>Aksesoris</v>
      </c>
      <c r="L108" s="5" t="s">
        <v>471</v>
      </c>
    </row>
    <row r="109" spans="1:12" ht="12" customHeight="1" x14ac:dyDescent="0.25">
      <c r="A109" s="6">
        <v>44915</v>
      </c>
      <c r="B109" s="1">
        <v>2204454</v>
      </c>
      <c r="C109" s="5" t="s">
        <v>396</v>
      </c>
      <c r="D109" s="5" t="str">
        <f>VLOOKUP(C109,[1]master_data!$A$2:$E$495,2,FALSE)</f>
        <v>ALGA EATER</v>
      </c>
      <c r="E109" s="5">
        <v>25</v>
      </c>
      <c r="F109" s="5">
        <f>VLOOKUP(C109,[1]master_data!$A$2:$E$495,3,FALSE)</f>
        <v>1750</v>
      </c>
      <c r="G109" s="5">
        <f>VLOOKUP(C109,[1]master_data!$A$2:$E$495,4,FALSE)</f>
        <v>5000</v>
      </c>
      <c r="H109" s="5">
        <f t="shared" si="9"/>
        <v>43750</v>
      </c>
      <c r="I109" s="5">
        <f t="shared" si="10"/>
        <v>125000</v>
      </c>
      <c r="J109" s="5">
        <f t="shared" si="11"/>
        <v>81250</v>
      </c>
      <c r="K109" s="5" t="str">
        <f>VLOOKUP(C109,[1]master_data!$A$2:$E$495,5,FALSE)</f>
        <v>Ikan</v>
      </c>
      <c r="L109" s="5" t="s">
        <v>471</v>
      </c>
    </row>
    <row r="110" spans="1:12" ht="12" customHeight="1" x14ac:dyDescent="0.25">
      <c r="A110" s="6">
        <v>44915</v>
      </c>
      <c r="B110" s="1">
        <v>2204453</v>
      </c>
      <c r="C110" s="5" t="s">
        <v>441</v>
      </c>
      <c r="D110" s="5" t="str">
        <f>VLOOKUP(C110,[1]master_data!$A$2:$E$495,2,FALSE)</f>
        <v>PEMBERSIH KACA BIASA</v>
      </c>
      <c r="E110" s="5">
        <v>20</v>
      </c>
      <c r="F110" s="5">
        <f>VLOOKUP(C110,[1]master_data!$A$2:$E$495,3,FALSE)</f>
        <v>2000</v>
      </c>
      <c r="G110" s="5">
        <f>VLOOKUP(C110,[1]master_data!$A$2:$E$495,4,FALSE)</f>
        <v>5000</v>
      </c>
      <c r="H110" s="5">
        <f t="shared" si="9"/>
        <v>40000</v>
      </c>
      <c r="I110" s="5">
        <f t="shared" si="10"/>
        <v>100000</v>
      </c>
      <c r="J110" s="5">
        <f t="shared" si="11"/>
        <v>60000</v>
      </c>
      <c r="K110" s="5" t="str">
        <f>VLOOKUP(C110,[1]master_data!$A$2:$E$495,5,FALSE)</f>
        <v>Ikan</v>
      </c>
      <c r="L110" s="5" t="s">
        <v>471</v>
      </c>
    </row>
    <row r="111" spans="1:12" ht="12" customHeight="1" x14ac:dyDescent="0.25">
      <c r="A111" s="6">
        <v>44915</v>
      </c>
      <c r="B111" s="1">
        <v>2204452</v>
      </c>
      <c r="C111" s="5" t="s">
        <v>390</v>
      </c>
      <c r="D111" s="5" t="str">
        <f>VLOOKUP(C111,[1]master_data!$A$2:$E$495,2,FALSE)</f>
        <v>CHANNA ASIATICA K</v>
      </c>
      <c r="E111" s="5">
        <v>5</v>
      </c>
      <c r="F111" s="5">
        <f>VLOOKUP(C111,[1]master_data!$A$2:$E$495,3,FALSE)</f>
        <v>10000</v>
      </c>
      <c r="G111" s="5">
        <f>VLOOKUP(C111,[1]master_data!$A$2:$E$495,4,FALSE)</f>
        <v>40000</v>
      </c>
      <c r="H111" s="5">
        <f t="shared" si="9"/>
        <v>50000</v>
      </c>
      <c r="I111" s="5">
        <f t="shared" si="10"/>
        <v>200000</v>
      </c>
      <c r="J111" s="5">
        <f t="shared" si="11"/>
        <v>150000</v>
      </c>
      <c r="K111" s="5" t="str">
        <f>VLOOKUP(C111,[1]master_data!$A$2:$E$495,5,FALSE)</f>
        <v>Ikan</v>
      </c>
      <c r="L111" s="5" t="s">
        <v>471</v>
      </c>
    </row>
    <row r="112" spans="1:12" ht="12" customHeight="1" x14ac:dyDescent="0.25">
      <c r="A112" s="6">
        <v>44915</v>
      </c>
      <c r="B112" s="1">
        <v>2204451</v>
      </c>
      <c r="C112" s="5" t="s">
        <v>434</v>
      </c>
      <c r="D112" s="5" t="str">
        <f>VLOOKUP(C112,[1]master_data!$A$2:$E$495,2,FALSE)</f>
        <v>MOLI PAKAN</v>
      </c>
      <c r="E112" s="5">
        <v>10</v>
      </c>
      <c r="F112" s="5">
        <f>VLOOKUP(C112,[1]master_data!$A$2:$E$495,3,FALSE)</f>
        <v>100</v>
      </c>
      <c r="G112" s="5">
        <f>VLOOKUP(C112,[1]master_data!$A$2:$E$495,4,FALSE)</f>
        <v>200</v>
      </c>
      <c r="H112" s="5">
        <f t="shared" si="9"/>
        <v>1000</v>
      </c>
      <c r="I112" s="5">
        <f t="shared" si="10"/>
        <v>2000</v>
      </c>
      <c r="J112" s="5">
        <f t="shared" si="11"/>
        <v>1000</v>
      </c>
      <c r="K112" s="5" t="str">
        <f>VLOOKUP(C112,[1]master_data!$A$2:$E$495,5,FALSE)</f>
        <v>Ikan</v>
      </c>
      <c r="L112" s="5" t="s">
        <v>471</v>
      </c>
    </row>
    <row r="113" spans="1:12" ht="12" customHeight="1" x14ac:dyDescent="0.25">
      <c r="A113" s="6">
        <v>44915</v>
      </c>
      <c r="B113" s="1">
        <v>2204450</v>
      </c>
      <c r="C113" s="5" t="s">
        <v>393</v>
      </c>
      <c r="D113" s="5" t="str">
        <f>VLOOKUP(C113,[1]master_data!$A$2:$E$495,2,FALSE)</f>
        <v>CHANNA ANDRAO B</v>
      </c>
      <c r="E113" s="5">
        <v>1</v>
      </c>
      <c r="F113" s="5">
        <f>VLOOKUP(C113,[1]master_data!$A$2:$E$495,3,FALSE)</f>
        <v>100000</v>
      </c>
      <c r="G113" s="5">
        <f>VLOOKUP(C113,[1]master_data!$A$2:$E$495,4,FALSE)</f>
        <v>200000</v>
      </c>
      <c r="H113" s="5">
        <f t="shared" si="9"/>
        <v>100000</v>
      </c>
      <c r="I113" s="5">
        <f t="shared" si="10"/>
        <v>200000</v>
      </c>
      <c r="J113" s="5">
        <f t="shared" si="11"/>
        <v>100000</v>
      </c>
      <c r="K113" s="5" t="str">
        <f>VLOOKUP(C113,[1]master_data!$A$2:$E$495,5,FALSE)</f>
        <v>Ikan</v>
      </c>
      <c r="L113" s="5" t="s">
        <v>471</v>
      </c>
    </row>
    <row r="114" spans="1:12" ht="12" customHeight="1" x14ac:dyDescent="0.25">
      <c r="A114" s="6">
        <v>44915</v>
      </c>
      <c r="B114" s="1">
        <v>2204449</v>
      </c>
      <c r="C114" s="5" t="s">
        <v>431</v>
      </c>
      <c r="D114" s="5" t="str">
        <f>VLOOKUP(C114,[1]master_data!$A$2:$E$495,2,FALSE)</f>
        <v>MANFISH B</v>
      </c>
      <c r="E114" s="5">
        <v>15</v>
      </c>
      <c r="F114" s="5">
        <f>VLOOKUP(C114,[1]master_data!$A$2:$E$495,3,FALSE)</f>
        <v>4000</v>
      </c>
      <c r="G114" s="5">
        <f>VLOOKUP(C114,[1]master_data!$A$2:$E$495,4,FALSE)</f>
        <v>10000</v>
      </c>
      <c r="H114" s="5">
        <f t="shared" si="9"/>
        <v>60000</v>
      </c>
      <c r="I114" s="5">
        <f t="shared" si="10"/>
        <v>150000</v>
      </c>
      <c r="J114" s="5">
        <f t="shared" si="11"/>
        <v>90000</v>
      </c>
      <c r="K114" s="5" t="str">
        <f>VLOOKUP(C114,[1]master_data!$A$2:$E$495,5,FALSE)</f>
        <v>Ikan</v>
      </c>
      <c r="L114" s="5" t="s">
        <v>471</v>
      </c>
    </row>
    <row r="115" spans="1:12" ht="12" customHeight="1" x14ac:dyDescent="0.25">
      <c r="A115" s="6">
        <v>44914</v>
      </c>
      <c r="B115" s="1">
        <v>2204448</v>
      </c>
      <c r="C115" s="5" t="s">
        <v>395</v>
      </c>
      <c r="D115" s="5" t="str">
        <f>VLOOKUP(C115,[1]master_data!$A$2:$E$495,2,FALSE)</f>
        <v>ARWANA SILVER B</v>
      </c>
      <c r="E115" s="5">
        <v>1</v>
      </c>
      <c r="F115" s="5">
        <f>VLOOKUP(C115,[1]master_data!$A$2:$E$495,3,FALSE)</f>
        <v>300000</v>
      </c>
      <c r="G115" s="5">
        <f>VLOOKUP(C115,[1]master_data!$A$2:$E$495,4,FALSE)</f>
        <v>500000</v>
      </c>
      <c r="H115" s="5">
        <f t="shared" si="9"/>
        <v>300000</v>
      </c>
      <c r="I115" s="5">
        <f t="shared" si="10"/>
        <v>500000</v>
      </c>
      <c r="J115" s="5">
        <f t="shared" si="11"/>
        <v>200000</v>
      </c>
      <c r="K115" s="5" t="str">
        <f>VLOOKUP(C115,[1]master_data!$A$2:$E$495,5,FALSE)</f>
        <v>Ikan</v>
      </c>
      <c r="L115" s="5" t="s">
        <v>471</v>
      </c>
    </row>
    <row r="116" spans="1:12" ht="12" customHeight="1" x14ac:dyDescent="0.25">
      <c r="A116" s="6">
        <v>44914</v>
      </c>
      <c r="B116" s="1">
        <v>2204447</v>
      </c>
      <c r="C116" s="5" t="s">
        <v>384</v>
      </c>
      <c r="D116" s="5" t="str">
        <f>VLOOKUP(C116,[1]master_data!$A$2:$E$495,2,FALSE)</f>
        <v>BATU GOMBONG B</v>
      </c>
      <c r="E116" s="5">
        <v>10</v>
      </c>
      <c r="F116" s="5">
        <f>VLOOKUP(C116,[1]master_data!$A$2:$E$495,3,FALSE)</f>
        <v>60000</v>
      </c>
      <c r="G116" s="5">
        <f>VLOOKUP(C116,[1]master_data!$A$2:$E$495,4,FALSE)</f>
        <v>100000</v>
      </c>
      <c r="H116" s="5">
        <f t="shared" si="9"/>
        <v>600000</v>
      </c>
      <c r="I116" s="5">
        <f t="shared" si="10"/>
        <v>1000000</v>
      </c>
      <c r="J116" s="5">
        <f t="shared" si="11"/>
        <v>400000</v>
      </c>
      <c r="K116" s="5" t="str">
        <f>VLOOKUP(C116,[1]master_data!$A$2:$E$495,5,FALSE)</f>
        <v>Aksesoris</v>
      </c>
      <c r="L116" s="5" t="s">
        <v>471</v>
      </c>
    </row>
    <row r="117" spans="1:12" ht="12" customHeight="1" x14ac:dyDescent="0.25">
      <c r="A117" s="6">
        <v>44913</v>
      </c>
      <c r="B117" s="1">
        <v>2204446</v>
      </c>
      <c r="C117" s="5" t="s">
        <v>396</v>
      </c>
      <c r="D117" s="5" t="str">
        <f>VLOOKUP(C117,[1]master_data!$A$2:$E$495,2,FALSE)</f>
        <v>ALGA EATER</v>
      </c>
      <c r="E117" s="5">
        <v>10</v>
      </c>
      <c r="F117" s="5">
        <f>VLOOKUP(C117,[1]master_data!$A$2:$E$495,3,FALSE)</f>
        <v>1750</v>
      </c>
      <c r="G117" s="5">
        <f>VLOOKUP(C117,[1]master_data!$A$2:$E$495,4,FALSE)</f>
        <v>5000</v>
      </c>
      <c r="H117" s="5">
        <f t="shared" si="9"/>
        <v>17500</v>
      </c>
      <c r="I117" s="5">
        <f t="shared" si="10"/>
        <v>50000</v>
      </c>
      <c r="J117" s="5">
        <f t="shared" si="11"/>
        <v>32500</v>
      </c>
      <c r="K117" s="5" t="str">
        <f>VLOOKUP(C117,[1]master_data!$A$2:$E$495,5,FALSE)</f>
        <v>Ikan</v>
      </c>
      <c r="L117" s="5" t="s">
        <v>471</v>
      </c>
    </row>
    <row r="118" spans="1:12" ht="12" customHeight="1" x14ac:dyDescent="0.25">
      <c r="A118" s="6">
        <v>44913</v>
      </c>
      <c r="B118" s="1">
        <v>2204445</v>
      </c>
      <c r="C118" s="5" t="s">
        <v>420</v>
      </c>
      <c r="D118" s="5" t="str">
        <f>VLOOKUP(C118,[1]master_data!$A$2:$E$495,2,FALSE)</f>
        <v>KAVIAT</v>
      </c>
      <c r="E118" s="5">
        <v>13</v>
      </c>
      <c r="F118" s="5">
        <f>VLOOKUP(C118,[1]master_data!$A$2:$E$495,3,FALSE)</f>
        <v>3500</v>
      </c>
      <c r="G118" s="5">
        <f>VLOOKUP(C118,[1]master_data!$A$2:$E$495,4,FALSE)</f>
        <v>8000</v>
      </c>
      <c r="H118" s="5">
        <f t="shared" si="9"/>
        <v>45500</v>
      </c>
      <c r="I118" s="5">
        <f t="shared" si="10"/>
        <v>104000</v>
      </c>
      <c r="J118" s="5">
        <f t="shared" si="11"/>
        <v>58500</v>
      </c>
      <c r="K118" s="5" t="str">
        <f>VLOOKUP(C118,[1]master_data!$A$2:$E$495,5,FALSE)</f>
        <v>Ikan</v>
      </c>
      <c r="L118" s="5" t="s">
        <v>471</v>
      </c>
    </row>
    <row r="119" spans="1:12" ht="12" customHeight="1" x14ac:dyDescent="0.25">
      <c r="A119" s="6">
        <v>44913</v>
      </c>
      <c r="B119" s="1">
        <v>2204444</v>
      </c>
      <c r="C119" s="5" t="s">
        <v>447</v>
      </c>
      <c r="D119" s="5" t="str">
        <f>VLOOKUP(C119,[1]master_data!$A$2:$E$495,2,FALSE)</f>
        <v>REDFIN ALBINO</v>
      </c>
      <c r="E119" s="5">
        <v>1</v>
      </c>
      <c r="F119" s="5">
        <f>VLOOKUP(C119,[1]master_data!$A$2:$E$495,3,FALSE)</f>
        <v>1500</v>
      </c>
      <c r="G119" s="5">
        <f>VLOOKUP(C119,[1]master_data!$A$2:$E$495,4,FALSE)</f>
        <v>4000</v>
      </c>
      <c r="H119" s="5">
        <f t="shared" si="9"/>
        <v>1500</v>
      </c>
      <c r="I119" s="5">
        <f t="shared" si="10"/>
        <v>4000</v>
      </c>
      <c r="J119" s="5">
        <f t="shared" si="11"/>
        <v>2500</v>
      </c>
      <c r="K119" s="5" t="str">
        <f>VLOOKUP(C119,[1]master_data!$A$2:$E$495,5,FALSE)</f>
        <v>Ikan</v>
      </c>
      <c r="L119" s="5" t="s">
        <v>471</v>
      </c>
    </row>
    <row r="120" spans="1:12" ht="12" customHeight="1" x14ac:dyDescent="0.25">
      <c r="A120" s="6">
        <v>44913</v>
      </c>
      <c r="B120" s="1">
        <v>2204443</v>
      </c>
      <c r="C120" s="5" t="s">
        <v>190</v>
      </c>
      <c r="D120" s="5" t="str">
        <f>VLOOKUP(C120,[1]master_data!$A$2:$E$495,2,FALSE)</f>
        <v>LED KANDILA PRO RED ECO 50 CM</v>
      </c>
      <c r="E120" s="5">
        <v>2</v>
      </c>
      <c r="F120" s="5">
        <f>VLOOKUP(C120,[1]master_data!$A$2:$E$495,3,FALSE)</f>
        <v>50000</v>
      </c>
      <c r="G120" s="5">
        <f>VLOOKUP(C120,[1]master_data!$A$2:$E$495,4,FALSE)</f>
        <v>70000</v>
      </c>
      <c r="H120" s="5">
        <f t="shared" si="9"/>
        <v>100000</v>
      </c>
      <c r="I120" s="5">
        <f t="shared" si="10"/>
        <v>140000</v>
      </c>
      <c r="J120" s="5">
        <f t="shared" si="11"/>
        <v>40000</v>
      </c>
      <c r="K120" s="5" t="str">
        <f>VLOOKUP(C120,[1]master_data!$A$2:$E$495,5,FALSE)</f>
        <v>Aksesoris</v>
      </c>
      <c r="L120" s="5" t="s">
        <v>471</v>
      </c>
    </row>
    <row r="121" spans="1:12" ht="12" customHeight="1" x14ac:dyDescent="0.25">
      <c r="A121" s="6">
        <v>44913</v>
      </c>
      <c r="B121" s="1">
        <v>2204442</v>
      </c>
      <c r="C121" s="5" t="s">
        <v>394</v>
      </c>
      <c r="D121" s="5" t="str">
        <f>VLOOKUP(C121,[1]master_data!$A$2:$E$495,2,FALSE)</f>
        <v>ARWANA SILVER K</v>
      </c>
      <c r="E121" s="5">
        <v>2</v>
      </c>
      <c r="F121" s="5">
        <f>VLOOKUP(C121,[1]master_data!$A$2:$E$495,3,FALSE)</f>
        <v>100000</v>
      </c>
      <c r="G121" s="5">
        <f>VLOOKUP(C121,[1]master_data!$A$2:$E$495,4,FALSE)</f>
        <v>200000</v>
      </c>
      <c r="H121" s="5">
        <f t="shared" si="9"/>
        <v>200000</v>
      </c>
      <c r="I121" s="5">
        <f t="shared" si="10"/>
        <v>400000</v>
      </c>
      <c r="J121" s="5">
        <f t="shared" si="11"/>
        <v>200000</v>
      </c>
      <c r="K121" s="5" t="str">
        <f>VLOOKUP(C121,[1]master_data!$A$2:$E$495,5,FALSE)</f>
        <v>Ikan</v>
      </c>
      <c r="L121" s="5" t="s">
        <v>471</v>
      </c>
    </row>
    <row r="122" spans="1:12" ht="12" customHeight="1" x14ac:dyDescent="0.25">
      <c r="A122" s="6">
        <v>44913</v>
      </c>
      <c r="B122" s="1">
        <v>2204441</v>
      </c>
      <c r="C122" s="5" t="s">
        <v>455</v>
      </c>
      <c r="D122" s="5" t="str">
        <f>VLOOKUP(C122,[1]master_data!$A$2:$E$495,2,FALSE)</f>
        <v>TETRA</v>
      </c>
      <c r="E122" s="5">
        <v>25</v>
      </c>
      <c r="F122" s="5">
        <f>VLOOKUP(C122,[1]master_data!$A$2:$E$495,3,FALSE)</f>
        <v>800</v>
      </c>
      <c r="G122" s="5">
        <f>VLOOKUP(C122,[1]master_data!$A$2:$E$495,4,FALSE)</f>
        <v>2000</v>
      </c>
      <c r="H122" s="5">
        <f t="shared" si="9"/>
        <v>20000</v>
      </c>
      <c r="I122" s="5">
        <f t="shared" si="10"/>
        <v>50000</v>
      </c>
      <c r="J122" s="5">
        <f t="shared" si="11"/>
        <v>30000</v>
      </c>
      <c r="K122" s="5" t="str">
        <f>VLOOKUP(C122,[1]master_data!$A$2:$E$495,5,FALSE)</f>
        <v>Ikan</v>
      </c>
      <c r="L122" s="5" t="s">
        <v>471</v>
      </c>
    </row>
    <row r="123" spans="1:12" ht="12" customHeight="1" x14ac:dyDescent="0.25">
      <c r="A123" s="6">
        <v>44913</v>
      </c>
      <c r="B123" s="1">
        <v>2204440</v>
      </c>
      <c r="C123" s="5" t="s">
        <v>457</v>
      </c>
      <c r="D123" s="5" t="str">
        <f>VLOOKUP(C123,[1]master_data!$A$2:$E$495,2,FALSE)</f>
        <v>ZEBRA PINK</v>
      </c>
      <c r="E123" s="5">
        <v>15</v>
      </c>
      <c r="F123" s="5">
        <f>VLOOKUP(C123,[1]master_data!$A$2:$E$495,3,FALSE)</f>
        <v>800</v>
      </c>
      <c r="G123" s="5">
        <f>VLOOKUP(C123,[1]master_data!$A$2:$E$495,4,FALSE)</f>
        <v>2000</v>
      </c>
      <c r="H123" s="5">
        <f t="shared" si="9"/>
        <v>12000</v>
      </c>
      <c r="I123" s="5">
        <f t="shared" si="10"/>
        <v>30000</v>
      </c>
      <c r="J123" s="5">
        <f t="shared" si="11"/>
        <v>18000</v>
      </c>
      <c r="K123" s="5" t="str">
        <f>VLOOKUP(C123,[1]master_data!$A$2:$E$495,5,FALSE)</f>
        <v>Ikan</v>
      </c>
      <c r="L123" s="5" t="s">
        <v>471</v>
      </c>
    </row>
    <row r="124" spans="1:12" ht="12" customHeight="1" x14ac:dyDescent="0.25">
      <c r="A124" s="6">
        <v>44913</v>
      </c>
      <c r="B124" s="1">
        <v>2204439</v>
      </c>
      <c r="C124" s="5" t="s">
        <v>213</v>
      </c>
      <c r="D124" s="5" t="str">
        <f>VLOOKUP(C124,[1]master_data!$A$2:$E$495,2,FALSE)</f>
        <v>ARTEMIA POLAR RED 10 GR</v>
      </c>
      <c r="E124" s="5">
        <v>30</v>
      </c>
      <c r="F124" s="5">
        <f>VLOOKUP(C124,[1]master_data!$A$2:$E$495,3,FALSE)</f>
        <v>6000</v>
      </c>
      <c r="G124" s="5">
        <f>VLOOKUP(C124,[1]master_data!$A$2:$E$495,4,FALSE)</f>
        <v>10000</v>
      </c>
      <c r="H124" s="5">
        <f t="shared" si="9"/>
        <v>180000</v>
      </c>
      <c r="I124" s="5">
        <f t="shared" si="10"/>
        <v>300000</v>
      </c>
      <c r="J124" s="5">
        <f t="shared" si="11"/>
        <v>120000</v>
      </c>
      <c r="K124" s="5" t="str">
        <f>VLOOKUP(C124,[1]master_data!$A$2:$E$495,5,FALSE)</f>
        <v>Aksesoris</v>
      </c>
      <c r="L124" s="5" t="s">
        <v>471</v>
      </c>
    </row>
    <row r="125" spans="1:12" ht="12" customHeight="1" x14ac:dyDescent="0.25">
      <c r="A125" s="6">
        <v>44912</v>
      </c>
      <c r="B125" s="1">
        <v>2204438</v>
      </c>
      <c r="C125" s="5" t="s">
        <v>85</v>
      </c>
      <c r="D125" s="5" t="str">
        <f>VLOOKUP(C125,[1]master_data!$A$2:$E$495,2,FALSE)</f>
        <v>MESIN REENT WV 8000</v>
      </c>
      <c r="E125" s="5">
        <v>1</v>
      </c>
      <c r="F125" s="5">
        <f>VLOOKUP(C125,[1]master_data!$A$2:$E$495,3,FALSE)</f>
        <v>79000</v>
      </c>
      <c r="G125" s="5">
        <f>VLOOKUP(C125,[1]master_data!$A$2:$E$495,4,FALSE)</f>
        <v>100000</v>
      </c>
      <c r="H125" s="5">
        <f t="shared" si="9"/>
        <v>79000</v>
      </c>
      <c r="I125" s="5">
        <f t="shared" si="10"/>
        <v>100000</v>
      </c>
      <c r="J125" s="5">
        <f t="shared" si="11"/>
        <v>21000</v>
      </c>
      <c r="K125" s="5" t="str">
        <f>VLOOKUP(C125,[1]master_data!$A$2:$E$495,5,FALSE)</f>
        <v>Aksesoris</v>
      </c>
      <c r="L125" s="5" t="s">
        <v>471</v>
      </c>
    </row>
    <row r="126" spans="1:12" ht="12" customHeight="1" x14ac:dyDescent="0.25">
      <c r="A126" s="6">
        <v>44912</v>
      </c>
      <c r="B126" s="1">
        <v>2204437</v>
      </c>
      <c r="C126" s="5" t="s">
        <v>424</v>
      </c>
      <c r="D126" s="5" t="str">
        <f>VLOOKUP(C126,[1]master_data!$A$2:$E$495,2,FALSE)</f>
        <v>KOI SLAYER B</v>
      </c>
      <c r="E126" s="5">
        <v>1</v>
      </c>
      <c r="F126" s="5">
        <f>VLOOKUP(C126,[1]master_data!$A$2:$E$495,3,FALSE)</f>
        <v>8000</v>
      </c>
      <c r="G126" s="5">
        <f>VLOOKUP(C126,[1]master_data!$A$2:$E$495,4,FALSE)</f>
        <v>20000</v>
      </c>
      <c r="H126" s="5">
        <f t="shared" si="9"/>
        <v>8000</v>
      </c>
      <c r="I126" s="5">
        <f t="shared" si="10"/>
        <v>20000</v>
      </c>
      <c r="J126" s="5">
        <f t="shared" si="11"/>
        <v>12000</v>
      </c>
      <c r="K126" s="5" t="str">
        <f>VLOOKUP(C126,[1]master_data!$A$2:$E$495,5,FALSE)</f>
        <v>Ikan</v>
      </c>
      <c r="L126" s="5" t="s">
        <v>471</v>
      </c>
    </row>
    <row r="127" spans="1:12" ht="12" customHeight="1" x14ac:dyDescent="0.25">
      <c r="A127" s="6">
        <v>44912</v>
      </c>
      <c r="B127" s="1">
        <v>2204436</v>
      </c>
      <c r="C127" s="5" t="s">
        <v>423</v>
      </c>
      <c r="D127" s="5" t="str">
        <f>VLOOKUP(C127,[1]master_data!$A$2:$E$495,2,FALSE)</f>
        <v>KOI SLAYER K</v>
      </c>
      <c r="E127" s="5">
        <v>30</v>
      </c>
      <c r="F127" s="5">
        <f>VLOOKUP(C127,[1]master_data!$A$2:$E$495,3,FALSE)</f>
        <v>3500</v>
      </c>
      <c r="G127" s="5">
        <f>VLOOKUP(C127,[1]master_data!$A$2:$E$495,4,FALSE)</f>
        <v>10000</v>
      </c>
      <c r="H127" s="5">
        <f t="shared" si="9"/>
        <v>105000</v>
      </c>
      <c r="I127" s="5">
        <f t="shared" si="10"/>
        <v>300000</v>
      </c>
      <c r="J127" s="5">
        <f t="shared" si="11"/>
        <v>195000</v>
      </c>
      <c r="K127" s="5" t="str">
        <f>VLOOKUP(C127,[1]master_data!$A$2:$E$495,5,FALSE)</f>
        <v>Ikan</v>
      </c>
      <c r="L127" s="5" t="s">
        <v>471</v>
      </c>
    </row>
    <row r="128" spans="1:12" ht="12" customHeight="1" x14ac:dyDescent="0.25">
      <c r="A128" s="6">
        <v>44912</v>
      </c>
      <c r="B128" s="1">
        <v>2204435</v>
      </c>
      <c r="C128" s="5" t="s">
        <v>378</v>
      </c>
      <c r="D128" s="5" t="str">
        <f>VLOOKUP(C128,[1]master_data!$A$2:$E$495,2,FALSE)</f>
        <v>PASIR PANTAI</v>
      </c>
      <c r="E128" s="5">
        <v>15</v>
      </c>
      <c r="F128" s="5">
        <f>VLOOKUP(C128,[1]master_data!$A$2:$E$495,3,FALSE)</f>
        <v>5000</v>
      </c>
      <c r="G128" s="5">
        <f>VLOOKUP(C128,[1]master_data!$A$2:$E$495,4,FALSE)</f>
        <v>10000</v>
      </c>
      <c r="H128" s="5">
        <f t="shared" si="9"/>
        <v>75000</v>
      </c>
      <c r="I128" s="5">
        <f t="shared" si="10"/>
        <v>150000</v>
      </c>
      <c r="J128" s="5">
        <f t="shared" si="11"/>
        <v>75000</v>
      </c>
      <c r="K128" s="5" t="str">
        <f>VLOOKUP(C128,[1]master_data!$A$2:$E$495,5,FALSE)</f>
        <v>Aksesoris</v>
      </c>
      <c r="L128" s="5" t="s">
        <v>471</v>
      </c>
    </row>
    <row r="129" spans="1:12" ht="12" customHeight="1" x14ac:dyDescent="0.25">
      <c r="A129" s="6">
        <v>44912</v>
      </c>
      <c r="B129" s="1">
        <v>2204434</v>
      </c>
      <c r="C129" s="5" t="s">
        <v>268</v>
      </c>
      <c r="D129" s="5" t="str">
        <f>VLOOKUP(C129,[1]master_data!$A$2:$E$495,2,FALSE)</f>
        <v>HEATER KACA 25 W</v>
      </c>
      <c r="E129" s="5">
        <v>1</v>
      </c>
      <c r="F129" s="5">
        <f>VLOOKUP(C129,[1]master_data!$A$2:$E$495,3,FALSE)</f>
        <v>33000</v>
      </c>
      <c r="G129" s="5">
        <f>VLOOKUP(C129,[1]master_data!$A$2:$E$495,4,FALSE)</f>
        <v>50000</v>
      </c>
      <c r="H129" s="5">
        <f t="shared" si="9"/>
        <v>33000</v>
      </c>
      <c r="I129" s="5">
        <f t="shared" si="10"/>
        <v>50000</v>
      </c>
      <c r="J129" s="5">
        <f t="shared" si="11"/>
        <v>17000</v>
      </c>
      <c r="K129" s="5" t="str">
        <f>VLOOKUP(C129,[1]master_data!$A$2:$E$495,5,FALSE)</f>
        <v>Aksesoris</v>
      </c>
      <c r="L129" s="5" t="s">
        <v>471</v>
      </c>
    </row>
    <row r="130" spans="1:12" ht="12" customHeight="1" x14ac:dyDescent="0.25">
      <c r="A130" s="6">
        <v>44912</v>
      </c>
      <c r="B130" s="1">
        <v>2204433</v>
      </c>
      <c r="C130" s="5" t="s">
        <v>145</v>
      </c>
      <c r="D130" s="5" t="str">
        <f>VLOOKUP(C130,[1]master_data!$A$2:$E$495,2,FALSE)</f>
        <v>LED KIYOSAKI 3 MODE 30 CM</v>
      </c>
      <c r="E130" s="5">
        <v>2</v>
      </c>
      <c r="F130" s="5">
        <f>VLOOKUP(C130,[1]master_data!$A$2:$E$495,3,FALSE)</f>
        <v>40000</v>
      </c>
      <c r="G130" s="5">
        <f>VLOOKUP(C130,[1]master_data!$A$2:$E$495,4,FALSE)</f>
        <v>55000</v>
      </c>
      <c r="H130" s="5">
        <f t="shared" si="9"/>
        <v>80000</v>
      </c>
      <c r="I130" s="5">
        <f t="shared" si="10"/>
        <v>110000</v>
      </c>
      <c r="J130" s="5">
        <f t="shared" si="11"/>
        <v>30000</v>
      </c>
      <c r="K130" s="5" t="str">
        <f>VLOOKUP(C130,[1]master_data!$A$2:$E$495,5,FALSE)</f>
        <v>Aksesoris</v>
      </c>
      <c r="L130" s="5" t="s">
        <v>471</v>
      </c>
    </row>
    <row r="131" spans="1:12" ht="12" customHeight="1" x14ac:dyDescent="0.25">
      <c r="A131" s="6">
        <v>44912</v>
      </c>
      <c r="B131" s="1">
        <v>2204432</v>
      </c>
      <c r="C131" s="5" t="s">
        <v>428</v>
      </c>
      <c r="D131" s="5" t="str">
        <f>VLOOKUP(C131,[1]master_data!$A$2:$E$495,2,FALSE)</f>
        <v>LOUHAN</v>
      </c>
      <c r="E131" s="5">
        <v>1</v>
      </c>
      <c r="F131" s="5">
        <f>VLOOKUP(C131,[1]master_data!$A$2:$E$495,3,FALSE)</f>
        <v>85000</v>
      </c>
      <c r="G131" s="5">
        <f>VLOOKUP(C131,[1]master_data!$A$2:$E$495,4,FALSE)</f>
        <v>200000</v>
      </c>
      <c r="H131" s="5">
        <f t="shared" si="9"/>
        <v>85000</v>
      </c>
      <c r="I131" s="5">
        <f t="shared" si="10"/>
        <v>200000</v>
      </c>
      <c r="J131" s="5">
        <f t="shared" si="11"/>
        <v>115000</v>
      </c>
      <c r="K131" s="5" t="str">
        <f>VLOOKUP(C131,[1]master_data!$A$2:$E$495,5,FALSE)</f>
        <v>Ikan</v>
      </c>
      <c r="L131" s="5" t="s">
        <v>471</v>
      </c>
    </row>
    <row r="132" spans="1:12" ht="12" customHeight="1" x14ac:dyDescent="0.25">
      <c r="A132" s="6">
        <v>44912</v>
      </c>
      <c r="B132" s="1">
        <v>2204431</v>
      </c>
      <c r="C132" s="5" t="s">
        <v>441</v>
      </c>
      <c r="D132" s="5" t="str">
        <f>VLOOKUP(C132,[1]master_data!$A$2:$E$495,2,FALSE)</f>
        <v>PEMBERSIH KACA BIASA</v>
      </c>
      <c r="E132" s="5">
        <v>17</v>
      </c>
      <c r="F132" s="5">
        <f>VLOOKUP(C132,[1]master_data!$A$2:$E$495,3,FALSE)</f>
        <v>2000</v>
      </c>
      <c r="G132" s="5">
        <f>VLOOKUP(C132,[1]master_data!$A$2:$E$495,4,FALSE)</f>
        <v>5000</v>
      </c>
      <c r="H132" s="5">
        <f t="shared" si="9"/>
        <v>34000</v>
      </c>
      <c r="I132" s="5">
        <f t="shared" si="10"/>
        <v>85000</v>
      </c>
      <c r="J132" s="5">
        <f t="shared" si="11"/>
        <v>51000</v>
      </c>
      <c r="K132" s="5" t="str">
        <f>VLOOKUP(C132,[1]master_data!$A$2:$E$495,5,FALSE)</f>
        <v>Ikan</v>
      </c>
      <c r="L132" s="5" t="s">
        <v>471</v>
      </c>
    </row>
    <row r="133" spans="1:12" ht="12" customHeight="1" x14ac:dyDescent="0.25">
      <c r="A133" s="6">
        <v>44911</v>
      </c>
      <c r="B133" s="1">
        <v>2204430</v>
      </c>
      <c r="C133" s="5" t="s">
        <v>88</v>
      </c>
      <c r="D133" s="5" t="str">
        <f>VLOOKUP(C133,[1]master_data!$A$2:$E$495,2,FALSE)</f>
        <v>MESIN KANDILA MAGURA 104</v>
      </c>
      <c r="E133" s="5">
        <v>1</v>
      </c>
      <c r="F133" s="5">
        <f>VLOOKUP(C133,[1]master_data!$A$2:$E$495,3,FALSE)</f>
        <v>100000</v>
      </c>
      <c r="G133" s="5">
        <f>VLOOKUP(C133,[1]master_data!$A$2:$E$495,4,FALSE)</f>
        <v>135000</v>
      </c>
      <c r="H133" s="5">
        <f t="shared" ref="H133:H196" si="12">E133*F133</f>
        <v>100000</v>
      </c>
      <c r="I133" s="5">
        <f t="shared" ref="I133:I196" si="13">E133*G133</f>
        <v>135000</v>
      </c>
      <c r="J133" s="5">
        <f t="shared" ref="J133:J196" si="14">I133-H133</f>
        <v>35000</v>
      </c>
      <c r="K133" s="5" t="str">
        <f>VLOOKUP(C133,[1]master_data!$A$2:$E$495,5,FALSE)</f>
        <v>Aksesoris</v>
      </c>
      <c r="L133" s="5" t="s">
        <v>471</v>
      </c>
    </row>
    <row r="134" spans="1:12" ht="12" customHeight="1" x14ac:dyDescent="0.25">
      <c r="A134" s="6">
        <v>44911</v>
      </c>
      <c r="B134" s="1">
        <v>2204429</v>
      </c>
      <c r="C134" s="5" t="s">
        <v>432</v>
      </c>
      <c r="D134" s="5" t="str">
        <f>VLOOKUP(C134,[1]master_data!$A$2:$E$495,2,FALSE)</f>
        <v>MARU K</v>
      </c>
      <c r="E134" s="5">
        <v>1</v>
      </c>
      <c r="F134" s="5">
        <f>VLOOKUP(C134,[1]master_data!$A$2:$E$495,3,FALSE)</f>
        <v>23000</v>
      </c>
      <c r="G134" s="5">
        <f>VLOOKUP(C134,[1]master_data!$A$2:$E$495,4,FALSE)</f>
        <v>50000</v>
      </c>
      <c r="H134" s="5">
        <f t="shared" si="12"/>
        <v>23000</v>
      </c>
      <c r="I134" s="5">
        <f t="shared" si="13"/>
        <v>50000</v>
      </c>
      <c r="J134" s="5">
        <f t="shared" si="14"/>
        <v>27000</v>
      </c>
      <c r="K134" s="5" t="str">
        <f>VLOOKUP(C134,[1]master_data!$A$2:$E$495,5,FALSE)</f>
        <v>Ikan</v>
      </c>
      <c r="L134" s="5" t="s">
        <v>471</v>
      </c>
    </row>
    <row r="135" spans="1:12" ht="12" customHeight="1" x14ac:dyDescent="0.25">
      <c r="A135" s="6">
        <v>44911</v>
      </c>
      <c r="B135" s="1">
        <v>2204428</v>
      </c>
      <c r="C135" s="5" t="s">
        <v>410</v>
      </c>
      <c r="D135" s="5" t="str">
        <f>VLOOKUP(C135,[1]master_data!$A$2:$E$495,2,FALSE)</f>
        <v>GUPY</v>
      </c>
      <c r="E135" s="5">
        <v>10</v>
      </c>
      <c r="F135" s="5">
        <f>VLOOKUP(C135,[1]master_data!$A$2:$E$495,3,FALSE)</f>
        <v>1200</v>
      </c>
      <c r="G135" s="5">
        <f>VLOOKUP(C135,[1]master_data!$A$2:$E$495,4,FALSE)</f>
        <v>2500</v>
      </c>
      <c r="H135" s="5">
        <f t="shared" si="12"/>
        <v>12000</v>
      </c>
      <c r="I135" s="5">
        <f t="shared" si="13"/>
        <v>25000</v>
      </c>
      <c r="J135" s="5">
        <f t="shared" si="14"/>
        <v>13000</v>
      </c>
      <c r="K135" s="5" t="str">
        <f>VLOOKUP(C135,[1]master_data!$A$2:$E$495,5,FALSE)</f>
        <v>Ikan</v>
      </c>
      <c r="L135" s="5" t="s">
        <v>471</v>
      </c>
    </row>
    <row r="136" spans="1:12" ht="12" customHeight="1" x14ac:dyDescent="0.25">
      <c r="A136" s="6">
        <v>44911</v>
      </c>
      <c r="B136" s="1">
        <v>2204427</v>
      </c>
      <c r="C136" s="5" t="s">
        <v>441</v>
      </c>
      <c r="D136" s="5" t="str">
        <f>VLOOKUP(C136,[1]master_data!$A$2:$E$495,2,FALSE)</f>
        <v>PEMBERSIH KACA BIASA</v>
      </c>
      <c r="E136" s="5">
        <v>25</v>
      </c>
      <c r="F136" s="5">
        <f>VLOOKUP(C136,[1]master_data!$A$2:$E$495,3,FALSE)</f>
        <v>2000</v>
      </c>
      <c r="G136" s="5">
        <f>VLOOKUP(C136,[1]master_data!$A$2:$E$495,4,FALSE)</f>
        <v>5000</v>
      </c>
      <c r="H136" s="5">
        <f t="shared" si="12"/>
        <v>50000</v>
      </c>
      <c r="I136" s="5">
        <f t="shared" si="13"/>
        <v>125000</v>
      </c>
      <c r="J136" s="5">
        <f t="shared" si="14"/>
        <v>75000</v>
      </c>
      <c r="K136" s="5" t="str">
        <f>VLOOKUP(C136,[1]master_data!$A$2:$E$495,5,FALSE)</f>
        <v>Ikan</v>
      </c>
      <c r="L136" s="5" t="s">
        <v>471</v>
      </c>
    </row>
    <row r="137" spans="1:12" ht="12" customHeight="1" x14ac:dyDescent="0.25">
      <c r="A137" s="6">
        <v>44911</v>
      </c>
      <c r="B137" s="1">
        <v>2204426</v>
      </c>
      <c r="C137" s="5" t="s">
        <v>446</v>
      </c>
      <c r="D137" s="5" t="str">
        <f>VLOOKUP(C137,[1]master_data!$A$2:$E$495,2,FALSE)</f>
        <v>REDFIN HITAM</v>
      </c>
      <c r="E137" s="5">
        <v>10</v>
      </c>
      <c r="F137" s="5">
        <f>VLOOKUP(C137,[1]master_data!$A$2:$E$495,3,FALSE)</f>
        <v>1500</v>
      </c>
      <c r="G137" s="5">
        <f>VLOOKUP(C137,[1]master_data!$A$2:$E$495,4,FALSE)</f>
        <v>4000</v>
      </c>
      <c r="H137" s="5">
        <f t="shared" si="12"/>
        <v>15000</v>
      </c>
      <c r="I137" s="5">
        <f t="shared" si="13"/>
        <v>40000</v>
      </c>
      <c r="J137" s="5">
        <f t="shared" si="14"/>
        <v>25000</v>
      </c>
      <c r="K137" s="5" t="str">
        <f>VLOOKUP(C137,[1]master_data!$A$2:$E$495,5,FALSE)</f>
        <v>Ikan</v>
      </c>
      <c r="L137" s="5" t="s">
        <v>471</v>
      </c>
    </row>
    <row r="138" spans="1:12" ht="12" customHeight="1" x14ac:dyDescent="0.25">
      <c r="A138" s="6">
        <v>44911</v>
      </c>
      <c r="B138" s="1">
        <v>2204425</v>
      </c>
      <c r="C138" s="5" t="s">
        <v>398</v>
      </c>
      <c r="D138" s="5" t="str">
        <f>VLOOKUP(C138,[1]master_data!$A$2:$E$495,2,FALSE)</f>
        <v>BIPOLAR</v>
      </c>
      <c r="E138" s="5">
        <v>2</v>
      </c>
      <c r="F138" s="5">
        <f>VLOOKUP(C138,[1]master_data!$A$2:$E$495,3,FALSE)</f>
        <v>1000</v>
      </c>
      <c r="G138" s="5">
        <f>VLOOKUP(C138,[1]master_data!$A$2:$E$495,4,FALSE)</f>
        <v>2500</v>
      </c>
      <c r="H138" s="5">
        <f t="shared" si="12"/>
        <v>2000</v>
      </c>
      <c r="I138" s="5">
        <f t="shared" si="13"/>
        <v>5000</v>
      </c>
      <c r="J138" s="5">
        <f t="shared" si="14"/>
        <v>3000</v>
      </c>
      <c r="K138" s="5" t="str">
        <f>VLOOKUP(C138,[1]master_data!$A$2:$E$495,5,FALSE)</f>
        <v>Ikan</v>
      </c>
      <c r="L138" s="5" t="s">
        <v>471</v>
      </c>
    </row>
    <row r="139" spans="1:12" ht="12" customHeight="1" x14ac:dyDescent="0.25">
      <c r="A139" s="6">
        <v>44911</v>
      </c>
      <c r="B139" s="1">
        <v>2204424</v>
      </c>
      <c r="C139" s="5" t="s">
        <v>393</v>
      </c>
      <c r="D139" s="5" t="str">
        <f>VLOOKUP(C139,[1]master_data!$A$2:$E$495,2,FALSE)</f>
        <v>CHANNA ANDRAO B</v>
      </c>
      <c r="E139" s="5">
        <v>2</v>
      </c>
      <c r="F139" s="5">
        <f>VLOOKUP(C139,[1]master_data!$A$2:$E$495,3,FALSE)</f>
        <v>100000</v>
      </c>
      <c r="G139" s="5">
        <f>VLOOKUP(C139,[1]master_data!$A$2:$E$495,4,FALSE)</f>
        <v>200000</v>
      </c>
      <c r="H139" s="5">
        <f t="shared" si="12"/>
        <v>200000</v>
      </c>
      <c r="I139" s="5">
        <f t="shared" si="13"/>
        <v>400000</v>
      </c>
      <c r="J139" s="5">
        <f t="shared" si="14"/>
        <v>200000</v>
      </c>
      <c r="K139" s="5" t="str">
        <f>VLOOKUP(C139,[1]master_data!$A$2:$E$495,5,FALSE)</f>
        <v>Ikan</v>
      </c>
      <c r="L139" s="5" t="s">
        <v>471</v>
      </c>
    </row>
    <row r="140" spans="1:12" ht="12" customHeight="1" x14ac:dyDescent="0.25">
      <c r="A140" s="6">
        <v>44911</v>
      </c>
      <c r="B140" s="1">
        <v>2204423</v>
      </c>
      <c r="C140" s="5" t="s">
        <v>453</v>
      </c>
      <c r="D140" s="5" t="str">
        <f>VLOOKUP(C140,[1]master_data!$A$2:$E$495,2,FALSE)</f>
        <v>SYNODONTIS K</v>
      </c>
      <c r="E140" s="5">
        <v>25</v>
      </c>
      <c r="F140" s="5">
        <f>VLOOKUP(C140,[1]master_data!$A$2:$E$495,3,FALSE)</f>
        <v>1500</v>
      </c>
      <c r="G140" s="5">
        <f>VLOOKUP(C140,[1]master_data!$A$2:$E$495,4,FALSE)</f>
        <v>5000</v>
      </c>
      <c r="H140" s="5">
        <f t="shared" si="12"/>
        <v>37500</v>
      </c>
      <c r="I140" s="5">
        <f t="shared" si="13"/>
        <v>125000</v>
      </c>
      <c r="J140" s="5">
        <f t="shared" si="14"/>
        <v>87500</v>
      </c>
      <c r="K140" s="5" t="str">
        <f>VLOOKUP(C140,[1]master_data!$A$2:$E$495,5,FALSE)</f>
        <v>Ikan</v>
      </c>
      <c r="L140" s="5" t="s">
        <v>471</v>
      </c>
    </row>
    <row r="141" spans="1:12" ht="12" customHeight="1" x14ac:dyDescent="0.25">
      <c r="A141" s="6">
        <v>44911</v>
      </c>
      <c r="B141" s="1">
        <v>2204422</v>
      </c>
      <c r="C141" s="5" t="s">
        <v>119</v>
      </c>
      <c r="D141" s="5" t="str">
        <f>VLOOKUP(C141,[1]master_data!$A$2:$E$495,2,FALSE)</f>
        <v>LED KIYOSAKI 3 MODE 40 CM</v>
      </c>
      <c r="E141" s="5">
        <v>3</v>
      </c>
      <c r="F141" s="5">
        <f>VLOOKUP(C141,[1]master_data!$A$2:$E$495,3,FALSE)</f>
        <v>32000</v>
      </c>
      <c r="G141" s="5">
        <f>VLOOKUP(C141,[1]master_data!$A$2:$E$495,4,FALSE)</f>
        <v>55000</v>
      </c>
      <c r="H141" s="5">
        <f t="shared" si="12"/>
        <v>96000</v>
      </c>
      <c r="I141" s="5">
        <f t="shared" si="13"/>
        <v>165000</v>
      </c>
      <c r="J141" s="5">
        <f t="shared" si="14"/>
        <v>69000</v>
      </c>
      <c r="K141" s="5" t="str">
        <f>VLOOKUP(C141,[1]master_data!$A$2:$E$495,5,FALSE)</f>
        <v>Aksesoris</v>
      </c>
      <c r="L141" s="5" t="s">
        <v>471</v>
      </c>
    </row>
    <row r="142" spans="1:12" ht="12" customHeight="1" x14ac:dyDescent="0.25">
      <c r="A142" s="6">
        <v>44910</v>
      </c>
      <c r="B142" s="1">
        <v>2204421</v>
      </c>
      <c r="C142" s="5" t="s">
        <v>63</v>
      </c>
      <c r="D142" s="5" t="str">
        <f>VLOOKUP(C142,[1]master_data!$A$2:$E$495,2,FALSE)</f>
        <v>BOX KOSONG TANGGUNG</v>
      </c>
      <c r="E142" s="5">
        <v>2</v>
      </c>
      <c r="F142" s="5">
        <f>VLOOKUP(C142,[1]master_data!$A$2:$E$495,3,FALSE)</f>
        <v>15000</v>
      </c>
      <c r="G142" s="5">
        <f>VLOOKUP(C142,[1]master_data!$A$2:$E$495,4,FALSE)</f>
        <v>25000</v>
      </c>
      <c r="H142" s="5">
        <f t="shared" si="12"/>
        <v>30000</v>
      </c>
      <c r="I142" s="5">
        <f t="shared" si="13"/>
        <v>50000</v>
      </c>
      <c r="J142" s="5">
        <f t="shared" si="14"/>
        <v>20000</v>
      </c>
      <c r="K142" s="5" t="str">
        <f>VLOOKUP(C142,[1]master_data!$A$2:$E$495,5,FALSE)</f>
        <v>Aksesoris</v>
      </c>
      <c r="L142" s="5" t="s">
        <v>471</v>
      </c>
    </row>
    <row r="143" spans="1:12" ht="12" customHeight="1" x14ac:dyDescent="0.25">
      <c r="A143" s="6">
        <v>44910</v>
      </c>
      <c r="B143" s="1">
        <v>2204420</v>
      </c>
      <c r="C143" s="5" t="s">
        <v>209</v>
      </c>
      <c r="D143" s="5" t="str">
        <f>VLOOKUP(C143,[1]master_data!$A$2:$E$495,2,FALSE)</f>
        <v>TETRA BITS 50 GR</v>
      </c>
      <c r="E143" s="5">
        <v>5</v>
      </c>
      <c r="F143" s="5">
        <f>VLOOKUP(C143,[1]master_data!$A$2:$E$495,3,FALSE)</f>
        <v>45000</v>
      </c>
      <c r="G143" s="5">
        <f>VLOOKUP(C143,[1]master_data!$A$2:$E$495,4,FALSE)</f>
        <v>55000</v>
      </c>
      <c r="H143" s="5">
        <f t="shared" si="12"/>
        <v>225000</v>
      </c>
      <c r="I143" s="5">
        <f t="shared" si="13"/>
        <v>275000</v>
      </c>
      <c r="J143" s="5">
        <f t="shared" si="14"/>
        <v>50000</v>
      </c>
      <c r="K143" s="5" t="str">
        <f>VLOOKUP(C143,[1]master_data!$A$2:$E$495,5,FALSE)</f>
        <v>Aksesoris</v>
      </c>
      <c r="L143" s="5" t="s">
        <v>471</v>
      </c>
    </row>
    <row r="144" spans="1:12" ht="12" customHeight="1" x14ac:dyDescent="0.25">
      <c r="A144" s="6">
        <v>44910</v>
      </c>
      <c r="B144" s="1">
        <v>2204419</v>
      </c>
      <c r="C144" s="5" t="s">
        <v>400</v>
      </c>
      <c r="D144" s="5" t="str">
        <f>VLOOKUP(C144,[1]master_data!$A$2:$E$495,2,FALSE)</f>
        <v>BALA BALA K</v>
      </c>
      <c r="E144" s="5">
        <v>10</v>
      </c>
      <c r="F144" s="5">
        <f>VLOOKUP(C144,[1]master_data!$A$2:$E$495,3,FALSE)</f>
        <v>4000</v>
      </c>
      <c r="G144" s="5">
        <f>VLOOKUP(C144,[1]master_data!$A$2:$E$495,4,FALSE)</f>
        <v>8000</v>
      </c>
      <c r="H144" s="5">
        <f t="shared" si="12"/>
        <v>40000</v>
      </c>
      <c r="I144" s="5">
        <f t="shared" si="13"/>
        <v>80000</v>
      </c>
      <c r="J144" s="5">
        <f t="shared" si="14"/>
        <v>40000</v>
      </c>
      <c r="K144" s="5" t="str">
        <f>VLOOKUP(C144,[1]master_data!$A$2:$E$495,5,FALSE)</f>
        <v>Ikan</v>
      </c>
      <c r="L144" s="5" t="s">
        <v>471</v>
      </c>
    </row>
    <row r="145" spans="1:12" ht="12" customHeight="1" x14ac:dyDescent="0.25">
      <c r="A145" s="6">
        <v>44910</v>
      </c>
      <c r="B145" s="1">
        <v>2204418</v>
      </c>
      <c r="C145" s="5" t="s">
        <v>431</v>
      </c>
      <c r="D145" s="5" t="str">
        <f>VLOOKUP(C145,[1]master_data!$A$2:$E$495,2,FALSE)</f>
        <v>MANFISH B</v>
      </c>
      <c r="E145" s="5">
        <v>20</v>
      </c>
      <c r="F145" s="5">
        <f>VLOOKUP(C145,[1]master_data!$A$2:$E$495,3,FALSE)</f>
        <v>4000</v>
      </c>
      <c r="G145" s="5">
        <f>VLOOKUP(C145,[1]master_data!$A$2:$E$495,4,FALSE)</f>
        <v>10000</v>
      </c>
      <c r="H145" s="5">
        <f t="shared" si="12"/>
        <v>80000</v>
      </c>
      <c r="I145" s="5">
        <f t="shared" si="13"/>
        <v>200000</v>
      </c>
      <c r="J145" s="5">
        <f t="shared" si="14"/>
        <v>120000</v>
      </c>
      <c r="K145" s="5" t="str">
        <f>VLOOKUP(C145,[1]master_data!$A$2:$E$495,5,FALSE)</f>
        <v>Ikan</v>
      </c>
      <c r="L145" s="5" t="s">
        <v>471</v>
      </c>
    </row>
    <row r="146" spans="1:12" ht="12" customHeight="1" x14ac:dyDescent="0.25">
      <c r="A146" s="6">
        <v>44910</v>
      </c>
      <c r="B146" s="1">
        <v>2204417</v>
      </c>
      <c r="C146" s="5" t="s">
        <v>261</v>
      </c>
      <c r="D146" s="5" t="str">
        <f>VLOOKUP(C146,[1]master_data!$A$2:$E$495,2,FALSE)</f>
        <v>BONSAI</v>
      </c>
      <c r="E146" s="5">
        <v>1</v>
      </c>
      <c r="F146" s="5">
        <f>VLOOKUP(C146,[1]master_data!$A$2:$E$495,3,FALSE)</f>
        <v>15000</v>
      </c>
      <c r="G146" s="5">
        <f>VLOOKUP(C146,[1]master_data!$A$2:$E$495,4,FALSE)</f>
        <v>20000</v>
      </c>
      <c r="H146" s="5">
        <f t="shared" si="12"/>
        <v>15000</v>
      </c>
      <c r="I146" s="5">
        <f t="shared" si="13"/>
        <v>20000</v>
      </c>
      <c r="J146" s="5">
        <f t="shared" si="14"/>
        <v>5000</v>
      </c>
      <c r="K146" s="5" t="str">
        <f>VLOOKUP(C146,[1]master_data!$A$2:$E$495,5,FALSE)</f>
        <v>Aksesoris</v>
      </c>
      <c r="L146" s="5" t="s">
        <v>471</v>
      </c>
    </row>
    <row r="147" spans="1:12" ht="12" customHeight="1" x14ac:dyDescent="0.25">
      <c r="A147" s="6">
        <v>44910</v>
      </c>
      <c r="B147" s="1">
        <v>2204416</v>
      </c>
      <c r="C147" s="5" t="s">
        <v>118</v>
      </c>
      <c r="D147" s="5" t="str">
        <f>VLOOKUP(C147,[1]master_data!$A$2:$E$495,2,FALSE)</f>
        <v>LED ROSTON 40 CM</v>
      </c>
      <c r="E147" s="5">
        <v>5</v>
      </c>
      <c r="F147" s="5">
        <f>VLOOKUP(C147,[1]master_data!$A$2:$E$495,3,FALSE)</f>
        <v>23000</v>
      </c>
      <c r="G147" s="5">
        <f>VLOOKUP(C147,[1]master_data!$A$2:$E$495,4,FALSE)</f>
        <v>40000</v>
      </c>
      <c r="H147" s="5">
        <f t="shared" si="12"/>
        <v>115000</v>
      </c>
      <c r="I147" s="5">
        <f t="shared" si="13"/>
        <v>200000</v>
      </c>
      <c r="J147" s="5">
        <f t="shared" si="14"/>
        <v>85000</v>
      </c>
      <c r="K147" s="5" t="str">
        <f>VLOOKUP(C147,[1]master_data!$A$2:$E$495,5,FALSE)</f>
        <v>Aksesoris</v>
      </c>
      <c r="L147" s="5" t="s">
        <v>471</v>
      </c>
    </row>
    <row r="148" spans="1:12" ht="12" customHeight="1" x14ac:dyDescent="0.25">
      <c r="A148" s="6">
        <v>44910</v>
      </c>
      <c r="B148" s="1">
        <v>2204415</v>
      </c>
      <c r="C148" s="5" t="s">
        <v>320</v>
      </c>
      <c r="D148" s="5" t="str">
        <f>VLOOKUP(C148,[1]master_data!$A$2:$E$495,2,FALSE)</f>
        <v>PIPA LONJOR 1 M</v>
      </c>
      <c r="E148" s="5">
        <v>10</v>
      </c>
      <c r="F148" s="5">
        <f>VLOOKUP(C148,[1]master_data!$A$2:$E$495,3,FALSE)</f>
        <v>2500</v>
      </c>
      <c r="G148" s="5">
        <f>VLOOKUP(C148,[1]master_data!$A$2:$E$495,4,FALSE)</f>
        <v>5000</v>
      </c>
      <c r="H148" s="5">
        <f t="shared" si="12"/>
        <v>25000</v>
      </c>
      <c r="I148" s="5">
        <f t="shared" si="13"/>
        <v>50000</v>
      </c>
      <c r="J148" s="5">
        <f t="shared" si="14"/>
        <v>25000</v>
      </c>
      <c r="K148" s="5" t="str">
        <f>VLOOKUP(C148,[1]master_data!$A$2:$E$495,5,FALSE)</f>
        <v>Aksesoris</v>
      </c>
      <c r="L148" s="5" t="s">
        <v>471</v>
      </c>
    </row>
    <row r="149" spans="1:12" ht="12" customHeight="1" x14ac:dyDescent="0.25">
      <c r="A149" s="6">
        <v>44910</v>
      </c>
      <c r="B149" s="1">
        <v>2204414</v>
      </c>
      <c r="C149" s="5" t="s">
        <v>341</v>
      </c>
      <c r="D149" s="5" t="str">
        <f>VLOOKUP(C149,[1]master_data!$A$2:$E$495,2,FALSE)</f>
        <v>FOOD TIMER AMARA 8431</v>
      </c>
      <c r="E149" s="5">
        <v>1</v>
      </c>
      <c r="F149" s="5">
        <f>VLOOKUP(C149,[1]master_data!$A$2:$E$495,3,FALSE)</f>
        <v>45000</v>
      </c>
      <c r="G149" s="5">
        <f>VLOOKUP(C149,[1]master_data!$A$2:$E$495,4,FALSE)</f>
        <v>115000</v>
      </c>
      <c r="H149" s="5">
        <f t="shared" si="12"/>
        <v>45000</v>
      </c>
      <c r="I149" s="5">
        <f t="shared" si="13"/>
        <v>115000</v>
      </c>
      <c r="J149" s="5">
        <f t="shared" si="14"/>
        <v>70000</v>
      </c>
      <c r="K149" s="5" t="str">
        <f>VLOOKUP(C149,[1]master_data!$A$2:$E$495,5,FALSE)</f>
        <v>Aksesoris</v>
      </c>
      <c r="L149" s="5" t="s">
        <v>471</v>
      </c>
    </row>
    <row r="150" spans="1:12" ht="12" customHeight="1" x14ac:dyDescent="0.25">
      <c r="A150" s="6">
        <v>44910</v>
      </c>
      <c r="B150" s="1">
        <v>2204413</v>
      </c>
      <c r="C150" s="5" t="s">
        <v>447</v>
      </c>
      <c r="D150" s="5" t="str">
        <f>VLOOKUP(C150,[1]master_data!$A$2:$E$495,2,FALSE)</f>
        <v>REDFIN ALBINO</v>
      </c>
      <c r="E150" s="5">
        <v>20</v>
      </c>
      <c r="F150" s="5">
        <f>VLOOKUP(C150,[1]master_data!$A$2:$E$495,3,FALSE)</f>
        <v>1500</v>
      </c>
      <c r="G150" s="5">
        <f>VLOOKUP(C150,[1]master_data!$A$2:$E$495,4,FALSE)</f>
        <v>4000</v>
      </c>
      <c r="H150" s="5">
        <f t="shared" si="12"/>
        <v>30000</v>
      </c>
      <c r="I150" s="5">
        <f t="shared" si="13"/>
        <v>80000</v>
      </c>
      <c r="J150" s="5">
        <f t="shared" si="14"/>
        <v>50000</v>
      </c>
      <c r="K150" s="5" t="str">
        <f>VLOOKUP(C150,[1]master_data!$A$2:$E$495,5,FALSE)</f>
        <v>Ikan</v>
      </c>
      <c r="L150" s="5" t="s">
        <v>471</v>
      </c>
    </row>
    <row r="151" spans="1:12" ht="12" customHeight="1" x14ac:dyDescent="0.25">
      <c r="A151" s="6">
        <v>44910</v>
      </c>
      <c r="B151" s="1">
        <v>2204412</v>
      </c>
      <c r="C151" s="5" t="s">
        <v>424</v>
      </c>
      <c r="D151" s="5" t="str">
        <f>VLOOKUP(C151,[1]master_data!$A$2:$E$495,2,FALSE)</f>
        <v>KOI SLAYER B</v>
      </c>
      <c r="E151" s="5">
        <v>1</v>
      </c>
      <c r="F151" s="5">
        <f>VLOOKUP(C151,[1]master_data!$A$2:$E$495,3,FALSE)</f>
        <v>8000</v>
      </c>
      <c r="G151" s="5">
        <f>VLOOKUP(C151,[1]master_data!$A$2:$E$495,4,FALSE)</f>
        <v>20000</v>
      </c>
      <c r="H151" s="5">
        <f t="shared" si="12"/>
        <v>8000</v>
      </c>
      <c r="I151" s="5">
        <f t="shared" si="13"/>
        <v>20000</v>
      </c>
      <c r="J151" s="5">
        <f t="shared" si="14"/>
        <v>12000</v>
      </c>
      <c r="K151" s="5" t="str">
        <f>VLOOKUP(C151,[1]master_data!$A$2:$E$495,5,FALSE)</f>
        <v>Ikan</v>
      </c>
      <c r="L151" s="5" t="s">
        <v>471</v>
      </c>
    </row>
    <row r="152" spans="1:12" ht="12" customHeight="1" x14ac:dyDescent="0.25">
      <c r="A152" s="6">
        <v>44910</v>
      </c>
      <c r="B152" s="1">
        <v>2204411</v>
      </c>
      <c r="C152" s="5" t="s">
        <v>451</v>
      </c>
      <c r="D152" s="5" t="str">
        <f>VLOOKUP(C152,[1]master_data!$A$2:$E$495,2,FALSE)</f>
        <v>SUMATRA GOLD FISH</v>
      </c>
      <c r="E152" s="5">
        <v>15</v>
      </c>
      <c r="F152" s="5">
        <f>VLOOKUP(C152,[1]master_data!$A$2:$E$495,3,FALSE)</f>
        <v>2500</v>
      </c>
      <c r="G152" s="5">
        <f>VLOOKUP(C152,[1]master_data!$A$2:$E$495,4,FALSE)</f>
        <v>4000</v>
      </c>
      <c r="H152" s="5">
        <f t="shared" si="12"/>
        <v>37500</v>
      </c>
      <c r="I152" s="5">
        <f t="shared" si="13"/>
        <v>60000</v>
      </c>
      <c r="J152" s="5">
        <f t="shared" si="14"/>
        <v>22500</v>
      </c>
      <c r="K152" s="5" t="str">
        <f>VLOOKUP(C152,[1]master_data!$A$2:$E$495,5,FALSE)</f>
        <v>Ikan</v>
      </c>
      <c r="L152" s="5" t="s">
        <v>471</v>
      </c>
    </row>
    <row r="153" spans="1:12" ht="12" customHeight="1" x14ac:dyDescent="0.25">
      <c r="A153" s="6">
        <v>44910</v>
      </c>
      <c r="B153" s="1">
        <v>2204410</v>
      </c>
      <c r="C153" s="5" t="s">
        <v>439</v>
      </c>
      <c r="D153" s="5" t="str">
        <f>VLOOKUP(C153,[1]master_data!$A$2:$E$495,2,FALSE)</f>
        <v>NEON</v>
      </c>
      <c r="E153" s="5">
        <v>3</v>
      </c>
      <c r="F153" s="5">
        <f>VLOOKUP(C153,[1]master_data!$A$2:$E$495,3,FALSE)</f>
        <v>1250</v>
      </c>
      <c r="G153" s="5">
        <f>VLOOKUP(C153,[1]master_data!$A$2:$E$495,4,FALSE)</f>
        <v>5000</v>
      </c>
      <c r="H153" s="5">
        <f t="shared" si="12"/>
        <v>3750</v>
      </c>
      <c r="I153" s="5">
        <f t="shared" si="13"/>
        <v>15000</v>
      </c>
      <c r="J153" s="5">
        <f t="shared" si="14"/>
        <v>11250</v>
      </c>
      <c r="K153" s="5" t="str">
        <f>VLOOKUP(C153,[1]master_data!$A$2:$E$495,5,FALSE)</f>
        <v>Ikan</v>
      </c>
      <c r="L153" s="5" t="s">
        <v>471</v>
      </c>
    </row>
    <row r="154" spans="1:12" ht="12" customHeight="1" x14ac:dyDescent="0.25">
      <c r="A154" s="6">
        <v>44909</v>
      </c>
      <c r="B154" s="1">
        <v>2204409</v>
      </c>
      <c r="C154" s="5" t="s">
        <v>57</v>
      </c>
      <c r="D154" s="5" t="str">
        <f>VLOOKUP(C154,[1]master_data!$A$2:$E$495,2,FALSE)</f>
        <v>MESIN MARVIN 1200</v>
      </c>
      <c r="E154" s="5">
        <v>1</v>
      </c>
      <c r="F154" s="5">
        <f>VLOOKUP(C154,[1]master_data!$A$2:$E$495,3,FALSE)</f>
        <v>23000</v>
      </c>
      <c r="G154" s="5">
        <f>VLOOKUP(C154,[1]master_data!$A$2:$E$495,4,FALSE)</f>
        <v>35000</v>
      </c>
      <c r="H154" s="5">
        <f t="shared" si="12"/>
        <v>23000</v>
      </c>
      <c r="I154" s="5">
        <f t="shared" si="13"/>
        <v>35000</v>
      </c>
      <c r="J154" s="5">
        <f t="shared" si="14"/>
        <v>12000</v>
      </c>
      <c r="K154" s="5" t="str">
        <f>VLOOKUP(C154,[1]master_data!$A$2:$E$495,5,FALSE)</f>
        <v>Aksesoris</v>
      </c>
      <c r="L154" s="5" t="s">
        <v>471</v>
      </c>
    </row>
    <row r="155" spans="1:12" ht="12" customHeight="1" x14ac:dyDescent="0.25">
      <c r="A155" s="6">
        <v>44909</v>
      </c>
      <c r="B155" s="1">
        <v>2204408</v>
      </c>
      <c r="C155" s="5" t="s">
        <v>462</v>
      </c>
      <c r="D155" s="5" t="str">
        <f>VLOOKUP(C155,[1]master_data!$A$2:$E$495,2,FALSE)</f>
        <v>SEPAT ALBINO</v>
      </c>
      <c r="E155" s="5">
        <v>15</v>
      </c>
      <c r="F155" s="5">
        <f>VLOOKUP(C155,[1]master_data!$A$2:$E$495,3,FALSE)</f>
        <v>2000</v>
      </c>
      <c r="G155" s="5">
        <f>VLOOKUP(C155,[1]master_data!$A$2:$E$495,4,FALSE)</f>
        <v>5000</v>
      </c>
      <c r="H155" s="5">
        <f t="shared" si="12"/>
        <v>30000</v>
      </c>
      <c r="I155" s="5">
        <f t="shared" si="13"/>
        <v>75000</v>
      </c>
      <c r="J155" s="5">
        <f t="shared" si="14"/>
        <v>45000</v>
      </c>
      <c r="K155" s="5" t="str">
        <f>VLOOKUP(C155,[1]master_data!$A$2:$E$495,5,FALSE)</f>
        <v>Ikan</v>
      </c>
      <c r="L155" s="5" t="s">
        <v>471</v>
      </c>
    </row>
    <row r="156" spans="1:12" ht="12" customHeight="1" x14ac:dyDescent="0.25">
      <c r="A156" s="6">
        <v>44909</v>
      </c>
      <c r="B156" s="1">
        <v>2204407</v>
      </c>
      <c r="C156" s="5" t="s">
        <v>396</v>
      </c>
      <c r="D156" s="5" t="str">
        <f>VLOOKUP(C156,[1]master_data!$A$2:$E$495,2,FALSE)</f>
        <v>ALGA EATER</v>
      </c>
      <c r="E156" s="5">
        <v>20</v>
      </c>
      <c r="F156" s="5">
        <f>VLOOKUP(C156,[1]master_data!$A$2:$E$495,3,FALSE)</f>
        <v>1750</v>
      </c>
      <c r="G156" s="5">
        <f>VLOOKUP(C156,[1]master_data!$A$2:$E$495,4,FALSE)</f>
        <v>5000</v>
      </c>
      <c r="H156" s="5">
        <f t="shared" si="12"/>
        <v>35000</v>
      </c>
      <c r="I156" s="5">
        <f t="shared" si="13"/>
        <v>100000</v>
      </c>
      <c r="J156" s="5">
        <f t="shared" si="14"/>
        <v>65000</v>
      </c>
      <c r="K156" s="5" t="str">
        <f>VLOOKUP(C156,[1]master_data!$A$2:$E$495,5,FALSE)</f>
        <v>Ikan</v>
      </c>
      <c r="L156" s="5" t="s">
        <v>471</v>
      </c>
    </row>
    <row r="157" spans="1:12" ht="12" customHeight="1" x14ac:dyDescent="0.25">
      <c r="A157" s="6">
        <v>44909</v>
      </c>
      <c r="B157" s="1">
        <v>2204406</v>
      </c>
      <c r="C157" s="5" t="s">
        <v>392</v>
      </c>
      <c r="D157" s="5" t="str">
        <f>VLOOKUP(C157,[1]master_data!$A$2:$E$495,2,FALSE)</f>
        <v>CHANNA ASIATICA B</v>
      </c>
      <c r="E157" s="5">
        <v>6</v>
      </c>
      <c r="F157" s="5">
        <f>VLOOKUP(C157,[1]master_data!$A$2:$E$495,3,FALSE)</f>
        <v>40000</v>
      </c>
      <c r="G157" s="5">
        <f>VLOOKUP(C157,[1]master_data!$A$2:$E$495,4,FALSE)</f>
        <v>100000</v>
      </c>
      <c r="H157" s="5">
        <f t="shared" si="12"/>
        <v>240000</v>
      </c>
      <c r="I157" s="5">
        <f t="shared" si="13"/>
        <v>600000</v>
      </c>
      <c r="J157" s="5">
        <f t="shared" si="14"/>
        <v>360000</v>
      </c>
      <c r="K157" s="5" t="str">
        <f>VLOOKUP(C157,[1]master_data!$A$2:$E$495,5,FALSE)</f>
        <v>Ikan</v>
      </c>
      <c r="L157" s="5" t="s">
        <v>471</v>
      </c>
    </row>
    <row r="158" spans="1:12" ht="12" customHeight="1" x14ac:dyDescent="0.25">
      <c r="A158" s="6">
        <v>44909</v>
      </c>
      <c r="B158" s="1">
        <v>2204405</v>
      </c>
      <c r="C158" s="5" t="s">
        <v>435</v>
      </c>
      <c r="D158" s="5" t="str">
        <f>VLOOKUP(C158,[1]master_data!$A$2:$E$495,2,FALSE)</f>
        <v>MOLI BALON</v>
      </c>
      <c r="E158" s="5">
        <v>1</v>
      </c>
      <c r="F158" s="5">
        <f>VLOOKUP(C158,[1]master_data!$A$2:$E$495,3,FALSE)</f>
        <v>800</v>
      </c>
      <c r="G158" s="5">
        <f>VLOOKUP(C158,[1]master_data!$A$2:$E$495,4,FALSE)</f>
        <v>2000</v>
      </c>
      <c r="H158" s="5">
        <f t="shared" si="12"/>
        <v>800</v>
      </c>
      <c r="I158" s="5">
        <f t="shared" si="13"/>
        <v>2000</v>
      </c>
      <c r="J158" s="5">
        <f t="shared" si="14"/>
        <v>1200</v>
      </c>
      <c r="K158" s="5" t="str">
        <f>VLOOKUP(C158,[1]master_data!$A$2:$E$495,5,FALSE)</f>
        <v>Ikan</v>
      </c>
      <c r="L158" s="5" t="s">
        <v>471</v>
      </c>
    </row>
    <row r="159" spans="1:12" ht="12" customHeight="1" x14ac:dyDescent="0.25">
      <c r="A159" s="6">
        <v>44909</v>
      </c>
      <c r="B159" s="1">
        <v>2204404</v>
      </c>
      <c r="C159" s="5" t="s">
        <v>202</v>
      </c>
      <c r="D159" s="5" t="str">
        <f>VLOOKUP(C159,[1]master_data!$A$2:$E$495,2,FALSE)</f>
        <v>HOKKY COLOUR MAX</v>
      </c>
      <c r="E159" s="5">
        <v>1</v>
      </c>
      <c r="F159" s="5">
        <f>VLOOKUP(C159,[1]master_data!$A$2:$E$495,3,FALSE)</f>
        <v>7600</v>
      </c>
      <c r="G159" s="5">
        <f>VLOOKUP(C159,[1]master_data!$A$2:$E$495,4,FALSE)</f>
        <v>10000</v>
      </c>
      <c r="H159" s="5">
        <f t="shared" si="12"/>
        <v>7600</v>
      </c>
      <c r="I159" s="5">
        <f t="shared" si="13"/>
        <v>10000</v>
      </c>
      <c r="J159" s="5">
        <f t="shared" si="14"/>
        <v>2400</v>
      </c>
      <c r="K159" s="5" t="str">
        <f>VLOOKUP(C159,[1]master_data!$A$2:$E$495,5,FALSE)</f>
        <v>Aksesoris</v>
      </c>
      <c r="L159" s="5" t="s">
        <v>471</v>
      </c>
    </row>
    <row r="160" spans="1:12" ht="12" customHeight="1" x14ac:dyDescent="0.25">
      <c r="A160" s="6">
        <v>44909</v>
      </c>
      <c r="B160" s="1">
        <v>2204403</v>
      </c>
      <c r="C160" s="5" t="s">
        <v>55</v>
      </c>
      <c r="D160" s="5" t="str">
        <f>VLOOKUP(C160,[1]master_data!$A$2:$E$495,2,FALSE)</f>
        <v>MESIN  ARMDA 1200</v>
      </c>
      <c r="E160" s="5">
        <v>2</v>
      </c>
      <c r="F160" s="5">
        <f>VLOOKUP(C160,[1]master_data!$A$2:$E$495,3,FALSE)</f>
        <v>20000</v>
      </c>
      <c r="G160" s="5">
        <f>VLOOKUP(C160,[1]master_data!$A$2:$E$495,4,FALSE)</f>
        <v>30000</v>
      </c>
      <c r="H160" s="5">
        <f t="shared" si="12"/>
        <v>40000</v>
      </c>
      <c r="I160" s="5">
        <f t="shared" si="13"/>
        <v>60000</v>
      </c>
      <c r="J160" s="5">
        <f t="shared" si="14"/>
        <v>20000</v>
      </c>
      <c r="K160" s="5" t="str">
        <f>VLOOKUP(C160,[1]master_data!$A$2:$E$495,5,FALSE)</f>
        <v>Aksesoris</v>
      </c>
      <c r="L160" s="5" t="s">
        <v>471</v>
      </c>
    </row>
    <row r="161" spans="1:12" ht="12" customHeight="1" x14ac:dyDescent="0.25">
      <c r="A161" s="6">
        <v>44908</v>
      </c>
      <c r="B161" s="1">
        <v>2204402</v>
      </c>
      <c r="C161" s="5" t="s">
        <v>406</v>
      </c>
      <c r="D161" s="5" t="str">
        <f>VLOOKUP(C161,[1]master_data!$A$2:$E$495,2,FALSE)</f>
        <v>BARBIR</v>
      </c>
      <c r="E161" s="5">
        <v>15</v>
      </c>
      <c r="F161" s="5">
        <f>VLOOKUP(C161,[1]master_data!$A$2:$E$495,3,FALSE)</f>
        <v>800</v>
      </c>
      <c r="G161" s="5">
        <f>VLOOKUP(C161,[1]master_data!$A$2:$E$495,4,FALSE)</f>
        <v>2000</v>
      </c>
      <c r="H161" s="5">
        <f t="shared" si="12"/>
        <v>12000</v>
      </c>
      <c r="I161" s="5">
        <f t="shared" si="13"/>
        <v>30000</v>
      </c>
      <c r="J161" s="5">
        <f t="shared" si="14"/>
        <v>18000</v>
      </c>
      <c r="K161" s="5" t="str">
        <f>VLOOKUP(C161,[1]master_data!$A$2:$E$495,5,FALSE)</f>
        <v>Ikan</v>
      </c>
      <c r="L161" s="5" t="s">
        <v>471</v>
      </c>
    </row>
    <row r="162" spans="1:12" ht="12" customHeight="1" x14ac:dyDescent="0.25">
      <c r="A162" s="6">
        <v>44908</v>
      </c>
      <c r="B162" s="1">
        <v>2204401</v>
      </c>
      <c r="C162" s="5" t="s">
        <v>332</v>
      </c>
      <c r="D162" s="5" t="str">
        <f>VLOOKUP(C162,[1]master_data!$A$2:$E$495,2,FALSE)</f>
        <v>TERMOMETER</v>
      </c>
      <c r="E162" s="5">
        <v>20</v>
      </c>
      <c r="F162" s="5">
        <f>VLOOKUP(C162,[1]master_data!$A$2:$E$495,3,FALSE)</f>
        <v>5250</v>
      </c>
      <c r="G162" s="5">
        <f>VLOOKUP(C162,[1]master_data!$A$2:$E$495,4,FALSE)</f>
        <v>10000</v>
      </c>
      <c r="H162" s="5">
        <f t="shared" si="12"/>
        <v>105000</v>
      </c>
      <c r="I162" s="5">
        <f t="shared" si="13"/>
        <v>200000</v>
      </c>
      <c r="J162" s="5">
        <f t="shared" si="14"/>
        <v>95000</v>
      </c>
      <c r="K162" s="5" t="str">
        <f>VLOOKUP(C162,[1]master_data!$A$2:$E$495,5,FALSE)</f>
        <v>Aksesoris</v>
      </c>
      <c r="L162" s="5" t="s">
        <v>471</v>
      </c>
    </row>
    <row r="163" spans="1:12" ht="12" customHeight="1" x14ac:dyDescent="0.25">
      <c r="A163" s="6">
        <v>44908</v>
      </c>
      <c r="B163" s="1">
        <v>2204400</v>
      </c>
      <c r="C163" s="5" t="s">
        <v>414</v>
      </c>
      <c r="D163" s="5" t="str">
        <f>VLOOKUP(C163,[1]master_data!$A$2:$E$495,2,FALSE)</f>
        <v>KOKI T</v>
      </c>
      <c r="E163" s="5">
        <v>1</v>
      </c>
      <c r="F163" s="5">
        <f>VLOOKUP(C163,[1]master_data!$A$2:$E$495,3,FALSE)</f>
        <v>8000</v>
      </c>
      <c r="G163" s="5">
        <f>VLOOKUP(C163,[1]master_data!$A$2:$E$495,4,FALSE)</f>
        <v>15000</v>
      </c>
      <c r="H163" s="5">
        <f t="shared" si="12"/>
        <v>8000</v>
      </c>
      <c r="I163" s="5">
        <f t="shared" si="13"/>
        <v>15000</v>
      </c>
      <c r="J163" s="5">
        <f t="shared" si="14"/>
        <v>7000</v>
      </c>
      <c r="K163" s="5" t="str">
        <f>VLOOKUP(C163,[1]master_data!$A$2:$E$495,5,FALSE)</f>
        <v>Ikan</v>
      </c>
      <c r="L163" s="5" t="s">
        <v>471</v>
      </c>
    </row>
    <row r="164" spans="1:12" ht="12" customHeight="1" x14ac:dyDescent="0.25">
      <c r="A164" s="6">
        <v>44908</v>
      </c>
      <c r="B164" s="1">
        <v>2204399</v>
      </c>
      <c r="C164" s="5" t="s">
        <v>422</v>
      </c>
      <c r="D164" s="5" t="str">
        <f>VLOOKUP(C164,[1]master_data!$A$2:$E$495,2,FALSE)</f>
        <v>KOMET SLAYER</v>
      </c>
      <c r="E164" s="5">
        <v>10</v>
      </c>
      <c r="F164" s="5">
        <f>VLOOKUP(C164,[1]master_data!$A$2:$E$495,3,FALSE)</f>
        <v>2000</v>
      </c>
      <c r="G164" s="5">
        <f>VLOOKUP(C164,[1]master_data!$A$2:$E$495,4,FALSE)</f>
        <v>5000</v>
      </c>
      <c r="H164" s="5">
        <f t="shared" si="12"/>
        <v>20000</v>
      </c>
      <c r="I164" s="5">
        <f t="shared" si="13"/>
        <v>50000</v>
      </c>
      <c r="J164" s="5">
        <f t="shared" si="14"/>
        <v>30000</v>
      </c>
      <c r="K164" s="5" t="str">
        <f>VLOOKUP(C164,[1]master_data!$A$2:$E$495,5,FALSE)</f>
        <v>Ikan</v>
      </c>
      <c r="L164" s="5" t="s">
        <v>471</v>
      </c>
    </row>
    <row r="165" spans="1:12" ht="12" customHeight="1" x14ac:dyDescent="0.25">
      <c r="A165" s="6">
        <v>44908</v>
      </c>
      <c r="B165" s="1">
        <v>2204398</v>
      </c>
      <c r="C165" s="5" t="s">
        <v>461</v>
      </c>
      <c r="D165" s="5" t="str">
        <f>VLOOKUP(C165,[1]master_data!$A$2:$E$495,2,FALSE)</f>
        <v>SEPAT</v>
      </c>
      <c r="E165" s="5">
        <v>25</v>
      </c>
      <c r="F165" s="5">
        <f>VLOOKUP(C165,[1]master_data!$A$2:$E$495,3,FALSE)</f>
        <v>600</v>
      </c>
      <c r="G165" s="5">
        <f>VLOOKUP(C165,[1]master_data!$A$2:$E$495,4,FALSE)</f>
        <v>2000</v>
      </c>
      <c r="H165" s="5">
        <f t="shared" si="12"/>
        <v>15000</v>
      </c>
      <c r="I165" s="5">
        <f t="shared" si="13"/>
        <v>50000</v>
      </c>
      <c r="J165" s="5">
        <f t="shared" si="14"/>
        <v>35000</v>
      </c>
      <c r="K165" s="5" t="str">
        <f>VLOOKUP(C165,[1]master_data!$A$2:$E$495,5,FALSE)</f>
        <v>Ikan</v>
      </c>
      <c r="L165" s="5" t="s">
        <v>471</v>
      </c>
    </row>
    <row r="166" spans="1:12" ht="12" customHeight="1" x14ac:dyDescent="0.25">
      <c r="A166" s="6">
        <v>44908</v>
      </c>
      <c r="B166" s="1">
        <v>2204397</v>
      </c>
      <c r="C166" s="5" t="s">
        <v>414</v>
      </c>
      <c r="D166" s="5" t="str">
        <f>VLOOKUP(C166,[1]master_data!$A$2:$E$495,2,FALSE)</f>
        <v>KOKI T</v>
      </c>
      <c r="E166" s="5">
        <v>5</v>
      </c>
      <c r="F166" s="5">
        <f>VLOOKUP(C166,[1]master_data!$A$2:$E$495,3,FALSE)</f>
        <v>8000</v>
      </c>
      <c r="G166" s="5">
        <f>VLOOKUP(C166,[1]master_data!$A$2:$E$495,4,FALSE)</f>
        <v>15000</v>
      </c>
      <c r="H166" s="5">
        <f t="shared" si="12"/>
        <v>40000</v>
      </c>
      <c r="I166" s="5">
        <f t="shared" si="13"/>
        <v>75000</v>
      </c>
      <c r="J166" s="5">
        <f t="shared" si="14"/>
        <v>35000</v>
      </c>
      <c r="K166" s="5" t="str">
        <f>VLOOKUP(C166,[1]master_data!$A$2:$E$495,5,FALSE)</f>
        <v>Ikan</v>
      </c>
      <c r="L166" s="5" t="s">
        <v>471</v>
      </c>
    </row>
    <row r="167" spans="1:12" ht="12" customHeight="1" x14ac:dyDescent="0.25">
      <c r="A167" s="6">
        <v>44908</v>
      </c>
      <c r="B167" s="1">
        <v>2204396</v>
      </c>
      <c r="C167" s="5" t="s">
        <v>415</v>
      </c>
      <c r="D167" s="5" t="str">
        <f>VLOOKUP(C167,[1]master_data!$A$2:$E$495,2,FALSE)</f>
        <v>KOKI B</v>
      </c>
      <c r="E167" s="5">
        <v>2</v>
      </c>
      <c r="F167" s="5">
        <f>VLOOKUP(C167,[1]master_data!$A$2:$E$495,3,FALSE)</f>
        <v>20000</v>
      </c>
      <c r="G167" s="5">
        <f>VLOOKUP(C167,[1]master_data!$A$2:$E$495,4,FALSE)</f>
        <v>50000</v>
      </c>
      <c r="H167" s="5">
        <f t="shared" si="12"/>
        <v>40000</v>
      </c>
      <c r="I167" s="5">
        <f t="shared" si="13"/>
        <v>100000</v>
      </c>
      <c r="J167" s="5">
        <f t="shared" si="14"/>
        <v>60000</v>
      </c>
      <c r="K167" s="5" t="str">
        <f>VLOOKUP(C167,[1]master_data!$A$2:$E$495,5,FALSE)</f>
        <v>Ikan</v>
      </c>
      <c r="L167" s="5" t="s">
        <v>471</v>
      </c>
    </row>
    <row r="168" spans="1:12" ht="12" customHeight="1" x14ac:dyDescent="0.25">
      <c r="A168" s="6">
        <v>44908</v>
      </c>
      <c r="B168" s="1">
        <v>2204395</v>
      </c>
      <c r="C168" s="5" t="s">
        <v>455</v>
      </c>
      <c r="D168" s="5" t="str">
        <f>VLOOKUP(C168,[1]master_data!$A$2:$E$495,2,FALSE)</f>
        <v>TETRA</v>
      </c>
      <c r="E168" s="5">
        <v>22</v>
      </c>
      <c r="F168" s="5">
        <f>VLOOKUP(C168,[1]master_data!$A$2:$E$495,3,FALSE)</f>
        <v>800</v>
      </c>
      <c r="G168" s="5">
        <f>VLOOKUP(C168,[1]master_data!$A$2:$E$495,4,FALSE)</f>
        <v>2000</v>
      </c>
      <c r="H168" s="5">
        <f t="shared" si="12"/>
        <v>17600</v>
      </c>
      <c r="I168" s="5">
        <f t="shared" si="13"/>
        <v>44000</v>
      </c>
      <c r="J168" s="5">
        <f t="shared" si="14"/>
        <v>26400</v>
      </c>
      <c r="K168" s="5" t="str">
        <f>VLOOKUP(C168,[1]master_data!$A$2:$E$495,5,FALSE)</f>
        <v>Ikan</v>
      </c>
      <c r="L168" s="5" t="s">
        <v>471</v>
      </c>
    </row>
    <row r="169" spans="1:12" ht="12" customHeight="1" x14ac:dyDescent="0.25">
      <c r="A169" s="6">
        <v>44908</v>
      </c>
      <c r="B169" s="1">
        <v>2204394</v>
      </c>
      <c r="C169" s="5" t="s">
        <v>449</v>
      </c>
      <c r="D169" s="5" t="str">
        <f>VLOOKUP(C169,[1]master_data!$A$2:$E$495,2,FALSE)</f>
        <v>CHANNA RED BARITO B</v>
      </c>
      <c r="E169" s="5">
        <v>1</v>
      </c>
      <c r="F169" s="5">
        <f>VLOOKUP(C169,[1]master_data!$A$2:$E$495,3,FALSE)</f>
        <v>120000</v>
      </c>
      <c r="G169" s="5">
        <f>VLOOKUP(C169,[1]master_data!$A$2:$E$495,4,FALSE)</f>
        <v>200000</v>
      </c>
      <c r="H169" s="5">
        <f t="shared" si="12"/>
        <v>120000</v>
      </c>
      <c r="I169" s="5">
        <f t="shared" si="13"/>
        <v>200000</v>
      </c>
      <c r="J169" s="5">
        <f t="shared" si="14"/>
        <v>80000</v>
      </c>
      <c r="K169" s="5" t="str">
        <f>VLOOKUP(C169,[1]master_data!$A$2:$E$495,5,FALSE)</f>
        <v>Ikan</v>
      </c>
      <c r="L169" s="5" t="s">
        <v>471</v>
      </c>
    </row>
    <row r="170" spans="1:12" ht="12" customHeight="1" x14ac:dyDescent="0.25">
      <c r="A170" s="6">
        <v>44908</v>
      </c>
      <c r="B170" s="1">
        <v>2204393</v>
      </c>
      <c r="C170" s="5" t="s">
        <v>27</v>
      </c>
      <c r="D170" s="5" t="str">
        <f>VLOOKUP(C170,[1]master_data!$A$2:$E$495,2,FALSE)</f>
        <v>MESIN ROSTON 106</v>
      </c>
      <c r="E170" s="5">
        <v>2</v>
      </c>
      <c r="F170" s="5">
        <f>VLOOKUP(C170,[1]master_data!$A$2:$E$495,3,FALSE)</f>
        <v>100000</v>
      </c>
      <c r="G170" s="5">
        <f>VLOOKUP(C170,[1]master_data!$A$2:$E$495,4,FALSE)</f>
        <v>150000</v>
      </c>
      <c r="H170" s="5">
        <f t="shared" si="12"/>
        <v>200000</v>
      </c>
      <c r="I170" s="5">
        <f t="shared" si="13"/>
        <v>300000</v>
      </c>
      <c r="J170" s="5">
        <f t="shared" si="14"/>
        <v>100000</v>
      </c>
      <c r="K170" s="5" t="str">
        <f>VLOOKUP(C170,[1]master_data!$A$2:$E$495,5,FALSE)</f>
        <v>Aksesoris</v>
      </c>
      <c r="L170" s="5" t="s">
        <v>471</v>
      </c>
    </row>
    <row r="171" spans="1:12" ht="12" customHeight="1" x14ac:dyDescent="0.25">
      <c r="A171" s="6">
        <v>44908</v>
      </c>
      <c r="B171" s="1">
        <v>2204392</v>
      </c>
      <c r="C171" s="5" t="s">
        <v>46</v>
      </c>
      <c r="D171" s="5" t="str">
        <f>VLOOKUP(C171,[1]master_data!$A$2:$E$495,2,FALSE)</f>
        <v>MESIN NIKITA 104</v>
      </c>
      <c r="E171" s="5">
        <v>2</v>
      </c>
      <c r="F171" s="5">
        <f>VLOOKUP(C171,[1]master_data!$A$2:$E$495,3,FALSE)</f>
        <v>70000</v>
      </c>
      <c r="G171" s="5">
        <f>VLOOKUP(C171,[1]master_data!$A$2:$E$495,4,FALSE)</f>
        <v>120000</v>
      </c>
      <c r="H171" s="5">
        <f t="shared" si="12"/>
        <v>140000</v>
      </c>
      <c r="I171" s="5">
        <f t="shared" si="13"/>
        <v>240000</v>
      </c>
      <c r="J171" s="5">
        <f t="shared" si="14"/>
        <v>100000</v>
      </c>
      <c r="K171" s="5" t="str">
        <f>VLOOKUP(C171,[1]master_data!$A$2:$E$495,5,FALSE)</f>
        <v>Aksesoris</v>
      </c>
      <c r="L171" s="5" t="s">
        <v>471</v>
      </c>
    </row>
    <row r="172" spans="1:12" ht="12" customHeight="1" x14ac:dyDescent="0.25">
      <c r="A172" s="6">
        <v>44907</v>
      </c>
      <c r="B172" s="1">
        <v>2204391</v>
      </c>
      <c r="C172" s="5" t="s">
        <v>105</v>
      </c>
      <c r="D172" s="5" t="str">
        <f>VLOOKUP(C172,[1]master_data!$A$2:$E$495,2,FALSE)</f>
        <v>AIRATOR NIKITA LUB 2</v>
      </c>
      <c r="E172" s="5">
        <v>5</v>
      </c>
      <c r="F172" s="5">
        <f>VLOOKUP(C172,[1]master_data!$A$2:$E$495,3,FALSE)</f>
        <v>30000</v>
      </c>
      <c r="G172" s="5">
        <f>VLOOKUP(C172,[1]master_data!$A$2:$E$495,4,FALSE)</f>
        <v>50000</v>
      </c>
      <c r="H172" s="5">
        <f t="shared" si="12"/>
        <v>150000</v>
      </c>
      <c r="I172" s="5">
        <f t="shared" si="13"/>
        <v>250000</v>
      </c>
      <c r="J172" s="5">
        <f t="shared" si="14"/>
        <v>100000</v>
      </c>
      <c r="K172" s="5" t="str">
        <f>VLOOKUP(C172,[1]master_data!$A$2:$E$495,5,FALSE)</f>
        <v>Aksesoris</v>
      </c>
      <c r="L172" s="5" t="s">
        <v>471</v>
      </c>
    </row>
    <row r="173" spans="1:12" ht="12" customHeight="1" x14ac:dyDescent="0.25">
      <c r="A173" s="6">
        <v>44907</v>
      </c>
      <c r="B173" s="1">
        <v>2204390</v>
      </c>
      <c r="C173" s="5" t="s">
        <v>447</v>
      </c>
      <c r="D173" s="5" t="str">
        <f>VLOOKUP(C173,[1]master_data!$A$2:$E$495,2,FALSE)</f>
        <v>REDFIN ALBINO</v>
      </c>
      <c r="E173" s="5">
        <v>30</v>
      </c>
      <c r="F173" s="5">
        <f>VLOOKUP(C173,[1]master_data!$A$2:$E$495,3,FALSE)</f>
        <v>1500</v>
      </c>
      <c r="G173" s="5">
        <f>VLOOKUP(C173,[1]master_data!$A$2:$E$495,4,FALSE)</f>
        <v>4000</v>
      </c>
      <c r="H173" s="5">
        <f t="shared" si="12"/>
        <v>45000</v>
      </c>
      <c r="I173" s="5">
        <f t="shared" si="13"/>
        <v>120000</v>
      </c>
      <c r="J173" s="5">
        <f t="shared" si="14"/>
        <v>75000</v>
      </c>
      <c r="K173" s="5" t="str">
        <f>VLOOKUP(C173,[1]master_data!$A$2:$E$495,5,FALSE)</f>
        <v>Ikan</v>
      </c>
      <c r="L173" s="5" t="s">
        <v>471</v>
      </c>
    </row>
    <row r="174" spans="1:12" ht="12" customHeight="1" x14ac:dyDescent="0.25">
      <c r="A174" s="6">
        <v>44907</v>
      </c>
      <c r="B174" s="1">
        <v>2204389</v>
      </c>
      <c r="C174" s="5" t="s">
        <v>424</v>
      </c>
      <c r="D174" s="5" t="str">
        <f>VLOOKUP(C174,[1]master_data!$A$2:$E$495,2,FALSE)</f>
        <v>KOI SLAYER B</v>
      </c>
      <c r="E174" s="5">
        <v>10</v>
      </c>
      <c r="F174" s="5">
        <f>VLOOKUP(C174,[1]master_data!$A$2:$E$495,3,FALSE)</f>
        <v>8000</v>
      </c>
      <c r="G174" s="5">
        <f>VLOOKUP(C174,[1]master_data!$A$2:$E$495,4,FALSE)</f>
        <v>20000</v>
      </c>
      <c r="H174" s="5">
        <f t="shared" si="12"/>
        <v>80000</v>
      </c>
      <c r="I174" s="5">
        <f t="shared" si="13"/>
        <v>200000</v>
      </c>
      <c r="J174" s="5">
        <f t="shared" si="14"/>
        <v>120000</v>
      </c>
      <c r="K174" s="5" t="str">
        <f>VLOOKUP(C174,[1]master_data!$A$2:$E$495,5,FALSE)</f>
        <v>Ikan</v>
      </c>
      <c r="L174" s="5" t="s">
        <v>471</v>
      </c>
    </row>
    <row r="175" spans="1:12" ht="12" customHeight="1" x14ac:dyDescent="0.25">
      <c r="A175" s="6">
        <v>44907</v>
      </c>
      <c r="B175" s="1">
        <v>2204388</v>
      </c>
      <c r="C175" s="5" t="s">
        <v>210</v>
      </c>
      <c r="D175" s="5" t="str">
        <f>VLOOKUP(C175,[1]master_data!$A$2:$E$495,2,FALSE)</f>
        <v>TETRA BITS 30 GR</v>
      </c>
      <c r="E175" s="5">
        <v>2</v>
      </c>
      <c r="F175" s="5">
        <f>VLOOKUP(C175,[1]master_data!$A$2:$E$495,3,FALSE)</f>
        <v>32000</v>
      </c>
      <c r="G175" s="5">
        <f>VLOOKUP(C175,[1]master_data!$A$2:$E$495,4,FALSE)</f>
        <v>45000</v>
      </c>
      <c r="H175" s="5">
        <f t="shared" si="12"/>
        <v>64000</v>
      </c>
      <c r="I175" s="5">
        <f t="shared" si="13"/>
        <v>90000</v>
      </c>
      <c r="J175" s="5">
        <f t="shared" si="14"/>
        <v>26000</v>
      </c>
      <c r="K175" s="5" t="str">
        <f>VLOOKUP(C175,[1]master_data!$A$2:$E$495,5,FALSE)</f>
        <v>Aksesoris</v>
      </c>
      <c r="L175" s="5" t="s">
        <v>471</v>
      </c>
    </row>
    <row r="176" spans="1:12" ht="12" customHeight="1" x14ac:dyDescent="0.25">
      <c r="A176" s="6">
        <v>44907</v>
      </c>
      <c r="B176" s="1">
        <v>2204387</v>
      </c>
      <c r="C176" s="5" t="s">
        <v>353</v>
      </c>
      <c r="D176" s="5" t="str">
        <f>VLOOKUP(C176,[1]master_data!$A$2:$E$495,2,FALSE)</f>
        <v>AKUARIUM BAHARI L</v>
      </c>
      <c r="E176" s="5">
        <v>1</v>
      </c>
      <c r="F176" s="5">
        <f>VLOOKUP(C176,[1]master_data!$A$2:$E$495,3,FALSE)</f>
        <v>82000</v>
      </c>
      <c r="G176" s="5">
        <f>VLOOKUP(C176,[1]master_data!$A$2:$E$495,4,FALSE)</f>
        <v>150000</v>
      </c>
      <c r="H176" s="5">
        <f t="shared" si="12"/>
        <v>82000</v>
      </c>
      <c r="I176" s="5">
        <f t="shared" si="13"/>
        <v>150000</v>
      </c>
      <c r="J176" s="5">
        <f t="shared" si="14"/>
        <v>68000</v>
      </c>
      <c r="K176" s="5" t="str">
        <f>VLOOKUP(C176,[1]master_data!$A$2:$E$495,5,FALSE)</f>
        <v>Aksesoris</v>
      </c>
      <c r="L176" s="5" t="s">
        <v>471</v>
      </c>
    </row>
    <row r="177" spans="1:12" ht="12" customHeight="1" x14ac:dyDescent="0.25">
      <c r="A177" s="6">
        <v>44907</v>
      </c>
      <c r="B177" s="1">
        <v>2204386</v>
      </c>
      <c r="C177" s="5" t="s">
        <v>277</v>
      </c>
      <c r="D177" s="5" t="str">
        <f>VLOOKUP(C177,[1]master_data!$A$2:$E$495,2,FALSE)</f>
        <v>HEATER STENLEES 50 W</v>
      </c>
      <c r="E177" s="5">
        <v>1</v>
      </c>
      <c r="F177" s="5">
        <f>VLOOKUP(C177,[1]master_data!$A$2:$E$495,3,FALSE)</f>
        <v>63000</v>
      </c>
      <c r="G177" s="5">
        <f>VLOOKUP(C177,[1]master_data!$A$2:$E$495,4,FALSE)</f>
        <v>85000</v>
      </c>
      <c r="H177" s="5">
        <f t="shared" si="12"/>
        <v>63000</v>
      </c>
      <c r="I177" s="5">
        <f t="shared" si="13"/>
        <v>85000</v>
      </c>
      <c r="J177" s="5">
        <f t="shared" si="14"/>
        <v>22000</v>
      </c>
      <c r="K177" s="5" t="str">
        <f>VLOOKUP(C177,[1]master_data!$A$2:$E$495,5,FALSE)</f>
        <v>Aksesoris</v>
      </c>
      <c r="L177" s="5" t="s">
        <v>471</v>
      </c>
    </row>
    <row r="178" spans="1:12" ht="12" customHeight="1" x14ac:dyDescent="0.25">
      <c r="A178" s="6">
        <v>44907</v>
      </c>
      <c r="B178" s="1">
        <v>2204385</v>
      </c>
      <c r="C178" s="5" t="s">
        <v>396</v>
      </c>
      <c r="D178" s="5" t="str">
        <f>VLOOKUP(C178,[1]master_data!$A$2:$E$495,2,FALSE)</f>
        <v>ALGA EATER</v>
      </c>
      <c r="E178" s="5">
        <v>30</v>
      </c>
      <c r="F178" s="5">
        <f>VLOOKUP(C178,[1]master_data!$A$2:$E$495,3,FALSE)</f>
        <v>1750</v>
      </c>
      <c r="G178" s="5">
        <f>VLOOKUP(C178,[1]master_data!$A$2:$E$495,4,FALSE)</f>
        <v>5000</v>
      </c>
      <c r="H178" s="5">
        <f t="shared" si="12"/>
        <v>52500</v>
      </c>
      <c r="I178" s="5">
        <f t="shared" si="13"/>
        <v>150000</v>
      </c>
      <c r="J178" s="5">
        <f t="shared" si="14"/>
        <v>97500</v>
      </c>
      <c r="K178" s="5" t="str">
        <f>VLOOKUP(C178,[1]master_data!$A$2:$E$495,5,FALSE)</f>
        <v>Ikan</v>
      </c>
      <c r="L178" s="5" t="s">
        <v>471</v>
      </c>
    </row>
    <row r="179" spans="1:12" ht="12" customHeight="1" x14ac:dyDescent="0.25">
      <c r="A179" s="6">
        <v>44907</v>
      </c>
      <c r="B179" s="1">
        <v>2204384</v>
      </c>
      <c r="C179" s="5" t="s">
        <v>146</v>
      </c>
      <c r="D179" s="5" t="str">
        <f>VLOOKUP(C179,[1]master_data!$A$2:$E$495,2,FALSE)</f>
        <v>LED KANDILA 2 BRS 20 CM</v>
      </c>
      <c r="E179" s="5">
        <v>1</v>
      </c>
      <c r="F179" s="5">
        <f>VLOOKUP(C179,[1]master_data!$A$2:$E$495,3,FALSE)</f>
        <v>21000</v>
      </c>
      <c r="G179" s="5">
        <f>VLOOKUP(C179,[1]master_data!$A$2:$E$495,4,FALSE)</f>
        <v>35000</v>
      </c>
      <c r="H179" s="5">
        <f t="shared" si="12"/>
        <v>21000</v>
      </c>
      <c r="I179" s="5">
        <f t="shared" si="13"/>
        <v>35000</v>
      </c>
      <c r="J179" s="5">
        <f t="shared" si="14"/>
        <v>14000</v>
      </c>
      <c r="K179" s="5" t="str">
        <f>VLOOKUP(C179,[1]master_data!$A$2:$E$495,5,FALSE)</f>
        <v>Aksesoris</v>
      </c>
      <c r="L179" s="5" t="s">
        <v>471</v>
      </c>
    </row>
    <row r="180" spans="1:12" ht="12" customHeight="1" x14ac:dyDescent="0.25">
      <c r="A180" s="6">
        <v>44906</v>
      </c>
      <c r="B180" s="1">
        <v>2204383</v>
      </c>
      <c r="C180" s="5" t="s">
        <v>426</v>
      </c>
      <c r="D180" s="5" t="str">
        <f>VLOOKUP(C180,[1]master_data!$A$2:$E$495,2,FALSE)</f>
        <v>DISCUS</v>
      </c>
      <c r="E180" s="5">
        <v>1</v>
      </c>
      <c r="F180" s="5">
        <f>VLOOKUP(C180,[1]master_data!$A$2:$E$495,3,FALSE)</f>
        <v>50000</v>
      </c>
      <c r="G180" s="5">
        <f>VLOOKUP(C180,[1]master_data!$A$2:$E$495,4,FALSE)</f>
        <v>150000</v>
      </c>
      <c r="H180" s="5">
        <f t="shared" si="12"/>
        <v>50000</v>
      </c>
      <c r="I180" s="5">
        <f t="shared" si="13"/>
        <v>150000</v>
      </c>
      <c r="J180" s="5">
        <f t="shared" si="14"/>
        <v>100000</v>
      </c>
      <c r="K180" s="5" t="str">
        <f>VLOOKUP(C180,[1]master_data!$A$2:$E$495,5,FALSE)</f>
        <v>Ikan</v>
      </c>
      <c r="L180" s="5" t="s">
        <v>471</v>
      </c>
    </row>
    <row r="181" spans="1:12" ht="12" customHeight="1" x14ac:dyDescent="0.25">
      <c r="A181" s="6">
        <v>44906</v>
      </c>
      <c r="B181" s="1">
        <v>2204382</v>
      </c>
      <c r="C181" s="5" t="s">
        <v>463</v>
      </c>
      <c r="D181" s="5" t="str">
        <f>VLOOKUP(C181,[1]master_data!$A$2:$E$495,2,FALSE)</f>
        <v>CHANNA STEWARTI</v>
      </c>
      <c r="E181" s="5">
        <v>1</v>
      </c>
      <c r="F181" s="5">
        <f>VLOOKUP(C181,[1]master_data!$A$2:$E$495,3,FALSE)</f>
        <v>15000</v>
      </c>
      <c r="G181" s="5">
        <f>VLOOKUP(C181,[1]master_data!$A$2:$E$495,4,FALSE)</f>
        <v>40000</v>
      </c>
      <c r="H181" s="5">
        <f t="shared" si="12"/>
        <v>15000</v>
      </c>
      <c r="I181" s="5">
        <f t="shared" si="13"/>
        <v>40000</v>
      </c>
      <c r="J181" s="5">
        <f t="shared" si="14"/>
        <v>25000</v>
      </c>
      <c r="K181" s="5" t="str">
        <f>VLOOKUP(C181,[1]master_data!$A$2:$E$495,5,FALSE)</f>
        <v>Ikan</v>
      </c>
      <c r="L181" s="5" t="s">
        <v>471</v>
      </c>
    </row>
    <row r="182" spans="1:12" ht="12" customHeight="1" x14ac:dyDescent="0.25">
      <c r="A182" s="6">
        <v>44906</v>
      </c>
      <c r="B182" s="1">
        <v>2204381</v>
      </c>
      <c r="C182" s="5" t="s">
        <v>444</v>
      </c>
      <c r="D182" s="5" t="str">
        <f>VLOOKUP(C182,[1]master_data!$A$2:$E$495,2,FALSE)</f>
        <v>PARROT</v>
      </c>
      <c r="E182" s="5">
        <v>10</v>
      </c>
      <c r="F182" s="5">
        <f>VLOOKUP(C182,[1]master_data!$A$2:$E$495,3,FALSE)</f>
        <v>27000</v>
      </c>
      <c r="G182" s="5">
        <f>VLOOKUP(C182,[1]master_data!$A$2:$E$495,4,FALSE)</f>
        <v>60000</v>
      </c>
      <c r="H182" s="5">
        <f t="shared" si="12"/>
        <v>270000</v>
      </c>
      <c r="I182" s="5">
        <f t="shared" si="13"/>
        <v>600000</v>
      </c>
      <c r="J182" s="5">
        <f t="shared" si="14"/>
        <v>330000</v>
      </c>
      <c r="K182" s="5" t="str">
        <f>VLOOKUP(C182,[1]master_data!$A$2:$E$495,5,FALSE)</f>
        <v>Ikan</v>
      </c>
      <c r="L182" s="5" t="s">
        <v>471</v>
      </c>
    </row>
    <row r="183" spans="1:12" ht="12" customHeight="1" x14ac:dyDescent="0.25">
      <c r="A183" s="6">
        <v>44906</v>
      </c>
      <c r="B183" s="1">
        <v>2204380</v>
      </c>
      <c r="C183" s="5" t="s">
        <v>53</v>
      </c>
      <c r="D183" s="5" t="str">
        <f>VLOOKUP(C183,[1]master_data!$A$2:$E$495,2,FALSE)</f>
        <v>MESIN RECENT 203</v>
      </c>
      <c r="E183" s="5">
        <v>2</v>
      </c>
      <c r="F183" s="5">
        <f>VLOOKUP(C183,[1]master_data!$A$2:$E$495,3,FALSE)</f>
        <v>43500</v>
      </c>
      <c r="G183" s="5">
        <f>VLOOKUP(C183,[1]master_data!$A$2:$E$495,4,FALSE)</f>
        <v>70000</v>
      </c>
      <c r="H183" s="5">
        <f t="shared" si="12"/>
        <v>87000</v>
      </c>
      <c r="I183" s="5">
        <f t="shared" si="13"/>
        <v>140000</v>
      </c>
      <c r="J183" s="5">
        <f t="shared" si="14"/>
        <v>53000</v>
      </c>
      <c r="K183" s="5" t="str">
        <f>VLOOKUP(C183,[1]master_data!$A$2:$E$495,5,FALSE)</f>
        <v>Aksesoris</v>
      </c>
      <c r="L183" s="5" t="s">
        <v>471</v>
      </c>
    </row>
    <row r="184" spans="1:12" ht="12" customHeight="1" x14ac:dyDescent="0.25">
      <c r="A184" s="6">
        <v>44906</v>
      </c>
      <c r="B184" s="1">
        <v>2204379</v>
      </c>
      <c r="C184" s="5" t="s">
        <v>414</v>
      </c>
      <c r="D184" s="5" t="str">
        <f>VLOOKUP(C184,[1]master_data!$A$2:$E$495,2,FALSE)</f>
        <v>KOKI T</v>
      </c>
      <c r="E184" s="5">
        <v>1</v>
      </c>
      <c r="F184" s="5">
        <f>VLOOKUP(C184,[1]master_data!$A$2:$E$495,3,FALSE)</f>
        <v>8000</v>
      </c>
      <c r="G184" s="5">
        <f>VLOOKUP(C184,[1]master_data!$A$2:$E$495,4,FALSE)</f>
        <v>15000</v>
      </c>
      <c r="H184" s="5">
        <f t="shared" si="12"/>
        <v>8000</v>
      </c>
      <c r="I184" s="5">
        <f t="shared" si="13"/>
        <v>15000</v>
      </c>
      <c r="J184" s="5">
        <f t="shared" si="14"/>
        <v>7000</v>
      </c>
      <c r="K184" s="5" t="str">
        <f>VLOOKUP(C184,[1]master_data!$A$2:$E$495,5,FALSE)</f>
        <v>Ikan</v>
      </c>
      <c r="L184" s="5" t="s">
        <v>471</v>
      </c>
    </row>
    <row r="185" spans="1:12" ht="12" customHeight="1" x14ac:dyDescent="0.25">
      <c r="A185" s="6">
        <v>44906</v>
      </c>
      <c r="B185" s="1">
        <v>2204378</v>
      </c>
      <c r="C185" s="5" t="s">
        <v>335</v>
      </c>
      <c r="D185" s="5" t="str">
        <f>VLOOKUP(C185,[1]master_data!$A$2:$E$495,2,FALSE)</f>
        <v>PENJERNIH</v>
      </c>
      <c r="E185" s="5">
        <v>15</v>
      </c>
      <c r="F185" s="5">
        <f>VLOOKUP(C185,[1]master_data!$A$2:$E$495,3,FALSE)</f>
        <v>3000</v>
      </c>
      <c r="G185" s="5">
        <f>VLOOKUP(C185,[1]master_data!$A$2:$E$495,4,FALSE)</f>
        <v>8000</v>
      </c>
      <c r="H185" s="5">
        <f t="shared" si="12"/>
        <v>45000</v>
      </c>
      <c r="I185" s="5">
        <f t="shared" si="13"/>
        <v>120000</v>
      </c>
      <c r="J185" s="5">
        <f t="shared" si="14"/>
        <v>75000</v>
      </c>
      <c r="K185" s="5" t="str">
        <f>VLOOKUP(C185,[1]master_data!$A$2:$E$495,5,FALSE)</f>
        <v>Aksesoris</v>
      </c>
      <c r="L185" s="5" t="s">
        <v>471</v>
      </c>
    </row>
    <row r="186" spans="1:12" ht="12" customHeight="1" x14ac:dyDescent="0.25">
      <c r="A186" s="6">
        <v>44905</v>
      </c>
      <c r="B186" s="1">
        <v>2204377</v>
      </c>
      <c r="C186" s="5" t="s">
        <v>444</v>
      </c>
      <c r="D186" s="5" t="str">
        <f>VLOOKUP(C186,[1]master_data!$A$2:$E$495,2,FALSE)</f>
        <v>PARROT</v>
      </c>
      <c r="E186" s="5">
        <v>2</v>
      </c>
      <c r="F186" s="5">
        <f>VLOOKUP(C186,[1]master_data!$A$2:$E$495,3,FALSE)</f>
        <v>27000</v>
      </c>
      <c r="G186" s="5">
        <f>VLOOKUP(C186,[1]master_data!$A$2:$E$495,4,FALSE)</f>
        <v>60000</v>
      </c>
      <c r="H186" s="5">
        <f t="shared" si="12"/>
        <v>54000</v>
      </c>
      <c r="I186" s="5">
        <f t="shared" si="13"/>
        <v>120000</v>
      </c>
      <c r="J186" s="5">
        <f t="shared" si="14"/>
        <v>66000</v>
      </c>
      <c r="K186" s="5" t="str">
        <f>VLOOKUP(C186,[1]master_data!$A$2:$E$495,5,FALSE)</f>
        <v>Ikan</v>
      </c>
      <c r="L186" s="5" t="s">
        <v>471</v>
      </c>
    </row>
    <row r="187" spans="1:12" ht="12" customHeight="1" x14ac:dyDescent="0.25">
      <c r="A187" s="6">
        <v>44905</v>
      </c>
      <c r="B187" s="1">
        <v>2204376</v>
      </c>
      <c r="C187" s="5" t="s">
        <v>395</v>
      </c>
      <c r="D187" s="5" t="str">
        <f>VLOOKUP(C187,[1]master_data!$A$2:$E$495,2,FALSE)</f>
        <v>ARWANA SILVER B</v>
      </c>
      <c r="E187" s="5">
        <v>1</v>
      </c>
      <c r="F187" s="5">
        <f>VLOOKUP(C187,[1]master_data!$A$2:$E$495,3,FALSE)</f>
        <v>300000</v>
      </c>
      <c r="G187" s="5">
        <f>VLOOKUP(C187,[1]master_data!$A$2:$E$495,4,FALSE)</f>
        <v>500000</v>
      </c>
      <c r="H187" s="5">
        <f t="shared" si="12"/>
        <v>300000</v>
      </c>
      <c r="I187" s="5">
        <f t="shared" si="13"/>
        <v>500000</v>
      </c>
      <c r="J187" s="5">
        <f t="shared" si="14"/>
        <v>200000</v>
      </c>
      <c r="K187" s="5" t="str">
        <f>VLOOKUP(C187,[1]master_data!$A$2:$E$495,5,FALSE)</f>
        <v>Ikan</v>
      </c>
      <c r="L187" s="5" t="s">
        <v>471</v>
      </c>
    </row>
    <row r="188" spans="1:12" ht="12" customHeight="1" x14ac:dyDescent="0.25">
      <c r="A188" s="6">
        <v>44905</v>
      </c>
      <c r="B188" s="1">
        <v>2204375</v>
      </c>
      <c r="C188" s="5" t="s">
        <v>449</v>
      </c>
      <c r="D188" s="5" t="str">
        <f>VLOOKUP(C188,[1]master_data!$A$2:$E$495,2,FALSE)</f>
        <v>CHANNA RED BARITO B</v>
      </c>
      <c r="E188" s="5">
        <v>1</v>
      </c>
      <c r="F188" s="5">
        <f>VLOOKUP(C188,[1]master_data!$A$2:$E$495,3,FALSE)</f>
        <v>120000</v>
      </c>
      <c r="G188" s="5">
        <f>VLOOKUP(C188,[1]master_data!$A$2:$E$495,4,FALSE)</f>
        <v>200000</v>
      </c>
      <c r="H188" s="5">
        <f t="shared" si="12"/>
        <v>120000</v>
      </c>
      <c r="I188" s="5">
        <f t="shared" si="13"/>
        <v>200000</v>
      </c>
      <c r="J188" s="5">
        <f t="shared" si="14"/>
        <v>80000</v>
      </c>
      <c r="K188" s="5" t="str">
        <f>VLOOKUP(C188,[1]master_data!$A$2:$E$495,5,FALSE)</f>
        <v>Ikan</v>
      </c>
      <c r="L188" s="5" t="s">
        <v>471</v>
      </c>
    </row>
    <row r="189" spans="1:12" ht="12" customHeight="1" x14ac:dyDescent="0.25">
      <c r="A189" s="6">
        <v>44905</v>
      </c>
      <c r="B189" s="1">
        <v>2204374</v>
      </c>
      <c r="C189" s="5" t="s">
        <v>433</v>
      </c>
      <c r="D189" s="5" t="str">
        <f>VLOOKUP(C189,[1]master_data!$A$2:$E$495,2,FALSE)</f>
        <v>MARU B</v>
      </c>
      <c r="E189" s="5">
        <v>1</v>
      </c>
      <c r="F189" s="5">
        <f>VLOOKUP(C189,[1]master_data!$A$2:$E$495,3,FALSE)</f>
        <v>90000</v>
      </c>
      <c r="G189" s="5">
        <f>VLOOKUP(C189,[1]master_data!$A$2:$E$495,4,FALSE)</f>
        <v>150000</v>
      </c>
      <c r="H189" s="5">
        <f t="shared" si="12"/>
        <v>90000</v>
      </c>
      <c r="I189" s="5">
        <f t="shared" si="13"/>
        <v>150000</v>
      </c>
      <c r="J189" s="5">
        <f t="shared" si="14"/>
        <v>60000</v>
      </c>
      <c r="K189" s="5" t="str">
        <f>VLOOKUP(C189,[1]master_data!$A$2:$E$495,5,FALSE)</f>
        <v>Ikan</v>
      </c>
      <c r="L189" s="5" t="s">
        <v>471</v>
      </c>
    </row>
    <row r="190" spans="1:12" ht="12" customHeight="1" x14ac:dyDescent="0.25">
      <c r="A190" s="6">
        <v>44905</v>
      </c>
      <c r="B190" s="1">
        <v>2204373</v>
      </c>
      <c r="C190" s="5" t="s">
        <v>461</v>
      </c>
      <c r="D190" s="5" t="str">
        <f>VLOOKUP(C190,[1]master_data!$A$2:$E$495,2,FALSE)</f>
        <v>SEPAT</v>
      </c>
      <c r="E190" s="5">
        <v>10</v>
      </c>
      <c r="F190" s="5">
        <f>VLOOKUP(C190,[1]master_data!$A$2:$E$495,3,FALSE)</f>
        <v>600</v>
      </c>
      <c r="G190" s="5">
        <f>VLOOKUP(C190,[1]master_data!$A$2:$E$495,4,FALSE)</f>
        <v>2000</v>
      </c>
      <c r="H190" s="5">
        <f t="shared" si="12"/>
        <v>6000</v>
      </c>
      <c r="I190" s="5">
        <f t="shared" si="13"/>
        <v>20000</v>
      </c>
      <c r="J190" s="5">
        <f t="shared" si="14"/>
        <v>14000</v>
      </c>
      <c r="K190" s="5" t="str">
        <f>VLOOKUP(C190,[1]master_data!$A$2:$E$495,5,FALSE)</f>
        <v>Ikan</v>
      </c>
      <c r="L190" s="5" t="s">
        <v>471</v>
      </c>
    </row>
    <row r="191" spans="1:12" ht="12" customHeight="1" x14ac:dyDescent="0.25">
      <c r="A191" s="6">
        <v>44905</v>
      </c>
      <c r="B191" s="1">
        <v>2204372</v>
      </c>
      <c r="C191" s="5" t="s">
        <v>399</v>
      </c>
      <c r="D191" s="5" t="str">
        <f>VLOOKUP(C191,[1]master_data!$A$2:$E$495,2,FALSE)</f>
        <v>BUENOS AIRES TETRA</v>
      </c>
      <c r="E191" s="5">
        <v>25</v>
      </c>
      <c r="F191" s="5">
        <f>VLOOKUP(C191,[1]master_data!$A$2:$E$495,3,FALSE)</f>
        <v>800</v>
      </c>
      <c r="G191" s="5">
        <f>VLOOKUP(C191,[1]master_data!$A$2:$E$495,4,FALSE)</f>
        <v>2000</v>
      </c>
      <c r="H191" s="5">
        <f t="shared" si="12"/>
        <v>20000</v>
      </c>
      <c r="I191" s="5">
        <f t="shared" si="13"/>
        <v>50000</v>
      </c>
      <c r="J191" s="5">
        <f t="shared" si="14"/>
        <v>30000</v>
      </c>
      <c r="K191" s="5" t="str">
        <f>VLOOKUP(C191,[1]master_data!$A$2:$E$495,5,FALSE)</f>
        <v>Ikan</v>
      </c>
      <c r="L191" s="5" t="s">
        <v>471</v>
      </c>
    </row>
    <row r="192" spans="1:12" ht="12" customHeight="1" x14ac:dyDescent="0.25">
      <c r="A192" s="6">
        <v>44905</v>
      </c>
      <c r="B192" s="1">
        <v>2204371</v>
      </c>
      <c r="C192" s="5" t="s">
        <v>72</v>
      </c>
      <c r="D192" s="5" t="str">
        <f>VLOOKUP(C192,[1]master_data!$A$2:$E$495,2,FALSE)</f>
        <v>FITER SPONGE SOBO</v>
      </c>
      <c r="E192" s="5">
        <v>10</v>
      </c>
      <c r="F192" s="5">
        <f>VLOOKUP(C192,[1]master_data!$A$2:$E$495,3,FALSE)</f>
        <v>12000</v>
      </c>
      <c r="G192" s="5">
        <f>VLOOKUP(C192,[1]master_data!$A$2:$E$495,4,FALSE)</f>
        <v>25000</v>
      </c>
      <c r="H192" s="5">
        <f t="shared" si="12"/>
        <v>120000</v>
      </c>
      <c r="I192" s="5">
        <f t="shared" si="13"/>
        <v>250000</v>
      </c>
      <c r="J192" s="5">
        <f t="shared" si="14"/>
        <v>130000</v>
      </c>
      <c r="K192" s="5" t="str">
        <f>VLOOKUP(C192,[1]master_data!$A$2:$E$495,5,FALSE)</f>
        <v>Aksesoris</v>
      </c>
      <c r="L192" s="5" t="s">
        <v>471</v>
      </c>
    </row>
    <row r="193" spans="1:12" ht="12" customHeight="1" x14ac:dyDescent="0.25">
      <c r="A193" s="6">
        <v>44904</v>
      </c>
      <c r="B193" s="1">
        <v>2204370</v>
      </c>
      <c r="C193" s="5" t="s">
        <v>392</v>
      </c>
      <c r="D193" s="5" t="str">
        <f>VLOOKUP(C193,[1]master_data!$A$2:$E$495,2,FALSE)</f>
        <v>CHANNA ASIATICA B</v>
      </c>
      <c r="E193" s="5">
        <v>2</v>
      </c>
      <c r="F193" s="5">
        <f>VLOOKUP(C193,[1]master_data!$A$2:$E$495,3,FALSE)</f>
        <v>40000</v>
      </c>
      <c r="G193" s="5">
        <f>VLOOKUP(C193,[1]master_data!$A$2:$E$495,4,FALSE)</f>
        <v>100000</v>
      </c>
      <c r="H193" s="5">
        <f t="shared" si="12"/>
        <v>80000</v>
      </c>
      <c r="I193" s="5">
        <f t="shared" si="13"/>
        <v>200000</v>
      </c>
      <c r="J193" s="5">
        <f t="shared" si="14"/>
        <v>120000</v>
      </c>
      <c r="K193" s="5" t="str">
        <f>VLOOKUP(C193,[1]master_data!$A$2:$E$495,5,FALSE)</f>
        <v>Ikan</v>
      </c>
      <c r="L193" s="5" t="s">
        <v>471</v>
      </c>
    </row>
    <row r="194" spans="1:12" ht="12" customHeight="1" x14ac:dyDescent="0.25">
      <c r="A194" s="6">
        <v>44904</v>
      </c>
      <c r="B194" s="1">
        <v>2204369</v>
      </c>
      <c r="C194" s="5" t="s">
        <v>430</v>
      </c>
      <c r="D194" s="5" t="str">
        <f>VLOOKUP(C194,[1]master_data!$A$2:$E$495,2,FALSE)</f>
        <v>MANFISH K</v>
      </c>
      <c r="E194" s="5">
        <v>1</v>
      </c>
      <c r="F194" s="5">
        <f>VLOOKUP(C194,[1]master_data!$A$2:$E$495,3,FALSE)</f>
        <v>2000</v>
      </c>
      <c r="G194" s="5">
        <f>VLOOKUP(C194,[1]master_data!$A$2:$E$495,4,FALSE)</f>
        <v>5000</v>
      </c>
      <c r="H194" s="5">
        <f t="shared" si="12"/>
        <v>2000</v>
      </c>
      <c r="I194" s="5">
        <f t="shared" si="13"/>
        <v>5000</v>
      </c>
      <c r="J194" s="5">
        <f t="shared" si="14"/>
        <v>3000</v>
      </c>
      <c r="K194" s="5" t="str">
        <f>VLOOKUP(C194,[1]master_data!$A$2:$E$495,5,FALSE)</f>
        <v>Ikan</v>
      </c>
      <c r="L194" s="5" t="s">
        <v>471</v>
      </c>
    </row>
    <row r="195" spans="1:12" ht="12" customHeight="1" x14ac:dyDescent="0.25">
      <c r="A195" s="6">
        <v>44904</v>
      </c>
      <c r="B195" s="1">
        <v>2204368</v>
      </c>
      <c r="C195" s="5" t="s">
        <v>409</v>
      </c>
      <c r="D195" s="5" t="str">
        <f>VLOOKUP(C195,[1]master_data!$A$2:$E$495,2,FALSE)</f>
        <v>GOLD FISH</v>
      </c>
      <c r="E195" s="5">
        <v>30</v>
      </c>
      <c r="F195" s="5">
        <f>VLOOKUP(C195,[1]master_data!$A$2:$E$495,3,FALSE)</f>
        <v>800</v>
      </c>
      <c r="G195" s="5">
        <f>VLOOKUP(C195,[1]master_data!$A$2:$E$495,4,FALSE)</f>
        <v>2000</v>
      </c>
      <c r="H195" s="5">
        <f t="shared" si="12"/>
        <v>24000</v>
      </c>
      <c r="I195" s="5">
        <f t="shared" si="13"/>
        <v>60000</v>
      </c>
      <c r="J195" s="5">
        <f t="shared" si="14"/>
        <v>36000</v>
      </c>
      <c r="K195" s="5" t="str">
        <f>VLOOKUP(C195,[1]master_data!$A$2:$E$495,5,FALSE)</f>
        <v>Ikan</v>
      </c>
      <c r="L195" s="5" t="s">
        <v>471</v>
      </c>
    </row>
    <row r="196" spans="1:12" ht="12" customHeight="1" x14ac:dyDescent="0.25">
      <c r="A196" s="6">
        <v>44904</v>
      </c>
      <c r="B196" s="1">
        <v>2204367</v>
      </c>
      <c r="C196" s="5" t="s">
        <v>139</v>
      </c>
      <c r="D196" s="5" t="str">
        <f>VLOOKUP(C196,[1]master_data!$A$2:$E$495,2,FALSE)</f>
        <v>LED NIKITA 3 MODE 80 CM</v>
      </c>
      <c r="E196" s="5">
        <v>8</v>
      </c>
      <c r="F196" s="5">
        <f>VLOOKUP(C196,[1]master_data!$A$2:$E$495,3,FALSE)</f>
        <v>53000</v>
      </c>
      <c r="G196" s="5">
        <f>VLOOKUP(C196,[1]master_data!$A$2:$E$495,4,FALSE)</f>
        <v>80000</v>
      </c>
      <c r="H196" s="5">
        <f t="shared" si="12"/>
        <v>424000</v>
      </c>
      <c r="I196" s="5">
        <f t="shared" si="13"/>
        <v>640000</v>
      </c>
      <c r="J196" s="5">
        <f t="shared" si="14"/>
        <v>216000</v>
      </c>
      <c r="K196" s="5" t="str">
        <f>VLOOKUP(C196,[1]master_data!$A$2:$E$495,5,FALSE)</f>
        <v>Aksesoris</v>
      </c>
      <c r="L196" s="5" t="s">
        <v>471</v>
      </c>
    </row>
    <row r="197" spans="1:12" ht="12" customHeight="1" x14ac:dyDescent="0.25">
      <c r="A197" s="6">
        <v>44904</v>
      </c>
      <c r="B197" s="1">
        <v>2204366</v>
      </c>
      <c r="C197" s="5" t="s">
        <v>457</v>
      </c>
      <c r="D197" s="5" t="str">
        <f>VLOOKUP(C197,[1]master_data!$A$2:$E$495,2,FALSE)</f>
        <v>ZEBRA PINK</v>
      </c>
      <c r="E197" s="5">
        <v>6</v>
      </c>
      <c r="F197" s="5">
        <f>VLOOKUP(C197,[1]master_data!$A$2:$E$495,3,FALSE)</f>
        <v>800</v>
      </c>
      <c r="G197" s="5">
        <f>VLOOKUP(C197,[1]master_data!$A$2:$E$495,4,FALSE)</f>
        <v>2000</v>
      </c>
      <c r="H197" s="5">
        <f t="shared" ref="H197:H260" si="15">E197*F197</f>
        <v>4800</v>
      </c>
      <c r="I197" s="5">
        <f t="shared" ref="I197:I260" si="16">E197*G197</f>
        <v>12000</v>
      </c>
      <c r="J197" s="5">
        <f t="shared" ref="J197:J260" si="17">I197-H197</f>
        <v>7200</v>
      </c>
      <c r="K197" s="5" t="str">
        <f>VLOOKUP(C197,[1]master_data!$A$2:$E$495,5,FALSE)</f>
        <v>Ikan</v>
      </c>
      <c r="L197" s="5" t="s">
        <v>471</v>
      </c>
    </row>
    <row r="198" spans="1:12" ht="12" customHeight="1" x14ac:dyDescent="0.25">
      <c r="A198" s="6">
        <v>44904</v>
      </c>
      <c r="B198" s="1">
        <v>2204365</v>
      </c>
      <c r="C198" s="5" t="s">
        <v>144</v>
      </c>
      <c r="D198" s="5" t="str">
        <f>VLOOKUP(C198,[1]master_data!$A$2:$E$495,2,FALSE)</f>
        <v>LED KIYOSAKI 3 MODE 20 CM</v>
      </c>
      <c r="E198" s="5">
        <v>10</v>
      </c>
      <c r="F198" s="5">
        <f>VLOOKUP(C198,[1]master_data!$A$2:$E$495,3,FALSE)</f>
        <v>35000</v>
      </c>
      <c r="G198" s="5">
        <f>VLOOKUP(C198,[1]master_data!$A$2:$E$495,4,FALSE)</f>
        <v>50000</v>
      </c>
      <c r="H198" s="5">
        <f t="shared" si="15"/>
        <v>350000</v>
      </c>
      <c r="I198" s="5">
        <f t="shared" si="16"/>
        <v>500000</v>
      </c>
      <c r="J198" s="5">
        <f t="shared" si="17"/>
        <v>150000</v>
      </c>
      <c r="K198" s="5" t="str">
        <f>VLOOKUP(C198,[1]master_data!$A$2:$E$495,5,FALSE)</f>
        <v>Aksesoris</v>
      </c>
      <c r="L198" s="5" t="s">
        <v>471</v>
      </c>
    </row>
    <row r="199" spans="1:12" ht="12" customHeight="1" x14ac:dyDescent="0.25">
      <c r="A199" s="6">
        <v>44903</v>
      </c>
      <c r="B199" s="1">
        <v>2204364</v>
      </c>
      <c r="C199" s="5" t="s">
        <v>395</v>
      </c>
      <c r="D199" s="5" t="str">
        <f>VLOOKUP(C199,[1]master_data!$A$2:$E$495,2,FALSE)</f>
        <v>ARWANA SILVER B</v>
      </c>
      <c r="E199" s="5">
        <v>1</v>
      </c>
      <c r="F199" s="5">
        <f>VLOOKUP(C199,[1]master_data!$A$2:$E$495,3,FALSE)</f>
        <v>300000</v>
      </c>
      <c r="G199" s="5">
        <f>VLOOKUP(C199,[1]master_data!$A$2:$E$495,4,FALSE)</f>
        <v>500000</v>
      </c>
      <c r="H199" s="5">
        <f t="shared" si="15"/>
        <v>300000</v>
      </c>
      <c r="I199" s="5">
        <f t="shared" si="16"/>
        <v>500000</v>
      </c>
      <c r="J199" s="5">
        <f t="shared" si="17"/>
        <v>200000</v>
      </c>
      <c r="K199" s="5" t="str">
        <f>VLOOKUP(C199,[1]master_data!$A$2:$E$495,5,FALSE)</f>
        <v>Ikan</v>
      </c>
      <c r="L199" s="5" t="s">
        <v>471</v>
      </c>
    </row>
    <row r="200" spans="1:12" ht="12" customHeight="1" x14ac:dyDescent="0.25">
      <c r="A200" s="6">
        <v>44903</v>
      </c>
      <c r="B200" s="1">
        <v>2204363</v>
      </c>
      <c r="C200" s="5" t="s">
        <v>397</v>
      </c>
      <c r="D200" s="5" t="str">
        <f>VLOOKUP(C200,[1]master_data!$A$2:$E$495,2,FALSE)</f>
        <v>ALIGATOR</v>
      </c>
      <c r="E200" s="5">
        <v>1</v>
      </c>
      <c r="F200" s="5">
        <f>VLOOKUP(C200,[1]master_data!$A$2:$E$495,3,FALSE)</f>
        <v>17000</v>
      </c>
      <c r="G200" s="5">
        <f>VLOOKUP(C200,[1]master_data!$A$2:$E$495,4,FALSE)</f>
        <v>35000</v>
      </c>
      <c r="H200" s="5">
        <f t="shared" si="15"/>
        <v>17000</v>
      </c>
      <c r="I200" s="5">
        <f t="shared" si="16"/>
        <v>35000</v>
      </c>
      <c r="J200" s="5">
        <f t="shared" si="17"/>
        <v>18000</v>
      </c>
      <c r="K200" s="5" t="str">
        <f>VLOOKUP(C200,[1]master_data!$A$2:$E$495,5,FALSE)</f>
        <v>Ikan</v>
      </c>
      <c r="L200" s="5" t="s">
        <v>471</v>
      </c>
    </row>
    <row r="201" spans="1:12" ht="12" customHeight="1" x14ac:dyDescent="0.25">
      <c r="A201" s="6">
        <v>44903</v>
      </c>
      <c r="B201" s="1">
        <v>2204362</v>
      </c>
      <c r="C201" s="5" t="s">
        <v>402</v>
      </c>
      <c r="D201" s="5" t="str">
        <f>VLOOKUP(C201,[1]master_data!$A$2:$E$495,2,FALSE)</f>
        <v>BLACK GHOST</v>
      </c>
      <c r="E201" s="5">
        <v>10</v>
      </c>
      <c r="F201" s="5">
        <f>VLOOKUP(C201,[1]master_data!$A$2:$E$495,3,FALSE)</f>
        <v>4000</v>
      </c>
      <c r="G201" s="5">
        <f>VLOOKUP(C201,[1]master_data!$A$2:$E$495,4,FALSE)</f>
        <v>10000</v>
      </c>
      <c r="H201" s="5">
        <f t="shared" si="15"/>
        <v>40000</v>
      </c>
      <c r="I201" s="5">
        <f t="shared" si="16"/>
        <v>100000</v>
      </c>
      <c r="J201" s="5">
        <f t="shared" si="17"/>
        <v>60000</v>
      </c>
      <c r="K201" s="5" t="str">
        <f>VLOOKUP(C201,[1]master_data!$A$2:$E$495,5,FALSE)</f>
        <v>Ikan</v>
      </c>
      <c r="L201" s="5" t="s">
        <v>471</v>
      </c>
    </row>
    <row r="202" spans="1:12" ht="12" customHeight="1" x14ac:dyDescent="0.25">
      <c r="A202" s="6">
        <v>44903</v>
      </c>
      <c r="B202" s="1">
        <v>2204361</v>
      </c>
      <c r="C202" s="5" t="s">
        <v>426</v>
      </c>
      <c r="D202" s="5" t="str">
        <f>VLOOKUP(C202,[1]master_data!$A$2:$E$495,2,FALSE)</f>
        <v>DISCUS</v>
      </c>
      <c r="E202" s="5">
        <v>1</v>
      </c>
      <c r="F202" s="5">
        <f>VLOOKUP(C202,[1]master_data!$A$2:$E$495,3,FALSE)</f>
        <v>50000</v>
      </c>
      <c r="G202" s="5">
        <f>VLOOKUP(C202,[1]master_data!$A$2:$E$495,4,FALSE)</f>
        <v>150000</v>
      </c>
      <c r="H202" s="5">
        <f t="shared" si="15"/>
        <v>50000</v>
      </c>
      <c r="I202" s="5">
        <f t="shared" si="16"/>
        <v>150000</v>
      </c>
      <c r="J202" s="5">
        <f t="shared" si="17"/>
        <v>100000</v>
      </c>
      <c r="K202" s="5" t="str">
        <f>VLOOKUP(C202,[1]master_data!$A$2:$E$495,5,FALSE)</f>
        <v>Ikan</v>
      </c>
      <c r="L202" s="5" t="s">
        <v>471</v>
      </c>
    </row>
    <row r="203" spans="1:12" ht="12" customHeight="1" x14ac:dyDescent="0.25">
      <c r="A203" s="6">
        <v>44903</v>
      </c>
      <c r="B203" s="1">
        <v>2204360</v>
      </c>
      <c r="C203" s="5" t="s">
        <v>64</v>
      </c>
      <c r="D203" s="5" t="str">
        <f>VLOOKUP(C203,[1]master_data!$A$2:$E$495,2,FALSE)</f>
        <v>BIO FOAM A833-933</v>
      </c>
      <c r="E203" s="5">
        <v>1</v>
      </c>
      <c r="F203" s="5">
        <f>VLOOKUP(C203,[1]master_data!$A$2:$E$495,3,FALSE)</f>
        <v>12000</v>
      </c>
      <c r="G203" s="5">
        <f>VLOOKUP(C203,[1]master_data!$A$2:$E$495,4,FALSE)</f>
        <v>20000</v>
      </c>
      <c r="H203" s="5">
        <f t="shared" si="15"/>
        <v>12000</v>
      </c>
      <c r="I203" s="5">
        <f t="shared" si="16"/>
        <v>20000</v>
      </c>
      <c r="J203" s="5">
        <f t="shared" si="17"/>
        <v>8000</v>
      </c>
      <c r="K203" s="5" t="str">
        <f>VLOOKUP(C203,[1]master_data!$A$2:$E$495,5,FALSE)</f>
        <v>Aksesoris</v>
      </c>
      <c r="L203" s="5" t="s">
        <v>471</v>
      </c>
    </row>
    <row r="204" spans="1:12" ht="12" customHeight="1" x14ac:dyDescent="0.25">
      <c r="A204" s="6">
        <v>44903</v>
      </c>
      <c r="B204" s="1">
        <v>2204359</v>
      </c>
      <c r="C204" s="5" t="s">
        <v>382</v>
      </c>
      <c r="D204" s="5" t="str">
        <f>VLOOKUP(C204,[1]master_data!$A$2:$E$495,2,FALSE)</f>
        <v>BATU WARNA FOSFOR B</v>
      </c>
      <c r="E204" s="5">
        <v>1</v>
      </c>
      <c r="F204" s="5">
        <f>VLOOKUP(C204,[1]master_data!$A$2:$E$495,3,FALSE)</f>
        <v>8000</v>
      </c>
      <c r="G204" s="5">
        <f>VLOOKUP(C204,[1]master_data!$A$2:$E$495,4,FALSE)</f>
        <v>15000</v>
      </c>
      <c r="H204" s="5">
        <f t="shared" si="15"/>
        <v>8000</v>
      </c>
      <c r="I204" s="5">
        <f t="shared" si="16"/>
        <v>15000</v>
      </c>
      <c r="J204" s="5">
        <f t="shared" si="17"/>
        <v>7000</v>
      </c>
      <c r="K204" s="5" t="str">
        <f>VLOOKUP(C204,[1]master_data!$A$2:$E$495,5,FALSE)</f>
        <v>Aksesoris</v>
      </c>
      <c r="L204" s="5" t="s">
        <v>471</v>
      </c>
    </row>
    <row r="205" spans="1:12" ht="12" customHeight="1" x14ac:dyDescent="0.25">
      <c r="A205" s="6">
        <v>44903</v>
      </c>
      <c r="B205" s="1">
        <v>2204358</v>
      </c>
      <c r="C205" s="5" t="s">
        <v>405</v>
      </c>
      <c r="D205" s="5" t="str">
        <f>VLOOKUP(C205,[1]master_data!$A$2:$E$495,2,FALSE)</f>
        <v>KOMET BOKIM</v>
      </c>
      <c r="E205" s="5">
        <v>10</v>
      </c>
      <c r="F205" s="5">
        <f>VLOOKUP(C205,[1]master_data!$A$2:$E$495,3,FALSE)</f>
        <v>1500</v>
      </c>
      <c r="G205" s="5">
        <f>VLOOKUP(C205,[1]master_data!$A$2:$E$495,4,FALSE)</f>
        <v>5000</v>
      </c>
      <c r="H205" s="5">
        <f t="shared" si="15"/>
        <v>15000</v>
      </c>
      <c r="I205" s="5">
        <f t="shared" si="16"/>
        <v>50000</v>
      </c>
      <c r="J205" s="5">
        <f t="shared" si="17"/>
        <v>35000</v>
      </c>
      <c r="K205" s="5" t="str">
        <f>VLOOKUP(C205,[1]master_data!$A$2:$E$495,5,FALSE)</f>
        <v>Ikan</v>
      </c>
      <c r="L205" s="5" t="s">
        <v>471</v>
      </c>
    </row>
    <row r="206" spans="1:12" ht="12" customHeight="1" x14ac:dyDescent="0.25">
      <c r="A206" s="6">
        <v>44903</v>
      </c>
      <c r="B206" s="1">
        <v>2204357</v>
      </c>
      <c r="C206" s="5" t="s">
        <v>390</v>
      </c>
      <c r="D206" s="5" t="str">
        <f>VLOOKUP(C206,[1]master_data!$A$2:$E$495,2,FALSE)</f>
        <v>CHANNA ASIATICA K</v>
      </c>
      <c r="E206" s="5">
        <v>2</v>
      </c>
      <c r="F206" s="5">
        <f>VLOOKUP(C206,[1]master_data!$A$2:$E$495,3,FALSE)</f>
        <v>10000</v>
      </c>
      <c r="G206" s="5">
        <f>VLOOKUP(C206,[1]master_data!$A$2:$E$495,4,FALSE)</f>
        <v>40000</v>
      </c>
      <c r="H206" s="5">
        <f t="shared" si="15"/>
        <v>20000</v>
      </c>
      <c r="I206" s="5">
        <f t="shared" si="16"/>
        <v>80000</v>
      </c>
      <c r="J206" s="5">
        <f t="shared" si="17"/>
        <v>60000</v>
      </c>
      <c r="K206" s="5" t="str">
        <f>VLOOKUP(C206,[1]master_data!$A$2:$E$495,5,FALSE)</f>
        <v>Ikan</v>
      </c>
      <c r="L206" s="5" t="s">
        <v>471</v>
      </c>
    </row>
    <row r="207" spans="1:12" ht="12" customHeight="1" x14ac:dyDescent="0.25">
      <c r="A207" s="6">
        <v>44903</v>
      </c>
      <c r="B207" s="1">
        <v>2204356</v>
      </c>
      <c r="C207" s="5" t="s">
        <v>242</v>
      </c>
      <c r="D207" s="5" t="str">
        <f>VLOOKUP(C207,[1]master_data!$A$2:$E$495,2,FALSE)</f>
        <v>PAKAN GOLD FISH HITAM</v>
      </c>
      <c r="E207" s="5">
        <v>10</v>
      </c>
      <c r="F207" s="5">
        <f>VLOOKUP(C207,[1]master_data!$A$2:$E$495,3,FALSE)</f>
        <v>7000</v>
      </c>
      <c r="G207" s="5">
        <f>VLOOKUP(C207,[1]master_data!$A$2:$E$495,4,FALSE)</f>
        <v>12000</v>
      </c>
      <c r="H207" s="5">
        <f t="shared" si="15"/>
        <v>70000</v>
      </c>
      <c r="I207" s="5">
        <f t="shared" si="16"/>
        <v>120000</v>
      </c>
      <c r="J207" s="5">
        <f t="shared" si="17"/>
        <v>50000</v>
      </c>
      <c r="K207" s="5" t="str">
        <f>VLOOKUP(C207,[1]master_data!$A$2:$E$495,5,FALSE)</f>
        <v>Aksesoris</v>
      </c>
      <c r="L207" s="5" t="s">
        <v>471</v>
      </c>
    </row>
    <row r="208" spans="1:12" ht="12" customHeight="1" x14ac:dyDescent="0.25">
      <c r="A208" s="6">
        <v>44902</v>
      </c>
      <c r="B208" s="1">
        <v>2204355</v>
      </c>
      <c r="C208" s="5" t="s">
        <v>435</v>
      </c>
      <c r="D208" s="5" t="str">
        <f>VLOOKUP(C208,[1]master_data!$A$2:$E$495,2,FALSE)</f>
        <v>MOLI BALON</v>
      </c>
      <c r="E208" s="5">
        <v>4</v>
      </c>
      <c r="F208" s="5">
        <f>VLOOKUP(C208,[1]master_data!$A$2:$E$495,3,FALSE)</f>
        <v>800</v>
      </c>
      <c r="G208" s="5">
        <f>VLOOKUP(C208,[1]master_data!$A$2:$E$495,4,FALSE)</f>
        <v>2000</v>
      </c>
      <c r="H208" s="5">
        <f t="shared" si="15"/>
        <v>3200</v>
      </c>
      <c r="I208" s="5">
        <f t="shared" si="16"/>
        <v>8000</v>
      </c>
      <c r="J208" s="5">
        <f t="shared" si="17"/>
        <v>4800</v>
      </c>
      <c r="K208" s="5" t="str">
        <f>VLOOKUP(C208,[1]master_data!$A$2:$E$495,5,FALSE)</f>
        <v>Ikan</v>
      </c>
      <c r="L208" s="5" t="s">
        <v>471</v>
      </c>
    </row>
    <row r="209" spans="1:12" ht="12" customHeight="1" x14ac:dyDescent="0.25">
      <c r="A209" s="6">
        <v>44902</v>
      </c>
      <c r="B209" s="1">
        <v>2204354</v>
      </c>
      <c r="C209" s="5" t="s">
        <v>301</v>
      </c>
      <c r="D209" s="5" t="str">
        <f>VLOOKUP(C209,[1]master_data!$A$2:$E$495,2,FALSE)</f>
        <v>MAINAN NAGA DRAGON</v>
      </c>
      <c r="E209" s="5">
        <v>1</v>
      </c>
      <c r="F209" s="5">
        <f>VLOOKUP(C209,[1]master_data!$A$2:$E$495,3,FALSE)</f>
        <v>26000</v>
      </c>
      <c r="G209" s="5">
        <f>VLOOKUP(C209,[1]master_data!$A$2:$E$495,4,FALSE)</f>
        <v>40000</v>
      </c>
      <c r="H209" s="5">
        <f t="shared" si="15"/>
        <v>26000</v>
      </c>
      <c r="I209" s="5">
        <f t="shared" si="16"/>
        <v>40000</v>
      </c>
      <c r="J209" s="5">
        <f t="shared" si="17"/>
        <v>14000</v>
      </c>
      <c r="K209" s="5" t="str">
        <f>VLOOKUP(C209,[1]master_data!$A$2:$E$495,5,FALSE)</f>
        <v>Aksesoris</v>
      </c>
      <c r="L209" s="5" t="s">
        <v>471</v>
      </c>
    </row>
    <row r="210" spans="1:12" ht="12" customHeight="1" x14ac:dyDescent="0.25">
      <c r="A210" s="6">
        <v>44902</v>
      </c>
      <c r="B210" s="1">
        <v>2204353</v>
      </c>
      <c r="C210" s="5" t="s">
        <v>409</v>
      </c>
      <c r="D210" s="5" t="str">
        <f>VLOOKUP(C210,[1]master_data!$A$2:$E$495,2,FALSE)</f>
        <v>GOLD FISH</v>
      </c>
      <c r="E210" s="5">
        <v>25</v>
      </c>
      <c r="F210" s="5">
        <f>VLOOKUP(C210,[1]master_data!$A$2:$E$495,3,FALSE)</f>
        <v>800</v>
      </c>
      <c r="G210" s="5">
        <f>VLOOKUP(C210,[1]master_data!$A$2:$E$495,4,FALSE)</f>
        <v>2000</v>
      </c>
      <c r="H210" s="5">
        <f t="shared" si="15"/>
        <v>20000</v>
      </c>
      <c r="I210" s="5">
        <f t="shared" si="16"/>
        <v>50000</v>
      </c>
      <c r="J210" s="5">
        <f t="shared" si="17"/>
        <v>30000</v>
      </c>
      <c r="K210" s="5" t="str">
        <f>VLOOKUP(C210,[1]master_data!$A$2:$E$495,5,FALSE)</f>
        <v>Ikan</v>
      </c>
      <c r="L210" s="5" t="s">
        <v>471</v>
      </c>
    </row>
    <row r="211" spans="1:12" ht="12" customHeight="1" x14ac:dyDescent="0.25">
      <c r="A211" s="6">
        <v>44902</v>
      </c>
      <c r="B211" s="1">
        <v>2204352</v>
      </c>
      <c r="C211" s="5" t="s">
        <v>397</v>
      </c>
      <c r="D211" s="5" t="str">
        <f>VLOOKUP(C211,[1]master_data!$A$2:$E$495,2,FALSE)</f>
        <v>ALIGATOR</v>
      </c>
      <c r="E211" s="5">
        <v>10</v>
      </c>
      <c r="F211" s="5">
        <f>VLOOKUP(C211,[1]master_data!$A$2:$E$495,3,FALSE)</f>
        <v>17000</v>
      </c>
      <c r="G211" s="5">
        <f>VLOOKUP(C211,[1]master_data!$A$2:$E$495,4,FALSE)</f>
        <v>35000</v>
      </c>
      <c r="H211" s="5">
        <f t="shared" si="15"/>
        <v>170000</v>
      </c>
      <c r="I211" s="5">
        <f t="shared" si="16"/>
        <v>350000</v>
      </c>
      <c r="J211" s="5">
        <f t="shared" si="17"/>
        <v>180000</v>
      </c>
      <c r="K211" s="5" t="str">
        <f>VLOOKUP(C211,[1]master_data!$A$2:$E$495,5,FALSE)</f>
        <v>Ikan</v>
      </c>
      <c r="L211" s="5" t="s">
        <v>471</v>
      </c>
    </row>
    <row r="212" spans="1:12" ht="12" customHeight="1" x14ac:dyDescent="0.25">
      <c r="A212" s="6">
        <v>44902</v>
      </c>
      <c r="B212" s="1">
        <v>2204351</v>
      </c>
      <c r="C212" s="5" t="s">
        <v>393</v>
      </c>
      <c r="D212" s="5" t="str">
        <f>VLOOKUP(C212,[1]master_data!$A$2:$E$495,2,FALSE)</f>
        <v>CHANNA ANDRAO B</v>
      </c>
      <c r="E212" s="5">
        <v>1</v>
      </c>
      <c r="F212" s="5">
        <f>VLOOKUP(C212,[1]master_data!$A$2:$E$495,3,FALSE)</f>
        <v>100000</v>
      </c>
      <c r="G212" s="5">
        <f>VLOOKUP(C212,[1]master_data!$A$2:$E$495,4,FALSE)</f>
        <v>200000</v>
      </c>
      <c r="H212" s="5">
        <f t="shared" si="15"/>
        <v>100000</v>
      </c>
      <c r="I212" s="5">
        <f t="shared" si="16"/>
        <v>200000</v>
      </c>
      <c r="J212" s="5">
        <f t="shared" si="17"/>
        <v>100000</v>
      </c>
      <c r="K212" s="5" t="str">
        <f>VLOOKUP(C212,[1]master_data!$A$2:$E$495,5,FALSE)</f>
        <v>Ikan</v>
      </c>
      <c r="L212" s="5" t="s">
        <v>471</v>
      </c>
    </row>
    <row r="213" spans="1:12" ht="12" customHeight="1" x14ac:dyDescent="0.25">
      <c r="A213" s="6">
        <v>44902</v>
      </c>
      <c r="B213" s="1">
        <v>2204350</v>
      </c>
      <c r="C213" s="5" t="s">
        <v>415</v>
      </c>
      <c r="D213" s="5" t="str">
        <f>VLOOKUP(C213,[1]master_data!$A$2:$E$495,2,FALSE)</f>
        <v>KOKI B</v>
      </c>
      <c r="E213" s="5">
        <v>1</v>
      </c>
      <c r="F213" s="5">
        <f>VLOOKUP(C213,[1]master_data!$A$2:$E$495,3,FALSE)</f>
        <v>20000</v>
      </c>
      <c r="G213" s="5">
        <f>VLOOKUP(C213,[1]master_data!$A$2:$E$495,4,FALSE)</f>
        <v>50000</v>
      </c>
      <c r="H213" s="5">
        <f t="shared" si="15"/>
        <v>20000</v>
      </c>
      <c r="I213" s="5">
        <f t="shared" si="16"/>
        <v>50000</v>
      </c>
      <c r="J213" s="5">
        <f t="shared" si="17"/>
        <v>30000</v>
      </c>
      <c r="K213" s="5" t="str">
        <f>VLOOKUP(C213,[1]master_data!$A$2:$E$495,5,FALSE)</f>
        <v>Ikan</v>
      </c>
      <c r="L213" s="5" t="s">
        <v>471</v>
      </c>
    </row>
    <row r="214" spans="1:12" ht="12" customHeight="1" x14ac:dyDescent="0.25">
      <c r="A214" s="6">
        <v>44902</v>
      </c>
      <c r="B214" s="1">
        <v>2204349</v>
      </c>
      <c r="C214" s="5" t="s">
        <v>135</v>
      </c>
      <c r="D214" s="5" t="str">
        <f>VLOOKUP(C214,[1]master_data!$A$2:$E$495,2,FALSE)</f>
        <v>LED NIKITA NS 400</v>
      </c>
      <c r="E214" s="5">
        <v>1</v>
      </c>
      <c r="F214" s="5">
        <f>VLOOKUP(C214,[1]master_data!$A$2:$E$495,3,FALSE)</f>
        <v>41000</v>
      </c>
      <c r="G214" s="5">
        <f>VLOOKUP(C214,[1]master_data!$A$2:$E$495,4,FALSE)</f>
        <v>65000</v>
      </c>
      <c r="H214" s="5">
        <f t="shared" si="15"/>
        <v>41000</v>
      </c>
      <c r="I214" s="5">
        <f t="shared" si="16"/>
        <v>65000</v>
      </c>
      <c r="J214" s="5">
        <f t="shared" si="17"/>
        <v>24000</v>
      </c>
      <c r="K214" s="5" t="str">
        <f>VLOOKUP(C214,[1]master_data!$A$2:$E$495,5,FALSE)</f>
        <v>Aksesoris</v>
      </c>
      <c r="L214" s="5" t="s">
        <v>471</v>
      </c>
    </row>
    <row r="215" spans="1:12" ht="12" customHeight="1" x14ac:dyDescent="0.25">
      <c r="A215" s="6">
        <v>44902</v>
      </c>
      <c r="B215" s="1">
        <v>2204348</v>
      </c>
      <c r="C215" s="5" t="s">
        <v>410</v>
      </c>
      <c r="D215" s="5" t="str">
        <f>VLOOKUP(C215,[1]master_data!$A$2:$E$495,2,FALSE)</f>
        <v>GUPY</v>
      </c>
      <c r="E215" s="5">
        <v>10</v>
      </c>
      <c r="F215" s="5">
        <f>VLOOKUP(C215,[1]master_data!$A$2:$E$495,3,FALSE)</f>
        <v>1200</v>
      </c>
      <c r="G215" s="5">
        <f>VLOOKUP(C215,[1]master_data!$A$2:$E$495,4,FALSE)</f>
        <v>2500</v>
      </c>
      <c r="H215" s="5">
        <f t="shared" si="15"/>
        <v>12000</v>
      </c>
      <c r="I215" s="5">
        <f t="shared" si="16"/>
        <v>25000</v>
      </c>
      <c r="J215" s="5">
        <f t="shared" si="17"/>
        <v>13000</v>
      </c>
      <c r="K215" s="5" t="str">
        <f>VLOOKUP(C215,[1]master_data!$A$2:$E$495,5,FALSE)</f>
        <v>Ikan</v>
      </c>
      <c r="L215" s="5" t="s">
        <v>471</v>
      </c>
    </row>
    <row r="216" spans="1:12" ht="12" customHeight="1" x14ac:dyDescent="0.25">
      <c r="A216" s="6">
        <v>44902</v>
      </c>
      <c r="B216" s="1">
        <v>2204347</v>
      </c>
      <c r="C216" s="5" t="s">
        <v>401</v>
      </c>
      <c r="D216" s="5" t="str">
        <f>VLOOKUP(C216,[1]master_data!$A$2:$E$495,2,FALSE)</f>
        <v>BALA BALA B</v>
      </c>
      <c r="E216" s="5">
        <v>5</v>
      </c>
      <c r="F216" s="5">
        <f>VLOOKUP(C216,[1]master_data!$A$2:$E$495,3,FALSE)</f>
        <v>7000</v>
      </c>
      <c r="G216" s="5">
        <f>VLOOKUP(C216,[1]master_data!$A$2:$E$495,4,FALSE)</f>
        <v>15000</v>
      </c>
      <c r="H216" s="5">
        <f t="shared" si="15"/>
        <v>35000</v>
      </c>
      <c r="I216" s="5">
        <f t="shared" si="16"/>
        <v>75000</v>
      </c>
      <c r="J216" s="5">
        <f t="shared" si="17"/>
        <v>40000</v>
      </c>
      <c r="K216" s="5" t="str">
        <f>VLOOKUP(C216,[1]master_data!$A$2:$E$495,5,FALSE)</f>
        <v>Ikan</v>
      </c>
      <c r="L216" s="5" t="s">
        <v>471</v>
      </c>
    </row>
    <row r="217" spans="1:12" ht="12" customHeight="1" x14ac:dyDescent="0.25">
      <c r="A217" s="6">
        <v>44902</v>
      </c>
      <c r="B217" s="1">
        <v>2204346</v>
      </c>
      <c r="C217" s="5" t="s">
        <v>275</v>
      </c>
      <c r="D217" s="5" t="str">
        <f>VLOOKUP(C217,[1]master_data!$A$2:$E$495,2,FALSE)</f>
        <v>JARING 20</v>
      </c>
      <c r="E217" s="5">
        <v>25</v>
      </c>
      <c r="F217" s="5">
        <f>VLOOKUP(C217,[1]master_data!$A$2:$E$495,3,FALSE)</f>
        <v>5600</v>
      </c>
      <c r="G217" s="5">
        <f>VLOOKUP(C217,[1]master_data!$A$2:$E$495,4,FALSE)</f>
        <v>10000</v>
      </c>
      <c r="H217" s="5">
        <f t="shared" si="15"/>
        <v>140000</v>
      </c>
      <c r="I217" s="5">
        <f t="shared" si="16"/>
        <v>250000</v>
      </c>
      <c r="J217" s="5">
        <f t="shared" si="17"/>
        <v>110000</v>
      </c>
      <c r="K217" s="5" t="str">
        <f>VLOOKUP(C217,[1]master_data!$A$2:$E$495,5,FALSE)</f>
        <v>Aksesoris</v>
      </c>
      <c r="L217" s="5" t="s">
        <v>471</v>
      </c>
    </row>
    <row r="218" spans="1:12" ht="12" customHeight="1" x14ac:dyDescent="0.25">
      <c r="A218" s="6">
        <v>44902</v>
      </c>
      <c r="B218" s="1">
        <v>2204345</v>
      </c>
      <c r="C218" s="5" t="s">
        <v>414</v>
      </c>
      <c r="D218" s="5" t="str">
        <f>VLOOKUP(C218,[1]master_data!$A$2:$E$495,2,FALSE)</f>
        <v>KOKI T</v>
      </c>
      <c r="E218" s="5">
        <v>1</v>
      </c>
      <c r="F218" s="5">
        <f>VLOOKUP(C218,[1]master_data!$A$2:$E$495,3,FALSE)</f>
        <v>8000</v>
      </c>
      <c r="G218" s="5">
        <f>VLOOKUP(C218,[1]master_data!$A$2:$E$495,4,FALSE)</f>
        <v>15000</v>
      </c>
      <c r="H218" s="5">
        <f t="shared" si="15"/>
        <v>8000</v>
      </c>
      <c r="I218" s="5">
        <f t="shared" si="16"/>
        <v>15000</v>
      </c>
      <c r="J218" s="5">
        <f t="shared" si="17"/>
        <v>7000</v>
      </c>
      <c r="K218" s="5" t="str">
        <f>VLOOKUP(C218,[1]master_data!$A$2:$E$495,5,FALSE)</f>
        <v>Ikan</v>
      </c>
      <c r="L218" s="5" t="s">
        <v>471</v>
      </c>
    </row>
    <row r="219" spans="1:12" ht="12" customHeight="1" x14ac:dyDescent="0.25">
      <c r="A219" s="6">
        <v>44901</v>
      </c>
      <c r="B219" s="1">
        <v>2204344</v>
      </c>
      <c r="C219" s="5" t="s">
        <v>288</v>
      </c>
      <c r="D219" s="5" t="str">
        <f>VLOOKUP(C219,[1]master_data!$A$2:$E$495,2,FALSE)</f>
        <v>JARING 8</v>
      </c>
      <c r="E219" s="5">
        <v>25</v>
      </c>
      <c r="F219" s="5">
        <f>VLOOKUP(C219,[1]master_data!$A$2:$E$495,3,FALSE)</f>
        <v>3000</v>
      </c>
      <c r="G219" s="5">
        <f>VLOOKUP(C219,[1]master_data!$A$2:$E$495,4,FALSE)</f>
        <v>5000</v>
      </c>
      <c r="H219" s="5">
        <f t="shared" si="15"/>
        <v>75000</v>
      </c>
      <c r="I219" s="5">
        <f t="shared" si="16"/>
        <v>125000</v>
      </c>
      <c r="J219" s="5">
        <f t="shared" si="17"/>
        <v>50000</v>
      </c>
      <c r="K219" s="5" t="str">
        <f>VLOOKUP(C219,[1]master_data!$A$2:$E$495,5,FALSE)</f>
        <v>Aksesoris</v>
      </c>
      <c r="L219" s="5" t="s">
        <v>471</v>
      </c>
    </row>
    <row r="220" spans="1:12" ht="12" customHeight="1" x14ac:dyDescent="0.25">
      <c r="A220" s="6">
        <v>44901</v>
      </c>
      <c r="B220" s="1">
        <v>2204343</v>
      </c>
      <c r="C220" s="5" t="s">
        <v>295</v>
      </c>
      <c r="D220" s="5" t="str">
        <f>VLOOKUP(C220,[1]master_data!$A$2:$E$495,2,FALSE)</f>
        <v>LUKA STOP</v>
      </c>
      <c r="E220" s="5">
        <v>1</v>
      </c>
      <c r="F220" s="5">
        <f>VLOOKUP(C220,[1]master_data!$A$2:$E$495,3,FALSE)</f>
        <v>7000</v>
      </c>
      <c r="G220" s="5">
        <f>VLOOKUP(C220,[1]master_data!$A$2:$E$495,4,FALSE)</f>
        <v>15000</v>
      </c>
      <c r="H220" s="5">
        <f t="shared" si="15"/>
        <v>7000</v>
      </c>
      <c r="I220" s="5">
        <f t="shared" si="16"/>
        <v>15000</v>
      </c>
      <c r="J220" s="5">
        <f t="shared" si="17"/>
        <v>8000</v>
      </c>
      <c r="K220" s="5" t="str">
        <f>VLOOKUP(C220,[1]master_data!$A$2:$E$495,5,FALSE)</f>
        <v>Aksesoris</v>
      </c>
      <c r="L220" s="5" t="s">
        <v>471</v>
      </c>
    </row>
    <row r="221" spans="1:12" ht="12" customHeight="1" x14ac:dyDescent="0.25">
      <c r="A221" s="6">
        <v>44901</v>
      </c>
      <c r="B221" s="1">
        <v>2204342</v>
      </c>
      <c r="C221" s="5" t="s">
        <v>409</v>
      </c>
      <c r="D221" s="5" t="str">
        <f>VLOOKUP(C221,[1]master_data!$A$2:$E$495,2,FALSE)</f>
        <v>GOLD FISH</v>
      </c>
      <c r="E221" s="5">
        <v>30</v>
      </c>
      <c r="F221" s="5">
        <f>VLOOKUP(C221,[1]master_data!$A$2:$E$495,3,FALSE)</f>
        <v>800</v>
      </c>
      <c r="G221" s="5">
        <f>VLOOKUP(C221,[1]master_data!$A$2:$E$495,4,FALSE)</f>
        <v>2000</v>
      </c>
      <c r="H221" s="5">
        <f t="shared" si="15"/>
        <v>24000</v>
      </c>
      <c r="I221" s="5">
        <f t="shared" si="16"/>
        <v>60000</v>
      </c>
      <c r="J221" s="5">
        <f t="shared" si="17"/>
        <v>36000</v>
      </c>
      <c r="K221" s="5" t="str">
        <f>VLOOKUP(C221,[1]master_data!$A$2:$E$495,5,FALSE)</f>
        <v>Ikan</v>
      </c>
      <c r="L221" s="5" t="s">
        <v>471</v>
      </c>
    </row>
    <row r="222" spans="1:12" ht="12" customHeight="1" x14ac:dyDescent="0.25">
      <c r="A222" s="6">
        <v>44901</v>
      </c>
      <c r="B222" s="1">
        <v>2204341</v>
      </c>
      <c r="C222" s="5" t="s">
        <v>344</v>
      </c>
      <c r="D222" s="5" t="str">
        <f>VLOOKUP(C222,[1]master_data!$A$2:$E$495,2,FALSE)</f>
        <v>KRAN 4 W</v>
      </c>
      <c r="E222" s="5">
        <v>2</v>
      </c>
      <c r="F222" s="5">
        <f>VLOOKUP(C222,[1]master_data!$A$2:$E$495,3,FALSE)</f>
        <v>8000</v>
      </c>
      <c r="G222" s="5">
        <f>VLOOKUP(C222,[1]master_data!$A$2:$E$495,4,FALSE)</f>
        <v>12000</v>
      </c>
      <c r="H222" s="5">
        <f t="shared" si="15"/>
        <v>16000</v>
      </c>
      <c r="I222" s="5">
        <f t="shared" si="16"/>
        <v>24000</v>
      </c>
      <c r="J222" s="5">
        <f t="shared" si="17"/>
        <v>8000</v>
      </c>
      <c r="K222" s="5" t="str">
        <f>VLOOKUP(C222,[1]master_data!$A$2:$E$495,5,FALSE)</f>
        <v>Aksesoris</v>
      </c>
      <c r="L222" s="5" t="s">
        <v>471</v>
      </c>
    </row>
    <row r="223" spans="1:12" ht="12" customHeight="1" x14ac:dyDescent="0.25">
      <c r="A223" s="6">
        <v>44901</v>
      </c>
      <c r="B223" s="1">
        <v>2204340</v>
      </c>
      <c r="C223" s="5" t="s">
        <v>456</v>
      </c>
      <c r="D223" s="5" t="str">
        <f>VLOOKUP(C223,[1]master_data!$A$2:$E$495,2,FALSE)</f>
        <v>TOMAN</v>
      </c>
      <c r="E223" s="5">
        <v>5</v>
      </c>
      <c r="F223" s="5">
        <f>VLOOKUP(C223,[1]master_data!$A$2:$E$495,3,FALSE)</f>
        <v>10000</v>
      </c>
      <c r="G223" s="5">
        <f>VLOOKUP(C223,[1]master_data!$A$2:$E$495,4,FALSE)</f>
        <v>25000</v>
      </c>
      <c r="H223" s="5">
        <f t="shared" si="15"/>
        <v>50000</v>
      </c>
      <c r="I223" s="5">
        <f t="shared" si="16"/>
        <v>125000</v>
      </c>
      <c r="J223" s="5">
        <f t="shared" si="17"/>
        <v>75000</v>
      </c>
      <c r="K223" s="5" t="str">
        <f>VLOOKUP(C223,[1]master_data!$A$2:$E$495,5,FALSE)</f>
        <v>Ikan</v>
      </c>
      <c r="L223" s="5" t="s">
        <v>471</v>
      </c>
    </row>
    <row r="224" spans="1:12" ht="12" customHeight="1" x14ac:dyDescent="0.25">
      <c r="A224" s="6">
        <v>44901</v>
      </c>
      <c r="B224" s="1">
        <v>2204339</v>
      </c>
      <c r="C224" s="5" t="s">
        <v>402</v>
      </c>
      <c r="D224" s="5" t="str">
        <f>VLOOKUP(C224,[1]master_data!$A$2:$E$495,2,FALSE)</f>
        <v>BLACK GHOST</v>
      </c>
      <c r="E224" s="5">
        <v>10</v>
      </c>
      <c r="F224" s="5">
        <f>VLOOKUP(C224,[1]master_data!$A$2:$E$495,3,FALSE)</f>
        <v>4000</v>
      </c>
      <c r="G224" s="5">
        <f>VLOOKUP(C224,[1]master_data!$A$2:$E$495,4,FALSE)</f>
        <v>10000</v>
      </c>
      <c r="H224" s="5">
        <f t="shared" si="15"/>
        <v>40000</v>
      </c>
      <c r="I224" s="5">
        <f t="shared" si="16"/>
        <v>100000</v>
      </c>
      <c r="J224" s="5">
        <f t="shared" si="17"/>
        <v>60000</v>
      </c>
      <c r="K224" s="5" t="str">
        <f>VLOOKUP(C224,[1]master_data!$A$2:$E$495,5,FALSE)</f>
        <v>Ikan</v>
      </c>
      <c r="L224" s="5" t="s">
        <v>471</v>
      </c>
    </row>
    <row r="225" spans="1:12" ht="12" customHeight="1" x14ac:dyDescent="0.25">
      <c r="A225" s="6">
        <v>44901</v>
      </c>
      <c r="B225" s="1">
        <v>2204338</v>
      </c>
      <c r="C225" s="5" t="s">
        <v>338</v>
      </c>
      <c r="D225" s="5" t="str">
        <f>VLOOKUP(C225,[1]master_data!$A$2:$E$495,2,FALSE)</f>
        <v>KARUNG JALA M</v>
      </c>
      <c r="E225" s="5">
        <v>10</v>
      </c>
      <c r="F225" s="5">
        <f>VLOOKUP(C225,[1]master_data!$A$2:$E$495,3,FALSE)</f>
        <v>4000</v>
      </c>
      <c r="G225" s="5">
        <f>VLOOKUP(C225,[1]master_data!$A$2:$E$495,4,FALSE)</f>
        <v>10000</v>
      </c>
      <c r="H225" s="5">
        <f t="shared" si="15"/>
        <v>40000</v>
      </c>
      <c r="I225" s="5">
        <f t="shared" si="16"/>
        <v>100000</v>
      </c>
      <c r="J225" s="5">
        <f t="shared" si="17"/>
        <v>60000</v>
      </c>
      <c r="K225" s="5" t="str">
        <f>VLOOKUP(C225,[1]master_data!$A$2:$E$495,5,FALSE)</f>
        <v>Aksesoris</v>
      </c>
      <c r="L225" s="5" t="s">
        <v>471</v>
      </c>
    </row>
    <row r="226" spans="1:12" ht="12" customHeight="1" x14ac:dyDescent="0.25">
      <c r="A226" s="6">
        <v>44901</v>
      </c>
      <c r="B226" s="1">
        <v>2204337</v>
      </c>
      <c r="C226" s="5" t="s">
        <v>79</v>
      </c>
      <c r="D226" s="5" t="str">
        <f>VLOOKUP(C226,[1]master_data!$A$2:$E$495,2,FALSE)</f>
        <v>MESIN KIYOSAKI 107A</v>
      </c>
      <c r="E226" s="5">
        <v>1</v>
      </c>
      <c r="F226" s="5">
        <f>VLOOKUP(C226,[1]master_data!$A$2:$E$495,3,FALSE)</f>
        <v>250000</v>
      </c>
      <c r="G226" s="5">
        <f>VLOOKUP(C226,[1]master_data!$A$2:$E$495,4,FALSE)</f>
        <v>300000</v>
      </c>
      <c r="H226" s="5">
        <f t="shared" si="15"/>
        <v>250000</v>
      </c>
      <c r="I226" s="5">
        <f t="shared" si="16"/>
        <v>300000</v>
      </c>
      <c r="J226" s="5">
        <f t="shared" si="17"/>
        <v>50000</v>
      </c>
      <c r="K226" s="5" t="str">
        <f>VLOOKUP(C226,[1]master_data!$A$2:$E$495,5,FALSE)</f>
        <v>Aksesoris</v>
      </c>
      <c r="L226" s="5" t="s">
        <v>471</v>
      </c>
    </row>
    <row r="227" spans="1:12" ht="12" customHeight="1" x14ac:dyDescent="0.25">
      <c r="A227" s="6">
        <v>44901</v>
      </c>
      <c r="B227" s="1">
        <v>2204336</v>
      </c>
      <c r="C227" s="5" t="s">
        <v>418</v>
      </c>
      <c r="D227" s="5" t="str">
        <f>VLOOKUP(C227,[1]master_data!$A$2:$E$495,2,FALSE)</f>
        <v>KOI B</v>
      </c>
      <c r="E227" s="5">
        <v>10</v>
      </c>
      <c r="F227" s="5">
        <f>VLOOKUP(C227,[1]master_data!$A$2:$E$495,3,FALSE)</f>
        <v>9000</v>
      </c>
      <c r="G227" s="5">
        <f>VLOOKUP(C227,[1]master_data!$A$2:$E$495,4,FALSE)</f>
        <v>30000</v>
      </c>
      <c r="H227" s="5">
        <f t="shared" si="15"/>
        <v>90000</v>
      </c>
      <c r="I227" s="5">
        <f t="shared" si="16"/>
        <v>300000</v>
      </c>
      <c r="J227" s="5">
        <f t="shared" si="17"/>
        <v>210000</v>
      </c>
      <c r="K227" s="5" t="str">
        <f>VLOOKUP(C227,[1]master_data!$A$2:$E$495,5,FALSE)</f>
        <v>Ikan</v>
      </c>
      <c r="L227" s="5" t="s">
        <v>471</v>
      </c>
    </row>
    <row r="228" spans="1:12" ht="12" customHeight="1" x14ac:dyDescent="0.25">
      <c r="A228" s="6">
        <v>44900</v>
      </c>
      <c r="B228" s="1">
        <v>2204335</v>
      </c>
      <c r="C228" s="5" t="s">
        <v>463</v>
      </c>
      <c r="D228" s="5" t="str">
        <f>VLOOKUP(C228,[1]master_data!$A$2:$E$495,2,FALSE)</f>
        <v>CHANNA STEWARTI</v>
      </c>
      <c r="E228" s="5">
        <v>1</v>
      </c>
      <c r="F228" s="5">
        <f>VLOOKUP(C228,[1]master_data!$A$2:$E$495,3,FALSE)</f>
        <v>15000</v>
      </c>
      <c r="G228" s="5">
        <f>VLOOKUP(C228,[1]master_data!$A$2:$E$495,4,FALSE)</f>
        <v>40000</v>
      </c>
      <c r="H228" s="5">
        <f t="shared" si="15"/>
        <v>15000</v>
      </c>
      <c r="I228" s="5">
        <f t="shared" si="16"/>
        <v>40000</v>
      </c>
      <c r="J228" s="5">
        <f t="shared" si="17"/>
        <v>25000</v>
      </c>
      <c r="K228" s="5" t="str">
        <f>VLOOKUP(C228,[1]master_data!$A$2:$E$495,5,FALSE)</f>
        <v>Ikan</v>
      </c>
      <c r="L228" s="5" t="s">
        <v>471</v>
      </c>
    </row>
    <row r="229" spans="1:12" ht="12" customHeight="1" x14ac:dyDescent="0.25">
      <c r="A229" s="6">
        <v>44900</v>
      </c>
      <c r="B229" s="1">
        <v>2204334</v>
      </c>
      <c r="C229" s="5" t="s">
        <v>448</v>
      </c>
      <c r="D229" s="5" t="str">
        <f>VLOOKUP(C229,[1]master_data!$A$2:$E$495,2,FALSE)</f>
        <v xml:space="preserve"> CHANNA RED BARITO K</v>
      </c>
      <c r="E229" s="5">
        <v>10</v>
      </c>
      <c r="F229" s="5">
        <f>VLOOKUP(C229,[1]master_data!$A$2:$E$495,3,FALSE)</f>
        <v>45000</v>
      </c>
      <c r="G229" s="5">
        <f>VLOOKUP(C229,[1]master_data!$A$2:$E$495,4,FALSE)</f>
        <v>100000</v>
      </c>
      <c r="H229" s="5">
        <f t="shared" si="15"/>
        <v>450000</v>
      </c>
      <c r="I229" s="5">
        <f t="shared" si="16"/>
        <v>1000000</v>
      </c>
      <c r="J229" s="5">
        <f t="shared" si="17"/>
        <v>550000</v>
      </c>
      <c r="K229" s="5" t="str">
        <f>VLOOKUP(C229,[1]master_data!$A$2:$E$495,5,FALSE)</f>
        <v>Ikan</v>
      </c>
      <c r="L229" s="5" t="s">
        <v>471</v>
      </c>
    </row>
    <row r="230" spans="1:12" ht="12" customHeight="1" x14ac:dyDescent="0.25">
      <c r="A230" s="6">
        <v>44899</v>
      </c>
      <c r="B230" s="1">
        <v>2204333</v>
      </c>
      <c r="C230" s="5" t="s">
        <v>392</v>
      </c>
      <c r="D230" s="5" t="str">
        <f>VLOOKUP(C230,[1]master_data!$A$2:$E$495,2,FALSE)</f>
        <v>CHANNA ASIATICA B</v>
      </c>
      <c r="E230" s="5">
        <v>1</v>
      </c>
      <c r="F230" s="5">
        <f>VLOOKUP(C230,[1]master_data!$A$2:$E$495,3,FALSE)</f>
        <v>40000</v>
      </c>
      <c r="G230" s="5">
        <f>VLOOKUP(C230,[1]master_data!$A$2:$E$495,4,FALSE)</f>
        <v>100000</v>
      </c>
      <c r="H230" s="5">
        <f t="shared" si="15"/>
        <v>40000</v>
      </c>
      <c r="I230" s="5">
        <f t="shared" si="16"/>
        <v>100000</v>
      </c>
      <c r="J230" s="5">
        <f t="shared" si="17"/>
        <v>60000</v>
      </c>
      <c r="K230" s="5" t="str">
        <f>VLOOKUP(C230,[1]master_data!$A$2:$E$495,5,FALSE)</f>
        <v>Ikan</v>
      </c>
      <c r="L230" s="5" t="s">
        <v>471</v>
      </c>
    </row>
    <row r="231" spans="1:12" ht="12" customHeight="1" x14ac:dyDescent="0.25">
      <c r="A231" s="6">
        <v>44899</v>
      </c>
      <c r="B231" s="1">
        <v>2204332</v>
      </c>
      <c r="C231" s="5" t="s">
        <v>438</v>
      </c>
      <c r="D231" s="5" t="str">
        <f>VLOOKUP(C231,[1]master_data!$A$2:$E$495,2,FALSE)</f>
        <v>NENTINEN</v>
      </c>
      <c r="E231" s="5">
        <v>20</v>
      </c>
      <c r="F231" s="5">
        <f>VLOOKUP(C231,[1]master_data!$A$2:$E$495,3,FALSE)</f>
        <v>1000</v>
      </c>
      <c r="G231" s="5">
        <f>VLOOKUP(C231,[1]master_data!$A$2:$E$495,4,FALSE)</f>
        <v>2500</v>
      </c>
      <c r="H231" s="5">
        <f t="shared" si="15"/>
        <v>20000</v>
      </c>
      <c r="I231" s="5">
        <f t="shared" si="16"/>
        <v>50000</v>
      </c>
      <c r="J231" s="5">
        <f t="shared" si="17"/>
        <v>30000</v>
      </c>
      <c r="K231" s="5" t="str">
        <f>VLOOKUP(C231,[1]master_data!$A$2:$E$495,5,FALSE)</f>
        <v>Ikan</v>
      </c>
      <c r="L231" s="5" t="s">
        <v>471</v>
      </c>
    </row>
    <row r="232" spans="1:12" ht="12" customHeight="1" x14ac:dyDescent="0.25">
      <c r="A232" s="6">
        <v>44899</v>
      </c>
      <c r="B232" s="1">
        <v>2204331</v>
      </c>
      <c r="C232" s="5" t="s">
        <v>391</v>
      </c>
      <c r="D232" s="5" t="str">
        <f>VLOOKUP(C232,[1]master_data!$A$2:$E$495,2,FALSE)</f>
        <v>CHANNA ANDRAO K</v>
      </c>
      <c r="E232" s="5">
        <v>5</v>
      </c>
      <c r="F232" s="5">
        <f>VLOOKUP(C232,[1]master_data!$A$2:$E$495,3,FALSE)</f>
        <v>20000</v>
      </c>
      <c r="G232" s="5">
        <f>VLOOKUP(C232,[1]master_data!$A$2:$E$495,4,FALSE)</f>
        <v>50000</v>
      </c>
      <c r="H232" s="5">
        <f t="shared" si="15"/>
        <v>100000</v>
      </c>
      <c r="I232" s="5">
        <f t="shared" si="16"/>
        <v>250000</v>
      </c>
      <c r="J232" s="5">
        <f t="shared" si="17"/>
        <v>150000</v>
      </c>
      <c r="K232" s="5" t="str">
        <f>VLOOKUP(C232,[1]master_data!$A$2:$E$495,5,FALSE)</f>
        <v>Ikan</v>
      </c>
      <c r="L232" s="5" t="s">
        <v>471</v>
      </c>
    </row>
    <row r="233" spans="1:12" ht="12" customHeight="1" x14ac:dyDescent="0.25">
      <c r="A233" s="6">
        <v>44899</v>
      </c>
      <c r="B233" s="1">
        <v>2204330</v>
      </c>
      <c r="C233" s="5" t="s">
        <v>396</v>
      </c>
      <c r="D233" s="5" t="str">
        <f>VLOOKUP(C233,[1]master_data!$A$2:$E$495,2,FALSE)</f>
        <v>ALGA EATER</v>
      </c>
      <c r="E233" s="5">
        <v>30</v>
      </c>
      <c r="F233" s="5">
        <f>VLOOKUP(C233,[1]master_data!$A$2:$E$495,3,FALSE)</f>
        <v>1750</v>
      </c>
      <c r="G233" s="5">
        <f>VLOOKUP(C233,[1]master_data!$A$2:$E$495,4,FALSE)</f>
        <v>5000</v>
      </c>
      <c r="H233" s="5">
        <f t="shared" si="15"/>
        <v>52500</v>
      </c>
      <c r="I233" s="5">
        <f t="shared" si="16"/>
        <v>150000</v>
      </c>
      <c r="J233" s="5">
        <f t="shared" si="17"/>
        <v>97500</v>
      </c>
      <c r="K233" s="5" t="str">
        <f>VLOOKUP(C233,[1]master_data!$A$2:$E$495,5,FALSE)</f>
        <v>Ikan</v>
      </c>
      <c r="L233" s="5" t="s">
        <v>471</v>
      </c>
    </row>
    <row r="234" spans="1:12" ht="12" customHeight="1" x14ac:dyDescent="0.25">
      <c r="A234" s="6">
        <v>44899</v>
      </c>
      <c r="B234" s="1">
        <v>2204329</v>
      </c>
      <c r="C234" s="5" t="s">
        <v>16</v>
      </c>
      <c r="D234" s="5" t="str">
        <f>VLOOKUP(C234,[1]master_data!$A$2:$E$495,2,FALSE)</f>
        <v>HANG ON YANG 502</v>
      </c>
      <c r="E234" s="5">
        <v>5</v>
      </c>
      <c r="F234" s="5">
        <f>VLOOKUP(C234,[1]master_data!$A$2:$E$495,3,FALSE)</f>
        <v>71000</v>
      </c>
      <c r="G234" s="5">
        <f>VLOOKUP(C234,[1]master_data!$A$2:$E$495,4,FALSE)</f>
        <v>95000</v>
      </c>
      <c r="H234" s="5">
        <f t="shared" si="15"/>
        <v>355000</v>
      </c>
      <c r="I234" s="5">
        <f t="shared" si="16"/>
        <v>475000</v>
      </c>
      <c r="J234" s="5">
        <f t="shared" si="17"/>
        <v>120000</v>
      </c>
      <c r="K234" s="5" t="str">
        <f>VLOOKUP(C234,[1]master_data!$A$2:$E$495,5,FALSE)</f>
        <v>Aksesoris</v>
      </c>
      <c r="L234" s="5" t="s">
        <v>471</v>
      </c>
    </row>
    <row r="235" spans="1:12" ht="12" customHeight="1" x14ac:dyDescent="0.25">
      <c r="A235" s="6">
        <v>44899</v>
      </c>
      <c r="B235" s="1">
        <v>2204328</v>
      </c>
      <c r="C235" s="5" t="s">
        <v>419</v>
      </c>
      <c r="D235" s="5" t="str">
        <f>VLOOKUP(C235,[1]master_data!$A$2:$E$495,2,FALSE)</f>
        <v>KURA - KURA</v>
      </c>
      <c r="E235" s="5">
        <v>10</v>
      </c>
      <c r="F235" s="5">
        <f>VLOOKUP(C235,[1]master_data!$A$2:$E$495,3,FALSE)</f>
        <v>25000</v>
      </c>
      <c r="G235" s="5">
        <f>VLOOKUP(C235,[1]master_data!$A$2:$E$495,4,FALSE)</f>
        <v>35000</v>
      </c>
      <c r="H235" s="5">
        <f t="shared" si="15"/>
        <v>250000</v>
      </c>
      <c r="I235" s="5">
        <f t="shared" si="16"/>
        <v>350000</v>
      </c>
      <c r="J235" s="5">
        <f t="shared" si="17"/>
        <v>100000</v>
      </c>
      <c r="K235" s="5" t="str">
        <f>VLOOKUP(C235,[1]master_data!$A$2:$E$495,5,FALSE)</f>
        <v>Ikan</v>
      </c>
      <c r="L235" s="5" t="s">
        <v>471</v>
      </c>
    </row>
    <row r="236" spans="1:12" ht="12" customHeight="1" x14ac:dyDescent="0.25">
      <c r="A236" s="6">
        <v>44899</v>
      </c>
      <c r="B236" s="1">
        <v>2204327</v>
      </c>
      <c r="C236" s="5" t="s">
        <v>306</v>
      </c>
      <c r="D236" s="5" t="str">
        <f>VLOOKUP(C236,[1]master_data!$A$2:$E$495,2,FALSE)</f>
        <v>SEDOTAN</v>
      </c>
      <c r="E236" s="5">
        <v>5</v>
      </c>
      <c r="F236" s="5">
        <f>VLOOKUP(C236,[1]master_data!$A$2:$E$495,3,FALSE)</f>
        <v>10000</v>
      </c>
      <c r="G236" s="5">
        <f>VLOOKUP(C236,[1]master_data!$A$2:$E$495,4,FALSE)</f>
        <v>15000</v>
      </c>
      <c r="H236" s="5">
        <f t="shared" si="15"/>
        <v>50000</v>
      </c>
      <c r="I236" s="5">
        <f t="shared" si="16"/>
        <v>75000</v>
      </c>
      <c r="J236" s="5">
        <f t="shared" si="17"/>
        <v>25000</v>
      </c>
      <c r="K236" s="5" t="str">
        <f>VLOOKUP(C236,[1]master_data!$A$2:$E$495,5,FALSE)</f>
        <v>Aksesoris</v>
      </c>
      <c r="L236" s="5" t="s">
        <v>471</v>
      </c>
    </row>
    <row r="237" spans="1:12" ht="12" customHeight="1" x14ac:dyDescent="0.25">
      <c r="A237" s="6">
        <v>44898</v>
      </c>
      <c r="B237" s="1">
        <v>2204326</v>
      </c>
      <c r="C237" s="5" t="s">
        <v>458</v>
      </c>
      <c r="D237" s="5" t="str">
        <f>VLOOKUP(C237,[1]master_data!$A$2:$E$495,2,FALSE)</f>
        <v>ZEBRA HIJAU</v>
      </c>
      <c r="E237" s="5">
        <v>10</v>
      </c>
      <c r="F237" s="5">
        <f>VLOOKUP(C237,[1]master_data!$A$2:$E$495,3,FALSE)</f>
        <v>800</v>
      </c>
      <c r="G237" s="5">
        <f>VLOOKUP(C237,[1]master_data!$A$2:$E$495,4,FALSE)</f>
        <v>2000</v>
      </c>
      <c r="H237" s="5">
        <f t="shared" si="15"/>
        <v>8000</v>
      </c>
      <c r="I237" s="5">
        <f t="shared" si="16"/>
        <v>20000</v>
      </c>
      <c r="J237" s="5">
        <f t="shared" si="17"/>
        <v>12000</v>
      </c>
      <c r="K237" s="5" t="str">
        <f>VLOOKUP(C237,[1]master_data!$A$2:$E$495,5,FALSE)</f>
        <v>Ikan</v>
      </c>
      <c r="L237" s="5" t="s">
        <v>471</v>
      </c>
    </row>
    <row r="238" spans="1:12" ht="12" customHeight="1" x14ac:dyDescent="0.25">
      <c r="A238" s="6">
        <v>44898</v>
      </c>
      <c r="B238" s="1">
        <v>2204325</v>
      </c>
      <c r="C238" s="5" t="s">
        <v>409</v>
      </c>
      <c r="D238" s="5" t="str">
        <f>VLOOKUP(C238,[1]master_data!$A$2:$E$495,2,FALSE)</f>
        <v>GOLD FISH</v>
      </c>
      <c r="E238" s="5">
        <v>1</v>
      </c>
      <c r="F238" s="5">
        <f>VLOOKUP(C238,[1]master_data!$A$2:$E$495,3,FALSE)</f>
        <v>800</v>
      </c>
      <c r="G238" s="5">
        <f>VLOOKUP(C238,[1]master_data!$A$2:$E$495,4,FALSE)</f>
        <v>2000</v>
      </c>
      <c r="H238" s="5">
        <f t="shared" si="15"/>
        <v>800</v>
      </c>
      <c r="I238" s="5">
        <f t="shared" si="16"/>
        <v>2000</v>
      </c>
      <c r="J238" s="5">
        <f t="shared" si="17"/>
        <v>1200</v>
      </c>
      <c r="K238" s="5" t="str">
        <f>VLOOKUP(C238,[1]master_data!$A$2:$E$495,5,FALSE)</f>
        <v>Ikan</v>
      </c>
      <c r="L238" s="5" t="s">
        <v>471</v>
      </c>
    </row>
    <row r="239" spans="1:12" ht="12" customHeight="1" x14ac:dyDescent="0.25">
      <c r="A239" s="6">
        <v>44898</v>
      </c>
      <c r="B239" s="1">
        <v>2204324</v>
      </c>
      <c r="C239" s="5" t="s">
        <v>414</v>
      </c>
      <c r="D239" s="5" t="str">
        <f>VLOOKUP(C239,[1]master_data!$A$2:$E$495,2,FALSE)</f>
        <v>KOKI T</v>
      </c>
      <c r="E239" s="5">
        <v>1</v>
      </c>
      <c r="F239" s="5">
        <f>VLOOKUP(C239,[1]master_data!$A$2:$E$495,3,FALSE)</f>
        <v>8000</v>
      </c>
      <c r="G239" s="5">
        <f>VLOOKUP(C239,[1]master_data!$A$2:$E$495,4,FALSE)</f>
        <v>15000</v>
      </c>
      <c r="H239" s="5">
        <f t="shared" si="15"/>
        <v>8000</v>
      </c>
      <c r="I239" s="5">
        <f t="shared" si="16"/>
        <v>15000</v>
      </c>
      <c r="J239" s="5">
        <f t="shared" si="17"/>
        <v>7000</v>
      </c>
      <c r="K239" s="5" t="str">
        <f>VLOOKUP(C239,[1]master_data!$A$2:$E$495,5,FALSE)</f>
        <v>Ikan</v>
      </c>
      <c r="L239" s="5" t="s">
        <v>471</v>
      </c>
    </row>
    <row r="240" spans="1:12" ht="12" customHeight="1" x14ac:dyDescent="0.25">
      <c r="A240" s="6">
        <v>44898</v>
      </c>
      <c r="B240" s="1">
        <v>2204323</v>
      </c>
      <c r="C240" s="5" t="s">
        <v>458</v>
      </c>
      <c r="D240" s="5" t="str">
        <f>VLOOKUP(C240,[1]master_data!$A$2:$E$495,2,FALSE)</f>
        <v>ZEBRA HIJAU</v>
      </c>
      <c r="E240" s="5">
        <v>1</v>
      </c>
      <c r="F240" s="5">
        <f>VLOOKUP(C240,[1]master_data!$A$2:$E$495,3,FALSE)</f>
        <v>800</v>
      </c>
      <c r="G240" s="5">
        <f>VLOOKUP(C240,[1]master_data!$A$2:$E$495,4,FALSE)</f>
        <v>2000</v>
      </c>
      <c r="H240" s="5">
        <f t="shared" si="15"/>
        <v>800</v>
      </c>
      <c r="I240" s="5">
        <f t="shared" si="16"/>
        <v>2000</v>
      </c>
      <c r="J240" s="5">
        <f t="shared" si="17"/>
        <v>1200</v>
      </c>
      <c r="K240" s="5" t="str">
        <f>VLOOKUP(C240,[1]master_data!$A$2:$E$495,5,FALSE)</f>
        <v>Ikan</v>
      </c>
      <c r="L240" s="5" t="s">
        <v>471</v>
      </c>
    </row>
    <row r="241" spans="1:12" ht="12" customHeight="1" x14ac:dyDescent="0.25">
      <c r="A241" s="6">
        <v>44898</v>
      </c>
      <c r="B241" s="1">
        <v>2204322</v>
      </c>
      <c r="C241" s="5" t="s">
        <v>413</v>
      </c>
      <c r="D241" s="5" t="str">
        <f>VLOOKUP(C241,[1]master_data!$A$2:$E$495,2,FALSE)</f>
        <v>KOKI K</v>
      </c>
      <c r="E241" s="5">
        <v>15</v>
      </c>
      <c r="F241" s="5">
        <f>VLOOKUP(C241,[1]master_data!$A$2:$E$495,3,FALSE)</f>
        <v>3500</v>
      </c>
      <c r="G241" s="5">
        <f>VLOOKUP(C241,[1]master_data!$A$2:$E$495,4,FALSE)</f>
        <v>10000</v>
      </c>
      <c r="H241" s="5">
        <f t="shared" si="15"/>
        <v>52500</v>
      </c>
      <c r="I241" s="5">
        <f t="shared" si="16"/>
        <v>150000</v>
      </c>
      <c r="J241" s="5">
        <f t="shared" si="17"/>
        <v>97500</v>
      </c>
      <c r="K241" s="5" t="str">
        <f>VLOOKUP(C241,[1]master_data!$A$2:$E$495,5,FALSE)</f>
        <v>Ikan</v>
      </c>
      <c r="L241" s="5" t="s">
        <v>471</v>
      </c>
    </row>
    <row r="242" spans="1:12" ht="12" customHeight="1" x14ac:dyDescent="0.25">
      <c r="A242" s="6">
        <v>44898</v>
      </c>
      <c r="B242" s="1">
        <v>2204321</v>
      </c>
      <c r="C242" s="5" t="s">
        <v>191</v>
      </c>
      <c r="D242" s="5" t="str">
        <f>VLOOKUP(C242,[1]master_data!$A$2:$E$495,2,FALSE)</f>
        <v>LED KANDILA PRO RED ECO 60 CM</v>
      </c>
      <c r="E242" s="5">
        <v>10</v>
      </c>
      <c r="F242" s="5">
        <f>VLOOKUP(C242,[1]master_data!$A$2:$E$495,3,FALSE)</f>
        <v>60000</v>
      </c>
      <c r="G242" s="5">
        <f>VLOOKUP(C242,[1]master_data!$A$2:$E$495,4,FALSE)</f>
        <v>80000</v>
      </c>
      <c r="H242" s="5">
        <f t="shared" si="15"/>
        <v>600000</v>
      </c>
      <c r="I242" s="5">
        <f t="shared" si="16"/>
        <v>800000</v>
      </c>
      <c r="J242" s="5">
        <f t="shared" si="17"/>
        <v>200000</v>
      </c>
      <c r="K242" s="5" t="str">
        <f>VLOOKUP(C242,[1]master_data!$A$2:$E$495,5,FALSE)</f>
        <v>Aksesoris</v>
      </c>
      <c r="L242" s="5" t="s">
        <v>471</v>
      </c>
    </row>
    <row r="243" spans="1:12" ht="12" customHeight="1" x14ac:dyDescent="0.25">
      <c r="A243" s="6">
        <v>44898</v>
      </c>
      <c r="B243" s="1">
        <v>2204320</v>
      </c>
      <c r="C243" s="5" t="s">
        <v>407</v>
      </c>
      <c r="D243" s="5" t="str">
        <f>VLOOKUP(C243,[1]master_data!$A$2:$E$495,2,FALSE)</f>
        <v>CUPANG</v>
      </c>
      <c r="E243" s="5">
        <v>25</v>
      </c>
      <c r="F243" s="5">
        <f>VLOOKUP(C243,[1]master_data!$A$2:$E$495,3,FALSE)</f>
        <v>2000</v>
      </c>
      <c r="G243" s="5">
        <f>VLOOKUP(C243,[1]master_data!$A$2:$E$495,4,FALSE)</f>
        <v>5000</v>
      </c>
      <c r="H243" s="5">
        <f t="shared" si="15"/>
        <v>50000</v>
      </c>
      <c r="I243" s="5">
        <f t="shared" si="16"/>
        <v>125000</v>
      </c>
      <c r="J243" s="5">
        <f t="shared" si="17"/>
        <v>75000</v>
      </c>
      <c r="K243" s="5" t="str">
        <f>VLOOKUP(C243,[1]master_data!$A$2:$E$495,5,FALSE)</f>
        <v>Ikan</v>
      </c>
      <c r="L243" s="5" t="s">
        <v>471</v>
      </c>
    </row>
    <row r="244" spans="1:12" ht="12" customHeight="1" x14ac:dyDescent="0.25">
      <c r="A244" s="6">
        <v>44898</v>
      </c>
      <c r="B244" s="1">
        <v>2204319</v>
      </c>
      <c r="C244" s="5" t="s">
        <v>409</v>
      </c>
      <c r="D244" s="5" t="str">
        <f>VLOOKUP(C244,[1]master_data!$A$2:$E$495,2,FALSE)</f>
        <v>GOLD FISH</v>
      </c>
      <c r="E244" s="5">
        <v>1</v>
      </c>
      <c r="F244" s="5">
        <f>VLOOKUP(C244,[1]master_data!$A$2:$E$495,3,FALSE)</f>
        <v>800</v>
      </c>
      <c r="G244" s="5">
        <f>VLOOKUP(C244,[1]master_data!$A$2:$E$495,4,FALSE)</f>
        <v>2000</v>
      </c>
      <c r="H244" s="5">
        <f t="shared" si="15"/>
        <v>800</v>
      </c>
      <c r="I244" s="5">
        <f t="shared" si="16"/>
        <v>2000</v>
      </c>
      <c r="J244" s="5">
        <f t="shared" si="17"/>
        <v>1200</v>
      </c>
      <c r="K244" s="5" t="str">
        <f>VLOOKUP(C244,[1]master_data!$A$2:$E$495,5,FALSE)</f>
        <v>Ikan</v>
      </c>
      <c r="L244" s="5" t="s">
        <v>471</v>
      </c>
    </row>
    <row r="245" spans="1:12" ht="12" customHeight="1" x14ac:dyDescent="0.25">
      <c r="A245" s="6">
        <v>44898</v>
      </c>
      <c r="B245" s="1">
        <v>2204318</v>
      </c>
      <c r="C245" s="5" t="s">
        <v>396</v>
      </c>
      <c r="D245" s="5" t="str">
        <f>VLOOKUP(C245,[1]master_data!$A$2:$E$495,2,FALSE)</f>
        <v>ALGA EATER</v>
      </c>
      <c r="E245" s="5">
        <v>25</v>
      </c>
      <c r="F245" s="5">
        <f>VLOOKUP(C245,[1]master_data!$A$2:$E$495,3,FALSE)</f>
        <v>1750</v>
      </c>
      <c r="G245" s="5">
        <f>VLOOKUP(C245,[1]master_data!$A$2:$E$495,4,FALSE)</f>
        <v>5000</v>
      </c>
      <c r="H245" s="5">
        <f t="shared" si="15"/>
        <v>43750</v>
      </c>
      <c r="I245" s="5">
        <f t="shared" si="16"/>
        <v>125000</v>
      </c>
      <c r="J245" s="5">
        <f t="shared" si="17"/>
        <v>81250</v>
      </c>
      <c r="K245" s="5" t="str">
        <f>VLOOKUP(C245,[1]master_data!$A$2:$E$495,5,FALSE)</f>
        <v>Ikan</v>
      </c>
      <c r="L245" s="5" t="s">
        <v>471</v>
      </c>
    </row>
    <row r="246" spans="1:12" ht="12" customHeight="1" x14ac:dyDescent="0.25">
      <c r="A246" s="6">
        <v>44898</v>
      </c>
      <c r="B246" s="1">
        <v>2204317</v>
      </c>
      <c r="C246" s="5" t="s">
        <v>248</v>
      </c>
      <c r="D246" s="5" t="str">
        <f>VLOOKUP(C246,[1]master_data!$A$2:$E$495,2,FALSE)</f>
        <v>MATLINE BLUE</v>
      </c>
      <c r="E246" s="5">
        <v>25</v>
      </c>
      <c r="F246" s="5">
        <f>VLOOKUP(C246,[1]master_data!$A$2:$E$495,3,FALSE)</f>
        <v>7000</v>
      </c>
      <c r="G246" s="5">
        <f>VLOOKUP(C246,[1]master_data!$A$2:$E$495,4,FALSE)</f>
        <v>10000</v>
      </c>
      <c r="H246" s="5">
        <f t="shared" si="15"/>
        <v>175000</v>
      </c>
      <c r="I246" s="5">
        <f t="shared" si="16"/>
        <v>250000</v>
      </c>
      <c r="J246" s="5">
        <f t="shared" si="17"/>
        <v>75000</v>
      </c>
      <c r="K246" s="5" t="str">
        <f>VLOOKUP(C246,[1]master_data!$A$2:$E$495,5,FALSE)</f>
        <v>Aksesoris</v>
      </c>
      <c r="L246" s="5" t="s">
        <v>471</v>
      </c>
    </row>
    <row r="247" spans="1:12" ht="12" customHeight="1" x14ac:dyDescent="0.25">
      <c r="A247" s="6">
        <v>44898</v>
      </c>
      <c r="B247" s="1">
        <v>2204316</v>
      </c>
      <c r="C247" s="5" t="s">
        <v>329</v>
      </c>
      <c r="D247" s="5" t="str">
        <f>VLOOKUP(C247,[1]master_data!$A$2:$E$495,2,FALSE)</f>
        <v>AIRSTONE D2L5</v>
      </c>
      <c r="E247" s="5">
        <v>8</v>
      </c>
      <c r="F247" s="5">
        <f>VLOOKUP(C247,[1]master_data!$A$2:$E$495,3,FALSE)</f>
        <v>1850</v>
      </c>
      <c r="G247" s="5">
        <f>VLOOKUP(C247,[1]master_data!$A$2:$E$495,4,FALSE)</f>
        <v>5000</v>
      </c>
      <c r="H247" s="5">
        <f t="shared" si="15"/>
        <v>14800</v>
      </c>
      <c r="I247" s="5">
        <f t="shared" si="16"/>
        <v>40000</v>
      </c>
      <c r="J247" s="5">
        <f t="shared" si="17"/>
        <v>25200</v>
      </c>
      <c r="K247" s="5" t="str">
        <f>VLOOKUP(C247,[1]master_data!$A$2:$E$495,5,FALSE)</f>
        <v>Aksesoris</v>
      </c>
      <c r="L247" s="5" t="s">
        <v>471</v>
      </c>
    </row>
    <row r="248" spans="1:12" ht="12" customHeight="1" x14ac:dyDescent="0.25">
      <c r="A248" s="6">
        <v>44898</v>
      </c>
      <c r="B248" s="1">
        <v>2204315</v>
      </c>
      <c r="C248" s="5" t="s">
        <v>421</v>
      </c>
      <c r="D248" s="5" t="str">
        <f>VLOOKUP(C248,[1]master_data!$A$2:$E$495,2,FALSE)</f>
        <v>KOMET PAKAN</v>
      </c>
      <c r="E248" s="5">
        <v>15</v>
      </c>
      <c r="F248" s="5">
        <f>VLOOKUP(C248,[1]master_data!$A$2:$E$495,3,FALSE)</f>
        <v>300</v>
      </c>
      <c r="G248" s="5">
        <f>VLOOKUP(C248,[1]master_data!$A$2:$E$495,4,FALSE)</f>
        <v>1000</v>
      </c>
      <c r="H248" s="5">
        <f t="shared" si="15"/>
        <v>4500</v>
      </c>
      <c r="I248" s="5">
        <f t="shared" si="16"/>
        <v>15000</v>
      </c>
      <c r="J248" s="5">
        <f t="shared" si="17"/>
        <v>10500</v>
      </c>
      <c r="K248" s="5" t="str">
        <f>VLOOKUP(C248,[1]master_data!$A$2:$E$495,5,FALSE)</f>
        <v>Ikan</v>
      </c>
      <c r="L248" s="5" t="s">
        <v>471</v>
      </c>
    </row>
    <row r="249" spans="1:12" ht="12" customHeight="1" x14ac:dyDescent="0.25">
      <c r="A249" s="6">
        <v>44898</v>
      </c>
      <c r="B249" s="1">
        <v>2204314</v>
      </c>
      <c r="C249" s="5" t="s">
        <v>409</v>
      </c>
      <c r="D249" s="5" t="str">
        <f>VLOOKUP(C249,[1]master_data!$A$2:$E$495,2,FALSE)</f>
        <v>GOLD FISH</v>
      </c>
      <c r="E249" s="5">
        <v>1</v>
      </c>
      <c r="F249" s="5">
        <f>VLOOKUP(C249,[1]master_data!$A$2:$E$495,3,FALSE)</f>
        <v>800</v>
      </c>
      <c r="G249" s="5">
        <f>VLOOKUP(C249,[1]master_data!$A$2:$E$495,4,FALSE)</f>
        <v>2000</v>
      </c>
      <c r="H249" s="5">
        <f t="shared" si="15"/>
        <v>800</v>
      </c>
      <c r="I249" s="5">
        <f t="shared" si="16"/>
        <v>2000</v>
      </c>
      <c r="J249" s="5">
        <f t="shared" si="17"/>
        <v>1200</v>
      </c>
      <c r="K249" s="5" t="str">
        <f>VLOOKUP(C249,[1]master_data!$A$2:$E$495,5,FALSE)</f>
        <v>Ikan</v>
      </c>
      <c r="L249" s="5" t="s">
        <v>471</v>
      </c>
    </row>
    <row r="250" spans="1:12" ht="12" customHeight="1" x14ac:dyDescent="0.25">
      <c r="A250" s="6">
        <v>44897</v>
      </c>
      <c r="B250" s="1">
        <v>2204313</v>
      </c>
      <c r="C250" s="5" t="s">
        <v>383</v>
      </c>
      <c r="D250" s="5" t="str">
        <f>VLOOKUP(C250,[1]master_data!$A$2:$E$495,2,FALSE)</f>
        <v>BATU GOMBONG K</v>
      </c>
      <c r="E250" s="5">
        <v>2</v>
      </c>
      <c r="F250" s="5">
        <f>VLOOKUP(C250,[1]master_data!$A$2:$E$495,3,FALSE)</f>
        <v>20000</v>
      </c>
      <c r="G250" s="5">
        <f>VLOOKUP(C250,[1]master_data!$A$2:$E$495,4,FALSE)</f>
        <v>40000</v>
      </c>
      <c r="H250" s="5">
        <f t="shared" si="15"/>
        <v>40000</v>
      </c>
      <c r="I250" s="5">
        <f t="shared" si="16"/>
        <v>80000</v>
      </c>
      <c r="J250" s="5">
        <f t="shared" si="17"/>
        <v>40000</v>
      </c>
      <c r="K250" s="5" t="str">
        <f>VLOOKUP(C250,[1]master_data!$A$2:$E$495,5,FALSE)</f>
        <v>Aksesoris</v>
      </c>
      <c r="L250" s="5" t="s">
        <v>471</v>
      </c>
    </row>
    <row r="251" spans="1:12" ht="12" customHeight="1" x14ac:dyDescent="0.25">
      <c r="A251" s="6">
        <v>44897</v>
      </c>
      <c r="B251" s="1">
        <v>2204312</v>
      </c>
      <c r="C251" s="5" t="s">
        <v>204</v>
      </c>
      <c r="D251" s="5" t="str">
        <f>VLOOKUP(C251,[1]master_data!$A$2:$E$495,2,FALSE)</f>
        <v>MAGOT</v>
      </c>
      <c r="E251" s="5">
        <v>30</v>
      </c>
      <c r="F251" s="5">
        <f>VLOOKUP(C251,[1]master_data!$A$2:$E$495,3,FALSE)</f>
        <v>4500</v>
      </c>
      <c r="G251" s="5">
        <f>VLOOKUP(C251,[1]master_data!$A$2:$E$495,4,FALSE)</f>
        <v>10000</v>
      </c>
      <c r="H251" s="5">
        <f t="shared" si="15"/>
        <v>135000</v>
      </c>
      <c r="I251" s="5">
        <f t="shared" si="16"/>
        <v>300000</v>
      </c>
      <c r="J251" s="5">
        <f t="shared" si="17"/>
        <v>165000</v>
      </c>
      <c r="K251" s="5" t="str">
        <f>VLOOKUP(C251,[1]master_data!$A$2:$E$495,5,FALSE)</f>
        <v>Aksesoris</v>
      </c>
      <c r="L251" s="5" t="s">
        <v>471</v>
      </c>
    </row>
    <row r="252" spans="1:12" ht="12" customHeight="1" x14ac:dyDescent="0.25">
      <c r="A252" s="6">
        <v>44897</v>
      </c>
      <c r="B252" s="1">
        <v>2204311</v>
      </c>
      <c r="C252" s="5" t="s">
        <v>69</v>
      </c>
      <c r="D252" s="5" t="str">
        <f>VLOOKUP(C252,[1]master_data!$A$2:$E$495,2,FALSE)</f>
        <v>TOP FILTER HAILONG 650</v>
      </c>
      <c r="E252" s="5">
        <v>1</v>
      </c>
      <c r="F252" s="5">
        <f>VLOOKUP(C252,[1]master_data!$A$2:$E$495,3,FALSE)</f>
        <v>41000</v>
      </c>
      <c r="G252" s="5">
        <f>VLOOKUP(C252,[1]master_data!$A$2:$E$495,4,FALSE)</f>
        <v>60000</v>
      </c>
      <c r="H252" s="5">
        <f t="shared" si="15"/>
        <v>41000</v>
      </c>
      <c r="I252" s="5">
        <f t="shared" si="16"/>
        <v>60000</v>
      </c>
      <c r="J252" s="5">
        <f t="shared" si="17"/>
        <v>19000</v>
      </c>
      <c r="K252" s="5" t="str">
        <f>VLOOKUP(C252,[1]master_data!$A$2:$E$495,5,FALSE)</f>
        <v>Aksesoris</v>
      </c>
      <c r="L252" s="5" t="s">
        <v>471</v>
      </c>
    </row>
    <row r="253" spans="1:12" ht="12" customHeight="1" x14ac:dyDescent="0.25">
      <c r="A253" s="6">
        <v>44897</v>
      </c>
      <c r="B253" s="1">
        <v>2204310</v>
      </c>
      <c r="C253" s="5" t="s">
        <v>390</v>
      </c>
      <c r="D253" s="5" t="str">
        <f>VLOOKUP(C253,[1]master_data!$A$2:$E$495,2,FALSE)</f>
        <v>CHANNA ASIATICA K</v>
      </c>
      <c r="E253" s="5">
        <v>2</v>
      </c>
      <c r="F253" s="5">
        <f>VLOOKUP(C253,[1]master_data!$A$2:$E$495,3,FALSE)</f>
        <v>10000</v>
      </c>
      <c r="G253" s="5">
        <f>VLOOKUP(C253,[1]master_data!$A$2:$E$495,4,FALSE)</f>
        <v>40000</v>
      </c>
      <c r="H253" s="5">
        <f t="shared" si="15"/>
        <v>20000</v>
      </c>
      <c r="I253" s="5">
        <f t="shared" si="16"/>
        <v>80000</v>
      </c>
      <c r="J253" s="5">
        <f t="shared" si="17"/>
        <v>60000</v>
      </c>
      <c r="K253" s="5" t="str">
        <f>VLOOKUP(C253,[1]master_data!$A$2:$E$495,5,FALSE)</f>
        <v>Ikan</v>
      </c>
      <c r="L253" s="5" t="s">
        <v>471</v>
      </c>
    </row>
    <row r="254" spans="1:12" ht="12" customHeight="1" x14ac:dyDescent="0.25">
      <c r="A254" s="6">
        <v>44897</v>
      </c>
      <c r="B254" s="1">
        <v>2204309</v>
      </c>
      <c r="C254" s="5" t="s">
        <v>415</v>
      </c>
      <c r="D254" s="5" t="str">
        <f>VLOOKUP(C254,[1]master_data!$A$2:$E$495,2,FALSE)</f>
        <v>KOKI B</v>
      </c>
      <c r="E254" s="5">
        <v>1</v>
      </c>
      <c r="F254" s="5">
        <f>VLOOKUP(C254,[1]master_data!$A$2:$E$495,3,FALSE)</f>
        <v>20000</v>
      </c>
      <c r="G254" s="5">
        <f>VLOOKUP(C254,[1]master_data!$A$2:$E$495,4,FALSE)</f>
        <v>50000</v>
      </c>
      <c r="H254" s="5">
        <f t="shared" si="15"/>
        <v>20000</v>
      </c>
      <c r="I254" s="5">
        <f t="shared" si="16"/>
        <v>50000</v>
      </c>
      <c r="J254" s="5">
        <f t="shared" si="17"/>
        <v>30000</v>
      </c>
      <c r="K254" s="5" t="str">
        <f>VLOOKUP(C254,[1]master_data!$A$2:$E$495,5,FALSE)</f>
        <v>Ikan</v>
      </c>
      <c r="L254" s="5" t="s">
        <v>471</v>
      </c>
    </row>
    <row r="255" spans="1:12" ht="12" customHeight="1" x14ac:dyDescent="0.25">
      <c r="A255" s="6">
        <v>44897</v>
      </c>
      <c r="B255" s="1">
        <v>2204308</v>
      </c>
      <c r="C255" s="5" t="s">
        <v>392</v>
      </c>
      <c r="D255" s="5" t="str">
        <f>VLOOKUP(C255,[1]master_data!$A$2:$E$495,2,FALSE)</f>
        <v>CHANNA ASIATICA B</v>
      </c>
      <c r="E255" s="5">
        <v>5</v>
      </c>
      <c r="F255" s="5">
        <f>VLOOKUP(C255,[1]master_data!$A$2:$E$495,3,FALSE)</f>
        <v>40000</v>
      </c>
      <c r="G255" s="5">
        <f>VLOOKUP(C255,[1]master_data!$A$2:$E$495,4,FALSE)</f>
        <v>100000</v>
      </c>
      <c r="H255" s="5">
        <f t="shared" si="15"/>
        <v>200000</v>
      </c>
      <c r="I255" s="5">
        <f t="shared" si="16"/>
        <v>500000</v>
      </c>
      <c r="J255" s="5">
        <f t="shared" si="17"/>
        <v>300000</v>
      </c>
      <c r="K255" s="5" t="str">
        <f>VLOOKUP(C255,[1]master_data!$A$2:$E$495,5,FALSE)</f>
        <v>Ikan</v>
      </c>
      <c r="L255" s="5" t="s">
        <v>471</v>
      </c>
    </row>
    <row r="256" spans="1:12" ht="12" customHeight="1" x14ac:dyDescent="0.25">
      <c r="A256" s="6">
        <v>44896</v>
      </c>
      <c r="B256" s="1">
        <v>2204307</v>
      </c>
      <c r="C256" s="5" t="s">
        <v>437</v>
      </c>
      <c r="D256" s="5" t="str">
        <f>VLOOKUP(C256,[1]master_data!$A$2:$E$495,2,FALSE)</f>
        <v>RED EYE TETRA</v>
      </c>
      <c r="E256" s="5">
        <v>30</v>
      </c>
      <c r="F256" s="5">
        <f>VLOOKUP(C256,[1]master_data!$A$2:$E$495,3,FALSE)</f>
        <v>900</v>
      </c>
      <c r="G256" s="5">
        <f>VLOOKUP(C256,[1]master_data!$A$2:$E$495,4,FALSE)</f>
        <v>2000</v>
      </c>
      <c r="H256" s="5">
        <f t="shared" si="15"/>
        <v>27000</v>
      </c>
      <c r="I256" s="5">
        <f t="shared" si="16"/>
        <v>60000</v>
      </c>
      <c r="J256" s="5">
        <f t="shared" si="17"/>
        <v>33000</v>
      </c>
      <c r="K256" s="5" t="str">
        <f>VLOOKUP(C256,[1]master_data!$A$2:$E$495,5,FALSE)</f>
        <v>Ikan</v>
      </c>
      <c r="L256" s="5" t="s">
        <v>471</v>
      </c>
    </row>
    <row r="257" spans="1:12" ht="12" customHeight="1" x14ac:dyDescent="0.25">
      <c r="A257" s="6">
        <v>44896</v>
      </c>
      <c r="B257" s="1">
        <v>2204306</v>
      </c>
      <c r="C257" s="5" t="s">
        <v>210</v>
      </c>
      <c r="D257" s="5" t="str">
        <f>VLOOKUP(C257,[1]master_data!$A$2:$E$495,2,FALSE)</f>
        <v>TETRA BITS 30 GR</v>
      </c>
      <c r="E257" s="5">
        <v>1</v>
      </c>
      <c r="F257" s="5">
        <f>VLOOKUP(C257,[1]master_data!$A$2:$E$495,3,FALSE)</f>
        <v>32000</v>
      </c>
      <c r="G257" s="5">
        <f>VLOOKUP(C257,[1]master_data!$A$2:$E$495,4,FALSE)</f>
        <v>45000</v>
      </c>
      <c r="H257" s="5">
        <f t="shared" si="15"/>
        <v>32000</v>
      </c>
      <c r="I257" s="5">
        <f t="shared" si="16"/>
        <v>45000</v>
      </c>
      <c r="J257" s="5">
        <f t="shared" si="17"/>
        <v>13000</v>
      </c>
      <c r="K257" s="5" t="str">
        <f>VLOOKUP(C257,[1]master_data!$A$2:$E$495,5,FALSE)</f>
        <v>Aksesoris</v>
      </c>
      <c r="L257" s="5" t="s">
        <v>471</v>
      </c>
    </row>
    <row r="258" spans="1:12" ht="12" customHeight="1" x14ac:dyDescent="0.25">
      <c r="A258" s="6">
        <v>44896</v>
      </c>
      <c r="B258" s="1">
        <v>2204305</v>
      </c>
      <c r="C258" s="5" t="s">
        <v>420</v>
      </c>
      <c r="D258" s="5" t="str">
        <f>VLOOKUP(C258,[1]master_data!$A$2:$E$495,2,FALSE)</f>
        <v>KAVIAT</v>
      </c>
      <c r="E258" s="5">
        <v>15</v>
      </c>
      <c r="F258" s="5">
        <f>VLOOKUP(C258,[1]master_data!$A$2:$E$495,3,FALSE)</f>
        <v>3500</v>
      </c>
      <c r="G258" s="5">
        <f>VLOOKUP(C258,[1]master_data!$A$2:$E$495,4,FALSE)</f>
        <v>8000</v>
      </c>
      <c r="H258" s="5">
        <f t="shared" si="15"/>
        <v>52500</v>
      </c>
      <c r="I258" s="5">
        <f t="shared" si="16"/>
        <v>120000</v>
      </c>
      <c r="J258" s="5">
        <f t="shared" si="17"/>
        <v>67500</v>
      </c>
      <c r="K258" s="5" t="str">
        <f>VLOOKUP(C258,[1]master_data!$A$2:$E$495,5,FALSE)</f>
        <v>Ikan</v>
      </c>
      <c r="L258" s="5" t="s">
        <v>471</v>
      </c>
    </row>
    <row r="259" spans="1:12" ht="12" customHeight="1" x14ac:dyDescent="0.25">
      <c r="A259" s="6">
        <v>44896</v>
      </c>
      <c r="B259" s="1">
        <v>2204304</v>
      </c>
      <c r="C259" s="5" t="s">
        <v>431</v>
      </c>
      <c r="D259" s="5" t="str">
        <f>VLOOKUP(C259,[1]master_data!$A$2:$E$495,2,FALSE)</f>
        <v>MANFISH B</v>
      </c>
      <c r="E259" s="5">
        <v>15</v>
      </c>
      <c r="F259" s="5">
        <f>VLOOKUP(C259,[1]master_data!$A$2:$E$495,3,FALSE)</f>
        <v>4000</v>
      </c>
      <c r="G259" s="5">
        <f>VLOOKUP(C259,[1]master_data!$A$2:$E$495,4,FALSE)</f>
        <v>10000</v>
      </c>
      <c r="H259" s="5">
        <f t="shared" si="15"/>
        <v>60000</v>
      </c>
      <c r="I259" s="5">
        <f t="shared" si="16"/>
        <v>150000</v>
      </c>
      <c r="J259" s="5">
        <f t="shared" si="17"/>
        <v>90000</v>
      </c>
      <c r="K259" s="5" t="str">
        <f>VLOOKUP(C259,[1]master_data!$A$2:$E$495,5,FALSE)</f>
        <v>Ikan</v>
      </c>
      <c r="L259" s="5" t="s">
        <v>471</v>
      </c>
    </row>
    <row r="260" spans="1:12" ht="12" customHeight="1" x14ac:dyDescent="0.25">
      <c r="A260" s="6">
        <v>44896</v>
      </c>
      <c r="B260" s="1">
        <v>2204303</v>
      </c>
      <c r="C260" s="5" t="s">
        <v>425</v>
      </c>
      <c r="D260" s="5" t="str">
        <f>VLOOKUP(C260,[1]master_data!$A$2:$E$495,2,FALSE)</f>
        <v>CAROLINE</v>
      </c>
      <c r="E260" s="5">
        <v>10</v>
      </c>
      <c r="F260" s="5">
        <f>VLOOKUP(C260,[1]master_data!$A$2:$E$495,3,FALSE)</f>
        <v>900</v>
      </c>
      <c r="G260" s="5">
        <f>VLOOKUP(C260,[1]master_data!$A$2:$E$495,4,FALSE)</f>
        <v>2000</v>
      </c>
      <c r="H260" s="5">
        <f t="shared" si="15"/>
        <v>9000</v>
      </c>
      <c r="I260" s="5">
        <f t="shared" si="16"/>
        <v>20000</v>
      </c>
      <c r="J260" s="5">
        <f t="shared" si="17"/>
        <v>11000</v>
      </c>
      <c r="K260" s="5" t="str">
        <f>VLOOKUP(C260,[1]master_data!$A$2:$E$495,5,FALSE)</f>
        <v>Ikan</v>
      </c>
      <c r="L260" s="5" t="s">
        <v>471</v>
      </c>
    </row>
    <row r="261" spans="1:12" ht="12" customHeight="1" x14ac:dyDescent="0.25">
      <c r="A261" s="6">
        <v>44896</v>
      </c>
      <c r="B261" s="1">
        <v>2204302</v>
      </c>
      <c r="C261" s="5" t="s">
        <v>256</v>
      </c>
      <c r="D261" s="5" t="str">
        <f>VLOOKUP(C261,[1]master_data!$A$2:$E$495,2,FALSE)</f>
        <v>BACKGROUND</v>
      </c>
      <c r="E261" s="5">
        <v>25</v>
      </c>
      <c r="F261" s="5">
        <f>VLOOKUP(C261,[1]master_data!$A$2:$E$495,3,FALSE)</f>
        <v>8000</v>
      </c>
      <c r="G261" s="5">
        <f>VLOOKUP(C261,[1]master_data!$A$2:$E$495,4,FALSE)</f>
        <v>15000</v>
      </c>
      <c r="H261" s="5">
        <f t="shared" ref="H261:H324" si="18">E261*F261</f>
        <v>200000</v>
      </c>
      <c r="I261" s="5">
        <f t="shared" ref="I261:I324" si="19">E261*G261</f>
        <v>375000</v>
      </c>
      <c r="J261" s="5">
        <f t="shared" ref="J261:J324" si="20">I261-H261</f>
        <v>175000</v>
      </c>
      <c r="K261" s="5" t="str">
        <f>VLOOKUP(C261,[1]master_data!$A$2:$E$495,5,FALSE)</f>
        <v>Aksesoris</v>
      </c>
      <c r="L261" s="5" t="s">
        <v>471</v>
      </c>
    </row>
    <row r="262" spans="1:12" ht="12" customHeight="1" x14ac:dyDescent="0.25">
      <c r="A262" s="6">
        <v>44896</v>
      </c>
      <c r="B262" s="1">
        <v>2204301</v>
      </c>
      <c r="C262" s="5" t="s">
        <v>149</v>
      </c>
      <c r="D262" s="5" t="str">
        <f>VLOOKUP(C262,[1]master_data!$A$2:$E$495,2,FALSE)</f>
        <v>LED VOSSO 50-60 CM</v>
      </c>
      <c r="E262" s="5">
        <v>4</v>
      </c>
      <c r="F262" s="5">
        <f>VLOOKUP(C262,[1]master_data!$A$2:$E$495,3,FALSE)</f>
        <v>50000</v>
      </c>
      <c r="G262" s="5">
        <f>VLOOKUP(C262,[1]master_data!$A$2:$E$495,4,FALSE)</f>
        <v>75000</v>
      </c>
      <c r="H262" s="5">
        <f t="shared" si="18"/>
        <v>200000</v>
      </c>
      <c r="I262" s="5">
        <f t="shared" si="19"/>
        <v>300000</v>
      </c>
      <c r="J262" s="5">
        <f t="shared" si="20"/>
        <v>100000</v>
      </c>
      <c r="K262" s="5" t="str">
        <f>VLOOKUP(C262,[1]master_data!$A$2:$E$495,5,FALSE)</f>
        <v>Aksesoris</v>
      </c>
      <c r="L262" s="5" t="s">
        <v>471</v>
      </c>
    </row>
    <row r="263" spans="1:12" ht="12" customHeight="1" x14ac:dyDescent="0.25">
      <c r="A263" s="6">
        <v>44896</v>
      </c>
      <c r="B263" s="1">
        <v>2204300</v>
      </c>
      <c r="C263" s="5" t="s">
        <v>62</v>
      </c>
      <c r="D263" s="5" t="str">
        <f>VLOOKUP(C263,[1]master_data!$A$2:$E$495,2,FALSE)</f>
        <v>MESIN SUSUN 3000</v>
      </c>
      <c r="E263" s="5">
        <v>1</v>
      </c>
      <c r="F263" s="5">
        <f>VLOOKUP(C263,[1]master_data!$A$2:$E$495,3,FALSE)</f>
        <v>409000</v>
      </c>
      <c r="G263" s="5">
        <f>VLOOKUP(C263,[1]master_data!$A$2:$E$495,4,FALSE)</f>
        <v>450000</v>
      </c>
      <c r="H263" s="5">
        <f t="shared" si="18"/>
        <v>409000</v>
      </c>
      <c r="I263" s="5">
        <f t="shared" si="19"/>
        <v>450000</v>
      </c>
      <c r="J263" s="5">
        <f t="shared" si="20"/>
        <v>41000</v>
      </c>
      <c r="K263" s="5" t="str">
        <f>VLOOKUP(C263,[1]master_data!$A$2:$E$495,5,FALSE)</f>
        <v>Aksesoris</v>
      </c>
      <c r="L263" s="5" t="s">
        <v>471</v>
      </c>
    </row>
    <row r="264" spans="1:12" ht="12" customHeight="1" x14ac:dyDescent="0.25">
      <c r="A264" s="6">
        <v>44896</v>
      </c>
      <c r="B264" s="1">
        <v>2204299</v>
      </c>
      <c r="C264" s="5" t="s">
        <v>254</v>
      </c>
      <c r="D264" s="5" t="str">
        <f>VLOOKUP(C264,[1]master_data!$A$2:$E$495,2,FALSE)</f>
        <v>STOP KUTU</v>
      </c>
      <c r="E264" s="5">
        <v>5</v>
      </c>
      <c r="F264" s="5">
        <f>VLOOKUP(C264,[1]master_data!$A$2:$E$495,3,FALSE)</f>
        <v>10000</v>
      </c>
      <c r="G264" s="5">
        <f>VLOOKUP(C264,[1]master_data!$A$2:$E$495,4,FALSE)</f>
        <v>15000</v>
      </c>
      <c r="H264" s="5">
        <f t="shared" si="18"/>
        <v>50000</v>
      </c>
      <c r="I264" s="5">
        <f t="shared" si="19"/>
        <v>75000</v>
      </c>
      <c r="J264" s="5">
        <f t="shared" si="20"/>
        <v>25000</v>
      </c>
      <c r="K264" s="5" t="str">
        <f>VLOOKUP(C264,[1]master_data!$A$2:$E$495,5,FALSE)</f>
        <v>Aksesoris</v>
      </c>
      <c r="L264" s="5" t="s">
        <v>471</v>
      </c>
    </row>
    <row r="265" spans="1:12" ht="12" customHeight="1" x14ac:dyDescent="0.25">
      <c r="A265" s="6">
        <v>44896</v>
      </c>
      <c r="B265" s="1">
        <v>2204298</v>
      </c>
      <c r="C265" s="5" t="s">
        <v>463</v>
      </c>
      <c r="D265" s="5" t="str">
        <f>VLOOKUP(C265,[1]master_data!$A$2:$E$495,2,FALSE)</f>
        <v>CHANNA STEWARTI</v>
      </c>
      <c r="E265" s="5">
        <v>2</v>
      </c>
      <c r="F265" s="5">
        <f>VLOOKUP(C265,[1]master_data!$A$2:$E$495,3,FALSE)</f>
        <v>15000</v>
      </c>
      <c r="G265" s="5">
        <f>VLOOKUP(C265,[1]master_data!$A$2:$E$495,4,FALSE)</f>
        <v>40000</v>
      </c>
      <c r="H265" s="5">
        <f t="shared" si="18"/>
        <v>30000</v>
      </c>
      <c r="I265" s="5">
        <f t="shared" si="19"/>
        <v>80000</v>
      </c>
      <c r="J265" s="5">
        <f t="shared" si="20"/>
        <v>50000</v>
      </c>
      <c r="K265" s="5" t="str">
        <f>VLOOKUP(C265,[1]master_data!$A$2:$E$495,5,FALSE)</f>
        <v>Ikan</v>
      </c>
      <c r="L265" s="5" t="s">
        <v>471</v>
      </c>
    </row>
    <row r="266" spans="1:12" ht="12" customHeight="1" x14ac:dyDescent="0.25">
      <c r="A266" s="6">
        <v>44895</v>
      </c>
      <c r="B266" s="1">
        <v>2204297</v>
      </c>
      <c r="C266" s="5" t="s">
        <v>419</v>
      </c>
      <c r="D266" s="5" t="str">
        <f>VLOOKUP(C266,[1]master_data!$A$2:$E$495,2,FALSE)</f>
        <v>KURA - KURA</v>
      </c>
      <c r="E266" s="5">
        <v>5</v>
      </c>
      <c r="F266" s="5">
        <f>VLOOKUP(C266,[1]master_data!$A$2:$E$495,3,FALSE)</f>
        <v>25000</v>
      </c>
      <c r="G266" s="5">
        <f>VLOOKUP(C266,[1]master_data!$A$2:$E$495,4,FALSE)</f>
        <v>35000</v>
      </c>
      <c r="H266" s="5">
        <f t="shared" si="18"/>
        <v>125000</v>
      </c>
      <c r="I266" s="5">
        <f t="shared" si="19"/>
        <v>175000</v>
      </c>
      <c r="J266" s="5">
        <f t="shared" si="20"/>
        <v>50000</v>
      </c>
      <c r="K266" s="5" t="str">
        <f>VLOOKUP(C266,[1]master_data!$A$2:$E$495,5,FALSE)</f>
        <v>Ikan</v>
      </c>
      <c r="L266" s="5" t="s">
        <v>471</v>
      </c>
    </row>
    <row r="267" spans="1:12" ht="12" customHeight="1" x14ac:dyDescent="0.25">
      <c r="A267" s="6">
        <v>44895</v>
      </c>
      <c r="B267" s="1">
        <v>2204296</v>
      </c>
      <c r="C267" s="5" t="s">
        <v>297</v>
      </c>
      <c r="D267" s="5" t="str">
        <f>VLOOKUP(C267,[1]master_data!$A$2:$E$495,2,FALSE)</f>
        <v>MAGNET M</v>
      </c>
      <c r="E267" s="5">
        <v>10</v>
      </c>
      <c r="F267" s="5">
        <f>VLOOKUP(C267,[1]master_data!$A$2:$E$495,3,FALSE)</f>
        <v>36000</v>
      </c>
      <c r="G267" s="5">
        <f>VLOOKUP(C267,[1]master_data!$A$2:$E$495,4,FALSE)</f>
        <v>50000</v>
      </c>
      <c r="H267" s="5">
        <f t="shared" si="18"/>
        <v>360000</v>
      </c>
      <c r="I267" s="5">
        <f t="shared" si="19"/>
        <v>500000</v>
      </c>
      <c r="J267" s="5">
        <f t="shared" si="20"/>
        <v>140000</v>
      </c>
      <c r="K267" s="5" t="str">
        <f>VLOOKUP(C267,[1]master_data!$A$2:$E$495,5,FALSE)</f>
        <v>Aksesoris</v>
      </c>
      <c r="L267" s="5" t="s">
        <v>471</v>
      </c>
    </row>
    <row r="268" spans="1:12" ht="12" customHeight="1" x14ac:dyDescent="0.25">
      <c r="A268" s="6">
        <v>44895</v>
      </c>
      <c r="B268" s="1">
        <v>2204295</v>
      </c>
      <c r="C268" s="5" t="s">
        <v>299</v>
      </c>
      <c r="D268" s="5" t="str">
        <f>VLOOKUP(C268,[1]master_data!$A$2:$E$495,2,FALSE)</f>
        <v>MAINAN ARCA</v>
      </c>
      <c r="E268" s="5">
        <v>1</v>
      </c>
      <c r="F268" s="5">
        <f>VLOOKUP(C268,[1]master_data!$A$2:$E$495,3,FALSE)</f>
        <v>16500</v>
      </c>
      <c r="G268" s="5">
        <f>VLOOKUP(C268,[1]master_data!$A$2:$E$495,4,FALSE)</f>
        <v>30000</v>
      </c>
      <c r="H268" s="5">
        <f t="shared" si="18"/>
        <v>16500</v>
      </c>
      <c r="I268" s="5">
        <f t="shared" si="19"/>
        <v>30000</v>
      </c>
      <c r="J268" s="5">
        <f t="shared" si="20"/>
        <v>13500</v>
      </c>
      <c r="K268" s="5" t="str">
        <f>VLOOKUP(C268,[1]master_data!$A$2:$E$495,5,FALSE)</f>
        <v>Aksesoris</v>
      </c>
      <c r="L268" s="5" t="s">
        <v>471</v>
      </c>
    </row>
    <row r="269" spans="1:12" ht="12" customHeight="1" x14ac:dyDescent="0.25">
      <c r="A269" s="6">
        <v>44895</v>
      </c>
      <c r="B269" s="1">
        <v>2204294</v>
      </c>
      <c r="C269" s="5" t="s">
        <v>394</v>
      </c>
      <c r="D269" s="5" t="str">
        <f>VLOOKUP(C269,[1]master_data!$A$2:$E$495,2,FALSE)</f>
        <v>ARWANA SILVER K</v>
      </c>
      <c r="E269" s="5">
        <v>1</v>
      </c>
      <c r="F269" s="5">
        <f>VLOOKUP(C269,[1]master_data!$A$2:$E$495,3,FALSE)</f>
        <v>100000</v>
      </c>
      <c r="G269" s="5">
        <f>VLOOKUP(C269,[1]master_data!$A$2:$E$495,4,FALSE)</f>
        <v>200000</v>
      </c>
      <c r="H269" s="5">
        <f t="shared" si="18"/>
        <v>100000</v>
      </c>
      <c r="I269" s="5">
        <f t="shared" si="19"/>
        <v>200000</v>
      </c>
      <c r="J269" s="5">
        <f t="shared" si="20"/>
        <v>100000</v>
      </c>
      <c r="K269" s="5" t="str">
        <f>VLOOKUP(C269,[1]master_data!$A$2:$E$495,5,FALSE)</f>
        <v>Ikan</v>
      </c>
      <c r="L269" s="5" t="s">
        <v>471</v>
      </c>
    </row>
    <row r="270" spans="1:12" ht="12" customHeight="1" x14ac:dyDescent="0.25">
      <c r="A270" s="6">
        <v>44895</v>
      </c>
      <c r="B270" s="1">
        <v>2204293</v>
      </c>
      <c r="C270" s="5" t="s">
        <v>402</v>
      </c>
      <c r="D270" s="5" t="str">
        <f>VLOOKUP(C270,[1]master_data!$A$2:$E$495,2,FALSE)</f>
        <v>BLACK GHOST</v>
      </c>
      <c r="E270" s="5">
        <v>26</v>
      </c>
      <c r="F270" s="5">
        <f>VLOOKUP(C270,[1]master_data!$A$2:$E$495,3,FALSE)</f>
        <v>4000</v>
      </c>
      <c r="G270" s="5">
        <f>VLOOKUP(C270,[1]master_data!$A$2:$E$495,4,FALSE)</f>
        <v>10000</v>
      </c>
      <c r="H270" s="5">
        <f t="shared" si="18"/>
        <v>104000</v>
      </c>
      <c r="I270" s="5">
        <f t="shared" si="19"/>
        <v>260000</v>
      </c>
      <c r="J270" s="5">
        <f t="shared" si="20"/>
        <v>156000</v>
      </c>
      <c r="K270" s="5" t="str">
        <f>VLOOKUP(C270,[1]master_data!$A$2:$E$495,5,FALSE)</f>
        <v>Ikan</v>
      </c>
      <c r="L270" s="5" t="s">
        <v>471</v>
      </c>
    </row>
    <row r="271" spans="1:12" ht="12" customHeight="1" x14ac:dyDescent="0.25">
      <c r="A271" s="6">
        <v>44895</v>
      </c>
      <c r="B271" s="1">
        <v>2204292</v>
      </c>
      <c r="C271" s="5" t="s">
        <v>33</v>
      </c>
      <c r="D271" s="5" t="str">
        <f>VLOOKUP(C271,[1]master_data!$A$2:$E$495,2,FALSE)</f>
        <v>MESIN YAMANO 1200</v>
      </c>
      <c r="E271" s="5">
        <v>5</v>
      </c>
      <c r="F271" s="5">
        <f>VLOOKUP(C271,[1]master_data!$A$2:$E$495,3,FALSE)</f>
        <v>27000</v>
      </c>
      <c r="G271" s="5">
        <f>VLOOKUP(C271,[1]master_data!$A$2:$E$495,4,FALSE)</f>
        <v>40000</v>
      </c>
      <c r="H271" s="5">
        <f t="shared" si="18"/>
        <v>135000</v>
      </c>
      <c r="I271" s="5">
        <f t="shared" si="19"/>
        <v>200000</v>
      </c>
      <c r="J271" s="5">
        <f t="shared" si="20"/>
        <v>65000</v>
      </c>
      <c r="K271" s="5" t="str">
        <f>VLOOKUP(C271,[1]master_data!$A$2:$E$495,5,FALSE)</f>
        <v>Aksesoris</v>
      </c>
      <c r="L271" s="5" t="s">
        <v>471</v>
      </c>
    </row>
    <row r="272" spans="1:12" ht="12" customHeight="1" x14ac:dyDescent="0.25">
      <c r="A272" s="6">
        <v>44895</v>
      </c>
      <c r="B272" s="1">
        <v>2204291</v>
      </c>
      <c r="C272" s="5" t="s">
        <v>185</v>
      </c>
      <c r="D272" s="5" t="str">
        <f>VLOOKUP(C272,[1]master_data!$A$2:$E$495,2,FALSE)</f>
        <v>LED RECENT DnN 40 CM</v>
      </c>
      <c r="E272" s="5">
        <v>5</v>
      </c>
      <c r="F272" s="5">
        <f>VLOOKUP(C272,[1]master_data!$A$2:$E$495,3,FALSE)</f>
        <v>29000</v>
      </c>
      <c r="G272" s="5">
        <f>VLOOKUP(C272,[1]master_data!$A$2:$E$495,4,FALSE)</f>
        <v>50000</v>
      </c>
      <c r="H272" s="5">
        <f t="shared" si="18"/>
        <v>145000</v>
      </c>
      <c r="I272" s="5">
        <f t="shared" si="19"/>
        <v>250000</v>
      </c>
      <c r="J272" s="5">
        <f t="shared" si="20"/>
        <v>105000</v>
      </c>
      <c r="K272" s="5" t="str">
        <f>VLOOKUP(C272,[1]master_data!$A$2:$E$495,5,FALSE)</f>
        <v>Aksesoris</v>
      </c>
      <c r="L272" s="5" t="s">
        <v>471</v>
      </c>
    </row>
    <row r="273" spans="1:12" ht="12" customHeight="1" x14ac:dyDescent="0.25">
      <c r="A273" s="6">
        <v>44895</v>
      </c>
      <c r="B273" s="1">
        <v>2204290</v>
      </c>
      <c r="C273" s="5" t="s">
        <v>129</v>
      </c>
      <c r="D273" s="5" t="str">
        <f>VLOOKUP(C273,[1]master_data!$A$2:$E$495,2,FALSE)</f>
        <v>LED YAMANO S400</v>
      </c>
      <c r="E273" s="5">
        <v>2</v>
      </c>
      <c r="F273" s="5">
        <f>VLOOKUP(C273,[1]master_data!$A$2:$E$495,3,FALSE)</f>
        <v>50000</v>
      </c>
      <c r="G273" s="5">
        <f>VLOOKUP(C273,[1]master_data!$A$2:$E$495,4,FALSE)</f>
        <v>75000</v>
      </c>
      <c r="H273" s="5">
        <f t="shared" si="18"/>
        <v>100000</v>
      </c>
      <c r="I273" s="5">
        <f t="shared" si="19"/>
        <v>150000</v>
      </c>
      <c r="J273" s="5">
        <f t="shared" si="20"/>
        <v>50000</v>
      </c>
      <c r="K273" s="5" t="str">
        <f>VLOOKUP(C273,[1]master_data!$A$2:$E$495,5,FALSE)</f>
        <v>Aksesoris</v>
      </c>
      <c r="L273" s="5" t="s">
        <v>471</v>
      </c>
    </row>
    <row r="274" spans="1:12" ht="12" customHeight="1" x14ac:dyDescent="0.25">
      <c r="A274" s="6">
        <v>44895</v>
      </c>
      <c r="B274" s="1">
        <v>2204289</v>
      </c>
      <c r="C274" s="5" t="s">
        <v>421</v>
      </c>
      <c r="D274" s="5" t="str">
        <f>VLOOKUP(C274,[1]master_data!$A$2:$E$495,2,FALSE)</f>
        <v>KOMET PAKAN</v>
      </c>
      <c r="E274" s="5">
        <v>15</v>
      </c>
      <c r="F274" s="5">
        <f>VLOOKUP(C274,[1]master_data!$A$2:$E$495,3,FALSE)</f>
        <v>300</v>
      </c>
      <c r="G274" s="5">
        <f>VLOOKUP(C274,[1]master_data!$A$2:$E$495,4,FALSE)</f>
        <v>1000</v>
      </c>
      <c r="H274" s="5">
        <f t="shared" si="18"/>
        <v>4500</v>
      </c>
      <c r="I274" s="5">
        <f t="shared" si="19"/>
        <v>15000</v>
      </c>
      <c r="J274" s="5">
        <f t="shared" si="20"/>
        <v>10500</v>
      </c>
      <c r="K274" s="5" t="str">
        <f>VLOOKUP(C274,[1]master_data!$A$2:$E$495,5,FALSE)</f>
        <v>Ikan</v>
      </c>
      <c r="L274" s="5" t="s">
        <v>471</v>
      </c>
    </row>
    <row r="275" spans="1:12" ht="12" customHeight="1" x14ac:dyDescent="0.25">
      <c r="A275" s="6">
        <v>44895</v>
      </c>
      <c r="B275" s="1">
        <v>2204288</v>
      </c>
      <c r="C275" s="5" t="s">
        <v>260</v>
      </c>
      <c r="D275" s="5" t="str">
        <f>VLOOKUP(C275,[1]master_data!$A$2:$E$495,2,FALSE)</f>
        <v>BUNGA K</v>
      </c>
      <c r="E275" s="5">
        <v>10</v>
      </c>
      <c r="F275" s="5">
        <f>VLOOKUP(C275,[1]master_data!$A$2:$E$495,3,FALSE)</f>
        <v>2500</v>
      </c>
      <c r="G275" s="5">
        <f>VLOOKUP(C275,[1]master_data!$A$2:$E$495,4,FALSE)</f>
        <v>5000</v>
      </c>
      <c r="H275" s="5">
        <f t="shared" si="18"/>
        <v>25000</v>
      </c>
      <c r="I275" s="5">
        <f t="shared" si="19"/>
        <v>50000</v>
      </c>
      <c r="J275" s="5">
        <f t="shared" si="20"/>
        <v>25000</v>
      </c>
      <c r="K275" s="5" t="str">
        <f>VLOOKUP(C275,[1]master_data!$A$2:$E$495,5,FALSE)</f>
        <v>Aksesoris</v>
      </c>
      <c r="L275" s="5" t="s">
        <v>471</v>
      </c>
    </row>
    <row r="276" spans="1:12" ht="12" customHeight="1" x14ac:dyDescent="0.25">
      <c r="A276" s="6">
        <v>44894</v>
      </c>
      <c r="B276" s="1">
        <v>2204287</v>
      </c>
      <c r="C276" s="5" t="s">
        <v>428</v>
      </c>
      <c r="D276" s="5" t="str">
        <f>VLOOKUP(C276,[1]master_data!$A$2:$E$495,2,FALSE)</f>
        <v>LOUHAN</v>
      </c>
      <c r="E276" s="5">
        <v>1</v>
      </c>
      <c r="F276" s="5">
        <f>VLOOKUP(C276,[1]master_data!$A$2:$E$495,3,FALSE)</f>
        <v>85000</v>
      </c>
      <c r="G276" s="5">
        <f>VLOOKUP(C276,[1]master_data!$A$2:$E$495,4,FALSE)</f>
        <v>200000</v>
      </c>
      <c r="H276" s="5">
        <f t="shared" si="18"/>
        <v>85000</v>
      </c>
      <c r="I276" s="5">
        <f t="shared" si="19"/>
        <v>200000</v>
      </c>
      <c r="J276" s="5">
        <f t="shared" si="20"/>
        <v>115000</v>
      </c>
      <c r="K276" s="5" t="str">
        <f>VLOOKUP(C276,[1]master_data!$A$2:$E$495,5,FALSE)</f>
        <v>Ikan</v>
      </c>
      <c r="L276" s="5" t="s">
        <v>471</v>
      </c>
    </row>
    <row r="277" spans="1:12" ht="12" customHeight="1" x14ac:dyDescent="0.25">
      <c r="A277" s="6">
        <v>44894</v>
      </c>
      <c r="B277" s="1">
        <v>2204286</v>
      </c>
      <c r="C277" s="5" t="s">
        <v>105</v>
      </c>
      <c r="D277" s="5" t="str">
        <f>VLOOKUP(C277,[1]master_data!$A$2:$E$495,2,FALSE)</f>
        <v>AIRATOR NIKITA LUB 2</v>
      </c>
      <c r="E277" s="5">
        <v>5</v>
      </c>
      <c r="F277" s="5">
        <f>VLOOKUP(C277,[1]master_data!$A$2:$E$495,3,FALSE)</f>
        <v>30000</v>
      </c>
      <c r="G277" s="5">
        <f>VLOOKUP(C277,[1]master_data!$A$2:$E$495,4,FALSE)</f>
        <v>50000</v>
      </c>
      <c r="H277" s="5">
        <f t="shared" si="18"/>
        <v>150000</v>
      </c>
      <c r="I277" s="5">
        <f t="shared" si="19"/>
        <v>250000</v>
      </c>
      <c r="J277" s="5">
        <f t="shared" si="20"/>
        <v>100000</v>
      </c>
      <c r="K277" s="5" t="str">
        <f>VLOOKUP(C277,[1]master_data!$A$2:$E$495,5,FALSE)</f>
        <v>Aksesoris</v>
      </c>
      <c r="L277" s="5" t="s">
        <v>471</v>
      </c>
    </row>
    <row r="278" spans="1:12" ht="12" customHeight="1" x14ac:dyDescent="0.25">
      <c r="A278" s="6">
        <v>44894</v>
      </c>
      <c r="B278" s="1">
        <v>2204285</v>
      </c>
      <c r="C278" s="5" t="s">
        <v>247</v>
      </c>
      <c r="D278" s="5" t="str">
        <f>VLOOKUP(C278,[1]master_data!$A$2:$E$495,2,FALSE)</f>
        <v>FISH ALL CONTRA BACTERIAL</v>
      </c>
      <c r="E278" s="5">
        <v>1</v>
      </c>
      <c r="F278" s="5">
        <f>VLOOKUP(C278,[1]master_data!$A$2:$E$495,3,FALSE)</f>
        <v>6500</v>
      </c>
      <c r="G278" s="5">
        <f>VLOOKUP(C278,[1]master_data!$A$2:$E$495,4,FALSE)</f>
        <v>12000</v>
      </c>
      <c r="H278" s="5">
        <f t="shared" si="18"/>
        <v>6500</v>
      </c>
      <c r="I278" s="5">
        <f t="shared" si="19"/>
        <v>12000</v>
      </c>
      <c r="J278" s="5">
        <f t="shared" si="20"/>
        <v>5500</v>
      </c>
      <c r="K278" s="5" t="str">
        <f>VLOOKUP(C278,[1]master_data!$A$2:$E$495,5,FALSE)</f>
        <v>Aksesoris</v>
      </c>
      <c r="L278" s="5" t="s">
        <v>471</v>
      </c>
    </row>
    <row r="279" spans="1:12" ht="12" customHeight="1" x14ac:dyDescent="0.25">
      <c r="A279" s="6">
        <v>44894</v>
      </c>
      <c r="B279" s="1">
        <v>2204284</v>
      </c>
      <c r="C279" s="5" t="s">
        <v>427</v>
      </c>
      <c r="D279" s="5" t="str">
        <f>VLOOKUP(C279,[1]master_data!$A$2:$E$495,2,FALSE)</f>
        <v>LEMON</v>
      </c>
      <c r="E279" s="5">
        <v>10</v>
      </c>
      <c r="F279" s="5">
        <f>VLOOKUP(C279,[1]master_data!$A$2:$E$495,3,FALSE)</f>
        <v>1000</v>
      </c>
      <c r="G279" s="5">
        <f>VLOOKUP(C279,[1]master_data!$A$2:$E$495,4,FALSE)</f>
        <v>2000</v>
      </c>
      <c r="H279" s="5">
        <f t="shared" si="18"/>
        <v>10000</v>
      </c>
      <c r="I279" s="5">
        <f t="shared" si="19"/>
        <v>20000</v>
      </c>
      <c r="J279" s="5">
        <f t="shared" si="20"/>
        <v>10000</v>
      </c>
      <c r="K279" s="5" t="str">
        <f>VLOOKUP(C279,[1]master_data!$A$2:$E$495,5,FALSE)</f>
        <v>Ikan</v>
      </c>
      <c r="L279" s="5" t="s">
        <v>471</v>
      </c>
    </row>
    <row r="280" spans="1:12" ht="12" customHeight="1" x14ac:dyDescent="0.25">
      <c r="A280" s="6">
        <v>44894</v>
      </c>
      <c r="B280" s="1">
        <v>2204283</v>
      </c>
      <c r="C280" s="5" t="s">
        <v>122</v>
      </c>
      <c r="D280" s="5" t="str">
        <f>VLOOKUP(C280,[1]master_data!$A$2:$E$495,2,FALSE)</f>
        <v>LED ROSTON 60 CM</v>
      </c>
      <c r="E280" s="5">
        <v>2</v>
      </c>
      <c r="F280" s="5">
        <f>VLOOKUP(C280,[1]master_data!$A$2:$E$495,3,FALSE)</f>
        <v>28000</v>
      </c>
      <c r="G280" s="5">
        <f>VLOOKUP(C280,[1]master_data!$A$2:$E$495,4,FALSE)</f>
        <v>60000</v>
      </c>
      <c r="H280" s="5">
        <f t="shared" si="18"/>
        <v>56000</v>
      </c>
      <c r="I280" s="5">
        <f t="shared" si="19"/>
        <v>120000</v>
      </c>
      <c r="J280" s="5">
        <f t="shared" si="20"/>
        <v>64000</v>
      </c>
      <c r="K280" s="5" t="str">
        <f>VLOOKUP(C280,[1]master_data!$A$2:$E$495,5,FALSE)</f>
        <v>Aksesoris</v>
      </c>
      <c r="L280" s="5" t="s">
        <v>471</v>
      </c>
    </row>
    <row r="281" spans="1:12" ht="12" customHeight="1" x14ac:dyDescent="0.25">
      <c r="A281" s="6">
        <v>44894</v>
      </c>
      <c r="B281" s="1">
        <v>2204282</v>
      </c>
      <c r="C281" s="5" t="s">
        <v>112</v>
      </c>
      <c r="D281" s="5" t="str">
        <f>VLOOKUP(C281,[1]master_data!$A$2:$E$495,2,FALSE)</f>
        <v>LED ROSTON 20 CM</v>
      </c>
      <c r="E281" s="5">
        <v>1</v>
      </c>
      <c r="F281" s="5">
        <f>VLOOKUP(C281,[1]master_data!$A$2:$E$495,3,FALSE)</f>
        <v>21000</v>
      </c>
      <c r="G281" s="5">
        <f>VLOOKUP(C281,[1]master_data!$A$2:$E$495,4,FALSE)</f>
        <v>30000</v>
      </c>
      <c r="H281" s="5">
        <f t="shared" si="18"/>
        <v>21000</v>
      </c>
      <c r="I281" s="5">
        <f t="shared" si="19"/>
        <v>30000</v>
      </c>
      <c r="J281" s="5">
        <f t="shared" si="20"/>
        <v>9000</v>
      </c>
      <c r="K281" s="5" t="str">
        <f>VLOOKUP(C281,[1]master_data!$A$2:$E$495,5,FALSE)</f>
        <v>Aksesoris</v>
      </c>
      <c r="L281" s="5" t="s">
        <v>471</v>
      </c>
    </row>
    <row r="282" spans="1:12" ht="12" customHeight="1" x14ac:dyDescent="0.25">
      <c r="A282" s="6">
        <v>44894</v>
      </c>
      <c r="B282" s="1">
        <v>2204281</v>
      </c>
      <c r="C282" s="5" t="s">
        <v>256</v>
      </c>
      <c r="D282" s="5" t="str">
        <f>VLOOKUP(C282,[1]master_data!$A$2:$E$495,2,FALSE)</f>
        <v>BACKGROUND</v>
      </c>
      <c r="E282" s="5">
        <v>15</v>
      </c>
      <c r="F282" s="5">
        <f>VLOOKUP(C282,[1]master_data!$A$2:$E$495,3,FALSE)</f>
        <v>8000</v>
      </c>
      <c r="G282" s="5">
        <f>VLOOKUP(C282,[1]master_data!$A$2:$E$495,4,FALSE)</f>
        <v>15000</v>
      </c>
      <c r="H282" s="5">
        <f t="shared" si="18"/>
        <v>120000</v>
      </c>
      <c r="I282" s="5">
        <f t="shared" si="19"/>
        <v>225000</v>
      </c>
      <c r="J282" s="5">
        <f t="shared" si="20"/>
        <v>105000</v>
      </c>
      <c r="K282" s="5" t="str">
        <f>VLOOKUP(C282,[1]master_data!$A$2:$E$495,5,FALSE)</f>
        <v>Aksesoris</v>
      </c>
      <c r="L282" s="5" t="s">
        <v>471</v>
      </c>
    </row>
    <row r="283" spans="1:12" ht="12" customHeight="1" x14ac:dyDescent="0.25">
      <c r="A283" s="6">
        <v>44894</v>
      </c>
      <c r="B283" s="1">
        <v>2204280</v>
      </c>
      <c r="C283" s="5" t="s">
        <v>440</v>
      </c>
      <c r="D283" s="5" t="str">
        <f>VLOOKUP(C283,[1]master_data!$A$2:$E$495,2,FALSE)</f>
        <v>OSCAR</v>
      </c>
      <c r="E283" s="5">
        <v>1</v>
      </c>
      <c r="F283" s="5">
        <f>VLOOKUP(C283,[1]master_data!$A$2:$E$495,3,FALSE)</f>
        <v>25000</v>
      </c>
      <c r="G283" s="5">
        <f>VLOOKUP(C283,[1]master_data!$A$2:$E$495,4,FALSE)</f>
        <v>50000</v>
      </c>
      <c r="H283" s="5">
        <f t="shared" si="18"/>
        <v>25000</v>
      </c>
      <c r="I283" s="5">
        <f t="shared" si="19"/>
        <v>50000</v>
      </c>
      <c r="J283" s="5">
        <f t="shared" si="20"/>
        <v>25000</v>
      </c>
      <c r="K283" s="5" t="str">
        <f>VLOOKUP(C283,[1]master_data!$A$2:$E$495,5,FALSE)</f>
        <v>Ikan</v>
      </c>
      <c r="L283" s="5" t="s">
        <v>471</v>
      </c>
    </row>
    <row r="284" spans="1:12" ht="12" customHeight="1" x14ac:dyDescent="0.25">
      <c r="A284" s="6">
        <v>44894</v>
      </c>
      <c r="B284" s="1">
        <v>2204279</v>
      </c>
      <c r="C284" s="5" t="s">
        <v>415</v>
      </c>
      <c r="D284" s="5" t="str">
        <f>VLOOKUP(C284,[1]master_data!$A$2:$E$495,2,FALSE)</f>
        <v>KOKI B</v>
      </c>
      <c r="E284" s="5">
        <v>3</v>
      </c>
      <c r="F284" s="5">
        <f>VLOOKUP(C284,[1]master_data!$A$2:$E$495,3,FALSE)</f>
        <v>20000</v>
      </c>
      <c r="G284" s="5">
        <f>VLOOKUP(C284,[1]master_data!$A$2:$E$495,4,FALSE)</f>
        <v>50000</v>
      </c>
      <c r="H284" s="5">
        <f t="shared" si="18"/>
        <v>60000</v>
      </c>
      <c r="I284" s="5">
        <f t="shared" si="19"/>
        <v>150000</v>
      </c>
      <c r="J284" s="5">
        <f t="shared" si="20"/>
        <v>90000</v>
      </c>
      <c r="K284" s="5" t="str">
        <f>VLOOKUP(C284,[1]master_data!$A$2:$E$495,5,FALSE)</f>
        <v>Ikan</v>
      </c>
      <c r="L284" s="5" t="s">
        <v>471</v>
      </c>
    </row>
    <row r="285" spans="1:12" ht="12" customHeight="1" x14ac:dyDescent="0.25">
      <c r="A285" s="6">
        <v>44894</v>
      </c>
      <c r="B285" s="1">
        <v>2204278</v>
      </c>
      <c r="C285" s="5" t="s">
        <v>444</v>
      </c>
      <c r="D285" s="5" t="str">
        <f>VLOOKUP(C285,[1]master_data!$A$2:$E$495,2,FALSE)</f>
        <v>PARROT</v>
      </c>
      <c r="E285" s="5">
        <v>1</v>
      </c>
      <c r="F285" s="5">
        <f>VLOOKUP(C285,[1]master_data!$A$2:$E$495,3,FALSE)</f>
        <v>27000</v>
      </c>
      <c r="G285" s="5">
        <f>VLOOKUP(C285,[1]master_data!$A$2:$E$495,4,FALSE)</f>
        <v>60000</v>
      </c>
      <c r="H285" s="5">
        <f t="shared" si="18"/>
        <v>27000</v>
      </c>
      <c r="I285" s="5">
        <f t="shared" si="19"/>
        <v>60000</v>
      </c>
      <c r="J285" s="5">
        <f t="shared" si="20"/>
        <v>33000</v>
      </c>
      <c r="K285" s="5" t="str">
        <f>VLOOKUP(C285,[1]master_data!$A$2:$E$495,5,FALSE)</f>
        <v>Ikan</v>
      </c>
      <c r="L285" s="5" t="s">
        <v>471</v>
      </c>
    </row>
    <row r="286" spans="1:12" ht="12" customHeight="1" x14ac:dyDescent="0.25">
      <c r="A286" s="6">
        <v>44894</v>
      </c>
      <c r="B286" s="1">
        <v>2204277</v>
      </c>
      <c r="C286" s="5" t="s">
        <v>405</v>
      </c>
      <c r="D286" s="5" t="str">
        <f>VLOOKUP(C286,[1]master_data!$A$2:$E$495,2,FALSE)</f>
        <v>KOMET BOKIM</v>
      </c>
      <c r="E286" s="5">
        <v>25</v>
      </c>
      <c r="F286" s="5">
        <f>VLOOKUP(C286,[1]master_data!$A$2:$E$495,3,FALSE)</f>
        <v>1500</v>
      </c>
      <c r="G286" s="5">
        <f>VLOOKUP(C286,[1]master_data!$A$2:$E$495,4,FALSE)</f>
        <v>5000</v>
      </c>
      <c r="H286" s="5">
        <f t="shared" si="18"/>
        <v>37500</v>
      </c>
      <c r="I286" s="5">
        <f t="shared" si="19"/>
        <v>125000</v>
      </c>
      <c r="J286" s="5">
        <f t="shared" si="20"/>
        <v>87500</v>
      </c>
      <c r="K286" s="5" t="str">
        <f>VLOOKUP(C286,[1]master_data!$A$2:$E$495,5,FALSE)</f>
        <v>Ikan</v>
      </c>
      <c r="L286" s="5" t="s">
        <v>471</v>
      </c>
    </row>
    <row r="287" spans="1:12" ht="12" customHeight="1" x14ac:dyDescent="0.25">
      <c r="A287" s="6">
        <v>44893</v>
      </c>
      <c r="B287" s="1">
        <v>2204276</v>
      </c>
      <c r="C287" s="5" t="s">
        <v>437</v>
      </c>
      <c r="D287" s="5" t="str">
        <f>VLOOKUP(C287,[1]master_data!$A$2:$E$495,2,FALSE)</f>
        <v>RED EYE TETRA</v>
      </c>
      <c r="E287" s="5">
        <v>20</v>
      </c>
      <c r="F287" s="5">
        <f>VLOOKUP(C287,[1]master_data!$A$2:$E$495,3,FALSE)</f>
        <v>900</v>
      </c>
      <c r="G287" s="5">
        <f>VLOOKUP(C287,[1]master_data!$A$2:$E$495,4,FALSE)</f>
        <v>2000</v>
      </c>
      <c r="H287" s="5">
        <f t="shared" si="18"/>
        <v>18000</v>
      </c>
      <c r="I287" s="5">
        <f t="shared" si="19"/>
        <v>40000</v>
      </c>
      <c r="J287" s="5">
        <f t="shared" si="20"/>
        <v>22000</v>
      </c>
      <c r="K287" s="5" t="str">
        <f>VLOOKUP(C287,[1]master_data!$A$2:$E$495,5,FALSE)</f>
        <v>Ikan</v>
      </c>
      <c r="L287" s="5" t="s">
        <v>471</v>
      </c>
    </row>
    <row r="288" spans="1:12" ht="12" customHeight="1" x14ac:dyDescent="0.25">
      <c r="A288" s="6">
        <v>44893</v>
      </c>
      <c r="B288" s="1">
        <v>2204275</v>
      </c>
      <c r="C288" s="5" t="s">
        <v>373</v>
      </c>
      <c r="D288" s="5" t="str">
        <f>VLOOKUP(C288,[1]master_data!$A$2:$E$495,2,FALSE)</f>
        <v>PASIR HITAM K</v>
      </c>
      <c r="E288" s="5">
        <v>25</v>
      </c>
      <c r="F288" s="5">
        <f>VLOOKUP(C288,[1]master_data!$A$2:$E$495,3,FALSE)</f>
        <v>2500</v>
      </c>
      <c r="G288" s="5">
        <f>VLOOKUP(C288,[1]master_data!$A$2:$E$495,4,FALSE)</f>
        <v>5000</v>
      </c>
      <c r="H288" s="5">
        <f t="shared" si="18"/>
        <v>62500</v>
      </c>
      <c r="I288" s="5">
        <f t="shared" si="19"/>
        <v>125000</v>
      </c>
      <c r="J288" s="5">
        <f t="shared" si="20"/>
        <v>62500</v>
      </c>
      <c r="K288" s="5" t="str">
        <f>VLOOKUP(C288,[1]master_data!$A$2:$E$495,5,FALSE)</f>
        <v>Aksesoris</v>
      </c>
      <c r="L288" s="5" t="s">
        <v>471</v>
      </c>
    </row>
    <row r="289" spans="1:12" ht="12" customHeight="1" x14ac:dyDescent="0.25">
      <c r="A289" s="6">
        <v>44893</v>
      </c>
      <c r="B289" s="1">
        <v>2204274</v>
      </c>
      <c r="C289" s="5" t="s">
        <v>401</v>
      </c>
      <c r="D289" s="5" t="str">
        <f>VLOOKUP(C289,[1]master_data!$A$2:$E$495,2,FALSE)</f>
        <v>BALA BALA B</v>
      </c>
      <c r="E289" s="5">
        <v>5</v>
      </c>
      <c r="F289" s="5">
        <f>VLOOKUP(C289,[1]master_data!$A$2:$E$495,3,FALSE)</f>
        <v>7000</v>
      </c>
      <c r="G289" s="5">
        <f>VLOOKUP(C289,[1]master_data!$A$2:$E$495,4,FALSE)</f>
        <v>15000</v>
      </c>
      <c r="H289" s="5">
        <f t="shared" si="18"/>
        <v>35000</v>
      </c>
      <c r="I289" s="5">
        <f t="shared" si="19"/>
        <v>75000</v>
      </c>
      <c r="J289" s="5">
        <f t="shared" si="20"/>
        <v>40000</v>
      </c>
      <c r="K289" s="5" t="str">
        <f>VLOOKUP(C289,[1]master_data!$A$2:$E$495,5,FALSE)</f>
        <v>Ikan</v>
      </c>
      <c r="L289" s="5" t="s">
        <v>471</v>
      </c>
    </row>
    <row r="290" spans="1:12" ht="12" customHeight="1" x14ac:dyDescent="0.25">
      <c r="A290" s="6">
        <v>44893</v>
      </c>
      <c r="B290" s="1">
        <v>2204273</v>
      </c>
      <c r="C290" s="5" t="s">
        <v>404</v>
      </c>
      <c r="D290" s="5" t="str">
        <f>VLOOKUP(C290,[1]master_data!$A$2:$E$495,2,FALSE)</f>
        <v>CHANNA BLUE PULCHRA B</v>
      </c>
      <c r="E290" s="5">
        <v>2</v>
      </c>
      <c r="F290" s="5">
        <f>VLOOKUP(C290,[1]master_data!$A$2:$E$495,3,FALSE)</f>
        <v>125000</v>
      </c>
      <c r="G290" s="5">
        <f>VLOOKUP(C290,[1]master_data!$A$2:$E$495,4,FALSE)</f>
        <v>200000</v>
      </c>
      <c r="H290" s="5">
        <f t="shared" si="18"/>
        <v>250000</v>
      </c>
      <c r="I290" s="5">
        <f t="shared" si="19"/>
        <v>400000</v>
      </c>
      <c r="J290" s="5">
        <f t="shared" si="20"/>
        <v>150000</v>
      </c>
      <c r="K290" s="5" t="str">
        <f>VLOOKUP(C290,[1]master_data!$A$2:$E$495,5,FALSE)</f>
        <v>Ikan</v>
      </c>
      <c r="L290" s="5" t="s">
        <v>471</v>
      </c>
    </row>
    <row r="291" spans="1:12" ht="12" customHeight="1" x14ac:dyDescent="0.25">
      <c r="A291" s="6">
        <v>44893</v>
      </c>
      <c r="B291" s="1">
        <v>2204272</v>
      </c>
      <c r="C291" s="5" t="s">
        <v>445</v>
      </c>
      <c r="D291" s="5" t="str">
        <f>VLOOKUP(C291,[1]master_data!$A$2:$E$495,2,FALSE)</f>
        <v>PESO</v>
      </c>
      <c r="E291" s="5">
        <v>5</v>
      </c>
      <c r="F291" s="5">
        <f>VLOOKUP(C291,[1]master_data!$A$2:$E$495,3,FALSE)</f>
        <v>19000</v>
      </c>
      <c r="G291" s="5">
        <f>VLOOKUP(C291,[1]master_data!$A$2:$E$495,4,FALSE)</f>
        <v>40000</v>
      </c>
      <c r="H291" s="5">
        <f t="shared" si="18"/>
        <v>95000</v>
      </c>
      <c r="I291" s="5">
        <f t="shared" si="19"/>
        <v>200000</v>
      </c>
      <c r="J291" s="5">
        <f t="shared" si="20"/>
        <v>105000</v>
      </c>
      <c r="K291" s="5" t="str">
        <f>VLOOKUP(C291,[1]master_data!$A$2:$E$495,5,FALSE)</f>
        <v>Ikan</v>
      </c>
      <c r="L291" s="5" t="s">
        <v>471</v>
      </c>
    </row>
    <row r="292" spans="1:12" ht="12" customHeight="1" x14ac:dyDescent="0.25">
      <c r="A292" s="6">
        <v>44893</v>
      </c>
      <c r="B292" s="1">
        <v>2204271</v>
      </c>
      <c r="C292" s="5" t="s">
        <v>409</v>
      </c>
      <c r="D292" s="5" t="str">
        <f>VLOOKUP(C292,[1]master_data!$A$2:$E$495,2,FALSE)</f>
        <v>GOLD FISH</v>
      </c>
      <c r="E292" s="5">
        <v>25</v>
      </c>
      <c r="F292" s="5">
        <f>VLOOKUP(C292,[1]master_data!$A$2:$E$495,3,FALSE)</f>
        <v>800</v>
      </c>
      <c r="G292" s="5">
        <f>VLOOKUP(C292,[1]master_data!$A$2:$E$495,4,FALSE)</f>
        <v>2000</v>
      </c>
      <c r="H292" s="5">
        <f t="shared" si="18"/>
        <v>20000</v>
      </c>
      <c r="I292" s="5">
        <f t="shared" si="19"/>
        <v>50000</v>
      </c>
      <c r="J292" s="5">
        <f t="shared" si="20"/>
        <v>30000</v>
      </c>
      <c r="K292" s="5" t="str">
        <f>VLOOKUP(C292,[1]master_data!$A$2:$E$495,5,FALSE)</f>
        <v>Ikan</v>
      </c>
      <c r="L292" s="5" t="s">
        <v>471</v>
      </c>
    </row>
    <row r="293" spans="1:12" ht="12" customHeight="1" x14ac:dyDescent="0.25">
      <c r="A293" s="6">
        <v>44893</v>
      </c>
      <c r="B293" s="1">
        <v>2204270</v>
      </c>
      <c r="C293" s="5" t="s">
        <v>454</v>
      </c>
      <c r="D293" s="5" t="str">
        <f>VLOOKUP(C293,[1]master_data!$A$2:$E$495,2,FALSE)</f>
        <v>SYNODONTI B</v>
      </c>
      <c r="E293" s="5">
        <v>10</v>
      </c>
      <c r="F293" s="5">
        <f>VLOOKUP(C293,[1]master_data!$A$2:$E$495,3,FALSE)</f>
        <v>4000</v>
      </c>
      <c r="G293" s="5">
        <f>VLOOKUP(C293,[1]master_data!$A$2:$E$495,4,FALSE)</f>
        <v>10000</v>
      </c>
      <c r="H293" s="5">
        <f t="shared" si="18"/>
        <v>40000</v>
      </c>
      <c r="I293" s="5">
        <f t="shared" si="19"/>
        <v>100000</v>
      </c>
      <c r="J293" s="5">
        <f t="shared" si="20"/>
        <v>60000</v>
      </c>
      <c r="K293" s="5" t="str">
        <f>VLOOKUP(C293,[1]master_data!$A$2:$E$495,5,FALSE)</f>
        <v>Ikan</v>
      </c>
      <c r="L293" s="5" t="s">
        <v>471</v>
      </c>
    </row>
    <row r="294" spans="1:12" ht="12" customHeight="1" x14ac:dyDescent="0.25">
      <c r="A294" s="6">
        <v>44893</v>
      </c>
      <c r="B294" s="1">
        <v>2204269</v>
      </c>
      <c r="C294" s="5" t="s">
        <v>438</v>
      </c>
      <c r="D294" s="5" t="str">
        <f>VLOOKUP(C294,[1]master_data!$A$2:$E$495,2,FALSE)</f>
        <v>NENTINEN</v>
      </c>
      <c r="E294" s="5">
        <v>1</v>
      </c>
      <c r="F294" s="5">
        <f>VLOOKUP(C294,[1]master_data!$A$2:$E$495,3,FALSE)</f>
        <v>1000</v>
      </c>
      <c r="G294" s="5">
        <f>VLOOKUP(C294,[1]master_data!$A$2:$E$495,4,FALSE)</f>
        <v>2500</v>
      </c>
      <c r="H294" s="5">
        <f t="shared" si="18"/>
        <v>1000</v>
      </c>
      <c r="I294" s="5">
        <f t="shared" si="19"/>
        <v>2500</v>
      </c>
      <c r="J294" s="5">
        <f t="shared" si="20"/>
        <v>1500</v>
      </c>
      <c r="K294" s="5" t="str">
        <f>VLOOKUP(C294,[1]master_data!$A$2:$E$495,5,FALSE)</f>
        <v>Ikan</v>
      </c>
      <c r="L294" s="5" t="s">
        <v>471</v>
      </c>
    </row>
    <row r="295" spans="1:12" ht="12" customHeight="1" x14ac:dyDescent="0.25">
      <c r="A295" s="6">
        <v>44893</v>
      </c>
      <c r="B295" s="1">
        <v>2204268</v>
      </c>
      <c r="C295" s="5" t="s">
        <v>411</v>
      </c>
      <c r="D295" s="5" t="str">
        <f>VLOOKUP(C295,[1]master_data!$A$2:$E$495,2,FALSE)</f>
        <v>GOLDEN BLACK</v>
      </c>
      <c r="E295" s="5">
        <v>10</v>
      </c>
      <c r="F295" s="5">
        <f>VLOOKUP(C295,[1]master_data!$A$2:$E$495,3,FALSE)</f>
        <v>800</v>
      </c>
      <c r="G295" s="5">
        <f>VLOOKUP(C295,[1]master_data!$A$2:$E$495,4,FALSE)</f>
        <v>2000</v>
      </c>
      <c r="H295" s="5">
        <f t="shared" si="18"/>
        <v>8000</v>
      </c>
      <c r="I295" s="5">
        <f t="shared" si="19"/>
        <v>20000</v>
      </c>
      <c r="J295" s="5">
        <f t="shared" si="20"/>
        <v>12000</v>
      </c>
      <c r="K295" s="5" t="str">
        <f>VLOOKUP(C295,[1]master_data!$A$2:$E$495,5,FALSE)</f>
        <v>Ikan</v>
      </c>
      <c r="L295" s="5" t="s">
        <v>471</v>
      </c>
    </row>
    <row r="296" spans="1:12" ht="12" customHeight="1" x14ac:dyDescent="0.25">
      <c r="A296" s="6">
        <v>44893</v>
      </c>
      <c r="B296" s="1">
        <v>2204267</v>
      </c>
      <c r="C296" s="5" t="s">
        <v>397</v>
      </c>
      <c r="D296" s="5" t="str">
        <f>VLOOKUP(C296,[1]master_data!$A$2:$E$495,2,FALSE)</f>
        <v>ALIGATOR</v>
      </c>
      <c r="E296" s="5">
        <v>1</v>
      </c>
      <c r="F296" s="5">
        <f>VLOOKUP(C296,[1]master_data!$A$2:$E$495,3,FALSE)</f>
        <v>17000</v>
      </c>
      <c r="G296" s="5">
        <f>VLOOKUP(C296,[1]master_data!$A$2:$E$495,4,FALSE)</f>
        <v>35000</v>
      </c>
      <c r="H296" s="5">
        <f t="shared" si="18"/>
        <v>17000</v>
      </c>
      <c r="I296" s="5">
        <f t="shared" si="19"/>
        <v>35000</v>
      </c>
      <c r="J296" s="5">
        <f t="shared" si="20"/>
        <v>18000</v>
      </c>
      <c r="K296" s="5" t="str">
        <f>VLOOKUP(C296,[1]master_data!$A$2:$E$495,5,FALSE)</f>
        <v>Ikan</v>
      </c>
      <c r="L296" s="5" t="s">
        <v>471</v>
      </c>
    </row>
    <row r="297" spans="1:12" ht="12" customHeight="1" x14ac:dyDescent="0.25">
      <c r="A297" s="6">
        <v>44893</v>
      </c>
      <c r="B297" s="1">
        <v>2204266</v>
      </c>
      <c r="C297" s="5" t="s">
        <v>54</v>
      </c>
      <c r="D297" s="5" t="str">
        <f>VLOOKUP(C297,[1]master_data!$A$2:$E$495,2,FALSE)</f>
        <v>MESIN HIKARI 1200</v>
      </c>
      <c r="E297" s="5">
        <v>5</v>
      </c>
      <c r="F297" s="5">
        <f>VLOOKUP(C297,[1]master_data!$A$2:$E$495,3,FALSE)</f>
        <v>27000</v>
      </c>
      <c r="G297" s="5">
        <f>VLOOKUP(C297,[1]master_data!$A$2:$E$495,4,FALSE)</f>
        <v>35000</v>
      </c>
      <c r="H297" s="5">
        <f t="shared" si="18"/>
        <v>135000</v>
      </c>
      <c r="I297" s="5">
        <f t="shared" si="19"/>
        <v>175000</v>
      </c>
      <c r="J297" s="5">
        <f t="shared" si="20"/>
        <v>40000</v>
      </c>
      <c r="K297" s="5" t="str">
        <f>VLOOKUP(C297,[1]master_data!$A$2:$E$495,5,FALSE)</f>
        <v>Aksesoris</v>
      </c>
      <c r="L297" s="5" t="s">
        <v>471</v>
      </c>
    </row>
    <row r="298" spans="1:12" ht="12" customHeight="1" x14ac:dyDescent="0.25">
      <c r="A298" s="6">
        <v>44893</v>
      </c>
      <c r="B298" s="1">
        <v>2204265</v>
      </c>
      <c r="C298" s="5" t="s">
        <v>455</v>
      </c>
      <c r="D298" s="5" t="str">
        <f>VLOOKUP(C298,[1]master_data!$A$2:$E$495,2,FALSE)</f>
        <v>TETRA</v>
      </c>
      <c r="E298" s="5">
        <v>8</v>
      </c>
      <c r="F298" s="5">
        <f>VLOOKUP(C298,[1]master_data!$A$2:$E$495,3,FALSE)</f>
        <v>800</v>
      </c>
      <c r="G298" s="5">
        <f>VLOOKUP(C298,[1]master_data!$A$2:$E$495,4,FALSE)</f>
        <v>2000</v>
      </c>
      <c r="H298" s="5">
        <f t="shared" si="18"/>
        <v>6400</v>
      </c>
      <c r="I298" s="5">
        <f t="shared" si="19"/>
        <v>16000</v>
      </c>
      <c r="J298" s="5">
        <f t="shared" si="20"/>
        <v>9600</v>
      </c>
      <c r="K298" s="5" t="str">
        <f>VLOOKUP(C298,[1]master_data!$A$2:$E$495,5,FALSE)</f>
        <v>Ikan</v>
      </c>
      <c r="L298" s="5" t="s">
        <v>471</v>
      </c>
    </row>
    <row r="299" spans="1:12" ht="12" customHeight="1" x14ac:dyDescent="0.25">
      <c r="A299" s="6">
        <v>44893</v>
      </c>
      <c r="B299" s="1">
        <v>2204264</v>
      </c>
      <c r="C299" s="5" t="s">
        <v>434</v>
      </c>
      <c r="D299" s="5" t="str">
        <f>VLOOKUP(C299,[1]master_data!$A$2:$E$495,2,FALSE)</f>
        <v>MOLI PAKAN</v>
      </c>
      <c r="E299" s="5">
        <v>15</v>
      </c>
      <c r="F299" s="5">
        <f>VLOOKUP(C299,[1]master_data!$A$2:$E$495,3,FALSE)</f>
        <v>100</v>
      </c>
      <c r="G299" s="5">
        <f>VLOOKUP(C299,[1]master_data!$A$2:$E$495,4,FALSE)</f>
        <v>200</v>
      </c>
      <c r="H299" s="5">
        <f t="shared" si="18"/>
        <v>1500</v>
      </c>
      <c r="I299" s="5">
        <f t="shared" si="19"/>
        <v>3000</v>
      </c>
      <c r="J299" s="5">
        <f t="shared" si="20"/>
        <v>1500</v>
      </c>
      <c r="K299" s="5" t="str">
        <f>VLOOKUP(C299,[1]master_data!$A$2:$E$495,5,FALSE)</f>
        <v>Ikan</v>
      </c>
      <c r="L299" s="5" t="s">
        <v>471</v>
      </c>
    </row>
    <row r="300" spans="1:12" ht="12" customHeight="1" x14ac:dyDescent="0.25">
      <c r="A300" s="6">
        <v>44893</v>
      </c>
      <c r="B300" s="1">
        <v>2204263</v>
      </c>
      <c r="C300" s="5" t="s">
        <v>401</v>
      </c>
      <c r="D300" s="5" t="str">
        <f>VLOOKUP(C300,[1]master_data!$A$2:$E$495,2,FALSE)</f>
        <v>BALA BALA B</v>
      </c>
      <c r="E300" s="5">
        <v>2</v>
      </c>
      <c r="F300" s="5">
        <f>VLOOKUP(C300,[1]master_data!$A$2:$E$495,3,FALSE)</f>
        <v>7000</v>
      </c>
      <c r="G300" s="5">
        <f>VLOOKUP(C300,[1]master_data!$A$2:$E$495,4,FALSE)</f>
        <v>15000</v>
      </c>
      <c r="H300" s="5">
        <f t="shared" si="18"/>
        <v>14000</v>
      </c>
      <c r="I300" s="5">
        <f t="shared" si="19"/>
        <v>30000</v>
      </c>
      <c r="J300" s="5">
        <f t="shared" si="20"/>
        <v>16000</v>
      </c>
      <c r="K300" s="5" t="str">
        <f>VLOOKUP(C300,[1]master_data!$A$2:$E$495,5,FALSE)</f>
        <v>Ikan</v>
      </c>
      <c r="L300" s="5" t="s">
        <v>471</v>
      </c>
    </row>
    <row r="301" spans="1:12" ht="12" customHeight="1" x14ac:dyDescent="0.25">
      <c r="A301" s="6">
        <v>44893</v>
      </c>
      <c r="B301" s="1">
        <v>2204262</v>
      </c>
      <c r="C301" s="5" t="s">
        <v>430</v>
      </c>
      <c r="D301" s="5" t="str">
        <f>VLOOKUP(C301,[1]master_data!$A$2:$E$495,2,FALSE)</f>
        <v>MANFISH K</v>
      </c>
      <c r="E301" s="5">
        <v>20</v>
      </c>
      <c r="F301" s="5">
        <f>VLOOKUP(C301,[1]master_data!$A$2:$E$495,3,FALSE)</f>
        <v>2000</v>
      </c>
      <c r="G301" s="5">
        <f>VLOOKUP(C301,[1]master_data!$A$2:$E$495,4,FALSE)</f>
        <v>5000</v>
      </c>
      <c r="H301" s="5">
        <f t="shared" si="18"/>
        <v>40000</v>
      </c>
      <c r="I301" s="5">
        <f t="shared" si="19"/>
        <v>100000</v>
      </c>
      <c r="J301" s="5">
        <f t="shared" si="20"/>
        <v>60000</v>
      </c>
      <c r="K301" s="5" t="str">
        <f>VLOOKUP(C301,[1]master_data!$A$2:$E$495,5,FALSE)</f>
        <v>Ikan</v>
      </c>
      <c r="L301" s="5" t="s">
        <v>471</v>
      </c>
    </row>
    <row r="302" spans="1:12" ht="12" customHeight="1" x14ac:dyDescent="0.25">
      <c r="A302" s="6">
        <v>44893</v>
      </c>
      <c r="B302" s="1">
        <v>2204261</v>
      </c>
      <c r="C302" s="5" t="s">
        <v>321</v>
      </c>
      <c r="D302" s="5" t="str">
        <f>VLOOKUP(C302,[1]master_data!$A$2:$E$495,2,FALSE)</f>
        <v>AIRSTONE PANJANG 8</v>
      </c>
      <c r="E302" s="5">
        <v>1</v>
      </c>
      <c r="F302" s="5">
        <f>VLOOKUP(C302,[1]master_data!$A$2:$E$495,3,FALSE)</f>
        <v>9000</v>
      </c>
      <c r="G302" s="5">
        <f>VLOOKUP(C302,[1]master_data!$A$2:$E$495,4,FALSE)</f>
        <v>17000</v>
      </c>
      <c r="H302" s="5">
        <f t="shared" si="18"/>
        <v>9000</v>
      </c>
      <c r="I302" s="5">
        <f t="shared" si="19"/>
        <v>17000</v>
      </c>
      <c r="J302" s="5">
        <f t="shared" si="20"/>
        <v>8000</v>
      </c>
      <c r="K302" s="5" t="str">
        <f>VLOOKUP(C302,[1]master_data!$A$2:$E$495,5,FALSE)</f>
        <v>Aksesoris</v>
      </c>
      <c r="L302" s="5" t="s">
        <v>471</v>
      </c>
    </row>
    <row r="303" spans="1:12" ht="12" customHeight="1" x14ac:dyDescent="0.25">
      <c r="A303" s="6">
        <v>44892</v>
      </c>
      <c r="B303" s="1">
        <v>2204260</v>
      </c>
      <c r="C303" s="5" t="s">
        <v>427</v>
      </c>
      <c r="D303" s="5" t="str">
        <f>VLOOKUP(C303,[1]master_data!$A$2:$E$495,2,FALSE)</f>
        <v>LEMON</v>
      </c>
      <c r="E303" s="5">
        <v>20</v>
      </c>
      <c r="F303" s="5">
        <f>VLOOKUP(C303,[1]master_data!$A$2:$E$495,3,FALSE)</f>
        <v>1000</v>
      </c>
      <c r="G303" s="5">
        <f>VLOOKUP(C303,[1]master_data!$A$2:$E$495,4,FALSE)</f>
        <v>2000</v>
      </c>
      <c r="H303" s="5">
        <f t="shared" si="18"/>
        <v>20000</v>
      </c>
      <c r="I303" s="5">
        <f t="shared" si="19"/>
        <v>40000</v>
      </c>
      <c r="J303" s="5">
        <f t="shared" si="20"/>
        <v>20000</v>
      </c>
      <c r="K303" s="5" t="str">
        <f>VLOOKUP(C303,[1]master_data!$A$2:$E$495,5,FALSE)</f>
        <v>Ikan</v>
      </c>
      <c r="L303" s="5" t="s">
        <v>471</v>
      </c>
    </row>
    <row r="304" spans="1:12" ht="12" customHeight="1" x14ac:dyDescent="0.25">
      <c r="A304" s="6">
        <v>44892</v>
      </c>
      <c r="B304" s="1">
        <v>2204259</v>
      </c>
      <c r="C304" s="5" t="s">
        <v>136</v>
      </c>
      <c r="D304" s="5" t="str">
        <f>VLOOKUP(C304,[1]master_data!$A$2:$E$495,2,FALSE)</f>
        <v>LED NIKITA NS 600</v>
      </c>
      <c r="E304" s="5">
        <v>10</v>
      </c>
      <c r="F304" s="5">
        <f>VLOOKUP(C304,[1]master_data!$A$2:$E$495,3,FALSE)</f>
        <v>50000</v>
      </c>
      <c r="G304" s="5">
        <f>VLOOKUP(C304,[1]master_data!$A$2:$E$495,4,FALSE)</f>
        <v>75000</v>
      </c>
      <c r="H304" s="5">
        <f t="shared" si="18"/>
        <v>500000</v>
      </c>
      <c r="I304" s="5">
        <f t="shared" si="19"/>
        <v>750000</v>
      </c>
      <c r="J304" s="5">
        <f t="shared" si="20"/>
        <v>250000</v>
      </c>
      <c r="K304" s="5" t="str">
        <f>VLOOKUP(C304,[1]master_data!$A$2:$E$495,5,FALSE)</f>
        <v>Aksesoris</v>
      </c>
      <c r="L304" s="5" t="s">
        <v>471</v>
      </c>
    </row>
    <row r="305" spans="1:12" ht="12" customHeight="1" x14ac:dyDescent="0.25">
      <c r="A305" s="6">
        <v>44892</v>
      </c>
      <c r="B305" s="1">
        <v>2204258</v>
      </c>
      <c r="C305" s="5" t="s">
        <v>400</v>
      </c>
      <c r="D305" s="5" t="str">
        <f>VLOOKUP(C305,[1]master_data!$A$2:$E$495,2,FALSE)</f>
        <v>BALA BALA K</v>
      </c>
      <c r="E305" s="5">
        <v>30</v>
      </c>
      <c r="F305" s="5">
        <f>VLOOKUP(C305,[1]master_data!$A$2:$E$495,3,FALSE)</f>
        <v>4000</v>
      </c>
      <c r="G305" s="5">
        <f>VLOOKUP(C305,[1]master_data!$A$2:$E$495,4,FALSE)</f>
        <v>8000</v>
      </c>
      <c r="H305" s="5">
        <f t="shared" si="18"/>
        <v>120000</v>
      </c>
      <c r="I305" s="5">
        <f t="shared" si="19"/>
        <v>240000</v>
      </c>
      <c r="J305" s="5">
        <f t="shared" si="20"/>
        <v>120000</v>
      </c>
      <c r="K305" s="5" t="str">
        <f>VLOOKUP(C305,[1]master_data!$A$2:$E$495,5,FALSE)</f>
        <v>Ikan</v>
      </c>
      <c r="L305" s="5" t="s">
        <v>471</v>
      </c>
    </row>
    <row r="306" spans="1:12" ht="12" customHeight="1" x14ac:dyDescent="0.25">
      <c r="A306" s="6">
        <v>44892</v>
      </c>
      <c r="B306" s="1">
        <v>2204257</v>
      </c>
      <c r="C306" s="5" t="s">
        <v>438</v>
      </c>
      <c r="D306" s="5" t="str">
        <f>VLOOKUP(C306,[1]master_data!$A$2:$E$495,2,FALSE)</f>
        <v>NENTINEN</v>
      </c>
      <c r="E306" s="5">
        <v>25</v>
      </c>
      <c r="F306" s="5">
        <f>VLOOKUP(C306,[1]master_data!$A$2:$E$495,3,FALSE)</f>
        <v>1000</v>
      </c>
      <c r="G306" s="5">
        <f>VLOOKUP(C306,[1]master_data!$A$2:$E$495,4,FALSE)</f>
        <v>2500</v>
      </c>
      <c r="H306" s="5">
        <f t="shared" si="18"/>
        <v>25000</v>
      </c>
      <c r="I306" s="5">
        <f t="shared" si="19"/>
        <v>62500</v>
      </c>
      <c r="J306" s="5">
        <f t="shared" si="20"/>
        <v>37500</v>
      </c>
      <c r="K306" s="5" t="str">
        <f>VLOOKUP(C306,[1]master_data!$A$2:$E$495,5,FALSE)</f>
        <v>Ikan</v>
      </c>
      <c r="L306" s="5" t="s">
        <v>471</v>
      </c>
    </row>
    <row r="307" spans="1:12" ht="12" customHeight="1" x14ac:dyDescent="0.25">
      <c r="A307" s="6">
        <v>44892</v>
      </c>
      <c r="B307" s="1">
        <v>2204256</v>
      </c>
      <c r="C307" s="5" t="s">
        <v>408</v>
      </c>
      <c r="D307" s="5" t="str">
        <f>VLOOKUP(C307,[1]master_data!$A$2:$E$495,2,FALSE)</f>
        <v>CATFISH</v>
      </c>
      <c r="E307" s="5">
        <v>1</v>
      </c>
      <c r="F307" s="5">
        <f>VLOOKUP(C307,[1]master_data!$A$2:$E$495,3,FALSE)</f>
        <v>20000</v>
      </c>
      <c r="G307" s="5">
        <f>VLOOKUP(C307,[1]master_data!$A$2:$E$495,4,FALSE)</f>
        <v>50000</v>
      </c>
      <c r="H307" s="5">
        <f t="shared" si="18"/>
        <v>20000</v>
      </c>
      <c r="I307" s="5">
        <f t="shared" si="19"/>
        <v>50000</v>
      </c>
      <c r="J307" s="5">
        <f t="shared" si="20"/>
        <v>30000</v>
      </c>
      <c r="K307" s="5" t="str">
        <f>VLOOKUP(C307,[1]master_data!$A$2:$E$495,5,FALSE)</f>
        <v>Ikan</v>
      </c>
      <c r="L307" s="5" t="s">
        <v>471</v>
      </c>
    </row>
    <row r="308" spans="1:12" ht="12" customHeight="1" x14ac:dyDescent="0.25">
      <c r="A308" s="6">
        <v>44892</v>
      </c>
      <c r="B308" s="1">
        <v>2204255</v>
      </c>
      <c r="C308" s="5" t="s">
        <v>414</v>
      </c>
      <c r="D308" s="5" t="str">
        <f>VLOOKUP(C308,[1]master_data!$A$2:$E$495,2,FALSE)</f>
        <v>KOKI T</v>
      </c>
      <c r="E308" s="5">
        <v>1</v>
      </c>
      <c r="F308" s="5">
        <f>VLOOKUP(C308,[1]master_data!$A$2:$E$495,3,FALSE)</f>
        <v>8000</v>
      </c>
      <c r="G308" s="5">
        <f>VLOOKUP(C308,[1]master_data!$A$2:$E$495,4,FALSE)</f>
        <v>15000</v>
      </c>
      <c r="H308" s="5">
        <f t="shared" si="18"/>
        <v>8000</v>
      </c>
      <c r="I308" s="5">
        <f t="shared" si="19"/>
        <v>15000</v>
      </c>
      <c r="J308" s="5">
        <f t="shared" si="20"/>
        <v>7000</v>
      </c>
      <c r="K308" s="5" t="str">
        <f>VLOOKUP(C308,[1]master_data!$A$2:$E$495,5,FALSE)</f>
        <v>Ikan</v>
      </c>
      <c r="L308" s="5" t="s">
        <v>471</v>
      </c>
    </row>
    <row r="309" spans="1:12" ht="12" customHeight="1" x14ac:dyDescent="0.25">
      <c r="A309" s="6">
        <v>44892</v>
      </c>
      <c r="B309" s="1">
        <v>2204254</v>
      </c>
      <c r="C309" s="5" t="s">
        <v>377</v>
      </c>
      <c r="D309" s="5" t="str">
        <f>VLOOKUP(C309,[1]master_data!$A$2:$E$495,2,FALSE)</f>
        <v>PASIR BALI</v>
      </c>
      <c r="E309" s="5">
        <v>30</v>
      </c>
      <c r="F309" s="5">
        <f>VLOOKUP(C309,[1]master_data!$A$2:$E$495,3,FALSE)</f>
        <v>5000</v>
      </c>
      <c r="G309" s="5">
        <f>VLOOKUP(C309,[1]master_data!$A$2:$E$495,4,FALSE)</f>
        <v>10000</v>
      </c>
      <c r="H309" s="5">
        <f t="shared" si="18"/>
        <v>150000</v>
      </c>
      <c r="I309" s="5">
        <f t="shared" si="19"/>
        <v>300000</v>
      </c>
      <c r="J309" s="5">
        <f t="shared" si="20"/>
        <v>150000</v>
      </c>
      <c r="K309" s="5" t="str">
        <f>VLOOKUP(C309,[1]master_data!$A$2:$E$495,5,FALSE)</f>
        <v>Aksesoris</v>
      </c>
      <c r="L309" s="5" t="s">
        <v>471</v>
      </c>
    </row>
    <row r="310" spans="1:12" ht="12" customHeight="1" x14ac:dyDescent="0.25">
      <c r="A310" s="6">
        <v>44892</v>
      </c>
      <c r="B310" s="1">
        <v>2204253</v>
      </c>
      <c r="C310" s="5" t="s">
        <v>381</v>
      </c>
      <c r="D310" s="5" t="str">
        <f>VLOOKUP(C310,[1]master_data!$A$2:$E$495,2,FALSE)</f>
        <v>BATU WARNA FOSFOR K</v>
      </c>
      <c r="E310" s="5">
        <v>8</v>
      </c>
      <c r="F310" s="5">
        <f>VLOOKUP(C310,[1]master_data!$A$2:$E$495,3,FALSE)</f>
        <v>5500</v>
      </c>
      <c r="G310" s="5">
        <f>VLOOKUP(C310,[1]master_data!$A$2:$E$495,4,FALSE)</f>
        <v>10000</v>
      </c>
      <c r="H310" s="5">
        <f t="shared" si="18"/>
        <v>44000</v>
      </c>
      <c r="I310" s="5">
        <f t="shared" si="19"/>
        <v>80000</v>
      </c>
      <c r="J310" s="5">
        <f t="shared" si="20"/>
        <v>36000</v>
      </c>
      <c r="K310" s="5" t="str">
        <f>VLOOKUP(C310,[1]master_data!$A$2:$E$495,5,FALSE)</f>
        <v>Aksesoris</v>
      </c>
      <c r="L310" s="5" t="s">
        <v>471</v>
      </c>
    </row>
    <row r="311" spans="1:12" ht="12" customHeight="1" x14ac:dyDescent="0.25">
      <c r="A311" s="6">
        <v>44891</v>
      </c>
      <c r="B311" s="1">
        <v>2204252</v>
      </c>
      <c r="C311" s="5" t="s">
        <v>403</v>
      </c>
      <c r="D311" s="5" t="str">
        <f>VLOOKUP(C311,[1]master_data!$A$2:$E$495,2,FALSE)</f>
        <v>CHANNA BLUE PULCHRA K</v>
      </c>
      <c r="E311" s="5">
        <v>1</v>
      </c>
      <c r="F311" s="5">
        <f>VLOOKUP(C311,[1]master_data!$A$2:$E$495,3,FALSE)</f>
        <v>25000</v>
      </c>
      <c r="G311" s="5">
        <f>VLOOKUP(C311,[1]master_data!$A$2:$E$495,4,FALSE)</f>
        <v>50000</v>
      </c>
      <c r="H311" s="5">
        <f t="shared" si="18"/>
        <v>25000</v>
      </c>
      <c r="I311" s="5">
        <f t="shared" si="19"/>
        <v>50000</v>
      </c>
      <c r="J311" s="5">
        <f t="shared" si="20"/>
        <v>25000</v>
      </c>
      <c r="K311" s="5" t="str">
        <f>VLOOKUP(C311,[1]master_data!$A$2:$E$495,5,FALSE)</f>
        <v>Ikan</v>
      </c>
      <c r="L311" s="5" t="s">
        <v>471</v>
      </c>
    </row>
    <row r="312" spans="1:12" ht="12" customHeight="1" x14ac:dyDescent="0.25">
      <c r="A312" s="6">
        <v>44891</v>
      </c>
      <c r="B312" s="1">
        <v>2204251</v>
      </c>
      <c r="C312" s="5" t="s">
        <v>444</v>
      </c>
      <c r="D312" s="5" t="str">
        <f>VLOOKUP(C312,[1]master_data!$A$2:$E$495,2,FALSE)</f>
        <v>PARROT</v>
      </c>
      <c r="E312" s="5">
        <v>1</v>
      </c>
      <c r="F312" s="5">
        <f>VLOOKUP(C312,[1]master_data!$A$2:$E$495,3,FALSE)</f>
        <v>27000</v>
      </c>
      <c r="G312" s="5">
        <f>VLOOKUP(C312,[1]master_data!$A$2:$E$495,4,FALSE)</f>
        <v>60000</v>
      </c>
      <c r="H312" s="5">
        <f t="shared" si="18"/>
        <v>27000</v>
      </c>
      <c r="I312" s="5">
        <f t="shared" si="19"/>
        <v>60000</v>
      </c>
      <c r="J312" s="5">
        <f t="shared" si="20"/>
        <v>33000</v>
      </c>
      <c r="K312" s="5" t="str">
        <f>VLOOKUP(C312,[1]master_data!$A$2:$E$495,5,FALSE)</f>
        <v>Ikan</v>
      </c>
      <c r="L312" s="5" t="s">
        <v>471</v>
      </c>
    </row>
    <row r="313" spans="1:12" ht="12" customHeight="1" x14ac:dyDescent="0.25">
      <c r="A313" s="6">
        <v>44891</v>
      </c>
      <c r="B313" s="1">
        <v>2204250</v>
      </c>
      <c r="C313" s="5" t="s">
        <v>428</v>
      </c>
      <c r="D313" s="5" t="str">
        <f>VLOOKUP(C313,[1]master_data!$A$2:$E$495,2,FALSE)</f>
        <v>LOUHAN</v>
      </c>
      <c r="E313" s="5">
        <v>1</v>
      </c>
      <c r="F313" s="5">
        <f>VLOOKUP(C313,[1]master_data!$A$2:$E$495,3,FALSE)</f>
        <v>85000</v>
      </c>
      <c r="G313" s="5">
        <f>VLOOKUP(C313,[1]master_data!$A$2:$E$495,4,FALSE)</f>
        <v>200000</v>
      </c>
      <c r="H313" s="5">
        <f t="shared" si="18"/>
        <v>85000</v>
      </c>
      <c r="I313" s="5">
        <f t="shared" si="19"/>
        <v>200000</v>
      </c>
      <c r="J313" s="5">
        <f t="shared" si="20"/>
        <v>115000</v>
      </c>
      <c r="K313" s="5" t="str">
        <f>VLOOKUP(C313,[1]master_data!$A$2:$E$495,5,FALSE)</f>
        <v>Ikan</v>
      </c>
      <c r="L313" s="5" t="s">
        <v>471</v>
      </c>
    </row>
    <row r="314" spans="1:12" ht="12" customHeight="1" x14ac:dyDescent="0.25">
      <c r="A314" s="6">
        <v>44891</v>
      </c>
      <c r="B314" s="1">
        <v>2204249</v>
      </c>
      <c r="C314" s="5" t="s">
        <v>130</v>
      </c>
      <c r="D314" s="5" t="str">
        <f>VLOOKUP(C314,[1]master_data!$A$2:$E$495,2,FALSE)</f>
        <v>LED YAMANO S600</v>
      </c>
      <c r="E314" s="5">
        <v>10</v>
      </c>
      <c r="F314" s="5">
        <f>VLOOKUP(C314,[1]master_data!$A$2:$E$495,3,FALSE)</f>
        <v>60000</v>
      </c>
      <c r="G314" s="5">
        <f>VLOOKUP(C314,[1]master_data!$A$2:$E$495,4,FALSE)</f>
        <v>85000</v>
      </c>
      <c r="H314" s="5">
        <f t="shared" si="18"/>
        <v>600000</v>
      </c>
      <c r="I314" s="5">
        <f t="shared" si="19"/>
        <v>850000</v>
      </c>
      <c r="J314" s="5">
        <f t="shared" si="20"/>
        <v>250000</v>
      </c>
      <c r="K314" s="5" t="str">
        <f>VLOOKUP(C314,[1]master_data!$A$2:$E$495,5,FALSE)</f>
        <v>Aksesoris</v>
      </c>
      <c r="L314" s="5" t="s">
        <v>471</v>
      </c>
    </row>
    <row r="315" spans="1:12" ht="12" customHeight="1" x14ac:dyDescent="0.25">
      <c r="A315" s="6">
        <v>44891</v>
      </c>
      <c r="B315" s="1">
        <v>2204248</v>
      </c>
      <c r="C315" s="5" t="s">
        <v>394</v>
      </c>
      <c r="D315" s="5" t="str">
        <f>VLOOKUP(C315,[1]master_data!$A$2:$E$495,2,FALSE)</f>
        <v>ARWANA SILVER K</v>
      </c>
      <c r="E315" s="5">
        <v>2</v>
      </c>
      <c r="F315" s="5">
        <f>VLOOKUP(C315,[1]master_data!$A$2:$E$495,3,FALSE)</f>
        <v>100000</v>
      </c>
      <c r="G315" s="5">
        <f>VLOOKUP(C315,[1]master_data!$A$2:$E$495,4,FALSE)</f>
        <v>200000</v>
      </c>
      <c r="H315" s="5">
        <f t="shared" si="18"/>
        <v>200000</v>
      </c>
      <c r="I315" s="5">
        <f t="shared" si="19"/>
        <v>400000</v>
      </c>
      <c r="J315" s="5">
        <f t="shared" si="20"/>
        <v>200000</v>
      </c>
      <c r="K315" s="5" t="str">
        <f>VLOOKUP(C315,[1]master_data!$A$2:$E$495,5,FALSE)</f>
        <v>Ikan</v>
      </c>
      <c r="L315" s="5" t="s">
        <v>471</v>
      </c>
    </row>
    <row r="316" spans="1:12" ht="12" customHeight="1" x14ac:dyDescent="0.25">
      <c r="A316" s="6">
        <v>44891</v>
      </c>
      <c r="B316" s="1">
        <v>2204247</v>
      </c>
      <c r="C316" s="5" t="s">
        <v>406</v>
      </c>
      <c r="D316" s="5" t="str">
        <f>VLOOKUP(C316,[1]master_data!$A$2:$E$495,2,FALSE)</f>
        <v>BARBIR</v>
      </c>
      <c r="E316" s="5">
        <v>30</v>
      </c>
      <c r="F316" s="5">
        <f>VLOOKUP(C316,[1]master_data!$A$2:$E$495,3,FALSE)</f>
        <v>800</v>
      </c>
      <c r="G316" s="5">
        <f>VLOOKUP(C316,[1]master_data!$A$2:$E$495,4,FALSE)</f>
        <v>2000</v>
      </c>
      <c r="H316" s="5">
        <f t="shared" si="18"/>
        <v>24000</v>
      </c>
      <c r="I316" s="5">
        <f t="shared" si="19"/>
        <v>60000</v>
      </c>
      <c r="J316" s="5">
        <f t="shared" si="20"/>
        <v>36000</v>
      </c>
      <c r="K316" s="5" t="str">
        <f>VLOOKUP(C316,[1]master_data!$A$2:$E$495,5,FALSE)</f>
        <v>Ikan</v>
      </c>
      <c r="L316" s="5" t="s">
        <v>471</v>
      </c>
    </row>
    <row r="317" spans="1:12" ht="12" customHeight="1" x14ac:dyDescent="0.25">
      <c r="A317" s="6">
        <v>44890</v>
      </c>
      <c r="B317" s="1">
        <v>2204246</v>
      </c>
      <c r="C317" s="5" t="s">
        <v>59</v>
      </c>
      <c r="D317" s="5" t="str">
        <f>VLOOKUP(C317,[1]master_data!$A$2:$E$495,2,FALSE)</f>
        <v>MESIN KANDILA 1200</v>
      </c>
      <c r="E317" s="5">
        <v>2</v>
      </c>
      <c r="F317" s="5">
        <f>VLOOKUP(C317,[1]master_data!$A$2:$E$495,3,FALSE)</f>
        <v>19000</v>
      </c>
      <c r="G317" s="5">
        <f>VLOOKUP(C317,[1]master_data!$A$2:$E$495,4,FALSE)</f>
        <v>30000</v>
      </c>
      <c r="H317" s="5">
        <f t="shared" si="18"/>
        <v>38000</v>
      </c>
      <c r="I317" s="5">
        <f t="shared" si="19"/>
        <v>60000</v>
      </c>
      <c r="J317" s="5">
        <f t="shared" si="20"/>
        <v>22000</v>
      </c>
      <c r="K317" s="5" t="str">
        <f>VLOOKUP(C317,[1]master_data!$A$2:$E$495,5,FALSE)</f>
        <v>Aksesoris</v>
      </c>
      <c r="L317" s="5" t="s">
        <v>471</v>
      </c>
    </row>
    <row r="318" spans="1:12" ht="12" customHeight="1" x14ac:dyDescent="0.25">
      <c r="A318" s="6">
        <v>44890</v>
      </c>
      <c r="B318" s="1">
        <v>2204245</v>
      </c>
      <c r="C318" s="5" t="s">
        <v>256</v>
      </c>
      <c r="D318" s="5" t="str">
        <f>VLOOKUP(C318,[1]master_data!$A$2:$E$495,2,FALSE)</f>
        <v>BACKGROUND</v>
      </c>
      <c r="E318" s="5">
        <v>20</v>
      </c>
      <c r="F318" s="5">
        <f>VLOOKUP(C318,[1]master_data!$A$2:$E$495,3,FALSE)</f>
        <v>8000</v>
      </c>
      <c r="G318" s="5">
        <f>VLOOKUP(C318,[1]master_data!$A$2:$E$495,4,FALSE)</f>
        <v>15000</v>
      </c>
      <c r="H318" s="5">
        <f t="shared" si="18"/>
        <v>160000</v>
      </c>
      <c r="I318" s="5">
        <f t="shared" si="19"/>
        <v>300000</v>
      </c>
      <c r="J318" s="5">
        <f t="shared" si="20"/>
        <v>140000</v>
      </c>
      <c r="K318" s="5" t="str">
        <f>VLOOKUP(C318,[1]master_data!$A$2:$E$495,5,FALSE)</f>
        <v>Aksesoris</v>
      </c>
      <c r="L318" s="5" t="s">
        <v>471</v>
      </c>
    </row>
    <row r="319" spans="1:12" ht="12" customHeight="1" x14ac:dyDescent="0.25">
      <c r="A319" s="6">
        <v>44890</v>
      </c>
      <c r="B319" s="1">
        <v>2204244</v>
      </c>
      <c r="C319" s="5" t="s">
        <v>262</v>
      </c>
      <c r="D319" s="5" t="str">
        <f>VLOOKUP(C319,[1]master_data!$A$2:$E$495,2,FALSE)</f>
        <v>COP PIPA</v>
      </c>
      <c r="E319" s="5">
        <v>10</v>
      </c>
      <c r="F319" s="5">
        <f>VLOOKUP(C319,[1]master_data!$A$2:$E$495,3,FALSE)</f>
        <v>800</v>
      </c>
      <c r="G319" s="5">
        <f>VLOOKUP(C319,[1]master_data!$A$2:$E$495,4,FALSE)</f>
        <v>2000</v>
      </c>
      <c r="H319" s="5">
        <f t="shared" si="18"/>
        <v>8000</v>
      </c>
      <c r="I319" s="5">
        <f t="shared" si="19"/>
        <v>20000</v>
      </c>
      <c r="J319" s="5">
        <f t="shared" si="20"/>
        <v>12000</v>
      </c>
      <c r="K319" s="5" t="str">
        <f>VLOOKUP(C319,[1]master_data!$A$2:$E$495,5,FALSE)</f>
        <v>Aksesoris</v>
      </c>
      <c r="L319" s="5" t="s">
        <v>471</v>
      </c>
    </row>
    <row r="320" spans="1:12" ht="12" customHeight="1" x14ac:dyDescent="0.25">
      <c r="A320" s="6">
        <v>44890</v>
      </c>
      <c r="B320" s="1">
        <v>2204243</v>
      </c>
      <c r="C320" s="5" t="s">
        <v>392</v>
      </c>
      <c r="D320" s="5" t="str">
        <f>VLOOKUP(C320,[1]master_data!$A$2:$E$495,2,FALSE)</f>
        <v>CHANNA ASIATICA B</v>
      </c>
      <c r="E320" s="5">
        <v>3</v>
      </c>
      <c r="F320" s="5">
        <f>VLOOKUP(C320,[1]master_data!$A$2:$E$495,3,FALSE)</f>
        <v>40000</v>
      </c>
      <c r="G320" s="5">
        <f>VLOOKUP(C320,[1]master_data!$A$2:$E$495,4,FALSE)</f>
        <v>100000</v>
      </c>
      <c r="H320" s="5">
        <f t="shared" si="18"/>
        <v>120000</v>
      </c>
      <c r="I320" s="5">
        <f t="shared" si="19"/>
        <v>300000</v>
      </c>
      <c r="J320" s="5">
        <f t="shared" si="20"/>
        <v>180000</v>
      </c>
      <c r="K320" s="5" t="str">
        <f>VLOOKUP(C320,[1]master_data!$A$2:$E$495,5,FALSE)</f>
        <v>Ikan</v>
      </c>
      <c r="L320" s="5" t="s">
        <v>471</v>
      </c>
    </row>
    <row r="321" spans="1:12" ht="12" customHeight="1" x14ac:dyDescent="0.25">
      <c r="A321" s="6">
        <v>44890</v>
      </c>
      <c r="B321" s="1">
        <v>2204242</v>
      </c>
      <c r="C321" s="5" t="s">
        <v>68</v>
      </c>
      <c r="D321" s="5" t="str">
        <f>VLOOKUP(C321,[1]master_data!$A$2:$E$495,2,FALSE)</f>
        <v>MESIN LUKINES K</v>
      </c>
      <c r="E321" s="5">
        <v>5</v>
      </c>
      <c r="F321" s="5">
        <f>VLOOKUP(C321,[1]master_data!$A$2:$E$495,3,FALSE)</f>
        <v>35000</v>
      </c>
      <c r="G321" s="5">
        <f>VLOOKUP(C321,[1]master_data!$A$2:$E$495,4,FALSE)</f>
        <v>55000</v>
      </c>
      <c r="H321" s="5">
        <f t="shared" si="18"/>
        <v>175000</v>
      </c>
      <c r="I321" s="5">
        <f t="shared" si="19"/>
        <v>275000</v>
      </c>
      <c r="J321" s="5">
        <f t="shared" si="20"/>
        <v>100000</v>
      </c>
      <c r="K321" s="5" t="str">
        <f>VLOOKUP(C321,[1]master_data!$A$2:$E$495,5,FALSE)</f>
        <v>Aksesoris</v>
      </c>
      <c r="L321" s="5" t="s">
        <v>471</v>
      </c>
    </row>
    <row r="322" spans="1:12" ht="12" customHeight="1" x14ac:dyDescent="0.25">
      <c r="A322" s="6">
        <v>44890</v>
      </c>
      <c r="B322" s="1">
        <v>2204241</v>
      </c>
      <c r="C322" s="5" t="s">
        <v>131</v>
      </c>
      <c r="D322" s="5" t="str">
        <f>VLOOKUP(C322,[1]master_data!$A$2:$E$495,2,FALSE)</f>
        <v>LED YAMANO S800</v>
      </c>
      <c r="E322" s="5">
        <v>2</v>
      </c>
      <c r="F322" s="5">
        <f>VLOOKUP(C322,[1]master_data!$A$2:$E$495,3,FALSE)</f>
        <v>70000</v>
      </c>
      <c r="G322" s="5">
        <f>VLOOKUP(C322,[1]master_data!$A$2:$E$495,4,FALSE)</f>
        <v>115000</v>
      </c>
      <c r="H322" s="5">
        <f t="shared" si="18"/>
        <v>140000</v>
      </c>
      <c r="I322" s="5">
        <f t="shared" si="19"/>
        <v>230000</v>
      </c>
      <c r="J322" s="5">
        <f t="shared" si="20"/>
        <v>90000</v>
      </c>
      <c r="K322" s="5" t="str">
        <f>VLOOKUP(C322,[1]master_data!$A$2:$E$495,5,FALSE)</f>
        <v>Aksesoris</v>
      </c>
      <c r="L322" s="5" t="s">
        <v>471</v>
      </c>
    </row>
    <row r="323" spans="1:12" ht="12" customHeight="1" x14ac:dyDescent="0.25">
      <c r="A323" s="6">
        <v>44890</v>
      </c>
      <c r="B323" s="1">
        <v>2204240</v>
      </c>
      <c r="C323" s="5" t="s">
        <v>446</v>
      </c>
      <c r="D323" s="5" t="str">
        <f>VLOOKUP(C323,[1]master_data!$A$2:$E$495,2,FALSE)</f>
        <v>REDFIN HITAM</v>
      </c>
      <c r="E323" s="5">
        <v>25</v>
      </c>
      <c r="F323" s="5">
        <f>VLOOKUP(C323,[1]master_data!$A$2:$E$495,3,FALSE)</f>
        <v>1500</v>
      </c>
      <c r="G323" s="5">
        <f>VLOOKUP(C323,[1]master_data!$A$2:$E$495,4,FALSE)</f>
        <v>4000</v>
      </c>
      <c r="H323" s="5">
        <f t="shared" si="18"/>
        <v>37500</v>
      </c>
      <c r="I323" s="5">
        <f t="shared" si="19"/>
        <v>100000</v>
      </c>
      <c r="J323" s="5">
        <f t="shared" si="20"/>
        <v>62500</v>
      </c>
      <c r="K323" s="5" t="str">
        <f>VLOOKUP(C323,[1]master_data!$A$2:$E$495,5,FALSE)</f>
        <v>Ikan</v>
      </c>
      <c r="L323" s="5" t="s">
        <v>471</v>
      </c>
    </row>
    <row r="324" spans="1:12" ht="12" customHeight="1" x14ac:dyDescent="0.25">
      <c r="A324" s="6">
        <v>44890</v>
      </c>
      <c r="B324" s="1">
        <v>2204239</v>
      </c>
      <c r="C324" s="5" t="s">
        <v>460</v>
      </c>
      <c r="D324" s="5" t="str">
        <f>VLOOKUP(C324,[1]master_data!$A$2:$E$495,2,FALSE)</f>
        <v>ZEBRA KUNING</v>
      </c>
      <c r="E324" s="5">
        <v>10</v>
      </c>
      <c r="F324" s="5">
        <f>VLOOKUP(C324,[1]master_data!$A$2:$E$495,3,FALSE)</f>
        <v>800</v>
      </c>
      <c r="G324" s="5">
        <f>VLOOKUP(C324,[1]master_data!$A$2:$E$495,4,FALSE)</f>
        <v>2000</v>
      </c>
      <c r="H324" s="5">
        <f t="shared" si="18"/>
        <v>8000</v>
      </c>
      <c r="I324" s="5">
        <f t="shared" si="19"/>
        <v>20000</v>
      </c>
      <c r="J324" s="5">
        <f t="shared" si="20"/>
        <v>12000</v>
      </c>
      <c r="K324" s="5" t="str">
        <f>VLOOKUP(C324,[1]master_data!$A$2:$E$495,5,FALSE)</f>
        <v>Ikan</v>
      </c>
      <c r="L324" s="5" t="s">
        <v>471</v>
      </c>
    </row>
    <row r="325" spans="1:12" ht="12" customHeight="1" x14ac:dyDescent="0.25">
      <c r="A325" s="6">
        <v>44890</v>
      </c>
      <c r="B325" s="1">
        <v>2204238</v>
      </c>
      <c r="C325" s="5" t="s">
        <v>313</v>
      </c>
      <c r="D325" s="5" t="str">
        <f>VLOOKUP(C325,[1]master_data!$A$2:$E$495,2,FALSE)</f>
        <v>LURUS PIPA</v>
      </c>
      <c r="E325" s="5">
        <v>10</v>
      </c>
      <c r="F325" s="5">
        <f>VLOOKUP(C325,[1]master_data!$A$2:$E$495,3,FALSE)</f>
        <v>800</v>
      </c>
      <c r="G325" s="5">
        <f>VLOOKUP(C325,[1]master_data!$A$2:$E$495,4,FALSE)</f>
        <v>2000</v>
      </c>
      <c r="H325" s="5">
        <f t="shared" ref="H325:H388" si="21">E325*F325</f>
        <v>8000</v>
      </c>
      <c r="I325" s="5">
        <f t="shared" ref="I325:I388" si="22">E325*G325</f>
        <v>20000</v>
      </c>
      <c r="J325" s="5">
        <f t="shared" ref="J325:J388" si="23">I325-H325</f>
        <v>12000</v>
      </c>
      <c r="K325" s="5" t="str">
        <f>VLOOKUP(C325,[1]master_data!$A$2:$E$495,5,FALSE)</f>
        <v>Aksesoris</v>
      </c>
      <c r="L325" s="5" t="s">
        <v>471</v>
      </c>
    </row>
    <row r="326" spans="1:12" ht="12" customHeight="1" x14ac:dyDescent="0.25">
      <c r="A326" s="6">
        <v>44890</v>
      </c>
      <c r="B326" s="1">
        <v>2204237</v>
      </c>
      <c r="C326" s="5" t="s">
        <v>406</v>
      </c>
      <c r="D326" s="5" t="str">
        <f>VLOOKUP(C326,[1]master_data!$A$2:$E$495,2,FALSE)</f>
        <v>BARBIR</v>
      </c>
      <c r="E326" s="5">
        <v>17</v>
      </c>
      <c r="F326" s="5">
        <f>VLOOKUP(C326,[1]master_data!$A$2:$E$495,3,FALSE)</f>
        <v>800</v>
      </c>
      <c r="G326" s="5">
        <f>VLOOKUP(C326,[1]master_data!$A$2:$E$495,4,FALSE)</f>
        <v>2000</v>
      </c>
      <c r="H326" s="5">
        <f t="shared" si="21"/>
        <v>13600</v>
      </c>
      <c r="I326" s="5">
        <f t="shared" si="22"/>
        <v>34000</v>
      </c>
      <c r="J326" s="5">
        <f t="shared" si="23"/>
        <v>20400</v>
      </c>
      <c r="K326" s="5" t="str">
        <f>VLOOKUP(C326,[1]master_data!$A$2:$E$495,5,FALSE)</f>
        <v>Ikan</v>
      </c>
      <c r="L326" s="5" t="s">
        <v>471</v>
      </c>
    </row>
    <row r="327" spans="1:12" ht="12" customHeight="1" x14ac:dyDescent="0.25">
      <c r="A327" s="6">
        <v>44889</v>
      </c>
      <c r="B327" s="1">
        <v>2204236</v>
      </c>
      <c r="C327" s="5" t="s">
        <v>306</v>
      </c>
      <c r="D327" s="5" t="str">
        <f>VLOOKUP(C327,[1]master_data!$A$2:$E$495,2,FALSE)</f>
        <v>SEDOTAN</v>
      </c>
      <c r="E327" s="5">
        <v>1</v>
      </c>
      <c r="F327" s="5">
        <f>VLOOKUP(C327,[1]master_data!$A$2:$E$495,3,FALSE)</f>
        <v>10000</v>
      </c>
      <c r="G327" s="5">
        <f>VLOOKUP(C327,[1]master_data!$A$2:$E$495,4,FALSE)</f>
        <v>15000</v>
      </c>
      <c r="H327" s="5">
        <f t="shared" si="21"/>
        <v>10000</v>
      </c>
      <c r="I327" s="5">
        <f t="shared" si="22"/>
        <v>15000</v>
      </c>
      <c r="J327" s="5">
        <f t="shared" si="23"/>
        <v>5000</v>
      </c>
      <c r="K327" s="5" t="str">
        <f>VLOOKUP(C327,[1]master_data!$A$2:$E$495,5,FALSE)</f>
        <v>Aksesoris</v>
      </c>
      <c r="L327" s="5" t="s">
        <v>471</v>
      </c>
    </row>
    <row r="328" spans="1:12" ht="12" customHeight="1" x14ac:dyDescent="0.25">
      <c r="A328" s="6">
        <v>44889</v>
      </c>
      <c r="B328" s="1">
        <v>2204235</v>
      </c>
      <c r="C328" s="5" t="s">
        <v>259</v>
      </c>
      <c r="D328" s="5" t="str">
        <f>VLOOKUP(C328,[1]master_data!$A$2:$E$495,2,FALSE)</f>
        <v>BIORING</v>
      </c>
      <c r="E328" s="5">
        <v>10</v>
      </c>
      <c r="F328" s="5">
        <f>VLOOKUP(C328,[1]master_data!$A$2:$E$495,3,FALSE)</f>
        <v>8000</v>
      </c>
      <c r="G328" s="5">
        <f>VLOOKUP(C328,[1]master_data!$A$2:$E$495,4,FALSE)</f>
        <v>15000</v>
      </c>
      <c r="H328" s="5">
        <f t="shared" si="21"/>
        <v>80000</v>
      </c>
      <c r="I328" s="5">
        <f t="shared" si="22"/>
        <v>150000</v>
      </c>
      <c r="J328" s="5">
        <f t="shared" si="23"/>
        <v>70000</v>
      </c>
      <c r="K328" s="5" t="str">
        <f>VLOOKUP(C328,[1]master_data!$A$2:$E$495,5,FALSE)</f>
        <v>Aksesoris</v>
      </c>
      <c r="L328" s="5" t="s">
        <v>471</v>
      </c>
    </row>
    <row r="329" spans="1:12" ht="12" customHeight="1" x14ac:dyDescent="0.25">
      <c r="A329" s="6">
        <v>44889</v>
      </c>
      <c r="B329" s="1">
        <v>2204234</v>
      </c>
      <c r="C329" s="5" t="s">
        <v>52</v>
      </c>
      <c r="D329" s="5" t="str">
        <f>VLOOKUP(C329,[1]master_data!$A$2:$E$495,2,FALSE)</f>
        <v>TOP FILTER LENGKAP B</v>
      </c>
      <c r="E329" s="5">
        <v>5</v>
      </c>
      <c r="F329" s="5">
        <f>VLOOKUP(C329,[1]master_data!$A$2:$E$495,3,FALSE)</f>
        <v>37500</v>
      </c>
      <c r="G329" s="5">
        <f>VLOOKUP(C329,[1]master_data!$A$2:$E$495,4,FALSE)</f>
        <v>65000</v>
      </c>
      <c r="H329" s="5">
        <f t="shared" si="21"/>
        <v>187500</v>
      </c>
      <c r="I329" s="5">
        <f t="shared" si="22"/>
        <v>325000</v>
      </c>
      <c r="J329" s="5">
        <f t="shared" si="23"/>
        <v>137500</v>
      </c>
      <c r="K329" s="5" t="str">
        <f>VLOOKUP(C329,[1]master_data!$A$2:$E$495,5,FALSE)</f>
        <v>Aksesoris</v>
      </c>
      <c r="L329" s="5" t="s">
        <v>471</v>
      </c>
    </row>
    <row r="330" spans="1:12" ht="12" customHeight="1" x14ac:dyDescent="0.25">
      <c r="A330" s="6">
        <v>44889</v>
      </c>
      <c r="B330" s="1">
        <v>2204233</v>
      </c>
      <c r="C330" s="5" t="s">
        <v>352</v>
      </c>
      <c r="D330" s="5" t="str">
        <f>VLOOKUP(C330,[1]master_data!$A$2:$E$495,2,FALSE)</f>
        <v>AKUARIUM BAHARI M</v>
      </c>
      <c r="E330" s="5">
        <v>1</v>
      </c>
      <c r="F330" s="5">
        <f>VLOOKUP(C330,[1]master_data!$A$2:$E$495,3,FALSE)</f>
        <v>82000</v>
      </c>
      <c r="G330" s="5">
        <f>VLOOKUP(C330,[1]master_data!$A$2:$E$495,4,FALSE)</f>
        <v>130000</v>
      </c>
      <c r="H330" s="5">
        <f t="shared" si="21"/>
        <v>82000</v>
      </c>
      <c r="I330" s="5">
        <f t="shared" si="22"/>
        <v>130000</v>
      </c>
      <c r="J330" s="5">
        <f t="shared" si="23"/>
        <v>48000</v>
      </c>
      <c r="K330" s="5" t="str">
        <f>VLOOKUP(C330,[1]master_data!$A$2:$E$495,5,FALSE)</f>
        <v>Aksesoris</v>
      </c>
      <c r="L330" s="5" t="s">
        <v>471</v>
      </c>
    </row>
    <row r="331" spans="1:12" ht="12" customHeight="1" x14ac:dyDescent="0.25">
      <c r="A331" s="6">
        <v>44889</v>
      </c>
      <c r="B331" s="1">
        <v>2204232</v>
      </c>
      <c r="C331" s="5" t="s">
        <v>430</v>
      </c>
      <c r="D331" s="5" t="str">
        <f>VLOOKUP(C331,[1]master_data!$A$2:$E$495,2,FALSE)</f>
        <v>MANFISH K</v>
      </c>
      <c r="E331" s="5">
        <v>15</v>
      </c>
      <c r="F331" s="5">
        <f>VLOOKUP(C331,[1]master_data!$A$2:$E$495,3,FALSE)</f>
        <v>2000</v>
      </c>
      <c r="G331" s="5">
        <f>VLOOKUP(C331,[1]master_data!$A$2:$E$495,4,FALSE)</f>
        <v>5000</v>
      </c>
      <c r="H331" s="5">
        <f t="shared" si="21"/>
        <v>30000</v>
      </c>
      <c r="I331" s="5">
        <f t="shared" si="22"/>
        <v>75000</v>
      </c>
      <c r="J331" s="5">
        <f t="shared" si="23"/>
        <v>45000</v>
      </c>
      <c r="K331" s="5" t="str">
        <f>VLOOKUP(C331,[1]master_data!$A$2:$E$495,5,FALSE)</f>
        <v>Ikan</v>
      </c>
      <c r="L331" s="5" t="s">
        <v>471</v>
      </c>
    </row>
    <row r="332" spans="1:12" ht="12" customHeight="1" x14ac:dyDescent="0.25">
      <c r="A332" s="6">
        <v>44889</v>
      </c>
      <c r="B332" s="1">
        <v>2204231</v>
      </c>
      <c r="C332" s="5" t="s">
        <v>147</v>
      </c>
      <c r="D332" s="5" t="str">
        <f>VLOOKUP(C332,[1]master_data!$A$2:$E$495,2,FALSE)</f>
        <v>LED KANDILA 3 BRS 30 CM</v>
      </c>
      <c r="E332" s="5">
        <v>1</v>
      </c>
      <c r="F332" s="5">
        <f>VLOOKUP(C332,[1]master_data!$A$2:$E$495,3,FALSE)</f>
        <v>22000</v>
      </c>
      <c r="G332" s="5">
        <f>VLOOKUP(C332,[1]master_data!$A$2:$E$495,4,FALSE)</f>
        <v>40000</v>
      </c>
      <c r="H332" s="5">
        <f t="shared" si="21"/>
        <v>22000</v>
      </c>
      <c r="I332" s="5">
        <f t="shared" si="22"/>
        <v>40000</v>
      </c>
      <c r="J332" s="5">
        <f t="shared" si="23"/>
        <v>18000</v>
      </c>
      <c r="K332" s="5" t="str">
        <f>VLOOKUP(C332,[1]master_data!$A$2:$E$495,5,FALSE)</f>
        <v>Aksesoris</v>
      </c>
      <c r="L332" s="5" t="s">
        <v>471</v>
      </c>
    </row>
    <row r="333" spans="1:12" ht="12" customHeight="1" x14ac:dyDescent="0.25">
      <c r="A333" s="6">
        <v>44889</v>
      </c>
      <c r="B333" s="1">
        <v>2204230</v>
      </c>
      <c r="C333" s="5" t="s">
        <v>195</v>
      </c>
      <c r="D333" s="5" t="str">
        <f>VLOOKUP(C333,[1]master_data!$A$2:$E$495,2,FALSE)</f>
        <v>LED KANDILA GOLD FISH 30 CM</v>
      </c>
      <c r="E333" s="5">
        <v>1</v>
      </c>
      <c r="F333" s="5">
        <f>VLOOKUP(C333,[1]master_data!$A$2:$E$495,3,FALSE)</f>
        <v>28000</v>
      </c>
      <c r="G333" s="5">
        <f>VLOOKUP(C333,[1]master_data!$A$2:$E$495,4,FALSE)</f>
        <v>45000</v>
      </c>
      <c r="H333" s="5">
        <f t="shared" si="21"/>
        <v>28000</v>
      </c>
      <c r="I333" s="5">
        <f t="shared" si="22"/>
        <v>45000</v>
      </c>
      <c r="J333" s="5">
        <f t="shared" si="23"/>
        <v>17000</v>
      </c>
      <c r="K333" s="5" t="str">
        <f>VLOOKUP(C333,[1]master_data!$A$2:$E$495,5,FALSE)</f>
        <v>Aksesoris</v>
      </c>
      <c r="L333" s="5" t="s">
        <v>471</v>
      </c>
    </row>
    <row r="334" spans="1:12" ht="12" customHeight="1" x14ac:dyDescent="0.25">
      <c r="A334" s="6">
        <v>44889</v>
      </c>
      <c r="B334" s="1">
        <v>2204229</v>
      </c>
      <c r="C334" s="5" t="s">
        <v>436</v>
      </c>
      <c r="D334" s="5" t="str">
        <f>VLOOKUP(C334,[1]master_data!$A$2:$E$495,2,FALSE)</f>
        <v>NIASA</v>
      </c>
      <c r="E334" s="5">
        <v>20</v>
      </c>
      <c r="F334" s="5">
        <f>VLOOKUP(C334,[1]master_data!$A$2:$E$495,3,FALSE)</f>
        <v>900</v>
      </c>
      <c r="G334" s="5">
        <f>VLOOKUP(C334,[1]master_data!$A$2:$E$495,4,FALSE)</f>
        <v>2000</v>
      </c>
      <c r="H334" s="5">
        <f t="shared" si="21"/>
        <v>18000</v>
      </c>
      <c r="I334" s="5">
        <f t="shared" si="22"/>
        <v>40000</v>
      </c>
      <c r="J334" s="5">
        <f t="shared" si="23"/>
        <v>22000</v>
      </c>
      <c r="K334" s="5" t="str">
        <f>VLOOKUP(C334,[1]master_data!$A$2:$E$495,5,FALSE)</f>
        <v>Ikan</v>
      </c>
      <c r="L334" s="5" t="s">
        <v>471</v>
      </c>
    </row>
    <row r="335" spans="1:12" ht="12" customHeight="1" x14ac:dyDescent="0.25">
      <c r="A335" s="6">
        <v>44889</v>
      </c>
      <c r="B335" s="1">
        <v>2204228</v>
      </c>
      <c r="C335" s="5" t="s">
        <v>105</v>
      </c>
      <c r="D335" s="5" t="str">
        <f>VLOOKUP(C335,[1]master_data!$A$2:$E$495,2,FALSE)</f>
        <v>AIRATOR NIKITA LUB 2</v>
      </c>
      <c r="E335" s="5">
        <v>4</v>
      </c>
      <c r="F335" s="5">
        <f>VLOOKUP(C335,[1]master_data!$A$2:$E$495,3,FALSE)</f>
        <v>30000</v>
      </c>
      <c r="G335" s="5">
        <f>VLOOKUP(C335,[1]master_data!$A$2:$E$495,4,FALSE)</f>
        <v>50000</v>
      </c>
      <c r="H335" s="5">
        <f t="shared" si="21"/>
        <v>120000</v>
      </c>
      <c r="I335" s="5">
        <f t="shared" si="22"/>
        <v>200000</v>
      </c>
      <c r="J335" s="5">
        <f t="shared" si="23"/>
        <v>80000</v>
      </c>
      <c r="K335" s="5" t="str">
        <f>VLOOKUP(C335,[1]master_data!$A$2:$E$495,5,FALSE)</f>
        <v>Aksesoris</v>
      </c>
      <c r="L335" s="5" t="s">
        <v>471</v>
      </c>
    </row>
    <row r="336" spans="1:12" ht="12" customHeight="1" x14ac:dyDescent="0.25">
      <c r="A336" s="6">
        <v>44889</v>
      </c>
      <c r="B336" s="1">
        <v>2204227</v>
      </c>
      <c r="C336" s="5" t="s">
        <v>201</v>
      </c>
      <c r="D336" s="5" t="str">
        <f>VLOOKUP(C336,[1]master_data!$A$2:$E$495,2,FALSE)</f>
        <v>AGARU</v>
      </c>
      <c r="E336" s="5">
        <v>15</v>
      </c>
      <c r="F336" s="5">
        <f>VLOOKUP(C336,[1]master_data!$A$2:$E$495,3,FALSE)</f>
        <v>6800</v>
      </c>
      <c r="G336" s="5">
        <f>VLOOKUP(C336,[1]master_data!$A$2:$E$495,4,FALSE)</f>
        <v>10000</v>
      </c>
      <c r="H336" s="5">
        <f t="shared" si="21"/>
        <v>102000</v>
      </c>
      <c r="I336" s="5">
        <f t="shared" si="22"/>
        <v>150000</v>
      </c>
      <c r="J336" s="5">
        <f t="shared" si="23"/>
        <v>48000</v>
      </c>
      <c r="K336" s="5" t="str">
        <f>VLOOKUP(C336,[1]master_data!$A$2:$E$495,5,FALSE)</f>
        <v>Aksesoris</v>
      </c>
      <c r="L336" s="5" t="s">
        <v>471</v>
      </c>
    </row>
    <row r="337" spans="1:12" ht="12" customHeight="1" x14ac:dyDescent="0.25">
      <c r="A337" s="6">
        <v>44889</v>
      </c>
      <c r="B337" s="1">
        <v>2204226</v>
      </c>
      <c r="C337" s="5" t="s">
        <v>449</v>
      </c>
      <c r="D337" s="5" t="str">
        <f>VLOOKUP(C337,[1]master_data!$A$2:$E$495,2,FALSE)</f>
        <v>CHANNA RED BARITO B</v>
      </c>
      <c r="E337" s="5">
        <v>2</v>
      </c>
      <c r="F337" s="5">
        <f>VLOOKUP(C337,[1]master_data!$A$2:$E$495,3,FALSE)</f>
        <v>120000</v>
      </c>
      <c r="G337" s="5">
        <f>VLOOKUP(C337,[1]master_data!$A$2:$E$495,4,FALSE)</f>
        <v>200000</v>
      </c>
      <c r="H337" s="5">
        <f t="shared" si="21"/>
        <v>240000</v>
      </c>
      <c r="I337" s="5">
        <f t="shared" si="22"/>
        <v>400000</v>
      </c>
      <c r="J337" s="5">
        <f t="shared" si="23"/>
        <v>160000</v>
      </c>
      <c r="K337" s="5" t="str">
        <f>VLOOKUP(C337,[1]master_data!$A$2:$E$495,5,FALSE)</f>
        <v>Ikan</v>
      </c>
      <c r="L337" s="5" t="s">
        <v>471</v>
      </c>
    </row>
    <row r="338" spans="1:12" ht="12" customHeight="1" x14ac:dyDescent="0.25">
      <c r="A338" s="6">
        <v>44889</v>
      </c>
      <c r="B338" s="1">
        <v>2204225</v>
      </c>
      <c r="C338" s="5" t="s">
        <v>259</v>
      </c>
      <c r="D338" s="5" t="str">
        <f>VLOOKUP(C338,[1]master_data!$A$2:$E$495,2,FALSE)</f>
        <v>BIORING</v>
      </c>
      <c r="E338" s="5">
        <v>5</v>
      </c>
      <c r="F338" s="5">
        <f>VLOOKUP(C338,[1]master_data!$A$2:$E$495,3,FALSE)</f>
        <v>8000</v>
      </c>
      <c r="G338" s="5">
        <f>VLOOKUP(C338,[1]master_data!$A$2:$E$495,4,FALSE)</f>
        <v>15000</v>
      </c>
      <c r="H338" s="5">
        <f t="shared" si="21"/>
        <v>40000</v>
      </c>
      <c r="I338" s="5">
        <f t="shared" si="22"/>
        <v>75000</v>
      </c>
      <c r="J338" s="5">
        <f t="shared" si="23"/>
        <v>35000</v>
      </c>
      <c r="K338" s="5" t="str">
        <f>VLOOKUP(C338,[1]master_data!$A$2:$E$495,5,FALSE)</f>
        <v>Aksesoris</v>
      </c>
      <c r="L338" s="5" t="s">
        <v>471</v>
      </c>
    </row>
    <row r="339" spans="1:12" ht="12" customHeight="1" x14ac:dyDescent="0.25">
      <c r="A339" s="6">
        <v>44888</v>
      </c>
      <c r="B339" s="1">
        <v>2204224</v>
      </c>
      <c r="C339" s="5" t="s">
        <v>231</v>
      </c>
      <c r="D339" s="5" t="str">
        <f>VLOOKUP(C339,[1]master_data!$A$2:$E$495,2,FALSE)</f>
        <v>OK IKO LOUHAN HITAM</v>
      </c>
      <c r="E339" s="5">
        <v>10</v>
      </c>
      <c r="F339" s="5">
        <f>VLOOKUP(C339,[1]master_data!$A$2:$E$495,3,FALSE)</f>
        <v>31500</v>
      </c>
      <c r="G339" s="5">
        <f>VLOOKUP(C339,[1]master_data!$A$2:$E$495,4,FALSE)</f>
        <v>50000</v>
      </c>
      <c r="H339" s="5">
        <f t="shared" si="21"/>
        <v>315000</v>
      </c>
      <c r="I339" s="5">
        <f t="shared" si="22"/>
        <v>500000</v>
      </c>
      <c r="J339" s="5">
        <f t="shared" si="23"/>
        <v>185000</v>
      </c>
      <c r="K339" s="5" t="str">
        <f>VLOOKUP(C339,[1]master_data!$A$2:$E$495,5,FALSE)</f>
        <v>Aksesoris</v>
      </c>
      <c r="L339" s="5" t="s">
        <v>471</v>
      </c>
    </row>
    <row r="340" spans="1:12" ht="12" customHeight="1" x14ac:dyDescent="0.25">
      <c r="A340" s="6">
        <v>44888</v>
      </c>
      <c r="B340" s="1">
        <v>2204223</v>
      </c>
      <c r="C340" s="5" t="s">
        <v>408</v>
      </c>
      <c r="D340" s="5" t="str">
        <f>VLOOKUP(C340,[1]master_data!$A$2:$E$495,2,FALSE)</f>
        <v>CATFISH</v>
      </c>
      <c r="E340" s="5">
        <v>7</v>
      </c>
      <c r="F340" s="5">
        <f>VLOOKUP(C340,[1]master_data!$A$2:$E$495,3,FALSE)</f>
        <v>20000</v>
      </c>
      <c r="G340" s="5">
        <f>VLOOKUP(C340,[1]master_data!$A$2:$E$495,4,FALSE)</f>
        <v>50000</v>
      </c>
      <c r="H340" s="5">
        <f t="shared" si="21"/>
        <v>140000</v>
      </c>
      <c r="I340" s="5">
        <f t="shared" si="22"/>
        <v>350000</v>
      </c>
      <c r="J340" s="5">
        <f t="shared" si="23"/>
        <v>210000</v>
      </c>
      <c r="K340" s="5" t="str">
        <f>VLOOKUP(C340,[1]master_data!$A$2:$E$495,5,FALSE)</f>
        <v>Ikan</v>
      </c>
      <c r="L340" s="5" t="s">
        <v>471</v>
      </c>
    </row>
    <row r="341" spans="1:12" ht="12" customHeight="1" x14ac:dyDescent="0.25">
      <c r="A341" s="6">
        <v>44888</v>
      </c>
      <c r="B341" s="1">
        <v>2204222</v>
      </c>
      <c r="C341" s="5" t="s">
        <v>411</v>
      </c>
      <c r="D341" s="5" t="str">
        <f>VLOOKUP(C341,[1]master_data!$A$2:$E$495,2,FALSE)</f>
        <v>GOLDEN BLACK</v>
      </c>
      <c r="E341" s="5">
        <v>30</v>
      </c>
      <c r="F341" s="5">
        <f>VLOOKUP(C341,[1]master_data!$A$2:$E$495,3,FALSE)</f>
        <v>800</v>
      </c>
      <c r="G341" s="5">
        <f>VLOOKUP(C341,[1]master_data!$A$2:$E$495,4,FALSE)</f>
        <v>2000</v>
      </c>
      <c r="H341" s="5">
        <f t="shared" si="21"/>
        <v>24000</v>
      </c>
      <c r="I341" s="5">
        <f t="shared" si="22"/>
        <v>60000</v>
      </c>
      <c r="J341" s="5">
        <f t="shared" si="23"/>
        <v>36000</v>
      </c>
      <c r="K341" s="5" t="str">
        <f>VLOOKUP(C341,[1]master_data!$A$2:$E$495,5,FALSE)</f>
        <v>Ikan</v>
      </c>
      <c r="L341" s="5" t="s">
        <v>471</v>
      </c>
    </row>
    <row r="342" spans="1:12" ht="12" customHeight="1" x14ac:dyDescent="0.25">
      <c r="A342" s="6">
        <v>44888</v>
      </c>
      <c r="B342" s="1">
        <v>2204221</v>
      </c>
      <c r="C342" s="5" t="s">
        <v>428</v>
      </c>
      <c r="D342" s="5" t="str">
        <f>VLOOKUP(C342,[1]master_data!$A$2:$E$495,2,FALSE)</f>
        <v>LOUHAN</v>
      </c>
      <c r="E342" s="5">
        <v>2</v>
      </c>
      <c r="F342" s="5">
        <f>VLOOKUP(C342,[1]master_data!$A$2:$E$495,3,FALSE)</f>
        <v>85000</v>
      </c>
      <c r="G342" s="5">
        <f>VLOOKUP(C342,[1]master_data!$A$2:$E$495,4,FALSE)</f>
        <v>200000</v>
      </c>
      <c r="H342" s="5">
        <f t="shared" si="21"/>
        <v>170000</v>
      </c>
      <c r="I342" s="5">
        <f t="shared" si="22"/>
        <v>400000</v>
      </c>
      <c r="J342" s="5">
        <f t="shared" si="23"/>
        <v>230000</v>
      </c>
      <c r="K342" s="5" t="str">
        <f>VLOOKUP(C342,[1]master_data!$A$2:$E$495,5,FALSE)</f>
        <v>Ikan</v>
      </c>
      <c r="L342" s="5" t="s">
        <v>471</v>
      </c>
    </row>
    <row r="343" spans="1:12" ht="12" customHeight="1" x14ac:dyDescent="0.25">
      <c r="A343" s="6">
        <v>44888</v>
      </c>
      <c r="B343" s="1">
        <v>2204220</v>
      </c>
      <c r="C343" s="5" t="s">
        <v>453</v>
      </c>
      <c r="D343" s="5" t="str">
        <f>VLOOKUP(C343,[1]master_data!$A$2:$E$495,2,FALSE)</f>
        <v>SYNODONTIS K</v>
      </c>
      <c r="E343" s="5">
        <v>1</v>
      </c>
      <c r="F343" s="5">
        <f>VLOOKUP(C343,[1]master_data!$A$2:$E$495,3,FALSE)</f>
        <v>1500</v>
      </c>
      <c r="G343" s="5">
        <f>VLOOKUP(C343,[1]master_data!$A$2:$E$495,4,FALSE)</f>
        <v>5000</v>
      </c>
      <c r="H343" s="5">
        <f t="shared" si="21"/>
        <v>1500</v>
      </c>
      <c r="I343" s="5">
        <f t="shared" si="22"/>
        <v>5000</v>
      </c>
      <c r="J343" s="5">
        <f t="shared" si="23"/>
        <v>3500</v>
      </c>
      <c r="K343" s="5" t="str">
        <f>VLOOKUP(C343,[1]master_data!$A$2:$E$495,5,FALSE)</f>
        <v>Ikan</v>
      </c>
      <c r="L343" s="5" t="s">
        <v>471</v>
      </c>
    </row>
    <row r="344" spans="1:12" ht="12" customHeight="1" x14ac:dyDescent="0.25">
      <c r="A344" s="6">
        <v>44888</v>
      </c>
      <c r="B344" s="1">
        <v>2204219</v>
      </c>
      <c r="C344" s="5" t="s">
        <v>65</v>
      </c>
      <c r="D344" s="5" t="str">
        <f>VLOOKUP(C344,[1]master_data!$A$2:$E$495,2,FALSE)</f>
        <v>BIO FOAM S</v>
      </c>
      <c r="E344" s="5">
        <v>1</v>
      </c>
      <c r="F344" s="5">
        <f>VLOOKUP(C344,[1]master_data!$A$2:$E$495,3,FALSE)</f>
        <v>12000</v>
      </c>
      <c r="G344" s="5">
        <f>VLOOKUP(C344,[1]master_data!$A$2:$E$495,4,FALSE)</f>
        <v>25000</v>
      </c>
      <c r="H344" s="5">
        <f t="shared" si="21"/>
        <v>12000</v>
      </c>
      <c r="I344" s="5">
        <f t="shared" si="22"/>
        <v>25000</v>
      </c>
      <c r="J344" s="5">
        <f t="shared" si="23"/>
        <v>13000</v>
      </c>
      <c r="K344" s="5" t="str">
        <f>VLOOKUP(C344,[1]master_data!$A$2:$E$495,5,FALSE)</f>
        <v>Aksesoris</v>
      </c>
      <c r="L344" s="5" t="s">
        <v>471</v>
      </c>
    </row>
    <row r="345" spans="1:12" ht="12" customHeight="1" x14ac:dyDescent="0.25">
      <c r="A345" s="6">
        <v>44887</v>
      </c>
      <c r="B345" s="1">
        <v>2204218</v>
      </c>
      <c r="C345" s="5" t="s">
        <v>444</v>
      </c>
      <c r="D345" s="5" t="str">
        <f>VLOOKUP(C345,[1]master_data!$A$2:$E$495,2,FALSE)</f>
        <v>PARROT</v>
      </c>
      <c r="E345" s="5">
        <v>2</v>
      </c>
      <c r="F345" s="5">
        <f>VLOOKUP(C345,[1]master_data!$A$2:$E$495,3,FALSE)</f>
        <v>27000</v>
      </c>
      <c r="G345" s="5">
        <f>VLOOKUP(C345,[1]master_data!$A$2:$E$495,4,FALSE)</f>
        <v>60000</v>
      </c>
      <c r="H345" s="5">
        <f t="shared" si="21"/>
        <v>54000</v>
      </c>
      <c r="I345" s="5">
        <f t="shared" si="22"/>
        <v>120000</v>
      </c>
      <c r="J345" s="5">
        <f t="shared" si="23"/>
        <v>66000</v>
      </c>
      <c r="K345" s="5" t="str">
        <f>VLOOKUP(C345,[1]master_data!$A$2:$E$495,5,FALSE)</f>
        <v>Ikan</v>
      </c>
      <c r="L345" s="5" t="s">
        <v>471</v>
      </c>
    </row>
    <row r="346" spans="1:12" ht="12" customHeight="1" x14ac:dyDescent="0.25">
      <c r="A346" s="6">
        <v>44887</v>
      </c>
      <c r="B346" s="1">
        <v>2204217</v>
      </c>
      <c r="C346" s="5" t="s">
        <v>441</v>
      </c>
      <c r="D346" s="5" t="str">
        <f>VLOOKUP(C346,[1]master_data!$A$2:$E$495,2,FALSE)</f>
        <v>PEMBERSIH KACA BIASA</v>
      </c>
      <c r="E346" s="5">
        <v>30</v>
      </c>
      <c r="F346" s="5">
        <f>VLOOKUP(C346,[1]master_data!$A$2:$E$495,3,FALSE)</f>
        <v>2000</v>
      </c>
      <c r="G346" s="5">
        <f>VLOOKUP(C346,[1]master_data!$A$2:$E$495,4,FALSE)</f>
        <v>5000</v>
      </c>
      <c r="H346" s="5">
        <f t="shared" si="21"/>
        <v>60000</v>
      </c>
      <c r="I346" s="5">
        <f t="shared" si="22"/>
        <v>150000</v>
      </c>
      <c r="J346" s="5">
        <f t="shared" si="23"/>
        <v>90000</v>
      </c>
      <c r="K346" s="5" t="str">
        <f>VLOOKUP(C346,[1]master_data!$A$2:$E$495,5,FALSE)</f>
        <v>Ikan</v>
      </c>
      <c r="L346" s="5" t="s">
        <v>471</v>
      </c>
    </row>
    <row r="347" spans="1:12" ht="12" customHeight="1" x14ac:dyDescent="0.25">
      <c r="A347" s="6">
        <v>44887</v>
      </c>
      <c r="B347" s="1">
        <v>2204216</v>
      </c>
      <c r="C347" s="5" t="s">
        <v>28</v>
      </c>
      <c r="D347" s="5" t="str">
        <f>VLOOKUP(C347,[1]master_data!$A$2:$E$495,2,FALSE)</f>
        <v>MESIN ROSTON 107</v>
      </c>
      <c r="E347" s="5">
        <v>1</v>
      </c>
      <c r="F347" s="5">
        <f>VLOOKUP(C347,[1]master_data!$A$2:$E$495,3,FALSE)</f>
        <v>185000</v>
      </c>
      <c r="G347" s="5">
        <f>VLOOKUP(C347,[1]master_data!$A$2:$E$495,4,FALSE)</f>
        <v>260000</v>
      </c>
      <c r="H347" s="5">
        <f t="shared" si="21"/>
        <v>185000</v>
      </c>
      <c r="I347" s="5">
        <f t="shared" si="22"/>
        <v>260000</v>
      </c>
      <c r="J347" s="5">
        <f t="shared" si="23"/>
        <v>75000</v>
      </c>
      <c r="K347" s="5" t="str">
        <f>VLOOKUP(C347,[1]master_data!$A$2:$E$495,5,FALSE)</f>
        <v>Aksesoris</v>
      </c>
      <c r="L347" s="5" t="s">
        <v>471</v>
      </c>
    </row>
    <row r="348" spans="1:12" ht="12" customHeight="1" x14ac:dyDescent="0.25">
      <c r="A348" s="6">
        <v>44887</v>
      </c>
      <c r="B348" s="1">
        <v>2204215</v>
      </c>
      <c r="C348" s="5" t="s">
        <v>390</v>
      </c>
      <c r="D348" s="5" t="str">
        <f>VLOOKUP(C348,[1]master_data!$A$2:$E$495,2,FALSE)</f>
        <v>CHANNA ASIATICA K</v>
      </c>
      <c r="E348" s="5">
        <v>2</v>
      </c>
      <c r="F348" s="5">
        <f>VLOOKUP(C348,[1]master_data!$A$2:$E$495,3,FALSE)</f>
        <v>10000</v>
      </c>
      <c r="G348" s="5">
        <f>VLOOKUP(C348,[1]master_data!$A$2:$E$495,4,FALSE)</f>
        <v>40000</v>
      </c>
      <c r="H348" s="5">
        <f t="shared" si="21"/>
        <v>20000</v>
      </c>
      <c r="I348" s="5">
        <f t="shared" si="22"/>
        <v>80000</v>
      </c>
      <c r="J348" s="5">
        <f t="shared" si="23"/>
        <v>60000</v>
      </c>
      <c r="K348" s="5" t="str">
        <f>VLOOKUP(C348,[1]master_data!$A$2:$E$495,5,FALSE)</f>
        <v>Ikan</v>
      </c>
      <c r="L348" s="5" t="s">
        <v>471</v>
      </c>
    </row>
    <row r="349" spans="1:12" ht="12" customHeight="1" x14ac:dyDescent="0.25">
      <c r="A349" s="6">
        <v>44887</v>
      </c>
      <c r="B349" s="1">
        <v>2204214</v>
      </c>
      <c r="C349" s="5" t="s">
        <v>331</v>
      </c>
      <c r="D349" s="5" t="str">
        <f>VLOOKUP(C349,[1]master_data!$A$2:$E$495,2,FALSE)</f>
        <v>KAPAS BANTAL</v>
      </c>
      <c r="E349" s="5">
        <v>10</v>
      </c>
      <c r="F349" s="5">
        <f>VLOOKUP(C349,[1]master_data!$A$2:$E$495,3,FALSE)</f>
        <v>10000</v>
      </c>
      <c r="G349" s="5">
        <f>VLOOKUP(C349,[1]master_data!$A$2:$E$495,4,FALSE)</f>
        <v>20000</v>
      </c>
      <c r="H349" s="5">
        <f t="shared" si="21"/>
        <v>100000</v>
      </c>
      <c r="I349" s="5">
        <f t="shared" si="22"/>
        <v>200000</v>
      </c>
      <c r="J349" s="5">
        <f t="shared" si="23"/>
        <v>100000</v>
      </c>
      <c r="K349" s="5" t="str">
        <f>VLOOKUP(C349,[1]master_data!$A$2:$E$495,5,FALSE)</f>
        <v>Aksesoris</v>
      </c>
      <c r="L349" s="5" t="s">
        <v>471</v>
      </c>
    </row>
    <row r="350" spans="1:12" ht="12" customHeight="1" x14ac:dyDescent="0.25">
      <c r="A350" s="6">
        <v>44887</v>
      </c>
      <c r="B350" s="1">
        <v>2204213</v>
      </c>
      <c r="C350" s="5" t="s">
        <v>256</v>
      </c>
      <c r="D350" s="5" t="str">
        <f>VLOOKUP(C350,[1]master_data!$A$2:$E$495,2,FALSE)</f>
        <v>BACKGROUND</v>
      </c>
      <c r="E350" s="5">
        <v>25</v>
      </c>
      <c r="F350" s="5">
        <f>VLOOKUP(C350,[1]master_data!$A$2:$E$495,3,FALSE)</f>
        <v>8000</v>
      </c>
      <c r="G350" s="5">
        <f>VLOOKUP(C350,[1]master_data!$A$2:$E$495,4,FALSE)</f>
        <v>15000</v>
      </c>
      <c r="H350" s="5">
        <f t="shared" si="21"/>
        <v>200000</v>
      </c>
      <c r="I350" s="5">
        <f t="shared" si="22"/>
        <v>375000</v>
      </c>
      <c r="J350" s="5">
        <f t="shared" si="23"/>
        <v>175000</v>
      </c>
      <c r="K350" s="5" t="str">
        <f>VLOOKUP(C350,[1]master_data!$A$2:$E$495,5,FALSE)</f>
        <v>Aksesoris</v>
      </c>
      <c r="L350" s="5" t="s">
        <v>471</v>
      </c>
    </row>
    <row r="351" spans="1:12" ht="12" customHeight="1" x14ac:dyDescent="0.25">
      <c r="A351" s="6">
        <v>44887</v>
      </c>
      <c r="B351" s="1">
        <v>2204212</v>
      </c>
      <c r="C351" s="5" t="s">
        <v>289</v>
      </c>
      <c r="D351" s="5" t="str">
        <f>VLOOKUP(C351,[1]master_data!$A$2:$E$495,2,FALSE)</f>
        <v>JARING 30</v>
      </c>
      <c r="E351" s="5">
        <v>10</v>
      </c>
      <c r="F351" s="5">
        <f>VLOOKUP(C351,[1]master_data!$A$2:$E$495,3,FALSE)</f>
        <v>7900</v>
      </c>
      <c r="G351" s="5">
        <f>VLOOKUP(C351,[1]master_data!$A$2:$E$495,4,FALSE)</f>
        <v>15000</v>
      </c>
      <c r="H351" s="5">
        <f t="shared" si="21"/>
        <v>79000</v>
      </c>
      <c r="I351" s="5">
        <f t="shared" si="22"/>
        <v>150000</v>
      </c>
      <c r="J351" s="5">
        <f t="shared" si="23"/>
        <v>71000</v>
      </c>
      <c r="K351" s="5" t="str">
        <f>VLOOKUP(C351,[1]master_data!$A$2:$E$495,5,FALSE)</f>
        <v>Aksesoris</v>
      </c>
      <c r="L351" s="5" t="s">
        <v>471</v>
      </c>
    </row>
    <row r="352" spans="1:12" ht="12" customHeight="1" x14ac:dyDescent="0.25">
      <c r="A352" s="6">
        <v>44887</v>
      </c>
      <c r="B352" s="1">
        <v>2204211</v>
      </c>
      <c r="C352" s="5" t="s">
        <v>404</v>
      </c>
      <c r="D352" s="5" t="str">
        <f>VLOOKUP(C352,[1]master_data!$A$2:$E$495,2,FALSE)</f>
        <v>CHANNA BLUE PULCHRA B</v>
      </c>
      <c r="E352" s="5">
        <v>1</v>
      </c>
      <c r="F352" s="5">
        <f>VLOOKUP(C352,[1]master_data!$A$2:$E$495,3,FALSE)</f>
        <v>125000</v>
      </c>
      <c r="G352" s="5">
        <f>VLOOKUP(C352,[1]master_data!$A$2:$E$495,4,FALSE)</f>
        <v>200000</v>
      </c>
      <c r="H352" s="5">
        <f t="shared" si="21"/>
        <v>125000</v>
      </c>
      <c r="I352" s="5">
        <f t="shared" si="22"/>
        <v>200000</v>
      </c>
      <c r="J352" s="5">
        <f t="shared" si="23"/>
        <v>75000</v>
      </c>
      <c r="K352" s="5" t="str">
        <f>VLOOKUP(C352,[1]master_data!$A$2:$E$495,5,FALSE)</f>
        <v>Ikan</v>
      </c>
      <c r="L352" s="5" t="s">
        <v>471</v>
      </c>
    </row>
    <row r="353" spans="1:12" ht="12" customHeight="1" x14ac:dyDescent="0.25">
      <c r="A353" s="6">
        <v>44887</v>
      </c>
      <c r="B353" s="1">
        <v>2204210</v>
      </c>
      <c r="C353" s="5" t="s">
        <v>319</v>
      </c>
      <c r="D353" s="5" t="str">
        <f>VLOOKUP(C353,[1]master_data!$A$2:$E$495,2,FALSE)</f>
        <v>KAPAS HIJAU HITAM</v>
      </c>
      <c r="E353" s="5">
        <v>2</v>
      </c>
      <c r="F353" s="5">
        <f>VLOOKUP(C353,[1]master_data!$A$2:$E$495,3,FALSE)</f>
        <v>11000</v>
      </c>
      <c r="G353" s="5">
        <f>VLOOKUP(C353,[1]master_data!$A$2:$E$495,4,FALSE)</f>
        <v>15000</v>
      </c>
      <c r="H353" s="5">
        <f t="shared" si="21"/>
        <v>22000</v>
      </c>
      <c r="I353" s="5">
        <f t="shared" si="22"/>
        <v>30000</v>
      </c>
      <c r="J353" s="5">
        <f t="shared" si="23"/>
        <v>8000</v>
      </c>
      <c r="K353" s="5" t="str">
        <f>VLOOKUP(C353,[1]master_data!$A$2:$E$495,5,FALSE)</f>
        <v>Aksesoris</v>
      </c>
      <c r="L353" s="5" t="s">
        <v>471</v>
      </c>
    </row>
    <row r="354" spans="1:12" ht="12" customHeight="1" x14ac:dyDescent="0.25">
      <c r="A354" s="6">
        <v>44886</v>
      </c>
      <c r="B354" s="1">
        <v>2204209</v>
      </c>
      <c r="C354" s="5" t="s">
        <v>393</v>
      </c>
      <c r="D354" s="5" t="str">
        <f>VLOOKUP(C354,[1]master_data!$A$2:$E$495,2,FALSE)</f>
        <v>CHANNA ANDRAO B</v>
      </c>
      <c r="E354" s="5">
        <v>2</v>
      </c>
      <c r="F354" s="5">
        <f>VLOOKUP(C354,[1]master_data!$A$2:$E$495,3,FALSE)</f>
        <v>100000</v>
      </c>
      <c r="G354" s="5">
        <f>VLOOKUP(C354,[1]master_data!$A$2:$E$495,4,FALSE)</f>
        <v>200000</v>
      </c>
      <c r="H354" s="5">
        <f t="shared" si="21"/>
        <v>200000</v>
      </c>
      <c r="I354" s="5">
        <f t="shared" si="22"/>
        <v>400000</v>
      </c>
      <c r="J354" s="5">
        <f t="shared" si="23"/>
        <v>200000</v>
      </c>
      <c r="K354" s="5" t="str">
        <f>VLOOKUP(C354,[1]master_data!$A$2:$E$495,5,FALSE)</f>
        <v>Ikan</v>
      </c>
      <c r="L354" s="5" t="s">
        <v>471</v>
      </c>
    </row>
    <row r="355" spans="1:12" ht="12" customHeight="1" x14ac:dyDescent="0.25">
      <c r="A355" s="6">
        <v>44886</v>
      </c>
      <c r="B355" s="1">
        <v>2204208</v>
      </c>
      <c r="C355" s="5" t="s">
        <v>278</v>
      </c>
      <c r="D355" s="5" t="str">
        <f>VLOOKUP(C355,[1]master_data!$A$2:$E$495,2,FALSE)</f>
        <v>HEATER STENLEES 100 W</v>
      </c>
      <c r="E355" s="5">
        <v>10</v>
      </c>
      <c r="F355" s="5">
        <f>VLOOKUP(C355,[1]master_data!$A$2:$E$495,3,FALSE)</f>
        <v>56000</v>
      </c>
      <c r="G355" s="5">
        <f>VLOOKUP(C355,[1]master_data!$A$2:$E$495,4,FALSE)</f>
        <v>85000</v>
      </c>
      <c r="H355" s="5">
        <f t="shared" si="21"/>
        <v>560000</v>
      </c>
      <c r="I355" s="5">
        <f t="shared" si="22"/>
        <v>850000</v>
      </c>
      <c r="J355" s="5">
        <f t="shared" si="23"/>
        <v>290000</v>
      </c>
      <c r="K355" s="5" t="str">
        <f>VLOOKUP(C355,[1]master_data!$A$2:$E$495,5,FALSE)</f>
        <v>Aksesoris</v>
      </c>
      <c r="L355" s="5" t="s">
        <v>471</v>
      </c>
    </row>
    <row r="356" spans="1:12" ht="12" customHeight="1" x14ac:dyDescent="0.25">
      <c r="A356" s="6">
        <v>44886</v>
      </c>
      <c r="B356" s="1">
        <v>2204207</v>
      </c>
      <c r="C356" s="5" t="s">
        <v>7</v>
      </c>
      <c r="D356" s="5" t="str">
        <f>VLOOKUP(C356,[1]master_data!$A$2:$E$495,2,FALSE)</f>
        <v>MESIN YANG 1600</v>
      </c>
      <c r="E356" s="5">
        <v>10</v>
      </c>
      <c r="F356" s="5">
        <f>VLOOKUP(C356,[1]master_data!$A$2:$E$495,3,FALSE)</f>
        <v>64000</v>
      </c>
      <c r="G356" s="5">
        <f>VLOOKUP(C356,[1]master_data!$A$2:$E$495,4,FALSE)</f>
        <v>90000</v>
      </c>
      <c r="H356" s="5">
        <f t="shared" si="21"/>
        <v>640000</v>
      </c>
      <c r="I356" s="5">
        <f t="shared" si="22"/>
        <v>900000</v>
      </c>
      <c r="J356" s="5">
        <f t="shared" si="23"/>
        <v>260000</v>
      </c>
      <c r="K356" s="5" t="str">
        <f>VLOOKUP(C356,[1]master_data!$A$2:$E$495,5,FALSE)</f>
        <v>Aksesoris</v>
      </c>
      <c r="L356" s="5" t="s">
        <v>471</v>
      </c>
    </row>
    <row r="357" spans="1:12" ht="12" customHeight="1" x14ac:dyDescent="0.25">
      <c r="A357" s="6">
        <v>44886</v>
      </c>
      <c r="B357" s="1">
        <v>2204206</v>
      </c>
      <c r="C357" s="5" t="s">
        <v>410</v>
      </c>
      <c r="D357" s="5" t="str">
        <f>VLOOKUP(C357,[1]master_data!$A$2:$E$495,2,FALSE)</f>
        <v>GUPY</v>
      </c>
      <c r="E357" s="5">
        <v>15</v>
      </c>
      <c r="F357" s="5">
        <f>VLOOKUP(C357,[1]master_data!$A$2:$E$495,3,FALSE)</f>
        <v>1200</v>
      </c>
      <c r="G357" s="5">
        <f>VLOOKUP(C357,[1]master_data!$A$2:$E$495,4,FALSE)</f>
        <v>2500</v>
      </c>
      <c r="H357" s="5">
        <f t="shared" si="21"/>
        <v>18000</v>
      </c>
      <c r="I357" s="5">
        <f t="shared" si="22"/>
        <v>37500</v>
      </c>
      <c r="J357" s="5">
        <f t="shared" si="23"/>
        <v>19500</v>
      </c>
      <c r="K357" s="5" t="str">
        <f>VLOOKUP(C357,[1]master_data!$A$2:$E$495,5,FALSE)</f>
        <v>Ikan</v>
      </c>
      <c r="L357" s="5" t="s">
        <v>471</v>
      </c>
    </row>
    <row r="358" spans="1:12" ht="12" customHeight="1" x14ac:dyDescent="0.25">
      <c r="A358" s="6">
        <v>44886</v>
      </c>
      <c r="B358" s="1">
        <v>2204205</v>
      </c>
      <c r="C358" s="5" t="s">
        <v>420</v>
      </c>
      <c r="D358" s="5" t="str">
        <f>VLOOKUP(C358,[1]master_data!$A$2:$E$495,2,FALSE)</f>
        <v>KAVIAT</v>
      </c>
      <c r="E358" s="5">
        <v>1</v>
      </c>
      <c r="F358" s="5">
        <f>VLOOKUP(C358,[1]master_data!$A$2:$E$495,3,FALSE)</f>
        <v>3500</v>
      </c>
      <c r="G358" s="5">
        <f>VLOOKUP(C358,[1]master_data!$A$2:$E$495,4,FALSE)</f>
        <v>8000</v>
      </c>
      <c r="H358" s="5">
        <f t="shared" si="21"/>
        <v>3500</v>
      </c>
      <c r="I358" s="5">
        <f t="shared" si="22"/>
        <v>8000</v>
      </c>
      <c r="J358" s="5">
        <f t="shared" si="23"/>
        <v>4500</v>
      </c>
      <c r="K358" s="5" t="str">
        <f>VLOOKUP(C358,[1]master_data!$A$2:$E$495,5,FALSE)</f>
        <v>Ikan</v>
      </c>
      <c r="L358" s="5" t="s">
        <v>471</v>
      </c>
    </row>
    <row r="359" spans="1:12" ht="12" customHeight="1" x14ac:dyDescent="0.25">
      <c r="A359" s="6">
        <v>44886</v>
      </c>
      <c r="B359" s="1">
        <v>2204204</v>
      </c>
      <c r="C359" s="5" t="s">
        <v>127</v>
      </c>
      <c r="D359" s="5" t="str">
        <f>VLOOKUP(C359,[1]master_data!$A$2:$E$495,2,FALSE)</f>
        <v>LED YAMANO 3W</v>
      </c>
      <c r="E359" s="5">
        <v>1</v>
      </c>
      <c r="F359" s="5">
        <f>VLOOKUP(C359,[1]master_data!$A$2:$E$495,3,FALSE)</f>
        <v>37000</v>
      </c>
      <c r="G359" s="5">
        <f>VLOOKUP(C359,[1]master_data!$A$2:$E$495,4,FALSE)</f>
        <v>60000</v>
      </c>
      <c r="H359" s="5">
        <f t="shared" si="21"/>
        <v>37000</v>
      </c>
      <c r="I359" s="5">
        <f t="shared" si="22"/>
        <v>60000</v>
      </c>
      <c r="J359" s="5">
        <f t="shared" si="23"/>
        <v>23000</v>
      </c>
      <c r="K359" s="5" t="str">
        <f>VLOOKUP(C359,[1]master_data!$A$2:$E$495,5,FALSE)</f>
        <v>Aksesoris</v>
      </c>
      <c r="L359" s="5" t="s">
        <v>471</v>
      </c>
    </row>
    <row r="360" spans="1:12" ht="12" customHeight="1" x14ac:dyDescent="0.25">
      <c r="A360" s="6">
        <v>44886</v>
      </c>
      <c r="B360" s="1">
        <v>2204203</v>
      </c>
      <c r="C360" s="5" t="s">
        <v>460</v>
      </c>
      <c r="D360" s="5" t="str">
        <f>VLOOKUP(C360,[1]master_data!$A$2:$E$495,2,FALSE)</f>
        <v>ZEBRA KUNING</v>
      </c>
      <c r="E360" s="5">
        <v>30</v>
      </c>
      <c r="F360" s="5">
        <f>VLOOKUP(C360,[1]master_data!$A$2:$E$495,3,FALSE)</f>
        <v>800</v>
      </c>
      <c r="G360" s="5">
        <f>VLOOKUP(C360,[1]master_data!$A$2:$E$495,4,FALSE)</f>
        <v>2000</v>
      </c>
      <c r="H360" s="5">
        <f t="shared" si="21"/>
        <v>24000</v>
      </c>
      <c r="I360" s="5">
        <f t="shared" si="22"/>
        <v>60000</v>
      </c>
      <c r="J360" s="5">
        <f t="shared" si="23"/>
        <v>36000</v>
      </c>
      <c r="K360" s="5" t="str">
        <f>VLOOKUP(C360,[1]master_data!$A$2:$E$495,5,FALSE)</f>
        <v>Ikan</v>
      </c>
      <c r="L360" s="5" t="s">
        <v>471</v>
      </c>
    </row>
    <row r="361" spans="1:12" ht="12" customHeight="1" x14ac:dyDescent="0.25">
      <c r="A361" s="6">
        <v>44886</v>
      </c>
      <c r="B361" s="1">
        <v>2204202</v>
      </c>
      <c r="C361" s="5" t="s">
        <v>406</v>
      </c>
      <c r="D361" s="5" t="str">
        <f>VLOOKUP(C361,[1]master_data!$A$2:$E$495,2,FALSE)</f>
        <v>BARBIR</v>
      </c>
      <c r="E361" s="5">
        <v>2</v>
      </c>
      <c r="F361" s="5">
        <f>VLOOKUP(C361,[1]master_data!$A$2:$E$495,3,FALSE)</f>
        <v>800</v>
      </c>
      <c r="G361" s="5">
        <f>VLOOKUP(C361,[1]master_data!$A$2:$E$495,4,FALSE)</f>
        <v>2000</v>
      </c>
      <c r="H361" s="5">
        <f t="shared" si="21"/>
        <v>1600</v>
      </c>
      <c r="I361" s="5">
        <f t="shared" si="22"/>
        <v>4000</v>
      </c>
      <c r="J361" s="5">
        <f t="shared" si="23"/>
        <v>2400</v>
      </c>
      <c r="K361" s="5" t="str">
        <f>VLOOKUP(C361,[1]master_data!$A$2:$E$495,5,FALSE)</f>
        <v>Ikan</v>
      </c>
      <c r="L361" s="5" t="s">
        <v>471</v>
      </c>
    </row>
    <row r="362" spans="1:12" ht="12" customHeight="1" x14ac:dyDescent="0.25">
      <c r="A362" s="6">
        <v>44886</v>
      </c>
      <c r="B362" s="1">
        <v>2204201</v>
      </c>
      <c r="C362" s="5" t="s">
        <v>437</v>
      </c>
      <c r="D362" s="5" t="str">
        <f>VLOOKUP(C362,[1]master_data!$A$2:$E$495,2,FALSE)</f>
        <v>RED EYE TETRA</v>
      </c>
      <c r="E362" s="5">
        <v>30</v>
      </c>
      <c r="F362" s="5">
        <f>VLOOKUP(C362,[1]master_data!$A$2:$E$495,3,FALSE)</f>
        <v>900</v>
      </c>
      <c r="G362" s="5">
        <f>VLOOKUP(C362,[1]master_data!$A$2:$E$495,4,FALSE)</f>
        <v>2000</v>
      </c>
      <c r="H362" s="5">
        <f t="shared" si="21"/>
        <v>27000</v>
      </c>
      <c r="I362" s="5">
        <f t="shared" si="22"/>
        <v>60000</v>
      </c>
      <c r="J362" s="5">
        <f t="shared" si="23"/>
        <v>33000</v>
      </c>
      <c r="K362" s="5" t="str">
        <f>VLOOKUP(C362,[1]master_data!$A$2:$E$495,5,FALSE)</f>
        <v>Ikan</v>
      </c>
      <c r="L362" s="5" t="s">
        <v>471</v>
      </c>
    </row>
    <row r="363" spans="1:12" ht="12" customHeight="1" x14ac:dyDescent="0.25">
      <c r="A363" s="6">
        <v>44886</v>
      </c>
      <c r="B363" s="1">
        <v>2204200</v>
      </c>
      <c r="C363" s="5" t="s">
        <v>396</v>
      </c>
      <c r="D363" s="5" t="str">
        <f>VLOOKUP(C363,[1]master_data!$A$2:$E$495,2,FALSE)</f>
        <v>ALGA EATER</v>
      </c>
      <c r="E363" s="5">
        <v>20</v>
      </c>
      <c r="F363" s="5">
        <f>VLOOKUP(C363,[1]master_data!$A$2:$E$495,3,FALSE)</f>
        <v>1750</v>
      </c>
      <c r="G363" s="5">
        <f>VLOOKUP(C363,[1]master_data!$A$2:$E$495,4,FALSE)</f>
        <v>5000</v>
      </c>
      <c r="H363" s="5">
        <f t="shared" si="21"/>
        <v>35000</v>
      </c>
      <c r="I363" s="5">
        <f t="shared" si="22"/>
        <v>100000</v>
      </c>
      <c r="J363" s="5">
        <f t="shared" si="23"/>
        <v>65000</v>
      </c>
      <c r="K363" s="5" t="str">
        <f>VLOOKUP(C363,[1]master_data!$A$2:$E$495,5,FALSE)</f>
        <v>Ikan</v>
      </c>
      <c r="L363" s="5" t="s">
        <v>471</v>
      </c>
    </row>
    <row r="364" spans="1:12" ht="12" customHeight="1" x14ac:dyDescent="0.25">
      <c r="A364" s="6">
        <v>44886</v>
      </c>
      <c r="B364" s="1">
        <v>2204199</v>
      </c>
      <c r="C364" s="5" t="s">
        <v>438</v>
      </c>
      <c r="D364" s="5" t="str">
        <f>VLOOKUP(C364,[1]master_data!$A$2:$E$495,2,FALSE)</f>
        <v>NENTINEN</v>
      </c>
      <c r="E364" s="5">
        <v>25</v>
      </c>
      <c r="F364" s="5">
        <f>VLOOKUP(C364,[1]master_data!$A$2:$E$495,3,FALSE)</f>
        <v>1000</v>
      </c>
      <c r="G364" s="5">
        <f>VLOOKUP(C364,[1]master_data!$A$2:$E$495,4,FALSE)</f>
        <v>2500</v>
      </c>
      <c r="H364" s="5">
        <f t="shared" si="21"/>
        <v>25000</v>
      </c>
      <c r="I364" s="5">
        <f t="shared" si="22"/>
        <v>62500</v>
      </c>
      <c r="J364" s="5">
        <f t="shared" si="23"/>
        <v>37500</v>
      </c>
      <c r="K364" s="5" t="str">
        <f>VLOOKUP(C364,[1]master_data!$A$2:$E$495,5,FALSE)</f>
        <v>Ikan</v>
      </c>
      <c r="L364" s="5" t="s">
        <v>471</v>
      </c>
    </row>
    <row r="365" spans="1:12" ht="12" customHeight="1" x14ac:dyDescent="0.25">
      <c r="A365" s="6">
        <v>44885</v>
      </c>
      <c r="B365" s="1">
        <v>2204198</v>
      </c>
      <c r="C365" s="5" t="s">
        <v>360</v>
      </c>
      <c r="D365" s="5" t="str">
        <f>VLOOKUP(C365,[1]master_data!$A$2:$E$495,2,FALSE)</f>
        <v>AKUARIUM 70 POLOS</v>
      </c>
      <c r="E365" s="5">
        <v>2</v>
      </c>
      <c r="F365" s="5">
        <f>VLOOKUP(C365,[1]master_data!$A$2:$E$495,3,FALSE)</f>
        <v>150000</v>
      </c>
      <c r="G365" s="5">
        <f>VLOOKUP(C365,[1]master_data!$A$2:$E$495,4,FALSE)</f>
        <v>200000</v>
      </c>
      <c r="H365" s="5">
        <f t="shared" si="21"/>
        <v>300000</v>
      </c>
      <c r="I365" s="5">
        <f t="shared" si="22"/>
        <v>400000</v>
      </c>
      <c r="J365" s="5">
        <f t="shared" si="23"/>
        <v>100000</v>
      </c>
      <c r="K365" s="5" t="str">
        <f>VLOOKUP(C365,[1]master_data!$A$2:$E$495,5,FALSE)</f>
        <v>Aksesoris</v>
      </c>
      <c r="L365" s="5" t="s">
        <v>471</v>
      </c>
    </row>
    <row r="366" spans="1:12" ht="12" customHeight="1" x14ac:dyDescent="0.25">
      <c r="A366" s="6">
        <v>44885</v>
      </c>
      <c r="B366" s="1">
        <v>2204197</v>
      </c>
      <c r="C366" s="5" t="s">
        <v>456</v>
      </c>
      <c r="D366" s="5" t="str">
        <f>VLOOKUP(C366,[1]master_data!$A$2:$E$495,2,FALSE)</f>
        <v>TOMAN</v>
      </c>
      <c r="E366" s="5">
        <v>1</v>
      </c>
      <c r="F366" s="5">
        <f>VLOOKUP(C366,[1]master_data!$A$2:$E$495,3,FALSE)</f>
        <v>10000</v>
      </c>
      <c r="G366" s="5">
        <f>VLOOKUP(C366,[1]master_data!$A$2:$E$495,4,FALSE)</f>
        <v>25000</v>
      </c>
      <c r="H366" s="5">
        <f t="shared" si="21"/>
        <v>10000</v>
      </c>
      <c r="I366" s="5">
        <f t="shared" si="22"/>
        <v>25000</v>
      </c>
      <c r="J366" s="5">
        <f t="shared" si="23"/>
        <v>15000</v>
      </c>
      <c r="K366" s="5" t="str">
        <f>VLOOKUP(C366,[1]master_data!$A$2:$E$495,5,FALSE)</f>
        <v>Ikan</v>
      </c>
      <c r="L366" s="5" t="s">
        <v>471</v>
      </c>
    </row>
    <row r="367" spans="1:12" ht="12" customHeight="1" x14ac:dyDescent="0.25">
      <c r="A367" s="6">
        <v>44885</v>
      </c>
      <c r="B367" s="1">
        <v>2204196</v>
      </c>
      <c r="C367" s="5" t="s">
        <v>439</v>
      </c>
      <c r="D367" s="5" t="str">
        <f>VLOOKUP(C367,[1]master_data!$A$2:$E$495,2,FALSE)</f>
        <v>NEON</v>
      </c>
      <c r="E367" s="5">
        <v>20</v>
      </c>
      <c r="F367" s="5">
        <f>VLOOKUP(C367,[1]master_data!$A$2:$E$495,3,FALSE)</f>
        <v>1250</v>
      </c>
      <c r="G367" s="5">
        <f>VLOOKUP(C367,[1]master_data!$A$2:$E$495,4,FALSE)</f>
        <v>5000</v>
      </c>
      <c r="H367" s="5">
        <f t="shared" si="21"/>
        <v>25000</v>
      </c>
      <c r="I367" s="5">
        <f t="shared" si="22"/>
        <v>100000</v>
      </c>
      <c r="J367" s="5">
        <f t="shared" si="23"/>
        <v>75000</v>
      </c>
      <c r="K367" s="5" t="str">
        <f>VLOOKUP(C367,[1]master_data!$A$2:$E$495,5,FALSE)</f>
        <v>Ikan</v>
      </c>
      <c r="L367" s="5" t="s">
        <v>471</v>
      </c>
    </row>
    <row r="368" spans="1:12" ht="12" customHeight="1" x14ac:dyDescent="0.25">
      <c r="A368" s="6">
        <v>44885</v>
      </c>
      <c r="B368" s="1">
        <v>2204195</v>
      </c>
      <c r="C368" s="5" t="s">
        <v>440</v>
      </c>
      <c r="D368" s="5" t="str">
        <f>VLOOKUP(C368,[1]master_data!$A$2:$E$495,2,FALSE)</f>
        <v>OSCAR</v>
      </c>
      <c r="E368" s="5">
        <v>2</v>
      </c>
      <c r="F368" s="5">
        <f>VLOOKUP(C368,[1]master_data!$A$2:$E$495,3,FALSE)</f>
        <v>25000</v>
      </c>
      <c r="G368" s="5">
        <f>VLOOKUP(C368,[1]master_data!$A$2:$E$495,4,FALSE)</f>
        <v>50000</v>
      </c>
      <c r="H368" s="5">
        <f t="shared" si="21"/>
        <v>50000</v>
      </c>
      <c r="I368" s="5">
        <f t="shared" si="22"/>
        <v>100000</v>
      </c>
      <c r="J368" s="5">
        <f t="shared" si="23"/>
        <v>50000</v>
      </c>
      <c r="K368" s="5" t="str">
        <f>VLOOKUP(C368,[1]master_data!$A$2:$E$495,5,FALSE)</f>
        <v>Ikan</v>
      </c>
      <c r="L368" s="5" t="s">
        <v>471</v>
      </c>
    </row>
    <row r="369" spans="1:12" ht="12" customHeight="1" x14ac:dyDescent="0.25">
      <c r="A369" s="6">
        <v>44885</v>
      </c>
      <c r="B369" s="1">
        <v>2204194</v>
      </c>
      <c r="C369" s="5" t="s">
        <v>441</v>
      </c>
      <c r="D369" s="5" t="str">
        <f>VLOOKUP(C369,[1]master_data!$A$2:$E$495,2,FALSE)</f>
        <v>PEMBERSIH KACA BIASA</v>
      </c>
      <c r="E369" s="5">
        <v>15</v>
      </c>
      <c r="F369" s="5">
        <f>VLOOKUP(C369,[1]master_data!$A$2:$E$495,3,FALSE)</f>
        <v>2000</v>
      </c>
      <c r="G369" s="5">
        <f>VLOOKUP(C369,[1]master_data!$A$2:$E$495,4,FALSE)</f>
        <v>5000</v>
      </c>
      <c r="H369" s="5">
        <f t="shared" si="21"/>
        <v>30000</v>
      </c>
      <c r="I369" s="5">
        <f t="shared" si="22"/>
        <v>75000</v>
      </c>
      <c r="J369" s="5">
        <f t="shared" si="23"/>
        <v>45000</v>
      </c>
      <c r="K369" s="5" t="str">
        <f>VLOOKUP(C369,[1]master_data!$A$2:$E$495,5,FALSE)</f>
        <v>Ikan</v>
      </c>
      <c r="L369" s="5" t="s">
        <v>471</v>
      </c>
    </row>
    <row r="370" spans="1:12" ht="12" customHeight="1" x14ac:dyDescent="0.25">
      <c r="A370" s="6">
        <v>44885</v>
      </c>
      <c r="B370" s="1">
        <v>2204193</v>
      </c>
      <c r="C370" s="5" t="s">
        <v>439</v>
      </c>
      <c r="D370" s="5" t="str">
        <f>VLOOKUP(C370,[1]master_data!$A$2:$E$495,2,FALSE)</f>
        <v>NEON</v>
      </c>
      <c r="E370" s="5">
        <v>25</v>
      </c>
      <c r="F370" s="5">
        <f>VLOOKUP(C370,[1]master_data!$A$2:$E$495,3,FALSE)</f>
        <v>1250</v>
      </c>
      <c r="G370" s="5">
        <f>VLOOKUP(C370,[1]master_data!$A$2:$E$495,4,FALSE)</f>
        <v>5000</v>
      </c>
      <c r="H370" s="5">
        <f t="shared" si="21"/>
        <v>31250</v>
      </c>
      <c r="I370" s="5">
        <f t="shared" si="22"/>
        <v>125000</v>
      </c>
      <c r="J370" s="5">
        <f t="shared" si="23"/>
        <v>93750</v>
      </c>
      <c r="K370" s="5" t="str">
        <f>VLOOKUP(C370,[1]master_data!$A$2:$E$495,5,FALSE)</f>
        <v>Ikan</v>
      </c>
      <c r="L370" s="5" t="s">
        <v>471</v>
      </c>
    </row>
    <row r="371" spans="1:12" ht="12" customHeight="1" x14ac:dyDescent="0.25">
      <c r="A371" s="6">
        <v>44885</v>
      </c>
      <c r="B371" s="1">
        <v>2204192</v>
      </c>
      <c r="C371" s="5" t="s">
        <v>446</v>
      </c>
      <c r="D371" s="5" t="str">
        <f>VLOOKUP(C371,[1]master_data!$A$2:$E$495,2,FALSE)</f>
        <v>REDFIN HITAM</v>
      </c>
      <c r="E371" s="5">
        <v>30</v>
      </c>
      <c r="F371" s="5">
        <f>VLOOKUP(C371,[1]master_data!$A$2:$E$495,3,FALSE)</f>
        <v>1500</v>
      </c>
      <c r="G371" s="5">
        <f>VLOOKUP(C371,[1]master_data!$A$2:$E$495,4,FALSE)</f>
        <v>4000</v>
      </c>
      <c r="H371" s="5">
        <f t="shared" si="21"/>
        <v>45000</v>
      </c>
      <c r="I371" s="5">
        <f t="shared" si="22"/>
        <v>120000</v>
      </c>
      <c r="J371" s="5">
        <f t="shared" si="23"/>
        <v>75000</v>
      </c>
      <c r="K371" s="5" t="str">
        <f>VLOOKUP(C371,[1]master_data!$A$2:$E$495,5,FALSE)</f>
        <v>Ikan</v>
      </c>
      <c r="L371" s="5" t="s">
        <v>471</v>
      </c>
    </row>
    <row r="372" spans="1:12" ht="12" customHeight="1" x14ac:dyDescent="0.25">
      <c r="A372" s="6">
        <v>44885</v>
      </c>
      <c r="B372" s="1">
        <v>2204191</v>
      </c>
      <c r="C372" s="5" t="s">
        <v>408</v>
      </c>
      <c r="D372" s="5" t="str">
        <f>VLOOKUP(C372,[1]master_data!$A$2:$E$495,2,FALSE)</f>
        <v>CATFISH</v>
      </c>
      <c r="E372" s="5">
        <v>5</v>
      </c>
      <c r="F372" s="5">
        <f>VLOOKUP(C372,[1]master_data!$A$2:$E$495,3,FALSE)</f>
        <v>20000</v>
      </c>
      <c r="G372" s="5">
        <f>VLOOKUP(C372,[1]master_data!$A$2:$E$495,4,FALSE)</f>
        <v>50000</v>
      </c>
      <c r="H372" s="5">
        <f t="shared" si="21"/>
        <v>100000</v>
      </c>
      <c r="I372" s="5">
        <f t="shared" si="22"/>
        <v>250000</v>
      </c>
      <c r="J372" s="5">
        <f t="shared" si="23"/>
        <v>150000</v>
      </c>
      <c r="K372" s="5" t="str">
        <f>VLOOKUP(C372,[1]master_data!$A$2:$E$495,5,FALSE)</f>
        <v>Ikan</v>
      </c>
      <c r="L372" s="5" t="s">
        <v>471</v>
      </c>
    </row>
    <row r="373" spans="1:12" ht="12" customHeight="1" x14ac:dyDescent="0.25">
      <c r="A373" s="6">
        <v>44885</v>
      </c>
      <c r="B373" s="1">
        <v>2204190</v>
      </c>
      <c r="C373" s="5" t="s">
        <v>210</v>
      </c>
      <c r="D373" s="5" t="str">
        <f>VLOOKUP(C373,[1]master_data!$A$2:$E$495,2,FALSE)</f>
        <v>TETRA BITS 30 GR</v>
      </c>
      <c r="E373" s="5">
        <v>5</v>
      </c>
      <c r="F373" s="5">
        <f>VLOOKUP(C373,[1]master_data!$A$2:$E$495,3,FALSE)</f>
        <v>32000</v>
      </c>
      <c r="G373" s="5">
        <f>VLOOKUP(C373,[1]master_data!$A$2:$E$495,4,FALSE)</f>
        <v>45000</v>
      </c>
      <c r="H373" s="5">
        <f t="shared" si="21"/>
        <v>160000</v>
      </c>
      <c r="I373" s="5">
        <f t="shared" si="22"/>
        <v>225000</v>
      </c>
      <c r="J373" s="5">
        <f t="shared" si="23"/>
        <v>65000</v>
      </c>
      <c r="K373" s="5" t="str">
        <f>VLOOKUP(C373,[1]master_data!$A$2:$E$495,5,FALSE)</f>
        <v>Aksesoris</v>
      </c>
      <c r="L373" s="5" t="s">
        <v>471</v>
      </c>
    </row>
    <row r="374" spans="1:12" ht="12" customHeight="1" x14ac:dyDescent="0.25">
      <c r="A374" s="6">
        <v>44885</v>
      </c>
      <c r="B374" s="1">
        <v>2204189</v>
      </c>
      <c r="C374" s="5" t="s">
        <v>408</v>
      </c>
      <c r="D374" s="5" t="str">
        <f>VLOOKUP(C374,[1]master_data!$A$2:$E$495,2,FALSE)</f>
        <v>CATFISH</v>
      </c>
      <c r="E374" s="5">
        <v>1</v>
      </c>
      <c r="F374" s="5">
        <f>VLOOKUP(C374,[1]master_data!$A$2:$E$495,3,FALSE)</f>
        <v>20000</v>
      </c>
      <c r="G374" s="5">
        <f>VLOOKUP(C374,[1]master_data!$A$2:$E$495,4,FALSE)</f>
        <v>50000</v>
      </c>
      <c r="H374" s="5">
        <f t="shared" si="21"/>
        <v>20000</v>
      </c>
      <c r="I374" s="5">
        <f t="shared" si="22"/>
        <v>50000</v>
      </c>
      <c r="J374" s="5">
        <f t="shared" si="23"/>
        <v>30000</v>
      </c>
      <c r="K374" s="5" t="str">
        <f>VLOOKUP(C374,[1]master_data!$A$2:$E$495,5,FALSE)</f>
        <v>Ikan</v>
      </c>
      <c r="L374" s="5" t="s">
        <v>471</v>
      </c>
    </row>
    <row r="375" spans="1:12" ht="12" customHeight="1" x14ac:dyDescent="0.25">
      <c r="A375" s="6">
        <v>44885</v>
      </c>
      <c r="B375" s="1">
        <v>2204188</v>
      </c>
      <c r="C375" s="5" t="s">
        <v>435</v>
      </c>
      <c r="D375" s="5" t="str">
        <f>VLOOKUP(C375,[1]master_data!$A$2:$E$495,2,FALSE)</f>
        <v>MOLI BALON</v>
      </c>
      <c r="E375" s="5">
        <v>7</v>
      </c>
      <c r="F375" s="5">
        <f>VLOOKUP(C375,[1]master_data!$A$2:$E$495,3,FALSE)</f>
        <v>800</v>
      </c>
      <c r="G375" s="5">
        <f>VLOOKUP(C375,[1]master_data!$A$2:$E$495,4,FALSE)</f>
        <v>2000</v>
      </c>
      <c r="H375" s="5">
        <f t="shared" si="21"/>
        <v>5600</v>
      </c>
      <c r="I375" s="5">
        <f t="shared" si="22"/>
        <v>14000</v>
      </c>
      <c r="J375" s="5">
        <f t="shared" si="23"/>
        <v>8400</v>
      </c>
      <c r="K375" s="5" t="str">
        <f>VLOOKUP(C375,[1]master_data!$A$2:$E$495,5,FALSE)</f>
        <v>Ikan</v>
      </c>
      <c r="L375" s="5" t="s">
        <v>471</v>
      </c>
    </row>
    <row r="376" spans="1:12" ht="12" customHeight="1" x14ac:dyDescent="0.25">
      <c r="A376" s="6">
        <v>44884</v>
      </c>
      <c r="B376" s="1">
        <v>2204187</v>
      </c>
      <c r="C376" s="5" t="s">
        <v>235</v>
      </c>
      <c r="D376" s="5" t="str">
        <f>VLOOKUP(C376,[1]master_data!$A$2:$E$495,2,FALSE)</f>
        <v>MIZUKO</v>
      </c>
      <c r="E376" s="5">
        <v>10</v>
      </c>
      <c r="F376" s="5">
        <f>VLOOKUP(C376,[1]master_data!$A$2:$E$495,3,FALSE)</f>
        <v>30000</v>
      </c>
      <c r="G376" s="5">
        <f>VLOOKUP(C376,[1]master_data!$A$2:$E$495,4,FALSE)</f>
        <v>50000</v>
      </c>
      <c r="H376" s="5">
        <f t="shared" si="21"/>
        <v>300000</v>
      </c>
      <c r="I376" s="5">
        <f t="shared" si="22"/>
        <v>500000</v>
      </c>
      <c r="J376" s="5">
        <f t="shared" si="23"/>
        <v>200000</v>
      </c>
      <c r="K376" s="5" t="str">
        <f>VLOOKUP(C376,[1]master_data!$A$2:$E$495,5,FALSE)</f>
        <v>Aksesoris</v>
      </c>
      <c r="L376" s="5" t="s">
        <v>471</v>
      </c>
    </row>
    <row r="377" spans="1:12" ht="12" customHeight="1" x14ac:dyDescent="0.25">
      <c r="A377" s="6">
        <v>44884</v>
      </c>
      <c r="B377" s="1">
        <v>2204186</v>
      </c>
      <c r="C377" s="5" t="s">
        <v>58</v>
      </c>
      <c r="D377" s="5" t="str">
        <f>VLOOKUP(C377,[1]master_data!$A$2:$E$495,2,FALSE)</f>
        <v>MINI FILTER</v>
      </c>
      <c r="E377" s="5">
        <v>2</v>
      </c>
      <c r="F377" s="5">
        <f>VLOOKUP(C377,[1]master_data!$A$2:$E$495,3,FALSE)</f>
        <v>13000</v>
      </c>
      <c r="G377" s="5">
        <f>VLOOKUP(C377,[1]master_data!$A$2:$E$495,4,FALSE)</f>
        <v>25000</v>
      </c>
      <c r="H377" s="5">
        <f t="shared" si="21"/>
        <v>26000</v>
      </c>
      <c r="I377" s="5">
        <f t="shared" si="22"/>
        <v>50000</v>
      </c>
      <c r="J377" s="5">
        <f t="shared" si="23"/>
        <v>24000</v>
      </c>
      <c r="K377" s="5" t="str">
        <f>VLOOKUP(C377,[1]master_data!$A$2:$E$495,5,FALSE)</f>
        <v>Aksesoris</v>
      </c>
      <c r="L377" s="5" t="s">
        <v>471</v>
      </c>
    </row>
    <row r="378" spans="1:12" ht="12" customHeight="1" x14ac:dyDescent="0.25">
      <c r="A378" s="6">
        <v>44884</v>
      </c>
      <c r="B378" s="1">
        <v>2204185</v>
      </c>
      <c r="C378" s="5" t="s">
        <v>215</v>
      </c>
      <c r="D378" s="5" t="str">
        <f>VLOOKUP(C378,[1]master_data!$A$2:$E$495,2,FALSE)</f>
        <v>MEM PRIME 10 GR</v>
      </c>
      <c r="E378" s="5">
        <v>25</v>
      </c>
      <c r="F378" s="5">
        <f>VLOOKUP(C378,[1]master_data!$A$2:$E$495,3,FALSE)</f>
        <v>5000</v>
      </c>
      <c r="G378" s="5">
        <f>VLOOKUP(C378,[1]master_data!$A$2:$E$495,4,FALSE)</f>
        <v>10000</v>
      </c>
      <c r="H378" s="5">
        <f t="shared" si="21"/>
        <v>125000</v>
      </c>
      <c r="I378" s="5">
        <f t="shared" si="22"/>
        <v>250000</v>
      </c>
      <c r="J378" s="5">
        <f t="shared" si="23"/>
        <v>125000</v>
      </c>
      <c r="K378" s="5" t="str">
        <f>VLOOKUP(C378,[1]master_data!$A$2:$E$495,5,FALSE)</f>
        <v>Aksesoris</v>
      </c>
      <c r="L378" s="5" t="s">
        <v>471</v>
      </c>
    </row>
    <row r="379" spans="1:12" ht="12" customHeight="1" x14ac:dyDescent="0.25">
      <c r="A379" s="6">
        <v>44884</v>
      </c>
      <c r="B379" s="1">
        <v>2204184</v>
      </c>
      <c r="C379" s="5" t="s">
        <v>457</v>
      </c>
      <c r="D379" s="5" t="str">
        <f>VLOOKUP(C379,[1]master_data!$A$2:$E$495,2,FALSE)</f>
        <v>ZEBRA PINK</v>
      </c>
      <c r="E379" s="5">
        <v>20</v>
      </c>
      <c r="F379" s="5">
        <f>VLOOKUP(C379,[1]master_data!$A$2:$E$495,3,FALSE)</f>
        <v>800</v>
      </c>
      <c r="G379" s="5">
        <f>VLOOKUP(C379,[1]master_data!$A$2:$E$495,4,FALSE)</f>
        <v>2000</v>
      </c>
      <c r="H379" s="5">
        <f t="shared" si="21"/>
        <v>16000</v>
      </c>
      <c r="I379" s="5">
        <f t="shared" si="22"/>
        <v>40000</v>
      </c>
      <c r="J379" s="5">
        <f t="shared" si="23"/>
        <v>24000</v>
      </c>
      <c r="K379" s="5" t="str">
        <f>VLOOKUP(C379,[1]master_data!$A$2:$E$495,5,FALSE)</f>
        <v>Ikan</v>
      </c>
      <c r="L379" s="5" t="s">
        <v>471</v>
      </c>
    </row>
    <row r="380" spans="1:12" ht="12" customHeight="1" x14ac:dyDescent="0.25">
      <c r="A380" s="6">
        <v>44884</v>
      </c>
      <c r="B380" s="1">
        <v>2204183</v>
      </c>
      <c r="C380" s="5" t="s">
        <v>30</v>
      </c>
      <c r="D380" s="5" t="str">
        <f>VLOOKUP(C380,[1]master_data!$A$2:$E$495,2,FALSE)</f>
        <v>TOP FILTER ROSTON 650 K</v>
      </c>
      <c r="E380" s="5">
        <v>1</v>
      </c>
      <c r="F380" s="5">
        <f>VLOOKUP(C380,[1]master_data!$A$2:$E$495,3,FALSE)</f>
        <v>35000</v>
      </c>
      <c r="G380" s="5">
        <f>VLOOKUP(C380,[1]master_data!$A$2:$E$495,4,FALSE)</f>
        <v>50000</v>
      </c>
      <c r="H380" s="5">
        <f t="shared" si="21"/>
        <v>35000</v>
      </c>
      <c r="I380" s="5">
        <f t="shared" si="22"/>
        <v>50000</v>
      </c>
      <c r="J380" s="5">
        <f t="shared" si="23"/>
        <v>15000</v>
      </c>
      <c r="K380" s="5" t="str">
        <f>VLOOKUP(C380,[1]master_data!$A$2:$E$495,5,FALSE)</f>
        <v>Aksesoris</v>
      </c>
      <c r="L380" s="5" t="s">
        <v>471</v>
      </c>
    </row>
    <row r="381" spans="1:12" ht="12" customHeight="1" x14ac:dyDescent="0.25">
      <c r="A381" s="6">
        <v>44884</v>
      </c>
      <c r="B381" s="1">
        <v>2204182</v>
      </c>
      <c r="C381" s="5" t="s">
        <v>418</v>
      </c>
      <c r="D381" s="5" t="str">
        <f>VLOOKUP(C381,[1]master_data!$A$2:$E$495,2,FALSE)</f>
        <v>KOI B</v>
      </c>
      <c r="E381" s="5">
        <v>1</v>
      </c>
      <c r="F381" s="5">
        <f>VLOOKUP(C381,[1]master_data!$A$2:$E$495,3,FALSE)</f>
        <v>9000</v>
      </c>
      <c r="G381" s="5">
        <f>VLOOKUP(C381,[1]master_data!$A$2:$E$495,4,FALSE)</f>
        <v>30000</v>
      </c>
      <c r="H381" s="5">
        <f t="shared" si="21"/>
        <v>9000</v>
      </c>
      <c r="I381" s="5">
        <f t="shared" si="22"/>
        <v>30000</v>
      </c>
      <c r="J381" s="5">
        <f t="shared" si="23"/>
        <v>21000</v>
      </c>
      <c r="K381" s="5" t="str">
        <f>VLOOKUP(C381,[1]master_data!$A$2:$E$495,5,FALSE)</f>
        <v>Ikan</v>
      </c>
      <c r="L381" s="5" t="s">
        <v>471</v>
      </c>
    </row>
    <row r="382" spans="1:12" ht="12" customHeight="1" x14ac:dyDescent="0.25">
      <c r="A382" s="6">
        <v>44884</v>
      </c>
      <c r="B382" s="1">
        <v>2204181</v>
      </c>
      <c r="C382" s="5" t="s">
        <v>152</v>
      </c>
      <c r="D382" s="5" t="str">
        <f>VLOOKUP(C382,[1]master_data!$A$2:$E$495,2,FALSE)</f>
        <v>LED ROSTON 3 MODE 50 CM</v>
      </c>
      <c r="E382" s="5">
        <v>1</v>
      </c>
      <c r="F382" s="5">
        <f>VLOOKUP(C382,[1]master_data!$A$2:$E$495,3,FALSE)</f>
        <v>30000</v>
      </c>
      <c r="G382" s="5">
        <f>VLOOKUP(C382,[1]master_data!$A$2:$E$495,4,FALSE)</f>
        <v>55000</v>
      </c>
      <c r="H382" s="5">
        <f t="shared" si="21"/>
        <v>30000</v>
      </c>
      <c r="I382" s="5">
        <f t="shared" si="22"/>
        <v>55000</v>
      </c>
      <c r="J382" s="5">
        <f t="shared" si="23"/>
        <v>25000</v>
      </c>
      <c r="K382" s="5" t="str">
        <f>VLOOKUP(C382,[1]master_data!$A$2:$E$495,5,FALSE)</f>
        <v>Aksesoris</v>
      </c>
      <c r="L382" s="5" t="s">
        <v>471</v>
      </c>
    </row>
    <row r="383" spans="1:12" ht="12" customHeight="1" x14ac:dyDescent="0.25">
      <c r="A383" s="6">
        <v>44884</v>
      </c>
      <c r="B383" s="1">
        <v>2204180</v>
      </c>
      <c r="C383" s="5" t="s">
        <v>142</v>
      </c>
      <c r="D383" s="5" t="str">
        <f>VLOOKUP(C383,[1]master_data!$A$2:$E$495,2,FALSE)</f>
        <v>LED YANG HW 45 CM</v>
      </c>
      <c r="E383" s="5">
        <v>10</v>
      </c>
      <c r="F383" s="5">
        <f>VLOOKUP(C383,[1]master_data!$A$2:$E$495,3,FALSE)</f>
        <v>70000</v>
      </c>
      <c r="G383" s="5">
        <f>VLOOKUP(C383,[1]master_data!$A$2:$E$495,4,FALSE)</f>
        <v>90000</v>
      </c>
      <c r="H383" s="5">
        <f t="shared" si="21"/>
        <v>700000</v>
      </c>
      <c r="I383" s="5">
        <f t="shared" si="22"/>
        <v>900000</v>
      </c>
      <c r="J383" s="5">
        <f t="shared" si="23"/>
        <v>200000</v>
      </c>
      <c r="K383" s="5" t="str">
        <f>VLOOKUP(C383,[1]master_data!$A$2:$E$495,5,FALSE)</f>
        <v>Aksesoris</v>
      </c>
      <c r="L383" s="5" t="s">
        <v>471</v>
      </c>
    </row>
    <row r="384" spans="1:12" ht="12" customHeight="1" x14ac:dyDescent="0.25">
      <c r="A384" s="6">
        <v>44884</v>
      </c>
      <c r="B384" s="1">
        <v>2204179</v>
      </c>
      <c r="C384" s="5" t="s">
        <v>420</v>
      </c>
      <c r="D384" s="5" t="str">
        <f>VLOOKUP(C384,[1]master_data!$A$2:$E$495,2,FALSE)</f>
        <v>KAVIAT</v>
      </c>
      <c r="E384" s="5">
        <v>15</v>
      </c>
      <c r="F384" s="5">
        <f>VLOOKUP(C384,[1]master_data!$A$2:$E$495,3,FALSE)</f>
        <v>3500</v>
      </c>
      <c r="G384" s="5">
        <f>VLOOKUP(C384,[1]master_data!$A$2:$E$495,4,FALSE)</f>
        <v>8000</v>
      </c>
      <c r="H384" s="5">
        <f t="shared" si="21"/>
        <v>52500</v>
      </c>
      <c r="I384" s="5">
        <f t="shared" si="22"/>
        <v>120000</v>
      </c>
      <c r="J384" s="5">
        <f t="shared" si="23"/>
        <v>67500</v>
      </c>
      <c r="K384" s="5" t="str">
        <f>VLOOKUP(C384,[1]master_data!$A$2:$E$495,5,FALSE)</f>
        <v>Ikan</v>
      </c>
      <c r="L384" s="5" t="s">
        <v>471</v>
      </c>
    </row>
    <row r="385" spans="1:12" ht="12" customHeight="1" x14ac:dyDescent="0.25">
      <c r="A385" s="6">
        <v>44883</v>
      </c>
      <c r="B385" s="1">
        <v>2204178</v>
      </c>
      <c r="C385" s="5" t="s">
        <v>43</v>
      </c>
      <c r="D385" s="5" t="str">
        <f>VLOOKUP(C385,[1]master_data!$A$2:$E$495,2,FALSE)</f>
        <v>MESIN YAMANO 650</v>
      </c>
      <c r="E385" s="5">
        <v>2</v>
      </c>
      <c r="F385" s="5">
        <f>VLOOKUP(C385,[1]master_data!$A$2:$E$495,3,FALSE)</f>
        <v>40000</v>
      </c>
      <c r="G385" s="5">
        <f>VLOOKUP(C385,[1]master_data!$A$2:$E$495,4,FALSE)</f>
        <v>70000</v>
      </c>
      <c r="H385" s="5">
        <f t="shared" si="21"/>
        <v>80000</v>
      </c>
      <c r="I385" s="5">
        <f t="shared" si="22"/>
        <v>140000</v>
      </c>
      <c r="J385" s="5">
        <f t="shared" si="23"/>
        <v>60000</v>
      </c>
      <c r="K385" s="5" t="str">
        <f>VLOOKUP(C385,[1]master_data!$A$2:$E$495,5,FALSE)</f>
        <v>Aksesoris</v>
      </c>
      <c r="L385" s="5" t="s">
        <v>471</v>
      </c>
    </row>
    <row r="386" spans="1:12" ht="12" customHeight="1" x14ac:dyDescent="0.25">
      <c r="A386" s="6">
        <v>44883</v>
      </c>
      <c r="B386" s="1">
        <v>2204177</v>
      </c>
      <c r="C386" s="5" t="s">
        <v>462</v>
      </c>
      <c r="D386" s="5" t="str">
        <f>VLOOKUP(C386,[1]master_data!$A$2:$E$495,2,FALSE)</f>
        <v>SEPAT ALBINO</v>
      </c>
      <c r="E386" s="5">
        <v>25</v>
      </c>
      <c r="F386" s="5">
        <f>VLOOKUP(C386,[1]master_data!$A$2:$E$495,3,FALSE)</f>
        <v>2000</v>
      </c>
      <c r="G386" s="5">
        <f>VLOOKUP(C386,[1]master_data!$A$2:$E$495,4,FALSE)</f>
        <v>5000</v>
      </c>
      <c r="H386" s="5">
        <f t="shared" si="21"/>
        <v>50000</v>
      </c>
      <c r="I386" s="5">
        <f t="shared" si="22"/>
        <v>125000</v>
      </c>
      <c r="J386" s="5">
        <f t="shared" si="23"/>
        <v>75000</v>
      </c>
      <c r="K386" s="5" t="str">
        <f>VLOOKUP(C386,[1]master_data!$A$2:$E$495,5,FALSE)</f>
        <v>Ikan</v>
      </c>
      <c r="L386" s="5" t="s">
        <v>471</v>
      </c>
    </row>
    <row r="387" spans="1:12" ht="12" customHeight="1" x14ac:dyDescent="0.25">
      <c r="A387" s="6">
        <v>44883</v>
      </c>
      <c r="B387" s="1">
        <v>2204176</v>
      </c>
      <c r="C387" s="5" t="s">
        <v>434</v>
      </c>
      <c r="D387" s="5" t="str">
        <f>VLOOKUP(C387,[1]master_data!$A$2:$E$495,2,FALSE)</f>
        <v>MOLI PAKAN</v>
      </c>
      <c r="E387" s="5">
        <v>20</v>
      </c>
      <c r="F387" s="5">
        <f>VLOOKUP(C387,[1]master_data!$A$2:$E$495,3,FALSE)</f>
        <v>100</v>
      </c>
      <c r="G387" s="5">
        <f>VLOOKUP(C387,[1]master_data!$A$2:$E$495,4,FALSE)</f>
        <v>200</v>
      </c>
      <c r="H387" s="5">
        <f t="shared" si="21"/>
        <v>2000</v>
      </c>
      <c r="I387" s="5">
        <f t="shared" si="22"/>
        <v>4000</v>
      </c>
      <c r="J387" s="5">
        <f t="shared" si="23"/>
        <v>2000</v>
      </c>
      <c r="K387" s="5" t="str">
        <f>VLOOKUP(C387,[1]master_data!$A$2:$E$495,5,FALSE)</f>
        <v>Ikan</v>
      </c>
      <c r="L387" s="5" t="s">
        <v>471</v>
      </c>
    </row>
    <row r="388" spans="1:12" ht="12" customHeight="1" x14ac:dyDescent="0.25">
      <c r="A388" s="6">
        <v>44883</v>
      </c>
      <c r="B388" s="1">
        <v>2204175</v>
      </c>
      <c r="C388" s="5" t="s">
        <v>236</v>
      </c>
      <c r="D388" s="5" t="str">
        <f>VLOOKUP(C388,[1]master_data!$A$2:$E$495,2,FALSE)</f>
        <v>PREMIUM GOLD FISH RED</v>
      </c>
      <c r="E388" s="5">
        <v>10</v>
      </c>
      <c r="F388" s="5">
        <f>VLOOKUP(C388,[1]master_data!$A$2:$E$495,3,FALSE)</f>
        <v>37000</v>
      </c>
      <c r="G388" s="5">
        <f>VLOOKUP(C388,[1]master_data!$A$2:$E$495,4,FALSE)</f>
        <v>50000</v>
      </c>
      <c r="H388" s="5">
        <f t="shared" si="21"/>
        <v>370000</v>
      </c>
      <c r="I388" s="5">
        <f t="shared" si="22"/>
        <v>500000</v>
      </c>
      <c r="J388" s="5">
        <f t="shared" si="23"/>
        <v>130000</v>
      </c>
      <c r="K388" s="5" t="str">
        <f>VLOOKUP(C388,[1]master_data!$A$2:$E$495,5,FALSE)</f>
        <v>Aksesoris</v>
      </c>
      <c r="L388" s="5" t="s">
        <v>471</v>
      </c>
    </row>
    <row r="389" spans="1:12" ht="12" customHeight="1" x14ac:dyDescent="0.25">
      <c r="A389" s="6">
        <v>44883</v>
      </c>
      <c r="B389" s="1">
        <v>2204174</v>
      </c>
      <c r="C389" s="5" t="s">
        <v>29</v>
      </c>
      <c r="D389" s="5" t="str">
        <f>VLOOKUP(C389,[1]master_data!$A$2:$E$495,2,FALSE)</f>
        <v>MESIN ROSTON 108</v>
      </c>
      <c r="E389" s="5">
        <v>2</v>
      </c>
      <c r="F389" s="5">
        <f>VLOOKUP(C389,[1]master_data!$A$2:$E$495,3,FALSE)</f>
        <v>190000</v>
      </c>
      <c r="G389" s="5">
        <f>VLOOKUP(C389,[1]master_data!$A$2:$E$495,4,FALSE)</f>
        <v>275000</v>
      </c>
      <c r="H389" s="5">
        <f t="shared" ref="H389:H452" si="24">E389*F389</f>
        <v>380000</v>
      </c>
      <c r="I389" s="5">
        <f t="shared" ref="I389:I452" si="25">E389*G389</f>
        <v>550000</v>
      </c>
      <c r="J389" s="5">
        <f t="shared" ref="J389:J452" si="26">I389-H389</f>
        <v>170000</v>
      </c>
      <c r="K389" s="5" t="str">
        <f>VLOOKUP(C389,[1]master_data!$A$2:$E$495,5,FALSE)</f>
        <v>Aksesoris</v>
      </c>
      <c r="L389" s="5" t="s">
        <v>471</v>
      </c>
    </row>
    <row r="390" spans="1:12" ht="12" customHeight="1" x14ac:dyDescent="0.25">
      <c r="A390" s="6">
        <v>44883</v>
      </c>
      <c r="B390" s="1">
        <v>2204173</v>
      </c>
      <c r="C390" s="5" t="s">
        <v>454</v>
      </c>
      <c r="D390" s="5" t="str">
        <f>VLOOKUP(C390,[1]master_data!$A$2:$E$495,2,FALSE)</f>
        <v>SYNODONTI B</v>
      </c>
      <c r="E390" s="5">
        <v>20</v>
      </c>
      <c r="F390" s="5">
        <f>VLOOKUP(C390,[1]master_data!$A$2:$E$495,3,FALSE)</f>
        <v>4000</v>
      </c>
      <c r="G390" s="5">
        <f>VLOOKUP(C390,[1]master_data!$A$2:$E$495,4,FALSE)</f>
        <v>10000</v>
      </c>
      <c r="H390" s="5">
        <f t="shared" si="24"/>
        <v>80000</v>
      </c>
      <c r="I390" s="5">
        <f t="shared" si="25"/>
        <v>200000</v>
      </c>
      <c r="J390" s="5">
        <f t="shared" si="26"/>
        <v>120000</v>
      </c>
      <c r="K390" s="5" t="str">
        <f>VLOOKUP(C390,[1]master_data!$A$2:$E$495,5,FALSE)</f>
        <v>Ikan</v>
      </c>
      <c r="L390" s="5" t="s">
        <v>471</v>
      </c>
    </row>
    <row r="391" spans="1:12" ht="12" customHeight="1" x14ac:dyDescent="0.25">
      <c r="A391" s="6">
        <v>44883</v>
      </c>
      <c r="B391" s="1">
        <v>2204172</v>
      </c>
      <c r="C391" s="5" t="s">
        <v>338</v>
      </c>
      <c r="D391" s="5" t="str">
        <f>VLOOKUP(C391,[1]master_data!$A$2:$E$495,2,FALSE)</f>
        <v>KARUNG JALA M</v>
      </c>
      <c r="E391" s="5">
        <v>1</v>
      </c>
      <c r="F391" s="5">
        <f>VLOOKUP(C391,[1]master_data!$A$2:$E$495,3,FALSE)</f>
        <v>4000</v>
      </c>
      <c r="G391" s="5">
        <f>VLOOKUP(C391,[1]master_data!$A$2:$E$495,4,FALSE)</f>
        <v>10000</v>
      </c>
      <c r="H391" s="5">
        <f t="shared" si="24"/>
        <v>4000</v>
      </c>
      <c r="I391" s="5">
        <f t="shared" si="25"/>
        <v>10000</v>
      </c>
      <c r="J391" s="5">
        <f t="shared" si="26"/>
        <v>6000</v>
      </c>
      <c r="K391" s="5" t="str">
        <f>VLOOKUP(C391,[1]master_data!$A$2:$E$495,5,FALSE)</f>
        <v>Aksesoris</v>
      </c>
      <c r="L391" s="5" t="s">
        <v>471</v>
      </c>
    </row>
    <row r="392" spans="1:12" ht="12" customHeight="1" x14ac:dyDescent="0.25">
      <c r="A392" s="6">
        <v>44883</v>
      </c>
      <c r="B392" s="1">
        <v>2204171</v>
      </c>
      <c r="C392" s="5" t="s">
        <v>414</v>
      </c>
      <c r="D392" s="5" t="str">
        <f>VLOOKUP(C392,[1]master_data!$A$2:$E$495,2,FALSE)</f>
        <v>KOKI T</v>
      </c>
      <c r="E392" s="5">
        <v>2</v>
      </c>
      <c r="F392" s="5">
        <f>VLOOKUP(C392,[1]master_data!$A$2:$E$495,3,FALSE)</f>
        <v>8000</v>
      </c>
      <c r="G392" s="5">
        <f>VLOOKUP(C392,[1]master_data!$A$2:$E$495,4,FALSE)</f>
        <v>15000</v>
      </c>
      <c r="H392" s="5">
        <f t="shared" si="24"/>
        <v>16000</v>
      </c>
      <c r="I392" s="5">
        <f t="shared" si="25"/>
        <v>30000</v>
      </c>
      <c r="J392" s="5">
        <f t="shared" si="26"/>
        <v>14000</v>
      </c>
      <c r="K392" s="5" t="str">
        <f>VLOOKUP(C392,[1]master_data!$A$2:$E$495,5,FALSE)</f>
        <v>Ikan</v>
      </c>
      <c r="L392" s="5" t="s">
        <v>471</v>
      </c>
    </row>
    <row r="393" spans="1:12" ht="12" customHeight="1" x14ac:dyDescent="0.25">
      <c r="A393" s="6">
        <v>44883</v>
      </c>
      <c r="B393" s="1">
        <v>2204170</v>
      </c>
      <c r="C393" s="5" t="s">
        <v>399</v>
      </c>
      <c r="D393" s="5" t="str">
        <f>VLOOKUP(C393,[1]master_data!$A$2:$E$495,2,FALSE)</f>
        <v>BUENOS AIRES TETRA</v>
      </c>
      <c r="E393" s="5">
        <v>30</v>
      </c>
      <c r="F393" s="5">
        <f>VLOOKUP(C393,[1]master_data!$A$2:$E$495,3,FALSE)</f>
        <v>800</v>
      </c>
      <c r="G393" s="5">
        <f>VLOOKUP(C393,[1]master_data!$A$2:$E$495,4,FALSE)</f>
        <v>2000</v>
      </c>
      <c r="H393" s="5">
        <f t="shared" si="24"/>
        <v>24000</v>
      </c>
      <c r="I393" s="5">
        <f t="shared" si="25"/>
        <v>60000</v>
      </c>
      <c r="J393" s="5">
        <f t="shared" si="26"/>
        <v>36000</v>
      </c>
      <c r="K393" s="5" t="str">
        <f>VLOOKUP(C393,[1]master_data!$A$2:$E$495,5,FALSE)</f>
        <v>Ikan</v>
      </c>
      <c r="L393" s="5" t="s">
        <v>471</v>
      </c>
    </row>
    <row r="394" spans="1:12" ht="12" customHeight="1" x14ac:dyDescent="0.25">
      <c r="A394" s="6">
        <v>44883</v>
      </c>
      <c r="B394" s="1">
        <v>2204169</v>
      </c>
      <c r="C394" s="5" t="s">
        <v>402</v>
      </c>
      <c r="D394" s="5" t="str">
        <f>VLOOKUP(C394,[1]master_data!$A$2:$E$495,2,FALSE)</f>
        <v>BLACK GHOST</v>
      </c>
      <c r="E394" s="5">
        <v>15</v>
      </c>
      <c r="F394" s="5">
        <f>VLOOKUP(C394,[1]master_data!$A$2:$E$495,3,FALSE)</f>
        <v>4000</v>
      </c>
      <c r="G394" s="5">
        <f>VLOOKUP(C394,[1]master_data!$A$2:$E$495,4,FALSE)</f>
        <v>10000</v>
      </c>
      <c r="H394" s="5">
        <f t="shared" si="24"/>
        <v>60000</v>
      </c>
      <c r="I394" s="5">
        <f t="shared" si="25"/>
        <v>150000</v>
      </c>
      <c r="J394" s="5">
        <f t="shared" si="26"/>
        <v>90000</v>
      </c>
      <c r="K394" s="5" t="str">
        <f>VLOOKUP(C394,[1]master_data!$A$2:$E$495,5,FALSE)</f>
        <v>Ikan</v>
      </c>
      <c r="L394" s="5" t="s">
        <v>471</v>
      </c>
    </row>
    <row r="395" spans="1:12" ht="12" customHeight="1" x14ac:dyDescent="0.25">
      <c r="A395" s="6">
        <v>44882</v>
      </c>
      <c r="B395" s="1">
        <v>2204168</v>
      </c>
      <c r="C395" s="5" t="s">
        <v>222</v>
      </c>
      <c r="D395" s="5" t="str">
        <f>VLOOKUP(C395,[1]master_data!$A$2:$E$495,2,FALSE)</f>
        <v>CP KOI COLOUR</v>
      </c>
      <c r="E395" s="5">
        <v>2</v>
      </c>
      <c r="F395" s="5">
        <f>VLOOKUP(C395,[1]master_data!$A$2:$E$495,3,FALSE)</f>
        <v>38000</v>
      </c>
      <c r="G395" s="5">
        <f>VLOOKUP(C395,[1]master_data!$A$2:$E$495,4,FALSE)</f>
        <v>50000</v>
      </c>
      <c r="H395" s="5">
        <f t="shared" si="24"/>
        <v>76000</v>
      </c>
      <c r="I395" s="5">
        <f t="shared" si="25"/>
        <v>100000</v>
      </c>
      <c r="J395" s="5">
        <f t="shared" si="26"/>
        <v>24000</v>
      </c>
      <c r="K395" s="5" t="str">
        <f>VLOOKUP(C395,[1]master_data!$A$2:$E$495,5,FALSE)</f>
        <v>Aksesoris</v>
      </c>
      <c r="L395" s="5" t="s">
        <v>471</v>
      </c>
    </row>
    <row r="396" spans="1:12" ht="12" customHeight="1" x14ac:dyDescent="0.25">
      <c r="A396" s="6">
        <v>44882</v>
      </c>
      <c r="B396" s="1">
        <v>2204167</v>
      </c>
      <c r="C396" s="5" t="s">
        <v>227</v>
      </c>
      <c r="D396" s="5" t="str">
        <f>VLOOKUP(C396,[1]master_data!$A$2:$E$495,2,FALSE)</f>
        <v>SAN KOI 2 MM</v>
      </c>
      <c r="E396" s="5">
        <v>5</v>
      </c>
      <c r="F396" s="5">
        <f>VLOOKUP(C396,[1]master_data!$A$2:$E$495,3,FALSE)</f>
        <v>61750</v>
      </c>
      <c r="G396" s="5">
        <f>VLOOKUP(C396,[1]master_data!$A$2:$E$495,4,FALSE)</f>
        <v>75000</v>
      </c>
      <c r="H396" s="5">
        <f t="shared" si="24"/>
        <v>308750</v>
      </c>
      <c r="I396" s="5">
        <f t="shared" si="25"/>
        <v>375000</v>
      </c>
      <c r="J396" s="5">
        <f t="shared" si="26"/>
        <v>66250</v>
      </c>
      <c r="K396" s="5" t="str">
        <f>VLOOKUP(C396,[1]master_data!$A$2:$E$495,5,FALSE)</f>
        <v>Aksesoris</v>
      </c>
      <c r="L396" s="5" t="s">
        <v>471</v>
      </c>
    </row>
    <row r="397" spans="1:12" ht="12" customHeight="1" x14ac:dyDescent="0.25">
      <c r="A397" s="6">
        <v>44882</v>
      </c>
      <c r="B397" s="1">
        <v>2204166</v>
      </c>
      <c r="C397" s="5" t="s">
        <v>418</v>
      </c>
      <c r="D397" s="5" t="str">
        <f>VLOOKUP(C397,[1]master_data!$A$2:$E$495,2,FALSE)</f>
        <v>KOI B</v>
      </c>
      <c r="E397" s="5">
        <v>1</v>
      </c>
      <c r="F397" s="5">
        <f>VLOOKUP(C397,[1]master_data!$A$2:$E$495,3,FALSE)</f>
        <v>9000</v>
      </c>
      <c r="G397" s="5">
        <f>VLOOKUP(C397,[1]master_data!$A$2:$E$495,4,FALSE)</f>
        <v>30000</v>
      </c>
      <c r="H397" s="5">
        <f t="shared" si="24"/>
        <v>9000</v>
      </c>
      <c r="I397" s="5">
        <f t="shared" si="25"/>
        <v>30000</v>
      </c>
      <c r="J397" s="5">
        <f t="shared" si="26"/>
        <v>21000</v>
      </c>
      <c r="K397" s="5" t="str">
        <f>VLOOKUP(C397,[1]master_data!$A$2:$E$495,5,FALSE)</f>
        <v>Ikan</v>
      </c>
      <c r="L397" s="5" t="s">
        <v>471</v>
      </c>
    </row>
    <row r="398" spans="1:12" ht="12" customHeight="1" x14ac:dyDescent="0.25">
      <c r="A398" s="6">
        <v>44882</v>
      </c>
      <c r="B398" s="1">
        <v>2204165</v>
      </c>
      <c r="C398" s="5" t="s">
        <v>459</v>
      </c>
      <c r="D398" s="5" t="str">
        <f>VLOOKUP(C398,[1]master_data!$A$2:$E$495,2,FALSE)</f>
        <v>ZEBRA UNGU</v>
      </c>
      <c r="E398" s="5">
        <v>10</v>
      </c>
      <c r="F398" s="5">
        <f>VLOOKUP(C398,[1]master_data!$A$2:$E$495,3,FALSE)</f>
        <v>800</v>
      </c>
      <c r="G398" s="5">
        <f>VLOOKUP(C398,[1]master_data!$A$2:$E$495,4,FALSE)</f>
        <v>2000</v>
      </c>
      <c r="H398" s="5">
        <f t="shared" si="24"/>
        <v>8000</v>
      </c>
      <c r="I398" s="5">
        <f t="shared" si="25"/>
        <v>20000</v>
      </c>
      <c r="J398" s="5">
        <f t="shared" si="26"/>
        <v>12000</v>
      </c>
      <c r="K398" s="5" t="str">
        <f>VLOOKUP(C398,[1]master_data!$A$2:$E$495,5,FALSE)</f>
        <v>Ikan</v>
      </c>
      <c r="L398" s="5" t="s">
        <v>471</v>
      </c>
    </row>
    <row r="399" spans="1:12" ht="12" customHeight="1" x14ac:dyDescent="0.25">
      <c r="A399" s="6">
        <v>44882</v>
      </c>
      <c r="B399" s="1">
        <v>2204164</v>
      </c>
      <c r="C399" s="5" t="s">
        <v>437</v>
      </c>
      <c r="D399" s="5" t="str">
        <f>VLOOKUP(C399,[1]master_data!$A$2:$E$495,2,FALSE)</f>
        <v>RED EYE TETRA</v>
      </c>
      <c r="E399" s="5">
        <v>30</v>
      </c>
      <c r="F399" s="5">
        <f>VLOOKUP(C399,[1]master_data!$A$2:$E$495,3,FALSE)</f>
        <v>900</v>
      </c>
      <c r="G399" s="5">
        <f>VLOOKUP(C399,[1]master_data!$A$2:$E$495,4,FALSE)</f>
        <v>2000</v>
      </c>
      <c r="H399" s="5">
        <f t="shared" si="24"/>
        <v>27000</v>
      </c>
      <c r="I399" s="5">
        <f t="shared" si="25"/>
        <v>60000</v>
      </c>
      <c r="J399" s="5">
        <f t="shared" si="26"/>
        <v>33000</v>
      </c>
      <c r="K399" s="5" t="str">
        <f>VLOOKUP(C399,[1]master_data!$A$2:$E$495,5,FALSE)</f>
        <v>Ikan</v>
      </c>
      <c r="L399" s="5" t="s">
        <v>471</v>
      </c>
    </row>
    <row r="400" spans="1:12" ht="12" customHeight="1" x14ac:dyDescent="0.25">
      <c r="A400" s="6">
        <v>44882</v>
      </c>
      <c r="B400" s="1">
        <v>2204163</v>
      </c>
      <c r="C400" s="5" t="s">
        <v>458</v>
      </c>
      <c r="D400" s="5" t="str">
        <f>VLOOKUP(C400,[1]master_data!$A$2:$E$495,2,FALSE)</f>
        <v>ZEBRA HIJAU</v>
      </c>
      <c r="E400" s="5">
        <v>1</v>
      </c>
      <c r="F400" s="5">
        <f>VLOOKUP(C400,[1]master_data!$A$2:$E$495,3,FALSE)</f>
        <v>800</v>
      </c>
      <c r="G400" s="5">
        <f>VLOOKUP(C400,[1]master_data!$A$2:$E$495,4,FALSE)</f>
        <v>2000</v>
      </c>
      <c r="H400" s="5">
        <f t="shared" si="24"/>
        <v>800</v>
      </c>
      <c r="I400" s="5">
        <f t="shared" si="25"/>
        <v>2000</v>
      </c>
      <c r="J400" s="5">
        <f t="shared" si="26"/>
        <v>1200</v>
      </c>
      <c r="K400" s="5" t="str">
        <f>VLOOKUP(C400,[1]master_data!$A$2:$E$495,5,FALSE)</f>
        <v>Ikan</v>
      </c>
      <c r="L400" s="5" t="s">
        <v>471</v>
      </c>
    </row>
    <row r="401" spans="1:12" ht="12" customHeight="1" x14ac:dyDescent="0.25">
      <c r="A401" s="6">
        <v>44882</v>
      </c>
      <c r="B401" s="1">
        <v>2204162</v>
      </c>
      <c r="C401" s="5" t="s">
        <v>273</v>
      </c>
      <c r="D401" s="5" t="str">
        <f>VLOOKUP(C401,[1]master_data!$A$2:$E$495,2,FALSE)</f>
        <v>JARING 12</v>
      </c>
      <c r="E401" s="5">
        <v>25</v>
      </c>
      <c r="F401" s="5">
        <f>VLOOKUP(C401,[1]master_data!$A$2:$E$495,3,FALSE)</f>
        <v>4000</v>
      </c>
      <c r="G401" s="5">
        <f>VLOOKUP(C401,[1]master_data!$A$2:$E$495,4,FALSE)</f>
        <v>7000</v>
      </c>
      <c r="H401" s="5">
        <f t="shared" si="24"/>
        <v>100000</v>
      </c>
      <c r="I401" s="5">
        <f t="shared" si="25"/>
        <v>175000</v>
      </c>
      <c r="J401" s="5">
        <f t="shared" si="26"/>
        <v>75000</v>
      </c>
      <c r="K401" s="5" t="str">
        <f>VLOOKUP(C401,[1]master_data!$A$2:$E$495,5,FALSE)</f>
        <v>Aksesoris</v>
      </c>
      <c r="L401" s="5" t="s">
        <v>471</v>
      </c>
    </row>
    <row r="402" spans="1:12" ht="12" customHeight="1" x14ac:dyDescent="0.25">
      <c r="A402" s="6">
        <v>44882</v>
      </c>
      <c r="B402" s="1">
        <v>2204161</v>
      </c>
      <c r="C402" s="5" t="s">
        <v>205</v>
      </c>
      <c r="D402" s="5" t="str">
        <f>VLOOKUP(C402,[1]master_data!$A$2:$E$495,2,FALSE)</f>
        <v>HIKARI VIBRA BITES 35 GR</v>
      </c>
      <c r="E402" s="5">
        <v>5</v>
      </c>
      <c r="F402" s="5">
        <f>VLOOKUP(C402,[1]master_data!$A$2:$E$495,3,FALSE)</f>
        <v>28500</v>
      </c>
      <c r="G402" s="5">
        <f>VLOOKUP(C402,[1]master_data!$A$2:$E$495,4,FALSE)</f>
        <v>40000</v>
      </c>
      <c r="H402" s="5">
        <f t="shared" si="24"/>
        <v>142500</v>
      </c>
      <c r="I402" s="5">
        <f t="shared" si="25"/>
        <v>200000</v>
      </c>
      <c r="J402" s="5">
        <f t="shared" si="26"/>
        <v>57500</v>
      </c>
      <c r="K402" s="5" t="str">
        <f>VLOOKUP(C402,[1]master_data!$A$2:$E$495,5,FALSE)</f>
        <v>Aksesoris</v>
      </c>
      <c r="L402" s="5" t="s">
        <v>471</v>
      </c>
    </row>
    <row r="403" spans="1:12" ht="12" customHeight="1" x14ac:dyDescent="0.25">
      <c r="A403" s="6">
        <v>44882</v>
      </c>
      <c r="B403" s="1">
        <v>2204160</v>
      </c>
      <c r="C403" s="5" t="s">
        <v>225</v>
      </c>
      <c r="D403" s="5" t="str">
        <f>VLOOKUP(C403,[1]master_data!$A$2:$E$495,2,FALSE)</f>
        <v>HOKKY KOI GROWTH</v>
      </c>
      <c r="E403" s="5">
        <v>5</v>
      </c>
      <c r="F403" s="5">
        <f>VLOOKUP(C403,[1]master_data!$A$2:$E$495,3,FALSE)</f>
        <v>49000</v>
      </c>
      <c r="G403" s="5">
        <f>VLOOKUP(C403,[1]master_data!$A$2:$E$495,4,FALSE)</f>
        <v>55000</v>
      </c>
      <c r="H403" s="5">
        <f t="shared" si="24"/>
        <v>245000</v>
      </c>
      <c r="I403" s="5">
        <f t="shared" si="25"/>
        <v>275000</v>
      </c>
      <c r="J403" s="5">
        <f t="shared" si="26"/>
        <v>30000</v>
      </c>
      <c r="K403" s="5" t="str">
        <f>VLOOKUP(C403,[1]master_data!$A$2:$E$495,5,FALSE)</f>
        <v>Aksesoris</v>
      </c>
      <c r="L403" s="5" t="s">
        <v>471</v>
      </c>
    </row>
    <row r="404" spans="1:12" ht="12" customHeight="1" x14ac:dyDescent="0.25">
      <c r="A404" s="6">
        <v>44882</v>
      </c>
      <c r="B404" s="1">
        <v>2204159</v>
      </c>
      <c r="C404" s="5" t="s">
        <v>421</v>
      </c>
      <c r="D404" s="5" t="str">
        <f>VLOOKUP(C404,[1]master_data!$A$2:$E$495,2,FALSE)</f>
        <v>KOMET PAKAN</v>
      </c>
      <c r="E404" s="5">
        <v>30</v>
      </c>
      <c r="F404" s="5">
        <f>VLOOKUP(C404,[1]master_data!$A$2:$E$495,3,FALSE)</f>
        <v>300</v>
      </c>
      <c r="G404" s="5">
        <f>VLOOKUP(C404,[1]master_data!$A$2:$E$495,4,FALSE)</f>
        <v>1000</v>
      </c>
      <c r="H404" s="5">
        <f t="shared" si="24"/>
        <v>9000</v>
      </c>
      <c r="I404" s="5">
        <f t="shared" si="25"/>
        <v>30000</v>
      </c>
      <c r="J404" s="5">
        <f t="shared" si="26"/>
        <v>21000</v>
      </c>
      <c r="K404" s="5" t="str">
        <f>VLOOKUP(C404,[1]master_data!$A$2:$E$495,5,FALSE)</f>
        <v>Ikan</v>
      </c>
      <c r="L404" s="5" t="s">
        <v>471</v>
      </c>
    </row>
    <row r="405" spans="1:12" ht="12" customHeight="1" x14ac:dyDescent="0.25">
      <c r="A405" s="6">
        <v>44882</v>
      </c>
      <c r="B405" s="1">
        <v>2204158</v>
      </c>
      <c r="C405" s="5" t="s">
        <v>453</v>
      </c>
      <c r="D405" s="5" t="str">
        <f>VLOOKUP(C405,[1]master_data!$A$2:$E$495,2,FALSE)</f>
        <v>SYNODONTIS K</v>
      </c>
      <c r="E405" s="5">
        <v>25</v>
      </c>
      <c r="F405" s="5">
        <f>VLOOKUP(C405,[1]master_data!$A$2:$E$495,3,FALSE)</f>
        <v>1500</v>
      </c>
      <c r="G405" s="5">
        <f>VLOOKUP(C405,[1]master_data!$A$2:$E$495,4,FALSE)</f>
        <v>5000</v>
      </c>
      <c r="H405" s="5">
        <f t="shared" si="24"/>
        <v>37500</v>
      </c>
      <c r="I405" s="5">
        <f t="shared" si="25"/>
        <v>125000</v>
      </c>
      <c r="J405" s="5">
        <f t="shared" si="26"/>
        <v>87500</v>
      </c>
      <c r="K405" s="5" t="str">
        <f>VLOOKUP(C405,[1]master_data!$A$2:$E$495,5,FALSE)</f>
        <v>Ikan</v>
      </c>
      <c r="L405" s="5" t="s">
        <v>471</v>
      </c>
    </row>
    <row r="406" spans="1:12" ht="12" customHeight="1" x14ac:dyDescent="0.25">
      <c r="A406" s="6">
        <v>44882</v>
      </c>
      <c r="B406" s="1">
        <v>2204157</v>
      </c>
      <c r="C406" s="5" t="s">
        <v>250</v>
      </c>
      <c r="D406" s="5" t="str">
        <f>VLOOKUP(C406,[1]master_data!$A$2:$E$495,2,FALSE)</f>
        <v>AIRSTONE 40</v>
      </c>
      <c r="E406" s="5">
        <v>10</v>
      </c>
      <c r="F406" s="5">
        <f>VLOOKUP(C406,[1]master_data!$A$2:$E$495,3,FALSE)</f>
        <v>6000</v>
      </c>
      <c r="G406" s="5">
        <f>VLOOKUP(C406,[1]master_data!$A$2:$E$495,4,FALSE)</f>
        <v>12000</v>
      </c>
      <c r="H406" s="5">
        <f t="shared" si="24"/>
        <v>60000</v>
      </c>
      <c r="I406" s="5">
        <f t="shared" si="25"/>
        <v>120000</v>
      </c>
      <c r="J406" s="5">
        <f t="shared" si="26"/>
        <v>60000</v>
      </c>
      <c r="K406" s="5" t="str">
        <f>VLOOKUP(C406,[1]master_data!$A$2:$E$495,5,FALSE)</f>
        <v>Aksesoris</v>
      </c>
      <c r="L406" s="5" t="s">
        <v>471</v>
      </c>
    </row>
    <row r="407" spans="1:12" ht="12" customHeight="1" x14ac:dyDescent="0.25">
      <c r="A407" s="6">
        <v>44882</v>
      </c>
      <c r="B407" s="1">
        <v>2204156</v>
      </c>
      <c r="C407" s="5" t="s">
        <v>412</v>
      </c>
      <c r="D407" s="5" t="str">
        <f>VLOOKUP(C407,[1]master_data!$A$2:$E$495,2,FALSE)</f>
        <v>HIU TAWAR</v>
      </c>
      <c r="E407" s="5">
        <v>2</v>
      </c>
      <c r="F407" s="5">
        <f>VLOOKUP(C407,[1]master_data!$A$2:$E$495,3,FALSE)</f>
        <v>600</v>
      </c>
      <c r="G407" s="5">
        <f>VLOOKUP(C407,[1]master_data!$A$2:$E$495,4,FALSE)</f>
        <v>2000</v>
      </c>
      <c r="H407" s="5">
        <f t="shared" si="24"/>
        <v>1200</v>
      </c>
      <c r="I407" s="5">
        <f t="shared" si="25"/>
        <v>4000</v>
      </c>
      <c r="J407" s="5">
        <f t="shared" si="26"/>
        <v>2800</v>
      </c>
      <c r="K407" s="5" t="str">
        <f>VLOOKUP(C407,[1]master_data!$A$2:$E$495,5,FALSE)</f>
        <v>Ikan</v>
      </c>
      <c r="L407" s="5" t="s">
        <v>471</v>
      </c>
    </row>
    <row r="408" spans="1:12" ht="12" customHeight="1" x14ac:dyDescent="0.25">
      <c r="A408" s="6">
        <v>44882</v>
      </c>
      <c r="B408" s="1">
        <v>2204155</v>
      </c>
      <c r="C408" s="5" t="s">
        <v>409</v>
      </c>
      <c r="D408" s="5" t="str">
        <f>VLOOKUP(C408,[1]master_data!$A$2:$E$495,2,FALSE)</f>
        <v>GOLD FISH</v>
      </c>
      <c r="E408" s="5">
        <v>15</v>
      </c>
      <c r="F408" s="5">
        <f>VLOOKUP(C408,[1]master_data!$A$2:$E$495,3,FALSE)</f>
        <v>800</v>
      </c>
      <c r="G408" s="5">
        <f>VLOOKUP(C408,[1]master_data!$A$2:$E$495,4,FALSE)</f>
        <v>2000</v>
      </c>
      <c r="H408" s="5">
        <f t="shared" si="24"/>
        <v>12000</v>
      </c>
      <c r="I408" s="5">
        <f t="shared" si="25"/>
        <v>30000</v>
      </c>
      <c r="J408" s="5">
        <f t="shared" si="26"/>
        <v>18000</v>
      </c>
      <c r="K408" s="5" t="str">
        <f>VLOOKUP(C408,[1]master_data!$A$2:$E$495,5,FALSE)</f>
        <v>Ikan</v>
      </c>
      <c r="L408" s="5" t="s">
        <v>471</v>
      </c>
    </row>
    <row r="409" spans="1:12" ht="12" customHeight="1" x14ac:dyDescent="0.25">
      <c r="A409" s="6">
        <v>44882</v>
      </c>
      <c r="B409" s="1">
        <v>2204154</v>
      </c>
      <c r="C409" s="5" t="s">
        <v>402</v>
      </c>
      <c r="D409" s="5" t="str">
        <f>VLOOKUP(C409,[1]master_data!$A$2:$E$495,2,FALSE)</f>
        <v>BLACK GHOST</v>
      </c>
      <c r="E409" s="5">
        <v>30</v>
      </c>
      <c r="F409" s="5">
        <f>VLOOKUP(C409,[1]master_data!$A$2:$E$495,3,FALSE)</f>
        <v>4000</v>
      </c>
      <c r="G409" s="5">
        <f>VLOOKUP(C409,[1]master_data!$A$2:$E$495,4,FALSE)</f>
        <v>10000</v>
      </c>
      <c r="H409" s="5">
        <f t="shared" si="24"/>
        <v>120000</v>
      </c>
      <c r="I409" s="5">
        <f t="shared" si="25"/>
        <v>300000</v>
      </c>
      <c r="J409" s="5">
        <f t="shared" si="26"/>
        <v>180000</v>
      </c>
      <c r="K409" s="5" t="str">
        <f>VLOOKUP(C409,[1]master_data!$A$2:$E$495,5,FALSE)</f>
        <v>Ikan</v>
      </c>
      <c r="L409" s="5" t="s">
        <v>471</v>
      </c>
    </row>
    <row r="410" spans="1:12" ht="12" customHeight="1" x14ac:dyDescent="0.25">
      <c r="A410" s="6">
        <v>44882</v>
      </c>
      <c r="B410" s="1">
        <v>2204153</v>
      </c>
      <c r="C410" s="5" t="s">
        <v>439</v>
      </c>
      <c r="D410" s="5" t="str">
        <f>VLOOKUP(C410,[1]master_data!$A$2:$E$495,2,FALSE)</f>
        <v>NEON</v>
      </c>
      <c r="E410" s="5">
        <v>3</v>
      </c>
      <c r="F410" s="5">
        <f>VLOOKUP(C410,[1]master_data!$A$2:$E$495,3,FALSE)</f>
        <v>1250</v>
      </c>
      <c r="G410" s="5">
        <f>VLOOKUP(C410,[1]master_data!$A$2:$E$495,4,FALSE)</f>
        <v>5000</v>
      </c>
      <c r="H410" s="5">
        <f t="shared" si="24"/>
        <v>3750</v>
      </c>
      <c r="I410" s="5">
        <f t="shared" si="25"/>
        <v>15000</v>
      </c>
      <c r="J410" s="5">
        <f t="shared" si="26"/>
        <v>11250</v>
      </c>
      <c r="K410" s="5" t="str">
        <f>VLOOKUP(C410,[1]master_data!$A$2:$E$495,5,FALSE)</f>
        <v>Ikan</v>
      </c>
      <c r="L410" s="5" t="s">
        <v>471</v>
      </c>
    </row>
    <row r="411" spans="1:12" ht="12" customHeight="1" x14ac:dyDescent="0.25">
      <c r="A411" s="6">
        <v>44881</v>
      </c>
      <c r="B411" s="1">
        <v>2204152</v>
      </c>
      <c r="C411" s="5" t="s">
        <v>401</v>
      </c>
      <c r="D411" s="5" t="str">
        <f>VLOOKUP(C411,[1]master_data!$A$2:$E$495,2,FALSE)</f>
        <v>BALA BALA B</v>
      </c>
      <c r="E411" s="5">
        <v>2</v>
      </c>
      <c r="F411" s="5">
        <f>VLOOKUP(C411,[1]master_data!$A$2:$E$495,3,FALSE)</f>
        <v>7000</v>
      </c>
      <c r="G411" s="5">
        <f>VLOOKUP(C411,[1]master_data!$A$2:$E$495,4,FALSE)</f>
        <v>15000</v>
      </c>
      <c r="H411" s="5">
        <f t="shared" si="24"/>
        <v>14000</v>
      </c>
      <c r="I411" s="5">
        <f t="shared" si="25"/>
        <v>30000</v>
      </c>
      <c r="J411" s="5">
        <f t="shared" si="26"/>
        <v>16000</v>
      </c>
      <c r="K411" s="5" t="str">
        <f>VLOOKUP(C411,[1]master_data!$A$2:$E$495,5,FALSE)</f>
        <v>Ikan</v>
      </c>
      <c r="L411" s="5" t="s">
        <v>471</v>
      </c>
    </row>
    <row r="412" spans="1:12" ht="12" customHeight="1" x14ac:dyDescent="0.25">
      <c r="A412" s="6">
        <v>44881</v>
      </c>
      <c r="B412" s="1">
        <v>2204151</v>
      </c>
      <c r="C412" s="5" t="s">
        <v>230</v>
      </c>
      <c r="D412" s="5" t="str">
        <f>VLOOKUP(C412,[1]master_data!$A$2:$E$495,2,FALSE)</f>
        <v>OK IKO LOUHAN HIJAU</v>
      </c>
      <c r="E412" s="5">
        <v>4</v>
      </c>
      <c r="F412" s="5">
        <f>VLOOKUP(C412,[1]master_data!$A$2:$E$495,3,FALSE)</f>
        <v>31500</v>
      </c>
      <c r="G412" s="5">
        <f>VLOOKUP(C412,[1]master_data!$A$2:$E$495,4,FALSE)</f>
        <v>50000</v>
      </c>
      <c r="H412" s="5">
        <f t="shared" si="24"/>
        <v>126000</v>
      </c>
      <c r="I412" s="5">
        <f t="shared" si="25"/>
        <v>200000</v>
      </c>
      <c r="J412" s="5">
        <f t="shared" si="26"/>
        <v>74000</v>
      </c>
      <c r="K412" s="5" t="str">
        <f>VLOOKUP(C412,[1]master_data!$A$2:$E$495,5,FALSE)</f>
        <v>Aksesoris</v>
      </c>
      <c r="L412" s="5" t="s">
        <v>471</v>
      </c>
    </row>
    <row r="413" spans="1:12" ht="12" customHeight="1" x14ac:dyDescent="0.25">
      <c r="A413" s="6">
        <v>44881</v>
      </c>
      <c r="B413" s="1">
        <v>2204150</v>
      </c>
      <c r="C413" s="5" t="s">
        <v>420</v>
      </c>
      <c r="D413" s="5" t="str">
        <f>VLOOKUP(C413,[1]master_data!$A$2:$E$495,2,FALSE)</f>
        <v>KAVIAT</v>
      </c>
      <c r="E413" s="5">
        <v>30</v>
      </c>
      <c r="F413" s="5">
        <f>VLOOKUP(C413,[1]master_data!$A$2:$E$495,3,FALSE)</f>
        <v>3500</v>
      </c>
      <c r="G413" s="5">
        <f>VLOOKUP(C413,[1]master_data!$A$2:$E$495,4,FALSE)</f>
        <v>8000</v>
      </c>
      <c r="H413" s="5">
        <f t="shared" si="24"/>
        <v>105000</v>
      </c>
      <c r="I413" s="5">
        <f t="shared" si="25"/>
        <v>240000</v>
      </c>
      <c r="J413" s="5">
        <f t="shared" si="26"/>
        <v>135000</v>
      </c>
      <c r="K413" s="5" t="str">
        <f>VLOOKUP(C413,[1]master_data!$A$2:$E$495,5,FALSE)</f>
        <v>Ikan</v>
      </c>
      <c r="L413" s="5" t="s">
        <v>471</v>
      </c>
    </row>
    <row r="414" spans="1:12" ht="12" customHeight="1" x14ac:dyDescent="0.25">
      <c r="A414" s="6">
        <v>44881</v>
      </c>
      <c r="B414" s="1">
        <v>2204149</v>
      </c>
      <c r="C414" s="5" t="s">
        <v>93</v>
      </c>
      <c r="D414" s="5" t="str">
        <f>VLOOKUP(C414,[1]master_data!$A$2:$E$495,2,FALSE)</f>
        <v>MESIN AMARA 104</v>
      </c>
      <c r="E414" s="5">
        <v>1</v>
      </c>
      <c r="F414" s="5">
        <f>VLOOKUP(C414,[1]master_data!$A$2:$E$495,3,FALSE)</f>
        <v>120000</v>
      </c>
      <c r="G414" s="5">
        <f>VLOOKUP(C414,[1]master_data!$A$2:$E$495,4,FALSE)</f>
        <v>160000</v>
      </c>
      <c r="H414" s="5">
        <f t="shared" si="24"/>
        <v>120000</v>
      </c>
      <c r="I414" s="5">
        <f t="shared" si="25"/>
        <v>160000</v>
      </c>
      <c r="J414" s="5">
        <f t="shared" si="26"/>
        <v>40000</v>
      </c>
      <c r="K414" s="5" t="str">
        <f>VLOOKUP(C414,[1]master_data!$A$2:$E$495,5,FALSE)</f>
        <v>Aksesoris</v>
      </c>
      <c r="L414" s="5" t="s">
        <v>471</v>
      </c>
    </row>
    <row r="415" spans="1:12" ht="12" customHeight="1" x14ac:dyDescent="0.25">
      <c r="A415" s="6">
        <v>44881</v>
      </c>
      <c r="B415" s="1">
        <v>2204148</v>
      </c>
      <c r="C415" s="5" t="s">
        <v>458</v>
      </c>
      <c r="D415" s="5" t="str">
        <f>VLOOKUP(C415,[1]master_data!$A$2:$E$495,2,FALSE)</f>
        <v>ZEBRA HIJAU</v>
      </c>
      <c r="E415" s="5">
        <v>15</v>
      </c>
      <c r="F415" s="5">
        <f>VLOOKUP(C415,[1]master_data!$A$2:$E$495,3,FALSE)</f>
        <v>800</v>
      </c>
      <c r="G415" s="5">
        <f>VLOOKUP(C415,[1]master_data!$A$2:$E$495,4,FALSE)</f>
        <v>2000</v>
      </c>
      <c r="H415" s="5">
        <f t="shared" si="24"/>
        <v>12000</v>
      </c>
      <c r="I415" s="5">
        <f t="shared" si="25"/>
        <v>30000</v>
      </c>
      <c r="J415" s="5">
        <f t="shared" si="26"/>
        <v>18000</v>
      </c>
      <c r="K415" s="5" t="str">
        <f>VLOOKUP(C415,[1]master_data!$A$2:$E$495,5,FALSE)</f>
        <v>Ikan</v>
      </c>
      <c r="L415" s="5" t="s">
        <v>471</v>
      </c>
    </row>
    <row r="416" spans="1:12" ht="12" customHeight="1" x14ac:dyDescent="0.25">
      <c r="A416" s="6">
        <v>44881</v>
      </c>
      <c r="B416" s="1">
        <v>2204147</v>
      </c>
      <c r="C416" s="5" t="s">
        <v>441</v>
      </c>
      <c r="D416" s="5" t="str">
        <f>VLOOKUP(C416,[1]master_data!$A$2:$E$495,2,FALSE)</f>
        <v>PEMBERSIH KACA BIASA</v>
      </c>
      <c r="E416" s="5">
        <v>5</v>
      </c>
      <c r="F416" s="5">
        <f>VLOOKUP(C416,[1]master_data!$A$2:$E$495,3,FALSE)</f>
        <v>2000</v>
      </c>
      <c r="G416" s="5">
        <f>VLOOKUP(C416,[1]master_data!$A$2:$E$495,4,FALSE)</f>
        <v>5000</v>
      </c>
      <c r="H416" s="5">
        <f t="shared" si="24"/>
        <v>10000</v>
      </c>
      <c r="I416" s="5">
        <f t="shared" si="25"/>
        <v>25000</v>
      </c>
      <c r="J416" s="5">
        <f t="shared" si="26"/>
        <v>15000</v>
      </c>
      <c r="K416" s="5" t="str">
        <f>VLOOKUP(C416,[1]master_data!$A$2:$E$495,5,FALSE)</f>
        <v>Ikan</v>
      </c>
      <c r="L416" s="5" t="s">
        <v>471</v>
      </c>
    </row>
    <row r="417" spans="1:12" ht="12" customHeight="1" x14ac:dyDescent="0.25">
      <c r="A417" s="6">
        <v>44881</v>
      </c>
      <c r="B417" s="1">
        <v>2204146</v>
      </c>
      <c r="C417" s="5" t="s">
        <v>433</v>
      </c>
      <c r="D417" s="5" t="str">
        <f>VLOOKUP(C417,[1]master_data!$A$2:$E$495,2,FALSE)</f>
        <v>MARU B</v>
      </c>
      <c r="E417" s="5">
        <v>1</v>
      </c>
      <c r="F417" s="5">
        <f>VLOOKUP(C417,[1]master_data!$A$2:$E$495,3,FALSE)</f>
        <v>90000</v>
      </c>
      <c r="G417" s="5">
        <f>VLOOKUP(C417,[1]master_data!$A$2:$E$495,4,FALSE)</f>
        <v>150000</v>
      </c>
      <c r="H417" s="5">
        <f t="shared" si="24"/>
        <v>90000</v>
      </c>
      <c r="I417" s="5">
        <f t="shared" si="25"/>
        <v>150000</v>
      </c>
      <c r="J417" s="5">
        <f t="shared" si="26"/>
        <v>60000</v>
      </c>
      <c r="K417" s="5" t="str">
        <f>VLOOKUP(C417,[1]master_data!$A$2:$E$495,5,FALSE)</f>
        <v>Ikan</v>
      </c>
      <c r="L417" s="5" t="s">
        <v>471</v>
      </c>
    </row>
    <row r="418" spans="1:12" ht="12" customHeight="1" x14ac:dyDescent="0.25">
      <c r="A418" s="6">
        <v>44881</v>
      </c>
      <c r="B418" s="1">
        <v>2204145</v>
      </c>
      <c r="C418" s="5" t="s">
        <v>429</v>
      </c>
      <c r="D418" s="5" t="str">
        <f>VLOOKUP(C418,[1]master_data!$A$2:$E$495,2,FALSE)</f>
        <v>LOUHAN SUPER</v>
      </c>
      <c r="E418" s="5">
        <v>1</v>
      </c>
      <c r="F418" s="5">
        <f>VLOOKUP(C418,[1]master_data!$A$2:$E$495,3,FALSE)</f>
        <v>300000</v>
      </c>
      <c r="G418" s="5">
        <f>VLOOKUP(C418,[1]master_data!$A$2:$E$495,4,FALSE)</f>
        <v>500000</v>
      </c>
      <c r="H418" s="5">
        <f t="shared" si="24"/>
        <v>300000</v>
      </c>
      <c r="I418" s="5">
        <f t="shared" si="25"/>
        <v>500000</v>
      </c>
      <c r="J418" s="5">
        <f t="shared" si="26"/>
        <v>200000</v>
      </c>
      <c r="K418" s="5" t="str">
        <f>VLOOKUP(C418,[1]master_data!$A$2:$E$495,5,FALSE)</f>
        <v>Ikan</v>
      </c>
      <c r="L418" s="5" t="s">
        <v>471</v>
      </c>
    </row>
    <row r="419" spans="1:12" ht="12" customHeight="1" x14ac:dyDescent="0.25">
      <c r="A419" s="6">
        <v>44881</v>
      </c>
      <c r="B419" s="1">
        <v>2204144</v>
      </c>
      <c r="C419" s="5" t="s">
        <v>147</v>
      </c>
      <c r="D419" s="5" t="str">
        <f>VLOOKUP(C419,[1]master_data!$A$2:$E$495,2,FALSE)</f>
        <v>LED KANDILA 3 BRS 30 CM</v>
      </c>
      <c r="E419" s="5">
        <v>10</v>
      </c>
      <c r="F419" s="5">
        <f>VLOOKUP(C419,[1]master_data!$A$2:$E$495,3,FALSE)</f>
        <v>22000</v>
      </c>
      <c r="G419" s="5">
        <f>VLOOKUP(C419,[1]master_data!$A$2:$E$495,4,FALSE)</f>
        <v>40000</v>
      </c>
      <c r="H419" s="5">
        <f t="shared" si="24"/>
        <v>220000</v>
      </c>
      <c r="I419" s="5">
        <f t="shared" si="25"/>
        <v>400000</v>
      </c>
      <c r="J419" s="5">
        <f t="shared" si="26"/>
        <v>180000</v>
      </c>
      <c r="K419" s="5" t="str">
        <f>VLOOKUP(C419,[1]master_data!$A$2:$E$495,5,FALSE)</f>
        <v>Aksesoris</v>
      </c>
      <c r="L419" s="5" t="s">
        <v>471</v>
      </c>
    </row>
    <row r="420" spans="1:12" ht="12" customHeight="1" x14ac:dyDescent="0.25">
      <c r="A420" s="6">
        <v>44880</v>
      </c>
      <c r="B420" s="1">
        <v>2204143</v>
      </c>
      <c r="C420" s="5" t="s">
        <v>253</v>
      </c>
      <c r="D420" s="5" t="str">
        <f>VLOOKUP(C420,[1]master_data!$A$2:$E$495,2,FALSE)</f>
        <v>GOSOKAN BIASA</v>
      </c>
      <c r="E420" s="5">
        <v>1</v>
      </c>
      <c r="F420" s="5">
        <f>VLOOKUP(C420,[1]master_data!$A$2:$E$495,3,FALSE)</f>
        <v>10000</v>
      </c>
      <c r="G420" s="5">
        <f>VLOOKUP(C420,[1]master_data!$A$2:$E$495,4,FALSE)</f>
        <v>20000</v>
      </c>
      <c r="H420" s="5">
        <f t="shared" si="24"/>
        <v>10000</v>
      </c>
      <c r="I420" s="5">
        <f t="shared" si="25"/>
        <v>20000</v>
      </c>
      <c r="J420" s="5">
        <f t="shared" si="26"/>
        <v>10000</v>
      </c>
      <c r="K420" s="5" t="str">
        <f>VLOOKUP(C420,[1]master_data!$A$2:$E$495,5,FALSE)</f>
        <v>Aksesoris</v>
      </c>
      <c r="L420" s="5" t="s">
        <v>471</v>
      </c>
    </row>
    <row r="421" spans="1:12" ht="12" customHeight="1" x14ac:dyDescent="0.25">
      <c r="A421" s="6">
        <v>44880</v>
      </c>
      <c r="B421" s="1">
        <v>2204142</v>
      </c>
      <c r="C421" s="5" t="s">
        <v>408</v>
      </c>
      <c r="D421" s="5" t="str">
        <f>VLOOKUP(C421,[1]master_data!$A$2:$E$495,2,FALSE)</f>
        <v>CATFISH</v>
      </c>
      <c r="E421" s="5">
        <v>7</v>
      </c>
      <c r="F421" s="5">
        <f>VLOOKUP(C421,[1]master_data!$A$2:$E$495,3,FALSE)</f>
        <v>20000</v>
      </c>
      <c r="G421" s="5">
        <f>VLOOKUP(C421,[1]master_data!$A$2:$E$495,4,FALSE)</f>
        <v>50000</v>
      </c>
      <c r="H421" s="5">
        <f t="shared" si="24"/>
        <v>140000</v>
      </c>
      <c r="I421" s="5">
        <f t="shared" si="25"/>
        <v>350000</v>
      </c>
      <c r="J421" s="5">
        <f t="shared" si="26"/>
        <v>210000</v>
      </c>
      <c r="K421" s="5" t="str">
        <f>VLOOKUP(C421,[1]master_data!$A$2:$E$495,5,FALSE)</f>
        <v>Ikan</v>
      </c>
      <c r="L421" s="5" t="s">
        <v>471</v>
      </c>
    </row>
    <row r="422" spans="1:12" ht="12" customHeight="1" x14ac:dyDescent="0.25">
      <c r="A422" s="6">
        <v>44880</v>
      </c>
      <c r="B422" s="1">
        <v>2204141</v>
      </c>
      <c r="C422" s="5" t="s">
        <v>196</v>
      </c>
      <c r="D422" s="5" t="str">
        <f>VLOOKUP(C422,[1]master_data!$A$2:$E$495,2,FALSE)</f>
        <v>AKARI PREMIUM RED</v>
      </c>
      <c r="E422" s="5">
        <v>2</v>
      </c>
      <c r="F422" s="5">
        <f>VLOOKUP(C422,[1]master_data!$A$2:$E$495,3,FALSE)</f>
        <v>37000</v>
      </c>
      <c r="G422" s="5">
        <f>VLOOKUP(C422,[1]master_data!$A$2:$E$495,4,FALSE)</f>
        <v>50000</v>
      </c>
      <c r="H422" s="5">
        <f t="shared" si="24"/>
        <v>74000</v>
      </c>
      <c r="I422" s="5">
        <f t="shared" si="25"/>
        <v>100000</v>
      </c>
      <c r="J422" s="5">
        <f t="shared" si="26"/>
        <v>26000</v>
      </c>
      <c r="K422" s="5" t="str">
        <f>VLOOKUP(C422,[1]master_data!$A$2:$E$495,5,FALSE)</f>
        <v>Aksesoris</v>
      </c>
      <c r="L422" s="5" t="s">
        <v>471</v>
      </c>
    </row>
    <row r="423" spans="1:12" ht="12" customHeight="1" x14ac:dyDescent="0.25">
      <c r="A423" s="6">
        <v>44880</v>
      </c>
      <c r="B423" s="1">
        <v>2204140</v>
      </c>
      <c r="C423" s="5" t="s">
        <v>438</v>
      </c>
      <c r="D423" s="5" t="str">
        <f>VLOOKUP(C423,[1]master_data!$A$2:$E$495,2,FALSE)</f>
        <v>NENTINEN</v>
      </c>
      <c r="E423" s="5">
        <v>20</v>
      </c>
      <c r="F423" s="5">
        <f>VLOOKUP(C423,[1]master_data!$A$2:$E$495,3,FALSE)</f>
        <v>1000</v>
      </c>
      <c r="G423" s="5">
        <f>VLOOKUP(C423,[1]master_data!$A$2:$E$495,4,FALSE)</f>
        <v>2500</v>
      </c>
      <c r="H423" s="5">
        <f t="shared" si="24"/>
        <v>20000</v>
      </c>
      <c r="I423" s="5">
        <f t="shared" si="25"/>
        <v>50000</v>
      </c>
      <c r="J423" s="5">
        <f t="shared" si="26"/>
        <v>30000</v>
      </c>
      <c r="K423" s="5" t="str">
        <f>VLOOKUP(C423,[1]master_data!$A$2:$E$495,5,FALSE)</f>
        <v>Ikan</v>
      </c>
      <c r="L423" s="5" t="s">
        <v>471</v>
      </c>
    </row>
    <row r="424" spans="1:12" ht="12" customHeight="1" x14ac:dyDescent="0.25">
      <c r="A424" s="6">
        <v>44880</v>
      </c>
      <c r="B424" s="1">
        <v>2204139</v>
      </c>
      <c r="C424" s="5" t="s">
        <v>427</v>
      </c>
      <c r="D424" s="5" t="str">
        <f>VLOOKUP(C424,[1]master_data!$A$2:$E$495,2,FALSE)</f>
        <v>LEMON</v>
      </c>
      <c r="E424" s="5">
        <v>20</v>
      </c>
      <c r="F424" s="5">
        <f>VLOOKUP(C424,[1]master_data!$A$2:$E$495,3,FALSE)</f>
        <v>1000</v>
      </c>
      <c r="G424" s="5">
        <f>VLOOKUP(C424,[1]master_data!$A$2:$E$495,4,FALSE)</f>
        <v>2000</v>
      </c>
      <c r="H424" s="5">
        <f t="shared" si="24"/>
        <v>20000</v>
      </c>
      <c r="I424" s="5">
        <f t="shared" si="25"/>
        <v>40000</v>
      </c>
      <c r="J424" s="5">
        <f t="shared" si="26"/>
        <v>20000</v>
      </c>
      <c r="K424" s="5" t="str">
        <f>VLOOKUP(C424,[1]master_data!$A$2:$E$495,5,FALSE)</f>
        <v>Ikan</v>
      </c>
      <c r="L424" s="5" t="s">
        <v>471</v>
      </c>
    </row>
    <row r="425" spans="1:12" ht="12" customHeight="1" x14ac:dyDescent="0.25">
      <c r="A425" s="6">
        <v>44880</v>
      </c>
      <c r="B425" s="1">
        <v>2204138</v>
      </c>
      <c r="C425" s="5" t="s">
        <v>437</v>
      </c>
      <c r="D425" s="5" t="str">
        <f>VLOOKUP(C425,[1]master_data!$A$2:$E$495,2,FALSE)</f>
        <v>RED EYE TETRA</v>
      </c>
      <c r="E425" s="5">
        <v>15</v>
      </c>
      <c r="F425" s="5">
        <f>VLOOKUP(C425,[1]master_data!$A$2:$E$495,3,FALSE)</f>
        <v>900</v>
      </c>
      <c r="G425" s="5">
        <f>VLOOKUP(C425,[1]master_data!$A$2:$E$495,4,FALSE)</f>
        <v>2000</v>
      </c>
      <c r="H425" s="5">
        <f t="shared" si="24"/>
        <v>13500</v>
      </c>
      <c r="I425" s="5">
        <f t="shared" si="25"/>
        <v>30000</v>
      </c>
      <c r="J425" s="5">
        <f t="shared" si="26"/>
        <v>16500</v>
      </c>
      <c r="K425" s="5" t="str">
        <f>VLOOKUP(C425,[1]master_data!$A$2:$E$495,5,FALSE)</f>
        <v>Ikan</v>
      </c>
      <c r="L425" s="5" t="s">
        <v>471</v>
      </c>
    </row>
    <row r="426" spans="1:12" ht="12" customHeight="1" x14ac:dyDescent="0.25">
      <c r="A426" s="6">
        <v>44880</v>
      </c>
      <c r="B426" s="1">
        <v>2204137</v>
      </c>
      <c r="C426" s="5" t="s">
        <v>189</v>
      </c>
      <c r="D426" s="5" t="str">
        <f>VLOOKUP(C426,[1]master_data!$A$2:$E$495,2,FALSE)</f>
        <v>LED KANDILA PRO RED ECO 40 CM</v>
      </c>
      <c r="E426" s="5">
        <v>1</v>
      </c>
      <c r="F426" s="5">
        <f>VLOOKUP(C426,[1]master_data!$A$2:$E$495,3,FALSE)</f>
        <v>45000</v>
      </c>
      <c r="G426" s="5">
        <f>VLOOKUP(C426,[1]master_data!$A$2:$E$495,4,FALSE)</f>
        <v>65000</v>
      </c>
      <c r="H426" s="5">
        <f t="shared" si="24"/>
        <v>45000</v>
      </c>
      <c r="I426" s="5">
        <f t="shared" si="25"/>
        <v>65000</v>
      </c>
      <c r="J426" s="5">
        <f t="shared" si="26"/>
        <v>20000</v>
      </c>
      <c r="K426" s="5" t="str">
        <f>VLOOKUP(C426,[1]master_data!$A$2:$E$495,5,FALSE)</f>
        <v>Aksesoris</v>
      </c>
      <c r="L426" s="5" t="s">
        <v>471</v>
      </c>
    </row>
    <row r="427" spans="1:12" ht="12" customHeight="1" x14ac:dyDescent="0.25">
      <c r="A427" s="6">
        <v>44880</v>
      </c>
      <c r="B427" s="1">
        <v>2204136</v>
      </c>
      <c r="C427" s="5" t="s">
        <v>95</v>
      </c>
      <c r="D427" s="5" t="str">
        <f>VLOOKUP(C427,[1]master_data!$A$2:$E$495,2,FALSE)</f>
        <v>MESIN AMARA 106</v>
      </c>
      <c r="E427" s="5">
        <v>1</v>
      </c>
      <c r="F427" s="5">
        <f>VLOOKUP(C427,[1]master_data!$A$2:$E$495,3,FALSE)</f>
        <v>270000</v>
      </c>
      <c r="G427" s="5">
        <f>VLOOKUP(C427,[1]master_data!$A$2:$E$495,4,FALSE)</f>
        <v>330000</v>
      </c>
      <c r="H427" s="5">
        <f t="shared" si="24"/>
        <v>270000</v>
      </c>
      <c r="I427" s="5">
        <f t="shared" si="25"/>
        <v>330000</v>
      </c>
      <c r="J427" s="5">
        <f t="shared" si="26"/>
        <v>60000</v>
      </c>
      <c r="K427" s="5" t="str">
        <f>VLOOKUP(C427,[1]master_data!$A$2:$E$495,5,FALSE)</f>
        <v>Aksesoris</v>
      </c>
      <c r="L427" s="5" t="s">
        <v>471</v>
      </c>
    </row>
    <row r="428" spans="1:12" ht="12" customHeight="1" x14ac:dyDescent="0.25">
      <c r="A428" s="6">
        <v>44880</v>
      </c>
      <c r="B428" s="1">
        <v>2204135</v>
      </c>
      <c r="C428" s="5" t="s">
        <v>354</v>
      </c>
      <c r="D428" s="5" t="str">
        <f>VLOOKUP(C428,[1]master_data!$A$2:$E$495,2,FALSE)</f>
        <v>AKUARIUM BAHARI M60</v>
      </c>
      <c r="E428" s="5">
        <v>2</v>
      </c>
      <c r="F428" s="5">
        <f>VLOOKUP(C428,[1]master_data!$A$2:$E$495,3,FALSE)</f>
        <v>82000</v>
      </c>
      <c r="G428" s="5">
        <f>VLOOKUP(C428,[1]master_data!$A$2:$E$495,4,FALSE)</f>
        <v>260000</v>
      </c>
      <c r="H428" s="5">
        <f t="shared" si="24"/>
        <v>164000</v>
      </c>
      <c r="I428" s="5">
        <f t="shared" si="25"/>
        <v>520000</v>
      </c>
      <c r="J428" s="5">
        <f t="shared" si="26"/>
        <v>356000</v>
      </c>
      <c r="K428" s="5" t="str">
        <f>VLOOKUP(C428,[1]master_data!$A$2:$E$495,5,FALSE)</f>
        <v>Aksesoris</v>
      </c>
      <c r="L428" s="5" t="s">
        <v>471</v>
      </c>
    </row>
    <row r="429" spans="1:12" ht="12" customHeight="1" x14ac:dyDescent="0.25">
      <c r="A429" s="6">
        <v>44879</v>
      </c>
      <c r="B429" s="1">
        <v>2204134</v>
      </c>
      <c r="C429" s="5" t="s">
        <v>256</v>
      </c>
      <c r="D429" s="5" t="str">
        <f>VLOOKUP(C429,[1]master_data!$A$2:$E$495,2,FALSE)</f>
        <v>BACKGROUND</v>
      </c>
      <c r="E429" s="5">
        <v>25</v>
      </c>
      <c r="F429" s="5">
        <f>VLOOKUP(C429,[1]master_data!$A$2:$E$495,3,FALSE)</f>
        <v>8000</v>
      </c>
      <c r="G429" s="5">
        <f>VLOOKUP(C429,[1]master_data!$A$2:$E$495,4,FALSE)</f>
        <v>15000</v>
      </c>
      <c r="H429" s="5">
        <f t="shared" si="24"/>
        <v>200000</v>
      </c>
      <c r="I429" s="5">
        <f t="shared" si="25"/>
        <v>375000</v>
      </c>
      <c r="J429" s="5">
        <f t="shared" si="26"/>
        <v>175000</v>
      </c>
      <c r="K429" s="5" t="str">
        <f>VLOOKUP(C429,[1]master_data!$A$2:$E$495,5,FALSE)</f>
        <v>Aksesoris</v>
      </c>
      <c r="L429" s="5" t="s">
        <v>471</v>
      </c>
    </row>
    <row r="430" spans="1:12" ht="12" customHeight="1" x14ac:dyDescent="0.25">
      <c r="A430" s="6">
        <v>44879</v>
      </c>
      <c r="B430" s="1">
        <v>2204133</v>
      </c>
      <c r="C430" s="5" t="s">
        <v>456</v>
      </c>
      <c r="D430" s="5" t="str">
        <f>VLOOKUP(C430,[1]master_data!$A$2:$E$495,2,FALSE)</f>
        <v>TOMAN</v>
      </c>
      <c r="E430" s="5">
        <v>1</v>
      </c>
      <c r="F430" s="5">
        <f>VLOOKUP(C430,[1]master_data!$A$2:$E$495,3,FALSE)</f>
        <v>10000</v>
      </c>
      <c r="G430" s="5">
        <f>VLOOKUP(C430,[1]master_data!$A$2:$E$495,4,FALSE)</f>
        <v>25000</v>
      </c>
      <c r="H430" s="5">
        <f t="shared" si="24"/>
        <v>10000</v>
      </c>
      <c r="I430" s="5">
        <f t="shared" si="25"/>
        <v>25000</v>
      </c>
      <c r="J430" s="5">
        <f t="shared" si="26"/>
        <v>15000</v>
      </c>
      <c r="K430" s="5" t="str">
        <f>VLOOKUP(C430,[1]master_data!$A$2:$E$495,5,FALSE)</f>
        <v>Ikan</v>
      </c>
      <c r="L430" s="5" t="s">
        <v>471</v>
      </c>
    </row>
    <row r="431" spans="1:12" ht="12" customHeight="1" x14ac:dyDescent="0.25">
      <c r="A431" s="6">
        <v>44879</v>
      </c>
      <c r="B431" s="1">
        <v>2204132</v>
      </c>
      <c r="C431" s="5" t="s">
        <v>288</v>
      </c>
      <c r="D431" s="5" t="str">
        <f>VLOOKUP(C431,[1]master_data!$A$2:$E$495,2,FALSE)</f>
        <v>JARING 8</v>
      </c>
      <c r="E431" s="5">
        <v>20</v>
      </c>
      <c r="F431" s="5">
        <f>VLOOKUP(C431,[1]master_data!$A$2:$E$495,3,FALSE)</f>
        <v>3000</v>
      </c>
      <c r="G431" s="5">
        <f>VLOOKUP(C431,[1]master_data!$A$2:$E$495,4,FALSE)</f>
        <v>5000</v>
      </c>
      <c r="H431" s="5">
        <f t="shared" si="24"/>
        <v>60000</v>
      </c>
      <c r="I431" s="5">
        <f t="shared" si="25"/>
        <v>100000</v>
      </c>
      <c r="J431" s="5">
        <f t="shared" si="26"/>
        <v>40000</v>
      </c>
      <c r="K431" s="5" t="str">
        <f>VLOOKUP(C431,[1]master_data!$A$2:$E$495,5,FALSE)</f>
        <v>Aksesoris</v>
      </c>
      <c r="L431" s="5" t="s">
        <v>471</v>
      </c>
    </row>
    <row r="432" spans="1:12" ht="12" customHeight="1" x14ac:dyDescent="0.25">
      <c r="A432" s="6">
        <v>44879</v>
      </c>
      <c r="B432" s="1">
        <v>2204131</v>
      </c>
      <c r="C432" s="5" t="s">
        <v>156</v>
      </c>
      <c r="D432" s="5" t="str">
        <f>VLOOKUP(C432,[1]master_data!$A$2:$E$495,2,FALSE)</f>
        <v>LED ROSTON 3 MODE 40 CM</v>
      </c>
      <c r="E432" s="5">
        <v>4</v>
      </c>
      <c r="F432" s="5">
        <f>VLOOKUP(C432,[1]master_data!$A$2:$E$495,3,FALSE)</f>
        <v>27000</v>
      </c>
      <c r="G432" s="5">
        <f>VLOOKUP(C432,[1]master_data!$A$2:$E$495,4,FALSE)</f>
        <v>50000</v>
      </c>
      <c r="H432" s="5">
        <f t="shared" si="24"/>
        <v>108000</v>
      </c>
      <c r="I432" s="5">
        <f t="shared" si="25"/>
        <v>200000</v>
      </c>
      <c r="J432" s="5">
        <f t="shared" si="26"/>
        <v>92000</v>
      </c>
      <c r="K432" s="5" t="str">
        <f>VLOOKUP(C432,[1]master_data!$A$2:$E$495,5,FALSE)</f>
        <v>Aksesoris</v>
      </c>
      <c r="L432" s="5" t="s">
        <v>471</v>
      </c>
    </row>
    <row r="433" spans="1:12" ht="12" customHeight="1" x14ac:dyDescent="0.25">
      <c r="A433" s="6">
        <v>44879</v>
      </c>
      <c r="B433" s="1">
        <v>2204130</v>
      </c>
      <c r="C433" s="5" t="s">
        <v>256</v>
      </c>
      <c r="D433" s="5" t="str">
        <f>VLOOKUP(C433,[1]master_data!$A$2:$E$495,2,FALSE)</f>
        <v>BACKGROUND</v>
      </c>
      <c r="E433" s="5">
        <v>20</v>
      </c>
      <c r="F433" s="5">
        <f>VLOOKUP(C433,[1]master_data!$A$2:$E$495,3,FALSE)</f>
        <v>8000</v>
      </c>
      <c r="G433" s="5">
        <f>VLOOKUP(C433,[1]master_data!$A$2:$E$495,4,FALSE)</f>
        <v>15000</v>
      </c>
      <c r="H433" s="5">
        <f t="shared" si="24"/>
        <v>160000</v>
      </c>
      <c r="I433" s="5">
        <f t="shared" si="25"/>
        <v>300000</v>
      </c>
      <c r="J433" s="5">
        <f t="shared" si="26"/>
        <v>140000</v>
      </c>
      <c r="K433" s="5" t="str">
        <f>VLOOKUP(C433,[1]master_data!$A$2:$E$495,5,FALSE)</f>
        <v>Aksesoris</v>
      </c>
      <c r="L433" s="5" t="s">
        <v>471</v>
      </c>
    </row>
    <row r="434" spans="1:12" ht="12" customHeight="1" x14ac:dyDescent="0.25">
      <c r="A434" s="6">
        <v>44879</v>
      </c>
      <c r="B434" s="1">
        <v>2204129</v>
      </c>
      <c r="C434" s="5" t="s">
        <v>192</v>
      </c>
      <c r="D434" s="5" t="str">
        <f>VLOOKUP(C434,[1]master_data!$A$2:$E$495,2,FALSE)</f>
        <v>LED KANDILA DnN ECO 80 CM</v>
      </c>
      <c r="E434" s="5">
        <v>1</v>
      </c>
      <c r="F434" s="5">
        <f>VLOOKUP(C434,[1]master_data!$A$2:$E$495,3,FALSE)</f>
        <v>78000</v>
      </c>
      <c r="G434" s="5">
        <f>VLOOKUP(C434,[1]master_data!$A$2:$E$495,4,FALSE)</f>
        <v>110000</v>
      </c>
      <c r="H434" s="5">
        <f t="shared" si="24"/>
        <v>78000</v>
      </c>
      <c r="I434" s="5">
        <f t="shared" si="25"/>
        <v>110000</v>
      </c>
      <c r="J434" s="5">
        <f t="shared" si="26"/>
        <v>32000</v>
      </c>
      <c r="K434" s="5" t="str">
        <f>VLOOKUP(C434,[1]master_data!$A$2:$E$495,5,FALSE)</f>
        <v>Aksesoris</v>
      </c>
      <c r="L434" s="5" t="s">
        <v>471</v>
      </c>
    </row>
    <row r="435" spans="1:12" ht="12" customHeight="1" x14ac:dyDescent="0.25">
      <c r="A435" s="6">
        <v>44879</v>
      </c>
      <c r="B435" s="1">
        <v>2204128</v>
      </c>
      <c r="C435" s="5" t="s">
        <v>8</v>
      </c>
      <c r="D435" s="5" t="str">
        <f>VLOOKUP(C435,[1]master_data!$A$2:$E$495,2,FALSE)</f>
        <v>MESIN YANG 1800</v>
      </c>
      <c r="E435" s="5">
        <v>2</v>
      </c>
      <c r="F435" s="5">
        <f>VLOOKUP(C435,[1]master_data!$A$2:$E$495,3,FALSE)</f>
        <v>75000</v>
      </c>
      <c r="G435" s="5">
        <f>VLOOKUP(C435,[1]master_data!$A$2:$E$495,4,FALSE)</f>
        <v>110000</v>
      </c>
      <c r="H435" s="5">
        <f t="shared" si="24"/>
        <v>150000</v>
      </c>
      <c r="I435" s="5">
        <f t="shared" si="25"/>
        <v>220000</v>
      </c>
      <c r="J435" s="5">
        <f t="shared" si="26"/>
        <v>70000</v>
      </c>
      <c r="K435" s="5" t="str">
        <f>VLOOKUP(C435,[1]master_data!$A$2:$E$495,5,FALSE)</f>
        <v>Aksesoris</v>
      </c>
      <c r="L435" s="5" t="s">
        <v>471</v>
      </c>
    </row>
    <row r="436" spans="1:12" ht="12" customHeight="1" x14ac:dyDescent="0.25">
      <c r="A436" s="6">
        <v>44879</v>
      </c>
      <c r="B436" s="1">
        <v>2204127</v>
      </c>
      <c r="C436" s="5" t="s">
        <v>185</v>
      </c>
      <c r="D436" s="5" t="str">
        <f>VLOOKUP(C436,[1]master_data!$A$2:$E$495,2,FALSE)</f>
        <v>LED RECENT DnN 40 CM</v>
      </c>
      <c r="E436" s="5">
        <v>5</v>
      </c>
      <c r="F436" s="5">
        <f>VLOOKUP(C436,[1]master_data!$A$2:$E$495,3,FALSE)</f>
        <v>29000</v>
      </c>
      <c r="G436" s="5">
        <f>VLOOKUP(C436,[1]master_data!$A$2:$E$495,4,FALSE)</f>
        <v>50000</v>
      </c>
      <c r="H436" s="5">
        <f t="shared" si="24"/>
        <v>145000</v>
      </c>
      <c r="I436" s="5">
        <f t="shared" si="25"/>
        <v>250000</v>
      </c>
      <c r="J436" s="5">
        <f t="shared" si="26"/>
        <v>105000</v>
      </c>
      <c r="K436" s="5" t="str">
        <f>VLOOKUP(C436,[1]master_data!$A$2:$E$495,5,FALSE)</f>
        <v>Aksesoris</v>
      </c>
      <c r="L436" s="5" t="s">
        <v>471</v>
      </c>
    </row>
    <row r="437" spans="1:12" ht="12" customHeight="1" x14ac:dyDescent="0.25">
      <c r="A437" s="6">
        <v>44879</v>
      </c>
      <c r="B437" s="1">
        <v>2204126</v>
      </c>
      <c r="C437" s="5" t="s">
        <v>18</v>
      </c>
      <c r="D437" s="5" t="str">
        <f>VLOOKUP(C437,[1]master_data!$A$2:$E$495,2,FALSE)</f>
        <v>MESIN YANG WAVE MAKER 200</v>
      </c>
      <c r="E437" s="5">
        <v>1</v>
      </c>
      <c r="F437" s="5">
        <f>VLOOKUP(C437,[1]master_data!$A$2:$E$495,3,FALSE)</f>
        <v>118000</v>
      </c>
      <c r="G437" s="5">
        <f>VLOOKUP(C437,[1]master_data!$A$2:$E$495,4,FALSE)</f>
        <v>150000</v>
      </c>
      <c r="H437" s="5">
        <f t="shared" si="24"/>
        <v>118000</v>
      </c>
      <c r="I437" s="5">
        <f t="shared" si="25"/>
        <v>150000</v>
      </c>
      <c r="J437" s="5">
        <f t="shared" si="26"/>
        <v>32000</v>
      </c>
      <c r="K437" s="5" t="str">
        <f>VLOOKUP(C437,[1]master_data!$A$2:$E$495,5,FALSE)</f>
        <v>Aksesoris</v>
      </c>
      <c r="L437" s="5" t="s">
        <v>471</v>
      </c>
    </row>
    <row r="438" spans="1:12" ht="12" customHeight="1" x14ac:dyDescent="0.25">
      <c r="A438" s="6">
        <v>44878</v>
      </c>
      <c r="B438" s="1">
        <v>2204125</v>
      </c>
      <c r="C438" s="5" t="s">
        <v>402</v>
      </c>
      <c r="D438" s="5" t="str">
        <f>VLOOKUP(C438,[1]master_data!$A$2:$E$495,2,FALSE)</f>
        <v>BLACK GHOST</v>
      </c>
      <c r="E438" s="5">
        <v>18</v>
      </c>
      <c r="F438" s="5">
        <f>VLOOKUP(C438,[1]master_data!$A$2:$E$495,3,FALSE)</f>
        <v>4000</v>
      </c>
      <c r="G438" s="5">
        <f>VLOOKUP(C438,[1]master_data!$A$2:$E$495,4,FALSE)</f>
        <v>10000</v>
      </c>
      <c r="H438" s="5">
        <f t="shared" si="24"/>
        <v>72000</v>
      </c>
      <c r="I438" s="5">
        <f t="shared" si="25"/>
        <v>180000</v>
      </c>
      <c r="J438" s="5">
        <f t="shared" si="26"/>
        <v>108000</v>
      </c>
      <c r="K438" s="5" t="str">
        <f>VLOOKUP(C438,[1]master_data!$A$2:$E$495,5,FALSE)</f>
        <v>Ikan</v>
      </c>
      <c r="L438" s="5" t="s">
        <v>471</v>
      </c>
    </row>
    <row r="439" spans="1:12" ht="12" customHeight="1" x14ac:dyDescent="0.25">
      <c r="A439" s="6">
        <v>44878</v>
      </c>
      <c r="B439" s="1">
        <v>2204124</v>
      </c>
      <c r="C439" s="5" t="s">
        <v>216</v>
      </c>
      <c r="D439" s="5" t="str">
        <f>VLOOKUP(C439,[1]master_data!$A$2:$E$495,2,FALSE)</f>
        <v>HOKKY LOUHAN COLOUR</v>
      </c>
      <c r="E439" s="5">
        <v>5</v>
      </c>
      <c r="F439" s="5">
        <f>VLOOKUP(C439,[1]master_data!$A$2:$E$495,3,FALSE)</f>
        <v>18000</v>
      </c>
      <c r="G439" s="5">
        <f>VLOOKUP(C439,[1]master_data!$A$2:$E$495,4,FALSE)</f>
        <v>25000</v>
      </c>
      <c r="H439" s="5">
        <f t="shared" si="24"/>
        <v>90000</v>
      </c>
      <c r="I439" s="5">
        <f t="shared" si="25"/>
        <v>125000</v>
      </c>
      <c r="J439" s="5">
        <f t="shared" si="26"/>
        <v>35000</v>
      </c>
      <c r="K439" s="5" t="str">
        <f>VLOOKUP(C439,[1]master_data!$A$2:$E$495,5,FALSE)</f>
        <v>Aksesoris</v>
      </c>
      <c r="L439" s="5" t="s">
        <v>471</v>
      </c>
    </row>
    <row r="440" spans="1:12" ht="12" customHeight="1" x14ac:dyDescent="0.25">
      <c r="A440" s="6">
        <v>44878</v>
      </c>
      <c r="B440" s="1">
        <v>2204123</v>
      </c>
      <c r="C440" s="5" t="s">
        <v>50</v>
      </c>
      <c r="D440" s="5" t="str">
        <f>VLOOKUP(C440,[1]master_data!$A$2:$E$495,2,FALSE)</f>
        <v>MESIN SWI 1600</v>
      </c>
      <c r="E440" s="5">
        <v>2</v>
      </c>
      <c r="F440" s="5">
        <f>VLOOKUP(C440,[1]master_data!$A$2:$E$495,3,FALSE)</f>
        <v>37500</v>
      </c>
      <c r="G440" s="5">
        <f>VLOOKUP(C440,[1]master_data!$A$2:$E$495,4,FALSE)</f>
        <v>55000</v>
      </c>
      <c r="H440" s="5">
        <f t="shared" si="24"/>
        <v>75000</v>
      </c>
      <c r="I440" s="5">
        <f t="shared" si="25"/>
        <v>110000</v>
      </c>
      <c r="J440" s="5">
        <f t="shared" si="26"/>
        <v>35000</v>
      </c>
      <c r="K440" s="5" t="str">
        <f>VLOOKUP(C440,[1]master_data!$A$2:$E$495,5,FALSE)</f>
        <v>Aksesoris</v>
      </c>
      <c r="L440" s="5" t="s">
        <v>471</v>
      </c>
    </row>
    <row r="441" spans="1:12" ht="12" customHeight="1" x14ac:dyDescent="0.25">
      <c r="A441" s="6">
        <v>44878</v>
      </c>
      <c r="B441" s="1">
        <v>2204122</v>
      </c>
      <c r="C441" s="5" t="s">
        <v>190</v>
      </c>
      <c r="D441" s="5" t="str">
        <f>VLOOKUP(C441,[1]master_data!$A$2:$E$495,2,FALSE)</f>
        <v>LED KANDILA PRO RED ECO 50 CM</v>
      </c>
      <c r="E441" s="5">
        <v>1</v>
      </c>
      <c r="F441" s="5">
        <f>VLOOKUP(C441,[1]master_data!$A$2:$E$495,3,FALSE)</f>
        <v>50000</v>
      </c>
      <c r="G441" s="5">
        <f>VLOOKUP(C441,[1]master_data!$A$2:$E$495,4,FALSE)</f>
        <v>70000</v>
      </c>
      <c r="H441" s="5">
        <f t="shared" si="24"/>
        <v>50000</v>
      </c>
      <c r="I441" s="5">
        <f t="shared" si="25"/>
        <v>70000</v>
      </c>
      <c r="J441" s="5">
        <f t="shared" si="26"/>
        <v>20000</v>
      </c>
      <c r="K441" s="5" t="str">
        <f>VLOOKUP(C441,[1]master_data!$A$2:$E$495,5,FALSE)</f>
        <v>Aksesoris</v>
      </c>
      <c r="L441" s="5" t="s">
        <v>471</v>
      </c>
    </row>
    <row r="442" spans="1:12" ht="12" customHeight="1" x14ac:dyDescent="0.25">
      <c r="A442" s="6">
        <v>44878</v>
      </c>
      <c r="B442" s="1">
        <v>2204121</v>
      </c>
      <c r="C442" s="5" t="s">
        <v>418</v>
      </c>
      <c r="D442" s="5" t="str">
        <f>VLOOKUP(C442,[1]master_data!$A$2:$E$495,2,FALSE)</f>
        <v>KOI B</v>
      </c>
      <c r="E442" s="5">
        <v>1</v>
      </c>
      <c r="F442" s="5">
        <f>VLOOKUP(C442,[1]master_data!$A$2:$E$495,3,FALSE)</f>
        <v>9000</v>
      </c>
      <c r="G442" s="5">
        <f>VLOOKUP(C442,[1]master_data!$A$2:$E$495,4,FALSE)</f>
        <v>30000</v>
      </c>
      <c r="H442" s="5">
        <f t="shared" si="24"/>
        <v>9000</v>
      </c>
      <c r="I442" s="5">
        <f t="shared" si="25"/>
        <v>30000</v>
      </c>
      <c r="J442" s="5">
        <f t="shared" si="26"/>
        <v>21000</v>
      </c>
      <c r="K442" s="5" t="str">
        <f>VLOOKUP(C442,[1]master_data!$A$2:$E$495,5,FALSE)</f>
        <v>Ikan</v>
      </c>
      <c r="L442" s="5" t="s">
        <v>471</v>
      </c>
    </row>
    <row r="443" spans="1:12" ht="12" customHeight="1" x14ac:dyDescent="0.25">
      <c r="A443" s="6">
        <v>44878</v>
      </c>
      <c r="B443" s="1">
        <v>2204120</v>
      </c>
      <c r="C443" s="5" t="s">
        <v>172</v>
      </c>
      <c r="D443" s="5" t="str">
        <f>VLOOKUP(C443,[1]master_data!$A$2:$E$495,2,FALSE)</f>
        <v>LED KANDILA DnN 50 CM</v>
      </c>
      <c r="E443" s="5">
        <v>10</v>
      </c>
      <c r="F443" s="5">
        <f>VLOOKUP(C443,[1]master_data!$A$2:$E$495,3,FALSE)</f>
        <v>30000</v>
      </c>
      <c r="G443" s="5">
        <f>VLOOKUP(C443,[1]master_data!$A$2:$E$495,4,FALSE)</f>
        <v>60000</v>
      </c>
      <c r="H443" s="5">
        <f t="shared" si="24"/>
        <v>300000</v>
      </c>
      <c r="I443" s="5">
        <f t="shared" si="25"/>
        <v>600000</v>
      </c>
      <c r="J443" s="5">
        <f t="shared" si="26"/>
        <v>300000</v>
      </c>
      <c r="K443" s="5" t="str">
        <f>VLOOKUP(C443,[1]master_data!$A$2:$E$495,5,FALSE)</f>
        <v>Aksesoris</v>
      </c>
      <c r="L443" s="5" t="s">
        <v>471</v>
      </c>
    </row>
    <row r="444" spans="1:12" ht="12" customHeight="1" x14ac:dyDescent="0.25">
      <c r="A444" s="6">
        <v>44878</v>
      </c>
      <c r="B444" s="1">
        <v>2204119</v>
      </c>
      <c r="C444" s="5" t="s">
        <v>184</v>
      </c>
      <c r="D444" s="5" t="str">
        <f>VLOOKUP(C444,[1]master_data!$A$2:$E$495,2,FALSE)</f>
        <v>LED KANDILA PRO RED 150 CM</v>
      </c>
      <c r="E444" s="5">
        <v>1</v>
      </c>
      <c r="F444" s="5">
        <f>VLOOKUP(C444,[1]master_data!$A$2:$E$495,3,FALSE)</f>
        <v>265000</v>
      </c>
      <c r="G444" s="5">
        <f>VLOOKUP(C444,[1]master_data!$A$2:$E$495,4,FALSE)</f>
        <v>365000</v>
      </c>
      <c r="H444" s="5">
        <f t="shared" si="24"/>
        <v>265000</v>
      </c>
      <c r="I444" s="5">
        <f t="shared" si="25"/>
        <v>365000</v>
      </c>
      <c r="J444" s="5">
        <f t="shared" si="26"/>
        <v>100000</v>
      </c>
      <c r="K444" s="5" t="str">
        <f>VLOOKUP(C444,[1]master_data!$A$2:$E$495,5,FALSE)</f>
        <v>Aksesoris</v>
      </c>
      <c r="L444" s="5" t="s">
        <v>471</v>
      </c>
    </row>
    <row r="445" spans="1:12" ht="12" customHeight="1" x14ac:dyDescent="0.25">
      <c r="A445" s="6">
        <v>44878</v>
      </c>
      <c r="B445" s="1">
        <v>2204118</v>
      </c>
      <c r="C445" s="5" t="s">
        <v>207</v>
      </c>
      <c r="D445" s="5" t="str">
        <f>VLOOKUP(C445,[1]master_data!$A$2:$E$495,2,FALSE)</f>
        <v>TAKARI TANGGUNG</v>
      </c>
      <c r="E445" s="5">
        <v>10</v>
      </c>
      <c r="F445" s="5">
        <f>VLOOKUP(C445,[1]master_data!$A$2:$E$495,3,FALSE)</f>
        <v>8500</v>
      </c>
      <c r="G445" s="5">
        <f>VLOOKUP(C445,[1]master_data!$A$2:$E$495,4,FALSE)</f>
        <v>10000</v>
      </c>
      <c r="H445" s="5">
        <f t="shared" si="24"/>
        <v>85000</v>
      </c>
      <c r="I445" s="5">
        <f t="shared" si="25"/>
        <v>100000</v>
      </c>
      <c r="J445" s="5">
        <f t="shared" si="26"/>
        <v>15000</v>
      </c>
      <c r="K445" s="5" t="str">
        <f>VLOOKUP(C445,[1]master_data!$A$2:$E$495,5,FALSE)</f>
        <v>Aksesoris</v>
      </c>
      <c r="L445" s="5" t="s">
        <v>471</v>
      </c>
    </row>
    <row r="446" spans="1:12" ht="12" customHeight="1" x14ac:dyDescent="0.25">
      <c r="A446" s="6">
        <v>44878</v>
      </c>
      <c r="B446" s="1">
        <v>2204117</v>
      </c>
      <c r="C446" s="5" t="s">
        <v>404</v>
      </c>
      <c r="D446" s="5" t="str">
        <f>VLOOKUP(C446,[1]master_data!$A$2:$E$495,2,FALSE)</f>
        <v>CHANNA BLUE PULCHRA B</v>
      </c>
      <c r="E446" s="5">
        <v>1</v>
      </c>
      <c r="F446" s="5">
        <f>VLOOKUP(C446,[1]master_data!$A$2:$E$495,3,FALSE)</f>
        <v>125000</v>
      </c>
      <c r="G446" s="5">
        <f>VLOOKUP(C446,[1]master_data!$A$2:$E$495,4,FALSE)</f>
        <v>200000</v>
      </c>
      <c r="H446" s="5">
        <f t="shared" si="24"/>
        <v>125000</v>
      </c>
      <c r="I446" s="5">
        <f t="shared" si="25"/>
        <v>200000</v>
      </c>
      <c r="J446" s="5">
        <f t="shared" si="26"/>
        <v>75000</v>
      </c>
      <c r="K446" s="5" t="str">
        <f>VLOOKUP(C446,[1]master_data!$A$2:$E$495,5,FALSE)</f>
        <v>Ikan</v>
      </c>
      <c r="L446" s="5" t="s">
        <v>471</v>
      </c>
    </row>
    <row r="447" spans="1:12" ht="12" customHeight="1" x14ac:dyDescent="0.25">
      <c r="A447" s="6">
        <v>44877</v>
      </c>
      <c r="B447" s="1">
        <v>2204116</v>
      </c>
      <c r="C447" s="5" t="s">
        <v>430</v>
      </c>
      <c r="D447" s="5" t="str">
        <f>VLOOKUP(C447,[1]master_data!$A$2:$E$495,2,FALSE)</f>
        <v>MANFISH K</v>
      </c>
      <c r="E447" s="5">
        <v>20</v>
      </c>
      <c r="F447" s="5">
        <f>VLOOKUP(C447,[1]master_data!$A$2:$E$495,3,FALSE)</f>
        <v>2000</v>
      </c>
      <c r="G447" s="5">
        <f>VLOOKUP(C447,[1]master_data!$A$2:$E$495,4,FALSE)</f>
        <v>5000</v>
      </c>
      <c r="H447" s="5">
        <f t="shared" si="24"/>
        <v>40000</v>
      </c>
      <c r="I447" s="5">
        <f t="shared" si="25"/>
        <v>100000</v>
      </c>
      <c r="J447" s="5">
        <f t="shared" si="26"/>
        <v>60000</v>
      </c>
      <c r="K447" s="5" t="str">
        <f>VLOOKUP(C447,[1]master_data!$A$2:$E$495,5,FALSE)</f>
        <v>Ikan</v>
      </c>
      <c r="L447" s="5" t="s">
        <v>471</v>
      </c>
    </row>
    <row r="448" spans="1:12" ht="12" customHeight="1" x14ac:dyDescent="0.25">
      <c r="A448" s="6">
        <v>44877</v>
      </c>
      <c r="B448" s="1">
        <v>2204115</v>
      </c>
      <c r="C448" s="5" t="s">
        <v>429</v>
      </c>
      <c r="D448" s="5" t="str">
        <f>VLOOKUP(C448,[1]master_data!$A$2:$E$495,2,FALSE)</f>
        <v>LOUHAN SUPER</v>
      </c>
      <c r="E448" s="5">
        <v>1</v>
      </c>
      <c r="F448" s="5">
        <f>VLOOKUP(C448,[1]master_data!$A$2:$E$495,3,FALSE)</f>
        <v>300000</v>
      </c>
      <c r="G448" s="5">
        <f>VLOOKUP(C448,[1]master_data!$A$2:$E$495,4,FALSE)</f>
        <v>500000</v>
      </c>
      <c r="H448" s="5">
        <f t="shared" si="24"/>
        <v>300000</v>
      </c>
      <c r="I448" s="5">
        <f t="shared" si="25"/>
        <v>500000</v>
      </c>
      <c r="J448" s="5">
        <f t="shared" si="26"/>
        <v>200000</v>
      </c>
      <c r="K448" s="5" t="str">
        <f>VLOOKUP(C448,[1]master_data!$A$2:$E$495,5,FALSE)</f>
        <v>Ikan</v>
      </c>
      <c r="L448" s="5" t="s">
        <v>471</v>
      </c>
    </row>
    <row r="449" spans="1:12" ht="12" customHeight="1" x14ac:dyDescent="0.25">
      <c r="A449" s="6">
        <v>44877</v>
      </c>
      <c r="B449" s="1">
        <v>2204114</v>
      </c>
      <c r="C449" s="5" t="s">
        <v>410</v>
      </c>
      <c r="D449" s="5" t="str">
        <f>VLOOKUP(C449,[1]master_data!$A$2:$E$495,2,FALSE)</f>
        <v>GUPY</v>
      </c>
      <c r="E449" s="5">
        <v>20</v>
      </c>
      <c r="F449" s="5">
        <f>VLOOKUP(C449,[1]master_data!$A$2:$E$495,3,FALSE)</f>
        <v>1200</v>
      </c>
      <c r="G449" s="5">
        <f>VLOOKUP(C449,[1]master_data!$A$2:$E$495,4,FALSE)</f>
        <v>2500</v>
      </c>
      <c r="H449" s="5">
        <f t="shared" si="24"/>
        <v>24000</v>
      </c>
      <c r="I449" s="5">
        <f t="shared" si="25"/>
        <v>50000</v>
      </c>
      <c r="J449" s="5">
        <f t="shared" si="26"/>
        <v>26000</v>
      </c>
      <c r="K449" s="5" t="str">
        <f>VLOOKUP(C449,[1]master_data!$A$2:$E$495,5,FALSE)</f>
        <v>Ikan</v>
      </c>
      <c r="L449" s="5" t="s">
        <v>471</v>
      </c>
    </row>
    <row r="450" spans="1:12" ht="12" customHeight="1" x14ac:dyDescent="0.25">
      <c r="A450" s="6">
        <v>44877</v>
      </c>
      <c r="B450" s="1">
        <v>2204113</v>
      </c>
      <c r="C450" s="5" t="s">
        <v>6</v>
      </c>
      <c r="D450" s="5" t="str">
        <f>VLOOKUP(C450,[1]master_data!$A$2:$E$495,2,FALSE)</f>
        <v>MESIN YANG 1200</v>
      </c>
      <c r="E450" s="5">
        <v>10</v>
      </c>
      <c r="F450" s="5">
        <f>VLOOKUP(C450,[1]master_data!$A$2:$E$495,3,FALSE)</f>
        <v>25000</v>
      </c>
      <c r="G450" s="5">
        <f>VLOOKUP(C450,[1]master_data!$A$2:$E$495,4,FALSE)</f>
        <v>40000</v>
      </c>
      <c r="H450" s="5">
        <f t="shared" si="24"/>
        <v>250000</v>
      </c>
      <c r="I450" s="5">
        <f t="shared" si="25"/>
        <v>400000</v>
      </c>
      <c r="J450" s="5">
        <f t="shared" si="26"/>
        <v>150000</v>
      </c>
      <c r="K450" s="5" t="str">
        <f>VLOOKUP(C450,[1]master_data!$A$2:$E$495,5,FALSE)</f>
        <v>Aksesoris</v>
      </c>
      <c r="L450" s="5" t="s">
        <v>471</v>
      </c>
    </row>
    <row r="451" spans="1:12" ht="12" customHeight="1" x14ac:dyDescent="0.25">
      <c r="A451" s="6">
        <v>44877</v>
      </c>
      <c r="B451" s="1">
        <v>2204112</v>
      </c>
      <c r="C451" s="5" t="s">
        <v>430</v>
      </c>
      <c r="D451" s="5" t="str">
        <f>VLOOKUP(C451,[1]master_data!$A$2:$E$495,2,FALSE)</f>
        <v>MANFISH K</v>
      </c>
      <c r="E451" s="5">
        <v>20</v>
      </c>
      <c r="F451" s="5">
        <f>VLOOKUP(C451,[1]master_data!$A$2:$E$495,3,FALSE)</f>
        <v>2000</v>
      </c>
      <c r="G451" s="5">
        <f>VLOOKUP(C451,[1]master_data!$A$2:$E$495,4,FALSE)</f>
        <v>5000</v>
      </c>
      <c r="H451" s="5">
        <f t="shared" si="24"/>
        <v>40000</v>
      </c>
      <c r="I451" s="5">
        <f t="shared" si="25"/>
        <v>100000</v>
      </c>
      <c r="J451" s="5">
        <f t="shared" si="26"/>
        <v>60000</v>
      </c>
      <c r="K451" s="5" t="str">
        <f>VLOOKUP(C451,[1]master_data!$A$2:$E$495,5,FALSE)</f>
        <v>Ikan</v>
      </c>
      <c r="L451" s="5" t="s">
        <v>471</v>
      </c>
    </row>
    <row r="452" spans="1:12" ht="12" customHeight="1" x14ac:dyDescent="0.25">
      <c r="A452" s="6">
        <v>44877</v>
      </c>
      <c r="B452" s="1">
        <v>2204111</v>
      </c>
      <c r="C452" s="5" t="s">
        <v>141</v>
      </c>
      <c r="D452" s="5" t="str">
        <f>VLOOKUP(C452,[1]master_data!$A$2:$E$495,2,FALSE)</f>
        <v>LED YANG HW 30 CM</v>
      </c>
      <c r="E452" s="5">
        <v>2</v>
      </c>
      <c r="F452" s="5">
        <f>VLOOKUP(C452,[1]master_data!$A$2:$E$495,3,FALSE)</f>
        <v>56000</v>
      </c>
      <c r="G452" s="5">
        <f>VLOOKUP(C452,[1]master_data!$A$2:$E$495,4,FALSE)</f>
        <v>75000</v>
      </c>
      <c r="H452" s="5">
        <f t="shared" si="24"/>
        <v>112000</v>
      </c>
      <c r="I452" s="5">
        <f t="shared" si="25"/>
        <v>150000</v>
      </c>
      <c r="J452" s="5">
        <f t="shared" si="26"/>
        <v>38000</v>
      </c>
      <c r="K452" s="5" t="str">
        <f>VLOOKUP(C452,[1]master_data!$A$2:$E$495,5,FALSE)</f>
        <v>Aksesoris</v>
      </c>
      <c r="L452" s="5" t="s">
        <v>471</v>
      </c>
    </row>
    <row r="453" spans="1:12" ht="12" customHeight="1" x14ac:dyDescent="0.25">
      <c r="A453" s="6">
        <v>44877</v>
      </c>
      <c r="B453" s="1">
        <v>2204110</v>
      </c>
      <c r="C453" s="5" t="s">
        <v>435</v>
      </c>
      <c r="D453" s="5" t="str">
        <f>VLOOKUP(C453,[1]master_data!$A$2:$E$495,2,FALSE)</f>
        <v>MOLI BALON</v>
      </c>
      <c r="E453" s="5">
        <v>10</v>
      </c>
      <c r="F453" s="5">
        <f>VLOOKUP(C453,[1]master_data!$A$2:$E$495,3,FALSE)</f>
        <v>800</v>
      </c>
      <c r="G453" s="5">
        <f>VLOOKUP(C453,[1]master_data!$A$2:$E$495,4,FALSE)</f>
        <v>2000</v>
      </c>
      <c r="H453" s="5">
        <f t="shared" ref="H453:H516" si="27">E453*F453</f>
        <v>8000</v>
      </c>
      <c r="I453" s="5">
        <f t="shared" ref="I453:I516" si="28">E453*G453</f>
        <v>20000</v>
      </c>
      <c r="J453" s="5">
        <f t="shared" ref="J453:J516" si="29">I453-H453</f>
        <v>12000</v>
      </c>
      <c r="K453" s="5" t="str">
        <f>VLOOKUP(C453,[1]master_data!$A$2:$E$495,5,FALSE)</f>
        <v>Ikan</v>
      </c>
      <c r="L453" s="5" t="s">
        <v>471</v>
      </c>
    </row>
    <row r="454" spans="1:12" ht="12" customHeight="1" x14ac:dyDescent="0.25">
      <c r="A454" s="6">
        <v>44877</v>
      </c>
      <c r="B454" s="1">
        <v>2204109</v>
      </c>
      <c r="C454" s="5" t="s">
        <v>408</v>
      </c>
      <c r="D454" s="5" t="str">
        <f>VLOOKUP(C454,[1]master_data!$A$2:$E$495,2,FALSE)</f>
        <v>CATFISH</v>
      </c>
      <c r="E454" s="5">
        <v>1</v>
      </c>
      <c r="F454" s="5">
        <f>VLOOKUP(C454,[1]master_data!$A$2:$E$495,3,FALSE)</f>
        <v>20000</v>
      </c>
      <c r="G454" s="5">
        <f>VLOOKUP(C454,[1]master_data!$A$2:$E$495,4,FALSE)</f>
        <v>50000</v>
      </c>
      <c r="H454" s="5">
        <f t="shared" si="27"/>
        <v>20000</v>
      </c>
      <c r="I454" s="5">
        <f t="shared" si="28"/>
        <v>50000</v>
      </c>
      <c r="J454" s="5">
        <f t="shared" si="29"/>
        <v>30000</v>
      </c>
      <c r="K454" s="5" t="str">
        <f>VLOOKUP(C454,[1]master_data!$A$2:$E$495,5,FALSE)</f>
        <v>Ikan</v>
      </c>
      <c r="L454" s="5" t="s">
        <v>471</v>
      </c>
    </row>
    <row r="455" spans="1:12" ht="12" customHeight="1" x14ac:dyDescent="0.25">
      <c r="A455" s="6">
        <v>44877</v>
      </c>
      <c r="B455" s="1">
        <v>2204108</v>
      </c>
      <c r="C455" s="5" t="s">
        <v>355</v>
      </c>
      <c r="D455" s="5" t="str">
        <f>VLOOKUP(C455,[1]master_data!$A$2:$E$495,2,FALSE)</f>
        <v>TOPLES  1,5 L</v>
      </c>
      <c r="E455" s="5">
        <v>2</v>
      </c>
      <c r="F455" s="5">
        <f>VLOOKUP(C455,[1]master_data!$A$2:$E$495,3,FALSE)</f>
        <v>38500</v>
      </c>
      <c r="G455" s="5">
        <f>VLOOKUP(C455,[1]master_data!$A$2:$E$495,4,FALSE)</f>
        <v>55000</v>
      </c>
      <c r="H455" s="5">
        <f t="shared" si="27"/>
        <v>77000</v>
      </c>
      <c r="I455" s="5">
        <f t="shared" si="28"/>
        <v>110000</v>
      </c>
      <c r="J455" s="5">
        <f t="shared" si="29"/>
        <v>33000</v>
      </c>
      <c r="K455" s="5" t="str">
        <f>VLOOKUP(C455,[1]master_data!$A$2:$E$495,5,FALSE)</f>
        <v>Aksesoris</v>
      </c>
      <c r="L455" s="5" t="s">
        <v>471</v>
      </c>
    </row>
    <row r="456" spans="1:12" ht="12" customHeight="1" x14ac:dyDescent="0.25">
      <c r="A456" s="6">
        <v>44877</v>
      </c>
      <c r="B456" s="1">
        <v>2204107</v>
      </c>
      <c r="C456" s="5" t="s">
        <v>459</v>
      </c>
      <c r="D456" s="5" t="str">
        <f>VLOOKUP(C456,[1]master_data!$A$2:$E$495,2,FALSE)</f>
        <v>ZEBRA UNGU</v>
      </c>
      <c r="E456" s="5">
        <v>25</v>
      </c>
      <c r="F456" s="5">
        <f>VLOOKUP(C456,[1]master_data!$A$2:$E$495,3,FALSE)</f>
        <v>800</v>
      </c>
      <c r="G456" s="5">
        <f>VLOOKUP(C456,[1]master_data!$A$2:$E$495,4,FALSE)</f>
        <v>2000</v>
      </c>
      <c r="H456" s="5">
        <f t="shared" si="27"/>
        <v>20000</v>
      </c>
      <c r="I456" s="5">
        <f t="shared" si="28"/>
        <v>50000</v>
      </c>
      <c r="J456" s="5">
        <f t="shared" si="29"/>
        <v>30000</v>
      </c>
      <c r="K456" s="5" t="str">
        <f>VLOOKUP(C456,[1]master_data!$A$2:$E$495,5,FALSE)</f>
        <v>Ikan</v>
      </c>
      <c r="L456" s="5" t="s">
        <v>471</v>
      </c>
    </row>
    <row r="457" spans="1:12" ht="12" customHeight="1" x14ac:dyDescent="0.25">
      <c r="A457" s="6">
        <v>44877</v>
      </c>
      <c r="B457" s="1">
        <v>2204106</v>
      </c>
      <c r="C457" s="5" t="s">
        <v>457</v>
      </c>
      <c r="D457" s="5" t="str">
        <f>VLOOKUP(C457,[1]master_data!$A$2:$E$495,2,FALSE)</f>
        <v>ZEBRA PINK</v>
      </c>
      <c r="E457" s="5">
        <v>15</v>
      </c>
      <c r="F457" s="5">
        <f>VLOOKUP(C457,[1]master_data!$A$2:$E$495,3,FALSE)</f>
        <v>800</v>
      </c>
      <c r="G457" s="5">
        <f>VLOOKUP(C457,[1]master_data!$A$2:$E$495,4,FALSE)</f>
        <v>2000</v>
      </c>
      <c r="H457" s="5">
        <f t="shared" si="27"/>
        <v>12000</v>
      </c>
      <c r="I457" s="5">
        <f t="shared" si="28"/>
        <v>30000</v>
      </c>
      <c r="J457" s="5">
        <f t="shared" si="29"/>
        <v>18000</v>
      </c>
      <c r="K457" s="5" t="str">
        <f>VLOOKUP(C457,[1]master_data!$A$2:$E$495,5,FALSE)</f>
        <v>Ikan</v>
      </c>
      <c r="L457" s="5" t="s">
        <v>471</v>
      </c>
    </row>
    <row r="458" spans="1:12" ht="12" customHeight="1" x14ac:dyDescent="0.25">
      <c r="A458" s="6">
        <v>44877</v>
      </c>
      <c r="B458" s="1">
        <v>2204105</v>
      </c>
      <c r="C458" s="5" t="s">
        <v>278</v>
      </c>
      <c r="D458" s="5" t="str">
        <f>VLOOKUP(C458,[1]master_data!$A$2:$E$495,2,FALSE)</f>
        <v>HEATER STENLEES 100 W</v>
      </c>
      <c r="E458" s="5">
        <v>1</v>
      </c>
      <c r="F458" s="5">
        <f>VLOOKUP(C458,[1]master_data!$A$2:$E$495,3,FALSE)</f>
        <v>56000</v>
      </c>
      <c r="G458" s="5">
        <f>VLOOKUP(C458,[1]master_data!$A$2:$E$495,4,FALSE)</f>
        <v>85000</v>
      </c>
      <c r="H458" s="5">
        <f t="shared" si="27"/>
        <v>56000</v>
      </c>
      <c r="I458" s="5">
        <f t="shared" si="28"/>
        <v>85000</v>
      </c>
      <c r="J458" s="5">
        <f t="shared" si="29"/>
        <v>29000</v>
      </c>
      <c r="K458" s="5" t="str">
        <f>VLOOKUP(C458,[1]master_data!$A$2:$E$495,5,FALSE)</f>
        <v>Aksesoris</v>
      </c>
      <c r="L458" s="5" t="s">
        <v>471</v>
      </c>
    </row>
    <row r="459" spans="1:12" ht="12" customHeight="1" x14ac:dyDescent="0.25">
      <c r="A459" s="6">
        <v>44877</v>
      </c>
      <c r="B459" s="1">
        <v>2204104</v>
      </c>
      <c r="C459" s="5" t="s">
        <v>457</v>
      </c>
      <c r="D459" s="5" t="str">
        <f>VLOOKUP(C459,[1]master_data!$A$2:$E$495,2,FALSE)</f>
        <v>ZEBRA PINK</v>
      </c>
      <c r="E459" s="5">
        <v>7</v>
      </c>
      <c r="F459" s="5">
        <f>VLOOKUP(C459,[1]master_data!$A$2:$E$495,3,FALSE)</f>
        <v>800</v>
      </c>
      <c r="G459" s="5">
        <f>VLOOKUP(C459,[1]master_data!$A$2:$E$495,4,FALSE)</f>
        <v>2000</v>
      </c>
      <c r="H459" s="5">
        <f t="shared" si="27"/>
        <v>5600</v>
      </c>
      <c r="I459" s="5">
        <f t="shared" si="28"/>
        <v>14000</v>
      </c>
      <c r="J459" s="5">
        <f t="shared" si="29"/>
        <v>8400</v>
      </c>
      <c r="K459" s="5" t="str">
        <f>VLOOKUP(C459,[1]master_data!$A$2:$E$495,5,FALSE)</f>
        <v>Ikan</v>
      </c>
      <c r="L459" s="5" t="s">
        <v>471</v>
      </c>
    </row>
    <row r="460" spans="1:12" ht="12" customHeight="1" x14ac:dyDescent="0.25">
      <c r="A460" s="6">
        <v>44877</v>
      </c>
      <c r="B460" s="1">
        <v>2204103</v>
      </c>
      <c r="C460" s="5" t="s">
        <v>313</v>
      </c>
      <c r="D460" s="5" t="str">
        <f>VLOOKUP(C460,[1]master_data!$A$2:$E$495,2,FALSE)</f>
        <v>LURUS PIPA</v>
      </c>
      <c r="E460" s="5">
        <v>20</v>
      </c>
      <c r="F460" s="5">
        <f>VLOOKUP(C460,[1]master_data!$A$2:$E$495,3,FALSE)</f>
        <v>800</v>
      </c>
      <c r="G460" s="5">
        <f>VLOOKUP(C460,[1]master_data!$A$2:$E$495,4,FALSE)</f>
        <v>2000</v>
      </c>
      <c r="H460" s="5">
        <f t="shared" si="27"/>
        <v>16000</v>
      </c>
      <c r="I460" s="5">
        <f t="shared" si="28"/>
        <v>40000</v>
      </c>
      <c r="J460" s="5">
        <f t="shared" si="29"/>
        <v>24000</v>
      </c>
      <c r="K460" s="5" t="str">
        <f>VLOOKUP(C460,[1]master_data!$A$2:$E$495,5,FALSE)</f>
        <v>Aksesoris</v>
      </c>
      <c r="L460" s="5" t="s">
        <v>471</v>
      </c>
    </row>
    <row r="461" spans="1:12" ht="12" customHeight="1" x14ac:dyDescent="0.25">
      <c r="A461" s="6">
        <v>44876</v>
      </c>
      <c r="B461" s="1">
        <v>2204102</v>
      </c>
      <c r="C461" s="5" t="s">
        <v>320</v>
      </c>
      <c r="D461" s="5" t="str">
        <f>VLOOKUP(C461,[1]master_data!$A$2:$E$495,2,FALSE)</f>
        <v>PIPA LONJOR 1 M</v>
      </c>
      <c r="E461" s="5">
        <v>30</v>
      </c>
      <c r="F461" s="5">
        <f>VLOOKUP(C461,[1]master_data!$A$2:$E$495,3,FALSE)</f>
        <v>2500</v>
      </c>
      <c r="G461" s="5">
        <f>VLOOKUP(C461,[1]master_data!$A$2:$E$495,4,FALSE)</f>
        <v>5000</v>
      </c>
      <c r="H461" s="5">
        <f t="shared" si="27"/>
        <v>75000</v>
      </c>
      <c r="I461" s="5">
        <f t="shared" si="28"/>
        <v>150000</v>
      </c>
      <c r="J461" s="5">
        <f t="shared" si="29"/>
        <v>75000</v>
      </c>
      <c r="K461" s="5" t="str">
        <f>VLOOKUP(C461,[1]master_data!$A$2:$E$495,5,FALSE)</f>
        <v>Aksesoris</v>
      </c>
      <c r="L461" s="5" t="s">
        <v>471</v>
      </c>
    </row>
    <row r="462" spans="1:12" ht="12" customHeight="1" x14ac:dyDescent="0.25">
      <c r="A462" s="6">
        <v>44876</v>
      </c>
      <c r="B462" s="1">
        <v>2204101</v>
      </c>
      <c r="C462" s="5" t="s">
        <v>185</v>
      </c>
      <c r="D462" s="5" t="str">
        <f>VLOOKUP(C462,[1]master_data!$A$2:$E$495,2,FALSE)</f>
        <v>LED RECENT DnN 40 CM</v>
      </c>
      <c r="E462" s="5">
        <v>1</v>
      </c>
      <c r="F462" s="5">
        <f>VLOOKUP(C462,[1]master_data!$A$2:$E$495,3,FALSE)</f>
        <v>29000</v>
      </c>
      <c r="G462" s="5">
        <f>VLOOKUP(C462,[1]master_data!$A$2:$E$495,4,FALSE)</f>
        <v>50000</v>
      </c>
      <c r="H462" s="5">
        <f t="shared" si="27"/>
        <v>29000</v>
      </c>
      <c r="I462" s="5">
        <f t="shared" si="28"/>
        <v>50000</v>
      </c>
      <c r="J462" s="5">
        <f t="shared" si="29"/>
        <v>21000</v>
      </c>
      <c r="K462" s="5" t="str">
        <f>VLOOKUP(C462,[1]master_data!$A$2:$E$495,5,FALSE)</f>
        <v>Aksesoris</v>
      </c>
      <c r="L462" s="5" t="s">
        <v>471</v>
      </c>
    </row>
    <row r="463" spans="1:12" ht="12" customHeight="1" x14ac:dyDescent="0.25">
      <c r="A463" s="6">
        <v>44876</v>
      </c>
      <c r="B463" s="1">
        <v>2204100</v>
      </c>
      <c r="C463" s="5" t="s">
        <v>294</v>
      </c>
      <c r="D463" s="5" t="str">
        <f>VLOOKUP(C463,[1]master_data!$A$2:$E$495,2,FALSE)</f>
        <v>LEM SEALANT</v>
      </c>
      <c r="E463" s="5">
        <v>10</v>
      </c>
      <c r="F463" s="5">
        <f>VLOOKUP(C463,[1]master_data!$A$2:$E$495,3,FALSE)</f>
        <v>7000</v>
      </c>
      <c r="G463" s="5">
        <f>VLOOKUP(C463,[1]master_data!$A$2:$E$495,4,FALSE)</f>
        <v>10000</v>
      </c>
      <c r="H463" s="5">
        <f t="shared" si="27"/>
        <v>70000</v>
      </c>
      <c r="I463" s="5">
        <f t="shared" si="28"/>
        <v>100000</v>
      </c>
      <c r="J463" s="5">
        <f t="shared" si="29"/>
        <v>30000</v>
      </c>
      <c r="K463" s="5" t="str">
        <f>VLOOKUP(C463,[1]master_data!$A$2:$E$495,5,FALSE)</f>
        <v>Aksesoris</v>
      </c>
      <c r="L463" s="5" t="s">
        <v>471</v>
      </c>
    </row>
    <row r="464" spans="1:12" ht="12" customHeight="1" x14ac:dyDescent="0.25">
      <c r="A464" s="6">
        <v>44876</v>
      </c>
      <c r="B464" s="1">
        <v>2204099</v>
      </c>
      <c r="C464" s="5" t="s">
        <v>253</v>
      </c>
      <c r="D464" s="5" t="str">
        <f>VLOOKUP(C464,[1]master_data!$A$2:$E$495,2,FALSE)</f>
        <v>GOSOKAN BIASA</v>
      </c>
      <c r="E464" s="5">
        <v>5</v>
      </c>
      <c r="F464" s="5">
        <f>VLOOKUP(C464,[1]master_data!$A$2:$E$495,3,FALSE)</f>
        <v>10000</v>
      </c>
      <c r="G464" s="5">
        <f>VLOOKUP(C464,[1]master_data!$A$2:$E$495,4,FALSE)</f>
        <v>20000</v>
      </c>
      <c r="H464" s="5">
        <f t="shared" si="27"/>
        <v>50000</v>
      </c>
      <c r="I464" s="5">
        <f t="shared" si="28"/>
        <v>100000</v>
      </c>
      <c r="J464" s="5">
        <f t="shared" si="29"/>
        <v>50000</v>
      </c>
      <c r="K464" s="5" t="str">
        <f>VLOOKUP(C464,[1]master_data!$A$2:$E$495,5,FALSE)</f>
        <v>Aksesoris</v>
      </c>
      <c r="L464" s="5" t="s">
        <v>471</v>
      </c>
    </row>
    <row r="465" spans="1:12" ht="12" customHeight="1" x14ac:dyDescent="0.25">
      <c r="A465" s="6">
        <v>44876</v>
      </c>
      <c r="B465" s="1">
        <v>2204098</v>
      </c>
      <c r="C465" s="5" t="s">
        <v>58</v>
      </c>
      <c r="D465" s="5" t="str">
        <f>VLOOKUP(C465,[1]master_data!$A$2:$E$495,2,FALSE)</f>
        <v>MINI FILTER</v>
      </c>
      <c r="E465" s="5">
        <v>5</v>
      </c>
      <c r="F465" s="5">
        <f>VLOOKUP(C465,[1]master_data!$A$2:$E$495,3,FALSE)</f>
        <v>13000</v>
      </c>
      <c r="G465" s="5">
        <f>VLOOKUP(C465,[1]master_data!$A$2:$E$495,4,FALSE)</f>
        <v>25000</v>
      </c>
      <c r="H465" s="5">
        <f t="shared" si="27"/>
        <v>65000</v>
      </c>
      <c r="I465" s="5">
        <f t="shared" si="28"/>
        <v>125000</v>
      </c>
      <c r="J465" s="5">
        <f t="shared" si="29"/>
        <v>60000</v>
      </c>
      <c r="K465" s="5" t="str">
        <f>VLOOKUP(C465,[1]master_data!$A$2:$E$495,5,FALSE)</f>
        <v>Aksesoris</v>
      </c>
      <c r="L465" s="5" t="s">
        <v>471</v>
      </c>
    </row>
    <row r="466" spans="1:12" ht="12" customHeight="1" x14ac:dyDescent="0.25">
      <c r="A466" s="6">
        <v>44876</v>
      </c>
      <c r="B466" s="1">
        <v>2204097</v>
      </c>
      <c r="C466" s="5" t="s">
        <v>232</v>
      </c>
      <c r="D466" s="5" t="str">
        <f>VLOOKUP(C466,[1]master_data!$A$2:$E$495,2,FALSE)</f>
        <v>KOHAKO GROWTH</v>
      </c>
      <c r="E466" s="5">
        <v>7</v>
      </c>
      <c r="F466" s="5">
        <f>VLOOKUP(C466,[1]master_data!$A$2:$E$495,3,FALSE)</f>
        <v>33500</v>
      </c>
      <c r="G466" s="5">
        <f>VLOOKUP(C466,[1]master_data!$A$2:$E$495,4,FALSE)</f>
        <v>45000</v>
      </c>
      <c r="H466" s="5">
        <f t="shared" si="27"/>
        <v>234500</v>
      </c>
      <c r="I466" s="5">
        <f t="shared" si="28"/>
        <v>315000</v>
      </c>
      <c r="J466" s="5">
        <f t="shared" si="29"/>
        <v>80500</v>
      </c>
      <c r="K466" s="5" t="str">
        <f>VLOOKUP(C466,[1]master_data!$A$2:$E$495,5,FALSE)</f>
        <v>Aksesoris</v>
      </c>
      <c r="L466" s="5" t="s">
        <v>471</v>
      </c>
    </row>
    <row r="467" spans="1:12" ht="12" customHeight="1" x14ac:dyDescent="0.25">
      <c r="A467" s="6">
        <v>44876</v>
      </c>
      <c r="B467" s="1">
        <v>2204096</v>
      </c>
      <c r="C467" s="5" t="s">
        <v>398</v>
      </c>
      <c r="D467" s="5" t="str">
        <f>VLOOKUP(C467,[1]master_data!$A$2:$E$495,2,FALSE)</f>
        <v>BIPOLAR</v>
      </c>
      <c r="E467" s="5">
        <v>10</v>
      </c>
      <c r="F467" s="5">
        <f>VLOOKUP(C467,[1]master_data!$A$2:$E$495,3,FALSE)</f>
        <v>1000</v>
      </c>
      <c r="G467" s="5">
        <f>VLOOKUP(C467,[1]master_data!$A$2:$E$495,4,FALSE)</f>
        <v>2500</v>
      </c>
      <c r="H467" s="5">
        <f t="shared" si="27"/>
        <v>10000</v>
      </c>
      <c r="I467" s="5">
        <f t="shared" si="28"/>
        <v>25000</v>
      </c>
      <c r="J467" s="5">
        <f t="shared" si="29"/>
        <v>15000</v>
      </c>
      <c r="K467" s="5" t="str">
        <f>VLOOKUP(C467,[1]master_data!$A$2:$E$495,5,FALSE)</f>
        <v>Ikan</v>
      </c>
      <c r="L467" s="5" t="s">
        <v>471</v>
      </c>
    </row>
    <row r="468" spans="1:12" ht="12" customHeight="1" x14ac:dyDescent="0.25">
      <c r="A468" s="6">
        <v>44876</v>
      </c>
      <c r="B468" s="1">
        <v>2204095</v>
      </c>
      <c r="C468" s="5" t="s">
        <v>189</v>
      </c>
      <c r="D468" s="5" t="str">
        <f>VLOOKUP(C468,[1]master_data!$A$2:$E$495,2,FALSE)</f>
        <v>LED KANDILA PRO RED ECO 40 CM</v>
      </c>
      <c r="E468" s="5">
        <v>2</v>
      </c>
      <c r="F468" s="5">
        <f>VLOOKUP(C468,[1]master_data!$A$2:$E$495,3,FALSE)</f>
        <v>45000</v>
      </c>
      <c r="G468" s="5">
        <f>VLOOKUP(C468,[1]master_data!$A$2:$E$495,4,FALSE)</f>
        <v>65000</v>
      </c>
      <c r="H468" s="5">
        <f t="shared" si="27"/>
        <v>90000</v>
      </c>
      <c r="I468" s="5">
        <f t="shared" si="28"/>
        <v>130000</v>
      </c>
      <c r="J468" s="5">
        <f t="shared" si="29"/>
        <v>40000</v>
      </c>
      <c r="K468" s="5" t="str">
        <f>VLOOKUP(C468,[1]master_data!$A$2:$E$495,5,FALSE)</f>
        <v>Aksesoris</v>
      </c>
      <c r="L468" s="5" t="s">
        <v>471</v>
      </c>
    </row>
    <row r="469" spans="1:12" ht="12" customHeight="1" x14ac:dyDescent="0.25">
      <c r="A469" s="6">
        <v>44876</v>
      </c>
      <c r="B469" s="1">
        <v>2204094</v>
      </c>
      <c r="C469" s="5" t="s">
        <v>392</v>
      </c>
      <c r="D469" s="5" t="str">
        <f>VLOOKUP(C469,[1]master_data!$A$2:$E$495,2,FALSE)</f>
        <v>CHANNA ASIATICA B</v>
      </c>
      <c r="E469" s="5">
        <v>2</v>
      </c>
      <c r="F469" s="5">
        <f>VLOOKUP(C469,[1]master_data!$A$2:$E$495,3,FALSE)</f>
        <v>40000</v>
      </c>
      <c r="G469" s="5">
        <f>VLOOKUP(C469,[1]master_data!$A$2:$E$495,4,FALSE)</f>
        <v>100000</v>
      </c>
      <c r="H469" s="5">
        <f t="shared" si="27"/>
        <v>80000</v>
      </c>
      <c r="I469" s="5">
        <f t="shared" si="28"/>
        <v>200000</v>
      </c>
      <c r="J469" s="5">
        <f t="shared" si="29"/>
        <v>120000</v>
      </c>
      <c r="K469" s="5" t="str">
        <f>VLOOKUP(C469,[1]master_data!$A$2:$E$495,5,FALSE)</f>
        <v>Ikan</v>
      </c>
      <c r="L469" s="5" t="s">
        <v>471</v>
      </c>
    </row>
    <row r="470" spans="1:12" ht="12" customHeight="1" x14ac:dyDescent="0.25">
      <c r="A470" s="6">
        <v>44876</v>
      </c>
      <c r="B470" s="1">
        <v>2204093</v>
      </c>
      <c r="C470" s="5" t="s">
        <v>129</v>
      </c>
      <c r="D470" s="5" t="str">
        <f>VLOOKUP(C470,[1]master_data!$A$2:$E$495,2,FALSE)</f>
        <v>LED YAMANO S400</v>
      </c>
      <c r="E470" s="5">
        <v>2</v>
      </c>
      <c r="F470" s="5">
        <f>VLOOKUP(C470,[1]master_data!$A$2:$E$495,3,FALSE)</f>
        <v>50000</v>
      </c>
      <c r="G470" s="5">
        <f>VLOOKUP(C470,[1]master_data!$A$2:$E$495,4,FALSE)</f>
        <v>75000</v>
      </c>
      <c r="H470" s="5">
        <f t="shared" si="27"/>
        <v>100000</v>
      </c>
      <c r="I470" s="5">
        <f t="shared" si="28"/>
        <v>150000</v>
      </c>
      <c r="J470" s="5">
        <f t="shared" si="29"/>
        <v>50000</v>
      </c>
      <c r="K470" s="5" t="str">
        <f>VLOOKUP(C470,[1]master_data!$A$2:$E$495,5,FALSE)</f>
        <v>Aksesoris</v>
      </c>
      <c r="L470" s="5" t="s">
        <v>471</v>
      </c>
    </row>
    <row r="471" spans="1:12" ht="12" customHeight="1" x14ac:dyDescent="0.25">
      <c r="A471" s="6">
        <v>44876</v>
      </c>
      <c r="B471" s="1">
        <v>2204092</v>
      </c>
      <c r="C471" s="5" t="s">
        <v>450</v>
      </c>
      <c r="D471" s="5" t="str">
        <f>VLOOKUP(C471,[1]master_data!$A$2:$E$495,2,FALSE)</f>
        <v>SUMATRA BIASA</v>
      </c>
      <c r="E471" s="5">
        <v>10</v>
      </c>
      <c r="F471" s="5">
        <f>VLOOKUP(C471,[1]master_data!$A$2:$E$495,3,FALSE)</f>
        <v>800</v>
      </c>
      <c r="G471" s="5">
        <f>VLOOKUP(C471,[1]master_data!$A$2:$E$495,4,FALSE)</f>
        <v>2000</v>
      </c>
      <c r="H471" s="5">
        <f t="shared" si="27"/>
        <v>8000</v>
      </c>
      <c r="I471" s="5">
        <f t="shared" si="28"/>
        <v>20000</v>
      </c>
      <c r="J471" s="5">
        <f t="shared" si="29"/>
        <v>12000</v>
      </c>
      <c r="K471" s="5" t="str">
        <f>VLOOKUP(C471,[1]master_data!$A$2:$E$495,5,FALSE)</f>
        <v>Ikan</v>
      </c>
      <c r="L471" s="5" t="s">
        <v>471</v>
      </c>
    </row>
    <row r="472" spans="1:12" ht="12" customHeight="1" x14ac:dyDescent="0.25">
      <c r="A472" s="6">
        <v>44876</v>
      </c>
      <c r="B472" s="1">
        <v>2204091</v>
      </c>
      <c r="C472" s="5" t="s">
        <v>347</v>
      </c>
      <c r="D472" s="5" t="str">
        <f>VLOOKUP(C472,[1]master_data!$A$2:$E$495,2,FALSE)</f>
        <v>AKUARIUM NIKITA L</v>
      </c>
      <c r="E472" s="5">
        <v>2</v>
      </c>
      <c r="F472" s="5">
        <f>VLOOKUP(C472,[1]master_data!$A$2:$E$495,3,FALSE)</f>
        <v>60000</v>
      </c>
      <c r="G472" s="5">
        <f>VLOOKUP(C472,[1]master_data!$A$2:$E$495,4,FALSE)</f>
        <v>130000</v>
      </c>
      <c r="H472" s="5">
        <f t="shared" si="27"/>
        <v>120000</v>
      </c>
      <c r="I472" s="5">
        <f t="shared" si="28"/>
        <v>260000</v>
      </c>
      <c r="J472" s="5">
        <f t="shared" si="29"/>
        <v>140000</v>
      </c>
      <c r="K472" s="5" t="str">
        <f>VLOOKUP(C472,[1]master_data!$A$2:$E$495,5,FALSE)</f>
        <v>Aksesoris</v>
      </c>
      <c r="L472" s="5" t="s">
        <v>471</v>
      </c>
    </row>
    <row r="473" spans="1:12" ht="12" customHeight="1" x14ac:dyDescent="0.25">
      <c r="A473" s="6">
        <v>44875</v>
      </c>
      <c r="B473" s="1">
        <v>2204090</v>
      </c>
      <c r="C473" s="5" t="s">
        <v>377</v>
      </c>
      <c r="D473" s="5" t="str">
        <f>VLOOKUP(C473,[1]master_data!$A$2:$E$495,2,FALSE)</f>
        <v>PASIR BALI</v>
      </c>
      <c r="E473" s="5">
        <v>20</v>
      </c>
      <c r="F473" s="5">
        <f>VLOOKUP(C473,[1]master_data!$A$2:$E$495,3,FALSE)</f>
        <v>5000</v>
      </c>
      <c r="G473" s="5">
        <f>VLOOKUP(C473,[1]master_data!$A$2:$E$495,4,FALSE)</f>
        <v>10000</v>
      </c>
      <c r="H473" s="5">
        <f t="shared" si="27"/>
        <v>100000</v>
      </c>
      <c r="I473" s="5">
        <f t="shared" si="28"/>
        <v>200000</v>
      </c>
      <c r="J473" s="5">
        <f t="shared" si="29"/>
        <v>100000</v>
      </c>
      <c r="K473" s="5" t="str">
        <f>VLOOKUP(C473,[1]master_data!$A$2:$E$495,5,FALSE)</f>
        <v>Aksesoris</v>
      </c>
      <c r="L473" s="5" t="s">
        <v>471</v>
      </c>
    </row>
    <row r="474" spans="1:12" ht="12" customHeight="1" x14ac:dyDescent="0.25">
      <c r="A474" s="6">
        <v>44875</v>
      </c>
      <c r="B474" s="1">
        <v>2204089</v>
      </c>
      <c r="C474" s="5" t="s">
        <v>439</v>
      </c>
      <c r="D474" s="5" t="str">
        <f>VLOOKUP(C474,[1]master_data!$A$2:$E$495,2,FALSE)</f>
        <v>NEON</v>
      </c>
      <c r="E474" s="5">
        <v>10</v>
      </c>
      <c r="F474" s="5">
        <f>VLOOKUP(C474,[1]master_data!$A$2:$E$495,3,FALSE)</f>
        <v>1250</v>
      </c>
      <c r="G474" s="5">
        <f>VLOOKUP(C474,[1]master_data!$A$2:$E$495,4,FALSE)</f>
        <v>5000</v>
      </c>
      <c r="H474" s="5">
        <f t="shared" si="27"/>
        <v>12500</v>
      </c>
      <c r="I474" s="5">
        <f t="shared" si="28"/>
        <v>50000</v>
      </c>
      <c r="J474" s="5">
        <f t="shared" si="29"/>
        <v>37500</v>
      </c>
      <c r="K474" s="5" t="str">
        <f>VLOOKUP(C474,[1]master_data!$A$2:$E$495,5,FALSE)</f>
        <v>Ikan</v>
      </c>
      <c r="L474" s="5" t="s">
        <v>471</v>
      </c>
    </row>
    <row r="475" spans="1:12" ht="12" customHeight="1" x14ac:dyDescent="0.25">
      <c r="A475" s="6">
        <v>44875</v>
      </c>
      <c r="B475" s="1">
        <v>2204088</v>
      </c>
      <c r="C475" s="5" t="s">
        <v>391</v>
      </c>
      <c r="D475" s="5" t="str">
        <f>VLOOKUP(C475,[1]master_data!$A$2:$E$495,2,FALSE)</f>
        <v>CHANNA ANDRAO K</v>
      </c>
      <c r="E475" s="5">
        <v>1</v>
      </c>
      <c r="F475" s="5">
        <f>VLOOKUP(C475,[1]master_data!$A$2:$E$495,3,FALSE)</f>
        <v>20000</v>
      </c>
      <c r="G475" s="5">
        <f>VLOOKUP(C475,[1]master_data!$A$2:$E$495,4,FALSE)</f>
        <v>50000</v>
      </c>
      <c r="H475" s="5">
        <f t="shared" si="27"/>
        <v>20000</v>
      </c>
      <c r="I475" s="5">
        <f t="shared" si="28"/>
        <v>50000</v>
      </c>
      <c r="J475" s="5">
        <f t="shared" si="29"/>
        <v>30000</v>
      </c>
      <c r="K475" s="5" t="str">
        <f>VLOOKUP(C475,[1]master_data!$A$2:$E$495,5,FALSE)</f>
        <v>Ikan</v>
      </c>
      <c r="L475" s="5" t="s">
        <v>471</v>
      </c>
    </row>
    <row r="476" spans="1:12" ht="12" customHeight="1" x14ac:dyDescent="0.25">
      <c r="A476" s="6">
        <v>44875</v>
      </c>
      <c r="B476" s="1">
        <v>2204087</v>
      </c>
      <c r="C476" s="5" t="s">
        <v>462</v>
      </c>
      <c r="D476" s="5" t="str">
        <f>VLOOKUP(C476,[1]master_data!$A$2:$E$495,2,FALSE)</f>
        <v>SEPAT ALBINO</v>
      </c>
      <c r="E476" s="5">
        <v>15</v>
      </c>
      <c r="F476" s="5">
        <f>VLOOKUP(C476,[1]master_data!$A$2:$E$495,3,FALSE)</f>
        <v>2000</v>
      </c>
      <c r="G476" s="5">
        <f>VLOOKUP(C476,[1]master_data!$A$2:$E$495,4,FALSE)</f>
        <v>5000</v>
      </c>
      <c r="H476" s="5">
        <f t="shared" si="27"/>
        <v>30000</v>
      </c>
      <c r="I476" s="5">
        <f t="shared" si="28"/>
        <v>75000</v>
      </c>
      <c r="J476" s="5">
        <f t="shared" si="29"/>
        <v>45000</v>
      </c>
      <c r="K476" s="5" t="str">
        <f>VLOOKUP(C476,[1]master_data!$A$2:$E$495,5,FALSE)</f>
        <v>Ikan</v>
      </c>
      <c r="L476" s="5" t="s">
        <v>471</v>
      </c>
    </row>
    <row r="477" spans="1:12" ht="12" customHeight="1" x14ac:dyDescent="0.25">
      <c r="A477" s="6">
        <v>44875</v>
      </c>
      <c r="B477" s="1">
        <v>2204086</v>
      </c>
      <c r="C477" s="5" t="s">
        <v>58</v>
      </c>
      <c r="D477" s="5" t="str">
        <f>VLOOKUP(C477,[1]master_data!$A$2:$E$495,2,FALSE)</f>
        <v>MINI FILTER</v>
      </c>
      <c r="E477" s="5">
        <v>10</v>
      </c>
      <c r="F477" s="5">
        <f>VLOOKUP(C477,[1]master_data!$A$2:$E$495,3,FALSE)</f>
        <v>13000</v>
      </c>
      <c r="G477" s="5">
        <f>VLOOKUP(C477,[1]master_data!$A$2:$E$495,4,FALSE)</f>
        <v>25000</v>
      </c>
      <c r="H477" s="5">
        <f t="shared" si="27"/>
        <v>130000</v>
      </c>
      <c r="I477" s="5">
        <f t="shared" si="28"/>
        <v>250000</v>
      </c>
      <c r="J477" s="5">
        <f t="shared" si="29"/>
        <v>120000</v>
      </c>
      <c r="K477" s="5" t="str">
        <f>VLOOKUP(C477,[1]master_data!$A$2:$E$495,5,FALSE)</f>
        <v>Aksesoris</v>
      </c>
      <c r="L477" s="5" t="s">
        <v>471</v>
      </c>
    </row>
    <row r="478" spans="1:12" ht="12" customHeight="1" x14ac:dyDescent="0.25">
      <c r="A478" s="6">
        <v>44875</v>
      </c>
      <c r="B478" s="1">
        <v>2204085</v>
      </c>
      <c r="C478" s="5" t="s">
        <v>413</v>
      </c>
      <c r="D478" s="5" t="str">
        <f>VLOOKUP(C478,[1]master_data!$A$2:$E$495,2,FALSE)</f>
        <v>KOKI K</v>
      </c>
      <c r="E478" s="5">
        <v>3</v>
      </c>
      <c r="F478" s="5">
        <f>VLOOKUP(C478,[1]master_data!$A$2:$E$495,3,FALSE)</f>
        <v>3500</v>
      </c>
      <c r="G478" s="5">
        <f>VLOOKUP(C478,[1]master_data!$A$2:$E$495,4,FALSE)</f>
        <v>10000</v>
      </c>
      <c r="H478" s="5">
        <f t="shared" si="27"/>
        <v>10500</v>
      </c>
      <c r="I478" s="5">
        <f t="shared" si="28"/>
        <v>30000</v>
      </c>
      <c r="J478" s="5">
        <f t="shared" si="29"/>
        <v>19500</v>
      </c>
      <c r="K478" s="5" t="str">
        <f>VLOOKUP(C478,[1]master_data!$A$2:$E$495,5,FALSE)</f>
        <v>Ikan</v>
      </c>
      <c r="L478" s="5" t="s">
        <v>471</v>
      </c>
    </row>
    <row r="479" spans="1:12" ht="12" customHeight="1" x14ac:dyDescent="0.25">
      <c r="A479" s="6">
        <v>44875</v>
      </c>
      <c r="B479" s="1">
        <v>2204084</v>
      </c>
      <c r="C479" s="5" t="s">
        <v>47</v>
      </c>
      <c r="D479" s="5" t="str">
        <f>VLOOKUP(C479,[1]master_data!$A$2:$E$495,2,FALSE)</f>
        <v>MESIN NIKITA 1200</v>
      </c>
      <c r="E479" s="5">
        <v>5</v>
      </c>
      <c r="F479" s="5">
        <f>VLOOKUP(C479,[1]master_data!$A$2:$E$495,3,FALSE)</f>
        <v>24000</v>
      </c>
      <c r="G479" s="5">
        <f>VLOOKUP(C479,[1]master_data!$A$2:$E$495,4,FALSE)</f>
        <v>35000</v>
      </c>
      <c r="H479" s="5">
        <f t="shared" si="27"/>
        <v>120000</v>
      </c>
      <c r="I479" s="5">
        <f t="shared" si="28"/>
        <v>175000</v>
      </c>
      <c r="J479" s="5">
        <f t="shared" si="29"/>
        <v>55000</v>
      </c>
      <c r="K479" s="5" t="str">
        <f>VLOOKUP(C479,[1]master_data!$A$2:$E$495,5,FALSE)</f>
        <v>Aksesoris</v>
      </c>
      <c r="L479" s="5" t="s">
        <v>471</v>
      </c>
    </row>
    <row r="480" spans="1:12" ht="12" customHeight="1" x14ac:dyDescent="0.25">
      <c r="A480" s="6">
        <v>44875</v>
      </c>
      <c r="B480" s="1">
        <v>2204083</v>
      </c>
      <c r="C480" s="5" t="s">
        <v>172</v>
      </c>
      <c r="D480" s="5" t="str">
        <f>VLOOKUP(C480,[1]master_data!$A$2:$E$495,2,FALSE)</f>
        <v>LED KANDILA DnN 50 CM</v>
      </c>
      <c r="E480" s="5">
        <v>10</v>
      </c>
      <c r="F480" s="5">
        <f>VLOOKUP(C480,[1]master_data!$A$2:$E$495,3,FALSE)</f>
        <v>30000</v>
      </c>
      <c r="G480" s="5">
        <f>VLOOKUP(C480,[1]master_data!$A$2:$E$495,4,FALSE)</f>
        <v>60000</v>
      </c>
      <c r="H480" s="5">
        <f t="shared" si="27"/>
        <v>300000</v>
      </c>
      <c r="I480" s="5">
        <f t="shared" si="28"/>
        <v>600000</v>
      </c>
      <c r="J480" s="5">
        <f t="shared" si="29"/>
        <v>300000</v>
      </c>
      <c r="K480" s="5" t="str">
        <f>VLOOKUP(C480,[1]master_data!$A$2:$E$495,5,FALSE)</f>
        <v>Aksesoris</v>
      </c>
      <c r="L480" s="5" t="s">
        <v>471</v>
      </c>
    </row>
    <row r="481" spans="1:12" ht="12" customHeight="1" x14ac:dyDescent="0.25">
      <c r="A481" s="6">
        <v>44874</v>
      </c>
      <c r="B481" s="1">
        <v>2204082</v>
      </c>
      <c r="C481" s="5" t="s">
        <v>461</v>
      </c>
      <c r="D481" s="5" t="str">
        <f>VLOOKUP(C481,[1]master_data!$A$2:$E$495,2,FALSE)</f>
        <v>SEPAT</v>
      </c>
      <c r="E481" s="5">
        <v>15</v>
      </c>
      <c r="F481" s="5">
        <f>VLOOKUP(C481,[1]master_data!$A$2:$E$495,3,FALSE)</f>
        <v>600</v>
      </c>
      <c r="G481" s="5">
        <f>VLOOKUP(C481,[1]master_data!$A$2:$E$495,4,FALSE)</f>
        <v>2000</v>
      </c>
      <c r="H481" s="5">
        <f t="shared" si="27"/>
        <v>9000</v>
      </c>
      <c r="I481" s="5">
        <f t="shared" si="28"/>
        <v>30000</v>
      </c>
      <c r="J481" s="5">
        <f t="shared" si="29"/>
        <v>21000</v>
      </c>
      <c r="K481" s="5" t="str">
        <f>VLOOKUP(C481,[1]master_data!$A$2:$E$495,5,FALSE)</f>
        <v>Ikan</v>
      </c>
      <c r="L481" s="5" t="s">
        <v>471</v>
      </c>
    </row>
    <row r="482" spans="1:12" ht="12" customHeight="1" x14ac:dyDescent="0.25">
      <c r="A482" s="6">
        <v>44874</v>
      </c>
      <c r="B482" s="1">
        <v>2204081</v>
      </c>
      <c r="C482" s="5" t="s">
        <v>302</v>
      </c>
      <c r="D482" s="5" t="str">
        <f>VLOOKUP(C482,[1]master_data!$A$2:$E$495,2,FALSE)</f>
        <v>OBAT QUARANTINI MED</v>
      </c>
      <c r="E482" s="5">
        <v>8</v>
      </c>
      <c r="F482" s="5">
        <f>VLOOKUP(C482,[1]master_data!$A$2:$E$495,3,FALSE)</f>
        <v>37000</v>
      </c>
      <c r="G482" s="5">
        <f>VLOOKUP(C482,[1]master_data!$A$2:$E$495,4,FALSE)</f>
        <v>60000</v>
      </c>
      <c r="H482" s="5">
        <f t="shared" si="27"/>
        <v>296000</v>
      </c>
      <c r="I482" s="5">
        <f t="shared" si="28"/>
        <v>480000</v>
      </c>
      <c r="J482" s="5">
        <f t="shared" si="29"/>
        <v>184000</v>
      </c>
      <c r="K482" s="5" t="str">
        <f>VLOOKUP(C482,[1]master_data!$A$2:$E$495,5,FALSE)</f>
        <v>Aksesoris</v>
      </c>
      <c r="L482" s="5" t="s">
        <v>471</v>
      </c>
    </row>
    <row r="483" spans="1:12" ht="12" customHeight="1" x14ac:dyDescent="0.25">
      <c r="A483" s="6">
        <v>44874</v>
      </c>
      <c r="B483" s="1">
        <v>2204080</v>
      </c>
      <c r="C483" s="5" t="s">
        <v>202</v>
      </c>
      <c r="D483" s="5" t="str">
        <f>VLOOKUP(C483,[1]master_data!$A$2:$E$495,2,FALSE)</f>
        <v>HOKKY COLOUR MAX</v>
      </c>
      <c r="E483" s="5">
        <v>25</v>
      </c>
      <c r="F483" s="5">
        <f>VLOOKUP(C483,[1]master_data!$A$2:$E$495,3,FALSE)</f>
        <v>7600</v>
      </c>
      <c r="G483" s="5">
        <f>VLOOKUP(C483,[1]master_data!$A$2:$E$495,4,FALSE)</f>
        <v>10000</v>
      </c>
      <c r="H483" s="5">
        <f t="shared" si="27"/>
        <v>190000</v>
      </c>
      <c r="I483" s="5">
        <f t="shared" si="28"/>
        <v>250000</v>
      </c>
      <c r="J483" s="5">
        <f t="shared" si="29"/>
        <v>60000</v>
      </c>
      <c r="K483" s="5" t="str">
        <f>VLOOKUP(C483,[1]master_data!$A$2:$E$495,5,FALSE)</f>
        <v>Aksesoris</v>
      </c>
      <c r="L483" s="5" t="s">
        <v>471</v>
      </c>
    </row>
    <row r="484" spans="1:12" ht="12" customHeight="1" x14ac:dyDescent="0.25">
      <c r="A484" s="6">
        <v>44874</v>
      </c>
      <c r="B484" s="1">
        <v>2204079</v>
      </c>
      <c r="C484" s="5" t="s">
        <v>430</v>
      </c>
      <c r="D484" s="5" t="str">
        <f>VLOOKUP(C484,[1]master_data!$A$2:$E$495,2,FALSE)</f>
        <v>MANFISH K</v>
      </c>
      <c r="E484" s="5">
        <v>1</v>
      </c>
      <c r="F484" s="5">
        <f>VLOOKUP(C484,[1]master_data!$A$2:$E$495,3,FALSE)</f>
        <v>2000</v>
      </c>
      <c r="G484" s="5">
        <f>VLOOKUP(C484,[1]master_data!$A$2:$E$495,4,FALSE)</f>
        <v>5000</v>
      </c>
      <c r="H484" s="5">
        <f t="shared" si="27"/>
        <v>2000</v>
      </c>
      <c r="I484" s="5">
        <f t="shared" si="28"/>
        <v>5000</v>
      </c>
      <c r="J484" s="5">
        <f t="shared" si="29"/>
        <v>3000</v>
      </c>
      <c r="K484" s="5" t="str">
        <f>VLOOKUP(C484,[1]master_data!$A$2:$E$495,5,FALSE)</f>
        <v>Ikan</v>
      </c>
      <c r="L484" s="5" t="s">
        <v>471</v>
      </c>
    </row>
    <row r="485" spans="1:12" ht="12" customHeight="1" x14ac:dyDescent="0.25">
      <c r="A485" s="6">
        <v>44874</v>
      </c>
      <c r="B485" s="1">
        <v>2204078</v>
      </c>
      <c r="C485" s="5" t="s">
        <v>452</v>
      </c>
      <c r="D485" s="5" t="str">
        <f>VLOOKUP(C485,[1]master_data!$A$2:$E$495,2,FALSE)</f>
        <v>SNOW WHITE</v>
      </c>
      <c r="E485" s="5">
        <v>25</v>
      </c>
      <c r="F485" s="5">
        <f>VLOOKUP(C485,[1]master_data!$A$2:$E$495,3,FALSE)</f>
        <v>1500</v>
      </c>
      <c r="G485" s="5">
        <f>VLOOKUP(C485,[1]master_data!$A$2:$E$495,4,FALSE)</f>
        <v>3000</v>
      </c>
      <c r="H485" s="5">
        <f t="shared" si="27"/>
        <v>37500</v>
      </c>
      <c r="I485" s="5">
        <f t="shared" si="28"/>
        <v>75000</v>
      </c>
      <c r="J485" s="5">
        <f t="shared" si="29"/>
        <v>37500</v>
      </c>
      <c r="K485" s="5" t="str">
        <f>VLOOKUP(C485,[1]master_data!$A$2:$E$495,5,FALSE)</f>
        <v>Ikan</v>
      </c>
      <c r="L485" s="5" t="s">
        <v>471</v>
      </c>
    </row>
    <row r="486" spans="1:12" ht="12" customHeight="1" x14ac:dyDescent="0.25">
      <c r="A486" s="6">
        <v>44874</v>
      </c>
      <c r="B486" s="1">
        <v>2204077</v>
      </c>
      <c r="C486" s="5" t="s">
        <v>40</v>
      </c>
      <c r="D486" s="5" t="str">
        <f>VLOOKUP(C486,[1]master_data!$A$2:$E$495,2,FALSE)</f>
        <v>MESIN YAMANO ACO 001</v>
      </c>
      <c r="E486" s="5">
        <v>1</v>
      </c>
      <c r="F486" s="5">
        <f>VLOOKUP(C486,[1]master_data!$A$2:$E$495,3,FALSE)</f>
        <v>275000</v>
      </c>
      <c r="G486" s="5">
        <f>VLOOKUP(C486,[1]master_data!$A$2:$E$495,4,FALSE)</f>
        <v>350000</v>
      </c>
      <c r="H486" s="5">
        <f t="shared" si="27"/>
        <v>275000</v>
      </c>
      <c r="I486" s="5">
        <f t="shared" si="28"/>
        <v>350000</v>
      </c>
      <c r="J486" s="5">
        <f t="shared" si="29"/>
        <v>75000</v>
      </c>
      <c r="K486" s="5" t="str">
        <f>VLOOKUP(C486,[1]master_data!$A$2:$E$495,5,FALSE)</f>
        <v>Aksesoris</v>
      </c>
      <c r="L486" s="5" t="s">
        <v>471</v>
      </c>
    </row>
    <row r="487" spans="1:12" ht="12" customHeight="1" x14ac:dyDescent="0.25">
      <c r="A487" s="6">
        <v>44874</v>
      </c>
      <c r="B487" s="1">
        <v>2204076</v>
      </c>
      <c r="C487" s="5" t="s">
        <v>351</v>
      </c>
      <c r="D487" s="5" t="str">
        <f>VLOOKUP(C487,[1]master_data!$A$2:$E$495,2,FALSE)</f>
        <v>AKUARIUM 60 ROBOT</v>
      </c>
      <c r="E487" s="5">
        <v>2</v>
      </c>
      <c r="F487" s="5">
        <f>VLOOKUP(C487,[1]master_data!$A$2:$E$495,3,FALSE)</f>
        <v>150000</v>
      </c>
      <c r="G487" s="5">
        <f>VLOOKUP(C487,[1]master_data!$A$2:$E$495,4,FALSE)</f>
        <v>250000</v>
      </c>
      <c r="H487" s="5">
        <f t="shared" si="27"/>
        <v>300000</v>
      </c>
      <c r="I487" s="5">
        <f t="shared" si="28"/>
        <v>500000</v>
      </c>
      <c r="J487" s="5">
        <f t="shared" si="29"/>
        <v>200000</v>
      </c>
      <c r="K487" s="5" t="str">
        <f>VLOOKUP(C487,[1]master_data!$A$2:$E$495,5,FALSE)</f>
        <v>Aksesoris</v>
      </c>
      <c r="L487" s="5" t="s">
        <v>471</v>
      </c>
    </row>
    <row r="488" spans="1:12" ht="12" customHeight="1" x14ac:dyDescent="0.25">
      <c r="A488" s="6">
        <v>44874</v>
      </c>
      <c r="B488" s="1">
        <v>2204075</v>
      </c>
      <c r="C488" s="5" t="s">
        <v>457</v>
      </c>
      <c r="D488" s="5" t="str">
        <f>VLOOKUP(C488,[1]master_data!$A$2:$E$495,2,FALSE)</f>
        <v>ZEBRA PINK</v>
      </c>
      <c r="E488" s="5">
        <v>20</v>
      </c>
      <c r="F488" s="5">
        <f>VLOOKUP(C488,[1]master_data!$A$2:$E$495,3,FALSE)</f>
        <v>800</v>
      </c>
      <c r="G488" s="5">
        <f>VLOOKUP(C488,[1]master_data!$A$2:$E$495,4,FALSE)</f>
        <v>2000</v>
      </c>
      <c r="H488" s="5">
        <f t="shared" si="27"/>
        <v>16000</v>
      </c>
      <c r="I488" s="5">
        <f t="shared" si="28"/>
        <v>40000</v>
      </c>
      <c r="J488" s="5">
        <f t="shared" si="29"/>
        <v>24000</v>
      </c>
      <c r="K488" s="5" t="str">
        <f>VLOOKUP(C488,[1]master_data!$A$2:$E$495,5,FALSE)</f>
        <v>Ikan</v>
      </c>
      <c r="L488" s="5" t="s">
        <v>471</v>
      </c>
    </row>
    <row r="489" spans="1:12" ht="12" customHeight="1" x14ac:dyDescent="0.25">
      <c r="A489" s="6">
        <v>44874</v>
      </c>
      <c r="B489" s="1">
        <v>2204074</v>
      </c>
      <c r="C489" s="5" t="s">
        <v>442</v>
      </c>
      <c r="D489" s="5" t="str">
        <f>VLOOKUP(C489,[1]master_data!$A$2:$E$495,2,FALSE)</f>
        <v>PEMBERSIH KACA ALBINO</v>
      </c>
      <c r="E489" s="5">
        <v>8</v>
      </c>
      <c r="F489" s="5">
        <f>VLOOKUP(C489,[1]master_data!$A$2:$E$495,3,FALSE)</f>
        <v>2500</v>
      </c>
      <c r="G489" s="5">
        <f>VLOOKUP(C489,[1]master_data!$A$2:$E$495,4,FALSE)</f>
        <v>5000</v>
      </c>
      <c r="H489" s="5">
        <f t="shared" si="27"/>
        <v>20000</v>
      </c>
      <c r="I489" s="5">
        <f t="shared" si="28"/>
        <v>40000</v>
      </c>
      <c r="J489" s="5">
        <f t="shared" si="29"/>
        <v>20000</v>
      </c>
      <c r="K489" s="5" t="str">
        <f>VLOOKUP(C489,[1]master_data!$A$2:$E$495,5,FALSE)</f>
        <v>Ikan</v>
      </c>
      <c r="L489" s="5" t="s">
        <v>471</v>
      </c>
    </row>
    <row r="490" spans="1:12" ht="12" customHeight="1" x14ac:dyDescent="0.25">
      <c r="A490" s="6">
        <v>44874</v>
      </c>
      <c r="B490" s="1">
        <v>2204073</v>
      </c>
      <c r="C490" s="5" t="s">
        <v>148</v>
      </c>
      <c r="D490" s="5" t="str">
        <f>VLOOKUP(C490,[1]master_data!$A$2:$E$495,2,FALSE)</f>
        <v>LED HIKARI 3 MODE 80 CM</v>
      </c>
      <c r="E490" s="5">
        <v>1</v>
      </c>
      <c r="F490" s="5">
        <f>VLOOKUP(C490,[1]master_data!$A$2:$E$495,3,FALSE)</f>
        <v>89000</v>
      </c>
      <c r="G490" s="5">
        <f>VLOOKUP(C490,[1]master_data!$A$2:$E$495,4,FALSE)</f>
        <v>140000</v>
      </c>
      <c r="H490" s="5">
        <f t="shared" si="27"/>
        <v>89000</v>
      </c>
      <c r="I490" s="5">
        <f t="shared" si="28"/>
        <v>140000</v>
      </c>
      <c r="J490" s="5">
        <f t="shared" si="29"/>
        <v>51000</v>
      </c>
      <c r="K490" s="5" t="str">
        <f>VLOOKUP(C490,[1]master_data!$A$2:$E$495,5,FALSE)</f>
        <v>Aksesoris</v>
      </c>
      <c r="L490" s="5" t="s">
        <v>471</v>
      </c>
    </row>
    <row r="491" spans="1:12" ht="12" customHeight="1" x14ac:dyDescent="0.25">
      <c r="A491" s="6">
        <v>44873</v>
      </c>
      <c r="B491" s="1">
        <v>2204072</v>
      </c>
      <c r="C491" s="5" t="s">
        <v>427</v>
      </c>
      <c r="D491" s="5" t="str">
        <f>VLOOKUP(C491,[1]master_data!$A$2:$E$495,2,FALSE)</f>
        <v>LEMON</v>
      </c>
      <c r="E491" s="5">
        <v>25</v>
      </c>
      <c r="F491" s="5">
        <f>VLOOKUP(C491,[1]master_data!$A$2:$E$495,3,FALSE)</f>
        <v>1000</v>
      </c>
      <c r="G491" s="5">
        <f>VLOOKUP(C491,[1]master_data!$A$2:$E$495,4,FALSE)</f>
        <v>2000</v>
      </c>
      <c r="H491" s="5">
        <f t="shared" si="27"/>
        <v>25000</v>
      </c>
      <c r="I491" s="5">
        <f t="shared" si="28"/>
        <v>50000</v>
      </c>
      <c r="J491" s="5">
        <f t="shared" si="29"/>
        <v>25000</v>
      </c>
      <c r="K491" s="5" t="str">
        <f>VLOOKUP(C491,[1]master_data!$A$2:$E$495,5,FALSE)</f>
        <v>Ikan</v>
      </c>
      <c r="L491" s="5" t="s">
        <v>471</v>
      </c>
    </row>
    <row r="492" spans="1:12" ht="12" customHeight="1" x14ac:dyDescent="0.25">
      <c r="A492" s="6">
        <v>44873</v>
      </c>
      <c r="B492" s="1">
        <v>2204071</v>
      </c>
      <c r="C492" s="5" t="s">
        <v>182</v>
      </c>
      <c r="D492" s="5" t="str">
        <f>VLOOKUP(C492,[1]master_data!$A$2:$E$495,2,FALSE)</f>
        <v>LED ARMADA 3 MODE M60</v>
      </c>
      <c r="E492" s="5">
        <v>1</v>
      </c>
      <c r="F492" s="5">
        <f>VLOOKUP(C492,[1]master_data!$A$2:$E$495,3,FALSE)</f>
        <v>29000</v>
      </c>
      <c r="G492" s="5">
        <f>VLOOKUP(C492,[1]master_data!$A$2:$E$495,4,FALSE)</f>
        <v>60000</v>
      </c>
      <c r="H492" s="5">
        <f t="shared" si="27"/>
        <v>29000</v>
      </c>
      <c r="I492" s="5">
        <f t="shared" si="28"/>
        <v>60000</v>
      </c>
      <c r="J492" s="5">
        <f t="shared" si="29"/>
        <v>31000</v>
      </c>
      <c r="K492" s="5" t="str">
        <f>VLOOKUP(C492,[1]master_data!$A$2:$E$495,5,FALSE)</f>
        <v>Aksesoris</v>
      </c>
      <c r="L492" s="5" t="s">
        <v>471</v>
      </c>
    </row>
    <row r="493" spans="1:12" ht="12" customHeight="1" x14ac:dyDescent="0.25">
      <c r="A493" s="6">
        <v>44873</v>
      </c>
      <c r="B493" s="1">
        <v>2204070</v>
      </c>
      <c r="C493" s="5" t="s">
        <v>431</v>
      </c>
      <c r="D493" s="5" t="str">
        <f>VLOOKUP(C493,[1]master_data!$A$2:$E$495,2,FALSE)</f>
        <v>MANFISH B</v>
      </c>
      <c r="E493" s="5">
        <v>10</v>
      </c>
      <c r="F493" s="5">
        <f>VLOOKUP(C493,[1]master_data!$A$2:$E$495,3,FALSE)</f>
        <v>4000</v>
      </c>
      <c r="G493" s="5">
        <f>VLOOKUP(C493,[1]master_data!$A$2:$E$495,4,FALSE)</f>
        <v>10000</v>
      </c>
      <c r="H493" s="5">
        <f t="shared" si="27"/>
        <v>40000</v>
      </c>
      <c r="I493" s="5">
        <f t="shared" si="28"/>
        <v>100000</v>
      </c>
      <c r="J493" s="5">
        <f t="shared" si="29"/>
        <v>60000</v>
      </c>
      <c r="K493" s="5" t="str">
        <f>VLOOKUP(C493,[1]master_data!$A$2:$E$495,5,FALSE)</f>
        <v>Ikan</v>
      </c>
      <c r="L493" s="5" t="s">
        <v>471</v>
      </c>
    </row>
    <row r="494" spans="1:12" ht="12" customHeight="1" x14ac:dyDescent="0.25">
      <c r="A494" s="6">
        <v>44873</v>
      </c>
      <c r="B494" s="1">
        <v>2204069</v>
      </c>
      <c r="C494" s="5" t="s">
        <v>115</v>
      </c>
      <c r="D494" s="5" t="str">
        <f>VLOOKUP(C494,[1]master_data!$A$2:$E$495,2,FALSE)</f>
        <v>LED ROSTON 30 CM</v>
      </c>
      <c r="E494" s="5">
        <v>10</v>
      </c>
      <c r="F494" s="5">
        <f>VLOOKUP(C494,[1]master_data!$A$2:$E$495,3,FALSE)</f>
        <v>21000</v>
      </c>
      <c r="G494" s="5">
        <f>VLOOKUP(C494,[1]master_data!$A$2:$E$495,4,FALSE)</f>
        <v>35000</v>
      </c>
      <c r="H494" s="5">
        <f t="shared" si="27"/>
        <v>210000</v>
      </c>
      <c r="I494" s="5">
        <f t="shared" si="28"/>
        <v>350000</v>
      </c>
      <c r="J494" s="5">
        <f t="shared" si="29"/>
        <v>140000</v>
      </c>
      <c r="K494" s="5" t="str">
        <f>VLOOKUP(C494,[1]master_data!$A$2:$E$495,5,FALSE)</f>
        <v>Aksesoris</v>
      </c>
      <c r="L494" s="5" t="s">
        <v>471</v>
      </c>
    </row>
    <row r="495" spans="1:12" ht="12" customHeight="1" x14ac:dyDescent="0.25">
      <c r="A495" s="6">
        <v>44873</v>
      </c>
      <c r="B495" s="1">
        <v>2204068</v>
      </c>
      <c r="C495" s="5" t="s">
        <v>442</v>
      </c>
      <c r="D495" s="5" t="str">
        <f>VLOOKUP(C495,[1]master_data!$A$2:$E$495,2,FALSE)</f>
        <v>PEMBERSIH KACA ALBINO</v>
      </c>
      <c r="E495" s="5">
        <v>15</v>
      </c>
      <c r="F495" s="5">
        <f>VLOOKUP(C495,[1]master_data!$A$2:$E$495,3,FALSE)</f>
        <v>2500</v>
      </c>
      <c r="G495" s="5">
        <f>VLOOKUP(C495,[1]master_data!$A$2:$E$495,4,FALSE)</f>
        <v>5000</v>
      </c>
      <c r="H495" s="5">
        <f t="shared" si="27"/>
        <v>37500</v>
      </c>
      <c r="I495" s="5">
        <f t="shared" si="28"/>
        <v>75000</v>
      </c>
      <c r="J495" s="5">
        <f t="shared" si="29"/>
        <v>37500</v>
      </c>
      <c r="K495" s="5" t="str">
        <f>VLOOKUP(C495,[1]master_data!$A$2:$E$495,5,FALSE)</f>
        <v>Ikan</v>
      </c>
      <c r="L495" s="5" t="s">
        <v>471</v>
      </c>
    </row>
    <row r="496" spans="1:12" ht="12" customHeight="1" x14ac:dyDescent="0.25">
      <c r="A496" s="6">
        <v>44873</v>
      </c>
      <c r="B496" s="1">
        <v>2204067</v>
      </c>
      <c r="C496" s="5" t="s">
        <v>392</v>
      </c>
      <c r="D496" s="5" t="str">
        <f>VLOOKUP(C496,[1]master_data!$A$2:$E$495,2,FALSE)</f>
        <v>CHANNA ASIATICA B</v>
      </c>
      <c r="E496" s="5">
        <v>1</v>
      </c>
      <c r="F496" s="5">
        <f>VLOOKUP(C496,[1]master_data!$A$2:$E$495,3,FALSE)</f>
        <v>40000</v>
      </c>
      <c r="G496" s="5">
        <f>VLOOKUP(C496,[1]master_data!$A$2:$E$495,4,FALSE)</f>
        <v>100000</v>
      </c>
      <c r="H496" s="5">
        <f t="shared" si="27"/>
        <v>40000</v>
      </c>
      <c r="I496" s="5">
        <f t="shared" si="28"/>
        <v>100000</v>
      </c>
      <c r="J496" s="5">
        <f t="shared" si="29"/>
        <v>60000</v>
      </c>
      <c r="K496" s="5" t="str">
        <f>VLOOKUP(C496,[1]master_data!$A$2:$E$495,5,FALSE)</f>
        <v>Ikan</v>
      </c>
      <c r="L496" s="5" t="s">
        <v>471</v>
      </c>
    </row>
    <row r="497" spans="1:12" ht="12" customHeight="1" x14ac:dyDescent="0.25">
      <c r="A497" s="6">
        <v>44873</v>
      </c>
      <c r="B497" s="1">
        <v>2204066</v>
      </c>
      <c r="C497" s="5" t="s">
        <v>424</v>
      </c>
      <c r="D497" s="5" t="str">
        <f>VLOOKUP(C497,[1]master_data!$A$2:$E$495,2,FALSE)</f>
        <v>KOI SLAYER B</v>
      </c>
      <c r="E497" s="5">
        <v>10</v>
      </c>
      <c r="F497" s="5">
        <f>VLOOKUP(C497,[1]master_data!$A$2:$E$495,3,FALSE)</f>
        <v>8000</v>
      </c>
      <c r="G497" s="5">
        <f>VLOOKUP(C497,[1]master_data!$A$2:$E$495,4,FALSE)</f>
        <v>20000</v>
      </c>
      <c r="H497" s="5">
        <f t="shared" si="27"/>
        <v>80000</v>
      </c>
      <c r="I497" s="5">
        <f t="shared" si="28"/>
        <v>200000</v>
      </c>
      <c r="J497" s="5">
        <f t="shared" si="29"/>
        <v>120000</v>
      </c>
      <c r="K497" s="5" t="str">
        <f>VLOOKUP(C497,[1]master_data!$A$2:$E$495,5,FALSE)</f>
        <v>Ikan</v>
      </c>
      <c r="L497" s="5" t="s">
        <v>471</v>
      </c>
    </row>
    <row r="498" spans="1:12" ht="12" customHeight="1" x14ac:dyDescent="0.25">
      <c r="A498" s="6">
        <v>44873</v>
      </c>
      <c r="B498" s="1">
        <v>2204065</v>
      </c>
      <c r="C498" s="5" t="s">
        <v>455</v>
      </c>
      <c r="D498" s="5" t="str">
        <f>VLOOKUP(C498,[1]master_data!$A$2:$E$495,2,FALSE)</f>
        <v>TETRA</v>
      </c>
      <c r="E498" s="5">
        <v>30</v>
      </c>
      <c r="F498" s="5">
        <f>VLOOKUP(C498,[1]master_data!$A$2:$E$495,3,FALSE)</f>
        <v>800</v>
      </c>
      <c r="G498" s="5">
        <f>VLOOKUP(C498,[1]master_data!$A$2:$E$495,4,FALSE)</f>
        <v>2000</v>
      </c>
      <c r="H498" s="5">
        <f t="shared" si="27"/>
        <v>24000</v>
      </c>
      <c r="I498" s="5">
        <f t="shared" si="28"/>
        <v>60000</v>
      </c>
      <c r="J498" s="5">
        <f t="shared" si="29"/>
        <v>36000</v>
      </c>
      <c r="K498" s="5" t="str">
        <f>VLOOKUP(C498,[1]master_data!$A$2:$E$495,5,FALSE)</f>
        <v>Ikan</v>
      </c>
      <c r="L498" s="5" t="s">
        <v>471</v>
      </c>
    </row>
    <row r="499" spans="1:12" ht="12" customHeight="1" x14ac:dyDescent="0.25">
      <c r="A499" s="6">
        <v>44873</v>
      </c>
      <c r="B499" s="1">
        <v>2204064</v>
      </c>
      <c r="C499" s="5" t="s">
        <v>311</v>
      </c>
      <c r="D499" s="5" t="str">
        <f>VLOOKUP(C499,[1]master_data!$A$2:$E$495,2,FALSE)</f>
        <v>L PIPA</v>
      </c>
      <c r="E499" s="5">
        <v>5</v>
      </c>
      <c r="F499" s="5">
        <f>VLOOKUP(C499,[1]master_data!$A$2:$E$495,3,FALSE)</f>
        <v>800</v>
      </c>
      <c r="G499" s="5">
        <f>VLOOKUP(C499,[1]master_data!$A$2:$E$495,4,FALSE)</f>
        <v>2000</v>
      </c>
      <c r="H499" s="5">
        <f t="shared" si="27"/>
        <v>4000</v>
      </c>
      <c r="I499" s="5">
        <f t="shared" si="28"/>
        <v>10000</v>
      </c>
      <c r="J499" s="5">
        <f t="shared" si="29"/>
        <v>6000</v>
      </c>
      <c r="K499" s="5" t="str">
        <f>VLOOKUP(C499,[1]master_data!$A$2:$E$495,5,FALSE)</f>
        <v>Aksesoris</v>
      </c>
      <c r="L499" s="5" t="s">
        <v>471</v>
      </c>
    </row>
    <row r="500" spans="1:12" ht="12" customHeight="1" x14ac:dyDescent="0.25">
      <c r="A500" s="6">
        <v>44873</v>
      </c>
      <c r="B500" s="1">
        <v>2204063</v>
      </c>
      <c r="C500" s="5" t="s">
        <v>387</v>
      </c>
      <c r="D500" s="5" t="str">
        <f>VLOOKUP(C500,[1]master_data!$A$2:$E$495,2,FALSE)</f>
        <v>OISTER</v>
      </c>
      <c r="E500" s="5">
        <v>5</v>
      </c>
      <c r="F500" s="5">
        <f>VLOOKUP(C500,[1]master_data!$A$2:$E$495,3,FALSE)</f>
        <v>15000</v>
      </c>
      <c r="G500" s="5">
        <f>VLOOKUP(C500,[1]master_data!$A$2:$E$495,4,FALSE)</f>
        <v>25000</v>
      </c>
      <c r="H500" s="5">
        <f t="shared" si="27"/>
        <v>75000</v>
      </c>
      <c r="I500" s="5">
        <f t="shared" si="28"/>
        <v>125000</v>
      </c>
      <c r="J500" s="5">
        <f t="shared" si="29"/>
        <v>50000</v>
      </c>
      <c r="K500" s="5" t="str">
        <f>VLOOKUP(C500,[1]master_data!$A$2:$E$495,5,FALSE)</f>
        <v>Aksesoris</v>
      </c>
      <c r="L500" s="5" t="s">
        <v>471</v>
      </c>
    </row>
    <row r="501" spans="1:12" ht="12" customHeight="1" x14ac:dyDescent="0.25">
      <c r="A501" s="6">
        <v>44873</v>
      </c>
      <c r="B501" s="1">
        <v>2204062</v>
      </c>
      <c r="C501" s="5" t="s">
        <v>427</v>
      </c>
      <c r="D501" s="5" t="str">
        <f>VLOOKUP(C501,[1]master_data!$A$2:$E$495,2,FALSE)</f>
        <v>LEMON</v>
      </c>
      <c r="E501" s="5">
        <v>10</v>
      </c>
      <c r="F501" s="5">
        <f>VLOOKUP(C501,[1]master_data!$A$2:$E$495,3,FALSE)</f>
        <v>1000</v>
      </c>
      <c r="G501" s="5">
        <f>VLOOKUP(C501,[1]master_data!$A$2:$E$495,4,FALSE)</f>
        <v>2000</v>
      </c>
      <c r="H501" s="5">
        <f t="shared" si="27"/>
        <v>10000</v>
      </c>
      <c r="I501" s="5">
        <f t="shared" si="28"/>
        <v>20000</v>
      </c>
      <c r="J501" s="5">
        <f t="shared" si="29"/>
        <v>10000</v>
      </c>
      <c r="K501" s="5" t="str">
        <f>VLOOKUP(C501,[1]master_data!$A$2:$E$495,5,FALSE)</f>
        <v>Ikan</v>
      </c>
      <c r="L501" s="5" t="s">
        <v>471</v>
      </c>
    </row>
    <row r="502" spans="1:12" ht="12" customHeight="1" x14ac:dyDescent="0.25">
      <c r="A502" s="6">
        <v>44873</v>
      </c>
      <c r="B502" s="1">
        <v>2204061</v>
      </c>
      <c r="C502" s="5" t="s">
        <v>454</v>
      </c>
      <c r="D502" s="5" t="str">
        <f>VLOOKUP(C502,[1]master_data!$A$2:$E$495,2,FALSE)</f>
        <v>SYNODONTI B</v>
      </c>
      <c r="E502" s="5">
        <v>10</v>
      </c>
      <c r="F502" s="5">
        <f>VLOOKUP(C502,[1]master_data!$A$2:$E$495,3,FALSE)</f>
        <v>4000</v>
      </c>
      <c r="G502" s="5">
        <f>VLOOKUP(C502,[1]master_data!$A$2:$E$495,4,FALSE)</f>
        <v>10000</v>
      </c>
      <c r="H502" s="5">
        <f t="shared" si="27"/>
        <v>40000</v>
      </c>
      <c r="I502" s="5">
        <f t="shared" si="28"/>
        <v>100000</v>
      </c>
      <c r="J502" s="5">
        <f t="shared" si="29"/>
        <v>60000</v>
      </c>
      <c r="K502" s="5" t="str">
        <f>VLOOKUP(C502,[1]master_data!$A$2:$E$495,5,FALSE)</f>
        <v>Ikan</v>
      </c>
      <c r="L502" s="5" t="s">
        <v>471</v>
      </c>
    </row>
    <row r="503" spans="1:12" ht="12" customHeight="1" x14ac:dyDescent="0.25">
      <c r="A503" s="6">
        <v>44873</v>
      </c>
      <c r="B503" s="1">
        <v>2204060</v>
      </c>
      <c r="C503" s="5" t="s">
        <v>438</v>
      </c>
      <c r="D503" s="5" t="str">
        <f>VLOOKUP(C503,[1]master_data!$A$2:$E$495,2,FALSE)</f>
        <v>NENTINEN</v>
      </c>
      <c r="E503" s="5">
        <v>20</v>
      </c>
      <c r="F503" s="5">
        <f>VLOOKUP(C503,[1]master_data!$A$2:$E$495,3,FALSE)</f>
        <v>1000</v>
      </c>
      <c r="G503" s="5">
        <f>VLOOKUP(C503,[1]master_data!$A$2:$E$495,4,FALSE)</f>
        <v>2500</v>
      </c>
      <c r="H503" s="5">
        <f t="shared" si="27"/>
        <v>20000</v>
      </c>
      <c r="I503" s="5">
        <f t="shared" si="28"/>
        <v>50000</v>
      </c>
      <c r="J503" s="5">
        <f t="shared" si="29"/>
        <v>30000</v>
      </c>
      <c r="K503" s="5" t="str">
        <f>VLOOKUP(C503,[1]master_data!$A$2:$E$495,5,FALSE)</f>
        <v>Ikan</v>
      </c>
      <c r="L503" s="5" t="s">
        <v>471</v>
      </c>
    </row>
    <row r="504" spans="1:12" ht="12" customHeight="1" x14ac:dyDescent="0.25">
      <c r="A504" s="6">
        <v>44873</v>
      </c>
      <c r="B504" s="1">
        <v>2204059</v>
      </c>
      <c r="C504" s="5" t="s">
        <v>405</v>
      </c>
      <c r="D504" s="5" t="str">
        <f>VLOOKUP(C504,[1]master_data!$A$2:$E$495,2,FALSE)</f>
        <v>KOMET BOKIM</v>
      </c>
      <c r="E504" s="5">
        <v>1</v>
      </c>
      <c r="F504" s="5">
        <f>VLOOKUP(C504,[1]master_data!$A$2:$E$495,3,FALSE)</f>
        <v>1500</v>
      </c>
      <c r="G504" s="5">
        <f>VLOOKUP(C504,[1]master_data!$A$2:$E$495,4,FALSE)</f>
        <v>5000</v>
      </c>
      <c r="H504" s="5">
        <f t="shared" si="27"/>
        <v>1500</v>
      </c>
      <c r="I504" s="5">
        <f t="shared" si="28"/>
        <v>5000</v>
      </c>
      <c r="J504" s="5">
        <f t="shared" si="29"/>
        <v>3500</v>
      </c>
      <c r="K504" s="5" t="str">
        <f>VLOOKUP(C504,[1]master_data!$A$2:$E$495,5,FALSE)</f>
        <v>Ikan</v>
      </c>
      <c r="L504" s="5" t="s">
        <v>471</v>
      </c>
    </row>
    <row r="505" spans="1:12" ht="12" customHeight="1" x14ac:dyDescent="0.25">
      <c r="A505" s="6">
        <v>44872</v>
      </c>
      <c r="B505" s="1">
        <v>2204058</v>
      </c>
      <c r="C505" s="5" t="s">
        <v>429</v>
      </c>
      <c r="D505" s="5" t="str">
        <f>VLOOKUP(C505,[1]master_data!$A$2:$E$495,2,FALSE)</f>
        <v>LOUHAN SUPER</v>
      </c>
      <c r="E505" s="5">
        <v>2</v>
      </c>
      <c r="F505" s="5">
        <f>VLOOKUP(C505,[1]master_data!$A$2:$E$495,3,FALSE)</f>
        <v>300000</v>
      </c>
      <c r="G505" s="5">
        <f>VLOOKUP(C505,[1]master_data!$A$2:$E$495,4,FALSE)</f>
        <v>500000</v>
      </c>
      <c r="H505" s="5">
        <f t="shared" si="27"/>
        <v>600000</v>
      </c>
      <c r="I505" s="5">
        <f t="shared" si="28"/>
        <v>1000000</v>
      </c>
      <c r="J505" s="5">
        <f t="shared" si="29"/>
        <v>400000</v>
      </c>
      <c r="K505" s="5" t="str">
        <f>VLOOKUP(C505,[1]master_data!$A$2:$E$495,5,FALSE)</f>
        <v>Ikan</v>
      </c>
      <c r="L505" s="5" t="s">
        <v>471</v>
      </c>
    </row>
    <row r="506" spans="1:12" ht="12" customHeight="1" x14ac:dyDescent="0.25">
      <c r="A506" s="6">
        <v>44872</v>
      </c>
      <c r="B506" s="1">
        <v>2204057</v>
      </c>
      <c r="C506" s="5" t="s">
        <v>329</v>
      </c>
      <c r="D506" s="5" t="str">
        <f>VLOOKUP(C506,[1]master_data!$A$2:$E$495,2,FALSE)</f>
        <v>AIRSTONE D2L5</v>
      </c>
      <c r="E506" s="5">
        <v>25</v>
      </c>
      <c r="F506" s="5">
        <f>VLOOKUP(C506,[1]master_data!$A$2:$E$495,3,FALSE)</f>
        <v>1850</v>
      </c>
      <c r="G506" s="5">
        <f>VLOOKUP(C506,[1]master_data!$A$2:$E$495,4,FALSE)</f>
        <v>5000</v>
      </c>
      <c r="H506" s="5">
        <f t="shared" si="27"/>
        <v>46250</v>
      </c>
      <c r="I506" s="5">
        <f t="shared" si="28"/>
        <v>125000</v>
      </c>
      <c r="J506" s="5">
        <f t="shared" si="29"/>
        <v>78750</v>
      </c>
      <c r="K506" s="5" t="str">
        <f>VLOOKUP(C506,[1]master_data!$A$2:$E$495,5,FALSE)</f>
        <v>Aksesoris</v>
      </c>
      <c r="L506" s="5" t="s">
        <v>471</v>
      </c>
    </row>
    <row r="507" spans="1:12" ht="12" customHeight="1" x14ac:dyDescent="0.25">
      <c r="A507" s="6">
        <v>44872</v>
      </c>
      <c r="B507" s="1">
        <v>2204056</v>
      </c>
      <c r="C507" s="5" t="s">
        <v>70</v>
      </c>
      <c r="D507" s="5" t="str">
        <f>VLOOKUP(C507,[1]master_data!$A$2:$E$495,2,FALSE)</f>
        <v>MESIN HAILONG 1600</v>
      </c>
      <c r="E507" s="5">
        <v>5</v>
      </c>
      <c r="F507" s="5">
        <f>VLOOKUP(C507,[1]master_data!$A$2:$E$495,3,FALSE)</f>
        <v>58000</v>
      </c>
      <c r="G507" s="5">
        <f>VLOOKUP(C507,[1]master_data!$A$2:$E$495,4,FALSE)</f>
        <v>100000</v>
      </c>
      <c r="H507" s="5">
        <f t="shared" si="27"/>
        <v>290000</v>
      </c>
      <c r="I507" s="5">
        <f t="shared" si="28"/>
        <v>500000</v>
      </c>
      <c r="J507" s="5">
        <f t="shared" si="29"/>
        <v>210000</v>
      </c>
      <c r="K507" s="5" t="str">
        <f>VLOOKUP(C507,[1]master_data!$A$2:$E$495,5,FALSE)</f>
        <v>Aksesoris</v>
      </c>
      <c r="L507" s="5" t="s">
        <v>471</v>
      </c>
    </row>
    <row r="508" spans="1:12" ht="12" customHeight="1" x14ac:dyDescent="0.25">
      <c r="A508" s="6">
        <v>44872</v>
      </c>
      <c r="B508" s="1">
        <v>2204055</v>
      </c>
      <c r="C508" s="5" t="s">
        <v>264</v>
      </c>
      <c r="D508" s="5" t="str">
        <f>VLOOKUP(C508,[1]master_data!$A$2:$E$495,2,FALSE)</f>
        <v>CORNER FILTER MULTI NAVIGATOR</v>
      </c>
      <c r="E508" s="5">
        <v>5</v>
      </c>
      <c r="F508" s="5">
        <f>VLOOKUP(C508,[1]master_data!$A$2:$E$495,3,FALSE)</f>
        <v>21000</v>
      </c>
      <c r="G508" s="5">
        <f>VLOOKUP(C508,[1]master_data!$A$2:$E$495,4,FALSE)</f>
        <v>30000</v>
      </c>
      <c r="H508" s="5">
        <f t="shared" si="27"/>
        <v>105000</v>
      </c>
      <c r="I508" s="5">
        <f t="shared" si="28"/>
        <v>150000</v>
      </c>
      <c r="J508" s="5">
        <f t="shared" si="29"/>
        <v>45000</v>
      </c>
      <c r="K508" s="5" t="str">
        <f>VLOOKUP(C508,[1]master_data!$A$2:$E$495,5,FALSE)</f>
        <v>Aksesoris</v>
      </c>
      <c r="L508" s="5" t="s">
        <v>471</v>
      </c>
    </row>
    <row r="509" spans="1:12" ht="12" customHeight="1" x14ac:dyDescent="0.25">
      <c r="A509" s="6">
        <v>44872</v>
      </c>
      <c r="B509" s="1">
        <v>2204054</v>
      </c>
      <c r="C509" s="5" t="s">
        <v>436</v>
      </c>
      <c r="D509" s="5" t="str">
        <f>VLOOKUP(C509,[1]master_data!$A$2:$E$495,2,FALSE)</f>
        <v>NIASA</v>
      </c>
      <c r="E509" s="5">
        <v>25</v>
      </c>
      <c r="F509" s="5">
        <f>VLOOKUP(C509,[1]master_data!$A$2:$E$495,3,FALSE)</f>
        <v>900</v>
      </c>
      <c r="G509" s="5">
        <f>VLOOKUP(C509,[1]master_data!$A$2:$E$495,4,FALSE)</f>
        <v>2000</v>
      </c>
      <c r="H509" s="5">
        <f t="shared" si="27"/>
        <v>22500</v>
      </c>
      <c r="I509" s="5">
        <f t="shared" si="28"/>
        <v>50000</v>
      </c>
      <c r="J509" s="5">
        <f t="shared" si="29"/>
        <v>27500</v>
      </c>
      <c r="K509" s="5" t="str">
        <f>VLOOKUP(C509,[1]master_data!$A$2:$E$495,5,FALSE)</f>
        <v>Ikan</v>
      </c>
      <c r="L509" s="5" t="s">
        <v>471</v>
      </c>
    </row>
    <row r="510" spans="1:12" ht="12" customHeight="1" x14ac:dyDescent="0.25">
      <c r="A510" s="6">
        <v>44872</v>
      </c>
      <c r="B510" s="1">
        <v>2204053</v>
      </c>
      <c r="C510" s="5" t="s">
        <v>449</v>
      </c>
      <c r="D510" s="5" t="str">
        <f>VLOOKUP(C510,[1]master_data!$A$2:$E$495,2,FALSE)</f>
        <v>CHANNA RED BARITO B</v>
      </c>
      <c r="E510" s="5">
        <v>1</v>
      </c>
      <c r="F510" s="5">
        <f>VLOOKUP(C510,[1]master_data!$A$2:$E$495,3,FALSE)</f>
        <v>120000</v>
      </c>
      <c r="G510" s="5">
        <f>VLOOKUP(C510,[1]master_data!$A$2:$E$495,4,FALSE)</f>
        <v>200000</v>
      </c>
      <c r="H510" s="5">
        <f t="shared" si="27"/>
        <v>120000</v>
      </c>
      <c r="I510" s="5">
        <f t="shared" si="28"/>
        <v>200000</v>
      </c>
      <c r="J510" s="5">
        <f t="shared" si="29"/>
        <v>80000</v>
      </c>
      <c r="K510" s="5" t="str">
        <f>VLOOKUP(C510,[1]master_data!$A$2:$E$495,5,FALSE)</f>
        <v>Ikan</v>
      </c>
      <c r="L510" s="5" t="s">
        <v>471</v>
      </c>
    </row>
    <row r="511" spans="1:12" ht="12" customHeight="1" x14ac:dyDescent="0.25">
      <c r="A511" s="6">
        <v>44872</v>
      </c>
      <c r="B511" s="1">
        <v>2204052</v>
      </c>
      <c r="C511" s="5" t="s">
        <v>396</v>
      </c>
      <c r="D511" s="5" t="str">
        <f>VLOOKUP(C511,[1]master_data!$A$2:$E$495,2,FALSE)</f>
        <v>ALGA EATER</v>
      </c>
      <c r="E511" s="5">
        <v>24</v>
      </c>
      <c r="F511" s="5">
        <f>VLOOKUP(C511,[1]master_data!$A$2:$E$495,3,FALSE)</f>
        <v>1750</v>
      </c>
      <c r="G511" s="5">
        <f>VLOOKUP(C511,[1]master_data!$A$2:$E$495,4,FALSE)</f>
        <v>5000</v>
      </c>
      <c r="H511" s="5">
        <f t="shared" si="27"/>
        <v>42000</v>
      </c>
      <c r="I511" s="5">
        <f t="shared" si="28"/>
        <v>120000</v>
      </c>
      <c r="J511" s="5">
        <f t="shared" si="29"/>
        <v>78000</v>
      </c>
      <c r="K511" s="5" t="str">
        <f>VLOOKUP(C511,[1]master_data!$A$2:$E$495,5,FALSE)</f>
        <v>Ikan</v>
      </c>
      <c r="L511" s="5" t="s">
        <v>471</v>
      </c>
    </row>
    <row r="512" spans="1:12" ht="12" customHeight="1" x14ac:dyDescent="0.25">
      <c r="A512" s="6">
        <v>44872</v>
      </c>
      <c r="B512" s="1">
        <v>2204051</v>
      </c>
      <c r="C512" s="5" t="s">
        <v>307</v>
      </c>
      <c r="D512" s="5" t="str">
        <f>VLOOKUP(C512,[1]master_data!$A$2:$E$495,2,FALSE)</f>
        <v>QUICK FILTER</v>
      </c>
      <c r="E512" s="5">
        <v>2</v>
      </c>
      <c r="F512" s="5">
        <f>VLOOKUP(C512,[1]master_data!$A$2:$E$495,3,FALSE)</f>
        <v>12000</v>
      </c>
      <c r="G512" s="5">
        <f>VLOOKUP(C512,[1]master_data!$A$2:$E$495,4,FALSE)</f>
        <v>20000</v>
      </c>
      <c r="H512" s="5">
        <f t="shared" si="27"/>
        <v>24000</v>
      </c>
      <c r="I512" s="5">
        <f t="shared" si="28"/>
        <v>40000</v>
      </c>
      <c r="J512" s="5">
        <f t="shared" si="29"/>
        <v>16000</v>
      </c>
      <c r="K512" s="5" t="str">
        <f>VLOOKUP(C512,[1]master_data!$A$2:$E$495,5,FALSE)</f>
        <v>Aksesoris</v>
      </c>
      <c r="L512" s="5" t="s">
        <v>471</v>
      </c>
    </row>
    <row r="513" spans="1:12" ht="12" customHeight="1" x14ac:dyDescent="0.25">
      <c r="A513" s="6">
        <v>44871</v>
      </c>
      <c r="B513" s="1">
        <v>2204050</v>
      </c>
      <c r="C513" s="5" t="s">
        <v>409</v>
      </c>
      <c r="D513" s="5" t="str">
        <f>VLOOKUP(C513,[1]master_data!$A$2:$E$495,2,FALSE)</f>
        <v>GOLD FISH</v>
      </c>
      <c r="E513" s="5">
        <v>1</v>
      </c>
      <c r="F513" s="5">
        <f>VLOOKUP(C513,[1]master_data!$A$2:$E$495,3,FALSE)</f>
        <v>800</v>
      </c>
      <c r="G513" s="5">
        <f>VLOOKUP(C513,[1]master_data!$A$2:$E$495,4,FALSE)</f>
        <v>2000</v>
      </c>
      <c r="H513" s="5">
        <f t="shared" si="27"/>
        <v>800</v>
      </c>
      <c r="I513" s="5">
        <f t="shared" si="28"/>
        <v>2000</v>
      </c>
      <c r="J513" s="5">
        <f t="shared" si="29"/>
        <v>1200</v>
      </c>
      <c r="K513" s="5" t="str">
        <f>VLOOKUP(C513,[1]master_data!$A$2:$E$495,5,FALSE)</f>
        <v>Ikan</v>
      </c>
      <c r="L513" s="5" t="s">
        <v>471</v>
      </c>
    </row>
    <row r="514" spans="1:12" ht="12" customHeight="1" x14ac:dyDescent="0.25">
      <c r="A514" s="6">
        <v>44871</v>
      </c>
      <c r="B514" s="1">
        <v>2204049</v>
      </c>
      <c r="C514" s="5" t="s">
        <v>19</v>
      </c>
      <c r="D514" s="5" t="str">
        <f>VLOOKUP(C514,[1]master_data!$A$2:$E$495,2,FALSE)</f>
        <v>MESIN ROSTON 1000 L</v>
      </c>
      <c r="E514" s="5">
        <v>7</v>
      </c>
      <c r="F514" s="5">
        <f>VLOOKUP(C514,[1]master_data!$A$2:$E$495,3,FALSE)</f>
        <v>30000</v>
      </c>
      <c r="G514" s="5">
        <f>VLOOKUP(C514,[1]master_data!$A$2:$E$495,4,FALSE)</f>
        <v>45000</v>
      </c>
      <c r="H514" s="5">
        <f t="shared" si="27"/>
        <v>210000</v>
      </c>
      <c r="I514" s="5">
        <f t="shared" si="28"/>
        <v>315000</v>
      </c>
      <c r="J514" s="5">
        <f t="shared" si="29"/>
        <v>105000</v>
      </c>
      <c r="K514" s="5" t="str">
        <f>VLOOKUP(C514,[1]master_data!$A$2:$E$495,5,FALSE)</f>
        <v>Aksesoris</v>
      </c>
      <c r="L514" s="5" t="s">
        <v>471</v>
      </c>
    </row>
    <row r="515" spans="1:12" ht="12" customHeight="1" x14ac:dyDescent="0.25">
      <c r="A515" s="6">
        <v>44871</v>
      </c>
      <c r="B515" s="1">
        <v>2204048</v>
      </c>
      <c r="C515" s="5" t="s">
        <v>218</v>
      </c>
      <c r="D515" s="5" t="str">
        <f>VLOOKUP(C515,[1]master_data!$A$2:$E$495,2,FALSE)</f>
        <v>TAKARI BESAR</v>
      </c>
      <c r="E515" s="5">
        <v>2</v>
      </c>
      <c r="F515" s="5">
        <f>VLOOKUP(C515,[1]master_data!$A$2:$E$495,3,FALSE)</f>
        <v>17000</v>
      </c>
      <c r="G515" s="5">
        <f>VLOOKUP(C515,[1]master_data!$A$2:$E$495,4,FALSE)</f>
        <v>20000</v>
      </c>
      <c r="H515" s="5">
        <f t="shared" si="27"/>
        <v>34000</v>
      </c>
      <c r="I515" s="5">
        <f t="shared" si="28"/>
        <v>40000</v>
      </c>
      <c r="J515" s="5">
        <f t="shared" si="29"/>
        <v>6000</v>
      </c>
      <c r="K515" s="5" t="str">
        <f>VLOOKUP(C515,[1]master_data!$A$2:$E$495,5,FALSE)</f>
        <v>Aksesoris</v>
      </c>
      <c r="L515" s="5" t="s">
        <v>471</v>
      </c>
    </row>
    <row r="516" spans="1:12" ht="12" customHeight="1" x14ac:dyDescent="0.25">
      <c r="A516" s="6">
        <v>44871</v>
      </c>
      <c r="B516" s="1">
        <v>2204047</v>
      </c>
      <c r="C516" s="5" t="s">
        <v>431</v>
      </c>
      <c r="D516" s="5" t="str">
        <f>VLOOKUP(C516,[1]master_data!$A$2:$E$495,2,FALSE)</f>
        <v>MANFISH B</v>
      </c>
      <c r="E516" s="5">
        <v>25</v>
      </c>
      <c r="F516" s="5">
        <f>VLOOKUP(C516,[1]master_data!$A$2:$E$495,3,FALSE)</f>
        <v>4000</v>
      </c>
      <c r="G516" s="5">
        <f>VLOOKUP(C516,[1]master_data!$A$2:$E$495,4,FALSE)</f>
        <v>10000</v>
      </c>
      <c r="H516" s="5">
        <f t="shared" si="27"/>
        <v>100000</v>
      </c>
      <c r="I516" s="5">
        <f t="shared" si="28"/>
        <v>250000</v>
      </c>
      <c r="J516" s="5">
        <f t="shared" si="29"/>
        <v>150000</v>
      </c>
      <c r="K516" s="5" t="str">
        <f>VLOOKUP(C516,[1]master_data!$A$2:$E$495,5,FALSE)</f>
        <v>Ikan</v>
      </c>
      <c r="L516" s="5" t="s">
        <v>471</v>
      </c>
    </row>
    <row r="517" spans="1:12" ht="12" customHeight="1" x14ac:dyDescent="0.25">
      <c r="A517" s="6">
        <v>44871</v>
      </c>
      <c r="B517" s="1">
        <v>2204046</v>
      </c>
      <c r="C517" s="5" t="s">
        <v>409</v>
      </c>
      <c r="D517" s="5" t="str">
        <f>VLOOKUP(C517,[1]master_data!$A$2:$E$495,2,FALSE)</f>
        <v>GOLD FISH</v>
      </c>
      <c r="E517" s="5">
        <v>1</v>
      </c>
      <c r="F517" s="5">
        <f>VLOOKUP(C517,[1]master_data!$A$2:$E$495,3,FALSE)</f>
        <v>800</v>
      </c>
      <c r="G517" s="5">
        <f>VLOOKUP(C517,[1]master_data!$A$2:$E$495,4,FALSE)</f>
        <v>2000</v>
      </c>
      <c r="H517" s="5">
        <f t="shared" ref="H517:H580" si="30">E517*F517</f>
        <v>800</v>
      </c>
      <c r="I517" s="5">
        <f t="shared" ref="I517:I580" si="31">E517*G517</f>
        <v>2000</v>
      </c>
      <c r="J517" s="5">
        <f t="shared" ref="J517:J580" si="32">I517-H517</f>
        <v>1200</v>
      </c>
      <c r="K517" s="5" t="str">
        <f>VLOOKUP(C517,[1]master_data!$A$2:$E$495,5,FALSE)</f>
        <v>Ikan</v>
      </c>
      <c r="L517" s="5" t="s">
        <v>471</v>
      </c>
    </row>
    <row r="518" spans="1:12" ht="12" customHeight="1" x14ac:dyDescent="0.25">
      <c r="A518" s="6">
        <v>44871</v>
      </c>
      <c r="B518" s="1">
        <v>2204045</v>
      </c>
      <c r="C518" s="5" t="s">
        <v>163</v>
      </c>
      <c r="D518" s="5" t="str">
        <f>VLOOKUP(C518,[1]master_data!$A$2:$E$495,2,FALSE)</f>
        <v>LED KANDILA VIBRANT 50 CM</v>
      </c>
      <c r="E518" s="5">
        <v>1</v>
      </c>
      <c r="F518" s="5">
        <f>VLOOKUP(C518,[1]master_data!$A$2:$E$495,3,FALSE)</f>
        <v>110000</v>
      </c>
      <c r="G518" s="5">
        <f>VLOOKUP(C518,[1]master_data!$A$2:$E$495,4,FALSE)</f>
        <v>135000</v>
      </c>
      <c r="H518" s="5">
        <f t="shared" si="30"/>
        <v>110000</v>
      </c>
      <c r="I518" s="5">
        <f t="shared" si="31"/>
        <v>135000</v>
      </c>
      <c r="J518" s="5">
        <f t="shared" si="32"/>
        <v>25000</v>
      </c>
      <c r="K518" s="5" t="str">
        <f>VLOOKUP(C518,[1]master_data!$A$2:$E$495,5,FALSE)</f>
        <v>Aksesoris</v>
      </c>
      <c r="L518" s="5" t="s">
        <v>471</v>
      </c>
    </row>
    <row r="519" spans="1:12" ht="12" customHeight="1" x14ac:dyDescent="0.25">
      <c r="A519" s="6">
        <v>44871</v>
      </c>
      <c r="B519" s="1">
        <v>2204044</v>
      </c>
      <c r="C519" s="5" t="s">
        <v>446</v>
      </c>
      <c r="D519" s="5" t="str">
        <f>VLOOKUP(C519,[1]master_data!$A$2:$E$495,2,FALSE)</f>
        <v>REDFIN HITAM</v>
      </c>
      <c r="E519" s="5">
        <v>30</v>
      </c>
      <c r="F519" s="5">
        <f>VLOOKUP(C519,[1]master_data!$A$2:$E$495,3,FALSE)</f>
        <v>1500</v>
      </c>
      <c r="G519" s="5">
        <f>VLOOKUP(C519,[1]master_data!$A$2:$E$495,4,FALSE)</f>
        <v>4000</v>
      </c>
      <c r="H519" s="5">
        <f t="shared" si="30"/>
        <v>45000</v>
      </c>
      <c r="I519" s="5">
        <f t="shared" si="31"/>
        <v>120000</v>
      </c>
      <c r="J519" s="5">
        <f t="shared" si="32"/>
        <v>75000</v>
      </c>
      <c r="K519" s="5" t="str">
        <f>VLOOKUP(C519,[1]master_data!$A$2:$E$495,5,FALSE)</f>
        <v>Ikan</v>
      </c>
      <c r="L519" s="5" t="s">
        <v>471</v>
      </c>
    </row>
    <row r="520" spans="1:12" ht="12" customHeight="1" x14ac:dyDescent="0.25">
      <c r="A520" s="6">
        <v>44871</v>
      </c>
      <c r="B520" s="1">
        <v>2204043</v>
      </c>
      <c r="C520" s="5" t="s">
        <v>399</v>
      </c>
      <c r="D520" s="5" t="str">
        <f>VLOOKUP(C520,[1]master_data!$A$2:$E$495,2,FALSE)</f>
        <v>BUENOS AIRES TETRA</v>
      </c>
      <c r="E520" s="5">
        <v>20</v>
      </c>
      <c r="F520" s="5">
        <f>VLOOKUP(C520,[1]master_data!$A$2:$E$495,3,FALSE)</f>
        <v>800</v>
      </c>
      <c r="G520" s="5">
        <f>VLOOKUP(C520,[1]master_data!$A$2:$E$495,4,FALSE)</f>
        <v>2000</v>
      </c>
      <c r="H520" s="5">
        <f t="shared" si="30"/>
        <v>16000</v>
      </c>
      <c r="I520" s="5">
        <f t="shared" si="31"/>
        <v>40000</v>
      </c>
      <c r="J520" s="5">
        <f t="shared" si="32"/>
        <v>24000</v>
      </c>
      <c r="K520" s="5" t="str">
        <f>VLOOKUP(C520,[1]master_data!$A$2:$E$495,5,FALSE)</f>
        <v>Ikan</v>
      </c>
      <c r="L520" s="5" t="s">
        <v>471</v>
      </c>
    </row>
    <row r="521" spans="1:12" ht="12" customHeight="1" x14ac:dyDescent="0.25">
      <c r="A521" s="6">
        <v>44871</v>
      </c>
      <c r="B521" s="1">
        <v>2204042</v>
      </c>
      <c r="C521" s="5" t="s">
        <v>409</v>
      </c>
      <c r="D521" s="5" t="str">
        <f>VLOOKUP(C521,[1]master_data!$A$2:$E$495,2,FALSE)</f>
        <v>GOLD FISH</v>
      </c>
      <c r="E521" s="5">
        <v>1</v>
      </c>
      <c r="F521" s="5">
        <f>VLOOKUP(C521,[1]master_data!$A$2:$E$495,3,FALSE)</f>
        <v>800</v>
      </c>
      <c r="G521" s="5">
        <f>VLOOKUP(C521,[1]master_data!$A$2:$E$495,4,FALSE)</f>
        <v>2000</v>
      </c>
      <c r="H521" s="5">
        <f t="shared" si="30"/>
        <v>800</v>
      </c>
      <c r="I521" s="5">
        <f t="shared" si="31"/>
        <v>2000</v>
      </c>
      <c r="J521" s="5">
        <f t="shared" si="32"/>
        <v>1200</v>
      </c>
      <c r="K521" s="5" t="str">
        <f>VLOOKUP(C521,[1]master_data!$A$2:$E$495,5,FALSE)</f>
        <v>Ikan</v>
      </c>
      <c r="L521" s="5" t="s">
        <v>471</v>
      </c>
    </row>
    <row r="522" spans="1:12" ht="12" customHeight="1" x14ac:dyDescent="0.25">
      <c r="A522" s="6">
        <v>44871</v>
      </c>
      <c r="B522" s="1">
        <v>2204041</v>
      </c>
      <c r="C522" s="5" t="s">
        <v>105</v>
      </c>
      <c r="D522" s="5" t="str">
        <f>VLOOKUP(C522,[1]master_data!$A$2:$E$495,2,FALSE)</f>
        <v>AIRATOR NIKITA LUB 2</v>
      </c>
      <c r="E522" s="5">
        <v>2</v>
      </c>
      <c r="F522" s="5">
        <f>VLOOKUP(C522,[1]master_data!$A$2:$E$495,3,FALSE)</f>
        <v>30000</v>
      </c>
      <c r="G522" s="5">
        <f>VLOOKUP(C522,[1]master_data!$A$2:$E$495,4,FALSE)</f>
        <v>50000</v>
      </c>
      <c r="H522" s="5">
        <f t="shared" si="30"/>
        <v>60000</v>
      </c>
      <c r="I522" s="5">
        <f t="shared" si="31"/>
        <v>100000</v>
      </c>
      <c r="J522" s="5">
        <f t="shared" si="32"/>
        <v>40000</v>
      </c>
      <c r="K522" s="5" t="str">
        <f>VLOOKUP(C522,[1]master_data!$A$2:$E$495,5,FALSE)</f>
        <v>Aksesoris</v>
      </c>
      <c r="L522" s="5" t="s">
        <v>471</v>
      </c>
    </row>
    <row r="523" spans="1:12" ht="12" customHeight="1" x14ac:dyDescent="0.25">
      <c r="A523" s="6">
        <v>44871</v>
      </c>
      <c r="B523" s="1">
        <v>2204040</v>
      </c>
      <c r="C523" s="5" t="s">
        <v>418</v>
      </c>
      <c r="D523" s="5" t="str">
        <f>VLOOKUP(C523,[1]master_data!$A$2:$E$495,2,FALSE)</f>
        <v>KOI B</v>
      </c>
      <c r="E523" s="5">
        <v>5</v>
      </c>
      <c r="F523" s="5">
        <f>VLOOKUP(C523,[1]master_data!$A$2:$E$495,3,FALSE)</f>
        <v>9000</v>
      </c>
      <c r="G523" s="5">
        <f>VLOOKUP(C523,[1]master_data!$A$2:$E$495,4,FALSE)</f>
        <v>30000</v>
      </c>
      <c r="H523" s="5">
        <f t="shared" si="30"/>
        <v>45000</v>
      </c>
      <c r="I523" s="5">
        <f t="shared" si="31"/>
        <v>150000</v>
      </c>
      <c r="J523" s="5">
        <f t="shared" si="32"/>
        <v>105000</v>
      </c>
      <c r="K523" s="5" t="str">
        <f>VLOOKUP(C523,[1]master_data!$A$2:$E$495,5,FALSE)</f>
        <v>Ikan</v>
      </c>
      <c r="L523" s="5" t="s">
        <v>471</v>
      </c>
    </row>
    <row r="524" spans="1:12" ht="12" customHeight="1" x14ac:dyDescent="0.25">
      <c r="A524" s="6">
        <v>44871</v>
      </c>
      <c r="B524" s="1">
        <v>2204039</v>
      </c>
      <c r="C524" s="5" t="s">
        <v>58</v>
      </c>
      <c r="D524" s="5" t="str">
        <f>VLOOKUP(C524,[1]master_data!$A$2:$E$495,2,FALSE)</f>
        <v>MINI FILTER</v>
      </c>
      <c r="E524" s="5">
        <v>10</v>
      </c>
      <c r="F524" s="5">
        <f>VLOOKUP(C524,[1]master_data!$A$2:$E$495,3,FALSE)</f>
        <v>13000</v>
      </c>
      <c r="G524" s="5">
        <f>VLOOKUP(C524,[1]master_data!$A$2:$E$495,4,FALSE)</f>
        <v>25000</v>
      </c>
      <c r="H524" s="5">
        <f t="shared" si="30"/>
        <v>130000</v>
      </c>
      <c r="I524" s="5">
        <f t="shared" si="31"/>
        <v>250000</v>
      </c>
      <c r="J524" s="5">
        <f t="shared" si="32"/>
        <v>120000</v>
      </c>
      <c r="K524" s="5" t="str">
        <f>VLOOKUP(C524,[1]master_data!$A$2:$E$495,5,FALSE)</f>
        <v>Aksesoris</v>
      </c>
      <c r="L524" s="5" t="s">
        <v>471</v>
      </c>
    </row>
    <row r="525" spans="1:12" ht="12" customHeight="1" x14ac:dyDescent="0.25">
      <c r="A525" s="6">
        <v>44870</v>
      </c>
      <c r="B525" s="1">
        <v>2204038</v>
      </c>
      <c r="C525" s="5" t="s">
        <v>436</v>
      </c>
      <c r="D525" s="5" t="str">
        <f>VLOOKUP(C525,[1]master_data!$A$2:$E$495,2,FALSE)</f>
        <v>NIASA</v>
      </c>
      <c r="E525" s="5">
        <v>20</v>
      </c>
      <c r="F525" s="5">
        <f>VLOOKUP(C525,[1]master_data!$A$2:$E$495,3,FALSE)</f>
        <v>900</v>
      </c>
      <c r="G525" s="5">
        <f>VLOOKUP(C525,[1]master_data!$A$2:$E$495,4,FALSE)</f>
        <v>2000</v>
      </c>
      <c r="H525" s="5">
        <f t="shared" si="30"/>
        <v>18000</v>
      </c>
      <c r="I525" s="5">
        <f t="shared" si="31"/>
        <v>40000</v>
      </c>
      <c r="J525" s="5">
        <f t="shared" si="32"/>
        <v>22000</v>
      </c>
      <c r="K525" s="5" t="str">
        <f>VLOOKUP(C525,[1]master_data!$A$2:$E$495,5,FALSE)</f>
        <v>Ikan</v>
      </c>
      <c r="L525" s="5" t="s">
        <v>471</v>
      </c>
    </row>
    <row r="526" spans="1:12" ht="12" customHeight="1" x14ac:dyDescent="0.25">
      <c r="A526" s="6">
        <v>44870</v>
      </c>
      <c r="B526" s="1">
        <v>2204037</v>
      </c>
      <c r="C526" s="5" t="s">
        <v>459</v>
      </c>
      <c r="D526" s="5" t="str">
        <f>VLOOKUP(C526,[1]master_data!$A$2:$E$495,2,FALSE)</f>
        <v>ZEBRA UNGU</v>
      </c>
      <c r="E526" s="5">
        <v>1</v>
      </c>
      <c r="F526" s="5">
        <f>VLOOKUP(C526,[1]master_data!$A$2:$E$495,3,FALSE)</f>
        <v>800</v>
      </c>
      <c r="G526" s="5">
        <f>VLOOKUP(C526,[1]master_data!$A$2:$E$495,4,FALSE)</f>
        <v>2000</v>
      </c>
      <c r="H526" s="5">
        <f t="shared" si="30"/>
        <v>800</v>
      </c>
      <c r="I526" s="5">
        <f t="shared" si="31"/>
        <v>2000</v>
      </c>
      <c r="J526" s="5">
        <f t="shared" si="32"/>
        <v>1200</v>
      </c>
      <c r="K526" s="5" t="str">
        <f>VLOOKUP(C526,[1]master_data!$A$2:$E$495,5,FALSE)</f>
        <v>Ikan</v>
      </c>
      <c r="L526" s="5" t="s">
        <v>471</v>
      </c>
    </row>
    <row r="527" spans="1:12" ht="12" customHeight="1" x14ac:dyDescent="0.25">
      <c r="A527" s="6">
        <v>44870</v>
      </c>
      <c r="B527" s="1">
        <v>2204036</v>
      </c>
      <c r="C527" s="5" t="s">
        <v>414</v>
      </c>
      <c r="D527" s="5" t="str">
        <f>VLOOKUP(C527,[1]master_data!$A$2:$E$495,2,FALSE)</f>
        <v>KOKI T</v>
      </c>
      <c r="E527" s="5">
        <v>2</v>
      </c>
      <c r="F527" s="5">
        <f>VLOOKUP(C527,[1]master_data!$A$2:$E$495,3,FALSE)</f>
        <v>8000</v>
      </c>
      <c r="G527" s="5">
        <f>VLOOKUP(C527,[1]master_data!$A$2:$E$495,4,FALSE)</f>
        <v>15000</v>
      </c>
      <c r="H527" s="5">
        <f t="shared" si="30"/>
        <v>16000</v>
      </c>
      <c r="I527" s="5">
        <f t="shared" si="31"/>
        <v>30000</v>
      </c>
      <c r="J527" s="5">
        <f t="shared" si="32"/>
        <v>14000</v>
      </c>
      <c r="K527" s="5" t="str">
        <f>VLOOKUP(C527,[1]master_data!$A$2:$E$495,5,FALSE)</f>
        <v>Ikan</v>
      </c>
      <c r="L527" s="5" t="s">
        <v>471</v>
      </c>
    </row>
    <row r="528" spans="1:12" ht="12" customHeight="1" x14ac:dyDescent="0.25">
      <c r="A528" s="6">
        <v>44870</v>
      </c>
      <c r="B528" s="1">
        <v>2204035</v>
      </c>
      <c r="C528" s="5" t="s">
        <v>286</v>
      </c>
      <c r="D528" s="5" t="str">
        <f>VLOOKUP(C528,[1]master_data!$A$2:$E$495,2,FALSE)</f>
        <v>KAPAS 1X1</v>
      </c>
      <c r="E528" s="5">
        <v>2</v>
      </c>
      <c r="F528" s="5">
        <f>VLOOKUP(C528,[1]master_data!$A$2:$E$495,3,FALSE)</f>
        <v>15000</v>
      </c>
      <c r="G528" s="5">
        <f>VLOOKUP(C528,[1]master_data!$A$2:$E$495,4,FALSE)</f>
        <v>27000</v>
      </c>
      <c r="H528" s="5">
        <f t="shared" si="30"/>
        <v>30000</v>
      </c>
      <c r="I528" s="5">
        <f t="shared" si="31"/>
        <v>54000</v>
      </c>
      <c r="J528" s="5">
        <f t="shared" si="32"/>
        <v>24000</v>
      </c>
      <c r="K528" s="5" t="str">
        <f>VLOOKUP(C528,[1]master_data!$A$2:$E$495,5,FALSE)</f>
        <v>Aksesoris</v>
      </c>
      <c r="L528" s="5" t="s">
        <v>471</v>
      </c>
    </row>
    <row r="529" spans="1:12" ht="12" customHeight="1" x14ac:dyDescent="0.25">
      <c r="A529" s="6">
        <v>44870</v>
      </c>
      <c r="B529" s="1">
        <v>2204034</v>
      </c>
      <c r="C529" s="5" t="s">
        <v>412</v>
      </c>
      <c r="D529" s="5" t="str">
        <f>VLOOKUP(C529,[1]master_data!$A$2:$E$495,2,FALSE)</f>
        <v>HIU TAWAR</v>
      </c>
      <c r="E529" s="5">
        <v>20</v>
      </c>
      <c r="F529" s="5">
        <f>VLOOKUP(C529,[1]master_data!$A$2:$E$495,3,FALSE)</f>
        <v>600</v>
      </c>
      <c r="G529" s="5">
        <f>VLOOKUP(C529,[1]master_data!$A$2:$E$495,4,FALSE)</f>
        <v>2000</v>
      </c>
      <c r="H529" s="5">
        <f t="shared" si="30"/>
        <v>12000</v>
      </c>
      <c r="I529" s="5">
        <f t="shared" si="31"/>
        <v>40000</v>
      </c>
      <c r="J529" s="5">
        <f t="shared" si="32"/>
        <v>28000</v>
      </c>
      <c r="K529" s="5" t="str">
        <f>VLOOKUP(C529,[1]master_data!$A$2:$E$495,5,FALSE)</f>
        <v>Ikan</v>
      </c>
      <c r="L529" s="5" t="s">
        <v>471</v>
      </c>
    </row>
    <row r="530" spans="1:12" ht="12" customHeight="1" x14ac:dyDescent="0.25">
      <c r="A530" s="6">
        <v>44870</v>
      </c>
      <c r="B530" s="1">
        <v>2204033</v>
      </c>
      <c r="C530" s="5" t="s">
        <v>456</v>
      </c>
      <c r="D530" s="5" t="str">
        <f>VLOOKUP(C530,[1]master_data!$A$2:$E$495,2,FALSE)</f>
        <v>TOMAN</v>
      </c>
      <c r="E530" s="5">
        <v>5</v>
      </c>
      <c r="F530" s="5">
        <f>VLOOKUP(C530,[1]master_data!$A$2:$E$495,3,FALSE)</f>
        <v>10000</v>
      </c>
      <c r="G530" s="5">
        <f>VLOOKUP(C530,[1]master_data!$A$2:$E$495,4,FALSE)</f>
        <v>25000</v>
      </c>
      <c r="H530" s="5">
        <f t="shared" si="30"/>
        <v>50000</v>
      </c>
      <c r="I530" s="5">
        <f t="shared" si="31"/>
        <v>125000</v>
      </c>
      <c r="J530" s="5">
        <f t="shared" si="32"/>
        <v>75000</v>
      </c>
      <c r="K530" s="5" t="str">
        <f>VLOOKUP(C530,[1]master_data!$A$2:$E$495,5,FALSE)</f>
        <v>Ikan</v>
      </c>
      <c r="L530" s="5" t="s">
        <v>471</v>
      </c>
    </row>
    <row r="531" spans="1:12" ht="12" customHeight="1" x14ac:dyDescent="0.25">
      <c r="A531" s="6">
        <v>44870</v>
      </c>
      <c r="B531" s="1">
        <v>2204032</v>
      </c>
      <c r="C531" s="5" t="s">
        <v>431</v>
      </c>
      <c r="D531" s="5" t="str">
        <f>VLOOKUP(C531,[1]master_data!$A$2:$E$495,2,FALSE)</f>
        <v>MANFISH B</v>
      </c>
      <c r="E531" s="5">
        <v>15</v>
      </c>
      <c r="F531" s="5">
        <f>VLOOKUP(C531,[1]master_data!$A$2:$E$495,3,FALSE)</f>
        <v>4000</v>
      </c>
      <c r="G531" s="5">
        <f>VLOOKUP(C531,[1]master_data!$A$2:$E$495,4,FALSE)</f>
        <v>10000</v>
      </c>
      <c r="H531" s="5">
        <f t="shared" si="30"/>
        <v>60000</v>
      </c>
      <c r="I531" s="5">
        <f t="shared" si="31"/>
        <v>150000</v>
      </c>
      <c r="J531" s="5">
        <f t="shared" si="32"/>
        <v>90000</v>
      </c>
      <c r="K531" s="5" t="str">
        <f>VLOOKUP(C531,[1]master_data!$A$2:$E$495,5,FALSE)</f>
        <v>Ikan</v>
      </c>
      <c r="L531" s="5" t="s">
        <v>471</v>
      </c>
    </row>
    <row r="532" spans="1:12" ht="12" customHeight="1" x14ac:dyDescent="0.25">
      <c r="A532" s="6">
        <v>44870</v>
      </c>
      <c r="B532" s="1">
        <v>2204031</v>
      </c>
      <c r="C532" s="5" t="s">
        <v>376</v>
      </c>
      <c r="D532" s="5" t="str">
        <f>VLOOKUP(C532,[1]master_data!$A$2:$E$495,2,FALSE)</f>
        <v>PASIR MEARAH B</v>
      </c>
      <c r="E532" s="5">
        <v>10</v>
      </c>
      <c r="F532" s="5">
        <f>VLOOKUP(C532,[1]master_data!$A$2:$E$495,3,FALSE)</f>
        <v>8000</v>
      </c>
      <c r="G532" s="5">
        <f>VLOOKUP(C532,[1]master_data!$A$2:$E$495,4,FALSE)</f>
        <v>25000</v>
      </c>
      <c r="H532" s="5">
        <f t="shared" si="30"/>
        <v>80000</v>
      </c>
      <c r="I532" s="5">
        <f t="shared" si="31"/>
        <v>250000</v>
      </c>
      <c r="J532" s="5">
        <f t="shared" si="32"/>
        <v>170000</v>
      </c>
      <c r="K532" s="5" t="str">
        <f>VLOOKUP(C532,[1]master_data!$A$2:$E$495,5,FALSE)</f>
        <v>Aksesoris</v>
      </c>
      <c r="L532" s="5" t="s">
        <v>471</v>
      </c>
    </row>
    <row r="533" spans="1:12" ht="12" customHeight="1" x14ac:dyDescent="0.25">
      <c r="A533" s="6">
        <v>44870</v>
      </c>
      <c r="B533" s="1">
        <v>2204030</v>
      </c>
      <c r="C533" s="5" t="s">
        <v>178</v>
      </c>
      <c r="D533" s="5" t="str">
        <f>VLOOKUP(C533,[1]master_data!$A$2:$E$495,2,FALSE)</f>
        <v>LED KANDILA PRO RED 180 CM</v>
      </c>
      <c r="E533" s="5">
        <v>2</v>
      </c>
      <c r="F533" s="5">
        <f>VLOOKUP(C533,[1]master_data!$A$2:$E$495,3,FALSE)</f>
        <v>317000</v>
      </c>
      <c r="G533" s="5">
        <f>VLOOKUP(C533,[1]master_data!$A$2:$E$495,4,FALSE)</f>
        <v>425000</v>
      </c>
      <c r="H533" s="5">
        <f t="shared" si="30"/>
        <v>634000</v>
      </c>
      <c r="I533" s="5">
        <f t="shared" si="31"/>
        <v>850000</v>
      </c>
      <c r="J533" s="5">
        <f t="shared" si="32"/>
        <v>216000</v>
      </c>
      <c r="K533" s="5" t="str">
        <f>VLOOKUP(C533,[1]master_data!$A$2:$E$495,5,FALSE)</f>
        <v>Aksesoris</v>
      </c>
      <c r="L533" s="5" t="s">
        <v>471</v>
      </c>
    </row>
    <row r="534" spans="1:12" ht="12" customHeight="1" x14ac:dyDescent="0.25">
      <c r="A534" s="6">
        <v>44869</v>
      </c>
      <c r="B534" s="1">
        <v>2204029</v>
      </c>
      <c r="C534" s="5" t="s">
        <v>408</v>
      </c>
      <c r="D534" s="5" t="str">
        <f>VLOOKUP(C534,[1]master_data!$A$2:$E$495,2,FALSE)</f>
        <v>CATFISH</v>
      </c>
      <c r="E534" s="5">
        <v>5</v>
      </c>
      <c r="F534" s="5">
        <f>VLOOKUP(C534,[1]master_data!$A$2:$E$495,3,FALSE)</f>
        <v>20000</v>
      </c>
      <c r="G534" s="5">
        <f>VLOOKUP(C534,[1]master_data!$A$2:$E$495,4,FALSE)</f>
        <v>50000</v>
      </c>
      <c r="H534" s="5">
        <f t="shared" si="30"/>
        <v>100000</v>
      </c>
      <c r="I534" s="5">
        <f t="shared" si="31"/>
        <v>250000</v>
      </c>
      <c r="J534" s="5">
        <f t="shared" si="32"/>
        <v>150000</v>
      </c>
      <c r="K534" s="5" t="str">
        <f>VLOOKUP(C534,[1]master_data!$A$2:$E$495,5,FALSE)</f>
        <v>Ikan</v>
      </c>
      <c r="L534" s="5" t="s">
        <v>471</v>
      </c>
    </row>
    <row r="535" spans="1:12" ht="12" customHeight="1" x14ac:dyDescent="0.25">
      <c r="A535" s="6">
        <v>44869</v>
      </c>
      <c r="B535" s="1">
        <v>2204028</v>
      </c>
      <c r="C535" s="5" t="s">
        <v>390</v>
      </c>
      <c r="D535" s="5" t="str">
        <f>VLOOKUP(C535,[1]master_data!$A$2:$E$495,2,FALSE)</f>
        <v>CHANNA ASIATICA K</v>
      </c>
      <c r="E535" s="5">
        <v>5</v>
      </c>
      <c r="F535" s="5">
        <f>VLOOKUP(C535,[1]master_data!$A$2:$E$495,3,FALSE)</f>
        <v>10000</v>
      </c>
      <c r="G535" s="5">
        <f>VLOOKUP(C535,[1]master_data!$A$2:$E$495,4,FALSE)</f>
        <v>40000</v>
      </c>
      <c r="H535" s="5">
        <f t="shared" si="30"/>
        <v>50000</v>
      </c>
      <c r="I535" s="5">
        <f t="shared" si="31"/>
        <v>200000</v>
      </c>
      <c r="J535" s="5">
        <f t="shared" si="32"/>
        <v>150000</v>
      </c>
      <c r="K535" s="5" t="str">
        <f>VLOOKUP(C535,[1]master_data!$A$2:$E$495,5,FALSE)</f>
        <v>Ikan</v>
      </c>
      <c r="L535" s="5" t="s">
        <v>471</v>
      </c>
    </row>
    <row r="536" spans="1:12" ht="12" customHeight="1" x14ac:dyDescent="0.25">
      <c r="A536" s="6">
        <v>44869</v>
      </c>
      <c r="B536" s="1">
        <v>2204027</v>
      </c>
      <c r="C536" s="5" t="s">
        <v>421</v>
      </c>
      <c r="D536" s="5" t="str">
        <f>VLOOKUP(C536,[1]master_data!$A$2:$E$495,2,FALSE)</f>
        <v>KOMET PAKAN</v>
      </c>
      <c r="E536" s="5">
        <v>30</v>
      </c>
      <c r="F536" s="5">
        <f>VLOOKUP(C536,[1]master_data!$A$2:$E$495,3,FALSE)</f>
        <v>300</v>
      </c>
      <c r="G536" s="5">
        <f>VLOOKUP(C536,[1]master_data!$A$2:$E$495,4,FALSE)</f>
        <v>1000</v>
      </c>
      <c r="H536" s="5">
        <f t="shared" si="30"/>
        <v>9000</v>
      </c>
      <c r="I536" s="5">
        <f t="shared" si="31"/>
        <v>30000</v>
      </c>
      <c r="J536" s="5">
        <f t="shared" si="32"/>
        <v>21000</v>
      </c>
      <c r="K536" s="5" t="str">
        <f>VLOOKUP(C536,[1]master_data!$A$2:$E$495,5,FALSE)</f>
        <v>Ikan</v>
      </c>
      <c r="L536" s="5" t="s">
        <v>471</v>
      </c>
    </row>
    <row r="537" spans="1:12" ht="12" customHeight="1" x14ac:dyDescent="0.25">
      <c r="A537" s="6">
        <v>44869</v>
      </c>
      <c r="B537" s="1">
        <v>2204026</v>
      </c>
      <c r="C537" s="5" t="s">
        <v>192</v>
      </c>
      <c r="D537" s="5" t="str">
        <f>VLOOKUP(C537,[1]master_data!$A$2:$E$495,2,FALSE)</f>
        <v>LED KANDILA DnN ECO 80 CM</v>
      </c>
      <c r="E537" s="5">
        <v>1</v>
      </c>
      <c r="F537" s="5">
        <f>VLOOKUP(C537,[1]master_data!$A$2:$E$495,3,FALSE)</f>
        <v>78000</v>
      </c>
      <c r="G537" s="5">
        <f>VLOOKUP(C537,[1]master_data!$A$2:$E$495,4,FALSE)</f>
        <v>110000</v>
      </c>
      <c r="H537" s="5">
        <f t="shared" si="30"/>
        <v>78000</v>
      </c>
      <c r="I537" s="5">
        <f t="shared" si="31"/>
        <v>110000</v>
      </c>
      <c r="J537" s="5">
        <f t="shared" si="32"/>
        <v>32000</v>
      </c>
      <c r="K537" s="5" t="str">
        <f>VLOOKUP(C537,[1]master_data!$A$2:$E$495,5,FALSE)</f>
        <v>Aksesoris</v>
      </c>
      <c r="L537" s="5" t="s">
        <v>471</v>
      </c>
    </row>
    <row r="538" spans="1:12" ht="12" customHeight="1" x14ac:dyDescent="0.25">
      <c r="A538" s="6">
        <v>44869</v>
      </c>
      <c r="B538" s="1">
        <v>2204025</v>
      </c>
      <c r="C538" s="5" t="s">
        <v>433</v>
      </c>
      <c r="D538" s="5" t="str">
        <f>VLOOKUP(C538,[1]master_data!$A$2:$E$495,2,FALSE)</f>
        <v>MARU B</v>
      </c>
      <c r="E538" s="5">
        <v>2</v>
      </c>
      <c r="F538" s="5">
        <f>VLOOKUP(C538,[1]master_data!$A$2:$E$495,3,FALSE)</f>
        <v>90000</v>
      </c>
      <c r="G538" s="5">
        <f>VLOOKUP(C538,[1]master_data!$A$2:$E$495,4,FALSE)</f>
        <v>150000</v>
      </c>
      <c r="H538" s="5">
        <f t="shared" si="30"/>
        <v>180000</v>
      </c>
      <c r="I538" s="5">
        <f t="shared" si="31"/>
        <v>300000</v>
      </c>
      <c r="J538" s="5">
        <f t="shared" si="32"/>
        <v>120000</v>
      </c>
      <c r="K538" s="5" t="str">
        <f>VLOOKUP(C538,[1]master_data!$A$2:$E$495,5,FALSE)</f>
        <v>Ikan</v>
      </c>
      <c r="L538" s="5" t="s">
        <v>471</v>
      </c>
    </row>
    <row r="539" spans="1:12" ht="12" customHeight="1" x14ac:dyDescent="0.25">
      <c r="A539" s="6">
        <v>44869</v>
      </c>
      <c r="B539" s="1">
        <v>2204024</v>
      </c>
      <c r="C539" s="5" t="s">
        <v>390</v>
      </c>
      <c r="D539" s="5" t="str">
        <f>VLOOKUP(C539,[1]master_data!$A$2:$E$495,2,FALSE)</f>
        <v>CHANNA ASIATICA K</v>
      </c>
      <c r="E539" s="5">
        <v>1</v>
      </c>
      <c r="F539" s="5">
        <f>VLOOKUP(C539,[1]master_data!$A$2:$E$495,3,FALSE)</f>
        <v>10000</v>
      </c>
      <c r="G539" s="5">
        <f>VLOOKUP(C539,[1]master_data!$A$2:$E$495,4,FALSE)</f>
        <v>40000</v>
      </c>
      <c r="H539" s="5">
        <f t="shared" si="30"/>
        <v>10000</v>
      </c>
      <c r="I539" s="5">
        <f t="shared" si="31"/>
        <v>40000</v>
      </c>
      <c r="J539" s="5">
        <f t="shared" si="32"/>
        <v>30000</v>
      </c>
      <c r="K539" s="5" t="str">
        <f>VLOOKUP(C539,[1]master_data!$A$2:$E$495,5,FALSE)</f>
        <v>Ikan</v>
      </c>
      <c r="L539" s="5" t="s">
        <v>471</v>
      </c>
    </row>
    <row r="540" spans="1:12" ht="12" customHeight="1" x14ac:dyDescent="0.25">
      <c r="A540" s="6">
        <v>44869</v>
      </c>
      <c r="B540" s="1">
        <v>2204023</v>
      </c>
      <c r="C540" s="5" t="s">
        <v>296</v>
      </c>
      <c r="D540" s="5" t="str">
        <f>VLOOKUP(C540,[1]master_data!$A$2:$E$495,2,FALSE)</f>
        <v>MAGNET S</v>
      </c>
      <c r="E540" s="5">
        <v>5</v>
      </c>
      <c r="F540" s="5">
        <f>VLOOKUP(C540,[1]master_data!$A$2:$E$495,3,FALSE)</f>
        <v>20000</v>
      </c>
      <c r="G540" s="5">
        <f>VLOOKUP(C540,[1]master_data!$A$2:$E$495,4,FALSE)</f>
        <v>30000</v>
      </c>
      <c r="H540" s="5">
        <f t="shared" si="30"/>
        <v>100000</v>
      </c>
      <c r="I540" s="5">
        <f t="shared" si="31"/>
        <v>150000</v>
      </c>
      <c r="J540" s="5">
        <f t="shared" si="32"/>
        <v>50000</v>
      </c>
      <c r="K540" s="5" t="str">
        <f>VLOOKUP(C540,[1]master_data!$A$2:$E$495,5,FALSE)</f>
        <v>Aksesoris</v>
      </c>
      <c r="L540" s="5" t="s">
        <v>471</v>
      </c>
    </row>
    <row r="541" spans="1:12" ht="12" customHeight="1" x14ac:dyDescent="0.25">
      <c r="A541" s="6">
        <v>44869</v>
      </c>
      <c r="B541" s="1">
        <v>2204022</v>
      </c>
      <c r="C541" s="5" t="s">
        <v>173</v>
      </c>
      <c r="D541" s="5" t="str">
        <f>VLOOKUP(C541,[1]master_data!$A$2:$E$495,2,FALSE)</f>
        <v>LED KANDILA DnN 40 CM</v>
      </c>
      <c r="E541" s="5">
        <v>1</v>
      </c>
      <c r="F541" s="5">
        <f>VLOOKUP(C541,[1]master_data!$A$2:$E$495,3,FALSE)</f>
        <v>30000</v>
      </c>
      <c r="G541" s="5">
        <f>VLOOKUP(C541,[1]master_data!$A$2:$E$495,4,FALSE)</f>
        <v>50000</v>
      </c>
      <c r="H541" s="5">
        <f t="shared" si="30"/>
        <v>30000</v>
      </c>
      <c r="I541" s="5">
        <f t="shared" si="31"/>
        <v>50000</v>
      </c>
      <c r="J541" s="5">
        <f t="shared" si="32"/>
        <v>20000</v>
      </c>
      <c r="K541" s="5" t="str">
        <f>VLOOKUP(C541,[1]master_data!$A$2:$E$495,5,FALSE)</f>
        <v>Aksesoris</v>
      </c>
      <c r="L541" s="5" t="s">
        <v>471</v>
      </c>
    </row>
    <row r="542" spans="1:12" ht="12" customHeight="1" x14ac:dyDescent="0.25">
      <c r="A542" s="6">
        <v>44869</v>
      </c>
      <c r="B542" s="1">
        <v>2204021</v>
      </c>
      <c r="C542" s="5" t="s">
        <v>118</v>
      </c>
      <c r="D542" s="5" t="str">
        <f>VLOOKUP(C542,[1]master_data!$A$2:$E$495,2,FALSE)</f>
        <v>LED ROSTON 40 CM</v>
      </c>
      <c r="E542" s="5">
        <v>2</v>
      </c>
      <c r="F542" s="5">
        <f>VLOOKUP(C542,[1]master_data!$A$2:$E$495,3,FALSE)</f>
        <v>23000</v>
      </c>
      <c r="G542" s="5">
        <f>VLOOKUP(C542,[1]master_data!$A$2:$E$495,4,FALSE)</f>
        <v>40000</v>
      </c>
      <c r="H542" s="5">
        <f t="shared" si="30"/>
        <v>46000</v>
      </c>
      <c r="I542" s="5">
        <f t="shared" si="31"/>
        <v>80000</v>
      </c>
      <c r="J542" s="5">
        <f t="shared" si="32"/>
        <v>34000</v>
      </c>
      <c r="K542" s="5" t="str">
        <f>VLOOKUP(C542,[1]master_data!$A$2:$E$495,5,FALSE)</f>
        <v>Aksesoris</v>
      </c>
      <c r="L542" s="5" t="s">
        <v>471</v>
      </c>
    </row>
    <row r="543" spans="1:12" ht="12" customHeight="1" x14ac:dyDescent="0.25">
      <c r="A543" s="6">
        <v>44869</v>
      </c>
      <c r="B543" s="1">
        <v>2204020</v>
      </c>
      <c r="C543" s="5" t="s">
        <v>399</v>
      </c>
      <c r="D543" s="5" t="str">
        <f>VLOOKUP(C543,[1]master_data!$A$2:$E$495,2,FALSE)</f>
        <v>BUENOS AIRES TETRA</v>
      </c>
      <c r="E543" s="5">
        <v>30</v>
      </c>
      <c r="F543" s="5">
        <f>VLOOKUP(C543,[1]master_data!$A$2:$E$495,3,FALSE)</f>
        <v>800</v>
      </c>
      <c r="G543" s="5">
        <f>VLOOKUP(C543,[1]master_data!$A$2:$E$495,4,FALSE)</f>
        <v>2000</v>
      </c>
      <c r="H543" s="5">
        <f t="shared" si="30"/>
        <v>24000</v>
      </c>
      <c r="I543" s="5">
        <f t="shared" si="31"/>
        <v>60000</v>
      </c>
      <c r="J543" s="5">
        <f t="shared" si="32"/>
        <v>36000</v>
      </c>
      <c r="K543" s="5" t="str">
        <f>VLOOKUP(C543,[1]master_data!$A$2:$E$495,5,FALSE)</f>
        <v>Ikan</v>
      </c>
      <c r="L543" s="5" t="s">
        <v>471</v>
      </c>
    </row>
    <row r="544" spans="1:12" ht="12" customHeight="1" x14ac:dyDescent="0.25">
      <c r="A544" s="6">
        <v>44868</v>
      </c>
      <c r="B544" s="1">
        <v>2204019</v>
      </c>
      <c r="C544" s="5" t="s">
        <v>421</v>
      </c>
      <c r="D544" s="5" t="str">
        <f>VLOOKUP(C544,[1]master_data!$A$2:$E$495,2,FALSE)</f>
        <v>KOMET PAKAN</v>
      </c>
      <c r="E544" s="5">
        <v>10</v>
      </c>
      <c r="F544" s="5">
        <f>VLOOKUP(C544,[1]master_data!$A$2:$E$495,3,FALSE)</f>
        <v>300</v>
      </c>
      <c r="G544" s="5">
        <f>VLOOKUP(C544,[1]master_data!$A$2:$E$495,4,FALSE)</f>
        <v>1000</v>
      </c>
      <c r="H544" s="5">
        <f t="shared" si="30"/>
        <v>3000</v>
      </c>
      <c r="I544" s="5">
        <f t="shared" si="31"/>
        <v>10000</v>
      </c>
      <c r="J544" s="5">
        <f t="shared" si="32"/>
        <v>7000</v>
      </c>
      <c r="K544" s="5" t="str">
        <f>VLOOKUP(C544,[1]master_data!$A$2:$E$495,5,FALSE)</f>
        <v>Ikan</v>
      </c>
      <c r="L544" s="5" t="s">
        <v>471</v>
      </c>
    </row>
    <row r="545" spans="1:12" ht="12" customHeight="1" x14ac:dyDescent="0.25">
      <c r="A545" s="6">
        <v>44868</v>
      </c>
      <c r="B545" s="1">
        <v>2204018</v>
      </c>
      <c r="C545" s="5" t="s">
        <v>451</v>
      </c>
      <c r="D545" s="5" t="str">
        <f>VLOOKUP(C545,[1]master_data!$A$2:$E$495,2,FALSE)</f>
        <v>SUMATRA GOLD FISH</v>
      </c>
      <c r="E545" s="5">
        <v>30</v>
      </c>
      <c r="F545" s="5">
        <f>VLOOKUP(C545,[1]master_data!$A$2:$E$495,3,FALSE)</f>
        <v>2500</v>
      </c>
      <c r="G545" s="5">
        <f>VLOOKUP(C545,[1]master_data!$A$2:$E$495,4,FALSE)</f>
        <v>4000</v>
      </c>
      <c r="H545" s="5">
        <f t="shared" si="30"/>
        <v>75000</v>
      </c>
      <c r="I545" s="5">
        <f t="shared" si="31"/>
        <v>120000</v>
      </c>
      <c r="J545" s="5">
        <f t="shared" si="32"/>
        <v>45000</v>
      </c>
      <c r="K545" s="5" t="str">
        <f>VLOOKUP(C545,[1]master_data!$A$2:$E$495,5,FALSE)</f>
        <v>Ikan</v>
      </c>
      <c r="L545" s="5" t="s">
        <v>471</v>
      </c>
    </row>
    <row r="546" spans="1:12" ht="12" customHeight="1" x14ac:dyDescent="0.25">
      <c r="A546" s="6">
        <v>44868</v>
      </c>
      <c r="B546" s="1">
        <v>2204017</v>
      </c>
      <c r="C546" s="5" t="s">
        <v>432</v>
      </c>
      <c r="D546" s="5" t="str">
        <f>VLOOKUP(C546,[1]master_data!$A$2:$E$495,2,FALSE)</f>
        <v>MARU K</v>
      </c>
      <c r="E546" s="5">
        <v>2</v>
      </c>
      <c r="F546" s="5">
        <f>VLOOKUP(C546,[1]master_data!$A$2:$E$495,3,FALSE)</f>
        <v>23000</v>
      </c>
      <c r="G546" s="5">
        <f>VLOOKUP(C546,[1]master_data!$A$2:$E$495,4,FALSE)</f>
        <v>50000</v>
      </c>
      <c r="H546" s="5">
        <f t="shared" si="30"/>
        <v>46000</v>
      </c>
      <c r="I546" s="5">
        <f t="shared" si="31"/>
        <v>100000</v>
      </c>
      <c r="J546" s="5">
        <f t="shared" si="32"/>
        <v>54000</v>
      </c>
      <c r="K546" s="5" t="str">
        <f>VLOOKUP(C546,[1]master_data!$A$2:$E$495,5,FALSE)</f>
        <v>Ikan</v>
      </c>
      <c r="L546" s="5" t="s">
        <v>471</v>
      </c>
    </row>
    <row r="547" spans="1:12" ht="12" customHeight="1" x14ac:dyDescent="0.25">
      <c r="A547" s="6">
        <v>44868</v>
      </c>
      <c r="B547" s="1">
        <v>2204016</v>
      </c>
      <c r="C547" s="5" t="s">
        <v>280</v>
      </c>
      <c r="D547" s="5" t="str">
        <f>VLOOKUP(C547,[1]master_data!$A$2:$E$495,2,FALSE)</f>
        <v>KRAN 2 W</v>
      </c>
      <c r="E547" s="5">
        <v>17</v>
      </c>
      <c r="F547" s="5">
        <f>VLOOKUP(C547,[1]master_data!$A$2:$E$495,3,FALSE)</f>
        <v>4000</v>
      </c>
      <c r="G547" s="5">
        <f>VLOOKUP(C547,[1]master_data!$A$2:$E$495,4,FALSE)</f>
        <v>6000</v>
      </c>
      <c r="H547" s="5">
        <f t="shared" si="30"/>
        <v>68000</v>
      </c>
      <c r="I547" s="5">
        <f t="shared" si="31"/>
        <v>102000</v>
      </c>
      <c r="J547" s="5">
        <f t="shared" si="32"/>
        <v>34000</v>
      </c>
      <c r="K547" s="5" t="str">
        <f>VLOOKUP(C547,[1]master_data!$A$2:$E$495,5,FALSE)</f>
        <v>Aksesoris</v>
      </c>
      <c r="L547" s="5" t="s">
        <v>471</v>
      </c>
    </row>
    <row r="548" spans="1:12" ht="12" customHeight="1" x14ac:dyDescent="0.25">
      <c r="A548" s="6">
        <v>44868</v>
      </c>
      <c r="B548" s="1">
        <v>2204015</v>
      </c>
      <c r="C548" s="5" t="s">
        <v>305</v>
      </c>
      <c r="D548" s="5" t="str">
        <f>VLOOKUP(C548,[1]master_data!$A$2:$E$495,2,FALSE)</f>
        <v>POMATE</v>
      </c>
      <c r="E548" s="5">
        <v>2</v>
      </c>
      <c r="F548" s="5">
        <f>VLOOKUP(C548,[1]master_data!$A$2:$E$495,3,FALSE)</f>
        <v>25000</v>
      </c>
      <c r="G548" s="5">
        <f>VLOOKUP(C548,[1]master_data!$A$2:$E$495,4,FALSE)</f>
        <v>40000</v>
      </c>
      <c r="H548" s="5">
        <f t="shared" si="30"/>
        <v>50000</v>
      </c>
      <c r="I548" s="5">
        <f t="shared" si="31"/>
        <v>80000</v>
      </c>
      <c r="J548" s="5">
        <f t="shared" si="32"/>
        <v>30000</v>
      </c>
      <c r="K548" s="5" t="str">
        <f>VLOOKUP(C548,[1]master_data!$A$2:$E$495,5,FALSE)</f>
        <v>Aksesoris</v>
      </c>
      <c r="L548" s="5" t="s">
        <v>471</v>
      </c>
    </row>
    <row r="549" spans="1:12" ht="12" customHeight="1" x14ac:dyDescent="0.25">
      <c r="A549" s="6">
        <v>44868</v>
      </c>
      <c r="B549" s="1">
        <v>2204014</v>
      </c>
      <c r="C549" s="5" t="s">
        <v>462</v>
      </c>
      <c r="D549" s="5" t="str">
        <f>VLOOKUP(C549,[1]master_data!$A$2:$E$495,2,FALSE)</f>
        <v>SEPAT ALBINO</v>
      </c>
      <c r="E549" s="5">
        <v>25</v>
      </c>
      <c r="F549" s="5">
        <f>VLOOKUP(C549,[1]master_data!$A$2:$E$495,3,FALSE)</f>
        <v>2000</v>
      </c>
      <c r="G549" s="5">
        <f>VLOOKUP(C549,[1]master_data!$A$2:$E$495,4,FALSE)</f>
        <v>5000</v>
      </c>
      <c r="H549" s="5">
        <f t="shared" si="30"/>
        <v>50000</v>
      </c>
      <c r="I549" s="5">
        <f t="shared" si="31"/>
        <v>125000</v>
      </c>
      <c r="J549" s="5">
        <f t="shared" si="32"/>
        <v>75000</v>
      </c>
      <c r="K549" s="5" t="str">
        <f>VLOOKUP(C549,[1]master_data!$A$2:$E$495,5,FALSE)</f>
        <v>Ikan</v>
      </c>
      <c r="L549" s="5" t="s">
        <v>471</v>
      </c>
    </row>
    <row r="550" spans="1:12" ht="12" customHeight="1" x14ac:dyDescent="0.25">
      <c r="A550" s="6">
        <v>44868</v>
      </c>
      <c r="B550" s="1">
        <v>2204013</v>
      </c>
      <c r="C550" s="5" t="s">
        <v>371</v>
      </c>
      <c r="D550" s="5" t="str">
        <f>VLOOKUP(C550,[1]master_data!$A$2:$E$495,2,FALSE)</f>
        <v>SOLITER C1</v>
      </c>
      <c r="E550" s="5">
        <v>1</v>
      </c>
      <c r="F550" s="5">
        <f>VLOOKUP(C550,[1]master_data!$A$2:$E$495,3,FALSE)</f>
        <v>55000</v>
      </c>
      <c r="G550" s="5">
        <f>VLOOKUP(C550,[1]master_data!$A$2:$E$495,4,FALSE)</f>
        <v>75000</v>
      </c>
      <c r="H550" s="5">
        <f t="shared" si="30"/>
        <v>55000</v>
      </c>
      <c r="I550" s="5">
        <f t="shared" si="31"/>
        <v>75000</v>
      </c>
      <c r="J550" s="5">
        <f t="shared" si="32"/>
        <v>20000</v>
      </c>
      <c r="K550" s="5" t="str">
        <f>VLOOKUP(C550,[1]master_data!$A$2:$E$495,5,FALSE)</f>
        <v>Aksesoris</v>
      </c>
      <c r="L550" s="5" t="s">
        <v>471</v>
      </c>
    </row>
    <row r="551" spans="1:12" ht="12" customHeight="1" x14ac:dyDescent="0.25">
      <c r="A551" s="6">
        <v>44868</v>
      </c>
      <c r="B551" s="1">
        <v>2204012</v>
      </c>
      <c r="C551" s="5" t="s">
        <v>183</v>
      </c>
      <c r="D551" s="5" t="str">
        <f>VLOOKUP(C551,[1]master_data!$A$2:$E$495,2,FALSE)</f>
        <v>LED HIRO 20 CM</v>
      </c>
      <c r="E551" s="5">
        <v>1</v>
      </c>
      <c r="F551" s="5">
        <f>VLOOKUP(C551,[1]master_data!$A$2:$E$495,3,FALSE)</f>
        <v>17000</v>
      </c>
      <c r="G551" s="5">
        <f>VLOOKUP(C551,[1]master_data!$A$2:$E$495,4,FALSE)</f>
        <v>25000</v>
      </c>
      <c r="H551" s="5">
        <f t="shared" si="30"/>
        <v>17000</v>
      </c>
      <c r="I551" s="5">
        <f t="shared" si="31"/>
        <v>25000</v>
      </c>
      <c r="J551" s="5">
        <f t="shared" si="32"/>
        <v>8000</v>
      </c>
      <c r="K551" s="5" t="str">
        <f>VLOOKUP(C551,[1]master_data!$A$2:$E$495,5,FALSE)</f>
        <v>Aksesoris</v>
      </c>
      <c r="L551" s="5" t="s">
        <v>471</v>
      </c>
    </row>
    <row r="552" spans="1:12" ht="12" customHeight="1" x14ac:dyDescent="0.25">
      <c r="A552" s="6">
        <v>44868</v>
      </c>
      <c r="B552" s="1">
        <v>2204011</v>
      </c>
      <c r="C552" s="5" t="s">
        <v>440</v>
      </c>
      <c r="D552" s="5" t="str">
        <f>VLOOKUP(C552,[1]master_data!$A$2:$E$495,2,FALSE)</f>
        <v>OSCAR</v>
      </c>
      <c r="E552" s="5">
        <v>10</v>
      </c>
      <c r="F552" s="5">
        <f>VLOOKUP(C552,[1]master_data!$A$2:$E$495,3,FALSE)</f>
        <v>25000</v>
      </c>
      <c r="G552" s="5">
        <f>VLOOKUP(C552,[1]master_data!$A$2:$E$495,4,FALSE)</f>
        <v>50000</v>
      </c>
      <c r="H552" s="5">
        <f t="shared" si="30"/>
        <v>250000</v>
      </c>
      <c r="I552" s="5">
        <f t="shared" si="31"/>
        <v>500000</v>
      </c>
      <c r="J552" s="5">
        <f t="shared" si="32"/>
        <v>250000</v>
      </c>
      <c r="K552" s="5" t="str">
        <f>VLOOKUP(C552,[1]master_data!$A$2:$E$495,5,FALSE)</f>
        <v>Ikan</v>
      </c>
      <c r="L552" s="5" t="s">
        <v>471</v>
      </c>
    </row>
    <row r="553" spans="1:12" ht="12" customHeight="1" x14ac:dyDescent="0.25">
      <c r="A553" s="6">
        <v>44868</v>
      </c>
      <c r="B553" s="1">
        <v>2204010</v>
      </c>
      <c r="C553" s="5" t="s">
        <v>174</v>
      </c>
      <c r="D553" s="5" t="str">
        <f>VLOOKUP(C553,[1]master_data!$A$2:$E$495,2,FALSE)</f>
        <v>LED AQURA 40 CM</v>
      </c>
      <c r="E553" s="5">
        <v>1</v>
      </c>
      <c r="F553" s="5">
        <f>VLOOKUP(C553,[1]master_data!$A$2:$E$495,3,FALSE)</f>
        <v>21000</v>
      </c>
      <c r="G553" s="5">
        <f>VLOOKUP(C553,[1]master_data!$A$2:$E$495,4,FALSE)</f>
        <v>40000</v>
      </c>
      <c r="H553" s="5">
        <f t="shared" si="30"/>
        <v>21000</v>
      </c>
      <c r="I553" s="5">
        <f t="shared" si="31"/>
        <v>40000</v>
      </c>
      <c r="J553" s="5">
        <f t="shared" si="32"/>
        <v>19000</v>
      </c>
      <c r="K553" s="5" t="str">
        <f>VLOOKUP(C553,[1]master_data!$A$2:$E$495,5,FALSE)</f>
        <v>Aksesoris</v>
      </c>
      <c r="L553" s="5" t="s">
        <v>471</v>
      </c>
    </row>
    <row r="554" spans="1:12" ht="12" customHeight="1" x14ac:dyDescent="0.25">
      <c r="A554" s="6">
        <v>44868</v>
      </c>
      <c r="B554" s="1">
        <v>2204009</v>
      </c>
      <c r="C554" s="5" t="s">
        <v>408</v>
      </c>
      <c r="D554" s="5" t="str">
        <f>VLOOKUP(C554,[1]master_data!$A$2:$E$495,2,FALSE)</f>
        <v>CATFISH</v>
      </c>
      <c r="E554" s="5">
        <v>2</v>
      </c>
      <c r="F554" s="5">
        <f>VLOOKUP(C554,[1]master_data!$A$2:$E$495,3,FALSE)</f>
        <v>20000</v>
      </c>
      <c r="G554" s="5">
        <f>VLOOKUP(C554,[1]master_data!$A$2:$E$495,4,FALSE)</f>
        <v>50000</v>
      </c>
      <c r="H554" s="5">
        <f t="shared" si="30"/>
        <v>40000</v>
      </c>
      <c r="I554" s="5">
        <f t="shared" si="31"/>
        <v>100000</v>
      </c>
      <c r="J554" s="5">
        <f t="shared" si="32"/>
        <v>60000</v>
      </c>
      <c r="K554" s="5" t="str">
        <f>VLOOKUP(C554,[1]master_data!$A$2:$E$495,5,FALSE)</f>
        <v>Ikan</v>
      </c>
      <c r="L554" s="5" t="s">
        <v>471</v>
      </c>
    </row>
    <row r="555" spans="1:12" ht="12" customHeight="1" x14ac:dyDescent="0.25">
      <c r="A555" s="6">
        <v>44868</v>
      </c>
      <c r="B555" s="1">
        <v>2204008</v>
      </c>
      <c r="C555" s="5" t="s">
        <v>234</v>
      </c>
      <c r="D555" s="5" t="str">
        <f>VLOOKUP(C555,[1]master_data!$A$2:$E$495,2,FALSE)</f>
        <v>FISH LOVE PAKAN BURAYAK</v>
      </c>
      <c r="E555" s="5">
        <v>15</v>
      </c>
      <c r="F555" s="5">
        <f>VLOOKUP(C555,[1]master_data!$A$2:$E$495,3,FALSE)</f>
        <v>2500</v>
      </c>
      <c r="G555" s="5">
        <f>VLOOKUP(C555,[1]master_data!$A$2:$E$495,4,FALSE)</f>
        <v>5000</v>
      </c>
      <c r="H555" s="5">
        <f t="shared" si="30"/>
        <v>37500</v>
      </c>
      <c r="I555" s="5">
        <f t="shared" si="31"/>
        <v>75000</v>
      </c>
      <c r="J555" s="5">
        <f t="shared" si="32"/>
        <v>37500</v>
      </c>
      <c r="K555" s="5" t="str">
        <f>VLOOKUP(C555,[1]master_data!$A$2:$E$495,5,FALSE)</f>
        <v>Aksesoris</v>
      </c>
      <c r="L555" s="5" t="s">
        <v>471</v>
      </c>
    </row>
    <row r="556" spans="1:12" ht="12" customHeight="1" x14ac:dyDescent="0.25">
      <c r="A556" s="6">
        <v>44867</v>
      </c>
      <c r="B556" s="1">
        <v>2204007</v>
      </c>
      <c r="C556" s="5" t="s">
        <v>440</v>
      </c>
      <c r="D556" s="5" t="str">
        <f>VLOOKUP(C556,[1]master_data!$A$2:$E$495,2,FALSE)</f>
        <v>OSCAR</v>
      </c>
      <c r="E556" s="5">
        <v>1</v>
      </c>
      <c r="F556" s="5">
        <f>VLOOKUP(C556,[1]master_data!$A$2:$E$495,3,FALSE)</f>
        <v>25000</v>
      </c>
      <c r="G556" s="5">
        <f>VLOOKUP(C556,[1]master_data!$A$2:$E$495,4,FALSE)</f>
        <v>50000</v>
      </c>
      <c r="H556" s="5">
        <f t="shared" si="30"/>
        <v>25000</v>
      </c>
      <c r="I556" s="5">
        <f t="shared" si="31"/>
        <v>50000</v>
      </c>
      <c r="J556" s="5">
        <f t="shared" si="32"/>
        <v>25000</v>
      </c>
      <c r="K556" s="5" t="str">
        <f>VLOOKUP(C556,[1]master_data!$A$2:$E$495,5,FALSE)</f>
        <v>Ikan</v>
      </c>
      <c r="L556" s="5" t="s">
        <v>471</v>
      </c>
    </row>
    <row r="557" spans="1:12" ht="12" customHeight="1" x14ac:dyDescent="0.25">
      <c r="A557" s="6">
        <v>44867</v>
      </c>
      <c r="B557" s="1">
        <v>2204006</v>
      </c>
      <c r="C557" s="5" t="s">
        <v>340</v>
      </c>
      <c r="D557" s="5" t="str">
        <f>VLOOKUP(C557,[1]master_data!$A$2:$E$495,2,FALSE)</f>
        <v>JETMET K</v>
      </c>
      <c r="E557" s="5">
        <v>1</v>
      </c>
      <c r="F557" s="5">
        <f>VLOOKUP(C557,[1]master_data!$A$2:$E$495,3,FALSE)</f>
        <v>17500</v>
      </c>
      <c r="G557" s="5">
        <f>VLOOKUP(C557,[1]master_data!$A$2:$E$495,4,FALSE)</f>
        <v>25000</v>
      </c>
      <c r="H557" s="5">
        <f t="shared" si="30"/>
        <v>17500</v>
      </c>
      <c r="I557" s="5">
        <f t="shared" si="31"/>
        <v>25000</v>
      </c>
      <c r="J557" s="5">
        <f t="shared" si="32"/>
        <v>7500</v>
      </c>
      <c r="K557" s="5" t="str">
        <f>VLOOKUP(C557,[1]master_data!$A$2:$E$495,5,FALSE)</f>
        <v>Aksesoris</v>
      </c>
      <c r="L557" s="5" t="s">
        <v>471</v>
      </c>
    </row>
    <row r="558" spans="1:12" ht="12" customHeight="1" x14ac:dyDescent="0.25">
      <c r="A558" s="6">
        <v>44867</v>
      </c>
      <c r="B558" s="1">
        <v>2204005</v>
      </c>
      <c r="C558" s="5" t="s">
        <v>409</v>
      </c>
      <c r="D558" s="5" t="str">
        <f>VLOOKUP(C558,[1]master_data!$A$2:$E$495,2,FALSE)</f>
        <v>GOLD FISH</v>
      </c>
      <c r="E558" s="5">
        <v>1</v>
      </c>
      <c r="F558" s="5">
        <f>VLOOKUP(C558,[1]master_data!$A$2:$E$495,3,FALSE)</f>
        <v>800</v>
      </c>
      <c r="G558" s="5">
        <f>VLOOKUP(C558,[1]master_data!$A$2:$E$495,4,FALSE)</f>
        <v>2000</v>
      </c>
      <c r="H558" s="5">
        <f t="shared" si="30"/>
        <v>800</v>
      </c>
      <c r="I558" s="5">
        <f t="shared" si="31"/>
        <v>2000</v>
      </c>
      <c r="J558" s="5">
        <f t="shared" si="32"/>
        <v>1200</v>
      </c>
      <c r="K558" s="5" t="str">
        <f>VLOOKUP(C558,[1]master_data!$A$2:$E$495,5,FALSE)</f>
        <v>Ikan</v>
      </c>
      <c r="L558" s="5" t="s">
        <v>471</v>
      </c>
    </row>
    <row r="559" spans="1:12" ht="12" customHeight="1" x14ac:dyDescent="0.25">
      <c r="A559" s="6">
        <v>44867</v>
      </c>
      <c r="B559" s="1">
        <v>2204004</v>
      </c>
      <c r="C559" s="5" t="s">
        <v>430</v>
      </c>
      <c r="D559" s="5" t="str">
        <f>VLOOKUP(C559,[1]master_data!$A$2:$E$495,2,FALSE)</f>
        <v>MANFISH K</v>
      </c>
      <c r="E559" s="5">
        <v>1</v>
      </c>
      <c r="F559" s="5">
        <f>VLOOKUP(C559,[1]master_data!$A$2:$E$495,3,FALSE)</f>
        <v>2000</v>
      </c>
      <c r="G559" s="5">
        <f>VLOOKUP(C559,[1]master_data!$A$2:$E$495,4,FALSE)</f>
        <v>5000</v>
      </c>
      <c r="H559" s="5">
        <f t="shared" si="30"/>
        <v>2000</v>
      </c>
      <c r="I559" s="5">
        <f t="shared" si="31"/>
        <v>5000</v>
      </c>
      <c r="J559" s="5">
        <f t="shared" si="32"/>
        <v>3000</v>
      </c>
      <c r="K559" s="5" t="str">
        <f>VLOOKUP(C559,[1]master_data!$A$2:$E$495,5,FALSE)</f>
        <v>Ikan</v>
      </c>
      <c r="L559" s="5" t="s">
        <v>471</v>
      </c>
    </row>
    <row r="560" spans="1:12" ht="12" customHeight="1" x14ac:dyDescent="0.25">
      <c r="A560" s="6">
        <v>44867</v>
      </c>
      <c r="B560" s="1">
        <v>2204003</v>
      </c>
      <c r="C560" s="5" t="s">
        <v>461</v>
      </c>
      <c r="D560" s="5" t="str">
        <f>VLOOKUP(C560,[1]master_data!$A$2:$E$495,2,FALSE)</f>
        <v>SEPAT</v>
      </c>
      <c r="E560" s="5">
        <v>25</v>
      </c>
      <c r="F560" s="5">
        <f>VLOOKUP(C560,[1]master_data!$A$2:$E$495,3,FALSE)</f>
        <v>600</v>
      </c>
      <c r="G560" s="5">
        <f>VLOOKUP(C560,[1]master_data!$A$2:$E$495,4,FALSE)</f>
        <v>2000</v>
      </c>
      <c r="H560" s="5">
        <f t="shared" si="30"/>
        <v>15000</v>
      </c>
      <c r="I560" s="5">
        <f t="shared" si="31"/>
        <v>50000</v>
      </c>
      <c r="J560" s="5">
        <f t="shared" si="32"/>
        <v>35000</v>
      </c>
      <c r="K560" s="5" t="str">
        <f>VLOOKUP(C560,[1]master_data!$A$2:$E$495,5,FALSE)</f>
        <v>Ikan</v>
      </c>
      <c r="L560" s="5" t="s">
        <v>471</v>
      </c>
    </row>
    <row r="561" spans="1:12" ht="12" customHeight="1" x14ac:dyDescent="0.25">
      <c r="A561" s="6">
        <v>44867</v>
      </c>
      <c r="B561" s="1">
        <v>2204002</v>
      </c>
      <c r="C561" s="5" t="s">
        <v>397</v>
      </c>
      <c r="D561" s="5" t="str">
        <f>VLOOKUP(C561,[1]master_data!$A$2:$E$495,2,FALSE)</f>
        <v>ALIGATOR</v>
      </c>
      <c r="E561" s="5">
        <v>2</v>
      </c>
      <c r="F561" s="5">
        <f>VLOOKUP(C561,[1]master_data!$A$2:$E$495,3,FALSE)</f>
        <v>17000</v>
      </c>
      <c r="G561" s="5">
        <f>VLOOKUP(C561,[1]master_data!$A$2:$E$495,4,FALSE)</f>
        <v>35000</v>
      </c>
      <c r="H561" s="5">
        <f t="shared" si="30"/>
        <v>34000</v>
      </c>
      <c r="I561" s="5">
        <f t="shared" si="31"/>
        <v>70000</v>
      </c>
      <c r="J561" s="5">
        <f t="shared" si="32"/>
        <v>36000</v>
      </c>
      <c r="K561" s="5" t="str">
        <f>VLOOKUP(C561,[1]master_data!$A$2:$E$495,5,FALSE)</f>
        <v>Ikan</v>
      </c>
      <c r="L561" s="5" t="s">
        <v>471</v>
      </c>
    </row>
    <row r="562" spans="1:12" ht="12" customHeight="1" x14ac:dyDescent="0.25">
      <c r="A562" s="6">
        <v>44867</v>
      </c>
      <c r="B562" s="1">
        <v>2204001</v>
      </c>
      <c r="C562" s="5" t="s">
        <v>167</v>
      </c>
      <c r="D562" s="5" t="str">
        <f>VLOOKUP(C562,[1]master_data!$A$2:$E$495,2,FALSE)</f>
        <v>LAMPU ARMADA UV 15W</v>
      </c>
      <c r="E562" s="5">
        <v>2</v>
      </c>
      <c r="F562" s="5">
        <f>VLOOKUP(C562,[1]master_data!$A$2:$E$495,3,FALSE)</f>
        <v>88000</v>
      </c>
      <c r="G562" s="5">
        <f>VLOOKUP(C562,[1]master_data!$A$2:$E$495,4,FALSE)</f>
        <v>115000</v>
      </c>
      <c r="H562" s="5">
        <f t="shared" si="30"/>
        <v>176000</v>
      </c>
      <c r="I562" s="5">
        <f t="shared" si="31"/>
        <v>230000</v>
      </c>
      <c r="J562" s="5">
        <f t="shared" si="32"/>
        <v>54000</v>
      </c>
      <c r="K562" s="5" t="str">
        <f>VLOOKUP(C562,[1]master_data!$A$2:$E$495,5,FALSE)</f>
        <v>Aksesoris</v>
      </c>
      <c r="L562" s="5" t="s">
        <v>471</v>
      </c>
    </row>
    <row r="563" spans="1:12" ht="12" customHeight="1" x14ac:dyDescent="0.25">
      <c r="A563" s="6">
        <v>44867</v>
      </c>
      <c r="B563" s="1">
        <v>2204000</v>
      </c>
      <c r="C563" s="5" t="s">
        <v>427</v>
      </c>
      <c r="D563" s="5" t="str">
        <f>VLOOKUP(C563,[1]master_data!$A$2:$E$495,2,FALSE)</f>
        <v>LEMON</v>
      </c>
      <c r="E563" s="5">
        <v>10</v>
      </c>
      <c r="F563" s="5">
        <f>VLOOKUP(C563,[1]master_data!$A$2:$E$495,3,FALSE)</f>
        <v>1000</v>
      </c>
      <c r="G563" s="5">
        <f>VLOOKUP(C563,[1]master_data!$A$2:$E$495,4,FALSE)</f>
        <v>2000</v>
      </c>
      <c r="H563" s="5">
        <f t="shared" si="30"/>
        <v>10000</v>
      </c>
      <c r="I563" s="5">
        <f t="shared" si="31"/>
        <v>20000</v>
      </c>
      <c r="J563" s="5">
        <f t="shared" si="32"/>
        <v>10000</v>
      </c>
      <c r="K563" s="5" t="str">
        <f>VLOOKUP(C563,[1]master_data!$A$2:$E$495,5,FALSE)</f>
        <v>Ikan</v>
      </c>
      <c r="L563" s="5" t="s">
        <v>471</v>
      </c>
    </row>
    <row r="564" spans="1:12" ht="12" customHeight="1" x14ac:dyDescent="0.25">
      <c r="A564" s="6">
        <v>44867</v>
      </c>
      <c r="B564" s="1">
        <v>2203999</v>
      </c>
      <c r="C564" s="5" t="s">
        <v>202</v>
      </c>
      <c r="D564" s="5" t="str">
        <f>VLOOKUP(C564,[1]master_data!$A$2:$E$495,2,FALSE)</f>
        <v>HOKKY COLOUR MAX</v>
      </c>
      <c r="E564" s="5">
        <v>30</v>
      </c>
      <c r="F564" s="5">
        <f>VLOOKUP(C564,[1]master_data!$A$2:$E$495,3,FALSE)</f>
        <v>7600</v>
      </c>
      <c r="G564" s="5">
        <f>VLOOKUP(C564,[1]master_data!$A$2:$E$495,4,FALSE)</f>
        <v>10000</v>
      </c>
      <c r="H564" s="5">
        <f t="shared" si="30"/>
        <v>228000</v>
      </c>
      <c r="I564" s="5">
        <f t="shared" si="31"/>
        <v>300000</v>
      </c>
      <c r="J564" s="5">
        <f t="shared" si="32"/>
        <v>72000</v>
      </c>
      <c r="K564" s="5" t="str">
        <f>VLOOKUP(C564,[1]master_data!$A$2:$E$495,5,FALSE)</f>
        <v>Aksesoris</v>
      </c>
      <c r="L564" s="5" t="s">
        <v>471</v>
      </c>
    </row>
    <row r="565" spans="1:12" ht="12" customHeight="1" x14ac:dyDescent="0.25">
      <c r="A565" s="6">
        <v>44867</v>
      </c>
      <c r="B565" s="1">
        <v>2203998</v>
      </c>
      <c r="C565" s="5" t="s">
        <v>456</v>
      </c>
      <c r="D565" s="5" t="str">
        <f>VLOOKUP(C565,[1]master_data!$A$2:$E$495,2,FALSE)</f>
        <v>TOMAN</v>
      </c>
      <c r="E565" s="5">
        <v>5</v>
      </c>
      <c r="F565" s="5">
        <f>VLOOKUP(C565,[1]master_data!$A$2:$E$495,3,FALSE)</f>
        <v>10000</v>
      </c>
      <c r="G565" s="5">
        <f>VLOOKUP(C565,[1]master_data!$A$2:$E$495,4,FALSE)</f>
        <v>25000</v>
      </c>
      <c r="H565" s="5">
        <f t="shared" si="30"/>
        <v>50000</v>
      </c>
      <c r="I565" s="5">
        <f t="shared" si="31"/>
        <v>125000</v>
      </c>
      <c r="J565" s="5">
        <f t="shared" si="32"/>
        <v>75000</v>
      </c>
      <c r="K565" s="5" t="str">
        <f>VLOOKUP(C565,[1]master_data!$A$2:$E$495,5,FALSE)</f>
        <v>Ikan</v>
      </c>
      <c r="L565" s="5" t="s">
        <v>471</v>
      </c>
    </row>
    <row r="566" spans="1:12" ht="12" customHeight="1" x14ac:dyDescent="0.25">
      <c r="A566" s="6">
        <v>44867</v>
      </c>
      <c r="B566" s="1">
        <v>2203997</v>
      </c>
      <c r="C566" s="5" t="s">
        <v>401</v>
      </c>
      <c r="D566" s="5" t="str">
        <f>VLOOKUP(C566,[1]master_data!$A$2:$E$495,2,FALSE)</f>
        <v>BALA BALA B</v>
      </c>
      <c r="E566" s="5">
        <v>2</v>
      </c>
      <c r="F566" s="5">
        <f>VLOOKUP(C566,[1]master_data!$A$2:$E$495,3,FALSE)</f>
        <v>7000</v>
      </c>
      <c r="G566" s="5">
        <f>VLOOKUP(C566,[1]master_data!$A$2:$E$495,4,FALSE)</f>
        <v>15000</v>
      </c>
      <c r="H566" s="5">
        <f t="shared" si="30"/>
        <v>14000</v>
      </c>
      <c r="I566" s="5">
        <f t="shared" si="31"/>
        <v>30000</v>
      </c>
      <c r="J566" s="5">
        <f t="shared" si="32"/>
        <v>16000</v>
      </c>
      <c r="K566" s="5" t="str">
        <f>VLOOKUP(C566,[1]master_data!$A$2:$E$495,5,FALSE)</f>
        <v>Ikan</v>
      </c>
      <c r="L566" s="5" t="s">
        <v>471</v>
      </c>
    </row>
    <row r="567" spans="1:12" ht="12" customHeight="1" x14ac:dyDescent="0.25">
      <c r="A567" s="6">
        <v>44867</v>
      </c>
      <c r="B567" s="1">
        <v>2203996</v>
      </c>
      <c r="C567" s="5" t="s">
        <v>437</v>
      </c>
      <c r="D567" s="5" t="str">
        <f>VLOOKUP(C567,[1]master_data!$A$2:$E$495,2,FALSE)</f>
        <v>RED EYE TETRA</v>
      </c>
      <c r="E567" s="5">
        <v>30</v>
      </c>
      <c r="F567" s="5">
        <f>VLOOKUP(C567,[1]master_data!$A$2:$E$495,3,FALSE)</f>
        <v>900</v>
      </c>
      <c r="G567" s="5">
        <f>VLOOKUP(C567,[1]master_data!$A$2:$E$495,4,FALSE)</f>
        <v>2000</v>
      </c>
      <c r="H567" s="5">
        <f t="shared" si="30"/>
        <v>27000</v>
      </c>
      <c r="I567" s="5">
        <f t="shared" si="31"/>
        <v>60000</v>
      </c>
      <c r="J567" s="5">
        <f t="shared" si="32"/>
        <v>33000</v>
      </c>
      <c r="K567" s="5" t="str">
        <f>VLOOKUP(C567,[1]master_data!$A$2:$E$495,5,FALSE)</f>
        <v>Ikan</v>
      </c>
      <c r="L567" s="5" t="s">
        <v>471</v>
      </c>
    </row>
    <row r="568" spans="1:12" ht="12" customHeight="1" x14ac:dyDescent="0.25">
      <c r="A568" s="6">
        <v>44867</v>
      </c>
      <c r="B568" s="1">
        <v>2203995</v>
      </c>
      <c r="C568" s="5" t="s">
        <v>409</v>
      </c>
      <c r="D568" s="5" t="str">
        <f>VLOOKUP(C568,[1]master_data!$A$2:$E$495,2,FALSE)</f>
        <v>GOLD FISH</v>
      </c>
      <c r="E568" s="5">
        <v>1</v>
      </c>
      <c r="F568" s="5">
        <f>VLOOKUP(C568,[1]master_data!$A$2:$E$495,3,FALSE)</f>
        <v>800</v>
      </c>
      <c r="G568" s="5">
        <f>VLOOKUP(C568,[1]master_data!$A$2:$E$495,4,FALSE)</f>
        <v>2000</v>
      </c>
      <c r="H568" s="5">
        <f t="shared" si="30"/>
        <v>800</v>
      </c>
      <c r="I568" s="5">
        <f t="shared" si="31"/>
        <v>2000</v>
      </c>
      <c r="J568" s="5">
        <f t="shared" si="32"/>
        <v>1200</v>
      </c>
      <c r="K568" s="5" t="str">
        <f>VLOOKUP(C568,[1]master_data!$A$2:$E$495,5,FALSE)</f>
        <v>Ikan</v>
      </c>
      <c r="L568" s="5" t="s">
        <v>471</v>
      </c>
    </row>
    <row r="569" spans="1:12" ht="12" customHeight="1" x14ac:dyDescent="0.25">
      <c r="A569" s="6">
        <v>44867</v>
      </c>
      <c r="B569" s="1">
        <v>2203994</v>
      </c>
      <c r="C569" s="5" t="s">
        <v>409</v>
      </c>
      <c r="D569" s="5" t="str">
        <f>VLOOKUP(C569,[1]master_data!$A$2:$E$495,2,FALSE)</f>
        <v>GOLD FISH</v>
      </c>
      <c r="E569" s="5">
        <v>1</v>
      </c>
      <c r="F569" s="5">
        <f>VLOOKUP(C569,[1]master_data!$A$2:$E$495,3,FALSE)</f>
        <v>800</v>
      </c>
      <c r="G569" s="5">
        <f>VLOOKUP(C569,[1]master_data!$A$2:$E$495,4,FALSE)</f>
        <v>2000</v>
      </c>
      <c r="H569" s="5">
        <f t="shared" si="30"/>
        <v>800</v>
      </c>
      <c r="I569" s="5">
        <f t="shared" si="31"/>
        <v>2000</v>
      </c>
      <c r="J569" s="5">
        <f t="shared" si="32"/>
        <v>1200</v>
      </c>
      <c r="K569" s="5" t="str">
        <f>VLOOKUP(C569,[1]master_data!$A$2:$E$495,5,FALSE)</f>
        <v>Ikan</v>
      </c>
      <c r="L569" s="5" t="s">
        <v>471</v>
      </c>
    </row>
    <row r="570" spans="1:12" ht="12" customHeight="1" x14ac:dyDescent="0.25">
      <c r="A570" s="6">
        <v>44867</v>
      </c>
      <c r="B570" s="1">
        <v>2203993</v>
      </c>
      <c r="C570" s="5" t="s">
        <v>53</v>
      </c>
      <c r="D570" s="5" t="str">
        <f>VLOOKUP(C570,[1]master_data!$A$2:$E$495,2,FALSE)</f>
        <v>MESIN RECENT 203</v>
      </c>
      <c r="E570" s="5">
        <v>2</v>
      </c>
      <c r="F570" s="5">
        <f>VLOOKUP(C570,[1]master_data!$A$2:$E$495,3,FALSE)</f>
        <v>43500</v>
      </c>
      <c r="G570" s="5">
        <f>VLOOKUP(C570,[1]master_data!$A$2:$E$495,4,FALSE)</f>
        <v>70000</v>
      </c>
      <c r="H570" s="5">
        <f t="shared" si="30"/>
        <v>87000</v>
      </c>
      <c r="I570" s="5">
        <f t="shared" si="31"/>
        <v>140000</v>
      </c>
      <c r="J570" s="5">
        <f t="shared" si="32"/>
        <v>53000</v>
      </c>
      <c r="K570" s="5" t="str">
        <f>VLOOKUP(C570,[1]master_data!$A$2:$E$495,5,FALSE)</f>
        <v>Aksesoris</v>
      </c>
      <c r="L570" s="5" t="s">
        <v>471</v>
      </c>
    </row>
    <row r="571" spans="1:12" ht="12" customHeight="1" x14ac:dyDescent="0.25">
      <c r="A571" s="6">
        <v>44867</v>
      </c>
      <c r="B571" s="1">
        <v>2203992</v>
      </c>
      <c r="C571" s="5" t="s">
        <v>355</v>
      </c>
      <c r="D571" s="5" t="str">
        <f>VLOOKUP(C571,[1]master_data!$A$2:$E$495,2,FALSE)</f>
        <v>TOPLES  1,5 L</v>
      </c>
      <c r="E571" s="5">
        <v>2</v>
      </c>
      <c r="F571" s="5">
        <f>VLOOKUP(C571,[1]master_data!$A$2:$E$495,3,FALSE)</f>
        <v>38500</v>
      </c>
      <c r="G571" s="5">
        <f>VLOOKUP(C571,[1]master_data!$A$2:$E$495,4,FALSE)</f>
        <v>55000</v>
      </c>
      <c r="H571" s="5">
        <f t="shared" si="30"/>
        <v>77000</v>
      </c>
      <c r="I571" s="5">
        <f t="shared" si="31"/>
        <v>110000</v>
      </c>
      <c r="J571" s="5">
        <f t="shared" si="32"/>
        <v>33000</v>
      </c>
      <c r="K571" s="5" t="str">
        <f>VLOOKUP(C571,[1]master_data!$A$2:$E$495,5,FALSE)</f>
        <v>Aksesoris</v>
      </c>
      <c r="L571" s="5" t="s">
        <v>471</v>
      </c>
    </row>
    <row r="572" spans="1:12" ht="12" customHeight="1" x14ac:dyDescent="0.25">
      <c r="A572" s="6">
        <v>44867</v>
      </c>
      <c r="B572" s="1">
        <v>2203991</v>
      </c>
      <c r="C572" s="5" t="s">
        <v>145</v>
      </c>
      <c r="D572" s="5" t="str">
        <f>VLOOKUP(C572,[1]master_data!$A$2:$E$495,2,FALSE)</f>
        <v>LED KIYOSAKI 3 MODE 30 CM</v>
      </c>
      <c r="E572" s="5">
        <v>5</v>
      </c>
      <c r="F572" s="5">
        <f>VLOOKUP(C572,[1]master_data!$A$2:$E$495,3,FALSE)</f>
        <v>40000</v>
      </c>
      <c r="G572" s="5">
        <f>VLOOKUP(C572,[1]master_data!$A$2:$E$495,4,FALSE)</f>
        <v>55000</v>
      </c>
      <c r="H572" s="5">
        <f t="shared" si="30"/>
        <v>200000</v>
      </c>
      <c r="I572" s="5">
        <f t="shared" si="31"/>
        <v>275000</v>
      </c>
      <c r="J572" s="5">
        <f t="shared" si="32"/>
        <v>75000</v>
      </c>
      <c r="K572" s="5" t="str">
        <f>VLOOKUP(C572,[1]master_data!$A$2:$E$495,5,FALSE)</f>
        <v>Aksesoris</v>
      </c>
      <c r="L572" s="5" t="s">
        <v>471</v>
      </c>
    </row>
    <row r="573" spans="1:12" ht="12" customHeight="1" x14ac:dyDescent="0.25">
      <c r="A573" s="6">
        <v>44867</v>
      </c>
      <c r="B573" s="1">
        <v>2203990</v>
      </c>
      <c r="C573" s="5" t="s">
        <v>420</v>
      </c>
      <c r="D573" s="5" t="str">
        <f>VLOOKUP(C573,[1]master_data!$A$2:$E$495,2,FALSE)</f>
        <v>KAVIAT</v>
      </c>
      <c r="E573" s="5">
        <v>19</v>
      </c>
      <c r="F573" s="5">
        <f>VLOOKUP(C573,[1]master_data!$A$2:$E$495,3,FALSE)</f>
        <v>3500</v>
      </c>
      <c r="G573" s="5">
        <f>VLOOKUP(C573,[1]master_data!$A$2:$E$495,4,FALSE)</f>
        <v>8000</v>
      </c>
      <c r="H573" s="5">
        <f t="shared" si="30"/>
        <v>66500</v>
      </c>
      <c r="I573" s="5">
        <f t="shared" si="31"/>
        <v>152000</v>
      </c>
      <c r="J573" s="5">
        <f t="shared" si="32"/>
        <v>85500</v>
      </c>
      <c r="K573" s="5" t="str">
        <f>VLOOKUP(C573,[1]master_data!$A$2:$E$495,5,FALSE)</f>
        <v>Ikan</v>
      </c>
      <c r="L573" s="5" t="s">
        <v>471</v>
      </c>
    </row>
    <row r="574" spans="1:12" ht="12" customHeight="1" x14ac:dyDescent="0.25">
      <c r="A574" s="6">
        <v>44866</v>
      </c>
      <c r="B574" s="1">
        <v>2203989</v>
      </c>
      <c r="C574" s="5" t="s">
        <v>413</v>
      </c>
      <c r="D574" s="5" t="str">
        <f>VLOOKUP(C574,[1]master_data!$A$2:$E$495,2,FALSE)</f>
        <v>KOKI K</v>
      </c>
      <c r="E574" s="5">
        <v>15</v>
      </c>
      <c r="F574" s="5">
        <f>VLOOKUP(C574,[1]master_data!$A$2:$E$495,3,FALSE)</f>
        <v>3500</v>
      </c>
      <c r="G574" s="5">
        <f>VLOOKUP(C574,[1]master_data!$A$2:$E$495,4,FALSE)</f>
        <v>10000</v>
      </c>
      <c r="H574" s="5">
        <f t="shared" si="30"/>
        <v>52500</v>
      </c>
      <c r="I574" s="5">
        <f t="shared" si="31"/>
        <v>150000</v>
      </c>
      <c r="J574" s="5">
        <f t="shared" si="32"/>
        <v>97500</v>
      </c>
      <c r="K574" s="5" t="str">
        <f>VLOOKUP(C574,[1]master_data!$A$2:$E$495,5,FALSE)</f>
        <v>Ikan</v>
      </c>
      <c r="L574" s="5" t="s">
        <v>471</v>
      </c>
    </row>
    <row r="575" spans="1:12" ht="12" customHeight="1" x14ac:dyDescent="0.25">
      <c r="A575" s="6">
        <v>44866</v>
      </c>
      <c r="B575" s="1">
        <v>2203988</v>
      </c>
      <c r="C575" s="5" t="s">
        <v>453</v>
      </c>
      <c r="D575" s="5" t="str">
        <f>VLOOKUP(C575,[1]master_data!$A$2:$E$495,2,FALSE)</f>
        <v>SYNODONTIS K</v>
      </c>
      <c r="E575" s="5">
        <v>30</v>
      </c>
      <c r="F575" s="5">
        <f>VLOOKUP(C575,[1]master_data!$A$2:$E$495,3,FALSE)</f>
        <v>1500</v>
      </c>
      <c r="G575" s="5">
        <f>VLOOKUP(C575,[1]master_data!$A$2:$E$495,4,FALSE)</f>
        <v>5000</v>
      </c>
      <c r="H575" s="5">
        <f t="shared" si="30"/>
        <v>45000</v>
      </c>
      <c r="I575" s="5">
        <f t="shared" si="31"/>
        <v>150000</v>
      </c>
      <c r="J575" s="5">
        <f t="shared" si="32"/>
        <v>105000</v>
      </c>
      <c r="K575" s="5" t="str">
        <f>VLOOKUP(C575,[1]master_data!$A$2:$E$495,5,FALSE)</f>
        <v>Ikan</v>
      </c>
      <c r="L575" s="5" t="s">
        <v>471</v>
      </c>
    </row>
    <row r="576" spans="1:12" ht="12" customHeight="1" x14ac:dyDescent="0.25">
      <c r="A576" s="6">
        <v>44866</v>
      </c>
      <c r="B576" s="1">
        <v>2203987</v>
      </c>
      <c r="C576" s="5" t="s">
        <v>404</v>
      </c>
      <c r="D576" s="5" t="str">
        <f>VLOOKUP(C576,[1]master_data!$A$2:$E$495,2,FALSE)</f>
        <v>CHANNA BLUE PULCHRA B</v>
      </c>
      <c r="E576" s="5">
        <v>1</v>
      </c>
      <c r="F576" s="5">
        <f>VLOOKUP(C576,[1]master_data!$A$2:$E$495,3,FALSE)</f>
        <v>125000</v>
      </c>
      <c r="G576" s="5">
        <f>VLOOKUP(C576,[1]master_data!$A$2:$E$495,4,FALSE)</f>
        <v>200000</v>
      </c>
      <c r="H576" s="5">
        <f t="shared" si="30"/>
        <v>125000</v>
      </c>
      <c r="I576" s="5">
        <f t="shared" si="31"/>
        <v>200000</v>
      </c>
      <c r="J576" s="5">
        <f t="shared" si="32"/>
        <v>75000</v>
      </c>
      <c r="K576" s="5" t="str">
        <f>VLOOKUP(C576,[1]master_data!$A$2:$E$495,5,FALSE)</f>
        <v>Ikan</v>
      </c>
      <c r="L576" s="5" t="s">
        <v>471</v>
      </c>
    </row>
    <row r="577" spans="1:12" ht="12" customHeight="1" x14ac:dyDescent="0.25">
      <c r="A577" s="6">
        <v>44866</v>
      </c>
      <c r="B577" s="1">
        <v>2203986</v>
      </c>
      <c r="C577" s="5" t="s">
        <v>439</v>
      </c>
      <c r="D577" s="5" t="str">
        <f>VLOOKUP(C577,[1]master_data!$A$2:$E$495,2,FALSE)</f>
        <v>NEON</v>
      </c>
      <c r="E577" s="5">
        <v>2</v>
      </c>
      <c r="F577" s="5">
        <f>VLOOKUP(C577,[1]master_data!$A$2:$E$495,3,FALSE)</f>
        <v>1250</v>
      </c>
      <c r="G577" s="5">
        <f>VLOOKUP(C577,[1]master_data!$A$2:$E$495,4,FALSE)</f>
        <v>5000</v>
      </c>
      <c r="H577" s="5">
        <f t="shared" si="30"/>
        <v>2500</v>
      </c>
      <c r="I577" s="5">
        <f t="shared" si="31"/>
        <v>10000</v>
      </c>
      <c r="J577" s="5">
        <f t="shared" si="32"/>
        <v>7500</v>
      </c>
      <c r="K577" s="5" t="str">
        <f>VLOOKUP(C577,[1]master_data!$A$2:$E$495,5,FALSE)</f>
        <v>Ikan</v>
      </c>
      <c r="L577" s="5" t="s">
        <v>471</v>
      </c>
    </row>
    <row r="578" spans="1:12" ht="12" customHeight="1" x14ac:dyDescent="0.25">
      <c r="A578" s="6">
        <v>44866</v>
      </c>
      <c r="B578" s="1">
        <v>2203985</v>
      </c>
      <c r="C578" s="5" t="s">
        <v>420</v>
      </c>
      <c r="D578" s="5" t="str">
        <f>VLOOKUP(C578,[1]master_data!$A$2:$E$495,2,FALSE)</f>
        <v>KAVIAT</v>
      </c>
      <c r="E578" s="5">
        <v>1</v>
      </c>
      <c r="F578" s="5">
        <f>VLOOKUP(C578,[1]master_data!$A$2:$E$495,3,FALSE)</f>
        <v>3500</v>
      </c>
      <c r="G578" s="5">
        <f>VLOOKUP(C578,[1]master_data!$A$2:$E$495,4,FALSE)</f>
        <v>8000</v>
      </c>
      <c r="H578" s="5">
        <f t="shared" si="30"/>
        <v>3500</v>
      </c>
      <c r="I578" s="5">
        <f t="shared" si="31"/>
        <v>8000</v>
      </c>
      <c r="J578" s="5">
        <f t="shared" si="32"/>
        <v>4500</v>
      </c>
      <c r="K578" s="5" t="str">
        <f>VLOOKUP(C578,[1]master_data!$A$2:$E$495,5,FALSE)</f>
        <v>Ikan</v>
      </c>
      <c r="L578" s="5" t="s">
        <v>471</v>
      </c>
    </row>
    <row r="579" spans="1:12" ht="12" customHeight="1" x14ac:dyDescent="0.25">
      <c r="A579" s="6">
        <v>44866</v>
      </c>
      <c r="B579" s="1">
        <v>2203984</v>
      </c>
      <c r="C579" s="5" t="s">
        <v>445</v>
      </c>
      <c r="D579" s="5" t="str">
        <f>VLOOKUP(C579,[1]master_data!$A$2:$E$495,2,FALSE)</f>
        <v>PESO</v>
      </c>
      <c r="E579" s="5">
        <v>3</v>
      </c>
      <c r="F579" s="5">
        <f>VLOOKUP(C579,[1]master_data!$A$2:$E$495,3,FALSE)</f>
        <v>19000</v>
      </c>
      <c r="G579" s="5">
        <f>VLOOKUP(C579,[1]master_data!$A$2:$E$495,4,FALSE)</f>
        <v>40000</v>
      </c>
      <c r="H579" s="5">
        <f t="shared" si="30"/>
        <v>57000</v>
      </c>
      <c r="I579" s="5">
        <f t="shared" si="31"/>
        <v>120000</v>
      </c>
      <c r="J579" s="5">
        <f t="shared" si="32"/>
        <v>63000</v>
      </c>
      <c r="K579" s="5" t="str">
        <f>VLOOKUP(C579,[1]master_data!$A$2:$E$495,5,FALSE)</f>
        <v>Ikan</v>
      </c>
      <c r="L579" s="5" t="s">
        <v>471</v>
      </c>
    </row>
    <row r="580" spans="1:12" ht="12" customHeight="1" x14ac:dyDescent="0.25">
      <c r="A580" s="6">
        <v>44866</v>
      </c>
      <c r="B580" s="1">
        <v>2203983</v>
      </c>
      <c r="C580" s="5" t="s">
        <v>136</v>
      </c>
      <c r="D580" s="5" t="str">
        <f>VLOOKUP(C580,[1]master_data!$A$2:$E$495,2,FALSE)</f>
        <v>LED NIKITA NS 600</v>
      </c>
      <c r="E580" s="5">
        <v>10</v>
      </c>
      <c r="F580" s="5">
        <f>VLOOKUP(C580,[1]master_data!$A$2:$E$495,3,FALSE)</f>
        <v>50000</v>
      </c>
      <c r="G580" s="5">
        <f>VLOOKUP(C580,[1]master_data!$A$2:$E$495,4,FALSE)</f>
        <v>75000</v>
      </c>
      <c r="H580" s="5">
        <f t="shared" si="30"/>
        <v>500000</v>
      </c>
      <c r="I580" s="5">
        <f t="shared" si="31"/>
        <v>750000</v>
      </c>
      <c r="J580" s="5">
        <f t="shared" si="32"/>
        <v>250000</v>
      </c>
      <c r="K580" s="5" t="str">
        <f>VLOOKUP(C580,[1]master_data!$A$2:$E$495,5,FALSE)</f>
        <v>Aksesoris</v>
      </c>
      <c r="L580" s="5" t="s">
        <v>471</v>
      </c>
    </row>
    <row r="581" spans="1:12" ht="12" customHeight="1" x14ac:dyDescent="0.25">
      <c r="A581" s="6">
        <v>44865</v>
      </c>
      <c r="B581" s="1">
        <v>2203982</v>
      </c>
      <c r="C581" s="5" t="s">
        <v>384</v>
      </c>
      <c r="D581" s="5" t="str">
        <f>VLOOKUP(C581,[1]master_data!$A$2:$E$495,2,FALSE)</f>
        <v>BATU GOMBONG B</v>
      </c>
      <c r="E581" s="5">
        <v>5</v>
      </c>
      <c r="F581" s="5">
        <f>VLOOKUP(C581,[1]master_data!$A$2:$E$495,3,FALSE)</f>
        <v>60000</v>
      </c>
      <c r="G581" s="5">
        <f>VLOOKUP(C581,[1]master_data!$A$2:$E$495,4,FALSE)</f>
        <v>100000</v>
      </c>
      <c r="H581" s="5">
        <f t="shared" ref="H581:H644" si="33">E581*F581</f>
        <v>300000</v>
      </c>
      <c r="I581" s="5">
        <f t="shared" ref="I581:I644" si="34">E581*G581</f>
        <v>500000</v>
      </c>
      <c r="J581" s="5">
        <f t="shared" ref="J581:J644" si="35">I581-H581</f>
        <v>200000</v>
      </c>
      <c r="K581" s="5" t="str">
        <f>VLOOKUP(C581,[1]master_data!$A$2:$E$495,5,FALSE)</f>
        <v>Aksesoris</v>
      </c>
      <c r="L581" s="5" t="s">
        <v>471</v>
      </c>
    </row>
    <row r="582" spans="1:12" ht="12" customHeight="1" x14ac:dyDescent="0.25">
      <c r="A582" s="6">
        <v>44865</v>
      </c>
      <c r="B582" s="1">
        <v>2203981</v>
      </c>
      <c r="C582" s="5" t="s">
        <v>446</v>
      </c>
      <c r="D582" s="5" t="str">
        <f>VLOOKUP(C582,[1]master_data!$A$2:$E$495,2,FALSE)</f>
        <v>REDFIN HITAM</v>
      </c>
      <c r="E582" s="5">
        <v>10</v>
      </c>
      <c r="F582" s="5">
        <f>VLOOKUP(C582,[1]master_data!$A$2:$E$495,3,FALSE)</f>
        <v>1500</v>
      </c>
      <c r="G582" s="5">
        <f>VLOOKUP(C582,[1]master_data!$A$2:$E$495,4,FALSE)</f>
        <v>4000</v>
      </c>
      <c r="H582" s="5">
        <f t="shared" si="33"/>
        <v>15000</v>
      </c>
      <c r="I582" s="5">
        <f t="shared" si="34"/>
        <v>40000</v>
      </c>
      <c r="J582" s="5">
        <f t="shared" si="35"/>
        <v>25000</v>
      </c>
      <c r="K582" s="5" t="str">
        <f>VLOOKUP(C582,[1]master_data!$A$2:$E$495,5,FALSE)</f>
        <v>Ikan</v>
      </c>
      <c r="L582" s="5" t="s">
        <v>471</v>
      </c>
    </row>
    <row r="583" spans="1:12" ht="12" customHeight="1" x14ac:dyDescent="0.25">
      <c r="A583" s="6">
        <v>44865</v>
      </c>
      <c r="B583" s="1">
        <v>2203980</v>
      </c>
      <c r="C583" s="5" t="s">
        <v>363</v>
      </c>
      <c r="D583" s="5" t="str">
        <f>VLOOKUP(C583,[1]master_data!$A$2:$E$495,2,FALSE)</f>
        <v>AKUARIUM 50 ROBOT</v>
      </c>
      <c r="E583" s="5">
        <v>1</v>
      </c>
      <c r="F583" s="5">
        <f>VLOOKUP(C583,[1]master_data!$A$2:$E$495,3,FALSE)</f>
        <v>115000</v>
      </c>
      <c r="G583" s="5">
        <f>VLOOKUP(C583,[1]master_data!$A$2:$E$495,4,FALSE)</f>
        <v>165000</v>
      </c>
      <c r="H583" s="5">
        <f t="shared" si="33"/>
        <v>115000</v>
      </c>
      <c r="I583" s="5">
        <f t="shared" si="34"/>
        <v>165000</v>
      </c>
      <c r="J583" s="5">
        <f t="shared" si="35"/>
        <v>50000</v>
      </c>
      <c r="K583" s="5" t="str">
        <f>VLOOKUP(C583,[1]master_data!$A$2:$E$495,5,FALSE)</f>
        <v>Aksesoris</v>
      </c>
      <c r="L583" s="5" t="s">
        <v>471</v>
      </c>
    </row>
    <row r="584" spans="1:12" ht="12" customHeight="1" x14ac:dyDescent="0.25">
      <c r="A584" s="6">
        <v>44865</v>
      </c>
      <c r="B584" s="1">
        <v>2203979</v>
      </c>
      <c r="C584" s="5" t="s">
        <v>452</v>
      </c>
      <c r="D584" s="5" t="str">
        <f>VLOOKUP(C584,[1]master_data!$A$2:$E$495,2,FALSE)</f>
        <v>SNOW WHITE</v>
      </c>
      <c r="E584" s="5">
        <v>25</v>
      </c>
      <c r="F584" s="5">
        <f>VLOOKUP(C584,[1]master_data!$A$2:$E$495,3,FALSE)</f>
        <v>1500</v>
      </c>
      <c r="G584" s="5">
        <f>VLOOKUP(C584,[1]master_data!$A$2:$E$495,4,FALSE)</f>
        <v>3000</v>
      </c>
      <c r="H584" s="5">
        <f t="shared" si="33"/>
        <v>37500</v>
      </c>
      <c r="I584" s="5">
        <f t="shared" si="34"/>
        <v>75000</v>
      </c>
      <c r="J584" s="5">
        <f t="shared" si="35"/>
        <v>37500</v>
      </c>
      <c r="K584" s="5" t="str">
        <f>VLOOKUP(C584,[1]master_data!$A$2:$E$495,5,FALSE)</f>
        <v>Ikan</v>
      </c>
      <c r="L584" s="5" t="s">
        <v>471</v>
      </c>
    </row>
    <row r="585" spans="1:12" ht="12" customHeight="1" x14ac:dyDescent="0.25">
      <c r="A585" s="6">
        <v>44865</v>
      </c>
      <c r="B585" s="1">
        <v>2203978</v>
      </c>
      <c r="C585" s="5" t="s">
        <v>60</v>
      </c>
      <c r="D585" s="5" t="str">
        <f>VLOOKUP(C585,[1]master_data!$A$2:$E$495,2,FALSE)</f>
        <v>MESIN SUSUN 4800</v>
      </c>
      <c r="E585" s="5">
        <v>1</v>
      </c>
      <c r="F585" s="5">
        <f>VLOOKUP(C585,[1]master_data!$A$2:$E$495,3,FALSE)</f>
        <v>542000</v>
      </c>
      <c r="G585" s="5">
        <f>VLOOKUP(C585,[1]master_data!$A$2:$E$495,4,FALSE)</f>
        <v>630000</v>
      </c>
      <c r="H585" s="5">
        <f t="shared" si="33"/>
        <v>542000</v>
      </c>
      <c r="I585" s="5">
        <f t="shared" si="34"/>
        <v>630000</v>
      </c>
      <c r="J585" s="5">
        <f t="shared" si="35"/>
        <v>88000</v>
      </c>
      <c r="K585" s="5" t="str">
        <f>VLOOKUP(C585,[1]master_data!$A$2:$E$495,5,FALSE)</f>
        <v>Aksesoris</v>
      </c>
      <c r="L585" s="5" t="s">
        <v>471</v>
      </c>
    </row>
    <row r="586" spans="1:12" ht="12" customHeight="1" x14ac:dyDescent="0.25">
      <c r="A586" s="6">
        <v>44865</v>
      </c>
      <c r="B586" s="1">
        <v>2203977</v>
      </c>
      <c r="C586" s="5" t="s">
        <v>390</v>
      </c>
      <c r="D586" s="5" t="str">
        <f>VLOOKUP(C586,[1]master_data!$A$2:$E$495,2,FALSE)</f>
        <v>CHANNA ASIATICA K</v>
      </c>
      <c r="E586" s="5">
        <v>3</v>
      </c>
      <c r="F586" s="5">
        <f>VLOOKUP(C586,[1]master_data!$A$2:$E$495,3,FALSE)</f>
        <v>10000</v>
      </c>
      <c r="G586" s="5">
        <f>VLOOKUP(C586,[1]master_data!$A$2:$E$495,4,FALSE)</f>
        <v>40000</v>
      </c>
      <c r="H586" s="5">
        <f t="shared" si="33"/>
        <v>30000</v>
      </c>
      <c r="I586" s="5">
        <f t="shared" si="34"/>
        <v>120000</v>
      </c>
      <c r="J586" s="5">
        <f t="shared" si="35"/>
        <v>90000</v>
      </c>
      <c r="K586" s="5" t="str">
        <f>VLOOKUP(C586,[1]master_data!$A$2:$E$495,5,FALSE)</f>
        <v>Ikan</v>
      </c>
      <c r="L586" s="5" t="s">
        <v>471</v>
      </c>
    </row>
    <row r="587" spans="1:12" ht="12" customHeight="1" x14ac:dyDescent="0.25">
      <c r="A587" s="6">
        <v>44865</v>
      </c>
      <c r="B587" s="1">
        <v>2203976</v>
      </c>
      <c r="C587" s="5" t="s">
        <v>439</v>
      </c>
      <c r="D587" s="5" t="str">
        <f>VLOOKUP(C587,[1]master_data!$A$2:$E$495,2,FALSE)</f>
        <v>NEON</v>
      </c>
      <c r="E587" s="5">
        <v>1</v>
      </c>
      <c r="F587" s="5">
        <f>VLOOKUP(C587,[1]master_data!$A$2:$E$495,3,FALSE)</f>
        <v>1250</v>
      </c>
      <c r="G587" s="5">
        <f>VLOOKUP(C587,[1]master_data!$A$2:$E$495,4,FALSE)</f>
        <v>5000</v>
      </c>
      <c r="H587" s="5">
        <f t="shared" si="33"/>
        <v>1250</v>
      </c>
      <c r="I587" s="5">
        <f t="shared" si="34"/>
        <v>5000</v>
      </c>
      <c r="J587" s="5">
        <f t="shared" si="35"/>
        <v>3750</v>
      </c>
      <c r="K587" s="5" t="str">
        <f>VLOOKUP(C587,[1]master_data!$A$2:$E$495,5,FALSE)</f>
        <v>Ikan</v>
      </c>
      <c r="L587" s="5" t="s">
        <v>471</v>
      </c>
    </row>
    <row r="588" spans="1:12" ht="12" customHeight="1" x14ac:dyDescent="0.25">
      <c r="A588" s="6">
        <v>44865</v>
      </c>
      <c r="B588" s="1">
        <v>2203975</v>
      </c>
      <c r="C588" s="5" t="s">
        <v>418</v>
      </c>
      <c r="D588" s="5" t="str">
        <f>VLOOKUP(C588,[1]master_data!$A$2:$E$495,2,FALSE)</f>
        <v>KOI B</v>
      </c>
      <c r="E588" s="5">
        <v>1</v>
      </c>
      <c r="F588" s="5">
        <f>VLOOKUP(C588,[1]master_data!$A$2:$E$495,3,FALSE)</f>
        <v>9000</v>
      </c>
      <c r="G588" s="5">
        <f>VLOOKUP(C588,[1]master_data!$A$2:$E$495,4,FALSE)</f>
        <v>30000</v>
      </c>
      <c r="H588" s="5">
        <f t="shared" si="33"/>
        <v>9000</v>
      </c>
      <c r="I588" s="5">
        <f t="shared" si="34"/>
        <v>30000</v>
      </c>
      <c r="J588" s="5">
        <f t="shared" si="35"/>
        <v>21000</v>
      </c>
      <c r="K588" s="5" t="str">
        <f>VLOOKUP(C588,[1]master_data!$A$2:$E$495,5,FALSE)</f>
        <v>Ikan</v>
      </c>
      <c r="L588" s="5" t="s">
        <v>471</v>
      </c>
    </row>
    <row r="589" spans="1:12" ht="12" customHeight="1" x14ac:dyDescent="0.25">
      <c r="A589" s="6">
        <v>44865</v>
      </c>
      <c r="B589" s="1">
        <v>2203974</v>
      </c>
      <c r="C589" s="5" t="s">
        <v>212</v>
      </c>
      <c r="D589" s="5" t="str">
        <f>VLOOKUP(C589,[1]master_data!$A$2:$E$495,2,FALSE)</f>
        <v>UDANG KERING</v>
      </c>
      <c r="E589" s="5">
        <v>10</v>
      </c>
      <c r="F589" s="5">
        <f>VLOOKUP(C589,[1]master_data!$A$2:$E$495,3,FALSE)</f>
        <v>4500</v>
      </c>
      <c r="G589" s="5">
        <f>VLOOKUP(C589,[1]master_data!$A$2:$E$495,4,FALSE)</f>
        <v>10000</v>
      </c>
      <c r="H589" s="5">
        <f t="shared" si="33"/>
        <v>45000</v>
      </c>
      <c r="I589" s="5">
        <f t="shared" si="34"/>
        <v>100000</v>
      </c>
      <c r="J589" s="5">
        <f t="shared" si="35"/>
        <v>55000</v>
      </c>
      <c r="K589" s="5" t="str">
        <f>VLOOKUP(C589,[1]master_data!$A$2:$E$495,5,FALSE)</f>
        <v>Aksesoris</v>
      </c>
      <c r="L589" s="5" t="s">
        <v>471</v>
      </c>
    </row>
    <row r="590" spans="1:12" ht="12" customHeight="1" x14ac:dyDescent="0.25">
      <c r="A590" s="6">
        <v>44864</v>
      </c>
      <c r="B590" s="1">
        <v>2203973</v>
      </c>
      <c r="C590" s="5" t="s">
        <v>25</v>
      </c>
      <c r="D590" s="5" t="str">
        <f>VLOOKUP(C590,[1]master_data!$A$2:$E$495,2,FALSE)</f>
        <v>MESIN ROSTON 105</v>
      </c>
      <c r="E590" s="5">
        <v>1</v>
      </c>
      <c r="F590" s="5">
        <f>VLOOKUP(C590,[1]master_data!$A$2:$E$495,3,FALSE)</f>
        <v>75000</v>
      </c>
      <c r="G590" s="5">
        <f>VLOOKUP(C590,[1]master_data!$A$2:$E$495,4,FALSE)</f>
        <v>110000</v>
      </c>
      <c r="H590" s="5">
        <f t="shared" si="33"/>
        <v>75000</v>
      </c>
      <c r="I590" s="5">
        <f t="shared" si="34"/>
        <v>110000</v>
      </c>
      <c r="J590" s="5">
        <f t="shared" si="35"/>
        <v>35000</v>
      </c>
      <c r="K590" s="5" t="str">
        <f>VLOOKUP(C590,[1]master_data!$A$2:$E$495,5,FALSE)</f>
        <v>Aksesoris</v>
      </c>
      <c r="L590" s="5" t="s">
        <v>471</v>
      </c>
    </row>
    <row r="591" spans="1:12" ht="12" customHeight="1" x14ac:dyDescent="0.25">
      <c r="A591" s="6">
        <v>44864</v>
      </c>
      <c r="B591" s="1">
        <v>2203972</v>
      </c>
      <c r="C591" s="5" t="s">
        <v>114</v>
      </c>
      <c r="D591" s="5" t="str">
        <f>VLOOKUP(C591,[1]master_data!$A$2:$E$495,2,FALSE)</f>
        <v>LED ROSTON 3 MODE 20 CM</v>
      </c>
      <c r="E591" s="5">
        <v>2</v>
      </c>
      <c r="F591" s="5">
        <f>VLOOKUP(C591,[1]master_data!$A$2:$E$495,3,FALSE)</f>
        <v>23000</v>
      </c>
      <c r="G591" s="5">
        <f>VLOOKUP(C591,[1]master_data!$A$2:$E$495,4,FALSE)</f>
        <v>40000</v>
      </c>
      <c r="H591" s="5">
        <f t="shared" si="33"/>
        <v>46000</v>
      </c>
      <c r="I591" s="5">
        <f t="shared" si="34"/>
        <v>80000</v>
      </c>
      <c r="J591" s="5">
        <f t="shared" si="35"/>
        <v>34000</v>
      </c>
      <c r="K591" s="5" t="str">
        <f>VLOOKUP(C591,[1]master_data!$A$2:$E$495,5,FALSE)</f>
        <v>Aksesoris</v>
      </c>
      <c r="L591" s="5" t="s">
        <v>471</v>
      </c>
    </row>
    <row r="592" spans="1:12" ht="12" customHeight="1" x14ac:dyDescent="0.25">
      <c r="A592" s="6">
        <v>44864</v>
      </c>
      <c r="B592" s="1">
        <v>2203971</v>
      </c>
      <c r="C592" s="5" t="s">
        <v>401</v>
      </c>
      <c r="D592" s="5" t="str">
        <f>VLOOKUP(C592,[1]master_data!$A$2:$E$495,2,FALSE)</f>
        <v>BALA BALA B</v>
      </c>
      <c r="E592" s="5">
        <v>1</v>
      </c>
      <c r="F592" s="5">
        <f>VLOOKUP(C592,[1]master_data!$A$2:$E$495,3,FALSE)</f>
        <v>7000</v>
      </c>
      <c r="G592" s="5">
        <f>VLOOKUP(C592,[1]master_data!$A$2:$E$495,4,FALSE)</f>
        <v>15000</v>
      </c>
      <c r="H592" s="5">
        <f t="shared" si="33"/>
        <v>7000</v>
      </c>
      <c r="I592" s="5">
        <f t="shared" si="34"/>
        <v>15000</v>
      </c>
      <c r="J592" s="5">
        <f t="shared" si="35"/>
        <v>8000</v>
      </c>
      <c r="K592" s="5" t="str">
        <f>VLOOKUP(C592,[1]master_data!$A$2:$E$495,5,FALSE)</f>
        <v>Ikan</v>
      </c>
      <c r="L592" s="5" t="s">
        <v>471</v>
      </c>
    </row>
    <row r="593" spans="1:12" ht="12" customHeight="1" x14ac:dyDescent="0.25">
      <c r="A593" s="6">
        <v>44864</v>
      </c>
      <c r="B593" s="1">
        <v>2203970</v>
      </c>
      <c r="C593" s="5" t="s">
        <v>428</v>
      </c>
      <c r="D593" s="5" t="str">
        <f>VLOOKUP(C593,[1]master_data!$A$2:$E$495,2,FALSE)</f>
        <v>LOUHAN</v>
      </c>
      <c r="E593" s="5">
        <v>2</v>
      </c>
      <c r="F593" s="5">
        <f>VLOOKUP(C593,[1]master_data!$A$2:$E$495,3,FALSE)</f>
        <v>85000</v>
      </c>
      <c r="G593" s="5">
        <f>VLOOKUP(C593,[1]master_data!$A$2:$E$495,4,FALSE)</f>
        <v>200000</v>
      </c>
      <c r="H593" s="5">
        <f t="shared" si="33"/>
        <v>170000</v>
      </c>
      <c r="I593" s="5">
        <f t="shared" si="34"/>
        <v>400000</v>
      </c>
      <c r="J593" s="5">
        <f t="shared" si="35"/>
        <v>230000</v>
      </c>
      <c r="K593" s="5" t="str">
        <f>VLOOKUP(C593,[1]master_data!$A$2:$E$495,5,FALSE)</f>
        <v>Ikan</v>
      </c>
      <c r="L593" s="5" t="s">
        <v>471</v>
      </c>
    </row>
    <row r="594" spans="1:12" ht="12" customHeight="1" x14ac:dyDescent="0.25">
      <c r="A594" s="6">
        <v>44864</v>
      </c>
      <c r="B594" s="1">
        <v>2203969</v>
      </c>
      <c r="C594" s="5" t="s">
        <v>57</v>
      </c>
      <c r="D594" s="5" t="str">
        <f>VLOOKUP(C594,[1]master_data!$A$2:$E$495,2,FALSE)</f>
        <v>MESIN MARVIN 1200</v>
      </c>
      <c r="E594" s="5">
        <v>1</v>
      </c>
      <c r="F594" s="5">
        <f>VLOOKUP(C594,[1]master_data!$A$2:$E$495,3,FALSE)</f>
        <v>23000</v>
      </c>
      <c r="G594" s="5">
        <f>VLOOKUP(C594,[1]master_data!$A$2:$E$495,4,FALSE)</f>
        <v>35000</v>
      </c>
      <c r="H594" s="5">
        <f t="shared" si="33"/>
        <v>23000</v>
      </c>
      <c r="I594" s="5">
        <f t="shared" si="34"/>
        <v>35000</v>
      </c>
      <c r="J594" s="5">
        <f t="shared" si="35"/>
        <v>12000</v>
      </c>
      <c r="K594" s="5" t="str">
        <f>VLOOKUP(C594,[1]master_data!$A$2:$E$495,5,FALSE)</f>
        <v>Aksesoris</v>
      </c>
      <c r="L594" s="5" t="s">
        <v>471</v>
      </c>
    </row>
    <row r="595" spans="1:12" ht="12" customHeight="1" x14ac:dyDescent="0.25">
      <c r="A595" s="6">
        <v>44864</v>
      </c>
      <c r="B595" s="1">
        <v>2203968</v>
      </c>
      <c r="C595" s="5" t="s">
        <v>386</v>
      </c>
      <c r="D595" s="5" t="str">
        <f>VLOOKUP(C595,[1]master_data!$A$2:$E$495,2,FALSE)</f>
        <v>BATU KARANG JAHE</v>
      </c>
      <c r="E595" s="5">
        <v>2</v>
      </c>
      <c r="F595" s="5">
        <f>VLOOKUP(C595,[1]master_data!$A$2:$E$495,3,FALSE)</f>
        <v>15000</v>
      </c>
      <c r="G595" s="5">
        <f>VLOOKUP(C595,[1]master_data!$A$2:$E$495,4,FALSE)</f>
        <v>25000</v>
      </c>
      <c r="H595" s="5">
        <f t="shared" si="33"/>
        <v>30000</v>
      </c>
      <c r="I595" s="5">
        <f t="shared" si="34"/>
        <v>50000</v>
      </c>
      <c r="J595" s="5">
        <f t="shared" si="35"/>
        <v>20000</v>
      </c>
      <c r="K595" s="5" t="str">
        <f>VLOOKUP(C595,[1]master_data!$A$2:$E$495,5,FALSE)</f>
        <v>Aksesoris</v>
      </c>
      <c r="L595" s="5" t="s">
        <v>471</v>
      </c>
    </row>
    <row r="596" spans="1:12" ht="12" customHeight="1" x14ac:dyDescent="0.25">
      <c r="A596" s="6">
        <v>44864</v>
      </c>
      <c r="B596" s="1">
        <v>2203967</v>
      </c>
      <c r="C596" s="5" t="s">
        <v>463</v>
      </c>
      <c r="D596" s="5" t="str">
        <f>VLOOKUP(C596,[1]master_data!$A$2:$E$495,2,FALSE)</f>
        <v>CHANNA STEWARTI</v>
      </c>
      <c r="E596" s="5">
        <v>2</v>
      </c>
      <c r="F596" s="5">
        <f>VLOOKUP(C596,[1]master_data!$A$2:$E$495,3,FALSE)</f>
        <v>15000</v>
      </c>
      <c r="G596" s="5">
        <f>VLOOKUP(C596,[1]master_data!$A$2:$E$495,4,FALSE)</f>
        <v>40000</v>
      </c>
      <c r="H596" s="5">
        <f t="shared" si="33"/>
        <v>30000</v>
      </c>
      <c r="I596" s="5">
        <f t="shared" si="34"/>
        <v>80000</v>
      </c>
      <c r="J596" s="5">
        <f t="shared" si="35"/>
        <v>50000</v>
      </c>
      <c r="K596" s="5" t="str">
        <f>VLOOKUP(C596,[1]master_data!$A$2:$E$495,5,FALSE)</f>
        <v>Ikan</v>
      </c>
      <c r="L596" s="5" t="s">
        <v>471</v>
      </c>
    </row>
    <row r="597" spans="1:12" ht="12" customHeight="1" x14ac:dyDescent="0.25">
      <c r="A597" s="6">
        <v>44864</v>
      </c>
      <c r="B597" s="1">
        <v>2203966</v>
      </c>
      <c r="C597" s="5" t="s">
        <v>428</v>
      </c>
      <c r="D597" s="5" t="str">
        <f>VLOOKUP(C597,[1]master_data!$A$2:$E$495,2,FALSE)</f>
        <v>LOUHAN</v>
      </c>
      <c r="E597" s="5">
        <v>1</v>
      </c>
      <c r="F597" s="5">
        <f>VLOOKUP(C597,[1]master_data!$A$2:$E$495,3,FALSE)</f>
        <v>85000</v>
      </c>
      <c r="G597" s="5">
        <f>VLOOKUP(C597,[1]master_data!$A$2:$E$495,4,FALSE)</f>
        <v>200000</v>
      </c>
      <c r="H597" s="5">
        <f t="shared" si="33"/>
        <v>85000</v>
      </c>
      <c r="I597" s="5">
        <f t="shared" si="34"/>
        <v>200000</v>
      </c>
      <c r="J597" s="5">
        <f t="shared" si="35"/>
        <v>115000</v>
      </c>
      <c r="K597" s="5" t="str">
        <f>VLOOKUP(C597,[1]master_data!$A$2:$E$495,5,FALSE)</f>
        <v>Ikan</v>
      </c>
      <c r="L597" s="5" t="s">
        <v>471</v>
      </c>
    </row>
    <row r="598" spans="1:12" ht="12" customHeight="1" x14ac:dyDescent="0.25">
      <c r="A598" s="6">
        <v>44864</v>
      </c>
      <c r="B598" s="1">
        <v>2203965</v>
      </c>
      <c r="C598" s="5" t="s">
        <v>404</v>
      </c>
      <c r="D598" s="5" t="str">
        <f>VLOOKUP(C598,[1]master_data!$A$2:$E$495,2,FALSE)</f>
        <v>CHANNA BLUE PULCHRA B</v>
      </c>
      <c r="E598" s="5">
        <v>1</v>
      </c>
      <c r="F598" s="5">
        <f>VLOOKUP(C598,[1]master_data!$A$2:$E$495,3,FALSE)</f>
        <v>125000</v>
      </c>
      <c r="G598" s="5">
        <f>VLOOKUP(C598,[1]master_data!$A$2:$E$495,4,FALSE)</f>
        <v>200000</v>
      </c>
      <c r="H598" s="5">
        <f t="shared" si="33"/>
        <v>125000</v>
      </c>
      <c r="I598" s="5">
        <f t="shared" si="34"/>
        <v>200000</v>
      </c>
      <c r="J598" s="5">
        <f t="shared" si="35"/>
        <v>75000</v>
      </c>
      <c r="K598" s="5" t="str">
        <f>VLOOKUP(C598,[1]master_data!$A$2:$E$495,5,FALSE)</f>
        <v>Ikan</v>
      </c>
      <c r="L598" s="5" t="s">
        <v>471</v>
      </c>
    </row>
    <row r="599" spans="1:12" ht="12" customHeight="1" x14ac:dyDescent="0.25">
      <c r="A599" s="6">
        <v>44864</v>
      </c>
      <c r="B599" s="1">
        <v>2203964</v>
      </c>
      <c r="C599" s="5" t="s">
        <v>457</v>
      </c>
      <c r="D599" s="5" t="str">
        <f>VLOOKUP(C599,[1]master_data!$A$2:$E$495,2,FALSE)</f>
        <v>ZEBRA PINK</v>
      </c>
      <c r="E599" s="5">
        <v>30</v>
      </c>
      <c r="F599" s="5">
        <f>VLOOKUP(C599,[1]master_data!$A$2:$E$495,3,FALSE)</f>
        <v>800</v>
      </c>
      <c r="G599" s="5">
        <f>VLOOKUP(C599,[1]master_data!$A$2:$E$495,4,FALSE)</f>
        <v>2000</v>
      </c>
      <c r="H599" s="5">
        <f t="shared" si="33"/>
        <v>24000</v>
      </c>
      <c r="I599" s="5">
        <f t="shared" si="34"/>
        <v>60000</v>
      </c>
      <c r="J599" s="5">
        <f t="shared" si="35"/>
        <v>36000</v>
      </c>
      <c r="K599" s="5" t="str">
        <f>VLOOKUP(C599,[1]master_data!$A$2:$E$495,5,FALSE)</f>
        <v>Ikan</v>
      </c>
      <c r="L599" s="5" t="s">
        <v>471</v>
      </c>
    </row>
    <row r="600" spans="1:12" ht="12" customHeight="1" x14ac:dyDescent="0.25">
      <c r="A600" s="6">
        <v>44863</v>
      </c>
      <c r="B600" s="1">
        <v>2203963</v>
      </c>
      <c r="C600" s="5" t="s">
        <v>401</v>
      </c>
      <c r="D600" s="5" t="str">
        <f>VLOOKUP(C600,[1]master_data!$A$2:$E$495,2,FALSE)</f>
        <v>BALA BALA B</v>
      </c>
      <c r="E600" s="5">
        <v>5</v>
      </c>
      <c r="F600" s="5">
        <f>VLOOKUP(C600,[1]master_data!$A$2:$E$495,3,FALSE)</f>
        <v>7000</v>
      </c>
      <c r="G600" s="5">
        <f>VLOOKUP(C600,[1]master_data!$A$2:$E$495,4,FALSE)</f>
        <v>15000</v>
      </c>
      <c r="H600" s="5">
        <f t="shared" si="33"/>
        <v>35000</v>
      </c>
      <c r="I600" s="5">
        <f t="shared" si="34"/>
        <v>75000</v>
      </c>
      <c r="J600" s="5">
        <f t="shared" si="35"/>
        <v>40000</v>
      </c>
      <c r="K600" s="5" t="str">
        <f>VLOOKUP(C600,[1]master_data!$A$2:$E$495,5,FALSE)</f>
        <v>Ikan</v>
      </c>
      <c r="L600" s="5" t="s">
        <v>471</v>
      </c>
    </row>
    <row r="601" spans="1:12" ht="12" customHeight="1" x14ac:dyDescent="0.25">
      <c r="A601" s="6">
        <v>44863</v>
      </c>
      <c r="B601" s="1">
        <v>2203962</v>
      </c>
      <c r="C601" s="5" t="s">
        <v>251</v>
      </c>
      <c r="D601" s="5" t="str">
        <f>VLOOKUP(C601,[1]master_data!$A$2:$E$495,2,FALSE)</f>
        <v>AIRSTONE 60</v>
      </c>
      <c r="E601" s="5">
        <v>10</v>
      </c>
      <c r="F601" s="5">
        <f>VLOOKUP(C601,[1]master_data!$A$2:$E$495,3,FALSE)</f>
        <v>8000</v>
      </c>
      <c r="G601" s="5">
        <f>VLOOKUP(C601,[1]master_data!$A$2:$E$495,4,FALSE)</f>
        <v>17000</v>
      </c>
      <c r="H601" s="5">
        <f t="shared" si="33"/>
        <v>80000</v>
      </c>
      <c r="I601" s="5">
        <f t="shared" si="34"/>
        <v>170000</v>
      </c>
      <c r="J601" s="5">
        <f t="shared" si="35"/>
        <v>90000</v>
      </c>
      <c r="K601" s="5" t="str">
        <f>VLOOKUP(C601,[1]master_data!$A$2:$E$495,5,FALSE)</f>
        <v>Aksesoris</v>
      </c>
      <c r="L601" s="5" t="s">
        <v>471</v>
      </c>
    </row>
    <row r="602" spans="1:12" ht="12" customHeight="1" x14ac:dyDescent="0.25">
      <c r="A602" s="6">
        <v>44863</v>
      </c>
      <c r="B602" s="1">
        <v>2203961</v>
      </c>
      <c r="C602" s="5" t="s">
        <v>364</v>
      </c>
      <c r="D602" s="5" t="str">
        <f>VLOOKUP(C602,[1]master_data!$A$2:$E$495,2,FALSE)</f>
        <v>AKUARIUM 40 ROBOT</v>
      </c>
      <c r="E602" s="5">
        <v>2</v>
      </c>
      <c r="F602" s="5">
        <f>VLOOKUP(C602,[1]master_data!$A$2:$E$495,3,FALSE)</f>
        <v>9000</v>
      </c>
      <c r="G602" s="5">
        <f>VLOOKUP(C602,[1]master_data!$A$2:$E$495,4,FALSE)</f>
        <v>135000</v>
      </c>
      <c r="H602" s="5">
        <f t="shared" si="33"/>
        <v>18000</v>
      </c>
      <c r="I602" s="5">
        <f t="shared" si="34"/>
        <v>270000</v>
      </c>
      <c r="J602" s="5">
        <f t="shared" si="35"/>
        <v>252000</v>
      </c>
      <c r="K602" s="5" t="str">
        <f>VLOOKUP(C602,[1]master_data!$A$2:$E$495,5,FALSE)</f>
        <v>Aksesoris</v>
      </c>
      <c r="L602" s="5" t="s">
        <v>471</v>
      </c>
    </row>
    <row r="603" spans="1:12" ht="12" customHeight="1" x14ac:dyDescent="0.25">
      <c r="A603" s="6">
        <v>44863</v>
      </c>
      <c r="B603" s="1">
        <v>2203960</v>
      </c>
      <c r="C603" s="5" t="s">
        <v>457</v>
      </c>
      <c r="D603" s="5" t="str">
        <f>VLOOKUP(C603,[1]master_data!$A$2:$E$495,2,FALSE)</f>
        <v>ZEBRA PINK</v>
      </c>
      <c r="E603" s="5">
        <v>15</v>
      </c>
      <c r="F603" s="5">
        <f>VLOOKUP(C603,[1]master_data!$A$2:$E$495,3,FALSE)</f>
        <v>800</v>
      </c>
      <c r="G603" s="5">
        <f>VLOOKUP(C603,[1]master_data!$A$2:$E$495,4,FALSE)</f>
        <v>2000</v>
      </c>
      <c r="H603" s="5">
        <f t="shared" si="33"/>
        <v>12000</v>
      </c>
      <c r="I603" s="5">
        <f t="shared" si="34"/>
        <v>30000</v>
      </c>
      <c r="J603" s="5">
        <f t="shared" si="35"/>
        <v>18000</v>
      </c>
      <c r="K603" s="5" t="str">
        <f>VLOOKUP(C603,[1]master_data!$A$2:$E$495,5,FALSE)</f>
        <v>Ikan</v>
      </c>
      <c r="L603" s="5" t="s">
        <v>471</v>
      </c>
    </row>
    <row r="604" spans="1:12" ht="12" customHeight="1" x14ac:dyDescent="0.25">
      <c r="A604" s="6">
        <v>44863</v>
      </c>
      <c r="B604" s="1">
        <v>2203959</v>
      </c>
      <c r="C604" s="5" t="s">
        <v>456</v>
      </c>
      <c r="D604" s="5" t="str">
        <f>VLOOKUP(C604,[1]master_data!$A$2:$E$495,2,FALSE)</f>
        <v>TOMAN</v>
      </c>
      <c r="E604" s="5">
        <v>10</v>
      </c>
      <c r="F604" s="5">
        <f>VLOOKUP(C604,[1]master_data!$A$2:$E$495,3,FALSE)</f>
        <v>10000</v>
      </c>
      <c r="G604" s="5">
        <f>VLOOKUP(C604,[1]master_data!$A$2:$E$495,4,FALSE)</f>
        <v>25000</v>
      </c>
      <c r="H604" s="5">
        <f t="shared" si="33"/>
        <v>100000</v>
      </c>
      <c r="I604" s="5">
        <f t="shared" si="34"/>
        <v>250000</v>
      </c>
      <c r="J604" s="5">
        <f t="shared" si="35"/>
        <v>150000</v>
      </c>
      <c r="K604" s="5" t="str">
        <f>VLOOKUP(C604,[1]master_data!$A$2:$E$495,5,FALSE)</f>
        <v>Ikan</v>
      </c>
      <c r="L604" s="5" t="s">
        <v>471</v>
      </c>
    </row>
    <row r="605" spans="1:12" ht="12" customHeight="1" x14ac:dyDescent="0.25">
      <c r="A605" s="6">
        <v>44862</v>
      </c>
      <c r="B605" s="1">
        <v>2203958</v>
      </c>
      <c r="C605" s="5" t="s">
        <v>405</v>
      </c>
      <c r="D605" s="5" t="str">
        <f>VLOOKUP(C605,[1]master_data!$A$2:$E$495,2,FALSE)</f>
        <v>KOMET BOKIM</v>
      </c>
      <c r="E605" s="5">
        <v>15</v>
      </c>
      <c r="F605" s="5">
        <f>VLOOKUP(C605,[1]master_data!$A$2:$E$495,3,FALSE)</f>
        <v>1500</v>
      </c>
      <c r="G605" s="5">
        <f>VLOOKUP(C605,[1]master_data!$A$2:$E$495,4,FALSE)</f>
        <v>5000</v>
      </c>
      <c r="H605" s="5">
        <f t="shared" si="33"/>
        <v>22500</v>
      </c>
      <c r="I605" s="5">
        <f t="shared" si="34"/>
        <v>75000</v>
      </c>
      <c r="J605" s="5">
        <f t="shared" si="35"/>
        <v>52500</v>
      </c>
      <c r="K605" s="5" t="str">
        <f>VLOOKUP(C605,[1]master_data!$A$2:$E$495,5,FALSE)</f>
        <v>Ikan</v>
      </c>
      <c r="L605" s="5" t="s">
        <v>471</v>
      </c>
    </row>
    <row r="606" spans="1:12" ht="12" customHeight="1" x14ac:dyDescent="0.25">
      <c r="A606" s="6">
        <v>44862</v>
      </c>
      <c r="B606" s="1">
        <v>2203957</v>
      </c>
      <c r="C606" s="5" t="s">
        <v>283</v>
      </c>
      <c r="D606" s="5" t="str">
        <f>VLOOKUP(C606,[1]master_data!$A$2:$E$495,2,FALSE)</f>
        <v>KAPAS HITAM OXY</v>
      </c>
      <c r="E606" s="5">
        <v>15</v>
      </c>
      <c r="F606" s="5">
        <f>VLOOKUP(C606,[1]master_data!$A$2:$E$495,3,FALSE)</f>
        <v>7000</v>
      </c>
      <c r="G606" s="5">
        <f>VLOOKUP(C606,[1]master_data!$A$2:$E$495,4,FALSE)</f>
        <v>10000</v>
      </c>
      <c r="H606" s="5">
        <f t="shared" si="33"/>
        <v>105000</v>
      </c>
      <c r="I606" s="5">
        <f t="shared" si="34"/>
        <v>150000</v>
      </c>
      <c r="J606" s="5">
        <f t="shared" si="35"/>
        <v>45000</v>
      </c>
      <c r="K606" s="5" t="str">
        <f>VLOOKUP(C606,[1]master_data!$A$2:$E$495,5,FALSE)</f>
        <v>Aksesoris</v>
      </c>
      <c r="L606" s="5" t="s">
        <v>471</v>
      </c>
    </row>
    <row r="607" spans="1:12" ht="12" customHeight="1" x14ac:dyDescent="0.25">
      <c r="A607" s="6">
        <v>44862</v>
      </c>
      <c r="B607" s="1">
        <v>2203956</v>
      </c>
      <c r="C607" s="5" t="s">
        <v>393</v>
      </c>
      <c r="D607" s="5" t="str">
        <f>VLOOKUP(C607,[1]master_data!$A$2:$E$495,2,FALSE)</f>
        <v>CHANNA ANDRAO B</v>
      </c>
      <c r="E607" s="5">
        <v>1</v>
      </c>
      <c r="F607" s="5">
        <f>VLOOKUP(C607,[1]master_data!$A$2:$E$495,3,FALSE)</f>
        <v>100000</v>
      </c>
      <c r="G607" s="5">
        <f>VLOOKUP(C607,[1]master_data!$A$2:$E$495,4,FALSE)</f>
        <v>200000</v>
      </c>
      <c r="H607" s="5">
        <f t="shared" si="33"/>
        <v>100000</v>
      </c>
      <c r="I607" s="5">
        <f t="shared" si="34"/>
        <v>200000</v>
      </c>
      <c r="J607" s="5">
        <f t="shared" si="35"/>
        <v>100000</v>
      </c>
      <c r="K607" s="5" t="str">
        <f>VLOOKUP(C607,[1]master_data!$A$2:$E$495,5,FALSE)</f>
        <v>Ikan</v>
      </c>
      <c r="L607" s="5" t="s">
        <v>471</v>
      </c>
    </row>
    <row r="608" spans="1:12" ht="12" customHeight="1" x14ac:dyDescent="0.25">
      <c r="A608" s="6">
        <v>44862</v>
      </c>
      <c r="B608" s="1">
        <v>2203955</v>
      </c>
      <c r="C608" s="5" t="s">
        <v>294</v>
      </c>
      <c r="D608" s="5" t="str">
        <f>VLOOKUP(C608,[1]master_data!$A$2:$E$495,2,FALSE)</f>
        <v>LEM SEALANT</v>
      </c>
      <c r="E608" s="5">
        <v>1</v>
      </c>
      <c r="F608" s="5">
        <f>VLOOKUP(C608,[1]master_data!$A$2:$E$495,3,FALSE)</f>
        <v>7000</v>
      </c>
      <c r="G608" s="5">
        <f>VLOOKUP(C608,[1]master_data!$A$2:$E$495,4,FALSE)</f>
        <v>10000</v>
      </c>
      <c r="H608" s="5">
        <f t="shared" si="33"/>
        <v>7000</v>
      </c>
      <c r="I608" s="5">
        <f t="shared" si="34"/>
        <v>10000</v>
      </c>
      <c r="J608" s="5">
        <f t="shared" si="35"/>
        <v>3000</v>
      </c>
      <c r="K608" s="5" t="str">
        <f>VLOOKUP(C608,[1]master_data!$A$2:$E$495,5,FALSE)</f>
        <v>Aksesoris</v>
      </c>
      <c r="L608" s="5" t="s">
        <v>471</v>
      </c>
    </row>
    <row r="609" spans="1:12" ht="12" customHeight="1" x14ac:dyDescent="0.25">
      <c r="A609" s="6">
        <v>44862</v>
      </c>
      <c r="B609" s="1">
        <v>2203954</v>
      </c>
      <c r="C609" s="5" t="s">
        <v>67</v>
      </c>
      <c r="D609" s="5" t="str">
        <f>VLOOKUP(C609,[1]master_data!$A$2:$E$495,2,FALSE)</f>
        <v>MESIN RECENT 1200</v>
      </c>
      <c r="E609" s="5">
        <v>1</v>
      </c>
      <c r="F609" s="5">
        <f>VLOOKUP(C609,[1]master_data!$A$2:$E$495,3,FALSE)</f>
        <v>23000</v>
      </c>
      <c r="G609" s="5">
        <f>VLOOKUP(C609,[1]master_data!$A$2:$E$495,4,FALSE)</f>
        <v>35000</v>
      </c>
      <c r="H609" s="5">
        <f t="shared" si="33"/>
        <v>23000</v>
      </c>
      <c r="I609" s="5">
        <f t="shared" si="34"/>
        <v>35000</v>
      </c>
      <c r="J609" s="5">
        <f t="shared" si="35"/>
        <v>12000</v>
      </c>
      <c r="K609" s="5" t="str">
        <f>VLOOKUP(C609,[1]master_data!$A$2:$E$495,5,FALSE)</f>
        <v>Aksesoris</v>
      </c>
      <c r="L609" s="5" t="s">
        <v>471</v>
      </c>
    </row>
    <row r="610" spans="1:12" ht="12" customHeight="1" x14ac:dyDescent="0.25">
      <c r="A610" s="6">
        <v>44862</v>
      </c>
      <c r="B610" s="1">
        <v>2203953</v>
      </c>
      <c r="C610" s="5" t="s">
        <v>398</v>
      </c>
      <c r="D610" s="5" t="str">
        <f>VLOOKUP(C610,[1]master_data!$A$2:$E$495,2,FALSE)</f>
        <v>BIPOLAR</v>
      </c>
      <c r="E610" s="5">
        <v>10</v>
      </c>
      <c r="F610" s="5">
        <f>VLOOKUP(C610,[1]master_data!$A$2:$E$495,3,FALSE)</f>
        <v>1000</v>
      </c>
      <c r="G610" s="5">
        <f>VLOOKUP(C610,[1]master_data!$A$2:$E$495,4,FALSE)</f>
        <v>2500</v>
      </c>
      <c r="H610" s="5">
        <f t="shared" si="33"/>
        <v>10000</v>
      </c>
      <c r="I610" s="5">
        <f t="shared" si="34"/>
        <v>25000</v>
      </c>
      <c r="J610" s="5">
        <f t="shared" si="35"/>
        <v>15000</v>
      </c>
      <c r="K610" s="5" t="str">
        <f>VLOOKUP(C610,[1]master_data!$A$2:$E$495,5,FALSE)</f>
        <v>Ikan</v>
      </c>
      <c r="L610" s="5" t="s">
        <v>471</v>
      </c>
    </row>
    <row r="611" spans="1:12" ht="12" customHeight="1" x14ac:dyDescent="0.25">
      <c r="A611" s="6">
        <v>44862</v>
      </c>
      <c r="B611" s="1">
        <v>2203952</v>
      </c>
      <c r="C611" s="5" t="s">
        <v>22</v>
      </c>
      <c r="D611" s="5" t="str">
        <f>VLOOKUP(C611,[1]master_data!$A$2:$E$495,2,FALSE)</f>
        <v>MESIN ROSTON 2600</v>
      </c>
      <c r="E611" s="5">
        <v>2</v>
      </c>
      <c r="F611" s="5">
        <f>VLOOKUP(C611,[1]master_data!$A$2:$E$495,3,FALSE)</f>
        <v>45000</v>
      </c>
      <c r="G611" s="5">
        <f>VLOOKUP(C611,[1]master_data!$A$2:$E$495,4,FALSE)</f>
        <v>75000</v>
      </c>
      <c r="H611" s="5">
        <f t="shared" si="33"/>
        <v>90000</v>
      </c>
      <c r="I611" s="5">
        <f t="shared" si="34"/>
        <v>150000</v>
      </c>
      <c r="J611" s="5">
        <f t="shared" si="35"/>
        <v>60000</v>
      </c>
      <c r="K611" s="5" t="str">
        <f>VLOOKUP(C611,[1]master_data!$A$2:$E$495,5,FALSE)</f>
        <v>Aksesoris</v>
      </c>
      <c r="L611" s="5" t="s">
        <v>471</v>
      </c>
    </row>
    <row r="612" spans="1:12" ht="12" customHeight="1" x14ac:dyDescent="0.25">
      <c r="A612" s="6">
        <v>44862</v>
      </c>
      <c r="B612" s="1">
        <v>2203951</v>
      </c>
      <c r="C612" s="5" t="s">
        <v>144</v>
      </c>
      <c r="D612" s="5" t="str">
        <f>VLOOKUP(C612,[1]master_data!$A$2:$E$495,2,FALSE)</f>
        <v>LED KIYOSAKI 3 MODE 20 CM</v>
      </c>
      <c r="E612" s="5">
        <v>3</v>
      </c>
      <c r="F612" s="5">
        <f>VLOOKUP(C612,[1]master_data!$A$2:$E$495,3,FALSE)</f>
        <v>35000</v>
      </c>
      <c r="G612" s="5">
        <f>VLOOKUP(C612,[1]master_data!$A$2:$E$495,4,FALSE)</f>
        <v>50000</v>
      </c>
      <c r="H612" s="5">
        <f t="shared" si="33"/>
        <v>105000</v>
      </c>
      <c r="I612" s="5">
        <f t="shared" si="34"/>
        <v>150000</v>
      </c>
      <c r="J612" s="5">
        <f t="shared" si="35"/>
        <v>45000</v>
      </c>
      <c r="K612" s="5" t="str">
        <f>VLOOKUP(C612,[1]master_data!$A$2:$E$495,5,FALSE)</f>
        <v>Aksesoris</v>
      </c>
      <c r="L612" s="5" t="s">
        <v>471</v>
      </c>
    </row>
    <row r="613" spans="1:12" ht="12" customHeight="1" x14ac:dyDescent="0.25">
      <c r="A613" s="6">
        <v>44862</v>
      </c>
      <c r="B613" s="1">
        <v>2203950</v>
      </c>
      <c r="C613" s="5" t="s">
        <v>438</v>
      </c>
      <c r="D613" s="5" t="str">
        <f>VLOOKUP(C613,[1]master_data!$A$2:$E$495,2,FALSE)</f>
        <v>NENTINEN</v>
      </c>
      <c r="E613" s="5">
        <v>20</v>
      </c>
      <c r="F613" s="5">
        <f>VLOOKUP(C613,[1]master_data!$A$2:$E$495,3,FALSE)</f>
        <v>1000</v>
      </c>
      <c r="G613" s="5">
        <f>VLOOKUP(C613,[1]master_data!$A$2:$E$495,4,FALSE)</f>
        <v>2500</v>
      </c>
      <c r="H613" s="5">
        <f t="shared" si="33"/>
        <v>20000</v>
      </c>
      <c r="I613" s="5">
        <f t="shared" si="34"/>
        <v>50000</v>
      </c>
      <c r="J613" s="5">
        <f t="shared" si="35"/>
        <v>30000</v>
      </c>
      <c r="K613" s="5" t="str">
        <f>VLOOKUP(C613,[1]master_data!$A$2:$E$495,5,FALSE)</f>
        <v>Ikan</v>
      </c>
      <c r="L613" s="5" t="s">
        <v>471</v>
      </c>
    </row>
    <row r="614" spans="1:12" ht="12" customHeight="1" x14ac:dyDescent="0.25">
      <c r="A614" s="6">
        <v>44862</v>
      </c>
      <c r="B614" s="1">
        <v>2203949</v>
      </c>
      <c r="C614" s="5" t="s">
        <v>363</v>
      </c>
      <c r="D614" s="5" t="str">
        <f>VLOOKUP(C614,[1]master_data!$A$2:$E$495,2,FALSE)</f>
        <v>AKUARIUM 50 ROBOT</v>
      </c>
      <c r="E614" s="5">
        <v>1</v>
      </c>
      <c r="F614" s="5">
        <f>VLOOKUP(C614,[1]master_data!$A$2:$E$495,3,FALSE)</f>
        <v>115000</v>
      </c>
      <c r="G614" s="5">
        <f>VLOOKUP(C614,[1]master_data!$A$2:$E$495,4,FALSE)</f>
        <v>165000</v>
      </c>
      <c r="H614" s="5">
        <f t="shared" si="33"/>
        <v>115000</v>
      </c>
      <c r="I614" s="5">
        <f t="shared" si="34"/>
        <v>165000</v>
      </c>
      <c r="J614" s="5">
        <f t="shared" si="35"/>
        <v>50000</v>
      </c>
      <c r="K614" s="5" t="str">
        <f>VLOOKUP(C614,[1]master_data!$A$2:$E$495,5,FALSE)</f>
        <v>Aksesoris</v>
      </c>
      <c r="L614" s="5" t="s">
        <v>471</v>
      </c>
    </row>
    <row r="615" spans="1:12" ht="12" customHeight="1" x14ac:dyDescent="0.25">
      <c r="A615" s="6">
        <v>44862</v>
      </c>
      <c r="B615" s="1">
        <v>2203948</v>
      </c>
      <c r="C615" s="5" t="s">
        <v>166</v>
      </c>
      <c r="D615" s="5" t="str">
        <f>VLOOKUP(C615,[1]master_data!$A$2:$E$495,2,FALSE)</f>
        <v>LED KANDILA DnN 20 CM</v>
      </c>
      <c r="E615" s="5">
        <v>10</v>
      </c>
      <c r="F615" s="5">
        <f>VLOOKUP(C615,[1]master_data!$A$2:$E$495,3,FALSE)</f>
        <v>26000</v>
      </c>
      <c r="G615" s="5">
        <f>VLOOKUP(C615,[1]master_data!$A$2:$E$495,4,FALSE)</f>
        <v>40000</v>
      </c>
      <c r="H615" s="5">
        <f t="shared" si="33"/>
        <v>260000</v>
      </c>
      <c r="I615" s="5">
        <f t="shared" si="34"/>
        <v>400000</v>
      </c>
      <c r="J615" s="5">
        <f t="shared" si="35"/>
        <v>140000</v>
      </c>
      <c r="K615" s="5" t="str">
        <f>VLOOKUP(C615,[1]master_data!$A$2:$E$495,5,FALSE)</f>
        <v>Aksesoris</v>
      </c>
      <c r="L615" s="5" t="s">
        <v>471</v>
      </c>
    </row>
    <row r="616" spans="1:12" ht="12" customHeight="1" x14ac:dyDescent="0.25">
      <c r="A616" s="6">
        <v>44861</v>
      </c>
      <c r="B616" s="1">
        <v>2203947</v>
      </c>
      <c r="C616" s="5" t="s">
        <v>123</v>
      </c>
      <c r="D616" s="5" t="str">
        <f>VLOOKUP(C616,[1]master_data!$A$2:$E$495,2,FALSE)</f>
        <v>LED ROSTON 3 MODE 60 CM</v>
      </c>
      <c r="E616" s="5">
        <v>10</v>
      </c>
      <c r="F616" s="5">
        <f>VLOOKUP(C616,[1]master_data!$A$2:$E$495,3,FALSE)</f>
        <v>33000</v>
      </c>
      <c r="G616" s="5">
        <f>VLOOKUP(C616,[1]master_data!$A$2:$E$495,4,FALSE)</f>
        <v>70000</v>
      </c>
      <c r="H616" s="5">
        <f t="shared" si="33"/>
        <v>330000</v>
      </c>
      <c r="I616" s="5">
        <f t="shared" si="34"/>
        <v>700000</v>
      </c>
      <c r="J616" s="5">
        <f t="shared" si="35"/>
        <v>370000</v>
      </c>
      <c r="K616" s="5" t="str">
        <f>VLOOKUP(C616,[1]master_data!$A$2:$E$495,5,FALSE)</f>
        <v>Aksesoris</v>
      </c>
      <c r="L616" s="5" t="s">
        <v>471</v>
      </c>
    </row>
    <row r="617" spans="1:12" ht="12" customHeight="1" x14ac:dyDescent="0.25">
      <c r="A617" s="6">
        <v>44861</v>
      </c>
      <c r="B617" s="1">
        <v>2203946</v>
      </c>
      <c r="C617" s="5" t="s">
        <v>457</v>
      </c>
      <c r="D617" s="5" t="str">
        <f>VLOOKUP(C617,[1]master_data!$A$2:$E$495,2,FALSE)</f>
        <v>ZEBRA PINK</v>
      </c>
      <c r="E617" s="5">
        <v>18</v>
      </c>
      <c r="F617" s="5">
        <f>VLOOKUP(C617,[1]master_data!$A$2:$E$495,3,FALSE)</f>
        <v>800</v>
      </c>
      <c r="G617" s="5">
        <f>VLOOKUP(C617,[1]master_data!$A$2:$E$495,4,FALSE)</f>
        <v>2000</v>
      </c>
      <c r="H617" s="5">
        <f t="shared" si="33"/>
        <v>14400</v>
      </c>
      <c r="I617" s="5">
        <f t="shared" si="34"/>
        <v>36000</v>
      </c>
      <c r="J617" s="5">
        <f t="shared" si="35"/>
        <v>21600</v>
      </c>
      <c r="K617" s="5" t="str">
        <f>VLOOKUP(C617,[1]master_data!$A$2:$E$495,5,FALSE)</f>
        <v>Ikan</v>
      </c>
      <c r="L617" s="5" t="s">
        <v>471</v>
      </c>
    </row>
    <row r="618" spans="1:12" ht="12" customHeight="1" x14ac:dyDescent="0.25">
      <c r="A618" s="6">
        <v>44861</v>
      </c>
      <c r="B618" s="1">
        <v>2203945</v>
      </c>
      <c r="C618" s="5" t="s">
        <v>419</v>
      </c>
      <c r="D618" s="5" t="str">
        <f>VLOOKUP(C618,[1]master_data!$A$2:$E$495,2,FALSE)</f>
        <v>KURA - KURA</v>
      </c>
      <c r="E618" s="5">
        <v>1</v>
      </c>
      <c r="F618" s="5">
        <f>VLOOKUP(C618,[1]master_data!$A$2:$E$495,3,FALSE)</f>
        <v>25000</v>
      </c>
      <c r="G618" s="5">
        <f>VLOOKUP(C618,[1]master_data!$A$2:$E$495,4,FALSE)</f>
        <v>35000</v>
      </c>
      <c r="H618" s="5">
        <f t="shared" si="33"/>
        <v>25000</v>
      </c>
      <c r="I618" s="5">
        <f t="shared" si="34"/>
        <v>35000</v>
      </c>
      <c r="J618" s="5">
        <f t="shared" si="35"/>
        <v>10000</v>
      </c>
      <c r="K618" s="5" t="str">
        <f>VLOOKUP(C618,[1]master_data!$A$2:$E$495,5,FALSE)</f>
        <v>Ikan</v>
      </c>
      <c r="L618" s="5" t="s">
        <v>471</v>
      </c>
    </row>
    <row r="619" spans="1:12" ht="12" customHeight="1" x14ac:dyDescent="0.25">
      <c r="A619" s="6">
        <v>44861</v>
      </c>
      <c r="B619" s="1">
        <v>2203944</v>
      </c>
      <c r="C619" s="5" t="s">
        <v>422</v>
      </c>
      <c r="D619" s="5" t="str">
        <f>VLOOKUP(C619,[1]master_data!$A$2:$E$495,2,FALSE)</f>
        <v>KOMET SLAYER</v>
      </c>
      <c r="E619" s="5">
        <v>20</v>
      </c>
      <c r="F619" s="5">
        <f>VLOOKUP(C619,[1]master_data!$A$2:$E$495,3,FALSE)</f>
        <v>2000</v>
      </c>
      <c r="G619" s="5">
        <f>VLOOKUP(C619,[1]master_data!$A$2:$E$495,4,FALSE)</f>
        <v>5000</v>
      </c>
      <c r="H619" s="5">
        <f t="shared" si="33"/>
        <v>40000</v>
      </c>
      <c r="I619" s="5">
        <f t="shared" si="34"/>
        <v>100000</v>
      </c>
      <c r="J619" s="5">
        <f t="shared" si="35"/>
        <v>60000</v>
      </c>
      <c r="K619" s="5" t="str">
        <f>VLOOKUP(C619,[1]master_data!$A$2:$E$495,5,FALSE)</f>
        <v>Ikan</v>
      </c>
      <c r="L619" s="5" t="s">
        <v>471</v>
      </c>
    </row>
    <row r="620" spans="1:12" ht="12" customHeight="1" x14ac:dyDescent="0.25">
      <c r="A620" s="6">
        <v>44861</v>
      </c>
      <c r="B620" s="1">
        <v>2203943</v>
      </c>
      <c r="C620" s="5" t="s">
        <v>423</v>
      </c>
      <c r="D620" s="5" t="str">
        <f>VLOOKUP(C620,[1]master_data!$A$2:$E$495,2,FALSE)</f>
        <v>KOI SLAYER K</v>
      </c>
      <c r="E620" s="5">
        <v>15</v>
      </c>
      <c r="F620" s="5">
        <f>VLOOKUP(C620,[1]master_data!$A$2:$E$495,3,FALSE)</f>
        <v>3500</v>
      </c>
      <c r="G620" s="5">
        <f>VLOOKUP(C620,[1]master_data!$A$2:$E$495,4,FALSE)</f>
        <v>10000</v>
      </c>
      <c r="H620" s="5">
        <f t="shared" si="33"/>
        <v>52500</v>
      </c>
      <c r="I620" s="5">
        <f t="shared" si="34"/>
        <v>150000</v>
      </c>
      <c r="J620" s="5">
        <f t="shared" si="35"/>
        <v>97500</v>
      </c>
      <c r="K620" s="5" t="str">
        <f>VLOOKUP(C620,[1]master_data!$A$2:$E$495,5,FALSE)</f>
        <v>Ikan</v>
      </c>
      <c r="L620" s="5" t="s">
        <v>471</v>
      </c>
    </row>
    <row r="621" spans="1:12" ht="12" customHeight="1" x14ac:dyDescent="0.25">
      <c r="A621" s="6">
        <v>44860</v>
      </c>
      <c r="B621" s="1">
        <v>2203942</v>
      </c>
      <c r="C621" s="5" t="s">
        <v>455</v>
      </c>
      <c r="D621" s="5" t="str">
        <f>VLOOKUP(C621,[1]master_data!$A$2:$E$495,2,FALSE)</f>
        <v>TETRA</v>
      </c>
      <c r="E621" s="5">
        <v>7</v>
      </c>
      <c r="F621" s="5">
        <f>VLOOKUP(C621,[1]master_data!$A$2:$E$495,3,FALSE)</f>
        <v>800</v>
      </c>
      <c r="G621" s="5">
        <f>VLOOKUP(C621,[1]master_data!$A$2:$E$495,4,FALSE)</f>
        <v>2000</v>
      </c>
      <c r="H621" s="5">
        <f t="shared" si="33"/>
        <v>5600</v>
      </c>
      <c r="I621" s="5">
        <f t="shared" si="34"/>
        <v>14000</v>
      </c>
      <c r="J621" s="5">
        <f t="shared" si="35"/>
        <v>8400</v>
      </c>
      <c r="K621" s="5" t="str">
        <f>VLOOKUP(C621,[1]master_data!$A$2:$E$495,5,FALSE)</f>
        <v>Ikan</v>
      </c>
      <c r="L621" s="5" t="s">
        <v>471</v>
      </c>
    </row>
    <row r="622" spans="1:12" ht="12" customHeight="1" x14ac:dyDescent="0.25">
      <c r="A622" s="6">
        <v>44860</v>
      </c>
      <c r="B622" s="1">
        <v>2203941</v>
      </c>
      <c r="C622" s="5" t="s">
        <v>391</v>
      </c>
      <c r="D622" s="5" t="str">
        <f>VLOOKUP(C622,[1]master_data!$A$2:$E$495,2,FALSE)</f>
        <v>CHANNA ANDRAO K</v>
      </c>
      <c r="E622" s="5">
        <v>10</v>
      </c>
      <c r="F622" s="5">
        <f>VLOOKUP(C622,[1]master_data!$A$2:$E$495,3,FALSE)</f>
        <v>20000</v>
      </c>
      <c r="G622" s="5">
        <f>VLOOKUP(C622,[1]master_data!$A$2:$E$495,4,FALSE)</f>
        <v>50000</v>
      </c>
      <c r="H622" s="5">
        <f t="shared" si="33"/>
        <v>200000</v>
      </c>
      <c r="I622" s="5">
        <f t="shared" si="34"/>
        <v>500000</v>
      </c>
      <c r="J622" s="5">
        <f t="shared" si="35"/>
        <v>300000</v>
      </c>
      <c r="K622" s="5" t="str">
        <f>VLOOKUP(C622,[1]master_data!$A$2:$E$495,5,FALSE)</f>
        <v>Ikan</v>
      </c>
      <c r="L622" s="5" t="s">
        <v>471</v>
      </c>
    </row>
    <row r="623" spans="1:12" ht="12" customHeight="1" x14ac:dyDescent="0.25">
      <c r="A623" s="6">
        <v>44860</v>
      </c>
      <c r="B623" s="1">
        <v>2203940</v>
      </c>
      <c r="C623" s="5" t="s">
        <v>329</v>
      </c>
      <c r="D623" s="5" t="str">
        <f>VLOOKUP(C623,[1]master_data!$A$2:$E$495,2,FALSE)</f>
        <v>AIRSTONE D2L5</v>
      </c>
      <c r="E623" s="5">
        <v>20</v>
      </c>
      <c r="F623" s="5">
        <f>VLOOKUP(C623,[1]master_data!$A$2:$E$495,3,FALSE)</f>
        <v>1850</v>
      </c>
      <c r="G623" s="5">
        <f>VLOOKUP(C623,[1]master_data!$A$2:$E$495,4,FALSE)</f>
        <v>5000</v>
      </c>
      <c r="H623" s="5">
        <f t="shared" si="33"/>
        <v>37000</v>
      </c>
      <c r="I623" s="5">
        <f t="shared" si="34"/>
        <v>100000</v>
      </c>
      <c r="J623" s="5">
        <f t="shared" si="35"/>
        <v>63000</v>
      </c>
      <c r="K623" s="5" t="str">
        <f>VLOOKUP(C623,[1]master_data!$A$2:$E$495,5,FALSE)</f>
        <v>Aksesoris</v>
      </c>
      <c r="L623" s="5" t="s">
        <v>471</v>
      </c>
    </row>
    <row r="624" spans="1:12" ht="12" customHeight="1" x14ac:dyDescent="0.25">
      <c r="A624" s="6">
        <v>44860</v>
      </c>
      <c r="B624" s="1">
        <v>2203939</v>
      </c>
      <c r="C624" s="5" t="s">
        <v>408</v>
      </c>
      <c r="D624" s="5" t="str">
        <f>VLOOKUP(C624,[1]master_data!$A$2:$E$495,2,FALSE)</f>
        <v>CATFISH</v>
      </c>
      <c r="E624" s="5">
        <v>1</v>
      </c>
      <c r="F624" s="5">
        <f>VLOOKUP(C624,[1]master_data!$A$2:$E$495,3,FALSE)</f>
        <v>20000</v>
      </c>
      <c r="G624" s="5">
        <f>VLOOKUP(C624,[1]master_data!$A$2:$E$495,4,FALSE)</f>
        <v>50000</v>
      </c>
      <c r="H624" s="5">
        <f t="shared" si="33"/>
        <v>20000</v>
      </c>
      <c r="I624" s="5">
        <f t="shared" si="34"/>
        <v>50000</v>
      </c>
      <c r="J624" s="5">
        <f t="shared" si="35"/>
        <v>30000</v>
      </c>
      <c r="K624" s="5" t="str">
        <f>VLOOKUP(C624,[1]master_data!$A$2:$E$495,5,FALSE)</f>
        <v>Ikan</v>
      </c>
      <c r="L624" s="5" t="s">
        <v>471</v>
      </c>
    </row>
    <row r="625" spans="1:12" ht="12" customHeight="1" x14ac:dyDescent="0.25">
      <c r="A625" s="6">
        <v>44860</v>
      </c>
      <c r="B625" s="1">
        <v>2203938</v>
      </c>
      <c r="C625" s="5" t="s">
        <v>422</v>
      </c>
      <c r="D625" s="5" t="str">
        <f>VLOOKUP(C625,[1]master_data!$A$2:$E$495,2,FALSE)</f>
        <v>KOMET SLAYER</v>
      </c>
      <c r="E625" s="5">
        <v>1</v>
      </c>
      <c r="F625" s="5">
        <f>VLOOKUP(C625,[1]master_data!$A$2:$E$495,3,FALSE)</f>
        <v>2000</v>
      </c>
      <c r="G625" s="5">
        <f>VLOOKUP(C625,[1]master_data!$A$2:$E$495,4,FALSE)</f>
        <v>5000</v>
      </c>
      <c r="H625" s="5">
        <f t="shared" si="33"/>
        <v>2000</v>
      </c>
      <c r="I625" s="5">
        <f t="shared" si="34"/>
        <v>5000</v>
      </c>
      <c r="J625" s="5">
        <f t="shared" si="35"/>
        <v>3000</v>
      </c>
      <c r="K625" s="5" t="str">
        <f>VLOOKUP(C625,[1]master_data!$A$2:$E$495,5,FALSE)</f>
        <v>Ikan</v>
      </c>
      <c r="L625" s="5" t="s">
        <v>471</v>
      </c>
    </row>
    <row r="626" spans="1:12" ht="12" customHeight="1" x14ac:dyDescent="0.25">
      <c r="A626" s="6">
        <v>44860</v>
      </c>
      <c r="B626" s="1">
        <v>2203937</v>
      </c>
      <c r="C626" s="5" t="s">
        <v>231</v>
      </c>
      <c r="D626" s="5" t="str">
        <f>VLOOKUP(C626,[1]master_data!$A$2:$E$495,2,FALSE)</f>
        <v>OK IKO LOUHAN HITAM</v>
      </c>
      <c r="E626" s="5">
        <v>8</v>
      </c>
      <c r="F626" s="5">
        <f>VLOOKUP(C626,[1]master_data!$A$2:$E$495,3,FALSE)</f>
        <v>31500</v>
      </c>
      <c r="G626" s="5">
        <f>VLOOKUP(C626,[1]master_data!$A$2:$E$495,4,FALSE)</f>
        <v>50000</v>
      </c>
      <c r="H626" s="5">
        <f t="shared" si="33"/>
        <v>252000</v>
      </c>
      <c r="I626" s="5">
        <f t="shared" si="34"/>
        <v>400000</v>
      </c>
      <c r="J626" s="5">
        <f t="shared" si="35"/>
        <v>148000</v>
      </c>
      <c r="K626" s="5" t="str">
        <f>VLOOKUP(C626,[1]master_data!$A$2:$E$495,5,FALSE)</f>
        <v>Aksesoris</v>
      </c>
      <c r="L626" s="5" t="s">
        <v>471</v>
      </c>
    </row>
    <row r="627" spans="1:12" ht="12" customHeight="1" x14ac:dyDescent="0.25">
      <c r="A627" s="6">
        <v>44859</v>
      </c>
      <c r="B627" s="1">
        <v>2203936</v>
      </c>
      <c r="C627" s="5" t="s">
        <v>358</v>
      </c>
      <c r="D627" s="5" t="str">
        <f>VLOOKUP(C627,[1]master_data!$A$2:$E$495,2,FALSE)</f>
        <v>TOPLES 7,2 L</v>
      </c>
      <c r="E627" s="5">
        <v>2</v>
      </c>
      <c r="F627" s="5">
        <f>VLOOKUP(C627,[1]master_data!$A$2:$E$495,3,FALSE)</f>
        <v>45000</v>
      </c>
      <c r="G627" s="5">
        <f>VLOOKUP(C627,[1]master_data!$A$2:$E$495,4,FALSE)</f>
        <v>100000</v>
      </c>
      <c r="H627" s="5">
        <f t="shared" si="33"/>
        <v>90000</v>
      </c>
      <c r="I627" s="5">
        <f t="shared" si="34"/>
        <v>200000</v>
      </c>
      <c r="J627" s="5">
        <f t="shared" si="35"/>
        <v>110000</v>
      </c>
      <c r="K627" s="5" t="str">
        <f>VLOOKUP(C627,[1]master_data!$A$2:$E$495,5,FALSE)</f>
        <v>Aksesoris</v>
      </c>
      <c r="L627" s="5" t="s">
        <v>471</v>
      </c>
    </row>
    <row r="628" spans="1:12" ht="12" customHeight="1" x14ac:dyDescent="0.25">
      <c r="A628" s="6">
        <v>44859</v>
      </c>
      <c r="B628" s="1">
        <v>2203935</v>
      </c>
      <c r="C628" s="5" t="s">
        <v>441</v>
      </c>
      <c r="D628" s="5" t="str">
        <f>VLOOKUP(C628,[1]master_data!$A$2:$E$495,2,FALSE)</f>
        <v>PEMBERSIH KACA BIASA</v>
      </c>
      <c r="E628" s="5">
        <v>20</v>
      </c>
      <c r="F628" s="5">
        <f>VLOOKUP(C628,[1]master_data!$A$2:$E$495,3,FALSE)</f>
        <v>2000</v>
      </c>
      <c r="G628" s="5">
        <f>VLOOKUP(C628,[1]master_data!$A$2:$E$495,4,FALSE)</f>
        <v>5000</v>
      </c>
      <c r="H628" s="5">
        <f t="shared" si="33"/>
        <v>40000</v>
      </c>
      <c r="I628" s="5">
        <f t="shared" si="34"/>
        <v>100000</v>
      </c>
      <c r="J628" s="5">
        <f t="shared" si="35"/>
        <v>60000</v>
      </c>
      <c r="K628" s="5" t="str">
        <f>VLOOKUP(C628,[1]master_data!$A$2:$E$495,5,FALSE)</f>
        <v>Ikan</v>
      </c>
      <c r="L628" s="5" t="s">
        <v>471</v>
      </c>
    </row>
    <row r="629" spans="1:12" ht="12" customHeight="1" x14ac:dyDescent="0.25">
      <c r="A629" s="6">
        <v>44859</v>
      </c>
      <c r="B629" s="1">
        <v>2203934</v>
      </c>
      <c r="C629" s="5" t="s">
        <v>231</v>
      </c>
      <c r="D629" s="5" t="str">
        <f>VLOOKUP(C629,[1]master_data!$A$2:$E$495,2,FALSE)</f>
        <v>OK IKO LOUHAN HITAM</v>
      </c>
      <c r="E629" s="5">
        <v>10</v>
      </c>
      <c r="F629" s="5">
        <f>VLOOKUP(C629,[1]master_data!$A$2:$E$495,3,FALSE)</f>
        <v>31500</v>
      </c>
      <c r="G629" s="5">
        <f>VLOOKUP(C629,[1]master_data!$A$2:$E$495,4,FALSE)</f>
        <v>50000</v>
      </c>
      <c r="H629" s="5">
        <f t="shared" si="33"/>
        <v>315000</v>
      </c>
      <c r="I629" s="5">
        <f t="shared" si="34"/>
        <v>500000</v>
      </c>
      <c r="J629" s="5">
        <f t="shared" si="35"/>
        <v>185000</v>
      </c>
      <c r="K629" s="5" t="str">
        <f>VLOOKUP(C629,[1]master_data!$A$2:$E$495,5,FALSE)</f>
        <v>Aksesoris</v>
      </c>
      <c r="L629" s="5" t="s">
        <v>471</v>
      </c>
    </row>
    <row r="630" spans="1:12" ht="12" customHeight="1" x14ac:dyDescent="0.25">
      <c r="A630" s="6">
        <v>44859</v>
      </c>
      <c r="B630" s="1">
        <v>2203933</v>
      </c>
      <c r="C630" s="5" t="s">
        <v>419</v>
      </c>
      <c r="D630" s="5" t="str">
        <f>VLOOKUP(C630,[1]master_data!$A$2:$E$495,2,FALSE)</f>
        <v>KURA - KURA</v>
      </c>
      <c r="E630" s="5">
        <v>1</v>
      </c>
      <c r="F630" s="5">
        <f>VLOOKUP(C630,[1]master_data!$A$2:$E$495,3,FALSE)</f>
        <v>25000</v>
      </c>
      <c r="G630" s="5">
        <f>VLOOKUP(C630,[1]master_data!$A$2:$E$495,4,FALSE)</f>
        <v>35000</v>
      </c>
      <c r="H630" s="5">
        <f t="shared" si="33"/>
        <v>25000</v>
      </c>
      <c r="I630" s="5">
        <f t="shared" si="34"/>
        <v>35000</v>
      </c>
      <c r="J630" s="5">
        <f t="shared" si="35"/>
        <v>10000</v>
      </c>
      <c r="K630" s="5" t="str">
        <f>VLOOKUP(C630,[1]master_data!$A$2:$E$495,5,FALSE)</f>
        <v>Ikan</v>
      </c>
      <c r="L630" s="5" t="s">
        <v>471</v>
      </c>
    </row>
    <row r="631" spans="1:12" ht="12" customHeight="1" x14ac:dyDescent="0.25">
      <c r="A631" s="6">
        <v>44859</v>
      </c>
      <c r="B631" s="1">
        <v>2203932</v>
      </c>
      <c r="C631" s="5" t="s">
        <v>398</v>
      </c>
      <c r="D631" s="5" t="str">
        <f>VLOOKUP(C631,[1]master_data!$A$2:$E$495,2,FALSE)</f>
        <v>BIPOLAR</v>
      </c>
      <c r="E631" s="5">
        <v>15</v>
      </c>
      <c r="F631" s="5">
        <f>VLOOKUP(C631,[1]master_data!$A$2:$E$495,3,FALSE)</f>
        <v>1000</v>
      </c>
      <c r="G631" s="5">
        <f>VLOOKUP(C631,[1]master_data!$A$2:$E$495,4,FALSE)</f>
        <v>2500</v>
      </c>
      <c r="H631" s="5">
        <f t="shared" si="33"/>
        <v>15000</v>
      </c>
      <c r="I631" s="5">
        <f t="shared" si="34"/>
        <v>37500</v>
      </c>
      <c r="J631" s="5">
        <f t="shared" si="35"/>
        <v>22500</v>
      </c>
      <c r="K631" s="5" t="str">
        <f>VLOOKUP(C631,[1]master_data!$A$2:$E$495,5,FALSE)</f>
        <v>Ikan</v>
      </c>
      <c r="L631" s="5" t="s">
        <v>471</v>
      </c>
    </row>
    <row r="632" spans="1:12" ht="12" customHeight="1" x14ac:dyDescent="0.25">
      <c r="A632" s="6">
        <v>44859</v>
      </c>
      <c r="B632" s="1">
        <v>2203931</v>
      </c>
      <c r="C632" s="5" t="s">
        <v>421</v>
      </c>
      <c r="D632" s="5" t="str">
        <f>VLOOKUP(C632,[1]master_data!$A$2:$E$495,2,FALSE)</f>
        <v>KOMET PAKAN</v>
      </c>
      <c r="E632" s="5">
        <v>25</v>
      </c>
      <c r="F632" s="5">
        <f>VLOOKUP(C632,[1]master_data!$A$2:$E$495,3,FALSE)</f>
        <v>300</v>
      </c>
      <c r="G632" s="5">
        <f>VLOOKUP(C632,[1]master_data!$A$2:$E$495,4,FALSE)</f>
        <v>1000</v>
      </c>
      <c r="H632" s="5">
        <f t="shared" si="33"/>
        <v>7500</v>
      </c>
      <c r="I632" s="5">
        <f t="shared" si="34"/>
        <v>25000</v>
      </c>
      <c r="J632" s="5">
        <f t="shared" si="35"/>
        <v>17500</v>
      </c>
      <c r="K632" s="5" t="str">
        <f>VLOOKUP(C632,[1]master_data!$A$2:$E$495,5,FALSE)</f>
        <v>Ikan</v>
      </c>
      <c r="L632" s="5" t="s">
        <v>471</v>
      </c>
    </row>
    <row r="633" spans="1:12" ht="12" customHeight="1" x14ac:dyDescent="0.25">
      <c r="A633" s="6">
        <v>44859</v>
      </c>
      <c r="B633" s="1">
        <v>2203930</v>
      </c>
      <c r="C633" s="5" t="s">
        <v>214</v>
      </c>
      <c r="D633" s="5" t="str">
        <f>VLOOKUP(C633,[1]master_data!$A$2:$E$495,2,FALSE)</f>
        <v>ARTEMIA SUPREME PLUS</v>
      </c>
      <c r="E633" s="5">
        <v>5</v>
      </c>
      <c r="F633" s="5">
        <f>VLOOKUP(C633,[1]master_data!$A$2:$E$495,3,FALSE)</f>
        <v>14500</v>
      </c>
      <c r="G633" s="5">
        <f>VLOOKUP(C633,[1]master_data!$A$2:$E$495,4,FALSE)</f>
        <v>25000</v>
      </c>
      <c r="H633" s="5">
        <f t="shared" si="33"/>
        <v>72500</v>
      </c>
      <c r="I633" s="5">
        <f t="shared" si="34"/>
        <v>125000</v>
      </c>
      <c r="J633" s="5">
        <f t="shared" si="35"/>
        <v>52500</v>
      </c>
      <c r="K633" s="5" t="str">
        <f>VLOOKUP(C633,[1]master_data!$A$2:$E$495,5,FALSE)</f>
        <v>Aksesoris</v>
      </c>
      <c r="L633" s="5" t="s">
        <v>471</v>
      </c>
    </row>
    <row r="634" spans="1:12" ht="12" customHeight="1" x14ac:dyDescent="0.25">
      <c r="A634" s="6">
        <v>44859</v>
      </c>
      <c r="B634" s="1">
        <v>2203929</v>
      </c>
      <c r="C634" s="5" t="s">
        <v>352</v>
      </c>
      <c r="D634" s="5" t="str">
        <f>VLOOKUP(C634,[1]master_data!$A$2:$E$495,2,FALSE)</f>
        <v>AKUARIUM BAHARI M</v>
      </c>
      <c r="E634" s="5">
        <v>2</v>
      </c>
      <c r="F634" s="5">
        <f>VLOOKUP(C634,[1]master_data!$A$2:$E$495,3,FALSE)</f>
        <v>82000</v>
      </c>
      <c r="G634" s="5">
        <f>VLOOKUP(C634,[1]master_data!$A$2:$E$495,4,FALSE)</f>
        <v>130000</v>
      </c>
      <c r="H634" s="5">
        <f t="shared" si="33"/>
        <v>164000</v>
      </c>
      <c r="I634" s="5">
        <f t="shared" si="34"/>
        <v>260000</v>
      </c>
      <c r="J634" s="5">
        <f t="shared" si="35"/>
        <v>96000</v>
      </c>
      <c r="K634" s="5" t="str">
        <f>VLOOKUP(C634,[1]master_data!$A$2:$E$495,5,FALSE)</f>
        <v>Aksesoris</v>
      </c>
      <c r="L634" s="5" t="s">
        <v>471</v>
      </c>
    </row>
    <row r="635" spans="1:12" ht="12" customHeight="1" x14ac:dyDescent="0.25">
      <c r="A635" s="6">
        <v>44858</v>
      </c>
      <c r="B635" s="1">
        <v>2203928</v>
      </c>
      <c r="C635" s="5" t="s">
        <v>21</v>
      </c>
      <c r="D635" s="5" t="str">
        <f>VLOOKUP(C635,[1]master_data!$A$2:$E$495,2,FALSE)</f>
        <v>MESIN ROSTON 1600</v>
      </c>
      <c r="E635" s="5">
        <v>5</v>
      </c>
      <c r="F635" s="5">
        <f>VLOOKUP(C635,[1]master_data!$A$2:$E$495,3,FALSE)</f>
        <v>40000</v>
      </c>
      <c r="G635" s="5">
        <f>VLOOKUP(C635,[1]master_data!$A$2:$E$495,4,FALSE)</f>
        <v>55000</v>
      </c>
      <c r="H635" s="5">
        <f t="shared" si="33"/>
        <v>200000</v>
      </c>
      <c r="I635" s="5">
        <f t="shared" si="34"/>
        <v>275000</v>
      </c>
      <c r="J635" s="5">
        <f t="shared" si="35"/>
        <v>75000</v>
      </c>
      <c r="K635" s="5" t="str">
        <f>VLOOKUP(C635,[1]master_data!$A$2:$E$495,5,FALSE)</f>
        <v>Aksesoris</v>
      </c>
      <c r="L635" s="5" t="s">
        <v>471</v>
      </c>
    </row>
    <row r="636" spans="1:12" ht="12" customHeight="1" x14ac:dyDescent="0.25">
      <c r="A636" s="6">
        <v>44858</v>
      </c>
      <c r="B636" s="1">
        <v>2203927</v>
      </c>
      <c r="C636" s="5" t="s">
        <v>412</v>
      </c>
      <c r="D636" s="5" t="str">
        <f>VLOOKUP(C636,[1]master_data!$A$2:$E$495,2,FALSE)</f>
        <v>HIU TAWAR</v>
      </c>
      <c r="E636" s="5">
        <v>15</v>
      </c>
      <c r="F636" s="5">
        <f>VLOOKUP(C636,[1]master_data!$A$2:$E$495,3,FALSE)</f>
        <v>600</v>
      </c>
      <c r="G636" s="5">
        <f>VLOOKUP(C636,[1]master_data!$A$2:$E$495,4,FALSE)</f>
        <v>2000</v>
      </c>
      <c r="H636" s="5">
        <f t="shared" si="33"/>
        <v>9000</v>
      </c>
      <c r="I636" s="5">
        <f t="shared" si="34"/>
        <v>30000</v>
      </c>
      <c r="J636" s="5">
        <f t="shared" si="35"/>
        <v>21000</v>
      </c>
      <c r="K636" s="5" t="str">
        <f>VLOOKUP(C636,[1]master_data!$A$2:$E$495,5,FALSE)</f>
        <v>Ikan</v>
      </c>
      <c r="L636" s="5" t="s">
        <v>471</v>
      </c>
    </row>
    <row r="637" spans="1:12" ht="12" customHeight="1" x14ac:dyDescent="0.25">
      <c r="A637" s="6">
        <v>44858</v>
      </c>
      <c r="B637" s="1">
        <v>2203926</v>
      </c>
      <c r="C637" s="5" t="s">
        <v>459</v>
      </c>
      <c r="D637" s="5" t="str">
        <f>VLOOKUP(C637,[1]master_data!$A$2:$E$495,2,FALSE)</f>
        <v>ZEBRA UNGU</v>
      </c>
      <c r="E637" s="5">
        <v>25</v>
      </c>
      <c r="F637" s="5">
        <f>VLOOKUP(C637,[1]master_data!$A$2:$E$495,3,FALSE)</f>
        <v>800</v>
      </c>
      <c r="G637" s="5">
        <f>VLOOKUP(C637,[1]master_data!$A$2:$E$495,4,FALSE)</f>
        <v>2000</v>
      </c>
      <c r="H637" s="5">
        <f t="shared" si="33"/>
        <v>20000</v>
      </c>
      <c r="I637" s="5">
        <f t="shared" si="34"/>
        <v>50000</v>
      </c>
      <c r="J637" s="5">
        <f t="shared" si="35"/>
        <v>30000</v>
      </c>
      <c r="K637" s="5" t="str">
        <f>VLOOKUP(C637,[1]master_data!$A$2:$E$495,5,FALSE)</f>
        <v>Ikan</v>
      </c>
      <c r="L637" s="5" t="s">
        <v>471</v>
      </c>
    </row>
    <row r="638" spans="1:12" ht="12" customHeight="1" x14ac:dyDescent="0.25">
      <c r="A638" s="6">
        <v>44858</v>
      </c>
      <c r="B638" s="1">
        <v>2203925</v>
      </c>
      <c r="C638" s="5" t="s">
        <v>427</v>
      </c>
      <c r="D638" s="5" t="str">
        <f>VLOOKUP(C638,[1]master_data!$A$2:$E$495,2,FALSE)</f>
        <v>LEMON</v>
      </c>
      <c r="E638" s="5">
        <v>25</v>
      </c>
      <c r="F638" s="5">
        <f>VLOOKUP(C638,[1]master_data!$A$2:$E$495,3,FALSE)</f>
        <v>1000</v>
      </c>
      <c r="G638" s="5">
        <f>VLOOKUP(C638,[1]master_data!$A$2:$E$495,4,FALSE)</f>
        <v>2000</v>
      </c>
      <c r="H638" s="5">
        <f t="shared" si="33"/>
        <v>25000</v>
      </c>
      <c r="I638" s="5">
        <f t="shared" si="34"/>
        <v>50000</v>
      </c>
      <c r="J638" s="5">
        <f t="shared" si="35"/>
        <v>25000</v>
      </c>
      <c r="K638" s="5" t="str">
        <f>VLOOKUP(C638,[1]master_data!$A$2:$E$495,5,FALSE)</f>
        <v>Ikan</v>
      </c>
      <c r="L638" s="5" t="s">
        <v>471</v>
      </c>
    </row>
    <row r="639" spans="1:12" ht="12" customHeight="1" x14ac:dyDescent="0.25">
      <c r="A639" s="6">
        <v>44858</v>
      </c>
      <c r="B639" s="1">
        <v>2203924</v>
      </c>
      <c r="C639" s="5" t="s">
        <v>433</v>
      </c>
      <c r="D639" s="5" t="str">
        <f>VLOOKUP(C639,[1]master_data!$A$2:$E$495,2,FALSE)</f>
        <v>MARU B</v>
      </c>
      <c r="E639" s="5">
        <v>1</v>
      </c>
      <c r="F639" s="5">
        <f>VLOOKUP(C639,[1]master_data!$A$2:$E$495,3,FALSE)</f>
        <v>90000</v>
      </c>
      <c r="G639" s="5">
        <f>VLOOKUP(C639,[1]master_data!$A$2:$E$495,4,FALSE)</f>
        <v>150000</v>
      </c>
      <c r="H639" s="5">
        <f t="shared" si="33"/>
        <v>90000</v>
      </c>
      <c r="I639" s="5">
        <f t="shared" si="34"/>
        <v>150000</v>
      </c>
      <c r="J639" s="5">
        <f t="shared" si="35"/>
        <v>60000</v>
      </c>
      <c r="K639" s="5" t="str">
        <f>VLOOKUP(C639,[1]master_data!$A$2:$E$495,5,FALSE)</f>
        <v>Ikan</v>
      </c>
      <c r="L639" s="5" t="s">
        <v>471</v>
      </c>
    </row>
    <row r="640" spans="1:12" ht="12" customHeight="1" x14ac:dyDescent="0.25">
      <c r="A640" s="6">
        <v>44858</v>
      </c>
      <c r="B640" s="1">
        <v>2203923</v>
      </c>
      <c r="C640" s="5" t="s">
        <v>426</v>
      </c>
      <c r="D640" s="5" t="str">
        <f>VLOOKUP(C640,[1]master_data!$A$2:$E$495,2,FALSE)</f>
        <v>DISCUS</v>
      </c>
      <c r="E640" s="5">
        <v>2</v>
      </c>
      <c r="F640" s="5">
        <f>VLOOKUP(C640,[1]master_data!$A$2:$E$495,3,FALSE)</f>
        <v>50000</v>
      </c>
      <c r="G640" s="5">
        <f>VLOOKUP(C640,[1]master_data!$A$2:$E$495,4,FALSE)</f>
        <v>150000</v>
      </c>
      <c r="H640" s="5">
        <f t="shared" si="33"/>
        <v>100000</v>
      </c>
      <c r="I640" s="5">
        <f t="shared" si="34"/>
        <v>300000</v>
      </c>
      <c r="J640" s="5">
        <f t="shared" si="35"/>
        <v>200000</v>
      </c>
      <c r="K640" s="5" t="str">
        <f>VLOOKUP(C640,[1]master_data!$A$2:$E$495,5,FALSE)</f>
        <v>Ikan</v>
      </c>
      <c r="L640" s="5" t="s">
        <v>471</v>
      </c>
    </row>
    <row r="641" spans="1:12" ht="12" customHeight="1" x14ac:dyDescent="0.25">
      <c r="A641" s="6">
        <v>44858</v>
      </c>
      <c r="B641" s="1">
        <v>2203922</v>
      </c>
      <c r="C641" s="5" t="s">
        <v>450</v>
      </c>
      <c r="D641" s="5" t="str">
        <f>VLOOKUP(C641,[1]master_data!$A$2:$E$495,2,FALSE)</f>
        <v>SUMATRA BIASA</v>
      </c>
      <c r="E641" s="5">
        <v>10</v>
      </c>
      <c r="F641" s="5">
        <f>VLOOKUP(C641,[1]master_data!$A$2:$E$495,3,FALSE)</f>
        <v>800</v>
      </c>
      <c r="G641" s="5">
        <f>VLOOKUP(C641,[1]master_data!$A$2:$E$495,4,FALSE)</f>
        <v>2000</v>
      </c>
      <c r="H641" s="5">
        <f t="shared" si="33"/>
        <v>8000</v>
      </c>
      <c r="I641" s="5">
        <f t="shared" si="34"/>
        <v>20000</v>
      </c>
      <c r="J641" s="5">
        <f t="shared" si="35"/>
        <v>12000</v>
      </c>
      <c r="K641" s="5" t="str">
        <f>VLOOKUP(C641,[1]master_data!$A$2:$E$495,5,FALSE)</f>
        <v>Ikan</v>
      </c>
      <c r="L641" s="5" t="s">
        <v>471</v>
      </c>
    </row>
    <row r="642" spans="1:12" ht="12" customHeight="1" x14ac:dyDescent="0.25">
      <c r="A642" s="6">
        <v>44858</v>
      </c>
      <c r="B642" s="1">
        <v>2203921</v>
      </c>
      <c r="C642" s="5" t="s">
        <v>401</v>
      </c>
      <c r="D642" s="5" t="str">
        <f>VLOOKUP(C642,[1]master_data!$A$2:$E$495,2,FALSE)</f>
        <v>BALA BALA B</v>
      </c>
      <c r="E642" s="5">
        <v>10</v>
      </c>
      <c r="F642" s="5">
        <f>VLOOKUP(C642,[1]master_data!$A$2:$E$495,3,FALSE)</f>
        <v>7000</v>
      </c>
      <c r="G642" s="5">
        <f>VLOOKUP(C642,[1]master_data!$A$2:$E$495,4,FALSE)</f>
        <v>15000</v>
      </c>
      <c r="H642" s="5">
        <f t="shared" si="33"/>
        <v>70000</v>
      </c>
      <c r="I642" s="5">
        <f t="shared" si="34"/>
        <v>150000</v>
      </c>
      <c r="J642" s="5">
        <f t="shared" si="35"/>
        <v>80000</v>
      </c>
      <c r="K642" s="5" t="str">
        <f>VLOOKUP(C642,[1]master_data!$A$2:$E$495,5,FALSE)</f>
        <v>Ikan</v>
      </c>
      <c r="L642" s="5" t="s">
        <v>471</v>
      </c>
    </row>
    <row r="643" spans="1:12" ht="12" customHeight="1" x14ac:dyDescent="0.25">
      <c r="A643" s="6">
        <v>44858</v>
      </c>
      <c r="B643" s="1">
        <v>2203920</v>
      </c>
      <c r="C643" s="5" t="s">
        <v>390</v>
      </c>
      <c r="D643" s="5" t="str">
        <f>VLOOKUP(C643,[1]master_data!$A$2:$E$495,2,FALSE)</f>
        <v>CHANNA ASIATICA K</v>
      </c>
      <c r="E643" s="5">
        <v>1</v>
      </c>
      <c r="F643" s="5">
        <f>VLOOKUP(C643,[1]master_data!$A$2:$E$495,3,FALSE)</f>
        <v>10000</v>
      </c>
      <c r="G643" s="5">
        <f>VLOOKUP(C643,[1]master_data!$A$2:$E$495,4,FALSE)</f>
        <v>40000</v>
      </c>
      <c r="H643" s="5">
        <f t="shared" si="33"/>
        <v>10000</v>
      </c>
      <c r="I643" s="5">
        <f t="shared" si="34"/>
        <v>40000</v>
      </c>
      <c r="J643" s="5">
        <f t="shared" si="35"/>
        <v>30000</v>
      </c>
      <c r="K643" s="5" t="str">
        <f>VLOOKUP(C643,[1]master_data!$A$2:$E$495,5,FALSE)</f>
        <v>Ikan</v>
      </c>
      <c r="L643" s="5" t="s">
        <v>471</v>
      </c>
    </row>
    <row r="644" spans="1:12" ht="12" customHeight="1" x14ac:dyDescent="0.25">
      <c r="A644" s="6">
        <v>44858</v>
      </c>
      <c r="B644" s="1">
        <v>2203919</v>
      </c>
      <c r="C644" s="5" t="s">
        <v>439</v>
      </c>
      <c r="D644" s="5" t="str">
        <f>VLOOKUP(C644,[1]master_data!$A$2:$E$495,2,FALSE)</f>
        <v>NEON</v>
      </c>
      <c r="E644" s="5">
        <v>3</v>
      </c>
      <c r="F644" s="5">
        <f>VLOOKUP(C644,[1]master_data!$A$2:$E$495,3,FALSE)</f>
        <v>1250</v>
      </c>
      <c r="G644" s="5">
        <f>VLOOKUP(C644,[1]master_data!$A$2:$E$495,4,FALSE)</f>
        <v>5000</v>
      </c>
      <c r="H644" s="5">
        <f t="shared" si="33"/>
        <v>3750</v>
      </c>
      <c r="I644" s="5">
        <f t="shared" si="34"/>
        <v>15000</v>
      </c>
      <c r="J644" s="5">
        <f t="shared" si="35"/>
        <v>11250</v>
      </c>
      <c r="K644" s="5" t="str">
        <f>VLOOKUP(C644,[1]master_data!$A$2:$E$495,5,FALSE)</f>
        <v>Ikan</v>
      </c>
      <c r="L644" s="5" t="s">
        <v>471</v>
      </c>
    </row>
    <row r="645" spans="1:12" ht="12" customHeight="1" x14ac:dyDescent="0.25">
      <c r="A645" s="6">
        <v>44858</v>
      </c>
      <c r="B645" s="1">
        <v>2203918</v>
      </c>
      <c r="C645" s="5" t="s">
        <v>224</v>
      </c>
      <c r="D645" s="5" t="str">
        <f>VLOOKUP(C645,[1]master_data!$A$2:$E$495,2,FALSE)</f>
        <v>HOKKY KOI COLOUR</v>
      </c>
      <c r="E645" s="5">
        <v>5</v>
      </c>
      <c r="F645" s="5">
        <f>VLOOKUP(C645,[1]master_data!$A$2:$E$495,3,FALSE)</f>
        <v>55000</v>
      </c>
      <c r="G645" s="5">
        <f>VLOOKUP(C645,[1]master_data!$A$2:$E$495,4,FALSE)</f>
        <v>60000</v>
      </c>
      <c r="H645" s="5">
        <f t="shared" ref="H645:H708" si="36">E645*F645</f>
        <v>275000</v>
      </c>
      <c r="I645" s="5">
        <f t="shared" ref="I645:I708" si="37">E645*G645</f>
        <v>300000</v>
      </c>
      <c r="J645" s="5">
        <f t="shared" ref="J645:J708" si="38">I645-H645</f>
        <v>25000</v>
      </c>
      <c r="K645" s="5" t="str">
        <f>VLOOKUP(C645,[1]master_data!$A$2:$E$495,5,FALSE)</f>
        <v>Aksesoris</v>
      </c>
      <c r="L645" s="5" t="s">
        <v>471</v>
      </c>
    </row>
    <row r="646" spans="1:12" ht="12" customHeight="1" x14ac:dyDescent="0.25">
      <c r="A646" s="6">
        <v>44858</v>
      </c>
      <c r="B646" s="1">
        <v>2203917</v>
      </c>
      <c r="C646" s="5" t="s">
        <v>401</v>
      </c>
      <c r="D646" s="5" t="str">
        <f>VLOOKUP(C646,[1]master_data!$A$2:$E$495,2,FALSE)</f>
        <v>BALA BALA B</v>
      </c>
      <c r="E646" s="5">
        <v>5</v>
      </c>
      <c r="F646" s="5">
        <f>VLOOKUP(C646,[1]master_data!$A$2:$E$495,3,FALSE)</f>
        <v>7000</v>
      </c>
      <c r="G646" s="5">
        <f>VLOOKUP(C646,[1]master_data!$A$2:$E$495,4,FALSE)</f>
        <v>15000</v>
      </c>
      <c r="H646" s="5">
        <f t="shared" si="36"/>
        <v>35000</v>
      </c>
      <c r="I646" s="5">
        <f t="shared" si="37"/>
        <v>75000</v>
      </c>
      <c r="J646" s="5">
        <f t="shared" si="38"/>
        <v>40000</v>
      </c>
      <c r="K646" s="5" t="str">
        <f>VLOOKUP(C646,[1]master_data!$A$2:$E$495,5,FALSE)</f>
        <v>Ikan</v>
      </c>
      <c r="L646" s="5" t="s">
        <v>471</v>
      </c>
    </row>
    <row r="647" spans="1:12" ht="12" customHeight="1" x14ac:dyDescent="0.25">
      <c r="A647" s="6">
        <v>44857</v>
      </c>
      <c r="B647" s="1">
        <v>2203916</v>
      </c>
      <c r="C647" s="5" t="s">
        <v>401</v>
      </c>
      <c r="D647" s="5" t="str">
        <f>VLOOKUP(C647,[1]master_data!$A$2:$E$495,2,FALSE)</f>
        <v>BALA BALA B</v>
      </c>
      <c r="E647" s="5">
        <v>2</v>
      </c>
      <c r="F647" s="5">
        <f>VLOOKUP(C647,[1]master_data!$A$2:$E$495,3,FALSE)</f>
        <v>7000</v>
      </c>
      <c r="G647" s="5">
        <f>VLOOKUP(C647,[1]master_data!$A$2:$E$495,4,FALSE)</f>
        <v>15000</v>
      </c>
      <c r="H647" s="5">
        <f t="shared" si="36"/>
        <v>14000</v>
      </c>
      <c r="I647" s="5">
        <f t="shared" si="37"/>
        <v>30000</v>
      </c>
      <c r="J647" s="5">
        <f t="shared" si="38"/>
        <v>16000</v>
      </c>
      <c r="K647" s="5" t="str">
        <f>VLOOKUP(C647,[1]master_data!$A$2:$E$495,5,FALSE)</f>
        <v>Ikan</v>
      </c>
      <c r="L647" s="5" t="s">
        <v>471</v>
      </c>
    </row>
    <row r="648" spans="1:12" ht="12" customHeight="1" x14ac:dyDescent="0.25">
      <c r="A648" s="6">
        <v>44857</v>
      </c>
      <c r="B648" s="1">
        <v>2203915</v>
      </c>
      <c r="C648" s="5" t="s">
        <v>131</v>
      </c>
      <c r="D648" s="5" t="str">
        <f>VLOOKUP(C648,[1]master_data!$A$2:$E$495,2,FALSE)</f>
        <v>LED YAMANO S800</v>
      </c>
      <c r="E648" s="5">
        <v>2</v>
      </c>
      <c r="F648" s="5">
        <f>VLOOKUP(C648,[1]master_data!$A$2:$E$495,3,FALSE)</f>
        <v>70000</v>
      </c>
      <c r="G648" s="5">
        <f>VLOOKUP(C648,[1]master_data!$A$2:$E$495,4,FALSE)</f>
        <v>115000</v>
      </c>
      <c r="H648" s="5">
        <f t="shared" si="36"/>
        <v>140000</v>
      </c>
      <c r="I648" s="5">
        <f t="shared" si="37"/>
        <v>230000</v>
      </c>
      <c r="J648" s="5">
        <f t="shared" si="38"/>
        <v>90000</v>
      </c>
      <c r="K648" s="5" t="str">
        <f>VLOOKUP(C648,[1]master_data!$A$2:$E$495,5,FALSE)</f>
        <v>Aksesoris</v>
      </c>
      <c r="L648" s="5" t="s">
        <v>471</v>
      </c>
    </row>
    <row r="649" spans="1:12" ht="12" customHeight="1" x14ac:dyDescent="0.25">
      <c r="A649" s="6">
        <v>44857</v>
      </c>
      <c r="B649" s="1">
        <v>2203914</v>
      </c>
      <c r="C649" s="5" t="s">
        <v>433</v>
      </c>
      <c r="D649" s="5" t="str">
        <f>VLOOKUP(C649,[1]master_data!$A$2:$E$495,2,FALSE)</f>
        <v>MARU B</v>
      </c>
      <c r="E649" s="5">
        <v>1</v>
      </c>
      <c r="F649" s="5">
        <f>VLOOKUP(C649,[1]master_data!$A$2:$E$495,3,FALSE)</f>
        <v>90000</v>
      </c>
      <c r="G649" s="5">
        <f>VLOOKUP(C649,[1]master_data!$A$2:$E$495,4,FALSE)</f>
        <v>150000</v>
      </c>
      <c r="H649" s="5">
        <f t="shared" si="36"/>
        <v>90000</v>
      </c>
      <c r="I649" s="5">
        <f t="shared" si="37"/>
        <v>150000</v>
      </c>
      <c r="J649" s="5">
        <f t="shared" si="38"/>
        <v>60000</v>
      </c>
      <c r="K649" s="5" t="str">
        <f>VLOOKUP(C649,[1]master_data!$A$2:$E$495,5,FALSE)</f>
        <v>Ikan</v>
      </c>
      <c r="L649" s="5" t="s">
        <v>471</v>
      </c>
    </row>
    <row r="650" spans="1:12" ht="12" customHeight="1" x14ac:dyDescent="0.25">
      <c r="A650" s="6">
        <v>44857</v>
      </c>
      <c r="B650" s="1">
        <v>2203913</v>
      </c>
      <c r="C650" s="5" t="s">
        <v>461</v>
      </c>
      <c r="D650" s="5" t="str">
        <f>VLOOKUP(C650,[1]master_data!$A$2:$E$495,2,FALSE)</f>
        <v>SEPAT</v>
      </c>
      <c r="E650" s="5">
        <v>25</v>
      </c>
      <c r="F650" s="5">
        <f>VLOOKUP(C650,[1]master_data!$A$2:$E$495,3,FALSE)</f>
        <v>600</v>
      </c>
      <c r="G650" s="5">
        <f>VLOOKUP(C650,[1]master_data!$A$2:$E$495,4,FALSE)</f>
        <v>2000</v>
      </c>
      <c r="H650" s="5">
        <f t="shared" si="36"/>
        <v>15000</v>
      </c>
      <c r="I650" s="5">
        <f t="shared" si="37"/>
        <v>50000</v>
      </c>
      <c r="J650" s="5">
        <f t="shared" si="38"/>
        <v>35000</v>
      </c>
      <c r="K650" s="5" t="str">
        <f>VLOOKUP(C650,[1]master_data!$A$2:$E$495,5,FALSE)</f>
        <v>Ikan</v>
      </c>
      <c r="L650" s="5" t="s">
        <v>471</v>
      </c>
    </row>
    <row r="651" spans="1:12" ht="12" customHeight="1" x14ac:dyDescent="0.25">
      <c r="A651" s="6">
        <v>44857</v>
      </c>
      <c r="B651" s="1">
        <v>2203912</v>
      </c>
      <c r="C651" s="5" t="s">
        <v>456</v>
      </c>
      <c r="D651" s="5" t="str">
        <f>VLOOKUP(C651,[1]master_data!$A$2:$E$495,2,FALSE)</f>
        <v>TOMAN</v>
      </c>
      <c r="E651" s="5">
        <v>1</v>
      </c>
      <c r="F651" s="5">
        <f>VLOOKUP(C651,[1]master_data!$A$2:$E$495,3,FALSE)</f>
        <v>10000</v>
      </c>
      <c r="G651" s="5">
        <f>VLOOKUP(C651,[1]master_data!$A$2:$E$495,4,FALSE)</f>
        <v>25000</v>
      </c>
      <c r="H651" s="5">
        <f t="shared" si="36"/>
        <v>10000</v>
      </c>
      <c r="I651" s="5">
        <f t="shared" si="37"/>
        <v>25000</v>
      </c>
      <c r="J651" s="5">
        <f t="shared" si="38"/>
        <v>15000</v>
      </c>
      <c r="K651" s="5" t="str">
        <f>VLOOKUP(C651,[1]master_data!$A$2:$E$495,5,FALSE)</f>
        <v>Ikan</v>
      </c>
      <c r="L651" s="5" t="s">
        <v>471</v>
      </c>
    </row>
    <row r="652" spans="1:12" ht="12" customHeight="1" x14ac:dyDescent="0.25">
      <c r="A652" s="6">
        <v>44857</v>
      </c>
      <c r="B652" s="1">
        <v>2203911</v>
      </c>
      <c r="C652" s="5" t="s">
        <v>206</v>
      </c>
      <c r="D652" s="5" t="str">
        <f>VLOOKUP(C652,[1]master_data!$A$2:$E$495,2,FALSE)</f>
        <v>TAKARI K</v>
      </c>
      <c r="E652" s="5">
        <v>20</v>
      </c>
      <c r="F652" s="5">
        <f>VLOOKUP(C652,[1]master_data!$A$2:$E$495,3,FALSE)</f>
        <v>3500</v>
      </c>
      <c r="G652" s="5">
        <f>VLOOKUP(C652,[1]master_data!$A$2:$E$495,4,FALSE)</f>
        <v>5000</v>
      </c>
      <c r="H652" s="5">
        <f t="shared" si="36"/>
        <v>70000</v>
      </c>
      <c r="I652" s="5">
        <f t="shared" si="37"/>
        <v>100000</v>
      </c>
      <c r="J652" s="5">
        <f t="shared" si="38"/>
        <v>30000</v>
      </c>
      <c r="K652" s="5" t="str">
        <f>VLOOKUP(C652,[1]master_data!$A$2:$E$495,5,FALSE)</f>
        <v>Aksesoris</v>
      </c>
      <c r="L652" s="5" t="s">
        <v>471</v>
      </c>
    </row>
    <row r="653" spans="1:12" ht="12" customHeight="1" x14ac:dyDescent="0.25">
      <c r="A653" s="6">
        <v>44857</v>
      </c>
      <c r="B653" s="1">
        <v>2203910</v>
      </c>
      <c r="C653" s="5" t="s">
        <v>430</v>
      </c>
      <c r="D653" s="5" t="str">
        <f>VLOOKUP(C653,[1]master_data!$A$2:$E$495,2,FALSE)</f>
        <v>MANFISH K</v>
      </c>
      <c r="E653" s="5">
        <v>10</v>
      </c>
      <c r="F653" s="5">
        <f>VLOOKUP(C653,[1]master_data!$A$2:$E$495,3,FALSE)</f>
        <v>2000</v>
      </c>
      <c r="G653" s="5">
        <f>VLOOKUP(C653,[1]master_data!$A$2:$E$495,4,FALSE)</f>
        <v>5000</v>
      </c>
      <c r="H653" s="5">
        <f t="shared" si="36"/>
        <v>20000</v>
      </c>
      <c r="I653" s="5">
        <f t="shared" si="37"/>
        <v>50000</v>
      </c>
      <c r="J653" s="5">
        <f t="shared" si="38"/>
        <v>30000</v>
      </c>
      <c r="K653" s="5" t="str">
        <f>VLOOKUP(C653,[1]master_data!$A$2:$E$495,5,FALSE)</f>
        <v>Ikan</v>
      </c>
      <c r="L653" s="5" t="s">
        <v>471</v>
      </c>
    </row>
    <row r="654" spans="1:12" ht="12" customHeight="1" x14ac:dyDescent="0.25">
      <c r="A654" s="6">
        <v>44857</v>
      </c>
      <c r="B654" s="1">
        <v>2203909</v>
      </c>
      <c r="C654" s="5" t="s">
        <v>429</v>
      </c>
      <c r="D654" s="5" t="str">
        <f>VLOOKUP(C654,[1]master_data!$A$2:$E$495,2,FALSE)</f>
        <v>LOUHAN SUPER</v>
      </c>
      <c r="E654" s="5">
        <v>1</v>
      </c>
      <c r="F654" s="5">
        <f>VLOOKUP(C654,[1]master_data!$A$2:$E$495,3,FALSE)</f>
        <v>300000</v>
      </c>
      <c r="G654" s="5">
        <f>VLOOKUP(C654,[1]master_data!$A$2:$E$495,4,FALSE)</f>
        <v>500000</v>
      </c>
      <c r="H654" s="5">
        <f t="shared" si="36"/>
        <v>300000</v>
      </c>
      <c r="I654" s="5">
        <f t="shared" si="37"/>
        <v>500000</v>
      </c>
      <c r="J654" s="5">
        <f t="shared" si="38"/>
        <v>200000</v>
      </c>
      <c r="K654" s="5" t="str">
        <f>VLOOKUP(C654,[1]master_data!$A$2:$E$495,5,FALSE)</f>
        <v>Ikan</v>
      </c>
      <c r="L654" s="5" t="s">
        <v>471</v>
      </c>
    </row>
    <row r="655" spans="1:12" ht="12" customHeight="1" x14ac:dyDescent="0.25">
      <c r="A655" s="6">
        <v>44857</v>
      </c>
      <c r="B655" s="1">
        <v>2203908</v>
      </c>
      <c r="C655" s="5" t="s">
        <v>123</v>
      </c>
      <c r="D655" s="5" t="str">
        <f>VLOOKUP(C655,[1]master_data!$A$2:$E$495,2,FALSE)</f>
        <v>LED ROSTON 3 MODE 60 CM</v>
      </c>
      <c r="E655" s="5">
        <v>2</v>
      </c>
      <c r="F655" s="5">
        <f>VLOOKUP(C655,[1]master_data!$A$2:$E$495,3,FALSE)</f>
        <v>33000</v>
      </c>
      <c r="G655" s="5">
        <f>VLOOKUP(C655,[1]master_data!$A$2:$E$495,4,FALSE)</f>
        <v>70000</v>
      </c>
      <c r="H655" s="5">
        <f t="shared" si="36"/>
        <v>66000</v>
      </c>
      <c r="I655" s="5">
        <f t="shared" si="37"/>
        <v>140000</v>
      </c>
      <c r="J655" s="5">
        <f t="shared" si="38"/>
        <v>74000</v>
      </c>
      <c r="K655" s="5" t="str">
        <f>VLOOKUP(C655,[1]master_data!$A$2:$E$495,5,FALSE)</f>
        <v>Aksesoris</v>
      </c>
      <c r="L655" s="5" t="s">
        <v>471</v>
      </c>
    </row>
    <row r="656" spans="1:12" ht="12" customHeight="1" x14ac:dyDescent="0.25">
      <c r="A656" s="6">
        <v>44856</v>
      </c>
      <c r="B656" s="1">
        <v>2203907</v>
      </c>
      <c r="C656" s="5" t="s">
        <v>443</v>
      </c>
      <c r="D656" s="5" t="str">
        <f>VLOOKUP(C656,[1]master_data!$A$2:$E$495,2,FALSE)</f>
        <v>PALMAS</v>
      </c>
      <c r="E656" s="5">
        <v>8</v>
      </c>
      <c r="F656" s="5">
        <f>VLOOKUP(C656,[1]master_data!$A$2:$E$495,3,FALSE)</f>
        <v>10000</v>
      </c>
      <c r="G656" s="5">
        <f>VLOOKUP(C656,[1]master_data!$A$2:$E$495,4,FALSE)</f>
        <v>25000</v>
      </c>
      <c r="H656" s="5">
        <f t="shared" si="36"/>
        <v>80000</v>
      </c>
      <c r="I656" s="5">
        <f t="shared" si="37"/>
        <v>200000</v>
      </c>
      <c r="J656" s="5">
        <f t="shared" si="38"/>
        <v>120000</v>
      </c>
      <c r="K656" s="5" t="str">
        <f>VLOOKUP(C656,[1]master_data!$A$2:$E$495,5,FALSE)</f>
        <v>Ikan</v>
      </c>
      <c r="L656" s="5" t="s">
        <v>471</v>
      </c>
    </row>
    <row r="657" spans="1:12" ht="12" customHeight="1" x14ac:dyDescent="0.25">
      <c r="A657" s="6">
        <v>44856</v>
      </c>
      <c r="B657" s="1">
        <v>2203906</v>
      </c>
      <c r="C657" s="5" t="s">
        <v>436</v>
      </c>
      <c r="D657" s="5" t="str">
        <f>VLOOKUP(C657,[1]master_data!$A$2:$E$495,2,FALSE)</f>
        <v>NIASA</v>
      </c>
      <c r="E657" s="5">
        <v>25</v>
      </c>
      <c r="F657" s="5">
        <f>VLOOKUP(C657,[1]master_data!$A$2:$E$495,3,FALSE)</f>
        <v>900</v>
      </c>
      <c r="G657" s="5">
        <f>VLOOKUP(C657,[1]master_data!$A$2:$E$495,4,FALSE)</f>
        <v>2000</v>
      </c>
      <c r="H657" s="5">
        <f t="shared" si="36"/>
        <v>22500</v>
      </c>
      <c r="I657" s="5">
        <f t="shared" si="37"/>
        <v>50000</v>
      </c>
      <c r="J657" s="5">
        <f t="shared" si="38"/>
        <v>27500</v>
      </c>
      <c r="K657" s="5" t="str">
        <f>VLOOKUP(C657,[1]master_data!$A$2:$E$495,5,FALSE)</f>
        <v>Ikan</v>
      </c>
      <c r="L657" s="5" t="s">
        <v>471</v>
      </c>
    </row>
    <row r="658" spans="1:12" ht="12" customHeight="1" x14ac:dyDescent="0.25">
      <c r="A658" s="6">
        <v>44856</v>
      </c>
      <c r="B658" s="1">
        <v>2203905</v>
      </c>
      <c r="C658" s="5" t="s">
        <v>302</v>
      </c>
      <c r="D658" s="5" t="str">
        <f>VLOOKUP(C658,[1]master_data!$A$2:$E$495,2,FALSE)</f>
        <v>OBAT QUARANTINI MED</v>
      </c>
      <c r="E658" s="5">
        <v>1</v>
      </c>
      <c r="F658" s="5">
        <f>VLOOKUP(C658,[1]master_data!$A$2:$E$495,3,FALSE)</f>
        <v>37000</v>
      </c>
      <c r="G658" s="5">
        <f>VLOOKUP(C658,[1]master_data!$A$2:$E$495,4,FALSE)</f>
        <v>60000</v>
      </c>
      <c r="H658" s="5">
        <f t="shared" si="36"/>
        <v>37000</v>
      </c>
      <c r="I658" s="5">
        <f t="shared" si="37"/>
        <v>60000</v>
      </c>
      <c r="J658" s="5">
        <f t="shared" si="38"/>
        <v>23000</v>
      </c>
      <c r="K658" s="5" t="str">
        <f>VLOOKUP(C658,[1]master_data!$A$2:$E$495,5,FALSE)</f>
        <v>Aksesoris</v>
      </c>
      <c r="L658" s="5" t="s">
        <v>471</v>
      </c>
    </row>
    <row r="659" spans="1:12" ht="12" customHeight="1" x14ac:dyDescent="0.25">
      <c r="A659" s="6">
        <v>44856</v>
      </c>
      <c r="B659" s="1">
        <v>2203904</v>
      </c>
      <c r="C659" s="5" t="s">
        <v>351</v>
      </c>
      <c r="D659" s="5" t="str">
        <f>VLOOKUP(C659,[1]master_data!$A$2:$E$495,2,FALSE)</f>
        <v>AKUARIUM 60 ROBOT</v>
      </c>
      <c r="E659" s="5">
        <v>1</v>
      </c>
      <c r="F659" s="5">
        <f>VLOOKUP(C659,[1]master_data!$A$2:$E$495,3,FALSE)</f>
        <v>150000</v>
      </c>
      <c r="G659" s="5">
        <f>VLOOKUP(C659,[1]master_data!$A$2:$E$495,4,FALSE)</f>
        <v>250000</v>
      </c>
      <c r="H659" s="5">
        <f t="shared" si="36"/>
        <v>150000</v>
      </c>
      <c r="I659" s="5">
        <f t="shared" si="37"/>
        <v>250000</v>
      </c>
      <c r="J659" s="5">
        <f t="shared" si="38"/>
        <v>100000</v>
      </c>
      <c r="K659" s="5" t="str">
        <f>VLOOKUP(C659,[1]master_data!$A$2:$E$495,5,FALSE)</f>
        <v>Aksesoris</v>
      </c>
      <c r="L659" s="5" t="s">
        <v>471</v>
      </c>
    </row>
    <row r="660" spans="1:12" ht="12" customHeight="1" x14ac:dyDescent="0.25">
      <c r="A660" s="6">
        <v>44856</v>
      </c>
      <c r="B660" s="1">
        <v>2203903</v>
      </c>
      <c r="C660" s="5" t="s">
        <v>24</v>
      </c>
      <c r="D660" s="5" t="str">
        <f>VLOOKUP(C660,[1]master_data!$A$2:$E$495,2,FALSE)</f>
        <v>MESIN ROSTON 104</v>
      </c>
      <c r="E660" s="5">
        <v>5</v>
      </c>
      <c r="F660" s="5">
        <f>VLOOKUP(C660,[1]master_data!$A$2:$E$495,3,FALSE)</f>
        <v>55000</v>
      </c>
      <c r="G660" s="5">
        <f>VLOOKUP(C660,[1]master_data!$A$2:$E$495,4,FALSE)</f>
        <v>90000</v>
      </c>
      <c r="H660" s="5">
        <f t="shared" si="36"/>
        <v>275000</v>
      </c>
      <c r="I660" s="5">
        <f t="shared" si="37"/>
        <v>450000</v>
      </c>
      <c r="J660" s="5">
        <f t="shared" si="38"/>
        <v>175000</v>
      </c>
      <c r="K660" s="5" t="str">
        <f>VLOOKUP(C660,[1]master_data!$A$2:$E$495,5,FALSE)</f>
        <v>Aksesoris</v>
      </c>
      <c r="L660" s="5" t="s">
        <v>471</v>
      </c>
    </row>
    <row r="661" spans="1:12" ht="12" customHeight="1" x14ac:dyDescent="0.25">
      <c r="A661" s="6">
        <v>44856</v>
      </c>
      <c r="B661" s="1">
        <v>2203902</v>
      </c>
      <c r="C661" s="5" t="s">
        <v>450</v>
      </c>
      <c r="D661" s="5" t="str">
        <f>VLOOKUP(C661,[1]master_data!$A$2:$E$495,2,FALSE)</f>
        <v>SUMATRA BIASA</v>
      </c>
      <c r="E661" s="5">
        <v>25</v>
      </c>
      <c r="F661" s="5">
        <f>VLOOKUP(C661,[1]master_data!$A$2:$E$495,3,FALSE)</f>
        <v>800</v>
      </c>
      <c r="G661" s="5">
        <f>VLOOKUP(C661,[1]master_data!$A$2:$E$495,4,FALSE)</f>
        <v>2000</v>
      </c>
      <c r="H661" s="5">
        <f t="shared" si="36"/>
        <v>20000</v>
      </c>
      <c r="I661" s="5">
        <f t="shared" si="37"/>
        <v>50000</v>
      </c>
      <c r="J661" s="5">
        <f t="shared" si="38"/>
        <v>30000</v>
      </c>
      <c r="K661" s="5" t="str">
        <f>VLOOKUP(C661,[1]master_data!$A$2:$E$495,5,FALSE)</f>
        <v>Ikan</v>
      </c>
      <c r="L661" s="5" t="s">
        <v>471</v>
      </c>
    </row>
    <row r="662" spans="1:12" ht="12" customHeight="1" x14ac:dyDescent="0.25">
      <c r="A662" s="6">
        <v>44856</v>
      </c>
      <c r="B662" s="1">
        <v>2203901</v>
      </c>
      <c r="C662" s="5" t="s">
        <v>244</v>
      </c>
      <c r="D662" s="5" t="str">
        <f>VLOOKUP(C662,[1]master_data!$A$2:$E$495,2,FALSE)</f>
        <v>HOKKY PAKAN KURA</v>
      </c>
      <c r="E662" s="5">
        <v>25</v>
      </c>
      <c r="F662" s="5">
        <f>VLOOKUP(C662,[1]master_data!$A$2:$E$495,3,FALSE)</f>
        <v>7500</v>
      </c>
      <c r="G662" s="5">
        <f>VLOOKUP(C662,[1]master_data!$A$2:$E$495,4,FALSE)</f>
        <v>10000</v>
      </c>
      <c r="H662" s="5">
        <f t="shared" si="36"/>
        <v>187500</v>
      </c>
      <c r="I662" s="5">
        <f t="shared" si="37"/>
        <v>250000</v>
      </c>
      <c r="J662" s="5">
        <f t="shared" si="38"/>
        <v>62500</v>
      </c>
      <c r="K662" s="5" t="str">
        <f>VLOOKUP(C662,[1]master_data!$A$2:$E$495,5,FALSE)</f>
        <v>Aksesoris</v>
      </c>
      <c r="L662" s="5" t="s">
        <v>471</v>
      </c>
    </row>
    <row r="663" spans="1:12" ht="12" customHeight="1" x14ac:dyDescent="0.25">
      <c r="A663" s="6">
        <v>44856</v>
      </c>
      <c r="B663" s="1">
        <v>2203900</v>
      </c>
      <c r="C663" s="5" t="s">
        <v>370</v>
      </c>
      <c r="D663" s="5" t="str">
        <f>VLOOKUP(C663,[1]master_data!$A$2:$E$495,2,FALSE)</f>
        <v>SOLITER B1</v>
      </c>
      <c r="E663" s="5">
        <v>5</v>
      </c>
      <c r="F663" s="5">
        <f>VLOOKUP(C663,[1]master_data!$A$2:$E$495,3,FALSE)</f>
        <v>45000</v>
      </c>
      <c r="G663" s="5">
        <f>VLOOKUP(C663,[1]master_data!$A$2:$E$495,4,FALSE)</f>
        <v>60000</v>
      </c>
      <c r="H663" s="5">
        <f t="shared" si="36"/>
        <v>225000</v>
      </c>
      <c r="I663" s="5">
        <f t="shared" si="37"/>
        <v>300000</v>
      </c>
      <c r="J663" s="5">
        <f t="shared" si="38"/>
        <v>75000</v>
      </c>
      <c r="K663" s="5" t="str">
        <f>VLOOKUP(C663,[1]master_data!$A$2:$E$495,5,FALSE)</f>
        <v>Aksesoris</v>
      </c>
      <c r="L663" s="5" t="s">
        <v>471</v>
      </c>
    </row>
    <row r="664" spans="1:12" ht="12" customHeight="1" x14ac:dyDescent="0.25">
      <c r="A664" s="6">
        <v>44856</v>
      </c>
      <c r="B664" s="1">
        <v>2203899</v>
      </c>
      <c r="C664" s="5" t="s">
        <v>437</v>
      </c>
      <c r="D664" s="5" t="str">
        <f>VLOOKUP(C664,[1]master_data!$A$2:$E$495,2,FALSE)</f>
        <v>RED EYE TETRA</v>
      </c>
      <c r="E664" s="5">
        <v>30</v>
      </c>
      <c r="F664" s="5">
        <f>VLOOKUP(C664,[1]master_data!$A$2:$E$495,3,FALSE)</f>
        <v>900</v>
      </c>
      <c r="G664" s="5">
        <f>VLOOKUP(C664,[1]master_data!$A$2:$E$495,4,FALSE)</f>
        <v>2000</v>
      </c>
      <c r="H664" s="5">
        <f t="shared" si="36"/>
        <v>27000</v>
      </c>
      <c r="I664" s="5">
        <f t="shared" si="37"/>
        <v>60000</v>
      </c>
      <c r="J664" s="5">
        <f t="shared" si="38"/>
        <v>33000</v>
      </c>
      <c r="K664" s="5" t="str">
        <f>VLOOKUP(C664,[1]master_data!$A$2:$E$495,5,FALSE)</f>
        <v>Ikan</v>
      </c>
      <c r="L664" s="5" t="s">
        <v>471</v>
      </c>
    </row>
    <row r="665" spans="1:12" ht="12" customHeight="1" x14ac:dyDescent="0.25">
      <c r="A665" s="6">
        <v>44855</v>
      </c>
      <c r="B665" s="1">
        <v>2203898</v>
      </c>
      <c r="C665" s="5" t="s">
        <v>25</v>
      </c>
      <c r="D665" s="5" t="str">
        <f>VLOOKUP(C665,[1]master_data!$A$2:$E$495,2,FALSE)</f>
        <v>MESIN ROSTON 105</v>
      </c>
      <c r="E665" s="5">
        <v>1</v>
      </c>
      <c r="F665" s="5">
        <f>VLOOKUP(C665,[1]master_data!$A$2:$E$495,3,FALSE)</f>
        <v>75000</v>
      </c>
      <c r="G665" s="5">
        <f>VLOOKUP(C665,[1]master_data!$A$2:$E$495,4,FALSE)</f>
        <v>110000</v>
      </c>
      <c r="H665" s="5">
        <f t="shared" si="36"/>
        <v>75000</v>
      </c>
      <c r="I665" s="5">
        <f t="shared" si="37"/>
        <v>110000</v>
      </c>
      <c r="J665" s="5">
        <f t="shared" si="38"/>
        <v>35000</v>
      </c>
      <c r="K665" s="5" t="str">
        <f>VLOOKUP(C665,[1]master_data!$A$2:$E$495,5,FALSE)</f>
        <v>Aksesoris</v>
      </c>
      <c r="L665" s="5" t="s">
        <v>471</v>
      </c>
    </row>
    <row r="666" spans="1:12" ht="12" customHeight="1" x14ac:dyDescent="0.25">
      <c r="A666" s="6">
        <v>44855</v>
      </c>
      <c r="B666" s="1">
        <v>2203897</v>
      </c>
      <c r="C666" s="5" t="s">
        <v>405</v>
      </c>
      <c r="D666" s="5" t="str">
        <f>VLOOKUP(C666,[1]master_data!$A$2:$E$495,2,FALSE)</f>
        <v>KOMET BOKIM</v>
      </c>
      <c r="E666" s="5">
        <v>30</v>
      </c>
      <c r="F666" s="5">
        <f>VLOOKUP(C666,[1]master_data!$A$2:$E$495,3,FALSE)</f>
        <v>1500</v>
      </c>
      <c r="G666" s="5">
        <f>VLOOKUP(C666,[1]master_data!$A$2:$E$495,4,FALSE)</f>
        <v>5000</v>
      </c>
      <c r="H666" s="5">
        <f t="shared" si="36"/>
        <v>45000</v>
      </c>
      <c r="I666" s="5">
        <f t="shared" si="37"/>
        <v>150000</v>
      </c>
      <c r="J666" s="5">
        <f t="shared" si="38"/>
        <v>105000</v>
      </c>
      <c r="K666" s="5" t="str">
        <f>VLOOKUP(C666,[1]master_data!$A$2:$E$495,5,FALSE)</f>
        <v>Ikan</v>
      </c>
      <c r="L666" s="5" t="s">
        <v>471</v>
      </c>
    </row>
    <row r="667" spans="1:12" ht="12" customHeight="1" x14ac:dyDescent="0.25">
      <c r="A667" s="6">
        <v>44855</v>
      </c>
      <c r="B667" s="1">
        <v>2203896</v>
      </c>
      <c r="C667" s="5" t="s">
        <v>449</v>
      </c>
      <c r="D667" s="5" t="str">
        <f>VLOOKUP(C667,[1]master_data!$A$2:$E$495,2,FALSE)</f>
        <v>CHANNA RED BARITO B</v>
      </c>
      <c r="E667" s="5">
        <v>1</v>
      </c>
      <c r="F667" s="5">
        <f>VLOOKUP(C667,[1]master_data!$A$2:$E$495,3,FALSE)</f>
        <v>120000</v>
      </c>
      <c r="G667" s="5">
        <f>VLOOKUP(C667,[1]master_data!$A$2:$E$495,4,FALSE)</f>
        <v>200000</v>
      </c>
      <c r="H667" s="5">
        <f t="shared" si="36"/>
        <v>120000</v>
      </c>
      <c r="I667" s="5">
        <f t="shared" si="37"/>
        <v>200000</v>
      </c>
      <c r="J667" s="5">
        <f t="shared" si="38"/>
        <v>80000</v>
      </c>
      <c r="K667" s="5" t="str">
        <f>VLOOKUP(C667,[1]master_data!$A$2:$E$495,5,FALSE)</f>
        <v>Ikan</v>
      </c>
      <c r="L667" s="5" t="s">
        <v>471</v>
      </c>
    </row>
    <row r="668" spans="1:12" ht="12" customHeight="1" x14ac:dyDescent="0.25">
      <c r="A668" s="6">
        <v>44855</v>
      </c>
      <c r="B668" s="1">
        <v>2203895</v>
      </c>
      <c r="C668" s="5" t="s">
        <v>244</v>
      </c>
      <c r="D668" s="5" t="str">
        <f>VLOOKUP(C668,[1]master_data!$A$2:$E$495,2,FALSE)</f>
        <v>HOKKY PAKAN KURA</v>
      </c>
      <c r="E668" s="5">
        <v>30</v>
      </c>
      <c r="F668" s="5">
        <f>VLOOKUP(C668,[1]master_data!$A$2:$E$495,3,FALSE)</f>
        <v>7500</v>
      </c>
      <c r="G668" s="5">
        <f>VLOOKUP(C668,[1]master_data!$A$2:$E$495,4,FALSE)</f>
        <v>10000</v>
      </c>
      <c r="H668" s="5">
        <f t="shared" si="36"/>
        <v>225000</v>
      </c>
      <c r="I668" s="5">
        <f t="shared" si="37"/>
        <v>300000</v>
      </c>
      <c r="J668" s="5">
        <f t="shared" si="38"/>
        <v>75000</v>
      </c>
      <c r="K668" s="5" t="str">
        <f>VLOOKUP(C668,[1]master_data!$A$2:$E$495,5,FALSE)</f>
        <v>Aksesoris</v>
      </c>
      <c r="L668" s="5" t="s">
        <v>471</v>
      </c>
    </row>
    <row r="669" spans="1:12" ht="12" customHeight="1" x14ac:dyDescent="0.25">
      <c r="A669" s="6">
        <v>44855</v>
      </c>
      <c r="B669" s="1">
        <v>2203894</v>
      </c>
      <c r="C669" s="5" t="s">
        <v>126</v>
      </c>
      <c r="D669" s="5" t="str">
        <f>VLOOKUP(C669,[1]master_data!$A$2:$E$495,2,FALSE)</f>
        <v>LAMPU YAMANO UV 11W</v>
      </c>
      <c r="E669" s="5">
        <v>5</v>
      </c>
      <c r="F669" s="5">
        <f>VLOOKUP(C669,[1]master_data!$A$2:$E$495,3,FALSE)</f>
        <v>69000</v>
      </c>
      <c r="G669" s="5">
        <f>VLOOKUP(C669,[1]master_data!$A$2:$E$495,4,FALSE)</f>
        <v>85000</v>
      </c>
      <c r="H669" s="5">
        <f t="shared" si="36"/>
        <v>345000</v>
      </c>
      <c r="I669" s="5">
        <f t="shared" si="37"/>
        <v>425000</v>
      </c>
      <c r="J669" s="5">
        <f t="shared" si="38"/>
        <v>80000</v>
      </c>
      <c r="K669" s="5" t="str">
        <f>VLOOKUP(C669,[1]master_data!$A$2:$E$495,5,FALSE)</f>
        <v>Aksesoris</v>
      </c>
      <c r="L669" s="5" t="s">
        <v>471</v>
      </c>
    </row>
    <row r="670" spans="1:12" ht="12" customHeight="1" x14ac:dyDescent="0.25">
      <c r="A670" s="6">
        <v>44855</v>
      </c>
      <c r="B670" s="1">
        <v>2203893</v>
      </c>
      <c r="C670" s="5" t="s">
        <v>417</v>
      </c>
      <c r="D670" s="5" t="str">
        <f>VLOOKUP(C670,[1]master_data!$A$2:$E$495,2,FALSE)</f>
        <v>KOI T</v>
      </c>
      <c r="E670" s="5">
        <v>2</v>
      </c>
      <c r="F670" s="5">
        <f>VLOOKUP(C670,[1]master_data!$A$2:$E$495,3,FALSE)</f>
        <v>7000</v>
      </c>
      <c r="G670" s="5">
        <f>VLOOKUP(C670,[1]master_data!$A$2:$E$495,4,FALSE)</f>
        <v>20000</v>
      </c>
      <c r="H670" s="5">
        <f t="shared" si="36"/>
        <v>14000</v>
      </c>
      <c r="I670" s="5">
        <f t="shared" si="37"/>
        <v>40000</v>
      </c>
      <c r="J670" s="5">
        <f t="shared" si="38"/>
        <v>26000</v>
      </c>
      <c r="K670" s="5" t="str">
        <f>VLOOKUP(C670,[1]master_data!$A$2:$E$495,5,FALSE)</f>
        <v>Ikan</v>
      </c>
      <c r="L670" s="5" t="s">
        <v>471</v>
      </c>
    </row>
    <row r="671" spans="1:12" ht="12" customHeight="1" x14ac:dyDescent="0.25">
      <c r="A671" s="6">
        <v>44855</v>
      </c>
      <c r="B671" s="1">
        <v>2203892</v>
      </c>
      <c r="C671" s="5" t="s">
        <v>413</v>
      </c>
      <c r="D671" s="5" t="str">
        <f>VLOOKUP(C671,[1]master_data!$A$2:$E$495,2,FALSE)</f>
        <v>KOKI K</v>
      </c>
      <c r="E671" s="5">
        <v>1</v>
      </c>
      <c r="F671" s="5">
        <f>VLOOKUP(C671,[1]master_data!$A$2:$E$495,3,FALSE)</f>
        <v>3500</v>
      </c>
      <c r="G671" s="5">
        <f>VLOOKUP(C671,[1]master_data!$A$2:$E$495,4,FALSE)</f>
        <v>10000</v>
      </c>
      <c r="H671" s="5">
        <f t="shared" si="36"/>
        <v>3500</v>
      </c>
      <c r="I671" s="5">
        <f t="shared" si="37"/>
        <v>10000</v>
      </c>
      <c r="J671" s="5">
        <f t="shared" si="38"/>
        <v>6500</v>
      </c>
      <c r="K671" s="5" t="str">
        <f>VLOOKUP(C671,[1]master_data!$A$2:$E$495,5,FALSE)</f>
        <v>Ikan</v>
      </c>
      <c r="L671" s="5" t="s">
        <v>471</v>
      </c>
    </row>
    <row r="672" spans="1:12" ht="12" customHeight="1" x14ac:dyDescent="0.25">
      <c r="A672" s="6">
        <v>44855</v>
      </c>
      <c r="B672" s="1">
        <v>2203891</v>
      </c>
      <c r="C672" s="5" t="s">
        <v>391</v>
      </c>
      <c r="D672" s="5" t="str">
        <f>VLOOKUP(C672,[1]master_data!$A$2:$E$495,2,FALSE)</f>
        <v>CHANNA ANDRAO K</v>
      </c>
      <c r="E672" s="5">
        <v>1</v>
      </c>
      <c r="F672" s="5">
        <f>VLOOKUP(C672,[1]master_data!$A$2:$E$495,3,FALSE)</f>
        <v>20000</v>
      </c>
      <c r="G672" s="5">
        <f>VLOOKUP(C672,[1]master_data!$A$2:$E$495,4,FALSE)</f>
        <v>50000</v>
      </c>
      <c r="H672" s="5">
        <f t="shared" si="36"/>
        <v>20000</v>
      </c>
      <c r="I672" s="5">
        <f t="shared" si="37"/>
        <v>50000</v>
      </c>
      <c r="J672" s="5">
        <f t="shared" si="38"/>
        <v>30000</v>
      </c>
      <c r="K672" s="5" t="str">
        <f>VLOOKUP(C672,[1]master_data!$A$2:$E$495,5,FALSE)</f>
        <v>Ikan</v>
      </c>
      <c r="L672" s="5" t="s">
        <v>471</v>
      </c>
    </row>
    <row r="673" spans="1:12" ht="12" customHeight="1" x14ac:dyDescent="0.25">
      <c r="A673" s="6">
        <v>44855</v>
      </c>
      <c r="B673" s="1">
        <v>2203890</v>
      </c>
      <c r="C673" s="5" t="s">
        <v>196</v>
      </c>
      <c r="D673" s="5" t="str">
        <f>VLOOKUP(C673,[1]master_data!$A$2:$E$495,2,FALSE)</f>
        <v>AKARI PREMIUM RED</v>
      </c>
      <c r="E673" s="5">
        <v>5</v>
      </c>
      <c r="F673" s="5">
        <f>VLOOKUP(C673,[1]master_data!$A$2:$E$495,3,FALSE)</f>
        <v>37000</v>
      </c>
      <c r="G673" s="5">
        <f>VLOOKUP(C673,[1]master_data!$A$2:$E$495,4,FALSE)</f>
        <v>50000</v>
      </c>
      <c r="H673" s="5">
        <f t="shared" si="36"/>
        <v>185000</v>
      </c>
      <c r="I673" s="5">
        <f t="shared" si="37"/>
        <v>250000</v>
      </c>
      <c r="J673" s="5">
        <f t="shared" si="38"/>
        <v>65000</v>
      </c>
      <c r="K673" s="5" t="str">
        <f>VLOOKUP(C673,[1]master_data!$A$2:$E$495,5,FALSE)</f>
        <v>Aksesoris</v>
      </c>
      <c r="L673" s="5" t="s">
        <v>471</v>
      </c>
    </row>
    <row r="674" spans="1:12" ht="12" customHeight="1" x14ac:dyDescent="0.25">
      <c r="A674" s="6">
        <v>44855</v>
      </c>
      <c r="B674" s="1">
        <v>2203889</v>
      </c>
      <c r="C674" s="5" t="s">
        <v>401</v>
      </c>
      <c r="D674" s="5" t="str">
        <f>VLOOKUP(C674,[1]master_data!$A$2:$E$495,2,FALSE)</f>
        <v>BALA BALA B</v>
      </c>
      <c r="E674" s="5">
        <v>2</v>
      </c>
      <c r="F674" s="5">
        <f>VLOOKUP(C674,[1]master_data!$A$2:$E$495,3,FALSE)</f>
        <v>7000</v>
      </c>
      <c r="G674" s="5">
        <f>VLOOKUP(C674,[1]master_data!$A$2:$E$495,4,FALSE)</f>
        <v>15000</v>
      </c>
      <c r="H674" s="5">
        <f t="shared" si="36"/>
        <v>14000</v>
      </c>
      <c r="I674" s="5">
        <f t="shared" si="37"/>
        <v>30000</v>
      </c>
      <c r="J674" s="5">
        <f t="shared" si="38"/>
        <v>16000</v>
      </c>
      <c r="K674" s="5" t="str">
        <f>VLOOKUP(C674,[1]master_data!$A$2:$E$495,5,FALSE)</f>
        <v>Ikan</v>
      </c>
      <c r="L674" s="5" t="s">
        <v>471</v>
      </c>
    </row>
    <row r="675" spans="1:12" ht="12" customHeight="1" x14ac:dyDescent="0.25">
      <c r="A675" s="6">
        <v>44855</v>
      </c>
      <c r="B675" s="1">
        <v>2203888</v>
      </c>
      <c r="C675" s="5" t="s">
        <v>411</v>
      </c>
      <c r="D675" s="5" t="str">
        <f>VLOOKUP(C675,[1]master_data!$A$2:$E$495,2,FALSE)</f>
        <v>GOLDEN BLACK</v>
      </c>
      <c r="E675" s="5">
        <v>30</v>
      </c>
      <c r="F675" s="5">
        <f>VLOOKUP(C675,[1]master_data!$A$2:$E$495,3,FALSE)</f>
        <v>800</v>
      </c>
      <c r="G675" s="5">
        <f>VLOOKUP(C675,[1]master_data!$A$2:$E$495,4,FALSE)</f>
        <v>2000</v>
      </c>
      <c r="H675" s="5">
        <f t="shared" si="36"/>
        <v>24000</v>
      </c>
      <c r="I675" s="5">
        <f t="shared" si="37"/>
        <v>60000</v>
      </c>
      <c r="J675" s="5">
        <f t="shared" si="38"/>
        <v>36000</v>
      </c>
      <c r="K675" s="5" t="str">
        <f>VLOOKUP(C675,[1]master_data!$A$2:$E$495,5,FALSE)</f>
        <v>Ikan</v>
      </c>
      <c r="L675" s="5" t="s">
        <v>471</v>
      </c>
    </row>
    <row r="676" spans="1:12" ht="12" customHeight="1" x14ac:dyDescent="0.25">
      <c r="A676" s="6">
        <v>44854</v>
      </c>
      <c r="B676" s="1">
        <v>2203887</v>
      </c>
      <c r="C676" s="5" t="s">
        <v>214</v>
      </c>
      <c r="D676" s="5" t="str">
        <f>VLOOKUP(C676,[1]master_data!$A$2:$E$495,2,FALSE)</f>
        <v>ARTEMIA SUPREME PLUS</v>
      </c>
      <c r="E676" s="5">
        <v>1</v>
      </c>
      <c r="F676" s="5">
        <f>VLOOKUP(C676,[1]master_data!$A$2:$E$495,3,FALSE)</f>
        <v>14500</v>
      </c>
      <c r="G676" s="5">
        <f>VLOOKUP(C676,[1]master_data!$A$2:$E$495,4,FALSE)</f>
        <v>25000</v>
      </c>
      <c r="H676" s="5">
        <f t="shared" si="36"/>
        <v>14500</v>
      </c>
      <c r="I676" s="5">
        <f t="shared" si="37"/>
        <v>25000</v>
      </c>
      <c r="J676" s="5">
        <f t="shared" si="38"/>
        <v>10500</v>
      </c>
      <c r="K676" s="5" t="str">
        <f>VLOOKUP(C676,[1]master_data!$A$2:$E$495,5,FALSE)</f>
        <v>Aksesoris</v>
      </c>
      <c r="L676" s="5" t="s">
        <v>471</v>
      </c>
    </row>
    <row r="677" spans="1:12" ht="12" customHeight="1" x14ac:dyDescent="0.25">
      <c r="A677" s="6">
        <v>44854</v>
      </c>
      <c r="B677" s="1">
        <v>2203886</v>
      </c>
      <c r="C677" s="5" t="s">
        <v>248</v>
      </c>
      <c r="D677" s="5" t="str">
        <f>VLOOKUP(C677,[1]master_data!$A$2:$E$495,2,FALSE)</f>
        <v>MATLINE BLUE</v>
      </c>
      <c r="E677" s="5">
        <v>10</v>
      </c>
      <c r="F677" s="5">
        <f>VLOOKUP(C677,[1]master_data!$A$2:$E$495,3,FALSE)</f>
        <v>7000</v>
      </c>
      <c r="G677" s="5">
        <f>VLOOKUP(C677,[1]master_data!$A$2:$E$495,4,FALSE)</f>
        <v>10000</v>
      </c>
      <c r="H677" s="5">
        <f t="shared" si="36"/>
        <v>70000</v>
      </c>
      <c r="I677" s="5">
        <f t="shared" si="37"/>
        <v>100000</v>
      </c>
      <c r="J677" s="5">
        <f t="shared" si="38"/>
        <v>30000</v>
      </c>
      <c r="K677" s="5" t="str">
        <f>VLOOKUP(C677,[1]master_data!$A$2:$E$495,5,FALSE)</f>
        <v>Aksesoris</v>
      </c>
      <c r="L677" s="5" t="s">
        <v>471</v>
      </c>
    </row>
    <row r="678" spans="1:12" ht="12" customHeight="1" x14ac:dyDescent="0.25">
      <c r="A678" s="6">
        <v>44854</v>
      </c>
      <c r="B678" s="1">
        <v>2203885</v>
      </c>
      <c r="C678" s="5" t="s">
        <v>253</v>
      </c>
      <c r="D678" s="5" t="str">
        <f>VLOOKUP(C678,[1]master_data!$A$2:$E$495,2,FALSE)</f>
        <v>GOSOKAN BIASA</v>
      </c>
      <c r="E678" s="5">
        <v>2</v>
      </c>
      <c r="F678" s="5">
        <f>VLOOKUP(C678,[1]master_data!$A$2:$E$495,3,FALSE)</f>
        <v>10000</v>
      </c>
      <c r="G678" s="5">
        <f>VLOOKUP(C678,[1]master_data!$A$2:$E$495,4,FALSE)</f>
        <v>20000</v>
      </c>
      <c r="H678" s="5">
        <f t="shared" si="36"/>
        <v>20000</v>
      </c>
      <c r="I678" s="5">
        <f t="shared" si="37"/>
        <v>40000</v>
      </c>
      <c r="J678" s="5">
        <f t="shared" si="38"/>
        <v>20000</v>
      </c>
      <c r="K678" s="5" t="str">
        <f>VLOOKUP(C678,[1]master_data!$A$2:$E$495,5,FALSE)</f>
        <v>Aksesoris</v>
      </c>
      <c r="L678" s="5" t="s">
        <v>471</v>
      </c>
    </row>
    <row r="679" spans="1:12" ht="12" customHeight="1" x14ac:dyDescent="0.25">
      <c r="A679" s="6">
        <v>44854</v>
      </c>
      <c r="B679" s="1">
        <v>2203884</v>
      </c>
      <c r="C679" s="5" t="s">
        <v>286</v>
      </c>
      <c r="D679" s="5" t="str">
        <f>VLOOKUP(C679,[1]master_data!$A$2:$E$495,2,FALSE)</f>
        <v>KAPAS 1X1</v>
      </c>
      <c r="E679" s="5">
        <v>5</v>
      </c>
      <c r="F679" s="5">
        <f>VLOOKUP(C679,[1]master_data!$A$2:$E$495,3,FALSE)</f>
        <v>15000</v>
      </c>
      <c r="G679" s="5">
        <f>VLOOKUP(C679,[1]master_data!$A$2:$E$495,4,FALSE)</f>
        <v>27000</v>
      </c>
      <c r="H679" s="5">
        <f t="shared" si="36"/>
        <v>75000</v>
      </c>
      <c r="I679" s="5">
        <f t="shared" si="37"/>
        <v>135000</v>
      </c>
      <c r="J679" s="5">
        <f t="shared" si="38"/>
        <v>60000</v>
      </c>
      <c r="K679" s="5" t="str">
        <f>VLOOKUP(C679,[1]master_data!$A$2:$E$495,5,FALSE)</f>
        <v>Aksesoris</v>
      </c>
      <c r="L679" s="5" t="s">
        <v>471</v>
      </c>
    </row>
    <row r="680" spans="1:12" ht="12" customHeight="1" x14ac:dyDescent="0.25">
      <c r="A680" s="6">
        <v>44854</v>
      </c>
      <c r="B680" s="1">
        <v>2203883</v>
      </c>
      <c r="C680" s="5" t="s">
        <v>453</v>
      </c>
      <c r="D680" s="5" t="str">
        <f>VLOOKUP(C680,[1]master_data!$A$2:$E$495,2,FALSE)</f>
        <v>SYNODONTIS K</v>
      </c>
      <c r="E680" s="5">
        <v>30</v>
      </c>
      <c r="F680" s="5">
        <f>VLOOKUP(C680,[1]master_data!$A$2:$E$495,3,FALSE)</f>
        <v>1500</v>
      </c>
      <c r="G680" s="5">
        <f>VLOOKUP(C680,[1]master_data!$A$2:$E$495,4,FALSE)</f>
        <v>5000</v>
      </c>
      <c r="H680" s="5">
        <f t="shared" si="36"/>
        <v>45000</v>
      </c>
      <c r="I680" s="5">
        <f t="shared" si="37"/>
        <v>150000</v>
      </c>
      <c r="J680" s="5">
        <f t="shared" si="38"/>
        <v>105000</v>
      </c>
      <c r="K680" s="5" t="str">
        <f>VLOOKUP(C680,[1]master_data!$A$2:$E$495,5,FALSE)</f>
        <v>Ikan</v>
      </c>
      <c r="L680" s="5" t="s">
        <v>471</v>
      </c>
    </row>
    <row r="681" spans="1:12" ht="12" customHeight="1" x14ac:dyDescent="0.25">
      <c r="A681" s="6">
        <v>44854</v>
      </c>
      <c r="B681" s="1">
        <v>2203882</v>
      </c>
      <c r="C681" s="5" t="s">
        <v>462</v>
      </c>
      <c r="D681" s="5" t="str">
        <f>VLOOKUP(C681,[1]master_data!$A$2:$E$495,2,FALSE)</f>
        <v>SEPAT ALBINO</v>
      </c>
      <c r="E681" s="5">
        <v>15</v>
      </c>
      <c r="F681" s="5">
        <f>VLOOKUP(C681,[1]master_data!$A$2:$E$495,3,FALSE)</f>
        <v>2000</v>
      </c>
      <c r="G681" s="5">
        <f>VLOOKUP(C681,[1]master_data!$A$2:$E$495,4,FALSE)</f>
        <v>5000</v>
      </c>
      <c r="H681" s="5">
        <f t="shared" si="36"/>
        <v>30000</v>
      </c>
      <c r="I681" s="5">
        <f t="shared" si="37"/>
        <v>75000</v>
      </c>
      <c r="J681" s="5">
        <f t="shared" si="38"/>
        <v>45000</v>
      </c>
      <c r="K681" s="5" t="str">
        <f>VLOOKUP(C681,[1]master_data!$A$2:$E$495,5,FALSE)</f>
        <v>Ikan</v>
      </c>
      <c r="L681" s="5" t="s">
        <v>471</v>
      </c>
    </row>
    <row r="682" spans="1:12" ht="12" customHeight="1" x14ac:dyDescent="0.25">
      <c r="A682" s="6">
        <v>44854</v>
      </c>
      <c r="B682" s="1">
        <v>2203881</v>
      </c>
      <c r="C682" s="5" t="s">
        <v>458</v>
      </c>
      <c r="D682" s="5" t="str">
        <f>VLOOKUP(C682,[1]master_data!$A$2:$E$495,2,FALSE)</f>
        <v>ZEBRA HIJAU</v>
      </c>
      <c r="E682" s="5">
        <v>10</v>
      </c>
      <c r="F682" s="5">
        <f>VLOOKUP(C682,[1]master_data!$A$2:$E$495,3,FALSE)</f>
        <v>800</v>
      </c>
      <c r="G682" s="5">
        <f>VLOOKUP(C682,[1]master_data!$A$2:$E$495,4,FALSE)</f>
        <v>2000</v>
      </c>
      <c r="H682" s="5">
        <f t="shared" si="36"/>
        <v>8000</v>
      </c>
      <c r="I682" s="5">
        <f t="shared" si="37"/>
        <v>20000</v>
      </c>
      <c r="J682" s="5">
        <f t="shared" si="38"/>
        <v>12000</v>
      </c>
      <c r="K682" s="5" t="str">
        <f>VLOOKUP(C682,[1]master_data!$A$2:$E$495,5,FALSE)</f>
        <v>Ikan</v>
      </c>
      <c r="L682" s="5" t="s">
        <v>471</v>
      </c>
    </row>
    <row r="683" spans="1:12" ht="12" customHeight="1" x14ac:dyDescent="0.25">
      <c r="A683" s="6">
        <v>44854</v>
      </c>
      <c r="B683" s="1">
        <v>2203880</v>
      </c>
      <c r="C683" s="5" t="s">
        <v>434</v>
      </c>
      <c r="D683" s="5" t="str">
        <f>VLOOKUP(C683,[1]master_data!$A$2:$E$495,2,FALSE)</f>
        <v>MOLI PAKAN</v>
      </c>
      <c r="E683" s="5">
        <v>30</v>
      </c>
      <c r="F683" s="5">
        <f>VLOOKUP(C683,[1]master_data!$A$2:$E$495,3,FALSE)</f>
        <v>100</v>
      </c>
      <c r="G683" s="5">
        <f>VLOOKUP(C683,[1]master_data!$A$2:$E$495,4,FALSE)</f>
        <v>200</v>
      </c>
      <c r="H683" s="5">
        <f t="shared" si="36"/>
        <v>3000</v>
      </c>
      <c r="I683" s="5">
        <f t="shared" si="37"/>
        <v>6000</v>
      </c>
      <c r="J683" s="5">
        <f t="shared" si="38"/>
        <v>3000</v>
      </c>
      <c r="K683" s="5" t="str">
        <f>VLOOKUP(C683,[1]master_data!$A$2:$E$495,5,FALSE)</f>
        <v>Ikan</v>
      </c>
      <c r="L683" s="5" t="s">
        <v>471</v>
      </c>
    </row>
    <row r="684" spans="1:12" ht="12" customHeight="1" x14ac:dyDescent="0.25">
      <c r="A684" s="6">
        <v>44854</v>
      </c>
      <c r="B684" s="1">
        <v>2203879</v>
      </c>
      <c r="C684" s="5" t="s">
        <v>429</v>
      </c>
      <c r="D684" s="5" t="str">
        <f>VLOOKUP(C684,[1]master_data!$A$2:$E$495,2,FALSE)</f>
        <v>LOUHAN SUPER</v>
      </c>
      <c r="E684" s="5">
        <v>1</v>
      </c>
      <c r="F684" s="5">
        <f>VLOOKUP(C684,[1]master_data!$A$2:$E$495,3,FALSE)</f>
        <v>300000</v>
      </c>
      <c r="G684" s="5">
        <f>VLOOKUP(C684,[1]master_data!$A$2:$E$495,4,FALSE)</f>
        <v>500000</v>
      </c>
      <c r="H684" s="5">
        <f t="shared" si="36"/>
        <v>300000</v>
      </c>
      <c r="I684" s="5">
        <f t="shared" si="37"/>
        <v>500000</v>
      </c>
      <c r="J684" s="5">
        <f t="shared" si="38"/>
        <v>200000</v>
      </c>
      <c r="K684" s="5" t="str">
        <f>VLOOKUP(C684,[1]master_data!$A$2:$E$495,5,FALSE)</f>
        <v>Ikan</v>
      </c>
      <c r="L684" s="5" t="s">
        <v>471</v>
      </c>
    </row>
    <row r="685" spans="1:12" ht="12" customHeight="1" x14ac:dyDescent="0.25">
      <c r="A685" s="6">
        <v>44854</v>
      </c>
      <c r="B685" s="1">
        <v>2203878</v>
      </c>
      <c r="C685" s="5" t="s">
        <v>58</v>
      </c>
      <c r="D685" s="5" t="str">
        <f>VLOOKUP(C685,[1]master_data!$A$2:$E$495,2,FALSE)</f>
        <v>MINI FILTER</v>
      </c>
      <c r="E685" s="5">
        <v>10</v>
      </c>
      <c r="F685" s="5">
        <f>VLOOKUP(C685,[1]master_data!$A$2:$E$495,3,FALSE)</f>
        <v>13000</v>
      </c>
      <c r="G685" s="5">
        <f>VLOOKUP(C685,[1]master_data!$A$2:$E$495,4,FALSE)</f>
        <v>25000</v>
      </c>
      <c r="H685" s="5">
        <f t="shared" si="36"/>
        <v>130000</v>
      </c>
      <c r="I685" s="5">
        <f t="shared" si="37"/>
        <v>250000</v>
      </c>
      <c r="J685" s="5">
        <f t="shared" si="38"/>
        <v>120000</v>
      </c>
      <c r="K685" s="5" t="str">
        <f>VLOOKUP(C685,[1]master_data!$A$2:$E$495,5,FALSE)</f>
        <v>Aksesoris</v>
      </c>
      <c r="L685" s="5" t="s">
        <v>471</v>
      </c>
    </row>
    <row r="686" spans="1:12" ht="12" customHeight="1" x14ac:dyDescent="0.25">
      <c r="A686" s="6">
        <v>44854</v>
      </c>
      <c r="B686" s="1">
        <v>2203877</v>
      </c>
      <c r="C686" s="5" t="s">
        <v>240</v>
      </c>
      <c r="D686" s="5" t="str">
        <f>VLOOKUP(C686,[1]master_data!$A$2:$E$495,2,FALSE)</f>
        <v>PREMIUM RED BG</v>
      </c>
      <c r="E686" s="5">
        <v>1</v>
      </c>
      <c r="F686" s="5">
        <f>VLOOKUP(C686,[1]master_data!$A$2:$E$495,3,FALSE)</f>
        <v>12500</v>
      </c>
      <c r="G686" s="5">
        <f>VLOOKUP(C686,[1]master_data!$A$2:$E$495,4,FALSE)</f>
        <v>25000</v>
      </c>
      <c r="H686" s="5">
        <f t="shared" si="36"/>
        <v>12500</v>
      </c>
      <c r="I686" s="5">
        <f t="shared" si="37"/>
        <v>25000</v>
      </c>
      <c r="J686" s="5">
        <f t="shared" si="38"/>
        <v>12500</v>
      </c>
      <c r="K686" s="5" t="str">
        <f>VLOOKUP(C686,[1]master_data!$A$2:$E$495,5,FALSE)</f>
        <v>Aksesoris</v>
      </c>
      <c r="L686" s="5" t="s">
        <v>471</v>
      </c>
    </row>
    <row r="687" spans="1:12" ht="12" customHeight="1" x14ac:dyDescent="0.25">
      <c r="A687" s="6">
        <v>44853</v>
      </c>
      <c r="B687" s="1">
        <v>2203876</v>
      </c>
      <c r="C687" s="5" t="s">
        <v>421</v>
      </c>
      <c r="D687" s="5" t="str">
        <f>VLOOKUP(C687,[1]master_data!$A$2:$E$495,2,FALSE)</f>
        <v>KOMET PAKAN</v>
      </c>
      <c r="E687" s="5">
        <v>15</v>
      </c>
      <c r="F687" s="5">
        <f>VLOOKUP(C687,[1]master_data!$A$2:$E$495,3,FALSE)</f>
        <v>300</v>
      </c>
      <c r="G687" s="5">
        <f>VLOOKUP(C687,[1]master_data!$A$2:$E$495,4,FALSE)</f>
        <v>1000</v>
      </c>
      <c r="H687" s="5">
        <f t="shared" si="36"/>
        <v>4500</v>
      </c>
      <c r="I687" s="5">
        <f t="shared" si="37"/>
        <v>15000</v>
      </c>
      <c r="J687" s="5">
        <f t="shared" si="38"/>
        <v>10500</v>
      </c>
      <c r="K687" s="5" t="str">
        <f>VLOOKUP(C687,[1]master_data!$A$2:$E$495,5,FALSE)</f>
        <v>Ikan</v>
      </c>
      <c r="L687" s="5" t="s">
        <v>471</v>
      </c>
    </row>
    <row r="688" spans="1:12" ht="12" customHeight="1" x14ac:dyDescent="0.25">
      <c r="A688" s="6">
        <v>44853</v>
      </c>
      <c r="B688" s="1">
        <v>2203875</v>
      </c>
      <c r="C688" s="5" t="s">
        <v>248</v>
      </c>
      <c r="D688" s="5" t="str">
        <f>VLOOKUP(C688,[1]master_data!$A$2:$E$495,2,FALSE)</f>
        <v>MATLINE BLUE</v>
      </c>
      <c r="E688" s="5">
        <v>20</v>
      </c>
      <c r="F688" s="5">
        <f>VLOOKUP(C688,[1]master_data!$A$2:$E$495,3,FALSE)</f>
        <v>7000</v>
      </c>
      <c r="G688" s="5">
        <f>VLOOKUP(C688,[1]master_data!$A$2:$E$495,4,FALSE)</f>
        <v>10000</v>
      </c>
      <c r="H688" s="5">
        <f t="shared" si="36"/>
        <v>140000</v>
      </c>
      <c r="I688" s="5">
        <f t="shared" si="37"/>
        <v>200000</v>
      </c>
      <c r="J688" s="5">
        <f t="shared" si="38"/>
        <v>60000</v>
      </c>
      <c r="K688" s="5" t="str">
        <f>VLOOKUP(C688,[1]master_data!$A$2:$E$495,5,FALSE)</f>
        <v>Aksesoris</v>
      </c>
      <c r="L688" s="5" t="s">
        <v>471</v>
      </c>
    </row>
    <row r="689" spans="1:12" ht="12" customHeight="1" x14ac:dyDescent="0.25">
      <c r="A689" s="6">
        <v>44853</v>
      </c>
      <c r="B689" s="1">
        <v>2203874</v>
      </c>
      <c r="C689" s="5" t="s">
        <v>459</v>
      </c>
      <c r="D689" s="5" t="str">
        <f>VLOOKUP(C689,[1]master_data!$A$2:$E$495,2,FALSE)</f>
        <v>ZEBRA UNGU</v>
      </c>
      <c r="E689" s="5">
        <v>20</v>
      </c>
      <c r="F689" s="5">
        <f>VLOOKUP(C689,[1]master_data!$A$2:$E$495,3,FALSE)</f>
        <v>800</v>
      </c>
      <c r="G689" s="5">
        <f>VLOOKUP(C689,[1]master_data!$A$2:$E$495,4,FALSE)</f>
        <v>2000</v>
      </c>
      <c r="H689" s="5">
        <f t="shared" si="36"/>
        <v>16000</v>
      </c>
      <c r="I689" s="5">
        <f t="shared" si="37"/>
        <v>40000</v>
      </c>
      <c r="J689" s="5">
        <f t="shared" si="38"/>
        <v>24000</v>
      </c>
      <c r="K689" s="5" t="str">
        <f>VLOOKUP(C689,[1]master_data!$A$2:$E$495,5,FALSE)</f>
        <v>Ikan</v>
      </c>
      <c r="L689" s="5" t="s">
        <v>471</v>
      </c>
    </row>
    <row r="690" spans="1:12" ht="12" customHeight="1" x14ac:dyDescent="0.25">
      <c r="A690" s="6">
        <v>44853</v>
      </c>
      <c r="B690" s="1">
        <v>2203873</v>
      </c>
      <c r="C690" s="5" t="s">
        <v>441</v>
      </c>
      <c r="D690" s="5" t="str">
        <f>VLOOKUP(C690,[1]master_data!$A$2:$E$495,2,FALSE)</f>
        <v>PEMBERSIH KACA BIASA</v>
      </c>
      <c r="E690" s="5">
        <v>15</v>
      </c>
      <c r="F690" s="5">
        <f>VLOOKUP(C690,[1]master_data!$A$2:$E$495,3,FALSE)</f>
        <v>2000</v>
      </c>
      <c r="G690" s="5">
        <f>VLOOKUP(C690,[1]master_data!$A$2:$E$495,4,FALSE)</f>
        <v>5000</v>
      </c>
      <c r="H690" s="5">
        <f t="shared" si="36"/>
        <v>30000</v>
      </c>
      <c r="I690" s="5">
        <f t="shared" si="37"/>
        <v>75000</v>
      </c>
      <c r="J690" s="5">
        <f t="shared" si="38"/>
        <v>45000</v>
      </c>
      <c r="K690" s="5" t="str">
        <f>VLOOKUP(C690,[1]master_data!$A$2:$E$495,5,FALSE)</f>
        <v>Ikan</v>
      </c>
      <c r="L690" s="5" t="s">
        <v>471</v>
      </c>
    </row>
    <row r="691" spans="1:12" ht="12" customHeight="1" x14ac:dyDescent="0.25">
      <c r="A691" s="6">
        <v>44853</v>
      </c>
      <c r="B691" s="1">
        <v>2203872</v>
      </c>
      <c r="C691" s="5" t="s">
        <v>284</v>
      </c>
      <c r="D691" s="5" t="str">
        <f>VLOOKUP(C691,[1]master_data!$A$2:$E$495,2,FALSE)</f>
        <v>KAPAS 3 LAPIS</v>
      </c>
      <c r="E691" s="5">
        <v>10</v>
      </c>
      <c r="F691" s="5">
        <f>VLOOKUP(C691,[1]master_data!$A$2:$E$495,3,FALSE)</f>
        <v>3200</v>
      </c>
      <c r="G691" s="5">
        <f>VLOOKUP(C691,[1]master_data!$A$2:$E$495,4,FALSE)</f>
        <v>5000</v>
      </c>
      <c r="H691" s="5">
        <f t="shared" si="36"/>
        <v>32000</v>
      </c>
      <c r="I691" s="5">
        <f t="shared" si="37"/>
        <v>50000</v>
      </c>
      <c r="J691" s="5">
        <f t="shared" si="38"/>
        <v>18000</v>
      </c>
      <c r="K691" s="5" t="str">
        <f>VLOOKUP(C691,[1]master_data!$A$2:$E$495,5,FALSE)</f>
        <v>Aksesoris</v>
      </c>
      <c r="L691" s="5" t="s">
        <v>471</v>
      </c>
    </row>
    <row r="692" spans="1:12" ht="12" customHeight="1" x14ac:dyDescent="0.25">
      <c r="A692" s="6">
        <v>44853</v>
      </c>
      <c r="B692" s="1">
        <v>2203871</v>
      </c>
      <c r="C692" s="5" t="s">
        <v>422</v>
      </c>
      <c r="D692" s="5" t="str">
        <f>VLOOKUP(C692,[1]master_data!$A$2:$E$495,2,FALSE)</f>
        <v>KOMET SLAYER</v>
      </c>
      <c r="E692" s="5">
        <v>12</v>
      </c>
      <c r="F692" s="5">
        <f>VLOOKUP(C692,[1]master_data!$A$2:$E$495,3,FALSE)</f>
        <v>2000</v>
      </c>
      <c r="G692" s="5">
        <f>VLOOKUP(C692,[1]master_data!$A$2:$E$495,4,FALSE)</f>
        <v>5000</v>
      </c>
      <c r="H692" s="5">
        <f t="shared" si="36"/>
        <v>24000</v>
      </c>
      <c r="I692" s="5">
        <f t="shared" si="37"/>
        <v>60000</v>
      </c>
      <c r="J692" s="5">
        <f t="shared" si="38"/>
        <v>36000</v>
      </c>
      <c r="K692" s="5" t="str">
        <f>VLOOKUP(C692,[1]master_data!$A$2:$E$495,5,FALSE)</f>
        <v>Ikan</v>
      </c>
      <c r="L692" s="5" t="s">
        <v>471</v>
      </c>
    </row>
    <row r="693" spans="1:12" ht="12" customHeight="1" x14ac:dyDescent="0.25">
      <c r="A693" s="6">
        <v>44853</v>
      </c>
      <c r="B693" s="1">
        <v>2203870</v>
      </c>
      <c r="C693" s="5" t="s">
        <v>264</v>
      </c>
      <c r="D693" s="5" t="str">
        <f>VLOOKUP(C693,[1]master_data!$A$2:$E$495,2,FALSE)</f>
        <v>CORNER FILTER MULTI NAVIGATOR</v>
      </c>
      <c r="E693" s="5">
        <v>10</v>
      </c>
      <c r="F693" s="5">
        <f>VLOOKUP(C693,[1]master_data!$A$2:$E$495,3,FALSE)</f>
        <v>21000</v>
      </c>
      <c r="G693" s="5">
        <f>VLOOKUP(C693,[1]master_data!$A$2:$E$495,4,FALSE)</f>
        <v>30000</v>
      </c>
      <c r="H693" s="5">
        <f t="shared" si="36"/>
        <v>210000</v>
      </c>
      <c r="I693" s="5">
        <f t="shared" si="37"/>
        <v>300000</v>
      </c>
      <c r="J693" s="5">
        <f t="shared" si="38"/>
        <v>90000</v>
      </c>
      <c r="K693" s="5" t="str">
        <f>VLOOKUP(C693,[1]master_data!$A$2:$E$495,5,FALSE)</f>
        <v>Aksesoris</v>
      </c>
      <c r="L693" s="5" t="s">
        <v>471</v>
      </c>
    </row>
    <row r="694" spans="1:12" ht="12" customHeight="1" x14ac:dyDescent="0.25">
      <c r="A694" s="6">
        <v>44853</v>
      </c>
      <c r="B694" s="1">
        <v>2203869</v>
      </c>
      <c r="C694" s="5" t="s">
        <v>285</v>
      </c>
      <c r="D694" s="5" t="str">
        <f>VLOOKUP(C694,[1]master_data!$A$2:$E$495,2,FALSE)</f>
        <v>KAPAS 4 LAPIS</v>
      </c>
      <c r="E694" s="5">
        <v>10</v>
      </c>
      <c r="F694" s="5">
        <f>VLOOKUP(C694,[1]master_data!$A$2:$E$495,3,FALSE)</f>
        <v>6500</v>
      </c>
      <c r="G694" s="5">
        <f>VLOOKUP(C694,[1]master_data!$A$2:$E$495,4,FALSE)</f>
        <v>10000</v>
      </c>
      <c r="H694" s="5">
        <f t="shared" si="36"/>
        <v>65000</v>
      </c>
      <c r="I694" s="5">
        <f t="shared" si="37"/>
        <v>100000</v>
      </c>
      <c r="J694" s="5">
        <f t="shared" si="38"/>
        <v>35000</v>
      </c>
      <c r="K694" s="5" t="str">
        <f>VLOOKUP(C694,[1]master_data!$A$2:$E$495,5,FALSE)</f>
        <v>Aksesoris</v>
      </c>
      <c r="L694" s="5" t="s">
        <v>471</v>
      </c>
    </row>
    <row r="695" spans="1:12" ht="12" customHeight="1" x14ac:dyDescent="0.25">
      <c r="A695" s="6">
        <v>44853</v>
      </c>
      <c r="B695" s="1">
        <v>2203868</v>
      </c>
      <c r="C695" s="5" t="s">
        <v>430</v>
      </c>
      <c r="D695" s="5" t="str">
        <f>VLOOKUP(C695,[1]master_data!$A$2:$E$495,2,FALSE)</f>
        <v>MANFISH K</v>
      </c>
      <c r="E695" s="5">
        <v>15</v>
      </c>
      <c r="F695" s="5">
        <f>VLOOKUP(C695,[1]master_data!$A$2:$E$495,3,FALSE)</f>
        <v>2000</v>
      </c>
      <c r="G695" s="5">
        <f>VLOOKUP(C695,[1]master_data!$A$2:$E$495,4,FALSE)</f>
        <v>5000</v>
      </c>
      <c r="H695" s="5">
        <f t="shared" si="36"/>
        <v>30000</v>
      </c>
      <c r="I695" s="5">
        <f t="shared" si="37"/>
        <v>75000</v>
      </c>
      <c r="J695" s="5">
        <f t="shared" si="38"/>
        <v>45000</v>
      </c>
      <c r="K695" s="5" t="str">
        <f>VLOOKUP(C695,[1]master_data!$A$2:$E$495,5,FALSE)</f>
        <v>Ikan</v>
      </c>
      <c r="L695" s="5" t="s">
        <v>471</v>
      </c>
    </row>
    <row r="696" spans="1:12" ht="12" customHeight="1" x14ac:dyDescent="0.25">
      <c r="A696" s="6">
        <v>44853</v>
      </c>
      <c r="B696" s="1">
        <v>2203867</v>
      </c>
      <c r="C696" s="5" t="s">
        <v>415</v>
      </c>
      <c r="D696" s="5" t="str">
        <f>VLOOKUP(C696,[1]master_data!$A$2:$E$495,2,FALSE)</f>
        <v>KOKI B</v>
      </c>
      <c r="E696" s="5">
        <v>5</v>
      </c>
      <c r="F696" s="5">
        <f>VLOOKUP(C696,[1]master_data!$A$2:$E$495,3,FALSE)</f>
        <v>20000</v>
      </c>
      <c r="G696" s="5">
        <f>VLOOKUP(C696,[1]master_data!$A$2:$E$495,4,FALSE)</f>
        <v>50000</v>
      </c>
      <c r="H696" s="5">
        <f t="shared" si="36"/>
        <v>100000</v>
      </c>
      <c r="I696" s="5">
        <f t="shared" si="37"/>
        <v>250000</v>
      </c>
      <c r="J696" s="5">
        <f t="shared" si="38"/>
        <v>150000</v>
      </c>
      <c r="K696" s="5" t="str">
        <f>VLOOKUP(C696,[1]master_data!$A$2:$E$495,5,FALSE)</f>
        <v>Ikan</v>
      </c>
      <c r="L696" s="5" t="s">
        <v>471</v>
      </c>
    </row>
    <row r="697" spans="1:12" ht="12" customHeight="1" x14ac:dyDescent="0.25">
      <c r="A697" s="6">
        <v>44853</v>
      </c>
      <c r="B697" s="1">
        <v>2203866</v>
      </c>
      <c r="C697" s="5" t="s">
        <v>263</v>
      </c>
      <c r="D697" s="5" t="str">
        <f>VLOOKUP(C697,[1]master_data!$A$2:$E$495,2,FALSE)</f>
        <v>COP SEKAT KACA</v>
      </c>
      <c r="E697" s="5">
        <v>15</v>
      </c>
      <c r="F697" s="5">
        <f>VLOOKUP(C697,[1]master_data!$A$2:$E$495,3,FALSE)</f>
        <v>800</v>
      </c>
      <c r="G697" s="5">
        <f>VLOOKUP(C697,[1]master_data!$A$2:$E$495,4,FALSE)</f>
        <v>2000</v>
      </c>
      <c r="H697" s="5">
        <f t="shared" si="36"/>
        <v>12000</v>
      </c>
      <c r="I697" s="5">
        <f t="shared" si="37"/>
        <v>30000</v>
      </c>
      <c r="J697" s="5">
        <f t="shared" si="38"/>
        <v>18000</v>
      </c>
      <c r="K697" s="5" t="str">
        <f>VLOOKUP(C697,[1]master_data!$A$2:$E$495,5,FALSE)</f>
        <v>Aksesoris</v>
      </c>
      <c r="L697" s="5" t="s">
        <v>471</v>
      </c>
    </row>
    <row r="698" spans="1:12" ht="12" customHeight="1" x14ac:dyDescent="0.25">
      <c r="A698" s="6">
        <v>44853</v>
      </c>
      <c r="B698" s="1">
        <v>2203865</v>
      </c>
      <c r="C698" s="5" t="s">
        <v>373</v>
      </c>
      <c r="D698" s="5" t="str">
        <f>VLOOKUP(C698,[1]master_data!$A$2:$E$495,2,FALSE)</f>
        <v>PASIR HITAM K</v>
      </c>
      <c r="E698" s="5">
        <v>1</v>
      </c>
      <c r="F698" s="5">
        <f>VLOOKUP(C698,[1]master_data!$A$2:$E$495,3,FALSE)</f>
        <v>2500</v>
      </c>
      <c r="G698" s="5">
        <f>VLOOKUP(C698,[1]master_data!$A$2:$E$495,4,FALSE)</f>
        <v>5000</v>
      </c>
      <c r="H698" s="5">
        <f t="shared" si="36"/>
        <v>2500</v>
      </c>
      <c r="I698" s="5">
        <f t="shared" si="37"/>
        <v>5000</v>
      </c>
      <c r="J698" s="5">
        <f t="shared" si="38"/>
        <v>2500</v>
      </c>
      <c r="K698" s="5" t="str">
        <f>VLOOKUP(C698,[1]master_data!$A$2:$E$495,5,FALSE)</f>
        <v>Aksesoris</v>
      </c>
      <c r="L698" s="5" t="s">
        <v>471</v>
      </c>
    </row>
    <row r="699" spans="1:12" ht="12" customHeight="1" x14ac:dyDescent="0.25">
      <c r="A699" s="6">
        <v>44853</v>
      </c>
      <c r="B699" s="1">
        <v>2203864</v>
      </c>
      <c r="C699" s="5" t="s">
        <v>457</v>
      </c>
      <c r="D699" s="5" t="str">
        <f>VLOOKUP(C699,[1]master_data!$A$2:$E$495,2,FALSE)</f>
        <v>ZEBRA PINK</v>
      </c>
      <c r="E699" s="5">
        <v>15</v>
      </c>
      <c r="F699" s="5">
        <f>VLOOKUP(C699,[1]master_data!$A$2:$E$495,3,FALSE)</f>
        <v>800</v>
      </c>
      <c r="G699" s="5">
        <f>VLOOKUP(C699,[1]master_data!$A$2:$E$495,4,FALSE)</f>
        <v>2000</v>
      </c>
      <c r="H699" s="5">
        <f t="shared" si="36"/>
        <v>12000</v>
      </c>
      <c r="I699" s="5">
        <f t="shared" si="37"/>
        <v>30000</v>
      </c>
      <c r="J699" s="5">
        <f t="shared" si="38"/>
        <v>18000</v>
      </c>
      <c r="K699" s="5" t="str">
        <f>VLOOKUP(C699,[1]master_data!$A$2:$E$495,5,FALSE)</f>
        <v>Ikan</v>
      </c>
      <c r="L699" s="5" t="s">
        <v>471</v>
      </c>
    </row>
    <row r="700" spans="1:12" ht="12" customHeight="1" x14ac:dyDescent="0.25">
      <c r="A700" s="6">
        <v>44852</v>
      </c>
      <c r="B700" s="1">
        <v>2203863</v>
      </c>
      <c r="C700" s="5" t="s">
        <v>123</v>
      </c>
      <c r="D700" s="5" t="str">
        <f>VLOOKUP(C700,[1]master_data!$A$2:$E$495,2,FALSE)</f>
        <v>LED ROSTON 3 MODE 60 CM</v>
      </c>
      <c r="E700" s="5">
        <v>1</v>
      </c>
      <c r="F700" s="5">
        <f>VLOOKUP(C700,[1]master_data!$A$2:$E$495,3,FALSE)</f>
        <v>33000</v>
      </c>
      <c r="G700" s="5">
        <f>VLOOKUP(C700,[1]master_data!$A$2:$E$495,4,FALSE)</f>
        <v>70000</v>
      </c>
      <c r="H700" s="5">
        <f t="shared" si="36"/>
        <v>33000</v>
      </c>
      <c r="I700" s="5">
        <f t="shared" si="37"/>
        <v>70000</v>
      </c>
      <c r="J700" s="5">
        <f t="shared" si="38"/>
        <v>37000</v>
      </c>
      <c r="K700" s="5" t="str">
        <f>VLOOKUP(C700,[1]master_data!$A$2:$E$495,5,FALSE)</f>
        <v>Aksesoris</v>
      </c>
      <c r="L700" s="5" t="s">
        <v>471</v>
      </c>
    </row>
    <row r="701" spans="1:12" ht="12" customHeight="1" x14ac:dyDescent="0.25">
      <c r="A701" s="6">
        <v>44852</v>
      </c>
      <c r="B701" s="1">
        <v>2203862</v>
      </c>
      <c r="C701" s="5" t="s">
        <v>366</v>
      </c>
      <c r="D701" s="5" t="str">
        <f>VLOOKUP(C701,[1]master_data!$A$2:$E$495,2,FALSE)</f>
        <v>TUTUP AKUARIUM M</v>
      </c>
      <c r="E701" s="5">
        <v>10</v>
      </c>
      <c r="F701" s="5">
        <f>VLOOKUP(C701,[1]master_data!$A$2:$E$495,3,FALSE)</f>
        <v>25000</v>
      </c>
      <c r="G701" s="5">
        <f>VLOOKUP(C701,[1]master_data!$A$2:$E$495,4,FALSE)</f>
        <v>35000</v>
      </c>
      <c r="H701" s="5">
        <f t="shared" si="36"/>
        <v>250000</v>
      </c>
      <c r="I701" s="5">
        <f t="shared" si="37"/>
        <v>350000</v>
      </c>
      <c r="J701" s="5">
        <f t="shared" si="38"/>
        <v>100000</v>
      </c>
      <c r="K701" s="5" t="str">
        <f>VLOOKUP(C701,[1]master_data!$A$2:$E$495,5,FALSE)</f>
        <v>Aksesoris</v>
      </c>
      <c r="L701" s="5" t="s">
        <v>471</v>
      </c>
    </row>
    <row r="702" spans="1:12" ht="12" customHeight="1" x14ac:dyDescent="0.25">
      <c r="A702" s="6">
        <v>44852</v>
      </c>
      <c r="B702" s="1">
        <v>2203861</v>
      </c>
      <c r="C702" s="5" t="s">
        <v>420</v>
      </c>
      <c r="D702" s="5" t="str">
        <f>VLOOKUP(C702,[1]master_data!$A$2:$E$495,2,FALSE)</f>
        <v>KAVIAT</v>
      </c>
      <c r="E702" s="5">
        <v>12</v>
      </c>
      <c r="F702" s="5">
        <f>VLOOKUP(C702,[1]master_data!$A$2:$E$495,3,FALSE)</f>
        <v>3500</v>
      </c>
      <c r="G702" s="5">
        <f>VLOOKUP(C702,[1]master_data!$A$2:$E$495,4,FALSE)</f>
        <v>8000</v>
      </c>
      <c r="H702" s="5">
        <f t="shared" si="36"/>
        <v>42000</v>
      </c>
      <c r="I702" s="5">
        <f t="shared" si="37"/>
        <v>96000</v>
      </c>
      <c r="J702" s="5">
        <f t="shared" si="38"/>
        <v>54000</v>
      </c>
      <c r="K702" s="5" t="str">
        <f>VLOOKUP(C702,[1]master_data!$A$2:$E$495,5,FALSE)</f>
        <v>Ikan</v>
      </c>
      <c r="L702" s="5" t="s">
        <v>471</v>
      </c>
    </row>
    <row r="703" spans="1:12" ht="12" customHeight="1" x14ac:dyDescent="0.25">
      <c r="A703" s="6">
        <v>44852</v>
      </c>
      <c r="B703" s="1">
        <v>2203860</v>
      </c>
      <c r="C703" s="5" t="s">
        <v>419</v>
      </c>
      <c r="D703" s="5" t="str">
        <f>VLOOKUP(C703,[1]master_data!$A$2:$E$495,2,FALSE)</f>
        <v>KURA - KURA</v>
      </c>
      <c r="E703" s="5">
        <v>5</v>
      </c>
      <c r="F703" s="5">
        <f>VLOOKUP(C703,[1]master_data!$A$2:$E$495,3,FALSE)</f>
        <v>25000</v>
      </c>
      <c r="G703" s="5">
        <f>VLOOKUP(C703,[1]master_data!$A$2:$E$495,4,FALSE)</f>
        <v>35000</v>
      </c>
      <c r="H703" s="5">
        <f t="shared" si="36"/>
        <v>125000</v>
      </c>
      <c r="I703" s="5">
        <f t="shared" si="37"/>
        <v>175000</v>
      </c>
      <c r="J703" s="5">
        <f t="shared" si="38"/>
        <v>50000</v>
      </c>
      <c r="K703" s="5" t="str">
        <f>VLOOKUP(C703,[1]master_data!$A$2:$E$495,5,FALSE)</f>
        <v>Ikan</v>
      </c>
      <c r="L703" s="5" t="s">
        <v>471</v>
      </c>
    </row>
    <row r="704" spans="1:12" ht="12" customHeight="1" x14ac:dyDescent="0.25">
      <c r="A704" s="6">
        <v>44852</v>
      </c>
      <c r="B704" s="1">
        <v>2203859</v>
      </c>
      <c r="C704" s="5" t="s">
        <v>398</v>
      </c>
      <c r="D704" s="5" t="str">
        <f>VLOOKUP(C704,[1]master_data!$A$2:$E$495,2,FALSE)</f>
        <v>BIPOLAR</v>
      </c>
      <c r="E704" s="5">
        <v>30</v>
      </c>
      <c r="F704" s="5">
        <f>VLOOKUP(C704,[1]master_data!$A$2:$E$495,3,FALSE)</f>
        <v>1000</v>
      </c>
      <c r="G704" s="5">
        <f>VLOOKUP(C704,[1]master_data!$A$2:$E$495,4,FALSE)</f>
        <v>2500</v>
      </c>
      <c r="H704" s="5">
        <f t="shared" si="36"/>
        <v>30000</v>
      </c>
      <c r="I704" s="5">
        <f t="shared" si="37"/>
        <v>75000</v>
      </c>
      <c r="J704" s="5">
        <f t="shared" si="38"/>
        <v>45000</v>
      </c>
      <c r="K704" s="5" t="str">
        <f>VLOOKUP(C704,[1]master_data!$A$2:$E$495,5,FALSE)</f>
        <v>Ikan</v>
      </c>
      <c r="L704" s="5" t="s">
        <v>471</v>
      </c>
    </row>
    <row r="705" spans="1:12" ht="12" customHeight="1" x14ac:dyDescent="0.25">
      <c r="A705" s="6">
        <v>44852</v>
      </c>
      <c r="B705" s="1">
        <v>2203858</v>
      </c>
      <c r="C705" s="5" t="s">
        <v>419</v>
      </c>
      <c r="D705" s="5" t="str">
        <f>VLOOKUP(C705,[1]master_data!$A$2:$E$495,2,FALSE)</f>
        <v>KURA - KURA</v>
      </c>
      <c r="E705" s="5">
        <v>2</v>
      </c>
      <c r="F705" s="5">
        <f>VLOOKUP(C705,[1]master_data!$A$2:$E$495,3,FALSE)</f>
        <v>25000</v>
      </c>
      <c r="G705" s="5">
        <f>VLOOKUP(C705,[1]master_data!$A$2:$E$495,4,FALSE)</f>
        <v>35000</v>
      </c>
      <c r="H705" s="5">
        <f t="shared" si="36"/>
        <v>50000</v>
      </c>
      <c r="I705" s="5">
        <f t="shared" si="37"/>
        <v>70000</v>
      </c>
      <c r="J705" s="5">
        <f t="shared" si="38"/>
        <v>20000</v>
      </c>
      <c r="K705" s="5" t="str">
        <f>VLOOKUP(C705,[1]master_data!$A$2:$E$495,5,FALSE)</f>
        <v>Ikan</v>
      </c>
      <c r="L705" s="5" t="s">
        <v>471</v>
      </c>
    </row>
    <row r="706" spans="1:12" ht="12" customHeight="1" x14ac:dyDescent="0.25">
      <c r="A706" s="6">
        <v>44852</v>
      </c>
      <c r="B706" s="1">
        <v>2203857</v>
      </c>
      <c r="C706" s="5" t="s">
        <v>463</v>
      </c>
      <c r="D706" s="5" t="str">
        <f>VLOOKUP(C706,[1]master_data!$A$2:$E$495,2,FALSE)</f>
        <v>CHANNA STEWARTI</v>
      </c>
      <c r="E706" s="5">
        <v>10</v>
      </c>
      <c r="F706" s="5">
        <f>VLOOKUP(C706,[1]master_data!$A$2:$E$495,3,FALSE)</f>
        <v>15000</v>
      </c>
      <c r="G706" s="5">
        <f>VLOOKUP(C706,[1]master_data!$A$2:$E$495,4,FALSE)</f>
        <v>40000</v>
      </c>
      <c r="H706" s="5">
        <f t="shared" si="36"/>
        <v>150000</v>
      </c>
      <c r="I706" s="5">
        <f t="shared" si="37"/>
        <v>400000</v>
      </c>
      <c r="J706" s="5">
        <f t="shared" si="38"/>
        <v>250000</v>
      </c>
      <c r="K706" s="5" t="str">
        <f>VLOOKUP(C706,[1]master_data!$A$2:$E$495,5,FALSE)</f>
        <v>Ikan</v>
      </c>
      <c r="L706" s="5" t="s">
        <v>471</v>
      </c>
    </row>
    <row r="707" spans="1:12" ht="12" customHeight="1" x14ac:dyDescent="0.25">
      <c r="A707" s="6">
        <v>44852</v>
      </c>
      <c r="B707" s="1">
        <v>2203856</v>
      </c>
      <c r="C707" s="5" t="s">
        <v>262</v>
      </c>
      <c r="D707" s="5" t="str">
        <f>VLOOKUP(C707,[1]master_data!$A$2:$E$495,2,FALSE)</f>
        <v>COP PIPA</v>
      </c>
      <c r="E707" s="5">
        <v>25</v>
      </c>
      <c r="F707" s="5">
        <f>VLOOKUP(C707,[1]master_data!$A$2:$E$495,3,FALSE)</f>
        <v>800</v>
      </c>
      <c r="G707" s="5">
        <f>VLOOKUP(C707,[1]master_data!$A$2:$E$495,4,FALSE)</f>
        <v>2000</v>
      </c>
      <c r="H707" s="5">
        <f t="shared" si="36"/>
        <v>20000</v>
      </c>
      <c r="I707" s="5">
        <f t="shared" si="37"/>
        <v>50000</v>
      </c>
      <c r="J707" s="5">
        <f t="shared" si="38"/>
        <v>30000</v>
      </c>
      <c r="K707" s="5" t="str">
        <f>VLOOKUP(C707,[1]master_data!$A$2:$E$495,5,FALSE)</f>
        <v>Aksesoris</v>
      </c>
      <c r="L707" s="5" t="s">
        <v>471</v>
      </c>
    </row>
    <row r="708" spans="1:12" ht="12" customHeight="1" x14ac:dyDescent="0.25">
      <c r="A708" s="6">
        <v>44852</v>
      </c>
      <c r="B708" s="1">
        <v>2203855</v>
      </c>
      <c r="C708" s="5" t="s">
        <v>316</v>
      </c>
      <c r="D708" s="5" t="str">
        <f>VLOOKUP(C708,[1]master_data!$A$2:$E$495,2,FALSE)</f>
        <v>LURUS SELANG</v>
      </c>
      <c r="E708" s="5">
        <v>1</v>
      </c>
      <c r="F708" s="5">
        <f>VLOOKUP(C708,[1]master_data!$A$2:$E$495,3,FALSE)</f>
        <v>750</v>
      </c>
      <c r="G708" s="5">
        <f>VLOOKUP(C708,[1]master_data!$A$2:$E$495,4,FALSE)</f>
        <v>1500</v>
      </c>
      <c r="H708" s="5">
        <f t="shared" si="36"/>
        <v>750</v>
      </c>
      <c r="I708" s="5">
        <f t="shared" si="37"/>
        <v>1500</v>
      </c>
      <c r="J708" s="5">
        <f t="shared" si="38"/>
        <v>750</v>
      </c>
      <c r="K708" s="5" t="str">
        <f>VLOOKUP(C708,[1]master_data!$A$2:$E$495,5,FALSE)</f>
        <v>Aksesoris</v>
      </c>
      <c r="L708" s="5" t="s">
        <v>471</v>
      </c>
    </row>
    <row r="709" spans="1:12" ht="12" customHeight="1" x14ac:dyDescent="0.25">
      <c r="A709" s="6">
        <v>44851</v>
      </c>
      <c r="B709" s="1">
        <v>2203854</v>
      </c>
      <c r="C709" s="5" t="s">
        <v>21</v>
      </c>
      <c r="D709" s="5" t="str">
        <f>VLOOKUP(C709,[1]master_data!$A$2:$E$495,2,FALSE)</f>
        <v>MESIN ROSTON 1600</v>
      </c>
      <c r="E709" s="5">
        <v>2</v>
      </c>
      <c r="F709" s="5">
        <f>VLOOKUP(C709,[1]master_data!$A$2:$E$495,3,FALSE)</f>
        <v>40000</v>
      </c>
      <c r="G709" s="5">
        <f>VLOOKUP(C709,[1]master_data!$A$2:$E$495,4,FALSE)</f>
        <v>55000</v>
      </c>
      <c r="H709" s="5">
        <f t="shared" ref="H709:H772" si="39">E709*F709</f>
        <v>80000</v>
      </c>
      <c r="I709" s="5">
        <f t="shared" ref="I709:I772" si="40">E709*G709</f>
        <v>110000</v>
      </c>
      <c r="J709" s="5">
        <f t="shared" ref="J709:J772" si="41">I709-H709</f>
        <v>30000</v>
      </c>
      <c r="K709" s="5" t="str">
        <f>VLOOKUP(C709,[1]master_data!$A$2:$E$495,5,FALSE)</f>
        <v>Aksesoris</v>
      </c>
      <c r="L709" s="5" t="s">
        <v>471</v>
      </c>
    </row>
    <row r="710" spans="1:12" ht="12" customHeight="1" x14ac:dyDescent="0.25">
      <c r="A710" s="6">
        <v>44851</v>
      </c>
      <c r="B710" s="1">
        <v>2203853</v>
      </c>
      <c r="C710" s="5" t="s">
        <v>95</v>
      </c>
      <c r="D710" s="5" t="str">
        <f>VLOOKUP(C710,[1]master_data!$A$2:$E$495,2,FALSE)</f>
        <v>MESIN AMARA 106</v>
      </c>
      <c r="E710" s="5">
        <v>1</v>
      </c>
      <c r="F710" s="5">
        <f>VLOOKUP(C710,[1]master_data!$A$2:$E$495,3,FALSE)</f>
        <v>270000</v>
      </c>
      <c r="G710" s="5">
        <f>VLOOKUP(C710,[1]master_data!$A$2:$E$495,4,FALSE)</f>
        <v>330000</v>
      </c>
      <c r="H710" s="5">
        <f t="shared" si="39"/>
        <v>270000</v>
      </c>
      <c r="I710" s="5">
        <f t="shared" si="40"/>
        <v>330000</v>
      </c>
      <c r="J710" s="5">
        <f t="shared" si="41"/>
        <v>60000</v>
      </c>
      <c r="K710" s="5" t="str">
        <f>VLOOKUP(C710,[1]master_data!$A$2:$E$495,5,FALSE)</f>
        <v>Aksesoris</v>
      </c>
      <c r="L710" s="5" t="s">
        <v>471</v>
      </c>
    </row>
    <row r="711" spans="1:12" ht="12" customHeight="1" x14ac:dyDescent="0.25">
      <c r="A711" s="6">
        <v>44851</v>
      </c>
      <c r="B711" s="1">
        <v>2203852</v>
      </c>
      <c r="C711" s="5" t="s">
        <v>92</v>
      </c>
      <c r="D711" s="5" t="str">
        <f>VLOOKUP(C711,[1]master_data!$A$2:$E$495,2,FALSE)</f>
        <v>MESIN AMARA 1000 L</v>
      </c>
      <c r="E711" s="5">
        <v>5</v>
      </c>
      <c r="F711" s="5">
        <f>VLOOKUP(C711,[1]master_data!$A$2:$E$495,3,FALSE)</f>
        <v>34500</v>
      </c>
      <c r="G711" s="5">
        <f>VLOOKUP(C711,[1]master_data!$A$2:$E$495,4,FALSE)</f>
        <v>50000</v>
      </c>
      <c r="H711" s="5">
        <f t="shared" si="39"/>
        <v>172500</v>
      </c>
      <c r="I711" s="5">
        <f t="shared" si="40"/>
        <v>250000</v>
      </c>
      <c r="J711" s="5">
        <f t="shared" si="41"/>
        <v>77500</v>
      </c>
      <c r="K711" s="5" t="str">
        <f>VLOOKUP(C711,[1]master_data!$A$2:$E$495,5,FALSE)</f>
        <v>Aksesoris</v>
      </c>
      <c r="L711" s="5" t="s">
        <v>471</v>
      </c>
    </row>
    <row r="712" spans="1:12" ht="12" customHeight="1" x14ac:dyDescent="0.25">
      <c r="A712" s="6">
        <v>44851</v>
      </c>
      <c r="B712" s="1">
        <v>2203851</v>
      </c>
      <c r="C712" s="5" t="s">
        <v>427</v>
      </c>
      <c r="D712" s="5" t="str">
        <f>VLOOKUP(C712,[1]master_data!$A$2:$E$495,2,FALSE)</f>
        <v>LEMON</v>
      </c>
      <c r="E712" s="5">
        <v>25</v>
      </c>
      <c r="F712" s="5">
        <f>VLOOKUP(C712,[1]master_data!$A$2:$E$495,3,FALSE)</f>
        <v>1000</v>
      </c>
      <c r="G712" s="5">
        <f>VLOOKUP(C712,[1]master_data!$A$2:$E$495,4,FALSE)</f>
        <v>2000</v>
      </c>
      <c r="H712" s="5">
        <f t="shared" si="39"/>
        <v>25000</v>
      </c>
      <c r="I712" s="5">
        <f t="shared" si="40"/>
        <v>50000</v>
      </c>
      <c r="J712" s="5">
        <f t="shared" si="41"/>
        <v>25000</v>
      </c>
      <c r="K712" s="5" t="str">
        <f>VLOOKUP(C712,[1]master_data!$A$2:$E$495,5,FALSE)</f>
        <v>Ikan</v>
      </c>
      <c r="L712" s="5" t="s">
        <v>471</v>
      </c>
    </row>
    <row r="713" spans="1:12" ht="12" customHeight="1" x14ac:dyDescent="0.25">
      <c r="A713" s="6">
        <v>44851</v>
      </c>
      <c r="B713" s="1">
        <v>2203850</v>
      </c>
      <c r="C713" s="5" t="s">
        <v>405</v>
      </c>
      <c r="D713" s="5" t="str">
        <f>VLOOKUP(C713,[1]master_data!$A$2:$E$495,2,FALSE)</f>
        <v>KOMET BOKIM</v>
      </c>
      <c r="E713" s="5">
        <v>30</v>
      </c>
      <c r="F713" s="5">
        <f>VLOOKUP(C713,[1]master_data!$A$2:$E$495,3,FALSE)</f>
        <v>1500</v>
      </c>
      <c r="G713" s="5">
        <f>VLOOKUP(C713,[1]master_data!$A$2:$E$495,4,FALSE)</f>
        <v>5000</v>
      </c>
      <c r="H713" s="5">
        <f t="shared" si="39"/>
        <v>45000</v>
      </c>
      <c r="I713" s="5">
        <f t="shared" si="40"/>
        <v>150000</v>
      </c>
      <c r="J713" s="5">
        <f t="shared" si="41"/>
        <v>105000</v>
      </c>
      <c r="K713" s="5" t="str">
        <f>VLOOKUP(C713,[1]master_data!$A$2:$E$495,5,FALSE)</f>
        <v>Ikan</v>
      </c>
      <c r="L713" s="5" t="s">
        <v>471</v>
      </c>
    </row>
    <row r="714" spans="1:12" ht="12" customHeight="1" x14ac:dyDescent="0.25">
      <c r="A714" s="6">
        <v>44851</v>
      </c>
      <c r="B714" s="1">
        <v>2203849</v>
      </c>
      <c r="C714" s="5" t="s">
        <v>428</v>
      </c>
      <c r="D714" s="5" t="str">
        <f>VLOOKUP(C714,[1]master_data!$A$2:$E$495,2,FALSE)</f>
        <v>LOUHAN</v>
      </c>
      <c r="E714" s="5">
        <v>1</v>
      </c>
      <c r="F714" s="5">
        <f>VLOOKUP(C714,[1]master_data!$A$2:$E$495,3,FALSE)</f>
        <v>85000</v>
      </c>
      <c r="G714" s="5">
        <f>VLOOKUP(C714,[1]master_data!$A$2:$E$495,4,FALSE)</f>
        <v>200000</v>
      </c>
      <c r="H714" s="5">
        <f t="shared" si="39"/>
        <v>85000</v>
      </c>
      <c r="I714" s="5">
        <f t="shared" si="40"/>
        <v>200000</v>
      </c>
      <c r="J714" s="5">
        <f t="shared" si="41"/>
        <v>115000</v>
      </c>
      <c r="K714" s="5" t="str">
        <f>VLOOKUP(C714,[1]master_data!$A$2:$E$495,5,FALSE)</f>
        <v>Ikan</v>
      </c>
      <c r="L714" s="5" t="s">
        <v>471</v>
      </c>
    </row>
    <row r="715" spans="1:12" ht="12" customHeight="1" x14ac:dyDescent="0.25">
      <c r="A715" s="6">
        <v>44851</v>
      </c>
      <c r="B715" s="1">
        <v>2203848</v>
      </c>
      <c r="C715" s="5" t="s">
        <v>391</v>
      </c>
      <c r="D715" s="5" t="str">
        <f>VLOOKUP(C715,[1]master_data!$A$2:$E$495,2,FALSE)</f>
        <v>CHANNA ANDRAO K</v>
      </c>
      <c r="E715" s="5">
        <v>2</v>
      </c>
      <c r="F715" s="5">
        <f>VLOOKUP(C715,[1]master_data!$A$2:$E$495,3,FALSE)</f>
        <v>20000</v>
      </c>
      <c r="G715" s="5">
        <f>VLOOKUP(C715,[1]master_data!$A$2:$E$495,4,FALSE)</f>
        <v>50000</v>
      </c>
      <c r="H715" s="5">
        <f t="shared" si="39"/>
        <v>40000</v>
      </c>
      <c r="I715" s="5">
        <f t="shared" si="40"/>
        <v>100000</v>
      </c>
      <c r="J715" s="5">
        <f t="shared" si="41"/>
        <v>60000</v>
      </c>
      <c r="K715" s="5" t="str">
        <f>VLOOKUP(C715,[1]master_data!$A$2:$E$495,5,FALSE)</f>
        <v>Ikan</v>
      </c>
      <c r="L715" s="5" t="s">
        <v>471</v>
      </c>
    </row>
    <row r="716" spans="1:12" ht="12" customHeight="1" x14ac:dyDescent="0.25">
      <c r="A716" s="6">
        <v>44851</v>
      </c>
      <c r="B716" s="1">
        <v>2203847</v>
      </c>
      <c r="C716" s="5" t="s">
        <v>23</v>
      </c>
      <c r="D716" s="5" t="str">
        <f>VLOOKUP(C716,[1]master_data!$A$2:$E$495,2,FALSE)</f>
        <v>MESIN ROSTON 3900</v>
      </c>
      <c r="E716" s="5">
        <v>1</v>
      </c>
      <c r="F716" s="5">
        <f>VLOOKUP(C716,[1]master_data!$A$2:$E$495,3,FALSE)</f>
        <v>90000</v>
      </c>
      <c r="G716" s="5">
        <f>VLOOKUP(C716,[1]master_data!$A$2:$E$495,4,FALSE)</f>
        <v>150000</v>
      </c>
      <c r="H716" s="5">
        <f t="shared" si="39"/>
        <v>90000</v>
      </c>
      <c r="I716" s="5">
        <f t="shared" si="40"/>
        <v>150000</v>
      </c>
      <c r="J716" s="5">
        <f t="shared" si="41"/>
        <v>60000</v>
      </c>
      <c r="K716" s="5" t="str">
        <f>VLOOKUP(C716,[1]master_data!$A$2:$E$495,5,FALSE)</f>
        <v>Aksesoris</v>
      </c>
      <c r="L716" s="5" t="s">
        <v>471</v>
      </c>
    </row>
    <row r="717" spans="1:12" ht="12" customHeight="1" x14ac:dyDescent="0.25">
      <c r="A717" s="6">
        <v>44851</v>
      </c>
      <c r="B717" s="1">
        <v>2203846</v>
      </c>
      <c r="C717" s="5" t="s">
        <v>61</v>
      </c>
      <c r="D717" s="5" t="str">
        <f>VLOOKUP(C717,[1]master_data!$A$2:$E$495,2,FALSE)</f>
        <v>MESIN SUSUN 3800</v>
      </c>
      <c r="E717" s="5">
        <v>1</v>
      </c>
      <c r="F717" s="5">
        <f>VLOOKUP(C717,[1]master_data!$A$2:$E$495,3,FALSE)</f>
        <v>523000</v>
      </c>
      <c r="G717" s="5">
        <f>VLOOKUP(C717,[1]master_data!$A$2:$E$495,4,FALSE)</f>
        <v>600000</v>
      </c>
      <c r="H717" s="5">
        <f t="shared" si="39"/>
        <v>523000</v>
      </c>
      <c r="I717" s="5">
        <f t="shared" si="40"/>
        <v>600000</v>
      </c>
      <c r="J717" s="5">
        <f t="shared" si="41"/>
        <v>77000</v>
      </c>
      <c r="K717" s="5" t="str">
        <f>VLOOKUP(C717,[1]master_data!$A$2:$E$495,5,FALSE)</f>
        <v>Aksesoris</v>
      </c>
      <c r="L717" s="5" t="s">
        <v>471</v>
      </c>
    </row>
    <row r="718" spans="1:12" ht="12" customHeight="1" x14ac:dyDescent="0.25">
      <c r="A718" s="6">
        <v>44850</v>
      </c>
      <c r="B718" s="1">
        <v>2203845</v>
      </c>
      <c r="C718" s="5" t="s">
        <v>430</v>
      </c>
      <c r="D718" s="5" t="str">
        <f>VLOOKUP(C718,[1]master_data!$A$2:$E$495,2,FALSE)</f>
        <v>MANFISH K</v>
      </c>
      <c r="E718" s="5">
        <v>15</v>
      </c>
      <c r="F718" s="5">
        <f>VLOOKUP(C718,[1]master_data!$A$2:$E$495,3,FALSE)</f>
        <v>2000</v>
      </c>
      <c r="G718" s="5">
        <f>VLOOKUP(C718,[1]master_data!$A$2:$E$495,4,FALSE)</f>
        <v>5000</v>
      </c>
      <c r="H718" s="5">
        <f t="shared" si="39"/>
        <v>30000</v>
      </c>
      <c r="I718" s="5">
        <f t="shared" si="40"/>
        <v>75000</v>
      </c>
      <c r="J718" s="5">
        <f t="shared" si="41"/>
        <v>45000</v>
      </c>
      <c r="K718" s="5" t="str">
        <f>VLOOKUP(C718,[1]master_data!$A$2:$E$495,5,FALSE)</f>
        <v>Ikan</v>
      </c>
      <c r="L718" s="5" t="s">
        <v>471</v>
      </c>
    </row>
    <row r="719" spans="1:12" ht="12" customHeight="1" x14ac:dyDescent="0.25">
      <c r="A719" s="6">
        <v>44850</v>
      </c>
      <c r="B719" s="1">
        <v>2203844</v>
      </c>
      <c r="C719" s="5" t="s">
        <v>281</v>
      </c>
      <c r="D719" s="5" t="str">
        <f>VLOOKUP(C719,[1]master_data!$A$2:$E$495,2,FALSE)</f>
        <v>KRAN 3 W</v>
      </c>
      <c r="E719" s="5">
        <v>25</v>
      </c>
      <c r="F719" s="5">
        <f>VLOOKUP(C719,[1]master_data!$A$2:$E$495,3,FALSE)</f>
        <v>5500</v>
      </c>
      <c r="G719" s="5">
        <f>VLOOKUP(C719,[1]master_data!$A$2:$E$495,4,FALSE)</f>
        <v>8000</v>
      </c>
      <c r="H719" s="5">
        <f t="shared" si="39"/>
        <v>137500</v>
      </c>
      <c r="I719" s="5">
        <f t="shared" si="40"/>
        <v>200000</v>
      </c>
      <c r="J719" s="5">
        <f t="shared" si="41"/>
        <v>62500</v>
      </c>
      <c r="K719" s="5" t="str">
        <f>VLOOKUP(C719,[1]master_data!$A$2:$E$495,5,FALSE)</f>
        <v>Aksesoris</v>
      </c>
      <c r="L719" s="5" t="s">
        <v>471</v>
      </c>
    </row>
    <row r="720" spans="1:12" ht="12" customHeight="1" x14ac:dyDescent="0.25">
      <c r="A720" s="6">
        <v>44850</v>
      </c>
      <c r="B720" s="1">
        <v>2203843</v>
      </c>
      <c r="C720" s="5" t="s">
        <v>58</v>
      </c>
      <c r="D720" s="5" t="str">
        <f>VLOOKUP(C720,[1]master_data!$A$2:$E$495,2,FALSE)</f>
        <v>MINI FILTER</v>
      </c>
      <c r="E720" s="5">
        <v>10</v>
      </c>
      <c r="F720" s="5">
        <f>VLOOKUP(C720,[1]master_data!$A$2:$E$495,3,FALSE)</f>
        <v>13000</v>
      </c>
      <c r="G720" s="5">
        <f>VLOOKUP(C720,[1]master_data!$A$2:$E$495,4,FALSE)</f>
        <v>25000</v>
      </c>
      <c r="H720" s="5">
        <f t="shared" si="39"/>
        <v>130000</v>
      </c>
      <c r="I720" s="5">
        <f t="shared" si="40"/>
        <v>250000</v>
      </c>
      <c r="J720" s="5">
        <f t="shared" si="41"/>
        <v>120000</v>
      </c>
      <c r="K720" s="5" t="str">
        <f>VLOOKUP(C720,[1]master_data!$A$2:$E$495,5,FALSE)</f>
        <v>Aksesoris</v>
      </c>
      <c r="L720" s="5" t="s">
        <v>471</v>
      </c>
    </row>
    <row r="721" spans="1:12" ht="12" customHeight="1" x14ac:dyDescent="0.25">
      <c r="A721" s="6">
        <v>44850</v>
      </c>
      <c r="B721" s="1">
        <v>2203842</v>
      </c>
      <c r="C721" s="5" t="s">
        <v>398</v>
      </c>
      <c r="D721" s="5" t="str">
        <f>VLOOKUP(C721,[1]master_data!$A$2:$E$495,2,FALSE)</f>
        <v>BIPOLAR</v>
      </c>
      <c r="E721" s="5">
        <v>25</v>
      </c>
      <c r="F721" s="5">
        <f>VLOOKUP(C721,[1]master_data!$A$2:$E$495,3,FALSE)</f>
        <v>1000</v>
      </c>
      <c r="G721" s="5">
        <f>VLOOKUP(C721,[1]master_data!$A$2:$E$495,4,FALSE)</f>
        <v>2500</v>
      </c>
      <c r="H721" s="5">
        <f t="shared" si="39"/>
        <v>25000</v>
      </c>
      <c r="I721" s="5">
        <f t="shared" si="40"/>
        <v>62500</v>
      </c>
      <c r="J721" s="5">
        <f t="shared" si="41"/>
        <v>37500</v>
      </c>
      <c r="K721" s="5" t="str">
        <f>VLOOKUP(C721,[1]master_data!$A$2:$E$495,5,FALSE)</f>
        <v>Ikan</v>
      </c>
      <c r="L721" s="5" t="s">
        <v>471</v>
      </c>
    </row>
    <row r="722" spans="1:12" ht="12" customHeight="1" x14ac:dyDescent="0.25">
      <c r="A722" s="6">
        <v>44850</v>
      </c>
      <c r="B722" s="1">
        <v>2203841</v>
      </c>
      <c r="C722" s="5" t="s">
        <v>86</v>
      </c>
      <c r="D722" s="5" t="str">
        <f>VLOOKUP(C722,[1]master_data!$A$2:$E$495,2,FALSE)</f>
        <v>MESIN SOBO B 12000</v>
      </c>
      <c r="E722" s="5">
        <v>1</v>
      </c>
      <c r="F722" s="5">
        <f>VLOOKUP(C722,[1]master_data!$A$2:$E$495,3,FALSE)</f>
        <v>597000</v>
      </c>
      <c r="G722" s="5">
        <f>VLOOKUP(C722,[1]master_data!$A$2:$E$495,4,FALSE)</f>
        <v>770000</v>
      </c>
      <c r="H722" s="5">
        <f t="shared" si="39"/>
        <v>597000</v>
      </c>
      <c r="I722" s="5">
        <f t="shared" si="40"/>
        <v>770000</v>
      </c>
      <c r="J722" s="5">
        <f t="shared" si="41"/>
        <v>173000</v>
      </c>
      <c r="K722" s="5" t="str">
        <f>VLOOKUP(C722,[1]master_data!$A$2:$E$495,5,FALSE)</f>
        <v>Aksesoris</v>
      </c>
      <c r="L722" s="5" t="s">
        <v>471</v>
      </c>
    </row>
    <row r="723" spans="1:12" ht="12" customHeight="1" x14ac:dyDescent="0.25">
      <c r="A723" s="6">
        <v>44850</v>
      </c>
      <c r="B723" s="1">
        <v>2203840</v>
      </c>
      <c r="C723" s="5" t="s">
        <v>405</v>
      </c>
      <c r="D723" s="5" t="str">
        <f>VLOOKUP(C723,[1]master_data!$A$2:$E$495,2,FALSE)</f>
        <v>KOMET BOKIM</v>
      </c>
      <c r="E723" s="5">
        <v>2</v>
      </c>
      <c r="F723" s="5">
        <f>VLOOKUP(C723,[1]master_data!$A$2:$E$495,3,FALSE)</f>
        <v>1500</v>
      </c>
      <c r="G723" s="5">
        <f>VLOOKUP(C723,[1]master_data!$A$2:$E$495,4,FALSE)</f>
        <v>5000</v>
      </c>
      <c r="H723" s="5">
        <f t="shared" si="39"/>
        <v>3000</v>
      </c>
      <c r="I723" s="5">
        <f t="shared" si="40"/>
        <v>10000</v>
      </c>
      <c r="J723" s="5">
        <f t="shared" si="41"/>
        <v>7000</v>
      </c>
      <c r="K723" s="5" t="str">
        <f>VLOOKUP(C723,[1]master_data!$A$2:$E$495,5,FALSE)</f>
        <v>Ikan</v>
      </c>
      <c r="L723" s="5" t="s">
        <v>471</v>
      </c>
    </row>
    <row r="724" spans="1:12" ht="12" customHeight="1" x14ac:dyDescent="0.25">
      <c r="A724" s="6">
        <v>44850</v>
      </c>
      <c r="B724" s="1">
        <v>2203839</v>
      </c>
      <c r="C724" s="5" t="s">
        <v>407</v>
      </c>
      <c r="D724" s="5" t="str">
        <f>VLOOKUP(C724,[1]master_data!$A$2:$E$495,2,FALSE)</f>
        <v>CUPANG</v>
      </c>
      <c r="E724" s="5">
        <v>10</v>
      </c>
      <c r="F724" s="5">
        <f>VLOOKUP(C724,[1]master_data!$A$2:$E$495,3,FALSE)</f>
        <v>2000</v>
      </c>
      <c r="G724" s="5">
        <f>VLOOKUP(C724,[1]master_data!$A$2:$E$495,4,FALSE)</f>
        <v>5000</v>
      </c>
      <c r="H724" s="5">
        <f t="shared" si="39"/>
        <v>20000</v>
      </c>
      <c r="I724" s="5">
        <f t="shared" si="40"/>
        <v>50000</v>
      </c>
      <c r="J724" s="5">
        <f t="shared" si="41"/>
        <v>30000</v>
      </c>
      <c r="K724" s="5" t="str">
        <f>VLOOKUP(C724,[1]master_data!$A$2:$E$495,5,FALSE)</f>
        <v>Ikan</v>
      </c>
      <c r="L724" s="5" t="s">
        <v>471</v>
      </c>
    </row>
    <row r="725" spans="1:12" ht="12" customHeight="1" x14ac:dyDescent="0.25">
      <c r="A725" s="6">
        <v>44850</v>
      </c>
      <c r="B725" s="1">
        <v>2203838</v>
      </c>
      <c r="C725" s="5" t="s">
        <v>306</v>
      </c>
      <c r="D725" s="5" t="str">
        <f>VLOOKUP(C725,[1]master_data!$A$2:$E$495,2,FALSE)</f>
        <v>SEDOTAN</v>
      </c>
      <c r="E725" s="5">
        <v>5</v>
      </c>
      <c r="F725" s="5">
        <f>VLOOKUP(C725,[1]master_data!$A$2:$E$495,3,FALSE)</f>
        <v>10000</v>
      </c>
      <c r="G725" s="5">
        <f>VLOOKUP(C725,[1]master_data!$A$2:$E$495,4,FALSE)</f>
        <v>15000</v>
      </c>
      <c r="H725" s="5">
        <f t="shared" si="39"/>
        <v>50000</v>
      </c>
      <c r="I725" s="5">
        <f t="shared" si="40"/>
        <v>75000</v>
      </c>
      <c r="J725" s="5">
        <f t="shared" si="41"/>
        <v>25000</v>
      </c>
      <c r="K725" s="5" t="str">
        <f>VLOOKUP(C725,[1]master_data!$A$2:$E$495,5,FALSE)</f>
        <v>Aksesoris</v>
      </c>
      <c r="L725" s="5" t="s">
        <v>471</v>
      </c>
    </row>
    <row r="726" spans="1:12" ht="12" customHeight="1" x14ac:dyDescent="0.25">
      <c r="A726" s="6">
        <v>44850</v>
      </c>
      <c r="B726" s="1">
        <v>2203837</v>
      </c>
      <c r="C726" s="5" t="s">
        <v>443</v>
      </c>
      <c r="D726" s="5" t="str">
        <f>VLOOKUP(C726,[1]master_data!$A$2:$E$495,2,FALSE)</f>
        <v>PALMAS</v>
      </c>
      <c r="E726" s="5">
        <v>2</v>
      </c>
      <c r="F726" s="5">
        <f>VLOOKUP(C726,[1]master_data!$A$2:$E$495,3,FALSE)</f>
        <v>10000</v>
      </c>
      <c r="G726" s="5">
        <f>VLOOKUP(C726,[1]master_data!$A$2:$E$495,4,FALSE)</f>
        <v>25000</v>
      </c>
      <c r="H726" s="5">
        <f t="shared" si="39"/>
        <v>20000</v>
      </c>
      <c r="I726" s="5">
        <f t="shared" si="40"/>
        <v>50000</v>
      </c>
      <c r="J726" s="5">
        <f t="shared" si="41"/>
        <v>30000</v>
      </c>
      <c r="K726" s="5" t="str">
        <f>VLOOKUP(C726,[1]master_data!$A$2:$E$495,5,FALSE)</f>
        <v>Ikan</v>
      </c>
      <c r="L726" s="5" t="s">
        <v>471</v>
      </c>
    </row>
    <row r="727" spans="1:12" ht="12" customHeight="1" x14ac:dyDescent="0.25">
      <c r="A727" s="6">
        <v>44850</v>
      </c>
      <c r="B727" s="1">
        <v>2203836</v>
      </c>
      <c r="C727" s="5" t="s">
        <v>427</v>
      </c>
      <c r="D727" s="5" t="str">
        <f>VLOOKUP(C727,[1]master_data!$A$2:$E$495,2,FALSE)</f>
        <v>LEMON</v>
      </c>
      <c r="E727" s="5">
        <v>10</v>
      </c>
      <c r="F727" s="5">
        <f>VLOOKUP(C727,[1]master_data!$A$2:$E$495,3,FALSE)</f>
        <v>1000</v>
      </c>
      <c r="G727" s="5">
        <f>VLOOKUP(C727,[1]master_data!$A$2:$E$495,4,FALSE)</f>
        <v>2000</v>
      </c>
      <c r="H727" s="5">
        <f t="shared" si="39"/>
        <v>10000</v>
      </c>
      <c r="I727" s="5">
        <f t="shared" si="40"/>
        <v>20000</v>
      </c>
      <c r="J727" s="5">
        <f t="shared" si="41"/>
        <v>10000</v>
      </c>
      <c r="K727" s="5" t="str">
        <f>VLOOKUP(C727,[1]master_data!$A$2:$E$495,5,FALSE)</f>
        <v>Ikan</v>
      </c>
      <c r="L727" s="5" t="s">
        <v>471</v>
      </c>
    </row>
    <row r="728" spans="1:12" ht="12" customHeight="1" x14ac:dyDescent="0.25">
      <c r="A728" s="6">
        <v>44849</v>
      </c>
      <c r="B728" s="1">
        <v>2203835</v>
      </c>
      <c r="C728" s="5" t="s">
        <v>393</v>
      </c>
      <c r="D728" s="5" t="str">
        <f>VLOOKUP(C728,[1]master_data!$A$2:$E$495,2,FALSE)</f>
        <v>CHANNA ANDRAO B</v>
      </c>
      <c r="E728" s="5">
        <v>2</v>
      </c>
      <c r="F728" s="5">
        <f>VLOOKUP(C728,[1]master_data!$A$2:$E$495,3,FALSE)</f>
        <v>100000</v>
      </c>
      <c r="G728" s="5">
        <f>VLOOKUP(C728,[1]master_data!$A$2:$E$495,4,FALSE)</f>
        <v>200000</v>
      </c>
      <c r="H728" s="5">
        <f t="shared" si="39"/>
        <v>200000</v>
      </c>
      <c r="I728" s="5">
        <f t="shared" si="40"/>
        <v>400000</v>
      </c>
      <c r="J728" s="5">
        <f t="shared" si="41"/>
        <v>200000</v>
      </c>
      <c r="K728" s="5" t="str">
        <f>VLOOKUP(C728,[1]master_data!$A$2:$E$495,5,FALSE)</f>
        <v>Ikan</v>
      </c>
      <c r="L728" s="5" t="s">
        <v>471</v>
      </c>
    </row>
    <row r="729" spans="1:12" ht="12" customHeight="1" x14ac:dyDescent="0.25">
      <c r="A729" s="6">
        <v>44849</v>
      </c>
      <c r="B729" s="1">
        <v>2203834</v>
      </c>
      <c r="C729" s="5" t="s">
        <v>455</v>
      </c>
      <c r="D729" s="5" t="str">
        <f>VLOOKUP(C729,[1]master_data!$A$2:$E$495,2,FALSE)</f>
        <v>TETRA</v>
      </c>
      <c r="E729" s="5">
        <v>15</v>
      </c>
      <c r="F729" s="5">
        <f>VLOOKUP(C729,[1]master_data!$A$2:$E$495,3,FALSE)</f>
        <v>800</v>
      </c>
      <c r="G729" s="5">
        <f>VLOOKUP(C729,[1]master_data!$A$2:$E$495,4,FALSE)</f>
        <v>2000</v>
      </c>
      <c r="H729" s="5">
        <f t="shared" si="39"/>
        <v>12000</v>
      </c>
      <c r="I729" s="5">
        <f t="shared" si="40"/>
        <v>30000</v>
      </c>
      <c r="J729" s="5">
        <f t="shared" si="41"/>
        <v>18000</v>
      </c>
      <c r="K729" s="5" t="str">
        <f>VLOOKUP(C729,[1]master_data!$A$2:$E$495,5,FALSE)</f>
        <v>Ikan</v>
      </c>
      <c r="L729" s="5" t="s">
        <v>471</v>
      </c>
    </row>
    <row r="730" spans="1:12" ht="12" customHeight="1" x14ac:dyDescent="0.25">
      <c r="A730" s="6">
        <v>44849</v>
      </c>
      <c r="B730" s="1">
        <v>2203833</v>
      </c>
      <c r="C730" s="5" t="s">
        <v>177</v>
      </c>
      <c r="D730" s="5" t="str">
        <f>VLOOKUP(C730,[1]master_data!$A$2:$E$495,2,FALSE)</f>
        <v>LED ARMADA 3 BRS AP 400</v>
      </c>
      <c r="E730" s="5">
        <v>2</v>
      </c>
      <c r="F730" s="5">
        <f>VLOOKUP(C730,[1]master_data!$A$2:$E$495,3,FALSE)</f>
        <v>45000</v>
      </c>
      <c r="G730" s="5">
        <f>VLOOKUP(C730,[1]master_data!$A$2:$E$495,4,FALSE)</f>
        <v>70000</v>
      </c>
      <c r="H730" s="5">
        <f t="shared" si="39"/>
        <v>90000</v>
      </c>
      <c r="I730" s="5">
        <f t="shared" si="40"/>
        <v>140000</v>
      </c>
      <c r="J730" s="5">
        <f t="shared" si="41"/>
        <v>50000</v>
      </c>
      <c r="K730" s="5" t="str">
        <f>VLOOKUP(C730,[1]master_data!$A$2:$E$495,5,FALSE)</f>
        <v>Aksesoris</v>
      </c>
      <c r="L730" s="5" t="s">
        <v>471</v>
      </c>
    </row>
    <row r="731" spans="1:12" ht="12" customHeight="1" x14ac:dyDescent="0.25">
      <c r="A731" s="6">
        <v>44849</v>
      </c>
      <c r="B731" s="1">
        <v>2203832</v>
      </c>
      <c r="C731" s="5" t="s">
        <v>423</v>
      </c>
      <c r="D731" s="5" t="str">
        <f>VLOOKUP(C731,[1]master_data!$A$2:$E$495,2,FALSE)</f>
        <v>KOI SLAYER K</v>
      </c>
      <c r="E731" s="5">
        <v>25</v>
      </c>
      <c r="F731" s="5">
        <f>VLOOKUP(C731,[1]master_data!$A$2:$E$495,3,FALSE)</f>
        <v>3500</v>
      </c>
      <c r="G731" s="5">
        <f>VLOOKUP(C731,[1]master_data!$A$2:$E$495,4,FALSE)</f>
        <v>10000</v>
      </c>
      <c r="H731" s="5">
        <f t="shared" si="39"/>
        <v>87500</v>
      </c>
      <c r="I731" s="5">
        <f t="shared" si="40"/>
        <v>250000</v>
      </c>
      <c r="J731" s="5">
        <f t="shared" si="41"/>
        <v>162500</v>
      </c>
      <c r="K731" s="5" t="str">
        <f>VLOOKUP(C731,[1]master_data!$A$2:$E$495,5,FALSE)</f>
        <v>Ikan</v>
      </c>
      <c r="L731" s="5" t="s">
        <v>471</v>
      </c>
    </row>
    <row r="732" spans="1:12" ht="12" customHeight="1" x14ac:dyDescent="0.25">
      <c r="A732" s="6">
        <v>44849</v>
      </c>
      <c r="B732" s="1">
        <v>2203831</v>
      </c>
      <c r="C732" s="5" t="s">
        <v>420</v>
      </c>
      <c r="D732" s="5" t="str">
        <f>VLOOKUP(C732,[1]master_data!$A$2:$E$495,2,FALSE)</f>
        <v>KAVIAT</v>
      </c>
      <c r="E732" s="5">
        <v>20</v>
      </c>
      <c r="F732" s="5">
        <f>VLOOKUP(C732,[1]master_data!$A$2:$E$495,3,FALSE)</f>
        <v>3500</v>
      </c>
      <c r="G732" s="5">
        <f>VLOOKUP(C732,[1]master_data!$A$2:$E$495,4,FALSE)</f>
        <v>8000</v>
      </c>
      <c r="H732" s="5">
        <f t="shared" si="39"/>
        <v>70000</v>
      </c>
      <c r="I732" s="5">
        <f t="shared" si="40"/>
        <v>160000</v>
      </c>
      <c r="J732" s="5">
        <f t="shared" si="41"/>
        <v>90000</v>
      </c>
      <c r="K732" s="5" t="str">
        <f>VLOOKUP(C732,[1]master_data!$A$2:$E$495,5,FALSE)</f>
        <v>Ikan</v>
      </c>
      <c r="L732" s="5" t="s">
        <v>471</v>
      </c>
    </row>
    <row r="733" spans="1:12" ht="12" customHeight="1" x14ac:dyDescent="0.25">
      <c r="A733" s="6">
        <v>44849</v>
      </c>
      <c r="B733" s="1">
        <v>2203830</v>
      </c>
      <c r="C733" s="5" t="s">
        <v>463</v>
      </c>
      <c r="D733" s="5" t="str">
        <f>VLOOKUP(C733,[1]master_data!$A$2:$E$495,2,FALSE)</f>
        <v>CHANNA STEWARTI</v>
      </c>
      <c r="E733" s="5">
        <v>1</v>
      </c>
      <c r="F733" s="5">
        <f>VLOOKUP(C733,[1]master_data!$A$2:$E$495,3,FALSE)</f>
        <v>15000</v>
      </c>
      <c r="G733" s="5">
        <f>VLOOKUP(C733,[1]master_data!$A$2:$E$495,4,FALSE)</f>
        <v>40000</v>
      </c>
      <c r="H733" s="5">
        <f t="shared" si="39"/>
        <v>15000</v>
      </c>
      <c r="I733" s="5">
        <f t="shared" si="40"/>
        <v>40000</v>
      </c>
      <c r="J733" s="5">
        <f t="shared" si="41"/>
        <v>25000</v>
      </c>
      <c r="K733" s="5" t="str">
        <f>VLOOKUP(C733,[1]master_data!$A$2:$E$495,5,FALSE)</f>
        <v>Ikan</v>
      </c>
      <c r="L733" s="5" t="s">
        <v>471</v>
      </c>
    </row>
    <row r="734" spans="1:12" ht="12" customHeight="1" x14ac:dyDescent="0.25">
      <c r="A734" s="6">
        <v>44849</v>
      </c>
      <c r="B734" s="1">
        <v>2203829</v>
      </c>
      <c r="C734" s="5" t="s">
        <v>447</v>
      </c>
      <c r="D734" s="5" t="str">
        <f>VLOOKUP(C734,[1]master_data!$A$2:$E$495,2,FALSE)</f>
        <v>REDFIN ALBINO</v>
      </c>
      <c r="E734" s="5">
        <v>10</v>
      </c>
      <c r="F734" s="5">
        <f>VLOOKUP(C734,[1]master_data!$A$2:$E$495,3,FALSE)</f>
        <v>1500</v>
      </c>
      <c r="G734" s="5">
        <f>VLOOKUP(C734,[1]master_data!$A$2:$E$495,4,FALSE)</f>
        <v>4000</v>
      </c>
      <c r="H734" s="5">
        <f t="shared" si="39"/>
        <v>15000</v>
      </c>
      <c r="I734" s="5">
        <f t="shared" si="40"/>
        <v>40000</v>
      </c>
      <c r="J734" s="5">
        <f t="shared" si="41"/>
        <v>25000</v>
      </c>
      <c r="K734" s="5" t="str">
        <f>VLOOKUP(C734,[1]master_data!$A$2:$E$495,5,FALSE)</f>
        <v>Ikan</v>
      </c>
      <c r="L734" s="5" t="s">
        <v>471</v>
      </c>
    </row>
    <row r="735" spans="1:12" ht="12" customHeight="1" x14ac:dyDescent="0.25">
      <c r="A735" s="6">
        <v>44848</v>
      </c>
      <c r="B735" s="1">
        <v>2203828</v>
      </c>
      <c r="C735" s="5" t="s">
        <v>101</v>
      </c>
      <c r="D735" s="5" t="str">
        <f>VLOOKUP(C735,[1]master_data!$A$2:$E$495,2,FALSE)</f>
        <v>AIRATOR JINGYE LUB 1</v>
      </c>
      <c r="E735" s="5">
        <v>1</v>
      </c>
      <c r="F735" s="5">
        <f>VLOOKUP(C735,[1]master_data!$A$2:$E$495,3,FALSE)</f>
        <v>20500</v>
      </c>
      <c r="G735" s="5">
        <f>VLOOKUP(C735,[1]master_data!$A$2:$E$495,4,FALSE)</f>
        <v>30000</v>
      </c>
      <c r="H735" s="5">
        <f t="shared" si="39"/>
        <v>20500</v>
      </c>
      <c r="I735" s="5">
        <f t="shared" si="40"/>
        <v>30000</v>
      </c>
      <c r="J735" s="5">
        <f t="shared" si="41"/>
        <v>9500</v>
      </c>
      <c r="K735" s="5" t="str">
        <f>VLOOKUP(C735,[1]master_data!$A$2:$E$495,5,FALSE)</f>
        <v>Aksesoris</v>
      </c>
      <c r="L735" s="5" t="s">
        <v>471</v>
      </c>
    </row>
    <row r="736" spans="1:12" ht="12" customHeight="1" x14ac:dyDescent="0.25">
      <c r="A736" s="6">
        <v>44848</v>
      </c>
      <c r="B736" s="1">
        <v>2203827</v>
      </c>
      <c r="C736" s="5" t="s">
        <v>398</v>
      </c>
      <c r="D736" s="5" t="str">
        <f>VLOOKUP(C736,[1]master_data!$A$2:$E$495,2,FALSE)</f>
        <v>BIPOLAR</v>
      </c>
      <c r="E736" s="5">
        <v>10</v>
      </c>
      <c r="F736" s="5">
        <f>VLOOKUP(C736,[1]master_data!$A$2:$E$495,3,FALSE)</f>
        <v>1000</v>
      </c>
      <c r="G736" s="5">
        <f>VLOOKUP(C736,[1]master_data!$A$2:$E$495,4,FALSE)</f>
        <v>2500</v>
      </c>
      <c r="H736" s="5">
        <f t="shared" si="39"/>
        <v>10000</v>
      </c>
      <c r="I736" s="5">
        <f t="shared" si="40"/>
        <v>25000</v>
      </c>
      <c r="J736" s="5">
        <f t="shared" si="41"/>
        <v>15000</v>
      </c>
      <c r="K736" s="5" t="str">
        <f>VLOOKUP(C736,[1]master_data!$A$2:$E$495,5,FALSE)</f>
        <v>Ikan</v>
      </c>
      <c r="L736" s="5" t="s">
        <v>471</v>
      </c>
    </row>
    <row r="737" spans="1:12" ht="12" customHeight="1" x14ac:dyDescent="0.25">
      <c r="A737" s="6">
        <v>44848</v>
      </c>
      <c r="B737" s="1">
        <v>2203826</v>
      </c>
      <c r="C737" s="5" t="s">
        <v>275</v>
      </c>
      <c r="D737" s="5" t="str">
        <f>VLOOKUP(C737,[1]master_data!$A$2:$E$495,2,FALSE)</f>
        <v>JARING 20</v>
      </c>
      <c r="E737" s="5">
        <v>10</v>
      </c>
      <c r="F737" s="5">
        <f>VLOOKUP(C737,[1]master_data!$A$2:$E$495,3,FALSE)</f>
        <v>5600</v>
      </c>
      <c r="G737" s="5">
        <f>VLOOKUP(C737,[1]master_data!$A$2:$E$495,4,FALSE)</f>
        <v>10000</v>
      </c>
      <c r="H737" s="5">
        <f t="shared" si="39"/>
        <v>56000</v>
      </c>
      <c r="I737" s="5">
        <f t="shared" si="40"/>
        <v>100000</v>
      </c>
      <c r="J737" s="5">
        <f t="shared" si="41"/>
        <v>44000</v>
      </c>
      <c r="K737" s="5" t="str">
        <f>VLOOKUP(C737,[1]master_data!$A$2:$E$495,5,FALSE)</f>
        <v>Aksesoris</v>
      </c>
      <c r="L737" s="5" t="s">
        <v>471</v>
      </c>
    </row>
    <row r="738" spans="1:12" ht="12" customHeight="1" x14ac:dyDescent="0.25">
      <c r="A738" s="6">
        <v>44848</v>
      </c>
      <c r="B738" s="1">
        <v>2203825</v>
      </c>
      <c r="C738" s="5" t="s">
        <v>442</v>
      </c>
      <c r="D738" s="5" t="str">
        <f>VLOOKUP(C738,[1]master_data!$A$2:$E$495,2,FALSE)</f>
        <v>PEMBERSIH KACA ALBINO</v>
      </c>
      <c r="E738" s="5">
        <v>15</v>
      </c>
      <c r="F738" s="5">
        <f>VLOOKUP(C738,[1]master_data!$A$2:$E$495,3,FALSE)</f>
        <v>2500</v>
      </c>
      <c r="G738" s="5">
        <f>VLOOKUP(C738,[1]master_data!$A$2:$E$495,4,FALSE)</f>
        <v>5000</v>
      </c>
      <c r="H738" s="5">
        <f t="shared" si="39"/>
        <v>37500</v>
      </c>
      <c r="I738" s="5">
        <f t="shared" si="40"/>
        <v>75000</v>
      </c>
      <c r="J738" s="5">
        <f t="shared" si="41"/>
        <v>37500</v>
      </c>
      <c r="K738" s="5" t="str">
        <f>VLOOKUP(C738,[1]master_data!$A$2:$E$495,5,FALSE)</f>
        <v>Ikan</v>
      </c>
      <c r="L738" s="5" t="s">
        <v>471</v>
      </c>
    </row>
    <row r="739" spans="1:12" ht="12" customHeight="1" x14ac:dyDescent="0.25">
      <c r="A739" s="6">
        <v>44848</v>
      </c>
      <c r="B739" s="1">
        <v>2203824</v>
      </c>
      <c r="C739" s="5" t="s">
        <v>439</v>
      </c>
      <c r="D739" s="5" t="str">
        <f>VLOOKUP(C739,[1]master_data!$A$2:$E$495,2,FALSE)</f>
        <v>NEON</v>
      </c>
      <c r="E739" s="5">
        <v>20</v>
      </c>
      <c r="F739" s="5">
        <f>VLOOKUP(C739,[1]master_data!$A$2:$E$495,3,FALSE)</f>
        <v>1250</v>
      </c>
      <c r="G739" s="5">
        <f>VLOOKUP(C739,[1]master_data!$A$2:$E$495,4,FALSE)</f>
        <v>5000</v>
      </c>
      <c r="H739" s="5">
        <f t="shared" si="39"/>
        <v>25000</v>
      </c>
      <c r="I739" s="5">
        <f t="shared" si="40"/>
        <v>100000</v>
      </c>
      <c r="J739" s="5">
        <f t="shared" si="41"/>
        <v>75000</v>
      </c>
      <c r="K739" s="5" t="str">
        <f>VLOOKUP(C739,[1]master_data!$A$2:$E$495,5,FALSE)</f>
        <v>Ikan</v>
      </c>
      <c r="L739" s="5" t="s">
        <v>471</v>
      </c>
    </row>
    <row r="740" spans="1:12" ht="12" customHeight="1" x14ac:dyDescent="0.25">
      <c r="A740" s="6">
        <v>44848</v>
      </c>
      <c r="B740" s="1">
        <v>2203823</v>
      </c>
      <c r="C740" s="5" t="s">
        <v>455</v>
      </c>
      <c r="D740" s="5" t="str">
        <f>VLOOKUP(C740,[1]master_data!$A$2:$E$495,2,FALSE)</f>
        <v>TETRA</v>
      </c>
      <c r="E740" s="5">
        <v>20</v>
      </c>
      <c r="F740" s="5">
        <f>VLOOKUP(C740,[1]master_data!$A$2:$E$495,3,FALSE)</f>
        <v>800</v>
      </c>
      <c r="G740" s="5">
        <f>VLOOKUP(C740,[1]master_data!$A$2:$E$495,4,FALSE)</f>
        <v>2000</v>
      </c>
      <c r="H740" s="5">
        <f t="shared" si="39"/>
        <v>16000</v>
      </c>
      <c r="I740" s="5">
        <f t="shared" si="40"/>
        <v>40000</v>
      </c>
      <c r="J740" s="5">
        <f t="shared" si="41"/>
        <v>24000</v>
      </c>
      <c r="K740" s="5" t="str">
        <f>VLOOKUP(C740,[1]master_data!$A$2:$E$495,5,FALSE)</f>
        <v>Ikan</v>
      </c>
      <c r="L740" s="5" t="s">
        <v>471</v>
      </c>
    </row>
    <row r="741" spans="1:12" ht="12" customHeight="1" x14ac:dyDescent="0.25">
      <c r="A741" s="6">
        <v>44848</v>
      </c>
      <c r="B741" s="1">
        <v>2203822</v>
      </c>
      <c r="C741" s="5" t="s">
        <v>420</v>
      </c>
      <c r="D741" s="5" t="str">
        <f>VLOOKUP(C741,[1]master_data!$A$2:$E$495,2,FALSE)</f>
        <v>KAVIAT</v>
      </c>
      <c r="E741" s="5">
        <v>20</v>
      </c>
      <c r="F741" s="5">
        <f>VLOOKUP(C741,[1]master_data!$A$2:$E$495,3,FALSE)</f>
        <v>3500</v>
      </c>
      <c r="G741" s="5">
        <f>VLOOKUP(C741,[1]master_data!$A$2:$E$495,4,FALSE)</f>
        <v>8000</v>
      </c>
      <c r="H741" s="5">
        <f t="shared" si="39"/>
        <v>70000</v>
      </c>
      <c r="I741" s="5">
        <f t="shared" si="40"/>
        <v>160000</v>
      </c>
      <c r="J741" s="5">
        <f t="shared" si="41"/>
        <v>90000</v>
      </c>
      <c r="K741" s="5" t="str">
        <f>VLOOKUP(C741,[1]master_data!$A$2:$E$495,5,FALSE)</f>
        <v>Ikan</v>
      </c>
      <c r="L741" s="5" t="s">
        <v>471</v>
      </c>
    </row>
    <row r="742" spans="1:12" ht="12" customHeight="1" x14ac:dyDescent="0.25">
      <c r="A742" s="6">
        <v>44848</v>
      </c>
      <c r="B742" s="1">
        <v>2203821</v>
      </c>
      <c r="C742" s="5" t="s">
        <v>328</v>
      </c>
      <c r="D742" s="5" t="str">
        <f>VLOOKUP(C742,[1]master_data!$A$2:$E$495,2,FALSE)</f>
        <v>AIRSONE PUTIH</v>
      </c>
      <c r="E742" s="5">
        <v>15</v>
      </c>
      <c r="F742" s="5">
        <f>VLOOKUP(C742,[1]master_data!$A$2:$E$495,3,FALSE)</f>
        <v>3000</v>
      </c>
      <c r="G742" s="5">
        <f>VLOOKUP(C742,[1]master_data!$A$2:$E$495,4,FALSE)</f>
        <v>5000</v>
      </c>
      <c r="H742" s="5">
        <f t="shared" si="39"/>
        <v>45000</v>
      </c>
      <c r="I742" s="5">
        <f t="shared" si="40"/>
        <v>75000</v>
      </c>
      <c r="J742" s="5">
        <f t="shared" si="41"/>
        <v>30000</v>
      </c>
      <c r="K742" s="5" t="str">
        <f>VLOOKUP(C742,[1]master_data!$A$2:$E$495,5,FALSE)</f>
        <v>Aksesoris</v>
      </c>
      <c r="L742" s="5" t="s">
        <v>471</v>
      </c>
    </row>
    <row r="743" spans="1:12" ht="12" customHeight="1" x14ac:dyDescent="0.25">
      <c r="A743" s="6">
        <v>44848</v>
      </c>
      <c r="B743" s="1">
        <v>2203820</v>
      </c>
      <c r="C743" s="5" t="s">
        <v>256</v>
      </c>
      <c r="D743" s="5" t="str">
        <f>VLOOKUP(C743,[1]master_data!$A$2:$E$495,2,FALSE)</f>
        <v>BACKGROUND</v>
      </c>
      <c r="E743" s="5">
        <v>10</v>
      </c>
      <c r="F743" s="5">
        <f>VLOOKUP(C743,[1]master_data!$A$2:$E$495,3,FALSE)</f>
        <v>8000</v>
      </c>
      <c r="G743" s="5">
        <f>VLOOKUP(C743,[1]master_data!$A$2:$E$495,4,FALSE)</f>
        <v>15000</v>
      </c>
      <c r="H743" s="5">
        <f t="shared" si="39"/>
        <v>80000</v>
      </c>
      <c r="I743" s="5">
        <f t="shared" si="40"/>
        <v>150000</v>
      </c>
      <c r="J743" s="5">
        <f t="shared" si="41"/>
        <v>70000</v>
      </c>
      <c r="K743" s="5" t="str">
        <f>VLOOKUP(C743,[1]master_data!$A$2:$E$495,5,FALSE)</f>
        <v>Aksesoris</v>
      </c>
      <c r="L743" s="5" t="s">
        <v>471</v>
      </c>
    </row>
    <row r="744" spans="1:12" ht="12" customHeight="1" x14ac:dyDescent="0.25">
      <c r="A744" s="6">
        <v>44848</v>
      </c>
      <c r="B744" s="1">
        <v>2203819</v>
      </c>
      <c r="C744" s="5" t="s">
        <v>220</v>
      </c>
      <c r="D744" s="5" t="str">
        <f>VLOOKUP(C744,[1]master_data!$A$2:$E$495,2,FALSE)</f>
        <v>HIRO COLOUR</v>
      </c>
      <c r="E744" s="5">
        <v>1</v>
      </c>
      <c r="F744" s="5">
        <f>VLOOKUP(C744,[1]master_data!$A$2:$E$495,3,FALSE)</f>
        <v>72000</v>
      </c>
      <c r="G744" s="5">
        <f>VLOOKUP(C744,[1]master_data!$A$2:$E$495,4,FALSE)</f>
        <v>80000</v>
      </c>
      <c r="H744" s="5">
        <f t="shared" si="39"/>
        <v>72000</v>
      </c>
      <c r="I744" s="5">
        <f t="shared" si="40"/>
        <v>80000</v>
      </c>
      <c r="J744" s="5">
        <f t="shared" si="41"/>
        <v>8000</v>
      </c>
      <c r="K744" s="5" t="str">
        <f>VLOOKUP(C744,[1]master_data!$A$2:$E$495,5,FALSE)</f>
        <v>Aksesoris</v>
      </c>
      <c r="L744" s="5" t="s">
        <v>471</v>
      </c>
    </row>
    <row r="745" spans="1:12" ht="12" customHeight="1" x14ac:dyDescent="0.25">
      <c r="A745" s="6">
        <v>44848</v>
      </c>
      <c r="B745" s="1">
        <v>2203818</v>
      </c>
      <c r="C745" s="5" t="s">
        <v>324</v>
      </c>
      <c r="D745" s="5" t="str">
        <f>VLOOKUP(C745,[1]master_data!$A$2:$E$495,2,FALSE)</f>
        <v>AIRSTONE PANJANG 6</v>
      </c>
      <c r="E745" s="5">
        <v>5</v>
      </c>
      <c r="F745" s="5">
        <f>VLOOKUP(C745,[1]master_data!$A$2:$E$495,3,FALSE)</f>
        <v>8000</v>
      </c>
      <c r="G745" s="5">
        <f>VLOOKUP(C745,[1]master_data!$A$2:$E$495,4,FALSE)</f>
        <v>12000</v>
      </c>
      <c r="H745" s="5">
        <f t="shared" si="39"/>
        <v>40000</v>
      </c>
      <c r="I745" s="5">
        <f t="shared" si="40"/>
        <v>60000</v>
      </c>
      <c r="J745" s="5">
        <f t="shared" si="41"/>
        <v>20000</v>
      </c>
      <c r="K745" s="5" t="str">
        <f>VLOOKUP(C745,[1]master_data!$A$2:$E$495,5,FALSE)</f>
        <v>Aksesoris</v>
      </c>
      <c r="L745" s="5" t="s">
        <v>471</v>
      </c>
    </row>
    <row r="746" spans="1:12" ht="12" customHeight="1" x14ac:dyDescent="0.25">
      <c r="A746" s="6">
        <v>44848</v>
      </c>
      <c r="B746" s="1">
        <v>2203817</v>
      </c>
      <c r="C746" s="5" t="s">
        <v>150</v>
      </c>
      <c r="D746" s="5" t="str">
        <f>VLOOKUP(C746,[1]master_data!$A$2:$E$495,2,FALSE)</f>
        <v>LED KANDILA 2 BRS 100 CM</v>
      </c>
      <c r="E746" s="5">
        <v>1</v>
      </c>
      <c r="F746" s="5">
        <f>VLOOKUP(C746,[1]master_data!$A$2:$E$495,3,FALSE)</f>
        <v>50000</v>
      </c>
      <c r="G746" s="5">
        <f>VLOOKUP(C746,[1]master_data!$A$2:$E$495,4,FALSE)</f>
        <v>100000</v>
      </c>
      <c r="H746" s="5">
        <f t="shared" si="39"/>
        <v>50000</v>
      </c>
      <c r="I746" s="5">
        <f t="shared" si="40"/>
        <v>100000</v>
      </c>
      <c r="J746" s="5">
        <f t="shared" si="41"/>
        <v>50000</v>
      </c>
      <c r="K746" s="5" t="str">
        <f>VLOOKUP(C746,[1]master_data!$A$2:$E$495,5,FALSE)</f>
        <v>Aksesoris</v>
      </c>
      <c r="L746" s="5" t="s">
        <v>471</v>
      </c>
    </row>
    <row r="747" spans="1:12" ht="12" customHeight="1" x14ac:dyDescent="0.25">
      <c r="A747" s="6">
        <v>44848</v>
      </c>
      <c r="B747" s="1">
        <v>2203816</v>
      </c>
      <c r="C747" s="5" t="s">
        <v>448</v>
      </c>
      <c r="D747" s="5" t="str">
        <f>VLOOKUP(C747,[1]master_data!$A$2:$E$495,2,FALSE)</f>
        <v xml:space="preserve"> CHANNA RED BARITO K</v>
      </c>
      <c r="E747" s="5">
        <v>1</v>
      </c>
      <c r="F747" s="5">
        <f>VLOOKUP(C747,[1]master_data!$A$2:$E$495,3,FALSE)</f>
        <v>45000</v>
      </c>
      <c r="G747" s="5">
        <f>VLOOKUP(C747,[1]master_data!$A$2:$E$495,4,FALSE)</f>
        <v>100000</v>
      </c>
      <c r="H747" s="5">
        <f t="shared" si="39"/>
        <v>45000</v>
      </c>
      <c r="I747" s="5">
        <f t="shared" si="40"/>
        <v>100000</v>
      </c>
      <c r="J747" s="5">
        <f t="shared" si="41"/>
        <v>55000</v>
      </c>
      <c r="K747" s="5" t="str">
        <f>VLOOKUP(C747,[1]master_data!$A$2:$E$495,5,FALSE)</f>
        <v>Ikan</v>
      </c>
      <c r="L747" s="5" t="s">
        <v>471</v>
      </c>
    </row>
    <row r="748" spans="1:12" ht="12" customHeight="1" x14ac:dyDescent="0.25">
      <c r="A748" s="6">
        <v>44848</v>
      </c>
      <c r="B748" s="1">
        <v>2203815</v>
      </c>
      <c r="C748" s="5" t="s">
        <v>67</v>
      </c>
      <c r="D748" s="5" t="str">
        <f>VLOOKUP(C748,[1]master_data!$A$2:$E$495,2,FALSE)</f>
        <v>MESIN RECENT 1200</v>
      </c>
      <c r="E748" s="5">
        <v>4</v>
      </c>
      <c r="F748" s="5">
        <f>VLOOKUP(C748,[1]master_data!$A$2:$E$495,3,FALSE)</f>
        <v>23000</v>
      </c>
      <c r="G748" s="5">
        <f>VLOOKUP(C748,[1]master_data!$A$2:$E$495,4,FALSE)</f>
        <v>35000</v>
      </c>
      <c r="H748" s="5">
        <f t="shared" si="39"/>
        <v>92000</v>
      </c>
      <c r="I748" s="5">
        <f t="shared" si="40"/>
        <v>140000</v>
      </c>
      <c r="J748" s="5">
        <f t="shared" si="41"/>
        <v>48000</v>
      </c>
      <c r="K748" s="5" t="str">
        <f>VLOOKUP(C748,[1]master_data!$A$2:$E$495,5,FALSE)</f>
        <v>Aksesoris</v>
      </c>
      <c r="L748" s="5" t="s">
        <v>471</v>
      </c>
    </row>
    <row r="749" spans="1:12" ht="12" customHeight="1" x14ac:dyDescent="0.25">
      <c r="A749" s="6">
        <v>44848</v>
      </c>
      <c r="B749" s="1">
        <v>2203814</v>
      </c>
      <c r="C749" s="5" t="s">
        <v>304</v>
      </c>
      <c r="D749" s="5" t="str">
        <f>VLOOKUP(C749,[1]master_data!$A$2:$E$495,2,FALSE)</f>
        <v>PINSET KANDILA</v>
      </c>
      <c r="E749" s="5">
        <v>1</v>
      </c>
      <c r="F749" s="5">
        <f>VLOOKUP(C749,[1]master_data!$A$2:$E$495,3,FALSE)</f>
        <v>18000</v>
      </c>
      <c r="G749" s="5">
        <f>VLOOKUP(C749,[1]master_data!$A$2:$E$495,4,FALSE)</f>
        <v>35000</v>
      </c>
      <c r="H749" s="5">
        <f t="shared" si="39"/>
        <v>18000</v>
      </c>
      <c r="I749" s="5">
        <f t="shared" si="40"/>
        <v>35000</v>
      </c>
      <c r="J749" s="5">
        <f t="shared" si="41"/>
        <v>17000</v>
      </c>
      <c r="K749" s="5" t="str">
        <f>VLOOKUP(C749,[1]master_data!$A$2:$E$495,5,FALSE)</f>
        <v>Aksesoris</v>
      </c>
      <c r="L749" s="5" t="s">
        <v>471</v>
      </c>
    </row>
    <row r="750" spans="1:12" ht="12" customHeight="1" x14ac:dyDescent="0.25">
      <c r="A750" s="6">
        <v>44847</v>
      </c>
      <c r="B750" s="1">
        <v>2203813</v>
      </c>
      <c r="C750" s="5" t="s">
        <v>435</v>
      </c>
      <c r="D750" s="5" t="str">
        <f>VLOOKUP(C750,[1]master_data!$A$2:$E$495,2,FALSE)</f>
        <v>MOLI BALON</v>
      </c>
      <c r="E750" s="5">
        <v>25</v>
      </c>
      <c r="F750" s="5">
        <f>VLOOKUP(C750,[1]master_data!$A$2:$E$495,3,FALSE)</f>
        <v>800</v>
      </c>
      <c r="G750" s="5">
        <f>VLOOKUP(C750,[1]master_data!$A$2:$E$495,4,FALSE)</f>
        <v>2000</v>
      </c>
      <c r="H750" s="5">
        <f t="shared" si="39"/>
        <v>20000</v>
      </c>
      <c r="I750" s="5">
        <f t="shared" si="40"/>
        <v>50000</v>
      </c>
      <c r="J750" s="5">
        <f t="shared" si="41"/>
        <v>30000</v>
      </c>
      <c r="K750" s="5" t="str">
        <f>VLOOKUP(C750,[1]master_data!$A$2:$E$495,5,FALSE)</f>
        <v>Ikan</v>
      </c>
      <c r="L750" s="5" t="s">
        <v>471</v>
      </c>
    </row>
    <row r="751" spans="1:12" ht="12" customHeight="1" x14ac:dyDescent="0.25">
      <c r="A751" s="6">
        <v>44847</v>
      </c>
      <c r="B751" s="1">
        <v>2203812</v>
      </c>
      <c r="C751" s="5" t="s">
        <v>407</v>
      </c>
      <c r="D751" s="5" t="str">
        <f>VLOOKUP(C751,[1]master_data!$A$2:$E$495,2,FALSE)</f>
        <v>CUPANG</v>
      </c>
      <c r="E751" s="5">
        <v>30</v>
      </c>
      <c r="F751" s="5">
        <f>VLOOKUP(C751,[1]master_data!$A$2:$E$495,3,FALSE)</f>
        <v>2000</v>
      </c>
      <c r="G751" s="5">
        <f>VLOOKUP(C751,[1]master_data!$A$2:$E$495,4,FALSE)</f>
        <v>5000</v>
      </c>
      <c r="H751" s="5">
        <f t="shared" si="39"/>
        <v>60000</v>
      </c>
      <c r="I751" s="5">
        <f t="shared" si="40"/>
        <v>150000</v>
      </c>
      <c r="J751" s="5">
        <f t="shared" si="41"/>
        <v>90000</v>
      </c>
      <c r="K751" s="5" t="str">
        <f>VLOOKUP(C751,[1]master_data!$A$2:$E$495,5,FALSE)</f>
        <v>Ikan</v>
      </c>
      <c r="L751" s="5" t="s">
        <v>471</v>
      </c>
    </row>
    <row r="752" spans="1:12" ht="12" customHeight="1" x14ac:dyDescent="0.25">
      <c r="A752" s="6">
        <v>44847</v>
      </c>
      <c r="B752" s="1">
        <v>2203811</v>
      </c>
      <c r="C752" s="5" t="s">
        <v>444</v>
      </c>
      <c r="D752" s="5" t="str">
        <f>VLOOKUP(C752,[1]master_data!$A$2:$E$495,2,FALSE)</f>
        <v>PARROT</v>
      </c>
      <c r="E752" s="5">
        <v>4</v>
      </c>
      <c r="F752" s="5">
        <f>VLOOKUP(C752,[1]master_data!$A$2:$E$495,3,FALSE)</f>
        <v>27000</v>
      </c>
      <c r="G752" s="5">
        <f>VLOOKUP(C752,[1]master_data!$A$2:$E$495,4,FALSE)</f>
        <v>60000</v>
      </c>
      <c r="H752" s="5">
        <f t="shared" si="39"/>
        <v>108000</v>
      </c>
      <c r="I752" s="5">
        <f t="shared" si="40"/>
        <v>240000</v>
      </c>
      <c r="J752" s="5">
        <f t="shared" si="41"/>
        <v>132000</v>
      </c>
      <c r="K752" s="5" t="str">
        <f>VLOOKUP(C752,[1]master_data!$A$2:$E$495,5,FALSE)</f>
        <v>Ikan</v>
      </c>
      <c r="L752" s="5" t="s">
        <v>471</v>
      </c>
    </row>
    <row r="753" spans="1:12" ht="12" customHeight="1" x14ac:dyDescent="0.25">
      <c r="A753" s="6">
        <v>44847</v>
      </c>
      <c r="B753" s="1">
        <v>2203810</v>
      </c>
      <c r="C753" s="5" t="s">
        <v>457</v>
      </c>
      <c r="D753" s="5" t="str">
        <f>VLOOKUP(C753,[1]master_data!$A$2:$E$495,2,FALSE)</f>
        <v>ZEBRA PINK</v>
      </c>
      <c r="E753" s="5">
        <v>15</v>
      </c>
      <c r="F753" s="5">
        <f>VLOOKUP(C753,[1]master_data!$A$2:$E$495,3,FALSE)</f>
        <v>800</v>
      </c>
      <c r="G753" s="5">
        <f>VLOOKUP(C753,[1]master_data!$A$2:$E$495,4,FALSE)</f>
        <v>2000</v>
      </c>
      <c r="H753" s="5">
        <f t="shared" si="39"/>
        <v>12000</v>
      </c>
      <c r="I753" s="5">
        <f t="shared" si="40"/>
        <v>30000</v>
      </c>
      <c r="J753" s="5">
        <f t="shared" si="41"/>
        <v>18000</v>
      </c>
      <c r="K753" s="5" t="str">
        <f>VLOOKUP(C753,[1]master_data!$A$2:$E$495,5,FALSE)</f>
        <v>Ikan</v>
      </c>
      <c r="L753" s="5" t="s">
        <v>471</v>
      </c>
    </row>
    <row r="754" spans="1:12" ht="12" customHeight="1" x14ac:dyDescent="0.25">
      <c r="A754" s="6">
        <v>44847</v>
      </c>
      <c r="B754" s="1">
        <v>2203809</v>
      </c>
      <c r="C754" s="5" t="s">
        <v>53</v>
      </c>
      <c r="D754" s="5" t="str">
        <f>VLOOKUP(C754,[1]master_data!$A$2:$E$495,2,FALSE)</f>
        <v>MESIN RECENT 203</v>
      </c>
      <c r="E754" s="5">
        <v>10</v>
      </c>
      <c r="F754" s="5">
        <f>VLOOKUP(C754,[1]master_data!$A$2:$E$495,3,FALSE)</f>
        <v>43500</v>
      </c>
      <c r="G754" s="5">
        <f>VLOOKUP(C754,[1]master_data!$A$2:$E$495,4,FALSE)</f>
        <v>70000</v>
      </c>
      <c r="H754" s="5">
        <f t="shared" si="39"/>
        <v>435000</v>
      </c>
      <c r="I754" s="5">
        <f t="shared" si="40"/>
        <v>700000</v>
      </c>
      <c r="J754" s="5">
        <f t="shared" si="41"/>
        <v>265000</v>
      </c>
      <c r="K754" s="5" t="str">
        <f>VLOOKUP(C754,[1]master_data!$A$2:$E$495,5,FALSE)</f>
        <v>Aksesoris</v>
      </c>
      <c r="L754" s="5" t="s">
        <v>471</v>
      </c>
    </row>
    <row r="755" spans="1:12" ht="12" customHeight="1" x14ac:dyDescent="0.25">
      <c r="A755" s="6">
        <v>44847</v>
      </c>
      <c r="B755" s="1">
        <v>2203808</v>
      </c>
      <c r="C755" s="5" t="s">
        <v>411</v>
      </c>
      <c r="D755" s="5" t="str">
        <f>VLOOKUP(C755,[1]master_data!$A$2:$E$495,2,FALSE)</f>
        <v>GOLDEN BLACK</v>
      </c>
      <c r="E755" s="5">
        <v>10</v>
      </c>
      <c r="F755" s="5">
        <f>VLOOKUP(C755,[1]master_data!$A$2:$E$495,3,FALSE)</f>
        <v>800</v>
      </c>
      <c r="G755" s="5">
        <f>VLOOKUP(C755,[1]master_data!$A$2:$E$495,4,FALSE)</f>
        <v>2000</v>
      </c>
      <c r="H755" s="5">
        <f t="shared" si="39"/>
        <v>8000</v>
      </c>
      <c r="I755" s="5">
        <f t="shared" si="40"/>
        <v>20000</v>
      </c>
      <c r="J755" s="5">
        <f t="shared" si="41"/>
        <v>12000</v>
      </c>
      <c r="K755" s="5" t="str">
        <f>VLOOKUP(C755,[1]master_data!$A$2:$E$495,5,FALSE)</f>
        <v>Ikan</v>
      </c>
      <c r="L755" s="5" t="s">
        <v>471</v>
      </c>
    </row>
    <row r="756" spans="1:12" ht="12" customHeight="1" x14ac:dyDescent="0.25">
      <c r="A756" s="6">
        <v>44847</v>
      </c>
      <c r="B756" s="1">
        <v>2203807</v>
      </c>
      <c r="C756" s="5" t="s">
        <v>436</v>
      </c>
      <c r="D756" s="5" t="str">
        <f>VLOOKUP(C756,[1]master_data!$A$2:$E$495,2,FALSE)</f>
        <v>NIASA</v>
      </c>
      <c r="E756" s="5">
        <v>15</v>
      </c>
      <c r="F756" s="5">
        <f>VLOOKUP(C756,[1]master_data!$A$2:$E$495,3,FALSE)</f>
        <v>900</v>
      </c>
      <c r="G756" s="5">
        <f>VLOOKUP(C756,[1]master_data!$A$2:$E$495,4,FALSE)</f>
        <v>2000</v>
      </c>
      <c r="H756" s="5">
        <f t="shared" si="39"/>
        <v>13500</v>
      </c>
      <c r="I756" s="5">
        <f t="shared" si="40"/>
        <v>30000</v>
      </c>
      <c r="J756" s="5">
        <f t="shared" si="41"/>
        <v>16500</v>
      </c>
      <c r="K756" s="5" t="str">
        <f>VLOOKUP(C756,[1]master_data!$A$2:$E$495,5,FALSE)</f>
        <v>Ikan</v>
      </c>
      <c r="L756" s="5" t="s">
        <v>471</v>
      </c>
    </row>
    <row r="757" spans="1:12" ht="12" customHeight="1" x14ac:dyDescent="0.25">
      <c r="A757" s="6">
        <v>44847</v>
      </c>
      <c r="B757" s="1">
        <v>2203806</v>
      </c>
      <c r="C757" s="5" t="s">
        <v>400</v>
      </c>
      <c r="D757" s="5" t="str">
        <f>VLOOKUP(C757,[1]master_data!$A$2:$E$495,2,FALSE)</f>
        <v>BALA BALA K</v>
      </c>
      <c r="E757" s="5">
        <v>1</v>
      </c>
      <c r="F757" s="5">
        <f>VLOOKUP(C757,[1]master_data!$A$2:$E$495,3,FALSE)</f>
        <v>4000</v>
      </c>
      <c r="G757" s="5">
        <f>VLOOKUP(C757,[1]master_data!$A$2:$E$495,4,FALSE)</f>
        <v>8000</v>
      </c>
      <c r="H757" s="5">
        <f t="shared" si="39"/>
        <v>4000</v>
      </c>
      <c r="I757" s="5">
        <f t="shared" si="40"/>
        <v>8000</v>
      </c>
      <c r="J757" s="5">
        <f t="shared" si="41"/>
        <v>4000</v>
      </c>
      <c r="K757" s="5" t="str">
        <f>VLOOKUP(C757,[1]master_data!$A$2:$E$495,5,FALSE)</f>
        <v>Ikan</v>
      </c>
      <c r="L757" s="5" t="s">
        <v>471</v>
      </c>
    </row>
    <row r="758" spans="1:12" ht="12" customHeight="1" x14ac:dyDescent="0.25">
      <c r="A758" s="6">
        <v>44846</v>
      </c>
      <c r="B758" s="1">
        <v>2203805</v>
      </c>
      <c r="C758" s="5" t="s">
        <v>458</v>
      </c>
      <c r="D758" s="5" t="str">
        <f>VLOOKUP(C758,[1]master_data!$A$2:$E$495,2,FALSE)</f>
        <v>ZEBRA HIJAU</v>
      </c>
      <c r="E758" s="5">
        <v>1</v>
      </c>
      <c r="F758" s="5">
        <f>VLOOKUP(C758,[1]master_data!$A$2:$E$495,3,FALSE)</f>
        <v>800</v>
      </c>
      <c r="G758" s="5">
        <f>VLOOKUP(C758,[1]master_data!$A$2:$E$495,4,FALSE)</f>
        <v>2000</v>
      </c>
      <c r="H758" s="5">
        <f t="shared" si="39"/>
        <v>800</v>
      </c>
      <c r="I758" s="5">
        <f t="shared" si="40"/>
        <v>2000</v>
      </c>
      <c r="J758" s="5">
        <f t="shared" si="41"/>
        <v>1200</v>
      </c>
      <c r="K758" s="5" t="str">
        <f>VLOOKUP(C758,[1]master_data!$A$2:$E$495,5,FALSE)</f>
        <v>Ikan</v>
      </c>
      <c r="L758" s="5" t="s">
        <v>471</v>
      </c>
    </row>
    <row r="759" spans="1:12" ht="12" customHeight="1" x14ac:dyDescent="0.25">
      <c r="A759" s="6">
        <v>44846</v>
      </c>
      <c r="B759" s="1">
        <v>2203804</v>
      </c>
      <c r="C759" s="5" t="s">
        <v>436</v>
      </c>
      <c r="D759" s="5" t="str">
        <f>VLOOKUP(C759,[1]master_data!$A$2:$E$495,2,FALSE)</f>
        <v>NIASA</v>
      </c>
      <c r="E759" s="5">
        <v>10</v>
      </c>
      <c r="F759" s="5">
        <f>VLOOKUP(C759,[1]master_data!$A$2:$E$495,3,FALSE)</f>
        <v>900</v>
      </c>
      <c r="G759" s="5">
        <f>VLOOKUP(C759,[1]master_data!$A$2:$E$495,4,FALSE)</f>
        <v>2000</v>
      </c>
      <c r="H759" s="5">
        <f t="shared" si="39"/>
        <v>9000</v>
      </c>
      <c r="I759" s="5">
        <f t="shared" si="40"/>
        <v>20000</v>
      </c>
      <c r="J759" s="5">
        <f t="shared" si="41"/>
        <v>11000</v>
      </c>
      <c r="K759" s="5" t="str">
        <f>VLOOKUP(C759,[1]master_data!$A$2:$E$495,5,FALSE)</f>
        <v>Ikan</v>
      </c>
      <c r="L759" s="5" t="s">
        <v>471</v>
      </c>
    </row>
    <row r="760" spans="1:12" ht="12" customHeight="1" x14ac:dyDescent="0.25">
      <c r="A760" s="6">
        <v>44846</v>
      </c>
      <c r="B760" s="1">
        <v>2203803</v>
      </c>
      <c r="C760" s="5" t="s">
        <v>463</v>
      </c>
      <c r="D760" s="5" t="str">
        <f>VLOOKUP(C760,[1]master_data!$A$2:$E$495,2,FALSE)</f>
        <v>CHANNA STEWARTI</v>
      </c>
      <c r="E760" s="5">
        <v>4</v>
      </c>
      <c r="F760" s="5">
        <f>VLOOKUP(C760,[1]master_data!$A$2:$E$495,3,FALSE)</f>
        <v>15000</v>
      </c>
      <c r="G760" s="5">
        <f>VLOOKUP(C760,[1]master_data!$A$2:$E$495,4,FALSE)</f>
        <v>40000</v>
      </c>
      <c r="H760" s="5">
        <f t="shared" si="39"/>
        <v>60000</v>
      </c>
      <c r="I760" s="5">
        <f t="shared" si="40"/>
        <v>160000</v>
      </c>
      <c r="J760" s="5">
        <f t="shared" si="41"/>
        <v>100000</v>
      </c>
      <c r="K760" s="5" t="str">
        <f>VLOOKUP(C760,[1]master_data!$A$2:$E$495,5,FALSE)</f>
        <v>Ikan</v>
      </c>
      <c r="L760" s="5" t="s">
        <v>471</v>
      </c>
    </row>
    <row r="761" spans="1:12" ht="12" customHeight="1" x14ac:dyDescent="0.25">
      <c r="A761" s="6">
        <v>44846</v>
      </c>
      <c r="B761" s="1">
        <v>2203802</v>
      </c>
      <c r="C761" s="5" t="s">
        <v>159</v>
      </c>
      <c r="D761" s="5" t="str">
        <f>VLOOKUP(C761,[1]master_data!$A$2:$E$495,2,FALSE)</f>
        <v>LED KANDILA 2 BRS 80 CM</v>
      </c>
      <c r="E761" s="5">
        <v>5</v>
      </c>
      <c r="F761" s="5">
        <f>VLOOKUP(C761,[1]master_data!$A$2:$E$495,3,FALSE)</f>
        <v>45000</v>
      </c>
      <c r="G761" s="5">
        <f>VLOOKUP(C761,[1]master_data!$A$2:$E$495,4,FALSE)</f>
        <v>85000</v>
      </c>
      <c r="H761" s="5">
        <f t="shared" si="39"/>
        <v>225000</v>
      </c>
      <c r="I761" s="5">
        <f t="shared" si="40"/>
        <v>425000</v>
      </c>
      <c r="J761" s="5">
        <f t="shared" si="41"/>
        <v>200000</v>
      </c>
      <c r="K761" s="5" t="str">
        <f>VLOOKUP(C761,[1]master_data!$A$2:$E$495,5,FALSE)</f>
        <v>Aksesoris</v>
      </c>
      <c r="L761" s="5" t="s">
        <v>471</v>
      </c>
    </row>
    <row r="762" spans="1:12" ht="12" customHeight="1" x14ac:dyDescent="0.25">
      <c r="A762" s="6">
        <v>44846</v>
      </c>
      <c r="B762" s="1">
        <v>2203801</v>
      </c>
      <c r="C762" s="5" t="s">
        <v>432</v>
      </c>
      <c r="D762" s="5" t="str">
        <f>VLOOKUP(C762,[1]master_data!$A$2:$E$495,2,FALSE)</f>
        <v>MARU K</v>
      </c>
      <c r="E762" s="5">
        <v>1</v>
      </c>
      <c r="F762" s="5">
        <f>VLOOKUP(C762,[1]master_data!$A$2:$E$495,3,FALSE)</f>
        <v>23000</v>
      </c>
      <c r="G762" s="5">
        <f>VLOOKUP(C762,[1]master_data!$A$2:$E$495,4,FALSE)</f>
        <v>50000</v>
      </c>
      <c r="H762" s="5">
        <f t="shared" si="39"/>
        <v>23000</v>
      </c>
      <c r="I762" s="5">
        <f t="shared" si="40"/>
        <v>50000</v>
      </c>
      <c r="J762" s="5">
        <f t="shared" si="41"/>
        <v>27000</v>
      </c>
      <c r="K762" s="5" t="str">
        <f>VLOOKUP(C762,[1]master_data!$A$2:$E$495,5,FALSE)</f>
        <v>Ikan</v>
      </c>
      <c r="L762" s="5" t="s">
        <v>471</v>
      </c>
    </row>
    <row r="763" spans="1:12" ht="12" customHeight="1" x14ac:dyDescent="0.25">
      <c r="A763" s="6">
        <v>44846</v>
      </c>
      <c r="B763" s="1">
        <v>2203800</v>
      </c>
      <c r="C763" s="5" t="s">
        <v>422</v>
      </c>
      <c r="D763" s="5" t="str">
        <f>VLOOKUP(C763,[1]master_data!$A$2:$E$495,2,FALSE)</f>
        <v>KOMET SLAYER</v>
      </c>
      <c r="E763" s="5">
        <v>30</v>
      </c>
      <c r="F763" s="5">
        <f>VLOOKUP(C763,[1]master_data!$A$2:$E$495,3,FALSE)</f>
        <v>2000</v>
      </c>
      <c r="G763" s="5">
        <f>VLOOKUP(C763,[1]master_data!$A$2:$E$495,4,FALSE)</f>
        <v>5000</v>
      </c>
      <c r="H763" s="5">
        <f t="shared" si="39"/>
        <v>60000</v>
      </c>
      <c r="I763" s="5">
        <f t="shared" si="40"/>
        <v>150000</v>
      </c>
      <c r="J763" s="5">
        <f t="shared" si="41"/>
        <v>90000</v>
      </c>
      <c r="K763" s="5" t="str">
        <f>VLOOKUP(C763,[1]master_data!$A$2:$E$495,5,FALSE)</f>
        <v>Ikan</v>
      </c>
      <c r="L763" s="5" t="s">
        <v>471</v>
      </c>
    </row>
    <row r="764" spans="1:12" ht="12" customHeight="1" x14ac:dyDescent="0.25">
      <c r="A764" s="6">
        <v>44846</v>
      </c>
      <c r="B764" s="1">
        <v>2203799</v>
      </c>
      <c r="C764" s="5" t="s">
        <v>461</v>
      </c>
      <c r="D764" s="5" t="str">
        <f>VLOOKUP(C764,[1]master_data!$A$2:$E$495,2,FALSE)</f>
        <v>SEPAT</v>
      </c>
      <c r="E764" s="5">
        <v>20</v>
      </c>
      <c r="F764" s="5">
        <f>VLOOKUP(C764,[1]master_data!$A$2:$E$495,3,FALSE)</f>
        <v>600</v>
      </c>
      <c r="G764" s="5">
        <f>VLOOKUP(C764,[1]master_data!$A$2:$E$495,4,FALSE)</f>
        <v>2000</v>
      </c>
      <c r="H764" s="5">
        <f t="shared" si="39"/>
        <v>12000</v>
      </c>
      <c r="I764" s="5">
        <f t="shared" si="40"/>
        <v>40000</v>
      </c>
      <c r="J764" s="5">
        <f t="shared" si="41"/>
        <v>28000</v>
      </c>
      <c r="K764" s="5" t="str">
        <f>VLOOKUP(C764,[1]master_data!$A$2:$E$495,5,FALSE)</f>
        <v>Ikan</v>
      </c>
      <c r="L764" s="5" t="s">
        <v>471</v>
      </c>
    </row>
    <row r="765" spans="1:12" ht="12" customHeight="1" x14ac:dyDescent="0.25">
      <c r="A765" s="6">
        <v>44846</v>
      </c>
      <c r="B765" s="1">
        <v>2203798</v>
      </c>
      <c r="C765" s="5" t="s">
        <v>438</v>
      </c>
      <c r="D765" s="5" t="str">
        <f>VLOOKUP(C765,[1]master_data!$A$2:$E$495,2,FALSE)</f>
        <v>NENTINEN</v>
      </c>
      <c r="E765" s="5">
        <v>20</v>
      </c>
      <c r="F765" s="5">
        <f>VLOOKUP(C765,[1]master_data!$A$2:$E$495,3,FALSE)</f>
        <v>1000</v>
      </c>
      <c r="G765" s="5">
        <f>VLOOKUP(C765,[1]master_data!$A$2:$E$495,4,FALSE)</f>
        <v>2500</v>
      </c>
      <c r="H765" s="5">
        <f t="shared" si="39"/>
        <v>20000</v>
      </c>
      <c r="I765" s="5">
        <f t="shared" si="40"/>
        <v>50000</v>
      </c>
      <c r="J765" s="5">
        <f t="shared" si="41"/>
        <v>30000</v>
      </c>
      <c r="K765" s="5" t="str">
        <f>VLOOKUP(C765,[1]master_data!$A$2:$E$495,5,FALSE)</f>
        <v>Ikan</v>
      </c>
      <c r="L765" s="5" t="s">
        <v>471</v>
      </c>
    </row>
    <row r="766" spans="1:12" ht="12" customHeight="1" x14ac:dyDescent="0.25">
      <c r="A766" s="6">
        <v>44846</v>
      </c>
      <c r="B766" s="1">
        <v>2203797</v>
      </c>
      <c r="C766" s="5" t="s">
        <v>137</v>
      </c>
      <c r="D766" s="5" t="str">
        <f>VLOOKUP(C766,[1]master_data!$A$2:$E$495,2,FALSE)</f>
        <v>LAMPU YAMANO UV 20W</v>
      </c>
      <c r="E766" s="5">
        <v>2</v>
      </c>
      <c r="F766" s="5">
        <f>VLOOKUP(C766,[1]master_data!$A$2:$E$495,3,FALSE)</f>
        <v>184000</v>
      </c>
      <c r="G766" s="5">
        <f>VLOOKUP(C766,[1]master_data!$A$2:$E$495,4,FALSE)</f>
        <v>225000</v>
      </c>
      <c r="H766" s="5">
        <f t="shared" si="39"/>
        <v>368000</v>
      </c>
      <c r="I766" s="5">
        <f t="shared" si="40"/>
        <v>450000</v>
      </c>
      <c r="J766" s="5">
        <f t="shared" si="41"/>
        <v>82000</v>
      </c>
      <c r="K766" s="5" t="str">
        <f>VLOOKUP(C766,[1]master_data!$A$2:$E$495,5,FALSE)</f>
        <v>Aksesoris</v>
      </c>
      <c r="L766" s="5" t="s">
        <v>471</v>
      </c>
    </row>
    <row r="767" spans="1:12" ht="12" customHeight="1" x14ac:dyDescent="0.25">
      <c r="A767" s="6">
        <v>44846</v>
      </c>
      <c r="B767" s="1">
        <v>2203796</v>
      </c>
      <c r="C767" s="5" t="s">
        <v>421</v>
      </c>
      <c r="D767" s="5" t="str">
        <f>VLOOKUP(C767,[1]master_data!$A$2:$E$495,2,FALSE)</f>
        <v>KOMET PAKAN</v>
      </c>
      <c r="E767" s="5">
        <v>15</v>
      </c>
      <c r="F767" s="5">
        <f>VLOOKUP(C767,[1]master_data!$A$2:$E$495,3,FALSE)</f>
        <v>300</v>
      </c>
      <c r="G767" s="5">
        <f>VLOOKUP(C767,[1]master_data!$A$2:$E$495,4,FALSE)</f>
        <v>1000</v>
      </c>
      <c r="H767" s="5">
        <f t="shared" si="39"/>
        <v>4500</v>
      </c>
      <c r="I767" s="5">
        <f t="shared" si="40"/>
        <v>15000</v>
      </c>
      <c r="J767" s="5">
        <f t="shared" si="41"/>
        <v>10500</v>
      </c>
      <c r="K767" s="5" t="str">
        <f>VLOOKUP(C767,[1]master_data!$A$2:$E$495,5,FALSE)</f>
        <v>Ikan</v>
      </c>
      <c r="L767" s="5" t="s">
        <v>471</v>
      </c>
    </row>
    <row r="768" spans="1:12" ht="12" customHeight="1" x14ac:dyDescent="0.25">
      <c r="A768" s="6">
        <v>44845</v>
      </c>
      <c r="B768" s="1">
        <v>2203795</v>
      </c>
      <c r="C768" s="5" t="s">
        <v>71</v>
      </c>
      <c r="D768" s="5" t="str">
        <f>VLOOKUP(C768,[1]master_data!$A$2:$E$495,2,FALSE)</f>
        <v>MESIN ATMAN 103</v>
      </c>
      <c r="E768" s="5">
        <v>2</v>
      </c>
      <c r="F768" s="5">
        <f>VLOOKUP(C768,[1]master_data!$A$2:$E$495,3,FALSE)</f>
        <v>130000</v>
      </c>
      <c r="G768" s="5">
        <f>VLOOKUP(C768,[1]master_data!$A$2:$E$495,4,FALSE)</f>
        <v>175000</v>
      </c>
      <c r="H768" s="5">
        <f t="shared" si="39"/>
        <v>260000</v>
      </c>
      <c r="I768" s="5">
        <f t="shared" si="40"/>
        <v>350000</v>
      </c>
      <c r="J768" s="5">
        <f t="shared" si="41"/>
        <v>90000</v>
      </c>
      <c r="K768" s="5" t="str">
        <f>VLOOKUP(C768,[1]master_data!$A$2:$E$495,5,FALSE)</f>
        <v>Aksesoris</v>
      </c>
      <c r="L768" s="5" t="s">
        <v>471</v>
      </c>
    </row>
    <row r="769" spans="1:12" ht="12" customHeight="1" x14ac:dyDescent="0.25">
      <c r="A769" s="6">
        <v>44845</v>
      </c>
      <c r="B769" s="1">
        <v>2203794</v>
      </c>
      <c r="C769" s="5" t="s">
        <v>409</v>
      </c>
      <c r="D769" s="5" t="str">
        <f>VLOOKUP(C769,[1]master_data!$A$2:$E$495,2,FALSE)</f>
        <v>GOLD FISH</v>
      </c>
      <c r="E769" s="5">
        <v>1</v>
      </c>
      <c r="F769" s="5">
        <f>VLOOKUP(C769,[1]master_data!$A$2:$E$495,3,FALSE)</f>
        <v>800</v>
      </c>
      <c r="G769" s="5">
        <f>VLOOKUP(C769,[1]master_data!$A$2:$E$495,4,FALSE)</f>
        <v>2000</v>
      </c>
      <c r="H769" s="5">
        <f t="shared" si="39"/>
        <v>800</v>
      </c>
      <c r="I769" s="5">
        <f t="shared" si="40"/>
        <v>2000</v>
      </c>
      <c r="J769" s="5">
        <f t="shared" si="41"/>
        <v>1200</v>
      </c>
      <c r="K769" s="5" t="str">
        <f>VLOOKUP(C769,[1]master_data!$A$2:$E$495,5,FALSE)</f>
        <v>Ikan</v>
      </c>
      <c r="L769" s="5" t="s">
        <v>471</v>
      </c>
    </row>
    <row r="770" spans="1:12" ht="12" customHeight="1" x14ac:dyDescent="0.25">
      <c r="A770" s="6">
        <v>44845</v>
      </c>
      <c r="B770" s="1">
        <v>2203793</v>
      </c>
      <c r="C770" s="5" t="s">
        <v>409</v>
      </c>
      <c r="D770" s="5" t="str">
        <f>VLOOKUP(C770,[1]master_data!$A$2:$E$495,2,FALSE)</f>
        <v>GOLD FISH</v>
      </c>
      <c r="E770" s="5">
        <v>1</v>
      </c>
      <c r="F770" s="5">
        <f>VLOOKUP(C770,[1]master_data!$A$2:$E$495,3,FALSE)</f>
        <v>800</v>
      </c>
      <c r="G770" s="5">
        <f>VLOOKUP(C770,[1]master_data!$A$2:$E$495,4,FALSE)</f>
        <v>2000</v>
      </c>
      <c r="H770" s="5">
        <f t="shared" si="39"/>
        <v>800</v>
      </c>
      <c r="I770" s="5">
        <f t="shared" si="40"/>
        <v>2000</v>
      </c>
      <c r="J770" s="5">
        <f t="shared" si="41"/>
        <v>1200</v>
      </c>
      <c r="K770" s="5" t="str">
        <f>VLOOKUP(C770,[1]master_data!$A$2:$E$495,5,FALSE)</f>
        <v>Ikan</v>
      </c>
      <c r="L770" s="5" t="s">
        <v>471</v>
      </c>
    </row>
    <row r="771" spans="1:12" ht="12" customHeight="1" x14ac:dyDescent="0.25">
      <c r="A771" s="6">
        <v>44845</v>
      </c>
      <c r="B771" s="1">
        <v>2203792</v>
      </c>
      <c r="C771" s="5" t="s">
        <v>267</v>
      </c>
      <c r="D771" s="5" t="str">
        <f>VLOOKUP(C771,[1]master_data!$A$2:$E$495,2,FALSE)</f>
        <v>GARAM</v>
      </c>
      <c r="E771" s="5">
        <v>30</v>
      </c>
      <c r="F771" s="5">
        <f>VLOOKUP(C771,[1]master_data!$A$2:$E$495,3,FALSE)</f>
        <v>3000</v>
      </c>
      <c r="G771" s="5">
        <f>VLOOKUP(C771,[1]master_data!$A$2:$E$495,4,FALSE)</f>
        <v>5000</v>
      </c>
      <c r="H771" s="5">
        <f t="shared" si="39"/>
        <v>90000</v>
      </c>
      <c r="I771" s="5">
        <f t="shared" si="40"/>
        <v>150000</v>
      </c>
      <c r="J771" s="5">
        <f t="shared" si="41"/>
        <v>60000</v>
      </c>
      <c r="K771" s="5" t="str">
        <f>VLOOKUP(C771,[1]master_data!$A$2:$E$495,5,FALSE)</f>
        <v>Aksesoris</v>
      </c>
      <c r="L771" s="5" t="s">
        <v>471</v>
      </c>
    </row>
    <row r="772" spans="1:12" ht="12" customHeight="1" x14ac:dyDescent="0.25">
      <c r="A772" s="6">
        <v>44845</v>
      </c>
      <c r="B772" s="1">
        <v>2203791</v>
      </c>
      <c r="C772" s="5" t="s">
        <v>420</v>
      </c>
      <c r="D772" s="5" t="str">
        <f>VLOOKUP(C772,[1]master_data!$A$2:$E$495,2,FALSE)</f>
        <v>KAVIAT</v>
      </c>
      <c r="E772" s="5">
        <v>10</v>
      </c>
      <c r="F772" s="5">
        <f>VLOOKUP(C772,[1]master_data!$A$2:$E$495,3,FALSE)</f>
        <v>3500</v>
      </c>
      <c r="G772" s="5">
        <f>VLOOKUP(C772,[1]master_data!$A$2:$E$495,4,FALSE)</f>
        <v>8000</v>
      </c>
      <c r="H772" s="5">
        <f t="shared" si="39"/>
        <v>35000</v>
      </c>
      <c r="I772" s="5">
        <f t="shared" si="40"/>
        <v>80000</v>
      </c>
      <c r="J772" s="5">
        <f t="shared" si="41"/>
        <v>45000</v>
      </c>
      <c r="K772" s="5" t="str">
        <f>VLOOKUP(C772,[1]master_data!$A$2:$E$495,5,FALSE)</f>
        <v>Ikan</v>
      </c>
      <c r="L772" s="5" t="s">
        <v>471</v>
      </c>
    </row>
    <row r="773" spans="1:12" ht="12" customHeight="1" x14ac:dyDescent="0.25">
      <c r="A773" s="6">
        <v>44845</v>
      </c>
      <c r="B773" s="1">
        <v>2203790</v>
      </c>
      <c r="C773" s="5" t="s">
        <v>448</v>
      </c>
      <c r="D773" s="5" t="str">
        <f>VLOOKUP(C773,[1]master_data!$A$2:$E$495,2,FALSE)</f>
        <v xml:space="preserve"> CHANNA RED BARITO K</v>
      </c>
      <c r="E773" s="5">
        <v>1</v>
      </c>
      <c r="F773" s="5">
        <f>VLOOKUP(C773,[1]master_data!$A$2:$E$495,3,FALSE)</f>
        <v>45000</v>
      </c>
      <c r="G773" s="5">
        <f>VLOOKUP(C773,[1]master_data!$A$2:$E$495,4,FALSE)</f>
        <v>100000</v>
      </c>
      <c r="H773" s="5">
        <f t="shared" ref="H773:H836" si="42">E773*F773</f>
        <v>45000</v>
      </c>
      <c r="I773" s="5">
        <f t="shared" ref="I773:I836" si="43">E773*G773</f>
        <v>100000</v>
      </c>
      <c r="J773" s="5">
        <f t="shared" ref="J773:J836" si="44">I773-H773</f>
        <v>55000</v>
      </c>
      <c r="K773" s="5" t="str">
        <f>VLOOKUP(C773,[1]master_data!$A$2:$E$495,5,FALSE)</f>
        <v>Ikan</v>
      </c>
      <c r="L773" s="5" t="s">
        <v>471</v>
      </c>
    </row>
    <row r="774" spans="1:12" ht="12" customHeight="1" x14ac:dyDescent="0.25">
      <c r="A774" s="6">
        <v>44845</v>
      </c>
      <c r="B774" s="1">
        <v>2203789</v>
      </c>
      <c r="C774" s="5" t="s">
        <v>410</v>
      </c>
      <c r="D774" s="5" t="str">
        <f>VLOOKUP(C774,[1]master_data!$A$2:$E$495,2,FALSE)</f>
        <v>GUPY</v>
      </c>
      <c r="E774" s="5">
        <v>25</v>
      </c>
      <c r="F774" s="5">
        <f>VLOOKUP(C774,[1]master_data!$A$2:$E$495,3,FALSE)</f>
        <v>1200</v>
      </c>
      <c r="G774" s="5">
        <f>VLOOKUP(C774,[1]master_data!$A$2:$E$495,4,FALSE)</f>
        <v>2500</v>
      </c>
      <c r="H774" s="5">
        <f t="shared" si="42"/>
        <v>30000</v>
      </c>
      <c r="I774" s="5">
        <f t="shared" si="43"/>
        <v>62500</v>
      </c>
      <c r="J774" s="5">
        <f t="shared" si="44"/>
        <v>32500</v>
      </c>
      <c r="K774" s="5" t="str">
        <f>VLOOKUP(C774,[1]master_data!$A$2:$E$495,5,FALSE)</f>
        <v>Ikan</v>
      </c>
      <c r="L774" s="5" t="s">
        <v>471</v>
      </c>
    </row>
    <row r="775" spans="1:12" ht="12" customHeight="1" x14ac:dyDescent="0.25">
      <c r="A775" s="6">
        <v>44845</v>
      </c>
      <c r="B775" s="1">
        <v>2203788</v>
      </c>
      <c r="C775" s="5" t="s">
        <v>434</v>
      </c>
      <c r="D775" s="5" t="str">
        <f>VLOOKUP(C775,[1]master_data!$A$2:$E$495,2,FALSE)</f>
        <v>MOLI PAKAN</v>
      </c>
      <c r="E775" s="5">
        <v>30</v>
      </c>
      <c r="F775" s="5">
        <f>VLOOKUP(C775,[1]master_data!$A$2:$E$495,3,FALSE)</f>
        <v>100</v>
      </c>
      <c r="G775" s="5">
        <f>VLOOKUP(C775,[1]master_data!$A$2:$E$495,4,FALSE)</f>
        <v>200</v>
      </c>
      <c r="H775" s="5">
        <f t="shared" si="42"/>
        <v>3000</v>
      </c>
      <c r="I775" s="5">
        <f t="shared" si="43"/>
        <v>6000</v>
      </c>
      <c r="J775" s="5">
        <f t="shared" si="44"/>
        <v>3000</v>
      </c>
      <c r="K775" s="5" t="str">
        <f>VLOOKUP(C775,[1]master_data!$A$2:$E$495,5,FALSE)</f>
        <v>Ikan</v>
      </c>
      <c r="L775" s="5" t="s">
        <v>471</v>
      </c>
    </row>
    <row r="776" spans="1:12" ht="12" customHeight="1" x14ac:dyDescent="0.25">
      <c r="A776" s="6">
        <v>44845</v>
      </c>
      <c r="B776" s="1">
        <v>2203787</v>
      </c>
      <c r="C776" s="5" t="s">
        <v>409</v>
      </c>
      <c r="D776" s="5" t="str">
        <f>VLOOKUP(C776,[1]master_data!$A$2:$E$495,2,FALSE)</f>
        <v>GOLD FISH</v>
      </c>
      <c r="E776" s="5">
        <v>1</v>
      </c>
      <c r="F776" s="5">
        <f>VLOOKUP(C776,[1]master_data!$A$2:$E$495,3,FALSE)</f>
        <v>800</v>
      </c>
      <c r="G776" s="5">
        <f>VLOOKUP(C776,[1]master_data!$A$2:$E$495,4,FALSE)</f>
        <v>2000</v>
      </c>
      <c r="H776" s="5">
        <f t="shared" si="42"/>
        <v>800</v>
      </c>
      <c r="I776" s="5">
        <f t="shared" si="43"/>
        <v>2000</v>
      </c>
      <c r="J776" s="5">
        <f t="shared" si="44"/>
        <v>1200</v>
      </c>
      <c r="K776" s="5" t="str">
        <f>VLOOKUP(C776,[1]master_data!$A$2:$E$495,5,FALSE)</f>
        <v>Ikan</v>
      </c>
      <c r="L776" s="5" t="s">
        <v>471</v>
      </c>
    </row>
    <row r="777" spans="1:12" ht="12" customHeight="1" x14ac:dyDescent="0.25">
      <c r="A777" s="6">
        <v>44845</v>
      </c>
      <c r="B777" s="1">
        <v>2203786</v>
      </c>
      <c r="C777" s="5" t="s">
        <v>444</v>
      </c>
      <c r="D777" s="5" t="str">
        <f>VLOOKUP(C777,[1]master_data!$A$2:$E$495,2,FALSE)</f>
        <v>PARROT</v>
      </c>
      <c r="E777" s="5">
        <v>1</v>
      </c>
      <c r="F777" s="5">
        <f>VLOOKUP(C777,[1]master_data!$A$2:$E$495,3,FALSE)</f>
        <v>27000</v>
      </c>
      <c r="G777" s="5">
        <f>VLOOKUP(C777,[1]master_data!$A$2:$E$495,4,FALSE)</f>
        <v>60000</v>
      </c>
      <c r="H777" s="5">
        <f t="shared" si="42"/>
        <v>27000</v>
      </c>
      <c r="I777" s="5">
        <f t="shared" si="43"/>
        <v>60000</v>
      </c>
      <c r="J777" s="5">
        <f t="shared" si="44"/>
        <v>33000</v>
      </c>
      <c r="K777" s="5" t="str">
        <f>VLOOKUP(C777,[1]master_data!$A$2:$E$495,5,FALSE)</f>
        <v>Ikan</v>
      </c>
      <c r="L777" s="5" t="s">
        <v>471</v>
      </c>
    </row>
    <row r="778" spans="1:12" ht="12" customHeight="1" x14ac:dyDescent="0.25">
      <c r="A778" s="6">
        <v>44845</v>
      </c>
      <c r="B778" s="1">
        <v>2203785</v>
      </c>
      <c r="C778" s="5" t="s">
        <v>404</v>
      </c>
      <c r="D778" s="5" t="str">
        <f>VLOOKUP(C778,[1]master_data!$A$2:$E$495,2,FALSE)</f>
        <v>CHANNA BLUE PULCHRA B</v>
      </c>
      <c r="E778" s="5">
        <v>1</v>
      </c>
      <c r="F778" s="5">
        <f>VLOOKUP(C778,[1]master_data!$A$2:$E$495,3,FALSE)</f>
        <v>125000</v>
      </c>
      <c r="G778" s="5">
        <f>VLOOKUP(C778,[1]master_data!$A$2:$E$495,4,FALSE)</f>
        <v>200000</v>
      </c>
      <c r="H778" s="5">
        <f t="shared" si="42"/>
        <v>125000</v>
      </c>
      <c r="I778" s="5">
        <f t="shared" si="43"/>
        <v>200000</v>
      </c>
      <c r="J778" s="5">
        <f t="shared" si="44"/>
        <v>75000</v>
      </c>
      <c r="K778" s="5" t="str">
        <f>VLOOKUP(C778,[1]master_data!$A$2:$E$495,5,FALSE)</f>
        <v>Ikan</v>
      </c>
      <c r="L778" s="5" t="s">
        <v>471</v>
      </c>
    </row>
    <row r="779" spans="1:12" ht="12" customHeight="1" x14ac:dyDescent="0.25">
      <c r="A779" s="6">
        <v>44845</v>
      </c>
      <c r="B779" s="1">
        <v>2203784</v>
      </c>
      <c r="C779" s="5" t="s">
        <v>428</v>
      </c>
      <c r="D779" s="5" t="str">
        <f>VLOOKUP(C779,[1]master_data!$A$2:$E$495,2,FALSE)</f>
        <v>LOUHAN</v>
      </c>
      <c r="E779" s="5">
        <v>1</v>
      </c>
      <c r="F779" s="5">
        <f>VLOOKUP(C779,[1]master_data!$A$2:$E$495,3,FALSE)</f>
        <v>85000</v>
      </c>
      <c r="G779" s="5">
        <f>VLOOKUP(C779,[1]master_data!$A$2:$E$495,4,FALSE)</f>
        <v>200000</v>
      </c>
      <c r="H779" s="5">
        <f t="shared" si="42"/>
        <v>85000</v>
      </c>
      <c r="I779" s="5">
        <f t="shared" si="43"/>
        <v>200000</v>
      </c>
      <c r="J779" s="5">
        <f t="shared" si="44"/>
        <v>115000</v>
      </c>
      <c r="K779" s="5" t="str">
        <f>VLOOKUP(C779,[1]master_data!$A$2:$E$495,5,FALSE)</f>
        <v>Ikan</v>
      </c>
      <c r="L779" s="5" t="s">
        <v>471</v>
      </c>
    </row>
    <row r="780" spans="1:12" ht="12" customHeight="1" x14ac:dyDescent="0.25">
      <c r="A780" s="6">
        <v>44845</v>
      </c>
      <c r="B780" s="1">
        <v>2203783</v>
      </c>
      <c r="C780" s="5" t="s">
        <v>438</v>
      </c>
      <c r="D780" s="5" t="str">
        <f>VLOOKUP(C780,[1]master_data!$A$2:$E$495,2,FALSE)</f>
        <v>NENTINEN</v>
      </c>
      <c r="E780" s="5">
        <v>30</v>
      </c>
      <c r="F780" s="5">
        <f>VLOOKUP(C780,[1]master_data!$A$2:$E$495,3,FALSE)</f>
        <v>1000</v>
      </c>
      <c r="G780" s="5">
        <f>VLOOKUP(C780,[1]master_data!$A$2:$E$495,4,FALSE)</f>
        <v>2500</v>
      </c>
      <c r="H780" s="5">
        <f t="shared" si="42"/>
        <v>30000</v>
      </c>
      <c r="I780" s="5">
        <f t="shared" si="43"/>
        <v>75000</v>
      </c>
      <c r="J780" s="5">
        <f t="shared" si="44"/>
        <v>45000</v>
      </c>
      <c r="K780" s="5" t="str">
        <f>VLOOKUP(C780,[1]master_data!$A$2:$E$495,5,FALSE)</f>
        <v>Ikan</v>
      </c>
      <c r="L780" s="5" t="s">
        <v>471</v>
      </c>
    </row>
    <row r="781" spans="1:12" ht="12" customHeight="1" x14ac:dyDescent="0.25">
      <c r="A781" s="6">
        <v>44844</v>
      </c>
      <c r="B781" s="1">
        <v>2203782</v>
      </c>
      <c r="C781" s="5" t="s">
        <v>186</v>
      </c>
      <c r="D781" s="5" t="str">
        <f>VLOOKUP(C781,[1]master_data!$A$2:$E$495,2,FALSE)</f>
        <v>LED RECENT DnN 50CM</v>
      </c>
      <c r="E781" s="5">
        <v>10</v>
      </c>
      <c r="F781" s="5">
        <f>VLOOKUP(C781,[1]master_data!$A$2:$E$495,3,FALSE)</f>
        <v>30000</v>
      </c>
      <c r="G781" s="5">
        <f>VLOOKUP(C781,[1]master_data!$A$2:$E$495,4,FALSE)</f>
        <v>60000</v>
      </c>
      <c r="H781" s="5">
        <f t="shared" si="42"/>
        <v>300000</v>
      </c>
      <c r="I781" s="5">
        <f t="shared" si="43"/>
        <v>600000</v>
      </c>
      <c r="J781" s="5">
        <f t="shared" si="44"/>
        <v>300000</v>
      </c>
      <c r="K781" s="5" t="str">
        <f>VLOOKUP(C781,[1]master_data!$A$2:$E$495,5,FALSE)</f>
        <v>Aksesoris</v>
      </c>
      <c r="L781" s="5" t="s">
        <v>471</v>
      </c>
    </row>
    <row r="782" spans="1:12" ht="12" customHeight="1" x14ac:dyDescent="0.25">
      <c r="A782" s="6">
        <v>44844</v>
      </c>
      <c r="B782" s="1">
        <v>2203781</v>
      </c>
      <c r="C782" s="5" t="s">
        <v>457</v>
      </c>
      <c r="D782" s="5" t="str">
        <f>VLOOKUP(C782,[1]master_data!$A$2:$E$495,2,FALSE)</f>
        <v>ZEBRA PINK</v>
      </c>
      <c r="E782" s="5">
        <v>30</v>
      </c>
      <c r="F782" s="5">
        <f>VLOOKUP(C782,[1]master_data!$A$2:$E$495,3,FALSE)</f>
        <v>800</v>
      </c>
      <c r="G782" s="5">
        <f>VLOOKUP(C782,[1]master_data!$A$2:$E$495,4,FALSE)</f>
        <v>2000</v>
      </c>
      <c r="H782" s="5">
        <f t="shared" si="42"/>
        <v>24000</v>
      </c>
      <c r="I782" s="5">
        <f t="shared" si="43"/>
        <v>60000</v>
      </c>
      <c r="J782" s="5">
        <f t="shared" si="44"/>
        <v>36000</v>
      </c>
      <c r="K782" s="5" t="str">
        <f>VLOOKUP(C782,[1]master_data!$A$2:$E$495,5,FALSE)</f>
        <v>Ikan</v>
      </c>
      <c r="L782" s="5" t="s">
        <v>471</v>
      </c>
    </row>
    <row r="783" spans="1:12" ht="12" customHeight="1" x14ac:dyDescent="0.25">
      <c r="A783" s="6">
        <v>44844</v>
      </c>
      <c r="B783" s="1">
        <v>2203780</v>
      </c>
      <c r="C783" s="5" t="s">
        <v>460</v>
      </c>
      <c r="D783" s="5" t="str">
        <f>VLOOKUP(C783,[1]master_data!$A$2:$E$495,2,FALSE)</f>
        <v>ZEBRA KUNING</v>
      </c>
      <c r="E783" s="5">
        <v>25</v>
      </c>
      <c r="F783" s="5">
        <f>VLOOKUP(C783,[1]master_data!$A$2:$E$495,3,FALSE)</f>
        <v>800</v>
      </c>
      <c r="G783" s="5">
        <f>VLOOKUP(C783,[1]master_data!$A$2:$E$495,4,FALSE)</f>
        <v>2000</v>
      </c>
      <c r="H783" s="5">
        <f t="shared" si="42"/>
        <v>20000</v>
      </c>
      <c r="I783" s="5">
        <f t="shared" si="43"/>
        <v>50000</v>
      </c>
      <c r="J783" s="5">
        <f t="shared" si="44"/>
        <v>30000</v>
      </c>
      <c r="K783" s="5" t="str">
        <f>VLOOKUP(C783,[1]master_data!$A$2:$E$495,5,FALSE)</f>
        <v>Ikan</v>
      </c>
      <c r="L783" s="5" t="s">
        <v>471</v>
      </c>
    </row>
    <row r="784" spans="1:12" ht="12" customHeight="1" x14ac:dyDescent="0.25">
      <c r="A784" s="6">
        <v>44844</v>
      </c>
      <c r="B784" s="1">
        <v>2203779</v>
      </c>
      <c r="C784" s="5" t="s">
        <v>295</v>
      </c>
      <c r="D784" s="5" t="str">
        <f>VLOOKUP(C784,[1]master_data!$A$2:$E$495,2,FALSE)</f>
        <v>LUKA STOP</v>
      </c>
      <c r="E784" s="5">
        <v>10</v>
      </c>
      <c r="F784" s="5">
        <f>VLOOKUP(C784,[1]master_data!$A$2:$E$495,3,FALSE)</f>
        <v>7000</v>
      </c>
      <c r="G784" s="5">
        <f>VLOOKUP(C784,[1]master_data!$A$2:$E$495,4,FALSE)</f>
        <v>15000</v>
      </c>
      <c r="H784" s="5">
        <f t="shared" si="42"/>
        <v>70000</v>
      </c>
      <c r="I784" s="5">
        <f t="shared" si="43"/>
        <v>150000</v>
      </c>
      <c r="J784" s="5">
        <f t="shared" si="44"/>
        <v>80000</v>
      </c>
      <c r="K784" s="5" t="str">
        <f>VLOOKUP(C784,[1]master_data!$A$2:$E$495,5,FALSE)</f>
        <v>Aksesoris</v>
      </c>
      <c r="L784" s="5" t="s">
        <v>471</v>
      </c>
    </row>
    <row r="785" spans="1:12" ht="12" customHeight="1" x14ac:dyDescent="0.25">
      <c r="A785" s="6">
        <v>44844</v>
      </c>
      <c r="B785" s="1">
        <v>2203778</v>
      </c>
      <c r="C785" s="5" t="s">
        <v>426</v>
      </c>
      <c r="D785" s="5" t="str">
        <f>VLOOKUP(C785,[1]master_data!$A$2:$E$495,2,FALSE)</f>
        <v>DISCUS</v>
      </c>
      <c r="E785" s="5">
        <v>1</v>
      </c>
      <c r="F785" s="5">
        <f>VLOOKUP(C785,[1]master_data!$A$2:$E$495,3,FALSE)</f>
        <v>50000</v>
      </c>
      <c r="G785" s="5">
        <f>VLOOKUP(C785,[1]master_data!$A$2:$E$495,4,FALSE)</f>
        <v>150000</v>
      </c>
      <c r="H785" s="5">
        <f t="shared" si="42"/>
        <v>50000</v>
      </c>
      <c r="I785" s="5">
        <f t="shared" si="43"/>
        <v>150000</v>
      </c>
      <c r="J785" s="5">
        <f t="shared" si="44"/>
        <v>100000</v>
      </c>
      <c r="K785" s="5" t="str">
        <f>VLOOKUP(C785,[1]master_data!$A$2:$E$495,5,FALSE)</f>
        <v>Ikan</v>
      </c>
      <c r="L785" s="5" t="s">
        <v>471</v>
      </c>
    </row>
    <row r="786" spans="1:12" ht="12" customHeight="1" x14ac:dyDescent="0.25">
      <c r="A786" s="6">
        <v>44844</v>
      </c>
      <c r="B786" s="1">
        <v>2203777</v>
      </c>
      <c r="C786" s="5" t="s">
        <v>410</v>
      </c>
      <c r="D786" s="5" t="str">
        <f>VLOOKUP(C786,[1]master_data!$A$2:$E$495,2,FALSE)</f>
        <v>GUPY</v>
      </c>
      <c r="E786" s="5">
        <v>10</v>
      </c>
      <c r="F786" s="5">
        <f>VLOOKUP(C786,[1]master_data!$A$2:$E$495,3,FALSE)</f>
        <v>1200</v>
      </c>
      <c r="G786" s="5">
        <f>VLOOKUP(C786,[1]master_data!$A$2:$E$495,4,FALSE)</f>
        <v>2500</v>
      </c>
      <c r="H786" s="5">
        <f t="shared" si="42"/>
        <v>12000</v>
      </c>
      <c r="I786" s="5">
        <f t="shared" si="43"/>
        <v>25000</v>
      </c>
      <c r="J786" s="5">
        <f t="shared" si="44"/>
        <v>13000</v>
      </c>
      <c r="K786" s="5" t="str">
        <f>VLOOKUP(C786,[1]master_data!$A$2:$E$495,5,FALSE)</f>
        <v>Ikan</v>
      </c>
      <c r="L786" s="5" t="s">
        <v>471</v>
      </c>
    </row>
    <row r="787" spans="1:12" ht="12" customHeight="1" x14ac:dyDescent="0.25">
      <c r="A787" s="6">
        <v>44844</v>
      </c>
      <c r="B787" s="1">
        <v>2203776</v>
      </c>
      <c r="C787" s="5" t="s">
        <v>238</v>
      </c>
      <c r="D787" s="5" t="str">
        <f>VLOOKUP(C787,[1]master_data!$A$2:$E$495,2,FALSE)</f>
        <v>MAXI BG</v>
      </c>
      <c r="E787" s="5">
        <v>3</v>
      </c>
      <c r="F787" s="5">
        <f>VLOOKUP(C787,[1]master_data!$A$2:$E$495,3,FALSE)</f>
        <v>12500</v>
      </c>
      <c r="G787" s="5">
        <f>VLOOKUP(C787,[1]master_data!$A$2:$E$495,4,FALSE)</f>
        <v>25000</v>
      </c>
      <c r="H787" s="5">
        <f t="shared" si="42"/>
        <v>37500</v>
      </c>
      <c r="I787" s="5">
        <f t="shared" si="43"/>
        <v>75000</v>
      </c>
      <c r="J787" s="5">
        <f t="shared" si="44"/>
        <v>37500</v>
      </c>
      <c r="K787" s="5" t="str">
        <f>VLOOKUP(C787,[1]master_data!$A$2:$E$495,5,FALSE)</f>
        <v>Aksesoris</v>
      </c>
      <c r="L787" s="5" t="s">
        <v>471</v>
      </c>
    </row>
    <row r="788" spans="1:12" ht="12" customHeight="1" x14ac:dyDescent="0.25">
      <c r="A788" s="6">
        <v>44844</v>
      </c>
      <c r="B788" s="1">
        <v>2203775</v>
      </c>
      <c r="C788" s="5" t="s">
        <v>181</v>
      </c>
      <c r="D788" s="5" t="str">
        <f>VLOOKUP(C788,[1]master_data!$A$2:$E$495,2,FALSE)</f>
        <v>LED ARMADA 3 MODE M50</v>
      </c>
      <c r="E788" s="5">
        <v>1</v>
      </c>
      <c r="F788" s="5">
        <f>VLOOKUP(C788,[1]master_data!$A$2:$E$495,3,FALSE)</f>
        <v>26000</v>
      </c>
      <c r="G788" s="5">
        <f>VLOOKUP(C788,[1]master_data!$A$2:$E$495,4,FALSE)</f>
        <v>50000</v>
      </c>
      <c r="H788" s="5">
        <f t="shared" si="42"/>
        <v>26000</v>
      </c>
      <c r="I788" s="5">
        <f t="shared" si="43"/>
        <v>50000</v>
      </c>
      <c r="J788" s="5">
        <f t="shared" si="44"/>
        <v>24000</v>
      </c>
      <c r="K788" s="5" t="str">
        <f>VLOOKUP(C788,[1]master_data!$A$2:$E$495,5,FALSE)</f>
        <v>Aksesoris</v>
      </c>
      <c r="L788" s="5" t="s">
        <v>471</v>
      </c>
    </row>
    <row r="789" spans="1:12" ht="12" customHeight="1" x14ac:dyDescent="0.25">
      <c r="A789" s="6">
        <v>44843</v>
      </c>
      <c r="B789" s="1">
        <v>2203774</v>
      </c>
      <c r="C789" s="5" t="s">
        <v>376</v>
      </c>
      <c r="D789" s="5" t="str">
        <f>VLOOKUP(C789,[1]master_data!$A$2:$E$495,2,FALSE)</f>
        <v>PASIR MEARAH B</v>
      </c>
      <c r="E789" s="5">
        <v>1</v>
      </c>
      <c r="F789" s="5">
        <f>VLOOKUP(C789,[1]master_data!$A$2:$E$495,3,FALSE)</f>
        <v>8000</v>
      </c>
      <c r="G789" s="5">
        <f>VLOOKUP(C789,[1]master_data!$A$2:$E$495,4,FALSE)</f>
        <v>25000</v>
      </c>
      <c r="H789" s="5">
        <f t="shared" si="42"/>
        <v>8000</v>
      </c>
      <c r="I789" s="5">
        <f t="shared" si="43"/>
        <v>25000</v>
      </c>
      <c r="J789" s="5">
        <f t="shared" si="44"/>
        <v>17000</v>
      </c>
      <c r="K789" s="5" t="str">
        <f>VLOOKUP(C789,[1]master_data!$A$2:$E$495,5,FALSE)</f>
        <v>Aksesoris</v>
      </c>
      <c r="L789" s="5" t="s">
        <v>471</v>
      </c>
    </row>
    <row r="790" spans="1:12" ht="12" customHeight="1" x14ac:dyDescent="0.25">
      <c r="A790" s="6">
        <v>44843</v>
      </c>
      <c r="B790" s="1">
        <v>2203773</v>
      </c>
      <c r="C790" s="5" t="s">
        <v>272</v>
      </c>
      <c r="D790" s="5" t="str">
        <f>VLOOKUP(C790,[1]master_data!$A$2:$E$495,2,FALSE)</f>
        <v>JARING 10</v>
      </c>
      <c r="E790" s="5">
        <v>15</v>
      </c>
      <c r="F790" s="5">
        <f>VLOOKUP(C790,[1]master_data!$A$2:$E$495,3,FALSE)</f>
        <v>2900</v>
      </c>
      <c r="G790" s="5">
        <f>VLOOKUP(C790,[1]master_data!$A$2:$E$495,4,FALSE)</f>
        <v>6000</v>
      </c>
      <c r="H790" s="5">
        <f t="shared" si="42"/>
        <v>43500</v>
      </c>
      <c r="I790" s="5">
        <f t="shared" si="43"/>
        <v>90000</v>
      </c>
      <c r="J790" s="5">
        <f t="shared" si="44"/>
        <v>46500</v>
      </c>
      <c r="K790" s="5" t="str">
        <f>VLOOKUP(C790,[1]master_data!$A$2:$E$495,5,FALSE)</f>
        <v>Aksesoris</v>
      </c>
      <c r="L790" s="5" t="s">
        <v>471</v>
      </c>
    </row>
    <row r="791" spans="1:12" ht="12" customHeight="1" x14ac:dyDescent="0.25">
      <c r="A791" s="6">
        <v>44843</v>
      </c>
      <c r="B791" s="1">
        <v>2203772</v>
      </c>
      <c r="C791" s="5" t="s">
        <v>308</v>
      </c>
      <c r="D791" s="5" t="str">
        <f>VLOOKUP(C791,[1]master_data!$A$2:$E$495,2,FALSE)</f>
        <v>SUPER BLUE</v>
      </c>
      <c r="E791" s="5">
        <v>1</v>
      </c>
      <c r="F791" s="5">
        <f>VLOOKUP(C791,[1]master_data!$A$2:$E$495,3,FALSE)</f>
        <v>8000</v>
      </c>
      <c r="G791" s="5">
        <f>VLOOKUP(C791,[1]master_data!$A$2:$E$495,4,FALSE)</f>
        <v>12000</v>
      </c>
      <c r="H791" s="5">
        <f t="shared" si="42"/>
        <v>8000</v>
      </c>
      <c r="I791" s="5">
        <f t="shared" si="43"/>
        <v>12000</v>
      </c>
      <c r="J791" s="5">
        <f t="shared" si="44"/>
        <v>4000</v>
      </c>
      <c r="K791" s="5" t="str">
        <f>VLOOKUP(C791,[1]master_data!$A$2:$E$495,5,FALSE)</f>
        <v>Aksesoris</v>
      </c>
      <c r="L791" s="5" t="s">
        <v>471</v>
      </c>
    </row>
    <row r="792" spans="1:12" ht="12" customHeight="1" x14ac:dyDescent="0.25">
      <c r="A792" s="6">
        <v>44843</v>
      </c>
      <c r="B792" s="1">
        <v>2203771</v>
      </c>
      <c r="C792" s="5" t="s">
        <v>390</v>
      </c>
      <c r="D792" s="5" t="str">
        <f>VLOOKUP(C792,[1]master_data!$A$2:$E$495,2,FALSE)</f>
        <v>CHANNA ASIATICA K</v>
      </c>
      <c r="E792" s="5">
        <v>10</v>
      </c>
      <c r="F792" s="5">
        <f>VLOOKUP(C792,[1]master_data!$A$2:$E$495,3,FALSE)</f>
        <v>10000</v>
      </c>
      <c r="G792" s="5">
        <f>VLOOKUP(C792,[1]master_data!$A$2:$E$495,4,FALSE)</f>
        <v>40000</v>
      </c>
      <c r="H792" s="5">
        <f t="shared" si="42"/>
        <v>100000</v>
      </c>
      <c r="I792" s="5">
        <f t="shared" si="43"/>
        <v>400000</v>
      </c>
      <c r="J792" s="5">
        <f t="shared" si="44"/>
        <v>300000</v>
      </c>
      <c r="K792" s="5" t="str">
        <f>VLOOKUP(C792,[1]master_data!$A$2:$E$495,5,FALSE)</f>
        <v>Ikan</v>
      </c>
      <c r="L792" s="5" t="s">
        <v>471</v>
      </c>
    </row>
    <row r="793" spans="1:12" ht="12" customHeight="1" x14ac:dyDescent="0.25">
      <c r="A793" s="6">
        <v>44843</v>
      </c>
      <c r="B793" s="1">
        <v>2203770</v>
      </c>
      <c r="C793" s="5" t="s">
        <v>408</v>
      </c>
      <c r="D793" s="5" t="str">
        <f>VLOOKUP(C793,[1]master_data!$A$2:$E$495,2,FALSE)</f>
        <v>CATFISH</v>
      </c>
      <c r="E793" s="5">
        <v>5</v>
      </c>
      <c r="F793" s="5">
        <f>VLOOKUP(C793,[1]master_data!$A$2:$E$495,3,FALSE)</f>
        <v>20000</v>
      </c>
      <c r="G793" s="5">
        <f>VLOOKUP(C793,[1]master_data!$A$2:$E$495,4,FALSE)</f>
        <v>50000</v>
      </c>
      <c r="H793" s="5">
        <f t="shared" si="42"/>
        <v>100000</v>
      </c>
      <c r="I793" s="5">
        <f t="shared" si="43"/>
        <v>250000</v>
      </c>
      <c r="J793" s="5">
        <f t="shared" si="44"/>
        <v>150000</v>
      </c>
      <c r="K793" s="5" t="str">
        <f>VLOOKUP(C793,[1]master_data!$A$2:$E$495,5,FALSE)</f>
        <v>Ikan</v>
      </c>
      <c r="L793" s="5" t="s">
        <v>471</v>
      </c>
    </row>
    <row r="794" spans="1:12" ht="12" customHeight="1" x14ac:dyDescent="0.25">
      <c r="A794" s="6">
        <v>44843</v>
      </c>
      <c r="B794" s="1">
        <v>2203769</v>
      </c>
      <c r="C794" s="5" t="s">
        <v>433</v>
      </c>
      <c r="D794" s="5" t="str">
        <f>VLOOKUP(C794,[1]master_data!$A$2:$E$495,2,FALSE)</f>
        <v>MARU B</v>
      </c>
      <c r="E794" s="5">
        <v>1</v>
      </c>
      <c r="F794" s="5">
        <f>VLOOKUP(C794,[1]master_data!$A$2:$E$495,3,FALSE)</f>
        <v>90000</v>
      </c>
      <c r="G794" s="5">
        <f>VLOOKUP(C794,[1]master_data!$A$2:$E$495,4,FALSE)</f>
        <v>150000</v>
      </c>
      <c r="H794" s="5">
        <f t="shared" si="42"/>
        <v>90000</v>
      </c>
      <c r="I794" s="5">
        <f t="shared" si="43"/>
        <v>150000</v>
      </c>
      <c r="J794" s="5">
        <f t="shared" si="44"/>
        <v>60000</v>
      </c>
      <c r="K794" s="5" t="str">
        <f>VLOOKUP(C794,[1]master_data!$A$2:$E$495,5,FALSE)</f>
        <v>Ikan</v>
      </c>
      <c r="L794" s="5" t="s">
        <v>471</v>
      </c>
    </row>
    <row r="795" spans="1:12" ht="12" customHeight="1" x14ac:dyDescent="0.25">
      <c r="A795" s="6">
        <v>44843</v>
      </c>
      <c r="B795" s="1">
        <v>2203768</v>
      </c>
      <c r="C795" s="5" t="s">
        <v>428</v>
      </c>
      <c r="D795" s="5" t="str">
        <f>VLOOKUP(C795,[1]master_data!$A$2:$E$495,2,FALSE)</f>
        <v>LOUHAN</v>
      </c>
      <c r="E795" s="5">
        <v>1</v>
      </c>
      <c r="F795" s="5">
        <f>VLOOKUP(C795,[1]master_data!$A$2:$E$495,3,FALSE)</f>
        <v>85000</v>
      </c>
      <c r="G795" s="5">
        <f>VLOOKUP(C795,[1]master_data!$A$2:$E$495,4,FALSE)</f>
        <v>200000</v>
      </c>
      <c r="H795" s="5">
        <f t="shared" si="42"/>
        <v>85000</v>
      </c>
      <c r="I795" s="5">
        <f t="shared" si="43"/>
        <v>200000</v>
      </c>
      <c r="J795" s="5">
        <f t="shared" si="44"/>
        <v>115000</v>
      </c>
      <c r="K795" s="5" t="str">
        <f>VLOOKUP(C795,[1]master_data!$A$2:$E$495,5,FALSE)</f>
        <v>Ikan</v>
      </c>
      <c r="L795" s="5" t="s">
        <v>471</v>
      </c>
    </row>
    <row r="796" spans="1:12" ht="12" customHeight="1" x14ac:dyDescent="0.25">
      <c r="A796" s="6">
        <v>44842</v>
      </c>
      <c r="B796" s="1">
        <v>2203767</v>
      </c>
      <c r="C796" s="5" t="s">
        <v>353</v>
      </c>
      <c r="D796" s="5" t="str">
        <f>VLOOKUP(C796,[1]master_data!$A$2:$E$495,2,FALSE)</f>
        <v>AKUARIUM BAHARI L</v>
      </c>
      <c r="E796" s="5">
        <v>2</v>
      </c>
      <c r="F796" s="5">
        <f>VLOOKUP(C796,[1]master_data!$A$2:$E$495,3,FALSE)</f>
        <v>82000</v>
      </c>
      <c r="G796" s="5">
        <f>VLOOKUP(C796,[1]master_data!$A$2:$E$495,4,FALSE)</f>
        <v>150000</v>
      </c>
      <c r="H796" s="5">
        <f t="shared" si="42"/>
        <v>164000</v>
      </c>
      <c r="I796" s="5">
        <f t="shared" si="43"/>
        <v>300000</v>
      </c>
      <c r="J796" s="5">
        <f t="shared" si="44"/>
        <v>136000</v>
      </c>
      <c r="K796" s="5" t="str">
        <f>VLOOKUP(C796,[1]master_data!$A$2:$E$495,5,FALSE)</f>
        <v>Aksesoris</v>
      </c>
      <c r="L796" s="5" t="s">
        <v>471</v>
      </c>
    </row>
    <row r="797" spans="1:12" ht="12" customHeight="1" x14ac:dyDescent="0.25">
      <c r="A797" s="6">
        <v>44842</v>
      </c>
      <c r="B797" s="1">
        <v>2203766</v>
      </c>
      <c r="C797" s="5" t="s">
        <v>6</v>
      </c>
      <c r="D797" s="5" t="str">
        <f>VLOOKUP(C797,[1]master_data!$A$2:$E$495,2,FALSE)</f>
        <v>MESIN YANG 1200</v>
      </c>
      <c r="E797" s="5">
        <v>5</v>
      </c>
      <c r="F797" s="5">
        <f>VLOOKUP(C797,[1]master_data!$A$2:$E$495,3,FALSE)</f>
        <v>25000</v>
      </c>
      <c r="G797" s="5">
        <f>VLOOKUP(C797,[1]master_data!$A$2:$E$495,4,FALSE)</f>
        <v>40000</v>
      </c>
      <c r="H797" s="5">
        <f t="shared" si="42"/>
        <v>125000</v>
      </c>
      <c r="I797" s="5">
        <f t="shared" si="43"/>
        <v>200000</v>
      </c>
      <c r="J797" s="5">
        <f t="shared" si="44"/>
        <v>75000</v>
      </c>
      <c r="K797" s="5" t="str">
        <f>VLOOKUP(C797,[1]master_data!$A$2:$E$495,5,FALSE)</f>
        <v>Aksesoris</v>
      </c>
      <c r="L797" s="5" t="s">
        <v>471</v>
      </c>
    </row>
    <row r="798" spans="1:12" ht="12" customHeight="1" x14ac:dyDescent="0.25">
      <c r="A798" s="6">
        <v>44842</v>
      </c>
      <c r="B798" s="1">
        <v>2203765</v>
      </c>
      <c r="C798" s="5" t="s">
        <v>453</v>
      </c>
      <c r="D798" s="5" t="str">
        <f>VLOOKUP(C798,[1]master_data!$A$2:$E$495,2,FALSE)</f>
        <v>SYNODONTIS K</v>
      </c>
      <c r="E798" s="5">
        <v>1</v>
      </c>
      <c r="F798" s="5">
        <f>VLOOKUP(C798,[1]master_data!$A$2:$E$495,3,FALSE)</f>
        <v>1500</v>
      </c>
      <c r="G798" s="5">
        <f>VLOOKUP(C798,[1]master_data!$A$2:$E$495,4,FALSE)</f>
        <v>5000</v>
      </c>
      <c r="H798" s="5">
        <f t="shared" si="42"/>
        <v>1500</v>
      </c>
      <c r="I798" s="5">
        <f t="shared" si="43"/>
        <v>5000</v>
      </c>
      <c r="J798" s="5">
        <f t="shared" si="44"/>
        <v>3500</v>
      </c>
      <c r="K798" s="5" t="str">
        <f>VLOOKUP(C798,[1]master_data!$A$2:$E$495,5,FALSE)</f>
        <v>Ikan</v>
      </c>
      <c r="L798" s="5" t="s">
        <v>471</v>
      </c>
    </row>
    <row r="799" spans="1:12" ht="12" customHeight="1" x14ac:dyDescent="0.25">
      <c r="A799" s="6">
        <v>44842</v>
      </c>
      <c r="B799" s="1">
        <v>2203764</v>
      </c>
      <c r="C799" s="5" t="s">
        <v>444</v>
      </c>
      <c r="D799" s="5" t="str">
        <f>VLOOKUP(C799,[1]master_data!$A$2:$E$495,2,FALSE)</f>
        <v>PARROT</v>
      </c>
      <c r="E799" s="5">
        <v>1</v>
      </c>
      <c r="F799" s="5">
        <f>VLOOKUP(C799,[1]master_data!$A$2:$E$495,3,FALSE)</f>
        <v>27000</v>
      </c>
      <c r="G799" s="5">
        <f>VLOOKUP(C799,[1]master_data!$A$2:$E$495,4,FALSE)</f>
        <v>60000</v>
      </c>
      <c r="H799" s="5">
        <f t="shared" si="42"/>
        <v>27000</v>
      </c>
      <c r="I799" s="5">
        <f t="shared" si="43"/>
        <v>60000</v>
      </c>
      <c r="J799" s="5">
        <f t="shared" si="44"/>
        <v>33000</v>
      </c>
      <c r="K799" s="5" t="str">
        <f>VLOOKUP(C799,[1]master_data!$A$2:$E$495,5,FALSE)</f>
        <v>Ikan</v>
      </c>
      <c r="L799" s="5" t="s">
        <v>471</v>
      </c>
    </row>
    <row r="800" spans="1:12" ht="12" customHeight="1" x14ac:dyDescent="0.25">
      <c r="A800" s="6">
        <v>44842</v>
      </c>
      <c r="B800" s="1">
        <v>2203763</v>
      </c>
      <c r="C800" s="5" t="s">
        <v>228</v>
      </c>
      <c r="D800" s="5" t="str">
        <f>VLOOKUP(C800,[1]master_data!$A$2:$E$495,2,FALSE)</f>
        <v>HOKKY KOI WHITE</v>
      </c>
      <c r="E800" s="5">
        <v>5</v>
      </c>
      <c r="F800" s="5">
        <f>VLOOKUP(C800,[1]master_data!$A$2:$E$495,3,FALSE)</f>
        <v>48000</v>
      </c>
      <c r="G800" s="5">
        <f>VLOOKUP(C800,[1]master_data!$A$2:$E$495,4,FALSE)</f>
        <v>60000</v>
      </c>
      <c r="H800" s="5">
        <f t="shared" si="42"/>
        <v>240000</v>
      </c>
      <c r="I800" s="5">
        <f t="shared" si="43"/>
        <v>300000</v>
      </c>
      <c r="J800" s="5">
        <f t="shared" si="44"/>
        <v>60000</v>
      </c>
      <c r="K800" s="5" t="str">
        <f>VLOOKUP(C800,[1]master_data!$A$2:$E$495,5,FALSE)</f>
        <v>Aksesoris</v>
      </c>
      <c r="L800" s="5" t="s">
        <v>471</v>
      </c>
    </row>
    <row r="801" spans="1:12" ht="12" customHeight="1" x14ac:dyDescent="0.25">
      <c r="A801" s="6">
        <v>44842</v>
      </c>
      <c r="B801" s="1">
        <v>2203762</v>
      </c>
      <c r="C801" s="5" t="s">
        <v>453</v>
      </c>
      <c r="D801" s="5" t="str">
        <f>VLOOKUP(C801,[1]master_data!$A$2:$E$495,2,FALSE)</f>
        <v>SYNODONTIS K</v>
      </c>
      <c r="E801" s="5">
        <v>26</v>
      </c>
      <c r="F801" s="5">
        <f>VLOOKUP(C801,[1]master_data!$A$2:$E$495,3,FALSE)</f>
        <v>1500</v>
      </c>
      <c r="G801" s="5">
        <f>VLOOKUP(C801,[1]master_data!$A$2:$E$495,4,FALSE)</f>
        <v>5000</v>
      </c>
      <c r="H801" s="5">
        <f t="shared" si="42"/>
        <v>39000</v>
      </c>
      <c r="I801" s="5">
        <f t="shared" si="43"/>
        <v>130000</v>
      </c>
      <c r="J801" s="5">
        <f t="shared" si="44"/>
        <v>91000</v>
      </c>
      <c r="K801" s="5" t="str">
        <f>VLOOKUP(C801,[1]master_data!$A$2:$E$495,5,FALSE)</f>
        <v>Ikan</v>
      </c>
      <c r="L801" s="5" t="s">
        <v>471</v>
      </c>
    </row>
    <row r="802" spans="1:12" ht="12" customHeight="1" x14ac:dyDescent="0.25">
      <c r="A802" s="6">
        <v>44842</v>
      </c>
      <c r="B802" s="1">
        <v>2203761</v>
      </c>
      <c r="C802" s="5" t="s">
        <v>49</v>
      </c>
      <c r="D802" s="5" t="str">
        <f>VLOOKUP(C802,[1]master_data!$A$2:$E$495,2,FALSE)</f>
        <v>MESIN NIKITA WAVE MAKER M6</v>
      </c>
      <c r="E802" s="5">
        <v>2</v>
      </c>
      <c r="F802" s="5">
        <f>VLOOKUP(C802,[1]master_data!$A$2:$E$495,3,FALSE)</f>
        <v>86000</v>
      </c>
      <c r="G802" s="5">
        <f>VLOOKUP(C802,[1]master_data!$A$2:$E$495,4,FALSE)</f>
        <v>120000</v>
      </c>
      <c r="H802" s="5">
        <f t="shared" si="42"/>
        <v>172000</v>
      </c>
      <c r="I802" s="5">
        <f t="shared" si="43"/>
        <v>240000</v>
      </c>
      <c r="J802" s="5">
        <f t="shared" si="44"/>
        <v>68000</v>
      </c>
      <c r="K802" s="5" t="str">
        <f>VLOOKUP(C802,[1]master_data!$A$2:$E$495,5,FALSE)</f>
        <v>Aksesoris</v>
      </c>
      <c r="L802" s="5" t="s">
        <v>471</v>
      </c>
    </row>
    <row r="803" spans="1:12" ht="12" customHeight="1" x14ac:dyDescent="0.25">
      <c r="A803" s="6">
        <v>44842</v>
      </c>
      <c r="B803" s="1">
        <v>2203760</v>
      </c>
      <c r="C803" s="5" t="s">
        <v>331</v>
      </c>
      <c r="D803" s="5" t="str">
        <f>VLOOKUP(C803,[1]master_data!$A$2:$E$495,2,FALSE)</f>
        <v>KAPAS BANTAL</v>
      </c>
      <c r="E803" s="5">
        <v>10</v>
      </c>
      <c r="F803" s="5">
        <f>VLOOKUP(C803,[1]master_data!$A$2:$E$495,3,FALSE)</f>
        <v>10000</v>
      </c>
      <c r="G803" s="5">
        <f>VLOOKUP(C803,[1]master_data!$A$2:$E$495,4,FALSE)</f>
        <v>20000</v>
      </c>
      <c r="H803" s="5">
        <f t="shared" si="42"/>
        <v>100000</v>
      </c>
      <c r="I803" s="5">
        <f t="shared" si="43"/>
        <v>200000</v>
      </c>
      <c r="J803" s="5">
        <f t="shared" si="44"/>
        <v>100000</v>
      </c>
      <c r="K803" s="5" t="str">
        <f>VLOOKUP(C803,[1]master_data!$A$2:$E$495,5,FALSE)</f>
        <v>Aksesoris</v>
      </c>
      <c r="L803" s="5" t="s">
        <v>471</v>
      </c>
    </row>
    <row r="804" spans="1:12" ht="12" customHeight="1" x14ac:dyDescent="0.25">
      <c r="A804" s="6">
        <v>44842</v>
      </c>
      <c r="B804" s="1">
        <v>2203759</v>
      </c>
      <c r="C804" s="5" t="s">
        <v>414</v>
      </c>
      <c r="D804" s="5" t="str">
        <f>VLOOKUP(C804,[1]master_data!$A$2:$E$495,2,FALSE)</f>
        <v>KOKI T</v>
      </c>
      <c r="E804" s="5">
        <v>5</v>
      </c>
      <c r="F804" s="5">
        <f>VLOOKUP(C804,[1]master_data!$A$2:$E$495,3,FALSE)</f>
        <v>8000</v>
      </c>
      <c r="G804" s="5">
        <f>VLOOKUP(C804,[1]master_data!$A$2:$E$495,4,FALSE)</f>
        <v>15000</v>
      </c>
      <c r="H804" s="5">
        <f t="shared" si="42"/>
        <v>40000</v>
      </c>
      <c r="I804" s="5">
        <f t="shared" si="43"/>
        <v>75000</v>
      </c>
      <c r="J804" s="5">
        <f t="shared" si="44"/>
        <v>35000</v>
      </c>
      <c r="K804" s="5" t="str">
        <f>VLOOKUP(C804,[1]master_data!$A$2:$E$495,5,FALSE)</f>
        <v>Ikan</v>
      </c>
      <c r="L804" s="5" t="s">
        <v>471</v>
      </c>
    </row>
    <row r="805" spans="1:12" ht="12" customHeight="1" x14ac:dyDescent="0.25">
      <c r="A805" s="6">
        <v>44841</v>
      </c>
      <c r="B805" s="1">
        <v>2203758</v>
      </c>
      <c r="C805" s="5" t="s">
        <v>460</v>
      </c>
      <c r="D805" s="5" t="str">
        <f>VLOOKUP(C805,[1]master_data!$A$2:$E$495,2,FALSE)</f>
        <v>ZEBRA KUNING</v>
      </c>
      <c r="E805" s="5">
        <v>1</v>
      </c>
      <c r="F805" s="5">
        <f>VLOOKUP(C805,[1]master_data!$A$2:$E$495,3,FALSE)</f>
        <v>800</v>
      </c>
      <c r="G805" s="5">
        <f>VLOOKUP(C805,[1]master_data!$A$2:$E$495,4,FALSE)</f>
        <v>2000</v>
      </c>
      <c r="H805" s="5">
        <f t="shared" si="42"/>
        <v>800</v>
      </c>
      <c r="I805" s="5">
        <f t="shared" si="43"/>
        <v>2000</v>
      </c>
      <c r="J805" s="5">
        <f t="shared" si="44"/>
        <v>1200</v>
      </c>
      <c r="K805" s="5" t="str">
        <f>VLOOKUP(C805,[1]master_data!$A$2:$E$495,5,FALSE)</f>
        <v>Ikan</v>
      </c>
      <c r="L805" s="5" t="s">
        <v>471</v>
      </c>
    </row>
    <row r="806" spans="1:12" ht="12" customHeight="1" x14ac:dyDescent="0.25">
      <c r="A806" s="6">
        <v>44841</v>
      </c>
      <c r="B806" s="1">
        <v>2203757</v>
      </c>
      <c r="C806" s="5" t="s">
        <v>138</v>
      </c>
      <c r="D806" s="5" t="str">
        <f>VLOOKUP(C806,[1]master_data!$A$2:$E$495,2,FALSE)</f>
        <v>LED NIKITA NS 800</v>
      </c>
      <c r="E806" s="5">
        <v>2</v>
      </c>
      <c r="F806" s="5">
        <f>VLOOKUP(C806,[1]master_data!$A$2:$E$495,3,FALSE)</f>
        <v>74000</v>
      </c>
      <c r="G806" s="5">
        <f>VLOOKUP(C806,[1]master_data!$A$2:$E$495,4,FALSE)</f>
        <v>100000</v>
      </c>
      <c r="H806" s="5">
        <f t="shared" si="42"/>
        <v>148000</v>
      </c>
      <c r="I806" s="5">
        <f t="shared" si="43"/>
        <v>200000</v>
      </c>
      <c r="J806" s="5">
        <f t="shared" si="44"/>
        <v>52000</v>
      </c>
      <c r="K806" s="5" t="str">
        <f>VLOOKUP(C806,[1]master_data!$A$2:$E$495,5,FALSE)</f>
        <v>Aksesoris</v>
      </c>
      <c r="L806" s="5" t="s">
        <v>471</v>
      </c>
    </row>
    <row r="807" spans="1:12" ht="12" customHeight="1" x14ac:dyDescent="0.25">
      <c r="A807" s="6">
        <v>44841</v>
      </c>
      <c r="B807" s="1">
        <v>2203756</v>
      </c>
      <c r="C807" s="5" t="s">
        <v>256</v>
      </c>
      <c r="D807" s="5" t="str">
        <f>VLOOKUP(C807,[1]master_data!$A$2:$E$495,2,FALSE)</f>
        <v>BACKGROUND</v>
      </c>
      <c r="E807" s="5">
        <v>1</v>
      </c>
      <c r="F807" s="5">
        <f>VLOOKUP(C807,[1]master_data!$A$2:$E$495,3,FALSE)</f>
        <v>8000</v>
      </c>
      <c r="G807" s="5">
        <f>VLOOKUP(C807,[1]master_data!$A$2:$E$495,4,FALSE)</f>
        <v>15000</v>
      </c>
      <c r="H807" s="5">
        <f t="shared" si="42"/>
        <v>8000</v>
      </c>
      <c r="I807" s="5">
        <f t="shared" si="43"/>
        <v>15000</v>
      </c>
      <c r="J807" s="5">
        <f t="shared" si="44"/>
        <v>7000</v>
      </c>
      <c r="K807" s="5" t="str">
        <f>VLOOKUP(C807,[1]master_data!$A$2:$E$495,5,FALSE)</f>
        <v>Aksesoris</v>
      </c>
      <c r="L807" s="5" t="s">
        <v>471</v>
      </c>
    </row>
    <row r="808" spans="1:12" ht="12" customHeight="1" x14ac:dyDescent="0.25">
      <c r="A808" s="6">
        <v>44841</v>
      </c>
      <c r="B808" s="1">
        <v>2203755</v>
      </c>
      <c r="C808" s="5" t="s">
        <v>248</v>
      </c>
      <c r="D808" s="5" t="str">
        <f>VLOOKUP(C808,[1]master_data!$A$2:$E$495,2,FALSE)</f>
        <v>MATLINE BLUE</v>
      </c>
      <c r="E808" s="5">
        <v>10</v>
      </c>
      <c r="F808" s="5">
        <f>VLOOKUP(C808,[1]master_data!$A$2:$E$495,3,FALSE)</f>
        <v>7000</v>
      </c>
      <c r="G808" s="5">
        <f>VLOOKUP(C808,[1]master_data!$A$2:$E$495,4,FALSE)</f>
        <v>10000</v>
      </c>
      <c r="H808" s="5">
        <f t="shared" si="42"/>
        <v>70000</v>
      </c>
      <c r="I808" s="5">
        <f t="shared" si="43"/>
        <v>100000</v>
      </c>
      <c r="J808" s="5">
        <f t="shared" si="44"/>
        <v>30000</v>
      </c>
      <c r="K808" s="5" t="str">
        <f>VLOOKUP(C808,[1]master_data!$A$2:$E$495,5,FALSE)</f>
        <v>Aksesoris</v>
      </c>
      <c r="L808" s="5" t="s">
        <v>471</v>
      </c>
    </row>
    <row r="809" spans="1:12" ht="12" customHeight="1" x14ac:dyDescent="0.25">
      <c r="A809" s="6">
        <v>44841</v>
      </c>
      <c r="B809" s="1">
        <v>2203754</v>
      </c>
      <c r="C809" s="5" t="s">
        <v>391</v>
      </c>
      <c r="D809" s="5" t="str">
        <f>VLOOKUP(C809,[1]master_data!$A$2:$E$495,2,FALSE)</f>
        <v>CHANNA ANDRAO K</v>
      </c>
      <c r="E809" s="5">
        <v>1</v>
      </c>
      <c r="F809" s="5">
        <f>VLOOKUP(C809,[1]master_data!$A$2:$E$495,3,FALSE)</f>
        <v>20000</v>
      </c>
      <c r="G809" s="5">
        <f>VLOOKUP(C809,[1]master_data!$A$2:$E$495,4,FALSE)</f>
        <v>50000</v>
      </c>
      <c r="H809" s="5">
        <f t="shared" si="42"/>
        <v>20000</v>
      </c>
      <c r="I809" s="5">
        <f t="shared" si="43"/>
        <v>50000</v>
      </c>
      <c r="J809" s="5">
        <f t="shared" si="44"/>
        <v>30000</v>
      </c>
      <c r="K809" s="5" t="str">
        <f>VLOOKUP(C809,[1]master_data!$A$2:$E$495,5,FALSE)</f>
        <v>Ikan</v>
      </c>
      <c r="L809" s="5" t="s">
        <v>471</v>
      </c>
    </row>
    <row r="810" spans="1:12" ht="12" customHeight="1" x14ac:dyDescent="0.25">
      <c r="A810" s="6">
        <v>44841</v>
      </c>
      <c r="B810" s="1">
        <v>2203753</v>
      </c>
      <c r="C810" s="5" t="s">
        <v>399</v>
      </c>
      <c r="D810" s="5" t="str">
        <f>VLOOKUP(C810,[1]master_data!$A$2:$E$495,2,FALSE)</f>
        <v>BUENOS AIRES TETRA</v>
      </c>
      <c r="E810" s="5">
        <v>25</v>
      </c>
      <c r="F810" s="5">
        <f>VLOOKUP(C810,[1]master_data!$A$2:$E$495,3,FALSE)</f>
        <v>800</v>
      </c>
      <c r="G810" s="5">
        <f>VLOOKUP(C810,[1]master_data!$A$2:$E$495,4,FALSE)</f>
        <v>2000</v>
      </c>
      <c r="H810" s="5">
        <f t="shared" si="42"/>
        <v>20000</v>
      </c>
      <c r="I810" s="5">
        <f t="shared" si="43"/>
        <v>50000</v>
      </c>
      <c r="J810" s="5">
        <f t="shared" si="44"/>
        <v>30000</v>
      </c>
      <c r="K810" s="5" t="str">
        <f>VLOOKUP(C810,[1]master_data!$A$2:$E$495,5,FALSE)</f>
        <v>Ikan</v>
      </c>
      <c r="L810" s="5" t="s">
        <v>471</v>
      </c>
    </row>
    <row r="811" spans="1:12" ht="12" customHeight="1" x14ac:dyDescent="0.25">
      <c r="A811" s="6">
        <v>44841</v>
      </c>
      <c r="B811" s="1">
        <v>2203752</v>
      </c>
      <c r="C811" s="5" t="s">
        <v>460</v>
      </c>
      <c r="D811" s="5" t="str">
        <f>VLOOKUP(C811,[1]master_data!$A$2:$E$495,2,FALSE)</f>
        <v>ZEBRA KUNING</v>
      </c>
      <c r="E811" s="5">
        <v>30</v>
      </c>
      <c r="F811" s="5">
        <f>VLOOKUP(C811,[1]master_data!$A$2:$E$495,3,FALSE)</f>
        <v>800</v>
      </c>
      <c r="G811" s="5">
        <f>VLOOKUP(C811,[1]master_data!$A$2:$E$495,4,FALSE)</f>
        <v>2000</v>
      </c>
      <c r="H811" s="5">
        <f t="shared" si="42"/>
        <v>24000</v>
      </c>
      <c r="I811" s="5">
        <f t="shared" si="43"/>
        <v>60000</v>
      </c>
      <c r="J811" s="5">
        <f t="shared" si="44"/>
        <v>36000</v>
      </c>
      <c r="K811" s="5" t="str">
        <f>VLOOKUP(C811,[1]master_data!$A$2:$E$495,5,FALSE)</f>
        <v>Ikan</v>
      </c>
      <c r="L811" s="5" t="s">
        <v>471</v>
      </c>
    </row>
    <row r="812" spans="1:12" ht="12" customHeight="1" x14ac:dyDescent="0.25">
      <c r="A812" s="6">
        <v>44841</v>
      </c>
      <c r="B812" s="1">
        <v>2203751</v>
      </c>
      <c r="C812" s="5" t="s">
        <v>14</v>
      </c>
      <c r="D812" s="5" t="str">
        <f>VLOOKUP(C812,[1]master_data!$A$2:$E$495,2,FALSE)</f>
        <v>MESIN YANG 106</v>
      </c>
      <c r="E812" s="5">
        <v>1</v>
      </c>
      <c r="F812" s="5">
        <f>VLOOKUP(C812,[1]master_data!$A$2:$E$495,3,FALSE)</f>
        <v>220000</v>
      </c>
      <c r="G812" s="5">
        <f>VLOOKUP(C812,[1]master_data!$A$2:$E$495,4,FALSE)</f>
        <v>300000</v>
      </c>
      <c r="H812" s="5">
        <f t="shared" si="42"/>
        <v>220000</v>
      </c>
      <c r="I812" s="5">
        <f t="shared" si="43"/>
        <v>300000</v>
      </c>
      <c r="J812" s="5">
        <f t="shared" si="44"/>
        <v>80000</v>
      </c>
      <c r="K812" s="5" t="str">
        <f>VLOOKUP(C812,[1]master_data!$A$2:$E$495,5,FALSE)</f>
        <v>Aksesoris</v>
      </c>
      <c r="L812" s="5" t="s">
        <v>471</v>
      </c>
    </row>
    <row r="813" spans="1:12" ht="12" customHeight="1" x14ac:dyDescent="0.25">
      <c r="A813" s="6">
        <v>44841</v>
      </c>
      <c r="B813" s="1">
        <v>2203750</v>
      </c>
      <c r="C813" s="5" t="s">
        <v>421</v>
      </c>
      <c r="D813" s="5" t="str">
        <f>VLOOKUP(C813,[1]master_data!$A$2:$E$495,2,FALSE)</f>
        <v>KOMET PAKAN</v>
      </c>
      <c r="E813" s="5">
        <v>27</v>
      </c>
      <c r="F813" s="5">
        <f>VLOOKUP(C813,[1]master_data!$A$2:$E$495,3,FALSE)</f>
        <v>300</v>
      </c>
      <c r="G813" s="5">
        <f>VLOOKUP(C813,[1]master_data!$A$2:$E$495,4,FALSE)</f>
        <v>1000</v>
      </c>
      <c r="H813" s="5">
        <f t="shared" si="42"/>
        <v>8100</v>
      </c>
      <c r="I813" s="5">
        <f t="shared" si="43"/>
        <v>27000</v>
      </c>
      <c r="J813" s="5">
        <f t="shared" si="44"/>
        <v>18900</v>
      </c>
      <c r="K813" s="5" t="str">
        <f>VLOOKUP(C813,[1]master_data!$A$2:$E$495,5,FALSE)</f>
        <v>Ikan</v>
      </c>
      <c r="L813" s="5" t="s">
        <v>471</v>
      </c>
    </row>
    <row r="814" spans="1:12" ht="12" customHeight="1" x14ac:dyDescent="0.25">
      <c r="A814" s="6">
        <v>44841</v>
      </c>
      <c r="B814" s="1">
        <v>2203749</v>
      </c>
      <c r="C814" s="5" t="s">
        <v>335</v>
      </c>
      <c r="D814" s="5" t="str">
        <f>VLOOKUP(C814,[1]master_data!$A$2:$E$495,2,FALSE)</f>
        <v>PENJERNIH</v>
      </c>
      <c r="E814" s="5">
        <v>10</v>
      </c>
      <c r="F814" s="5">
        <f>VLOOKUP(C814,[1]master_data!$A$2:$E$495,3,FALSE)</f>
        <v>3000</v>
      </c>
      <c r="G814" s="5">
        <f>VLOOKUP(C814,[1]master_data!$A$2:$E$495,4,FALSE)</f>
        <v>8000</v>
      </c>
      <c r="H814" s="5">
        <f t="shared" si="42"/>
        <v>30000</v>
      </c>
      <c r="I814" s="5">
        <f t="shared" si="43"/>
        <v>80000</v>
      </c>
      <c r="J814" s="5">
        <f t="shared" si="44"/>
        <v>50000</v>
      </c>
      <c r="K814" s="5" t="str">
        <f>VLOOKUP(C814,[1]master_data!$A$2:$E$495,5,FALSE)</f>
        <v>Aksesoris</v>
      </c>
      <c r="L814" s="5" t="s">
        <v>471</v>
      </c>
    </row>
    <row r="815" spans="1:12" ht="12" customHeight="1" x14ac:dyDescent="0.25">
      <c r="A815" s="6">
        <v>44841</v>
      </c>
      <c r="B815" s="1">
        <v>2203748</v>
      </c>
      <c r="C815" s="5" t="s">
        <v>411</v>
      </c>
      <c r="D815" s="5" t="str">
        <f>VLOOKUP(C815,[1]master_data!$A$2:$E$495,2,FALSE)</f>
        <v>GOLDEN BLACK</v>
      </c>
      <c r="E815" s="5">
        <v>30</v>
      </c>
      <c r="F815" s="5">
        <f>VLOOKUP(C815,[1]master_data!$A$2:$E$495,3,FALSE)</f>
        <v>800</v>
      </c>
      <c r="G815" s="5">
        <f>VLOOKUP(C815,[1]master_data!$A$2:$E$495,4,FALSE)</f>
        <v>2000</v>
      </c>
      <c r="H815" s="5">
        <f t="shared" si="42"/>
        <v>24000</v>
      </c>
      <c r="I815" s="5">
        <f t="shared" si="43"/>
        <v>60000</v>
      </c>
      <c r="J815" s="5">
        <f t="shared" si="44"/>
        <v>36000</v>
      </c>
      <c r="K815" s="5" t="str">
        <f>VLOOKUP(C815,[1]master_data!$A$2:$E$495,5,FALSE)</f>
        <v>Ikan</v>
      </c>
      <c r="L815" s="5" t="s">
        <v>471</v>
      </c>
    </row>
    <row r="816" spans="1:12" ht="12" customHeight="1" x14ac:dyDescent="0.25">
      <c r="A816" s="6">
        <v>44841</v>
      </c>
      <c r="B816" s="1">
        <v>2203747</v>
      </c>
      <c r="C816" s="5" t="s">
        <v>220</v>
      </c>
      <c r="D816" s="5" t="str">
        <f>VLOOKUP(C816,[1]master_data!$A$2:$E$495,2,FALSE)</f>
        <v>HIRO COLOUR</v>
      </c>
      <c r="E816" s="5">
        <v>2</v>
      </c>
      <c r="F816" s="5">
        <f>VLOOKUP(C816,[1]master_data!$A$2:$E$495,3,FALSE)</f>
        <v>72000</v>
      </c>
      <c r="G816" s="5">
        <f>VLOOKUP(C816,[1]master_data!$A$2:$E$495,4,FALSE)</f>
        <v>80000</v>
      </c>
      <c r="H816" s="5">
        <f t="shared" si="42"/>
        <v>144000</v>
      </c>
      <c r="I816" s="5">
        <f t="shared" si="43"/>
        <v>160000</v>
      </c>
      <c r="J816" s="5">
        <f t="shared" si="44"/>
        <v>16000</v>
      </c>
      <c r="K816" s="5" t="str">
        <f>VLOOKUP(C816,[1]master_data!$A$2:$E$495,5,FALSE)</f>
        <v>Aksesoris</v>
      </c>
      <c r="L816" s="5" t="s">
        <v>471</v>
      </c>
    </row>
    <row r="817" spans="1:12" ht="12" customHeight="1" x14ac:dyDescent="0.25">
      <c r="A817" s="6">
        <v>44841</v>
      </c>
      <c r="B817" s="1">
        <v>2203746</v>
      </c>
      <c r="C817" s="5" t="s">
        <v>246</v>
      </c>
      <c r="D817" s="5" t="str">
        <f>VLOOKUP(C817,[1]master_data!$A$2:$E$495,2,FALSE)</f>
        <v>BACTERIAL STATER</v>
      </c>
      <c r="E817" s="5">
        <v>10</v>
      </c>
      <c r="F817" s="5">
        <f>VLOOKUP(C817,[1]master_data!$A$2:$E$495,3,FALSE)</f>
        <v>10000</v>
      </c>
      <c r="G817" s="5">
        <f>VLOOKUP(C817,[1]master_data!$A$2:$E$495,4,FALSE)</f>
        <v>15000</v>
      </c>
      <c r="H817" s="5">
        <f t="shared" si="42"/>
        <v>100000</v>
      </c>
      <c r="I817" s="5">
        <f t="shared" si="43"/>
        <v>150000</v>
      </c>
      <c r="J817" s="5">
        <f t="shared" si="44"/>
        <v>50000</v>
      </c>
      <c r="K817" s="5" t="str">
        <f>VLOOKUP(C817,[1]master_data!$A$2:$E$495,5,FALSE)</f>
        <v>Aksesoris</v>
      </c>
      <c r="L817" s="5" t="s">
        <v>471</v>
      </c>
    </row>
    <row r="818" spans="1:12" ht="12" customHeight="1" x14ac:dyDescent="0.25">
      <c r="A818" s="6">
        <v>44841</v>
      </c>
      <c r="B818" s="1">
        <v>2203745</v>
      </c>
      <c r="C818" s="5" t="s">
        <v>413</v>
      </c>
      <c r="D818" s="5" t="str">
        <f>VLOOKUP(C818,[1]master_data!$A$2:$E$495,2,FALSE)</f>
        <v>KOKI K</v>
      </c>
      <c r="E818" s="5">
        <v>15</v>
      </c>
      <c r="F818" s="5">
        <f>VLOOKUP(C818,[1]master_data!$A$2:$E$495,3,FALSE)</f>
        <v>3500</v>
      </c>
      <c r="G818" s="5">
        <f>VLOOKUP(C818,[1]master_data!$A$2:$E$495,4,FALSE)</f>
        <v>10000</v>
      </c>
      <c r="H818" s="5">
        <f t="shared" si="42"/>
        <v>52500</v>
      </c>
      <c r="I818" s="5">
        <f t="shared" si="43"/>
        <v>150000</v>
      </c>
      <c r="J818" s="5">
        <f t="shared" si="44"/>
        <v>97500</v>
      </c>
      <c r="K818" s="5" t="str">
        <f>VLOOKUP(C818,[1]master_data!$A$2:$E$495,5,FALSE)</f>
        <v>Ikan</v>
      </c>
      <c r="L818" s="5" t="s">
        <v>471</v>
      </c>
    </row>
    <row r="819" spans="1:12" ht="12" customHeight="1" x14ac:dyDescent="0.25">
      <c r="A819" s="6">
        <v>44841</v>
      </c>
      <c r="B819" s="1">
        <v>2203744</v>
      </c>
      <c r="C819" s="5" t="s">
        <v>433</v>
      </c>
      <c r="D819" s="5" t="str">
        <f>VLOOKUP(C819,[1]master_data!$A$2:$E$495,2,FALSE)</f>
        <v>MARU B</v>
      </c>
      <c r="E819" s="5">
        <v>1</v>
      </c>
      <c r="F819" s="5">
        <f>VLOOKUP(C819,[1]master_data!$A$2:$E$495,3,FALSE)</f>
        <v>90000</v>
      </c>
      <c r="G819" s="5">
        <f>VLOOKUP(C819,[1]master_data!$A$2:$E$495,4,FALSE)</f>
        <v>150000</v>
      </c>
      <c r="H819" s="5">
        <f t="shared" si="42"/>
        <v>90000</v>
      </c>
      <c r="I819" s="5">
        <f t="shared" si="43"/>
        <v>150000</v>
      </c>
      <c r="J819" s="5">
        <f t="shared" si="44"/>
        <v>60000</v>
      </c>
      <c r="K819" s="5" t="str">
        <f>VLOOKUP(C819,[1]master_data!$A$2:$E$495,5,FALSE)</f>
        <v>Ikan</v>
      </c>
      <c r="L819" s="5" t="s">
        <v>471</v>
      </c>
    </row>
    <row r="820" spans="1:12" ht="12" customHeight="1" x14ac:dyDescent="0.25">
      <c r="A820" s="6">
        <v>44840</v>
      </c>
      <c r="B820" s="1">
        <v>2203743</v>
      </c>
      <c r="C820" s="5" t="s">
        <v>453</v>
      </c>
      <c r="D820" s="5" t="str">
        <f>VLOOKUP(C820,[1]master_data!$A$2:$E$495,2,FALSE)</f>
        <v>SYNODONTIS K</v>
      </c>
      <c r="E820" s="5">
        <v>30</v>
      </c>
      <c r="F820" s="5">
        <f>VLOOKUP(C820,[1]master_data!$A$2:$E$495,3,FALSE)</f>
        <v>1500</v>
      </c>
      <c r="G820" s="5">
        <f>VLOOKUP(C820,[1]master_data!$A$2:$E$495,4,FALSE)</f>
        <v>5000</v>
      </c>
      <c r="H820" s="5">
        <f t="shared" si="42"/>
        <v>45000</v>
      </c>
      <c r="I820" s="5">
        <f t="shared" si="43"/>
        <v>150000</v>
      </c>
      <c r="J820" s="5">
        <f t="shared" si="44"/>
        <v>105000</v>
      </c>
      <c r="K820" s="5" t="str">
        <f>VLOOKUP(C820,[1]master_data!$A$2:$E$495,5,FALSE)</f>
        <v>Ikan</v>
      </c>
      <c r="L820" s="5" t="s">
        <v>471</v>
      </c>
    </row>
    <row r="821" spans="1:12" ht="12" customHeight="1" x14ac:dyDescent="0.25">
      <c r="A821" s="6">
        <v>44840</v>
      </c>
      <c r="B821" s="1">
        <v>2203742</v>
      </c>
      <c r="C821" s="5" t="s">
        <v>289</v>
      </c>
      <c r="D821" s="5" t="str">
        <f>VLOOKUP(C821,[1]master_data!$A$2:$E$495,2,FALSE)</f>
        <v>JARING 30</v>
      </c>
      <c r="E821" s="5">
        <v>1</v>
      </c>
      <c r="F821" s="5">
        <f>VLOOKUP(C821,[1]master_data!$A$2:$E$495,3,FALSE)</f>
        <v>7900</v>
      </c>
      <c r="G821" s="5">
        <f>VLOOKUP(C821,[1]master_data!$A$2:$E$495,4,FALSE)</f>
        <v>15000</v>
      </c>
      <c r="H821" s="5">
        <f t="shared" si="42"/>
        <v>7900</v>
      </c>
      <c r="I821" s="5">
        <f t="shared" si="43"/>
        <v>15000</v>
      </c>
      <c r="J821" s="5">
        <f t="shared" si="44"/>
        <v>7100</v>
      </c>
      <c r="K821" s="5" t="str">
        <f>VLOOKUP(C821,[1]master_data!$A$2:$E$495,5,FALSE)</f>
        <v>Aksesoris</v>
      </c>
      <c r="L821" s="5" t="s">
        <v>471</v>
      </c>
    </row>
    <row r="822" spans="1:12" ht="12" customHeight="1" x14ac:dyDescent="0.25">
      <c r="A822" s="6">
        <v>44840</v>
      </c>
      <c r="B822" s="1">
        <v>2203741</v>
      </c>
      <c r="C822" s="5" t="s">
        <v>437</v>
      </c>
      <c r="D822" s="5" t="str">
        <f>VLOOKUP(C822,[1]master_data!$A$2:$E$495,2,FALSE)</f>
        <v>RED EYE TETRA</v>
      </c>
      <c r="E822" s="5">
        <v>10</v>
      </c>
      <c r="F822" s="5">
        <f>VLOOKUP(C822,[1]master_data!$A$2:$E$495,3,FALSE)</f>
        <v>900</v>
      </c>
      <c r="G822" s="5">
        <f>VLOOKUP(C822,[1]master_data!$A$2:$E$495,4,FALSE)</f>
        <v>2000</v>
      </c>
      <c r="H822" s="5">
        <f t="shared" si="42"/>
        <v>9000</v>
      </c>
      <c r="I822" s="5">
        <f t="shared" si="43"/>
        <v>20000</v>
      </c>
      <c r="J822" s="5">
        <f t="shared" si="44"/>
        <v>11000</v>
      </c>
      <c r="K822" s="5" t="str">
        <f>VLOOKUP(C822,[1]master_data!$A$2:$E$495,5,FALSE)</f>
        <v>Ikan</v>
      </c>
      <c r="L822" s="5" t="s">
        <v>471</v>
      </c>
    </row>
    <row r="823" spans="1:12" ht="12" customHeight="1" x14ac:dyDescent="0.25">
      <c r="A823" s="6">
        <v>44840</v>
      </c>
      <c r="B823" s="1">
        <v>2203740</v>
      </c>
      <c r="C823" s="5" t="s">
        <v>430</v>
      </c>
      <c r="D823" s="5" t="str">
        <f>VLOOKUP(C823,[1]master_data!$A$2:$E$495,2,FALSE)</f>
        <v>MANFISH K</v>
      </c>
      <c r="E823" s="5">
        <v>20</v>
      </c>
      <c r="F823" s="5">
        <f>VLOOKUP(C823,[1]master_data!$A$2:$E$495,3,FALSE)</f>
        <v>2000</v>
      </c>
      <c r="G823" s="5">
        <f>VLOOKUP(C823,[1]master_data!$A$2:$E$495,4,FALSE)</f>
        <v>5000</v>
      </c>
      <c r="H823" s="5">
        <f t="shared" si="42"/>
        <v>40000</v>
      </c>
      <c r="I823" s="5">
        <f t="shared" si="43"/>
        <v>100000</v>
      </c>
      <c r="J823" s="5">
        <f t="shared" si="44"/>
        <v>60000</v>
      </c>
      <c r="K823" s="5" t="str">
        <f>VLOOKUP(C823,[1]master_data!$A$2:$E$495,5,FALSE)</f>
        <v>Ikan</v>
      </c>
      <c r="L823" s="5" t="s">
        <v>471</v>
      </c>
    </row>
    <row r="824" spans="1:12" ht="12" customHeight="1" x14ac:dyDescent="0.25">
      <c r="A824" s="6">
        <v>44840</v>
      </c>
      <c r="B824" s="1">
        <v>2203739</v>
      </c>
      <c r="C824" s="5" t="s">
        <v>426</v>
      </c>
      <c r="D824" s="5" t="str">
        <f>VLOOKUP(C824,[1]master_data!$A$2:$E$495,2,FALSE)</f>
        <v>DISCUS</v>
      </c>
      <c r="E824" s="5">
        <v>1</v>
      </c>
      <c r="F824" s="5">
        <f>VLOOKUP(C824,[1]master_data!$A$2:$E$495,3,FALSE)</f>
        <v>50000</v>
      </c>
      <c r="G824" s="5">
        <f>VLOOKUP(C824,[1]master_data!$A$2:$E$495,4,FALSE)</f>
        <v>150000</v>
      </c>
      <c r="H824" s="5">
        <f t="shared" si="42"/>
        <v>50000</v>
      </c>
      <c r="I824" s="5">
        <f t="shared" si="43"/>
        <v>150000</v>
      </c>
      <c r="J824" s="5">
        <f t="shared" si="44"/>
        <v>100000</v>
      </c>
      <c r="K824" s="5" t="str">
        <f>VLOOKUP(C824,[1]master_data!$A$2:$E$495,5,FALSE)</f>
        <v>Ikan</v>
      </c>
      <c r="L824" s="5" t="s">
        <v>471</v>
      </c>
    </row>
    <row r="825" spans="1:12" ht="12" customHeight="1" x14ac:dyDescent="0.25">
      <c r="A825" s="6">
        <v>44840</v>
      </c>
      <c r="B825" s="1">
        <v>2203738</v>
      </c>
      <c r="C825" s="5" t="s">
        <v>391</v>
      </c>
      <c r="D825" s="5" t="str">
        <f>VLOOKUP(C825,[1]master_data!$A$2:$E$495,2,FALSE)</f>
        <v>CHANNA ANDRAO K</v>
      </c>
      <c r="E825" s="5">
        <v>10</v>
      </c>
      <c r="F825" s="5">
        <f>VLOOKUP(C825,[1]master_data!$A$2:$E$495,3,FALSE)</f>
        <v>20000</v>
      </c>
      <c r="G825" s="5">
        <f>VLOOKUP(C825,[1]master_data!$A$2:$E$495,4,FALSE)</f>
        <v>50000</v>
      </c>
      <c r="H825" s="5">
        <f t="shared" si="42"/>
        <v>200000</v>
      </c>
      <c r="I825" s="5">
        <f t="shared" si="43"/>
        <v>500000</v>
      </c>
      <c r="J825" s="5">
        <f t="shared" si="44"/>
        <v>300000</v>
      </c>
      <c r="K825" s="5" t="str">
        <f>VLOOKUP(C825,[1]master_data!$A$2:$E$495,5,FALSE)</f>
        <v>Ikan</v>
      </c>
      <c r="L825" s="5" t="s">
        <v>471</v>
      </c>
    </row>
    <row r="826" spans="1:12" ht="12" customHeight="1" x14ac:dyDescent="0.25">
      <c r="A826" s="6">
        <v>44840</v>
      </c>
      <c r="B826" s="1">
        <v>2203737</v>
      </c>
      <c r="C826" s="5" t="s">
        <v>460</v>
      </c>
      <c r="D826" s="5" t="str">
        <f>VLOOKUP(C826,[1]master_data!$A$2:$E$495,2,FALSE)</f>
        <v>ZEBRA KUNING</v>
      </c>
      <c r="E826" s="5">
        <v>20</v>
      </c>
      <c r="F826" s="5">
        <f>VLOOKUP(C826,[1]master_data!$A$2:$E$495,3,FALSE)</f>
        <v>800</v>
      </c>
      <c r="G826" s="5">
        <f>VLOOKUP(C826,[1]master_data!$A$2:$E$495,4,FALSE)</f>
        <v>2000</v>
      </c>
      <c r="H826" s="5">
        <f t="shared" si="42"/>
        <v>16000</v>
      </c>
      <c r="I826" s="5">
        <f t="shared" si="43"/>
        <v>40000</v>
      </c>
      <c r="J826" s="5">
        <f t="shared" si="44"/>
        <v>24000</v>
      </c>
      <c r="K826" s="5" t="str">
        <f>VLOOKUP(C826,[1]master_data!$A$2:$E$495,5,FALSE)</f>
        <v>Ikan</v>
      </c>
      <c r="L826" s="5" t="s">
        <v>471</v>
      </c>
    </row>
    <row r="827" spans="1:12" ht="12" customHeight="1" x14ac:dyDescent="0.25">
      <c r="A827" s="6">
        <v>44839</v>
      </c>
      <c r="B827" s="1">
        <v>2203736</v>
      </c>
      <c r="C827" s="5" t="s">
        <v>342</v>
      </c>
      <c r="D827" s="5" t="str">
        <f>VLOOKUP(C827,[1]master_data!$A$2:$E$495,2,FALSE)</f>
        <v>KUTUB LAS</v>
      </c>
      <c r="E827" s="5">
        <v>5</v>
      </c>
      <c r="F827" s="5">
        <f>VLOOKUP(C827,[1]master_data!$A$2:$E$495,3,FALSE)</f>
        <v>15000</v>
      </c>
      <c r="G827" s="5">
        <f>VLOOKUP(C827,[1]master_data!$A$2:$E$495,4,FALSE)</f>
        <v>25000</v>
      </c>
      <c r="H827" s="5">
        <f t="shared" si="42"/>
        <v>75000</v>
      </c>
      <c r="I827" s="5">
        <f t="shared" si="43"/>
        <v>125000</v>
      </c>
      <c r="J827" s="5">
        <f t="shared" si="44"/>
        <v>50000</v>
      </c>
      <c r="K827" s="5" t="str">
        <f>VLOOKUP(C827,[1]master_data!$A$2:$E$495,5,FALSE)</f>
        <v>Aksesoris</v>
      </c>
      <c r="L827" s="5" t="s">
        <v>471</v>
      </c>
    </row>
    <row r="828" spans="1:12" ht="12" customHeight="1" x14ac:dyDescent="0.25">
      <c r="A828" s="6">
        <v>44839</v>
      </c>
      <c r="B828" s="1">
        <v>2203735</v>
      </c>
      <c r="C828" s="5" t="s">
        <v>409</v>
      </c>
      <c r="D828" s="5" t="str">
        <f>VLOOKUP(C828,[1]master_data!$A$2:$E$495,2,FALSE)</f>
        <v>GOLD FISH</v>
      </c>
      <c r="E828" s="5">
        <v>1</v>
      </c>
      <c r="F828" s="5">
        <f>VLOOKUP(C828,[1]master_data!$A$2:$E$495,3,FALSE)</f>
        <v>800</v>
      </c>
      <c r="G828" s="5">
        <f>VLOOKUP(C828,[1]master_data!$A$2:$E$495,4,FALSE)</f>
        <v>2000</v>
      </c>
      <c r="H828" s="5">
        <f t="shared" si="42"/>
        <v>800</v>
      </c>
      <c r="I828" s="5">
        <f t="shared" si="43"/>
        <v>2000</v>
      </c>
      <c r="J828" s="5">
        <f t="shared" si="44"/>
        <v>1200</v>
      </c>
      <c r="K828" s="5" t="str">
        <f>VLOOKUP(C828,[1]master_data!$A$2:$E$495,5,FALSE)</f>
        <v>Ikan</v>
      </c>
      <c r="L828" s="5" t="s">
        <v>471</v>
      </c>
    </row>
    <row r="829" spans="1:12" ht="12" customHeight="1" x14ac:dyDescent="0.25">
      <c r="A829" s="6">
        <v>44839</v>
      </c>
      <c r="B829" s="1">
        <v>2203734</v>
      </c>
      <c r="C829" s="5" t="s">
        <v>409</v>
      </c>
      <c r="D829" s="5" t="str">
        <f>VLOOKUP(C829,[1]master_data!$A$2:$E$495,2,FALSE)</f>
        <v>GOLD FISH</v>
      </c>
      <c r="E829" s="5">
        <v>1</v>
      </c>
      <c r="F829" s="5">
        <f>VLOOKUP(C829,[1]master_data!$A$2:$E$495,3,FALSE)</f>
        <v>800</v>
      </c>
      <c r="G829" s="5">
        <f>VLOOKUP(C829,[1]master_data!$A$2:$E$495,4,FALSE)</f>
        <v>2000</v>
      </c>
      <c r="H829" s="5">
        <f t="shared" si="42"/>
        <v>800</v>
      </c>
      <c r="I829" s="5">
        <f t="shared" si="43"/>
        <v>2000</v>
      </c>
      <c r="J829" s="5">
        <f t="shared" si="44"/>
        <v>1200</v>
      </c>
      <c r="K829" s="5" t="str">
        <f>VLOOKUP(C829,[1]master_data!$A$2:$E$495,5,FALSE)</f>
        <v>Ikan</v>
      </c>
      <c r="L829" s="5" t="s">
        <v>471</v>
      </c>
    </row>
    <row r="830" spans="1:12" ht="12" customHeight="1" x14ac:dyDescent="0.25">
      <c r="A830" s="6">
        <v>44839</v>
      </c>
      <c r="B830" s="1">
        <v>2203733</v>
      </c>
      <c r="C830" s="5" t="s">
        <v>409</v>
      </c>
      <c r="D830" s="5" t="str">
        <f>VLOOKUP(C830,[1]master_data!$A$2:$E$495,2,FALSE)</f>
        <v>GOLD FISH</v>
      </c>
      <c r="E830" s="5">
        <v>1</v>
      </c>
      <c r="F830" s="5">
        <f>VLOOKUP(C830,[1]master_data!$A$2:$E$495,3,FALSE)</f>
        <v>800</v>
      </c>
      <c r="G830" s="5">
        <f>VLOOKUP(C830,[1]master_data!$A$2:$E$495,4,FALSE)</f>
        <v>2000</v>
      </c>
      <c r="H830" s="5">
        <f t="shared" si="42"/>
        <v>800</v>
      </c>
      <c r="I830" s="5">
        <f t="shared" si="43"/>
        <v>2000</v>
      </c>
      <c r="J830" s="5">
        <f t="shared" si="44"/>
        <v>1200</v>
      </c>
      <c r="K830" s="5" t="str">
        <f>VLOOKUP(C830,[1]master_data!$A$2:$E$495,5,FALSE)</f>
        <v>Ikan</v>
      </c>
      <c r="L830" s="5" t="s">
        <v>471</v>
      </c>
    </row>
    <row r="831" spans="1:12" ht="12" customHeight="1" x14ac:dyDescent="0.25">
      <c r="A831" s="6">
        <v>44839</v>
      </c>
      <c r="B831" s="1">
        <v>2203732</v>
      </c>
      <c r="C831" s="5" t="s">
        <v>338</v>
      </c>
      <c r="D831" s="5" t="str">
        <f>VLOOKUP(C831,[1]master_data!$A$2:$E$495,2,FALSE)</f>
        <v>KARUNG JALA M</v>
      </c>
      <c r="E831" s="5">
        <v>25</v>
      </c>
      <c r="F831" s="5">
        <f>VLOOKUP(C831,[1]master_data!$A$2:$E$495,3,FALSE)</f>
        <v>4000</v>
      </c>
      <c r="G831" s="5">
        <f>VLOOKUP(C831,[1]master_data!$A$2:$E$495,4,FALSE)</f>
        <v>10000</v>
      </c>
      <c r="H831" s="5">
        <f t="shared" si="42"/>
        <v>100000</v>
      </c>
      <c r="I831" s="5">
        <f t="shared" si="43"/>
        <v>250000</v>
      </c>
      <c r="J831" s="5">
        <f t="shared" si="44"/>
        <v>150000</v>
      </c>
      <c r="K831" s="5" t="str">
        <f>VLOOKUP(C831,[1]master_data!$A$2:$E$495,5,FALSE)</f>
        <v>Aksesoris</v>
      </c>
      <c r="L831" s="5" t="s">
        <v>471</v>
      </c>
    </row>
    <row r="832" spans="1:12" ht="12" customHeight="1" x14ac:dyDescent="0.25">
      <c r="A832" s="6">
        <v>44839</v>
      </c>
      <c r="B832" s="1">
        <v>2203731</v>
      </c>
      <c r="C832" s="5" t="s">
        <v>420</v>
      </c>
      <c r="D832" s="5" t="str">
        <f>VLOOKUP(C832,[1]master_data!$A$2:$E$495,2,FALSE)</f>
        <v>KAVIAT</v>
      </c>
      <c r="E832" s="5">
        <v>20</v>
      </c>
      <c r="F832" s="5">
        <f>VLOOKUP(C832,[1]master_data!$A$2:$E$495,3,FALSE)</f>
        <v>3500</v>
      </c>
      <c r="G832" s="5">
        <f>VLOOKUP(C832,[1]master_data!$A$2:$E$495,4,FALSE)</f>
        <v>8000</v>
      </c>
      <c r="H832" s="5">
        <f t="shared" si="42"/>
        <v>70000</v>
      </c>
      <c r="I832" s="5">
        <f t="shared" si="43"/>
        <v>160000</v>
      </c>
      <c r="J832" s="5">
        <f t="shared" si="44"/>
        <v>90000</v>
      </c>
      <c r="K832" s="5" t="str">
        <f>VLOOKUP(C832,[1]master_data!$A$2:$E$495,5,FALSE)</f>
        <v>Ikan</v>
      </c>
      <c r="L832" s="5" t="s">
        <v>471</v>
      </c>
    </row>
    <row r="833" spans="1:12" ht="12" customHeight="1" x14ac:dyDescent="0.25">
      <c r="A833" s="6">
        <v>44839</v>
      </c>
      <c r="B833" s="1">
        <v>2203730</v>
      </c>
      <c r="C833" s="5" t="s">
        <v>410</v>
      </c>
      <c r="D833" s="5" t="str">
        <f>VLOOKUP(C833,[1]master_data!$A$2:$E$495,2,FALSE)</f>
        <v>GUPY</v>
      </c>
      <c r="E833" s="5">
        <v>15</v>
      </c>
      <c r="F833" s="5">
        <f>VLOOKUP(C833,[1]master_data!$A$2:$E$495,3,FALSE)</f>
        <v>1200</v>
      </c>
      <c r="G833" s="5">
        <f>VLOOKUP(C833,[1]master_data!$A$2:$E$495,4,FALSE)</f>
        <v>2500</v>
      </c>
      <c r="H833" s="5">
        <f t="shared" si="42"/>
        <v>18000</v>
      </c>
      <c r="I833" s="5">
        <f t="shared" si="43"/>
        <v>37500</v>
      </c>
      <c r="J833" s="5">
        <f t="shared" si="44"/>
        <v>19500</v>
      </c>
      <c r="K833" s="5" t="str">
        <f>VLOOKUP(C833,[1]master_data!$A$2:$E$495,5,FALSE)</f>
        <v>Ikan</v>
      </c>
      <c r="L833" s="5" t="s">
        <v>471</v>
      </c>
    </row>
    <row r="834" spans="1:12" ht="12" customHeight="1" x14ac:dyDescent="0.25">
      <c r="A834" s="6">
        <v>44839</v>
      </c>
      <c r="B834" s="1">
        <v>2203729</v>
      </c>
      <c r="C834" s="5" t="s">
        <v>411</v>
      </c>
      <c r="D834" s="5" t="str">
        <f>VLOOKUP(C834,[1]master_data!$A$2:$E$495,2,FALSE)</f>
        <v>GOLDEN BLACK</v>
      </c>
      <c r="E834" s="5">
        <v>20</v>
      </c>
      <c r="F834" s="5">
        <f>VLOOKUP(C834,[1]master_data!$A$2:$E$495,3,FALSE)</f>
        <v>800</v>
      </c>
      <c r="G834" s="5">
        <f>VLOOKUP(C834,[1]master_data!$A$2:$E$495,4,FALSE)</f>
        <v>2000</v>
      </c>
      <c r="H834" s="5">
        <f t="shared" si="42"/>
        <v>16000</v>
      </c>
      <c r="I834" s="5">
        <f t="shared" si="43"/>
        <v>40000</v>
      </c>
      <c r="J834" s="5">
        <f t="shared" si="44"/>
        <v>24000</v>
      </c>
      <c r="K834" s="5" t="str">
        <f>VLOOKUP(C834,[1]master_data!$A$2:$E$495,5,FALSE)</f>
        <v>Ikan</v>
      </c>
      <c r="L834" s="5" t="s">
        <v>471</v>
      </c>
    </row>
    <row r="835" spans="1:12" ht="12" customHeight="1" x14ac:dyDescent="0.25">
      <c r="A835" s="6">
        <v>44839</v>
      </c>
      <c r="B835" s="1">
        <v>2203728</v>
      </c>
      <c r="C835" s="5" t="s">
        <v>433</v>
      </c>
      <c r="D835" s="5" t="str">
        <f>VLOOKUP(C835,[1]master_data!$A$2:$E$495,2,FALSE)</f>
        <v>MARU B</v>
      </c>
      <c r="E835" s="5">
        <v>1</v>
      </c>
      <c r="F835" s="5">
        <f>VLOOKUP(C835,[1]master_data!$A$2:$E$495,3,FALSE)</f>
        <v>90000</v>
      </c>
      <c r="G835" s="5">
        <f>VLOOKUP(C835,[1]master_data!$A$2:$E$495,4,FALSE)</f>
        <v>150000</v>
      </c>
      <c r="H835" s="5">
        <f t="shared" si="42"/>
        <v>90000</v>
      </c>
      <c r="I835" s="5">
        <f t="shared" si="43"/>
        <v>150000</v>
      </c>
      <c r="J835" s="5">
        <f t="shared" si="44"/>
        <v>60000</v>
      </c>
      <c r="K835" s="5" t="str">
        <f>VLOOKUP(C835,[1]master_data!$A$2:$E$495,5,FALSE)</f>
        <v>Ikan</v>
      </c>
      <c r="L835" s="5" t="s">
        <v>471</v>
      </c>
    </row>
    <row r="836" spans="1:12" ht="12" customHeight="1" x14ac:dyDescent="0.25">
      <c r="A836" s="6">
        <v>44839</v>
      </c>
      <c r="B836" s="1">
        <v>2203727</v>
      </c>
      <c r="C836" s="5" t="s">
        <v>430</v>
      </c>
      <c r="D836" s="5" t="str">
        <f>VLOOKUP(C836,[1]master_data!$A$2:$E$495,2,FALSE)</f>
        <v>MANFISH K</v>
      </c>
      <c r="E836" s="5">
        <v>20</v>
      </c>
      <c r="F836" s="5">
        <f>VLOOKUP(C836,[1]master_data!$A$2:$E$495,3,FALSE)</f>
        <v>2000</v>
      </c>
      <c r="G836" s="5">
        <f>VLOOKUP(C836,[1]master_data!$A$2:$E$495,4,FALSE)</f>
        <v>5000</v>
      </c>
      <c r="H836" s="5">
        <f t="shared" si="42"/>
        <v>40000</v>
      </c>
      <c r="I836" s="5">
        <f t="shared" si="43"/>
        <v>100000</v>
      </c>
      <c r="J836" s="5">
        <f t="shared" si="44"/>
        <v>60000</v>
      </c>
      <c r="K836" s="5" t="str">
        <f>VLOOKUP(C836,[1]master_data!$A$2:$E$495,5,FALSE)</f>
        <v>Ikan</v>
      </c>
      <c r="L836" s="5" t="s">
        <v>471</v>
      </c>
    </row>
    <row r="837" spans="1:12" ht="12" customHeight="1" x14ac:dyDescent="0.25">
      <c r="A837" s="6">
        <v>44839</v>
      </c>
      <c r="B837" s="1">
        <v>2203726</v>
      </c>
      <c r="C837" s="5" t="s">
        <v>428</v>
      </c>
      <c r="D837" s="5" t="str">
        <f>VLOOKUP(C837,[1]master_data!$A$2:$E$495,2,FALSE)</f>
        <v>LOUHAN</v>
      </c>
      <c r="E837" s="5">
        <v>1</v>
      </c>
      <c r="F837" s="5">
        <f>VLOOKUP(C837,[1]master_data!$A$2:$E$495,3,FALSE)</f>
        <v>85000</v>
      </c>
      <c r="G837" s="5">
        <f>VLOOKUP(C837,[1]master_data!$A$2:$E$495,4,FALSE)</f>
        <v>200000</v>
      </c>
      <c r="H837" s="5">
        <f t="shared" ref="H837:H900" si="45">E837*F837</f>
        <v>85000</v>
      </c>
      <c r="I837" s="5">
        <f t="shared" ref="I837:I900" si="46">E837*G837</f>
        <v>200000</v>
      </c>
      <c r="J837" s="5">
        <f t="shared" ref="J837:J900" si="47">I837-H837</f>
        <v>115000</v>
      </c>
      <c r="K837" s="5" t="str">
        <f>VLOOKUP(C837,[1]master_data!$A$2:$E$495,5,FALSE)</f>
        <v>Ikan</v>
      </c>
      <c r="L837" s="5" t="s">
        <v>471</v>
      </c>
    </row>
    <row r="838" spans="1:12" ht="12" customHeight="1" x14ac:dyDescent="0.25">
      <c r="A838" s="6">
        <v>44839</v>
      </c>
      <c r="B838" s="1">
        <v>2203725</v>
      </c>
      <c r="C838" s="5" t="s">
        <v>409</v>
      </c>
      <c r="D838" s="5" t="str">
        <f>VLOOKUP(C838,[1]master_data!$A$2:$E$495,2,FALSE)</f>
        <v>GOLD FISH</v>
      </c>
      <c r="E838" s="5">
        <v>15</v>
      </c>
      <c r="F838" s="5">
        <f>VLOOKUP(C838,[1]master_data!$A$2:$E$495,3,FALSE)</f>
        <v>800</v>
      </c>
      <c r="G838" s="5">
        <f>VLOOKUP(C838,[1]master_data!$A$2:$E$495,4,FALSE)</f>
        <v>2000</v>
      </c>
      <c r="H838" s="5">
        <f t="shared" si="45"/>
        <v>12000</v>
      </c>
      <c r="I838" s="5">
        <f t="shared" si="46"/>
        <v>30000</v>
      </c>
      <c r="J838" s="5">
        <f t="shared" si="47"/>
        <v>18000</v>
      </c>
      <c r="K838" s="5" t="str">
        <f>VLOOKUP(C838,[1]master_data!$A$2:$E$495,5,FALSE)</f>
        <v>Ikan</v>
      </c>
      <c r="L838" s="5" t="s">
        <v>471</v>
      </c>
    </row>
    <row r="839" spans="1:12" ht="12" customHeight="1" x14ac:dyDescent="0.25">
      <c r="A839" s="6">
        <v>44838</v>
      </c>
      <c r="B839" s="1">
        <v>2203724</v>
      </c>
      <c r="C839" s="5" t="s">
        <v>106</v>
      </c>
      <c r="D839" s="5" t="str">
        <f>VLOOKUP(C839,[1]master_data!$A$2:$E$495,2,FALSE)</f>
        <v>AIRATOR KIYOSAKI LUB 2</v>
      </c>
      <c r="E839" s="5">
        <v>5</v>
      </c>
      <c r="F839" s="5">
        <f>VLOOKUP(C839,[1]master_data!$A$2:$E$495,3,FALSE)</f>
        <v>29000</v>
      </c>
      <c r="G839" s="5">
        <f>VLOOKUP(C839,[1]master_data!$A$2:$E$495,4,FALSE)</f>
        <v>50000</v>
      </c>
      <c r="H839" s="5">
        <f t="shared" si="45"/>
        <v>145000</v>
      </c>
      <c r="I839" s="5">
        <f t="shared" si="46"/>
        <v>250000</v>
      </c>
      <c r="J839" s="5">
        <f t="shared" si="47"/>
        <v>105000</v>
      </c>
      <c r="K839" s="5" t="str">
        <f>VLOOKUP(C839,[1]master_data!$A$2:$E$495,5,FALSE)</f>
        <v>Aksesoris</v>
      </c>
      <c r="L839" s="5" t="s">
        <v>471</v>
      </c>
    </row>
    <row r="840" spans="1:12" ht="12" customHeight="1" x14ac:dyDescent="0.25">
      <c r="A840" s="6">
        <v>44838</v>
      </c>
      <c r="B840" s="1">
        <v>2203723</v>
      </c>
      <c r="C840" s="5" t="s">
        <v>440</v>
      </c>
      <c r="D840" s="5" t="str">
        <f>VLOOKUP(C840,[1]master_data!$A$2:$E$495,2,FALSE)</f>
        <v>OSCAR</v>
      </c>
      <c r="E840" s="5">
        <v>2</v>
      </c>
      <c r="F840" s="5">
        <f>VLOOKUP(C840,[1]master_data!$A$2:$E$495,3,FALSE)</f>
        <v>25000</v>
      </c>
      <c r="G840" s="5">
        <f>VLOOKUP(C840,[1]master_data!$A$2:$E$495,4,FALSE)</f>
        <v>50000</v>
      </c>
      <c r="H840" s="5">
        <f t="shared" si="45"/>
        <v>50000</v>
      </c>
      <c r="I840" s="5">
        <f t="shared" si="46"/>
        <v>100000</v>
      </c>
      <c r="J840" s="5">
        <f t="shared" si="47"/>
        <v>50000</v>
      </c>
      <c r="K840" s="5" t="str">
        <f>VLOOKUP(C840,[1]master_data!$A$2:$E$495,5,FALSE)</f>
        <v>Ikan</v>
      </c>
      <c r="L840" s="5" t="s">
        <v>471</v>
      </c>
    </row>
    <row r="841" spans="1:12" ht="12" customHeight="1" x14ac:dyDescent="0.25">
      <c r="A841" s="6">
        <v>44838</v>
      </c>
      <c r="B841" s="1">
        <v>2203722</v>
      </c>
      <c r="C841" s="5" t="s">
        <v>436</v>
      </c>
      <c r="D841" s="5" t="str">
        <f>VLOOKUP(C841,[1]master_data!$A$2:$E$495,2,FALSE)</f>
        <v>NIASA</v>
      </c>
      <c r="E841" s="5">
        <v>25</v>
      </c>
      <c r="F841" s="5">
        <f>VLOOKUP(C841,[1]master_data!$A$2:$E$495,3,FALSE)</f>
        <v>900</v>
      </c>
      <c r="G841" s="5">
        <f>VLOOKUP(C841,[1]master_data!$A$2:$E$495,4,FALSE)</f>
        <v>2000</v>
      </c>
      <c r="H841" s="5">
        <f t="shared" si="45"/>
        <v>22500</v>
      </c>
      <c r="I841" s="5">
        <f t="shared" si="46"/>
        <v>50000</v>
      </c>
      <c r="J841" s="5">
        <f t="shared" si="47"/>
        <v>27500</v>
      </c>
      <c r="K841" s="5" t="str">
        <f>VLOOKUP(C841,[1]master_data!$A$2:$E$495,5,FALSE)</f>
        <v>Ikan</v>
      </c>
      <c r="L841" s="5" t="s">
        <v>471</v>
      </c>
    </row>
    <row r="842" spans="1:12" ht="12" customHeight="1" x14ac:dyDescent="0.25">
      <c r="A842" s="6">
        <v>44838</v>
      </c>
      <c r="B842" s="1">
        <v>2203721</v>
      </c>
      <c r="C842" s="5" t="s">
        <v>408</v>
      </c>
      <c r="D842" s="5" t="str">
        <f>VLOOKUP(C842,[1]master_data!$A$2:$E$495,2,FALSE)</f>
        <v>CATFISH</v>
      </c>
      <c r="E842" s="5">
        <v>1</v>
      </c>
      <c r="F842" s="5">
        <f>VLOOKUP(C842,[1]master_data!$A$2:$E$495,3,FALSE)</f>
        <v>20000</v>
      </c>
      <c r="G842" s="5">
        <f>VLOOKUP(C842,[1]master_data!$A$2:$E$495,4,FALSE)</f>
        <v>50000</v>
      </c>
      <c r="H842" s="5">
        <f t="shared" si="45"/>
        <v>20000</v>
      </c>
      <c r="I842" s="5">
        <f t="shared" si="46"/>
        <v>50000</v>
      </c>
      <c r="J842" s="5">
        <f t="shared" si="47"/>
        <v>30000</v>
      </c>
      <c r="K842" s="5" t="str">
        <f>VLOOKUP(C842,[1]master_data!$A$2:$E$495,5,FALSE)</f>
        <v>Ikan</v>
      </c>
      <c r="L842" s="5" t="s">
        <v>471</v>
      </c>
    </row>
    <row r="843" spans="1:12" ht="12" customHeight="1" x14ac:dyDescent="0.25">
      <c r="A843" s="6">
        <v>44838</v>
      </c>
      <c r="B843" s="1">
        <v>2203720</v>
      </c>
      <c r="C843" s="5" t="s">
        <v>447</v>
      </c>
      <c r="D843" s="5" t="str">
        <f>VLOOKUP(C843,[1]master_data!$A$2:$E$495,2,FALSE)</f>
        <v>REDFIN ALBINO</v>
      </c>
      <c r="E843" s="5">
        <v>10</v>
      </c>
      <c r="F843" s="5">
        <f>VLOOKUP(C843,[1]master_data!$A$2:$E$495,3,FALSE)</f>
        <v>1500</v>
      </c>
      <c r="G843" s="5">
        <f>VLOOKUP(C843,[1]master_data!$A$2:$E$495,4,FALSE)</f>
        <v>4000</v>
      </c>
      <c r="H843" s="5">
        <f t="shared" si="45"/>
        <v>15000</v>
      </c>
      <c r="I843" s="5">
        <f t="shared" si="46"/>
        <v>40000</v>
      </c>
      <c r="J843" s="5">
        <f t="shared" si="47"/>
        <v>25000</v>
      </c>
      <c r="K843" s="5" t="str">
        <f>VLOOKUP(C843,[1]master_data!$A$2:$E$495,5,FALSE)</f>
        <v>Ikan</v>
      </c>
      <c r="L843" s="5" t="s">
        <v>471</v>
      </c>
    </row>
    <row r="844" spans="1:12" ht="12" customHeight="1" x14ac:dyDescent="0.25">
      <c r="A844" s="6">
        <v>44838</v>
      </c>
      <c r="B844" s="1">
        <v>2203719</v>
      </c>
      <c r="C844" s="5" t="s">
        <v>434</v>
      </c>
      <c r="D844" s="5" t="str">
        <f>VLOOKUP(C844,[1]master_data!$A$2:$E$495,2,FALSE)</f>
        <v>MOLI PAKAN</v>
      </c>
      <c r="E844" s="5">
        <v>25</v>
      </c>
      <c r="F844" s="5">
        <f>VLOOKUP(C844,[1]master_data!$A$2:$E$495,3,FALSE)</f>
        <v>100</v>
      </c>
      <c r="G844" s="5">
        <f>VLOOKUP(C844,[1]master_data!$A$2:$E$495,4,FALSE)</f>
        <v>200</v>
      </c>
      <c r="H844" s="5">
        <f t="shared" si="45"/>
        <v>2500</v>
      </c>
      <c r="I844" s="5">
        <f t="shared" si="46"/>
        <v>5000</v>
      </c>
      <c r="J844" s="5">
        <f t="shared" si="47"/>
        <v>2500</v>
      </c>
      <c r="K844" s="5" t="str">
        <f>VLOOKUP(C844,[1]master_data!$A$2:$E$495,5,FALSE)</f>
        <v>Ikan</v>
      </c>
      <c r="L844" s="5" t="s">
        <v>471</v>
      </c>
    </row>
    <row r="845" spans="1:12" ht="12" customHeight="1" x14ac:dyDescent="0.25">
      <c r="A845" s="6">
        <v>44838</v>
      </c>
      <c r="B845" s="1">
        <v>2203718</v>
      </c>
      <c r="C845" s="5" t="s">
        <v>400</v>
      </c>
      <c r="D845" s="5" t="str">
        <f>VLOOKUP(C845,[1]master_data!$A$2:$E$495,2,FALSE)</f>
        <v>BALA BALA K</v>
      </c>
      <c r="E845" s="5">
        <v>30</v>
      </c>
      <c r="F845" s="5">
        <f>VLOOKUP(C845,[1]master_data!$A$2:$E$495,3,FALSE)</f>
        <v>4000</v>
      </c>
      <c r="G845" s="5">
        <f>VLOOKUP(C845,[1]master_data!$A$2:$E$495,4,FALSE)</f>
        <v>8000</v>
      </c>
      <c r="H845" s="5">
        <f t="shared" si="45"/>
        <v>120000</v>
      </c>
      <c r="I845" s="5">
        <f t="shared" si="46"/>
        <v>240000</v>
      </c>
      <c r="J845" s="5">
        <f t="shared" si="47"/>
        <v>120000</v>
      </c>
      <c r="K845" s="5" t="str">
        <f>VLOOKUP(C845,[1]master_data!$A$2:$E$495,5,FALSE)</f>
        <v>Ikan</v>
      </c>
      <c r="L845" s="5" t="s">
        <v>471</v>
      </c>
    </row>
    <row r="846" spans="1:12" ht="12" customHeight="1" x14ac:dyDescent="0.25">
      <c r="A846" s="6">
        <v>44838</v>
      </c>
      <c r="B846" s="1">
        <v>2203717</v>
      </c>
      <c r="C846" s="5" t="s">
        <v>463</v>
      </c>
      <c r="D846" s="5" t="str">
        <f>VLOOKUP(C846,[1]master_data!$A$2:$E$495,2,FALSE)</f>
        <v>CHANNA STEWARTI</v>
      </c>
      <c r="E846" s="5">
        <v>5</v>
      </c>
      <c r="F846" s="5">
        <f>VLOOKUP(C846,[1]master_data!$A$2:$E$495,3,FALSE)</f>
        <v>15000</v>
      </c>
      <c r="G846" s="5">
        <f>VLOOKUP(C846,[1]master_data!$A$2:$E$495,4,FALSE)</f>
        <v>40000</v>
      </c>
      <c r="H846" s="5">
        <f t="shared" si="45"/>
        <v>75000</v>
      </c>
      <c r="I846" s="5">
        <f t="shared" si="46"/>
        <v>200000</v>
      </c>
      <c r="J846" s="5">
        <f t="shared" si="47"/>
        <v>125000</v>
      </c>
      <c r="K846" s="5" t="str">
        <f>VLOOKUP(C846,[1]master_data!$A$2:$E$495,5,FALSE)</f>
        <v>Ikan</v>
      </c>
      <c r="L846" s="5" t="s">
        <v>471</v>
      </c>
    </row>
    <row r="847" spans="1:12" ht="12" customHeight="1" x14ac:dyDescent="0.25">
      <c r="A847" s="6">
        <v>44838</v>
      </c>
      <c r="B847" s="1">
        <v>2203716</v>
      </c>
      <c r="C847" s="5" t="s">
        <v>451</v>
      </c>
      <c r="D847" s="5" t="str">
        <f>VLOOKUP(C847,[1]master_data!$A$2:$E$495,2,FALSE)</f>
        <v>SUMATRA GOLD FISH</v>
      </c>
      <c r="E847" s="5">
        <v>10</v>
      </c>
      <c r="F847" s="5">
        <f>VLOOKUP(C847,[1]master_data!$A$2:$E$495,3,FALSE)</f>
        <v>2500</v>
      </c>
      <c r="G847" s="5">
        <f>VLOOKUP(C847,[1]master_data!$A$2:$E$495,4,FALSE)</f>
        <v>4000</v>
      </c>
      <c r="H847" s="5">
        <f t="shared" si="45"/>
        <v>25000</v>
      </c>
      <c r="I847" s="5">
        <f t="shared" si="46"/>
        <v>40000</v>
      </c>
      <c r="J847" s="5">
        <f t="shared" si="47"/>
        <v>15000</v>
      </c>
      <c r="K847" s="5" t="str">
        <f>VLOOKUP(C847,[1]master_data!$A$2:$E$495,5,FALSE)</f>
        <v>Ikan</v>
      </c>
      <c r="L847" s="5" t="s">
        <v>471</v>
      </c>
    </row>
    <row r="848" spans="1:12" ht="12" customHeight="1" x14ac:dyDescent="0.25">
      <c r="A848" s="6">
        <v>44838</v>
      </c>
      <c r="B848" s="1">
        <v>2203715</v>
      </c>
      <c r="C848" s="5" t="s">
        <v>243</v>
      </c>
      <c r="D848" s="5" t="str">
        <f>VLOOKUP(C848,[1]master_data!$A$2:$E$495,2,FALSE)</f>
        <v>TAKARI SINKING</v>
      </c>
      <c r="E848" s="5">
        <v>30</v>
      </c>
      <c r="F848" s="5">
        <f>VLOOKUP(C848,[1]master_data!$A$2:$E$495,3,FALSE)</f>
        <v>7100</v>
      </c>
      <c r="G848" s="5">
        <f>VLOOKUP(C848,[1]master_data!$A$2:$E$495,4,FALSE)</f>
        <v>10000</v>
      </c>
      <c r="H848" s="5">
        <f t="shared" si="45"/>
        <v>213000</v>
      </c>
      <c r="I848" s="5">
        <f t="shared" si="46"/>
        <v>300000</v>
      </c>
      <c r="J848" s="5">
        <f t="shared" si="47"/>
        <v>87000</v>
      </c>
      <c r="K848" s="5" t="str">
        <f>VLOOKUP(C848,[1]master_data!$A$2:$E$495,5,FALSE)</f>
        <v>Aksesoris</v>
      </c>
      <c r="L848" s="5" t="s">
        <v>471</v>
      </c>
    </row>
    <row r="849" spans="1:12" ht="12" customHeight="1" x14ac:dyDescent="0.25">
      <c r="A849" s="6">
        <v>44837</v>
      </c>
      <c r="B849" s="1">
        <v>2203714</v>
      </c>
      <c r="C849" s="5" t="s">
        <v>142</v>
      </c>
      <c r="D849" s="5" t="str">
        <f>VLOOKUP(C849,[1]master_data!$A$2:$E$495,2,FALSE)</f>
        <v>LED YANG HW 45 CM</v>
      </c>
      <c r="E849" s="5">
        <v>1</v>
      </c>
      <c r="F849" s="5">
        <f>VLOOKUP(C849,[1]master_data!$A$2:$E$495,3,FALSE)</f>
        <v>70000</v>
      </c>
      <c r="G849" s="5">
        <f>VLOOKUP(C849,[1]master_data!$A$2:$E$495,4,FALSE)</f>
        <v>90000</v>
      </c>
      <c r="H849" s="5">
        <f t="shared" si="45"/>
        <v>70000</v>
      </c>
      <c r="I849" s="5">
        <f t="shared" si="46"/>
        <v>90000</v>
      </c>
      <c r="J849" s="5">
        <f t="shared" si="47"/>
        <v>20000</v>
      </c>
      <c r="K849" s="5" t="str">
        <f>VLOOKUP(C849,[1]master_data!$A$2:$E$495,5,FALSE)</f>
        <v>Aksesoris</v>
      </c>
      <c r="L849" s="5" t="s">
        <v>471</v>
      </c>
    </row>
    <row r="850" spans="1:12" ht="12" customHeight="1" x14ac:dyDescent="0.25">
      <c r="A850" s="6">
        <v>44837</v>
      </c>
      <c r="B850" s="1">
        <v>2203713</v>
      </c>
      <c r="C850" s="5" t="s">
        <v>161</v>
      </c>
      <c r="D850" s="5" t="str">
        <f>VLOOKUP(C850,[1]master_data!$A$2:$E$495,2,FALSE)</f>
        <v>LED KANDILA PRO RED 60 CM</v>
      </c>
      <c r="E850" s="5">
        <v>1</v>
      </c>
      <c r="F850" s="5">
        <f>VLOOKUP(C850,[1]master_data!$A$2:$E$495,3,FALSE)</f>
        <v>170000</v>
      </c>
      <c r="G850" s="5">
        <f>VLOOKUP(C850,[1]master_data!$A$2:$E$495,4,FALSE)</f>
        <v>215000</v>
      </c>
      <c r="H850" s="5">
        <f t="shared" si="45"/>
        <v>170000</v>
      </c>
      <c r="I850" s="5">
        <f t="shared" si="46"/>
        <v>215000</v>
      </c>
      <c r="J850" s="5">
        <f t="shared" si="47"/>
        <v>45000</v>
      </c>
      <c r="K850" s="5" t="str">
        <f>VLOOKUP(C850,[1]master_data!$A$2:$E$495,5,FALSE)</f>
        <v>Aksesoris</v>
      </c>
      <c r="L850" s="5" t="s">
        <v>471</v>
      </c>
    </row>
    <row r="851" spans="1:12" ht="12" customHeight="1" x14ac:dyDescent="0.25">
      <c r="A851" s="6">
        <v>44837</v>
      </c>
      <c r="B851" s="1">
        <v>2203712</v>
      </c>
      <c r="C851" s="5" t="s">
        <v>250</v>
      </c>
      <c r="D851" s="5" t="str">
        <f>VLOOKUP(C851,[1]master_data!$A$2:$E$495,2,FALSE)</f>
        <v>AIRSTONE 40</v>
      </c>
      <c r="E851" s="5">
        <v>5</v>
      </c>
      <c r="F851" s="5">
        <f>VLOOKUP(C851,[1]master_data!$A$2:$E$495,3,FALSE)</f>
        <v>6000</v>
      </c>
      <c r="G851" s="5">
        <f>VLOOKUP(C851,[1]master_data!$A$2:$E$495,4,FALSE)</f>
        <v>12000</v>
      </c>
      <c r="H851" s="5">
        <f t="shared" si="45"/>
        <v>30000</v>
      </c>
      <c r="I851" s="5">
        <f t="shared" si="46"/>
        <v>60000</v>
      </c>
      <c r="J851" s="5">
        <f t="shared" si="47"/>
        <v>30000</v>
      </c>
      <c r="K851" s="5" t="str">
        <f>VLOOKUP(C851,[1]master_data!$A$2:$E$495,5,FALSE)</f>
        <v>Aksesoris</v>
      </c>
      <c r="L851" s="5" t="s">
        <v>471</v>
      </c>
    </row>
    <row r="852" spans="1:12" ht="12" customHeight="1" x14ac:dyDescent="0.25">
      <c r="A852" s="6">
        <v>44837</v>
      </c>
      <c r="B852" s="1">
        <v>2203711</v>
      </c>
      <c r="C852" s="5" t="s">
        <v>397</v>
      </c>
      <c r="D852" s="5" t="str">
        <f>VLOOKUP(C852,[1]master_data!$A$2:$E$495,2,FALSE)</f>
        <v>ALIGATOR</v>
      </c>
      <c r="E852" s="5">
        <v>2</v>
      </c>
      <c r="F852" s="5">
        <f>VLOOKUP(C852,[1]master_data!$A$2:$E$495,3,FALSE)</f>
        <v>17000</v>
      </c>
      <c r="G852" s="5">
        <f>VLOOKUP(C852,[1]master_data!$A$2:$E$495,4,FALSE)</f>
        <v>35000</v>
      </c>
      <c r="H852" s="5">
        <f t="shared" si="45"/>
        <v>34000</v>
      </c>
      <c r="I852" s="5">
        <f t="shared" si="46"/>
        <v>70000</v>
      </c>
      <c r="J852" s="5">
        <f t="shared" si="47"/>
        <v>36000</v>
      </c>
      <c r="K852" s="5" t="str">
        <f>VLOOKUP(C852,[1]master_data!$A$2:$E$495,5,FALSE)</f>
        <v>Ikan</v>
      </c>
      <c r="L852" s="5" t="s">
        <v>471</v>
      </c>
    </row>
    <row r="853" spans="1:12" ht="12" customHeight="1" x14ac:dyDescent="0.25">
      <c r="A853" s="6">
        <v>44837</v>
      </c>
      <c r="B853" s="1">
        <v>2203710</v>
      </c>
      <c r="C853" s="5" t="s">
        <v>129</v>
      </c>
      <c r="D853" s="5" t="str">
        <f>VLOOKUP(C853,[1]master_data!$A$2:$E$495,2,FALSE)</f>
        <v>LED YAMANO S400</v>
      </c>
      <c r="E853" s="5">
        <v>1</v>
      </c>
      <c r="F853" s="5">
        <f>VLOOKUP(C853,[1]master_data!$A$2:$E$495,3,FALSE)</f>
        <v>50000</v>
      </c>
      <c r="G853" s="5">
        <f>VLOOKUP(C853,[1]master_data!$A$2:$E$495,4,FALSE)</f>
        <v>75000</v>
      </c>
      <c r="H853" s="5">
        <f t="shared" si="45"/>
        <v>50000</v>
      </c>
      <c r="I853" s="5">
        <f t="shared" si="46"/>
        <v>75000</v>
      </c>
      <c r="J853" s="5">
        <f t="shared" si="47"/>
        <v>25000</v>
      </c>
      <c r="K853" s="5" t="str">
        <f>VLOOKUP(C853,[1]master_data!$A$2:$E$495,5,FALSE)</f>
        <v>Aksesoris</v>
      </c>
      <c r="L853" s="5" t="s">
        <v>471</v>
      </c>
    </row>
    <row r="854" spans="1:12" ht="12" customHeight="1" x14ac:dyDescent="0.25">
      <c r="A854" s="6">
        <v>44837</v>
      </c>
      <c r="B854" s="1">
        <v>2203709</v>
      </c>
      <c r="C854" s="5" t="s">
        <v>456</v>
      </c>
      <c r="D854" s="5" t="str">
        <f>VLOOKUP(C854,[1]master_data!$A$2:$E$495,2,FALSE)</f>
        <v>TOMAN</v>
      </c>
      <c r="E854" s="5">
        <v>5</v>
      </c>
      <c r="F854" s="5">
        <f>VLOOKUP(C854,[1]master_data!$A$2:$E$495,3,FALSE)</f>
        <v>10000</v>
      </c>
      <c r="G854" s="5">
        <f>VLOOKUP(C854,[1]master_data!$A$2:$E$495,4,FALSE)</f>
        <v>25000</v>
      </c>
      <c r="H854" s="5">
        <f t="shared" si="45"/>
        <v>50000</v>
      </c>
      <c r="I854" s="5">
        <f t="shared" si="46"/>
        <v>125000</v>
      </c>
      <c r="J854" s="5">
        <f t="shared" si="47"/>
        <v>75000</v>
      </c>
      <c r="K854" s="5" t="str">
        <f>VLOOKUP(C854,[1]master_data!$A$2:$E$495,5,FALSE)</f>
        <v>Ikan</v>
      </c>
      <c r="L854" s="5" t="s">
        <v>471</v>
      </c>
    </row>
    <row r="855" spans="1:12" ht="12" customHeight="1" x14ac:dyDescent="0.25">
      <c r="A855" s="6">
        <v>44837</v>
      </c>
      <c r="B855" s="1">
        <v>2203708</v>
      </c>
      <c r="C855" s="5" t="s">
        <v>238</v>
      </c>
      <c r="D855" s="5" t="str">
        <f>VLOOKUP(C855,[1]master_data!$A$2:$E$495,2,FALSE)</f>
        <v>MAXI BG</v>
      </c>
      <c r="E855" s="5">
        <v>5</v>
      </c>
      <c r="F855" s="5">
        <f>VLOOKUP(C855,[1]master_data!$A$2:$E$495,3,FALSE)</f>
        <v>12500</v>
      </c>
      <c r="G855" s="5">
        <f>VLOOKUP(C855,[1]master_data!$A$2:$E$495,4,FALSE)</f>
        <v>25000</v>
      </c>
      <c r="H855" s="5">
        <f t="shared" si="45"/>
        <v>62500</v>
      </c>
      <c r="I855" s="5">
        <f t="shared" si="46"/>
        <v>125000</v>
      </c>
      <c r="J855" s="5">
        <f t="shared" si="47"/>
        <v>62500</v>
      </c>
      <c r="K855" s="5" t="str">
        <f>VLOOKUP(C855,[1]master_data!$A$2:$E$495,5,FALSE)</f>
        <v>Aksesoris</v>
      </c>
      <c r="L855" s="5" t="s">
        <v>471</v>
      </c>
    </row>
    <row r="856" spans="1:12" ht="12" customHeight="1" x14ac:dyDescent="0.25">
      <c r="A856" s="6">
        <v>44837</v>
      </c>
      <c r="B856" s="1">
        <v>2203707</v>
      </c>
      <c r="C856" s="5" t="s">
        <v>454</v>
      </c>
      <c r="D856" s="5" t="str">
        <f>VLOOKUP(C856,[1]master_data!$A$2:$E$495,2,FALSE)</f>
        <v>SYNODONTI B</v>
      </c>
      <c r="E856" s="5">
        <v>21</v>
      </c>
      <c r="F856" s="5">
        <f>VLOOKUP(C856,[1]master_data!$A$2:$E$495,3,FALSE)</f>
        <v>4000</v>
      </c>
      <c r="G856" s="5">
        <f>VLOOKUP(C856,[1]master_data!$A$2:$E$495,4,FALSE)</f>
        <v>10000</v>
      </c>
      <c r="H856" s="5">
        <f t="shared" si="45"/>
        <v>84000</v>
      </c>
      <c r="I856" s="5">
        <f t="shared" si="46"/>
        <v>210000</v>
      </c>
      <c r="J856" s="5">
        <f t="shared" si="47"/>
        <v>126000</v>
      </c>
      <c r="K856" s="5" t="str">
        <f>VLOOKUP(C856,[1]master_data!$A$2:$E$495,5,FALSE)</f>
        <v>Ikan</v>
      </c>
      <c r="L856" s="5" t="s">
        <v>471</v>
      </c>
    </row>
    <row r="857" spans="1:12" ht="12" customHeight="1" x14ac:dyDescent="0.25">
      <c r="A857" s="6">
        <v>44837</v>
      </c>
      <c r="B857" s="1">
        <v>2203706</v>
      </c>
      <c r="C857" s="5" t="s">
        <v>221</v>
      </c>
      <c r="D857" s="5" t="str">
        <f>VLOOKUP(C857,[1]master_data!$A$2:$E$495,2,FALSE)</f>
        <v>CP KOI GROWTH</v>
      </c>
      <c r="E857" s="5">
        <v>1</v>
      </c>
      <c r="F857" s="5">
        <f>VLOOKUP(C857,[1]master_data!$A$2:$E$495,3,FALSE)</f>
        <v>38000</v>
      </c>
      <c r="G857" s="5">
        <f>VLOOKUP(C857,[1]master_data!$A$2:$E$495,4,FALSE)</f>
        <v>50000</v>
      </c>
      <c r="H857" s="5">
        <f t="shared" si="45"/>
        <v>38000</v>
      </c>
      <c r="I857" s="5">
        <f t="shared" si="46"/>
        <v>50000</v>
      </c>
      <c r="J857" s="5">
        <f t="shared" si="47"/>
        <v>12000</v>
      </c>
      <c r="K857" s="5" t="str">
        <f>VLOOKUP(C857,[1]master_data!$A$2:$E$495,5,FALSE)</f>
        <v>Aksesoris</v>
      </c>
      <c r="L857" s="5" t="s">
        <v>471</v>
      </c>
    </row>
    <row r="858" spans="1:12" ht="12" customHeight="1" x14ac:dyDescent="0.25">
      <c r="A858" s="6">
        <v>44837</v>
      </c>
      <c r="B858" s="1">
        <v>2203705</v>
      </c>
      <c r="C858" s="5" t="s">
        <v>179</v>
      </c>
      <c r="D858" s="5" t="str">
        <f>VLOOKUP(C858,[1]master_data!$A$2:$E$495,2,FALSE)</f>
        <v>LED ARMADA 3 MODE M30</v>
      </c>
      <c r="E858" s="5">
        <v>2</v>
      </c>
      <c r="F858" s="5">
        <f>VLOOKUP(C858,[1]master_data!$A$2:$E$495,3,FALSE)</f>
        <v>22000</v>
      </c>
      <c r="G858" s="5">
        <f>VLOOKUP(C858,[1]master_data!$A$2:$E$495,4,FALSE)</f>
        <v>45000</v>
      </c>
      <c r="H858" s="5">
        <f t="shared" si="45"/>
        <v>44000</v>
      </c>
      <c r="I858" s="5">
        <f t="shared" si="46"/>
        <v>90000</v>
      </c>
      <c r="J858" s="5">
        <f t="shared" si="47"/>
        <v>46000</v>
      </c>
      <c r="K858" s="5" t="str">
        <f>VLOOKUP(C858,[1]master_data!$A$2:$E$495,5,FALSE)</f>
        <v>Aksesoris</v>
      </c>
      <c r="L858" s="5" t="s">
        <v>471</v>
      </c>
    </row>
    <row r="859" spans="1:12" ht="12" customHeight="1" x14ac:dyDescent="0.25">
      <c r="A859" s="6">
        <v>44837</v>
      </c>
      <c r="B859" s="1">
        <v>2203704</v>
      </c>
      <c r="C859" s="5" t="s">
        <v>417</v>
      </c>
      <c r="D859" s="5" t="str">
        <f>VLOOKUP(C859,[1]master_data!$A$2:$E$495,2,FALSE)</f>
        <v>KOI T</v>
      </c>
      <c r="E859" s="5">
        <v>1</v>
      </c>
      <c r="F859" s="5">
        <f>VLOOKUP(C859,[1]master_data!$A$2:$E$495,3,FALSE)</f>
        <v>7000</v>
      </c>
      <c r="G859" s="5">
        <f>VLOOKUP(C859,[1]master_data!$A$2:$E$495,4,FALSE)</f>
        <v>20000</v>
      </c>
      <c r="H859" s="5">
        <f t="shared" si="45"/>
        <v>7000</v>
      </c>
      <c r="I859" s="5">
        <f t="shared" si="46"/>
        <v>20000</v>
      </c>
      <c r="J859" s="5">
        <f t="shared" si="47"/>
        <v>13000</v>
      </c>
      <c r="K859" s="5" t="str">
        <f>VLOOKUP(C859,[1]master_data!$A$2:$E$495,5,FALSE)</f>
        <v>Ikan</v>
      </c>
      <c r="L859" s="5" t="s">
        <v>471</v>
      </c>
    </row>
    <row r="860" spans="1:12" ht="12" customHeight="1" x14ac:dyDescent="0.25">
      <c r="A860" s="6">
        <v>44837</v>
      </c>
      <c r="B860" s="1">
        <v>2203703</v>
      </c>
      <c r="C860" s="5" t="s">
        <v>391</v>
      </c>
      <c r="D860" s="5" t="str">
        <f>VLOOKUP(C860,[1]master_data!$A$2:$E$495,2,FALSE)</f>
        <v>CHANNA ANDRAO K</v>
      </c>
      <c r="E860" s="5">
        <v>1</v>
      </c>
      <c r="F860" s="5">
        <f>VLOOKUP(C860,[1]master_data!$A$2:$E$495,3,FALSE)</f>
        <v>20000</v>
      </c>
      <c r="G860" s="5">
        <f>VLOOKUP(C860,[1]master_data!$A$2:$E$495,4,FALSE)</f>
        <v>50000</v>
      </c>
      <c r="H860" s="5">
        <f t="shared" si="45"/>
        <v>20000</v>
      </c>
      <c r="I860" s="5">
        <f t="shared" si="46"/>
        <v>50000</v>
      </c>
      <c r="J860" s="5">
        <f t="shared" si="47"/>
        <v>30000</v>
      </c>
      <c r="K860" s="5" t="str">
        <f>VLOOKUP(C860,[1]master_data!$A$2:$E$495,5,FALSE)</f>
        <v>Ikan</v>
      </c>
      <c r="L860" s="5" t="s">
        <v>471</v>
      </c>
    </row>
    <row r="861" spans="1:12" ht="12" customHeight="1" x14ac:dyDescent="0.25">
      <c r="A861" s="6">
        <v>44837</v>
      </c>
      <c r="B861" s="1">
        <v>2203702</v>
      </c>
      <c r="C861" s="5" t="s">
        <v>459</v>
      </c>
      <c r="D861" s="5" t="str">
        <f>VLOOKUP(C861,[1]master_data!$A$2:$E$495,2,FALSE)</f>
        <v>ZEBRA UNGU</v>
      </c>
      <c r="E861" s="5">
        <v>15</v>
      </c>
      <c r="F861" s="5">
        <f>VLOOKUP(C861,[1]master_data!$A$2:$E$495,3,FALSE)</f>
        <v>800</v>
      </c>
      <c r="G861" s="5">
        <f>VLOOKUP(C861,[1]master_data!$A$2:$E$495,4,FALSE)</f>
        <v>2000</v>
      </c>
      <c r="H861" s="5">
        <f t="shared" si="45"/>
        <v>12000</v>
      </c>
      <c r="I861" s="5">
        <f t="shared" si="46"/>
        <v>30000</v>
      </c>
      <c r="J861" s="5">
        <f t="shared" si="47"/>
        <v>18000</v>
      </c>
      <c r="K861" s="5" t="str">
        <f>VLOOKUP(C861,[1]master_data!$A$2:$E$495,5,FALSE)</f>
        <v>Ikan</v>
      </c>
      <c r="L861" s="5" t="s">
        <v>471</v>
      </c>
    </row>
    <row r="862" spans="1:12" ht="12" customHeight="1" x14ac:dyDescent="0.25">
      <c r="A862" s="6">
        <v>44837</v>
      </c>
      <c r="B862" s="1">
        <v>2203701</v>
      </c>
      <c r="C862" s="5" t="s">
        <v>386</v>
      </c>
      <c r="D862" s="5" t="str">
        <f>VLOOKUP(C862,[1]master_data!$A$2:$E$495,2,FALSE)</f>
        <v>BATU KARANG JAHE</v>
      </c>
      <c r="E862" s="5">
        <v>2</v>
      </c>
      <c r="F862" s="5">
        <f>VLOOKUP(C862,[1]master_data!$A$2:$E$495,3,FALSE)</f>
        <v>15000</v>
      </c>
      <c r="G862" s="5">
        <f>VLOOKUP(C862,[1]master_data!$A$2:$E$495,4,FALSE)</f>
        <v>25000</v>
      </c>
      <c r="H862" s="5">
        <f t="shared" si="45"/>
        <v>30000</v>
      </c>
      <c r="I862" s="5">
        <f t="shared" si="46"/>
        <v>50000</v>
      </c>
      <c r="J862" s="5">
        <f t="shared" si="47"/>
        <v>20000</v>
      </c>
      <c r="K862" s="5" t="str">
        <f>VLOOKUP(C862,[1]master_data!$A$2:$E$495,5,FALSE)</f>
        <v>Aksesoris</v>
      </c>
      <c r="L862" s="5" t="s">
        <v>471</v>
      </c>
    </row>
    <row r="863" spans="1:12" ht="12" customHeight="1" x14ac:dyDescent="0.25">
      <c r="A863" s="6">
        <v>44836</v>
      </c>
      <c r="B863" s="1">
        <v>2203700</v>
      </c>
      <c r="C863" s="5" t="s">
        <v>413</v>
      </c>
      <c r="D863" s="5" t="str">
        <f>VLOOKUP(C863,[1]master_data!$A$2:$E$495,2,FALSE)</f>
        <v>KOKI K</v>
      </c>
      <c r="E863" s="5">
        <v>10</v>
      </c>
      <c r="F863" s="5">
        <f>VLOOKUP(C863,[1]master_data!$A$2:$E$495,3,FALSE)</f>
        <v>3500</v>
      </c>
      <c r="G863" s="5">
        <f>VLOOKUP(C863,[1]master_data!$A$2:$E$495,4,FALSE)</f>
        <v>10000</v>
      </c>
      <c r="H863" s="5">
        <f t="shared" si="45"/>
        <v>35000</v>
      </c>
      <c r="I863" s="5">
        <f t="shared" si="46"/>
        <v>100000</v>
      </c>
      <c r="J863" s="5">
        <f t="shared" si="47"/>
        <v>65000</v>
      </c>
      <c r="K863" s="5" t="str">
        <f>VLOOKUP(C863,[1]master_data!$A$2:$E$495,5,FALSE)</f>
        <v>Ikan</v>
      </c>
      <c r="L863" s="5" t="s">
        <v>471</v>
      </c>
    </row>
    <row r="864" spans="1:12" ht="12" customHeight="1" x14ac:dyDescent="0.25">
      <c r="A864" s="6">
        <v>44836</v>
      </c>
      <c r="B864" s="1">
        <v>2203699</v>
      </c>
      <c r="C864" s="5" t="s">
        <v>130</v>
      </c>
      <c r="D864" s="5" t="str">
        <f>VLOOKUP(C864,[1]master_data!$A$2:$E$495,2,FALSE)</f>
        <v>LED YAMANO S600</v>
      </c>
      <c r="E864" s="5">
        <v>8</v>
      </c>
      <c r="F864" s="5">
        <f>VLOOKUP(C864,[1]master_data!$A$2:$E$495,3,FALSE)</f>
        <v>60000</v>
      </c>
      <c r="G864" s="5">
        <f>VLOOKUP(C864,[1]master_data!$A$2:$E$495,4,FALSE)</f>
        <v>85000</v>
      </c>
      <c r="H864" s="5">
        <f t="shared" si="45"/>
        <v>480000</v>
      </c>
      <c r="I864" s="5">
        <f t="shared" si="46"/>
        <v>680000</v>
      </c>
      <c r="J864" s="5">
        <f t="shared" si="47"/>
        <v>200000</v>
      </c>
      <c r="K864" s="5" t="str">
        <f>VLOOKUP(C864,[1]master_data!$A$2:$E$495,5,FALSE)</f>
        <v>Aksesoris</v>
      </c>
      <c r="L864" s="5" t="s">
        <v>471</v>
      </c>
    </row>
    <row r="865" spans="1:12" ht="12" customHeight="1" x14ac:dyDescent="0.25">
      <c r="A865" s="6">
        <v>44836</v>
      </c>
      <c r="B865" s="1">
        <v>2203698</v>
      </c>
      <c r="C865" s="5" t="s">
        <v>431</v>
      </c>
      <c r="D865" s="5" t="str">
        <f>VLOOKUP(C865,[1]master_data!$A$2:$E$495,2,FALSE)</f>
        <v>MANFISH B</v>
      </c>
      <c r="E865" s="5">
        <v>25</v>
      </c>
      <c r="F865" s="5">
        <f>VLOOKUP(C865,[1]master_data!$A$2:$E$495,3,FALSE)</f>
        <v>4000</v>
      </c>
      <c r="G865" s="5">
        <f>VLOOKUP(C865,[1]master_data!$A$2:$E$495,4,FALSE)</f>
        <v>10000</v>
      </c>
      <c r="H865" s="5">
        <f t="shared" si="45"/>
        <v>100000</v>
      </c>
      <c r="I865" s="5">
        <f t="shared" si="46"/>
        <v>250000</v>
      </c>
      <c r="J865" s="5">
        <f t="shared" si="47"/>
        <v>150000</v>
      </c>
      <c r="K865" s="5" t="str">
        <f>VLOOKUP(C865,[1]master_data!$A$2:$E$495,5,FALSE)</f>
        <v>Ikan</v>
      </c>
      <c r="L865" s="5" t="s">
        <v>471</v>
      </c>
    </row>
    <row r="866" spans="1:12" ht="12" customHeight="1" x14ac:dyDescent="0.25">
      <c r="A866" s="6">
        <v>44836</v>
      </c>
      <c r="B866" s="1">
        <v>2203697</v>
      </c>
      <c r="C866" s="5" t="s">
        <v>143</v>
      </c>
      <c r="D866" s="5" t="str">
        <f>VLOOKUP(C866,[1]master_data!$A$2:$E$495,2,FALSE)</f>
        <v>LED KANDILA DnN 40 CM</v>
      </c>
      <c r="E866" s="5">
        <v>5</v>
      </c>
      <c r="F866" s="5">
        <f>VLOOKUP(C866,[1]master_data!$A$2:$E$495,3,FALSE)</f>
        <v>30000</v>
      </c>
      <c r="G866" s="5">
        <f>VLOOKUP(C866,[1]master_data!$A$2:$E$495,4,FALSE)</f>
        <v>50000</v>
      </c>
      <c r="H866" s="5">
        <f t="shared" si="45"/>
        <v>150000</v>
      </c>
      <c r="I866" s="5">
        <f t="shared" si="46"/>
        <v>250000</v>
      </c>
      <c r="J866" s="5">
        <f t="shared" si="47"/>
        <v>100000</v>
      </c>
      <c r="K866" s="5" t="str">
        <f>VLOOKUP(C866,[1]master_data!$A$2:$E$495,5,FALSE)</f>
        <v>Aksesoris</v>
      </c>
      <c r="L866" s="5" t="s">
        <v>471</v>
      </c>
    </row>
    <row r="867" spans="1:12" ht="12" customHeight="1" x14ac:dyDescent="0.25">
      <c r="A867" s="6">
        <v>44836</v>
      </c>
      <c r="B867" s="1">
        <v>2203696</v>
      </c>
      <c r="C867" s="5" t="s">
        <v>360</v>
      </c>
      <c r="D867" s="5" t="str">
        <f>VLOOKUP(C867,[1]master_data!$A$2:$E$495,2,FALSE)</f>
        <v>AKUARIUM 70 POLOS</v>
      </c>
      <c r="E867" s="5">
        <v>1</v>
      </c>
      <c r="F867" s="5">
        <f>VLOOKUP(C867,[1]master_data!$A$2:$E$495,3,FALSE)</f>
        <v>150000</v>
      </c>
      <c r="G867" s="5">
        <f>VLOOKUP(C867,[1]master_data!$A$2:$E$495,4,FALSE)</f>
        <v>200000</v>
      </c>
      <c r="H867" s="5">
        <f t="shared" si="45"/>
        <v>150000</v>
      </c>
      <c r="I867" s="5">
        <f t="shared" si="46"/>
        <v>200000</v>
      </c>
      <c r="J867" s="5">
        <f t="shared" si="47"/>
        <v>50000</v>
      </c>
      <c r="K867" s="5" t="str">
        <f>VLOOKUP(C867,[1]master_data!$A$2:$E$495,5,FALSE)</f>
        <v>Aksesoris</v>
      </c>
      <c r="L867" s="5" t="s">
        <v>471</v>
      </c>
    </row>
    <row r="868" spans="1:12" ht="12" customHeight="1" x14ac:dyDescent="0.25">
      <c r="A868" s="6">
        <v>44836</v>
      </c>
      <c r="B868" s="1">
        <v>2203695</v>
      </c>
      <c r="C868" s="5" t="s">
        <v>435</v>
      </c>
      <c r="D868" s="5" t="str">
        <f>VLOOKUP(C868,[1]master_data!$A$2:$E$495,2,FALSE)</f>
        <v>MOLI BALON</v>
      </c>
      <c r="E868" s="5">
        <v>20</v>
      </c>
      <c r="F868" s="5">
        <f>VLOOKUP(C868,[1]master_data!$A$2:$E$495,3,FALSE)</f>
        <v>800</v>
      </c>
      <c r="G868" s="5">
        <f>VLOOKUP(C868,[1]master_data!$A$2:$E$495,4,FALSE)</f>
        <v>2000</v>
      </c>
      <c r="H868" s="5">
        <f t="shared" si="45"/>
        <v>16000</v>
      </c>
      <c r="I868" s="5">
        <f t="shared" si="46"/>
        <v>40000</v>
      </c>
      <c r="J868" s="5">
        <f t="shared" si="47"/>
        <v>24000</v>
      </c>
      <c r="K868" s="5" t="str">
        <f>VLOOKUP(C868,[1]master_data!$A$2:$E$495,5,FALSE)</f>
        <v>Ikan</v>
      </c>
      <c r="L868" s="5" t="s">
        <v>471</v>
      </c>
    </row>
    <row r="869" spans="1:12" ht="12" customHeight="1" x14ac:dyDescent="0.25">
      <c r="A869" s="6">
        <v>44835</v>
      </c>
      <c r="B869" s="1">
        <v>2203694</v>
      </c>
      <c r="C869" s="5" t="s">
        <v>277</v>
      </c>
      <c r="D869" s="5" t="str">
        <f>VLOOKUP(C869,[1]master_data!$A$2:$E$495,2,FALSE)</f>
        <v>HEATER STENLEES 50 W</v>
      </c>
      <c r="E869" s="5">
        <v>9</v>
      </c>
      <c r="F869" s="5">
        <f>VLOOKUP(C869,[1]master_data!$A$2:$E$495,3,FALSE)</f>
        <v>63000</v>
      </c>
      <c r="G869" s="5">
        <f>VLOOKUP(C869,[1]master_data!$A$2:$E$495,4,FALSE)</f>
        <v>85000</v>
      </c>
      <c r="H869" s="5">
        <f t="shared" si="45"/>
        <v>567000</v>
      </c>
      <c r="I869" s="5">
        <f t="shared" si="46"/>
        <v>765000</v>
      </c>
      <c r="J869" s="5">
        <f t="shared" si="47"/>
        <v>198000</v>
      </c>
      <c r="K869" s="5" t="str">
        <f>VLOOKUP(C869,[1]master_data!$A$2:$E$495,5,FALSE)</f>
        <v>Aksesoris</v>
      </c>
      <c r="L869" s="5" t="s">
        <v>471</v>
      </c>
    </row>
    <row r="870" spans="1:12" ht="12" customHeight="1" x14ac:dyDescent="0.25">
      <c r="A870" s="6">
        <v>44835</v>
      </c>
      <c r="B870" s="1">
        <v>2203693</v>
      </c>
      <c r="C870" s="5" t="s">
        <v>137</v>
      </c>
      <c r="D870" s="5" t="str">
        <f>VLOOKUP(C870,[1]master_data!$A$2:$E$495,2,FALSE)</f>
        <v>LAMPU YAMANO UV 20W</v>
      </c>
      <c r="E870" s="5">
        <v>2</v>
      </c>
      <c r="F870" s="5">
        <f>VLOOKUP(C870,[1]master_data!$A$2:$E$495,3,FALSE)</f>
        <v>184000</v>
      </c>
      <c r="G870" s="5">
        <f>VLOOKUP(C870,[1]master_data!$A$2:$E$495,4,FALSE)</f>
        <v>225000</v>
      </c>
      <c r="H870" s="5">
        <f t="shared" si="45"/>
        <v>368000</v>
      </c>
      <c r="I870" s="5">
        <f t="shared" si="46"/>
        <v>450000</v>
      </c>
      <c r="J870" s="5">
        <f t="shared" si="47"/>
        <v>82000</v>
      </c>
      <c r="K870" s="5" t="str">
        <f>VLOOKUP(C870,[1]master_data!$A$2:$E$495,5,FALSE)</f>
        <v>Aksesoris</v>
      </c>
      <c r="L870" s="5" t="s">
        <v>471</v>
      </c>
    </row>
    <row r="871" spans="1:12" ht="12" customHeight="1" x14ac:dyDescent="0.25">
      <c r="A871" s="6">
        <v>44835</v>
      </c>
      <c r="B871" s="1">
        <v>2203692</v>
      </c>
      <c r="C871" s="5" t="s">
        <v>409</v>
      </c>
      <c r="D871" s="5" t="str">
        <f>VLOOKUP(C871,[1]master_data!$A$2:$E$495,2,FALSE)</f>
        <v>GOLD FISH</v>
      </c>
      <c r="E871" s="5">
        <v>1</v>
      </c>
      <c r="F871" s="5">
        <f>VLOOKUP(C871,[1]master_data!$A$2:$E$495,3,FALSE)</f>
        <v>800</v>
      </c>
      <c r="G871" s="5">
        <f>VLOOKUP(C871,[1]master_data!$A$2:$E$495,4,FALSE)</f>
        <v>2000</v>
      </c>
      <c r="H871" s="5">
        <f t="shared" si="45"/>
        <v>800</v>
      </c>
      <c r="I871" s="5">
        <f t="shared" si="46"/>
        <v>2000</v>
      </c>
      <c r="J871" s="5">
        <f t="shared" si="47"/>
        <v>1200</v>
      </c>
      <c r="K871" s="5" t="str">
        <f>VLOOKUP(C871,[1]master_data!$A$2:$E$495,5,FALSE)</f>
        <v>Ikan</v>
      </c>
      <c r="L871" s="5" t="s">
        <v>471</v>
      </c>
    </row>
    <row r="872" spans="1:12" ht="12" customHeight="1" x14ac:dyDescent="0.25">
      <c r="A872" s="6">
        <v>44835</v>
      </c>
      <c r="B872" s="1">
        <v>2203691</v>
      </c>
      <c r="C872" s="5" t="s">
        <v>67</v>
      </c>
      <c r="D872" s="5" t="str">
        <f>VLOOKUP(C872,[1]master_data!$A$2:$E$495,2,FALSE)</f>
        <v>MESIN RECENT 1200</v>
      </c>
      <c r="E872" s="5">
        <v>1</v>
      </c>
      <c r="F872" s="5">
        <f>VLOOKUP(C872,[1]master_data!$A$2:$E$495,3,FALSE)</f>
        <v>23000</v>
      </c>
      <c r="G872" s="5">
        <f>VLOOKUP(C872,[1]master_data!$A$2:$E$495,4,FALSE)</f>
        <v>35000</v>
      </c>
      <c r="H872" s="5">
        <f t="shared" si="45"/>
        <v>23000</v>
      </c>
      <c r="I872" s="5">
        <f t="shared" si="46"/>
        <v>35000</v>
      </c>
      <c r="J872" s="5">
        <f t="shared" si="47"/>
        <v>12000</v>
      </c>
      <c r="K872" s="5" t="str">
        <f>VLOOKUP(C872,[1]master_data!$A$2:$E$495,5,FALSE)</f>
        <v>Aksesoris</v>
      </c>
      <c r="L872" s="5" t="s">
        <v>471</v>
      </c>
    </row>
    <row r="873" spans="1:12" ht="12" customHeight="1" x14ac:dyDescent="0.25">
      <c r="A873" s="6">
        <v>44835</v>
      </c>
      <c r="B873" s="1">
        <v>2203690</v>
      </c>
      <c r="C873" s="5" t="s">
        <v>409</v>
      </c>
      <c r="D873" s="5" t="str">
        <f>VLOOKUP(C873,[1]master_data!$A$2:$E$495,2,FALSE)</f>
        <v>GOLD FISH</v>
      </c>
      <c r="E873" s="5">
        <v>1</v>
      </c>
      <c r="F873" s="5">
        <f>VLOOKUP(C873,[1]master_data!$A$2:$E$495,3,FALSE)</f>
        <v>800</v>
      </c>
      <c r="G873" s="5">
        <f>VLOOKUP(C873,[1]master_data!$A$2:$E$495,4,FALSE)</f>
        <v>2000</v>
      </c>
      <c r="H873" s="5">
        <f t="shared" si="45"/>
        <v>800</v>
      </c>
      <c r="I873" s="5">
        <f t="shared" si="46"/>
        <v>2000</v>
      </c>
      <c r="J873" s="5">
        <f t="shared" si="47"/>
        <v>1200</v>
      </c>
      <c r="K873" s="5" t="str">
        <f>VLOOKUP(C873,[1]master_data!$A$2:$E$495,5,FALSE)</f>
        <v>Ikan</v>
      </c>
      <c r="L873" s="5" t="s">
        <v>471</v>
      </c>
    </row>
    <row r="874" spans="1:12" ht="12" customHeight="1" x14ac:dyDescent="0.25">
      <c r="A874" s="6">
        <v>44835</v>
      </c>
      <c r="B874" s="1">
        <v>2203689</v>
      </c>
      <c r="C874" s="5" t="s">
        <v>454</v>
      </c>
      <c r="D874" s="5" t="str">
        <f>VLOOKUP(C874,[1]master_data!$A$2:$E$495,2,FALSE)</f>
        <v>SYNODONTI B</v>
      </c>
      <c r="E874" s="5">
        <v>10</v>
      </c>
      <c r="F874" s="5">
        <f>VLOOKUP(C874,[1]master_data!$A$2:$E$495,3,FALSE)</f>
        <v>4000</v>
      </c>
      <c r="G874" s="5">
        <f>VLOOKUP(C874,[1]master_data!$A$2:$E$495,4,FALSE)</f>
        <v>10000</v>
      </c>
      <c r="H874" s="5">
        <f t="shared" si="45"/>
        <v>40000</v>
      </c>
      <c r="I874" s="5">
        <f t="shared" si="46"/>
        <v>100000</v>
      </c>
      <c r="J874" s="5">
        <f t="shared" si="47"/>
        <v>60000</v>
      </c>
      <c r="K874" s="5" t="str">
        <f>VLOOKUP(C874,[1]master_data!$A$2:$E$495,5,FALSE)</f>
        <v>Ikan</v>
      </c>
      <c r="L874" s="5" t="s">
        <v>471</v>
      </c>
    </row>
    <row r="875" spans="1:12" ht="12" customHeight="1" x14ac:dyDescent="0.25">
      <c r="A875" s="6">
        <v>44835</v>
      </c>
      <c r="B875" s="1">
        <v>2203688</v>
      </c>
      <c r="C875" s="5" t="s">
        <v>409</v>
      </c>
      <c r="D875" s="5" t="str">
        <f>VLOOKUP(C875,[1]master_data!$A$2:$E$495,2,FALSE)</f>
        <v>GOLD FISH</v>
      </c>
      <c r="E875" s="5">
        <v>1</v>
      </c>
      <c r="F875" s="5">
        <f>VLOOKUP(C875,[1]master_data!$A$2:$E$495,3,FALSE)</f>
        <v>800</v>
      </c>
      <c r="G875" s="5">
        <f>VLOOKUP(C875,[1]master_data!$A$2:$E$495,4,FALSE)</f>
        <v>2000</v>
      </c>
      <c r="H875" s="5">
        <f t="shared" si="45"/>
        <v>800</v>
      </c>
      <c r="I875" s="5">
        <f t="shared" si="46"/>
        <v>2000</v>
      </c>
      <c r="J875" s="5">
        <f t="shared" si="47"/>
        <v>1200</v>
      </c>
      <c r="K875" s="5" t="str">
        <f>VLOOKUP(C875,[1]master_data!$A$2:$E$495,5,FALSE)</f>
        <v>Ikan</v>
      </c>
      <c r="L875" s="5" t="s">
        <v>471</v>
      </c>
    </row>
    <row r="876" spans="1:12" ht="12" customHeight="1" x14ac:dyDescent="0.25">
      <c r="A876" s="6">
        <v>44835</v>
      </c>
      <c r="B876" s="1">
        <v>2203687</v>
      </c>
      <c r="C876" s="5" t="s">
        <v>444</v>
      </c>
      <c r="D876" s="5" t="str">
        <f>VLOOKUP(C876,[1]master_data!$A$2:$E$495,2,FALSE)</f>
        <v>PARROT</v>
      </c>
      <c r="E876" s="5">
        <v>2</v>
      </c>
      <c r="F876" s="5">
        <f>VLOOKUP(C876,[1]master_data!$A$2:$E$495,3,FALSE)</f>
        <v>27000</v>
      </c>
      <c r="G876" s="5">
        <f>VLOOKUP(C876,[1]master_data!$A$2:$E$495,4,FALSE)</f>
        <v>60000</v>
      </c>
      <c r="H876" s="5">
        <f t="shared" si="45"/>
        <v>54000</v>
      </c>
      <c r="I876" s="5">
        <f t="shared" si="46"/>
        <v>120000</v>
      </c>
      <c r="J876" s="5">
        <f t="shared" si="47"/>
        <v>66000</v>
      </c>
      <c r="K876" s="5" t="str">
        <f>VLOOKUP(C876,[1]master_data!$A$2:$E$495,5,FALSE)</f>
        <v>Ikan</v>
      </c>
      <c r="L876" s="5" t="s">
        <v>471</v>
      </c>
    </row>
    <row r="877" spans="1:12" ht="12" customHeight="1" x14ac:dyDescent="0.25">
      <c r="A877" s="6">
        <v>44835</v>
      </c>
      <c r="B877" s="1">
        <v>2203686</v>
      </c>
      <c r="C877" s="5" t="s">
        <v>409</v>
      </c>
      <c r="D877" s="5" t="str">
        <f>VLOOKUP(C877,[1]master_data!$A$2:$E$495,2,FALSE)</f>
        <v>GOLD FISH</v>
      </c>
      <c r="E877" s="5">
        <v>10</v>
      </c>
      <c r="F877" s="5">
        <f>VLOOKUP(C877,[1]master_data!$A$2:$E$495,3,FALSE)</f>
        <v>800</v>
      </c>
      <c r="G877" s="5">
        <f>VLOOKUP(C877,[1]master_data!$A$2:$E$495,4,FALSE)</f>
        <v>2000</v>
      </c>
      <c r="H877" s="5">
        <f t="shared" si="45"/>
        <v>8000</v>
      </c>
      <c r="I877" s="5">
        <f t="shared" si="46"/>
        <v>20000</v>
      </c>
      <c r="J877" s="5">
        <f t="shared" si="47"/>
        <v>12000</v>
      </c>
      <c r="K877" s="5" t="str">
        <f>VLOOKUP(C877,[1]master_data!$A$2:$E$495,5,FALSE)</f>
        <v>Ikan</v>
      </c>
      <c r="L877" s="5" t="s">
        <v>471</v>
      </c>
    </row>
    <row r="878" spans="1:12" ht="12" customHeight="1" x14ac:dyDescent="0.25">
      <c r="A878" s="6">
        <v>44835</v>
      </c>
      <c r="B878" s="1">
        <v>2203685</v>
      </c>
      <c r="C878" s="5" t="s">
        <v>457</v>
      </c>
      <c r="D878" s="5" t="str">
        <f>VLOOKUP(C878,[1]master_data!$A$2:$E$495,2,FALSE)</f>
        <v>ZEBRA PINK</v>
      </c>
      <c r="E878" s="5">
        <v>20</v>
      </c>
      <c r="F878" s="5">
        <f>VLOOKUP(C878,[1]master_data!$A$2:$E$495,3,FALSE)</f>
        <v>800</v>
      </c>
      <c r="G878" s="5">
        <f>VLOOKUP(C878,[1]master_data!$A$2:$E$495,4,FALSE)</f>
        <v>2000</v>
      </c>
      <c r="H878" s="5">
        <f t="shared" si="45"/>
        <v>16000</v>
      </c>
      <c r="I878" s="5">
        <f t="shared" si="46"/>
        <v>40000</v>
      </c>
      <c r="J878" s="5">
        <f t="shared" si="47"/>
        <v>24000</v>
      </c>
      <c r="K878" s="5" t="str">
        <f>VLOOKUP(C878,[1]master_data!$A$2:$E$495,5,FALSE)</f>
        <v>Ikan</v>
      </c>
      <c r="L878" s="5" t="s">
        <v>471</v>
      </c>
    </row>
    <row r="879" spans="1:12" ht="12" customHeight="1" x14ac:dyDescent="0.25">
      <c r="A879" s="6">
        <v>44835</v>
      </c>
      <c r="B879" s="1">
        <v>2203684</v>
      </c>
      <c r="C879" s="5" t="s">
        <v>453</v>
      </c>
      <c r="D879" s="5" t="str">
        <f>VLOOKUP(C879,[1]master_data!$A$2:$E$495,2,FALSE)</f>
        <v>SYNODONTIS K</v>
      </c>
      <c r="E879" s="5">
        <v>10</v>
      </c>
      <c r="F879" s="5">
        <f>VLOOKUP(C879,[1]master_data!$A$2:$E$495,3,FALSE)</f>
        <v>1500</v>
      </c>
      <c r="G879" s="5">
        <f>VLOOKUP(C879,[1]master_data!$A$2:$E$495,4,FALSE)</f>
        <v>5000</v>
      </c>
      <c r="H879" s="5">
        <f t="shared" si="45"/>
        <v>15000</v>
      </c>
      <c r="I879" s="5">
        <f t="shared" si="46"/>
        <v>50000</v>
      </c>
      <c r="J879" s="5">
        <f t="shared" si="47"/>
        <v>35000</v>
      </c>
      <c r="K879" s="5" t="str">
        <f>VLOOKUP(C879,[1]master_data!$A$2:$E$495,5,FALSE)</f>
        <v>Ikan</v>
      </c>
      <c r="L879" s="5" t="s">
        <v>471</v>
      </c>
    </row>
    <row r="880" spans="1:12" ht="12" customHeight="1" x14ac:dyDescent="0.25">
      <c r="A880" s="6">
        <v>44835</v>
      </c>
      <c r="B880" s="1">
        <v>2203683</v>
      </c>
      <c r="C880" s="5" t="s">
        <v>461</v>
      </c>
      <c r="D880" s="5" t="str">
        <f>VLOOKUP(C880,[1]master_data!$A$2:$E$495,2,FALSE)</f>
        <v>SEPAT</v>
      </c>
      <c r="E880" s="5">
        <v>30</v>
      </c>
      <c r="F880" s="5">
        <f>VLOOKUP(C880,[1]master_data!$A$2:$E$495,3,FALSE)</f>
        <v>600</v>
      </c>
      <c r="G880" s="5">
        <f>VLOOKUP(C880,[1]master_data!$A$2:$E$495,4,FALSE)</f>
        <v>2000</v>
      </c>
      <c r="H880" s="5">
        <f t="shared" si="45"/>
        <v>18000</v>
      </c>
      <c r="I880" s="5">
        <f t="shared" si="46"/>
        <v>60000</v>
      </c>
      <c r="J880" s="5">
        <f t="shared" si="47"/>
        <v>42000</v>
      </c>
      <c r="K880" s="5" t="str">
        <f>VLOOKUP(C880,[1]master_data!$A$2:$E$495,5,FALSE)</f>
        <v>Ikan</v>
      </c>
      <c r="L880" s="5" t="s">
        <v>471</v>
      </c>
    </row>
    <row r="881" spans="1:12" ht="12" customHeight="1" x14ac:dyDescent="0.25">
      <c r="A881" s="6">
        <v>44835</v>
      </c>
      <c r="B881" s="1">
        <v>2203682</v>
      </c>
      <c r="C881" s="5" t="s">
        <v>390</v>
      </c>
      <c r="D881" s="5" t="str">
        <f>VLOOKUP(C881,[1]master_data!$A$2:$E$495,2,FALSE)</f>
        <v>CHANNA ASIATICA K</v>
      </c>
      <c r="E881" s="5">
        <v>1</v>
      </c>
      <c r="F881" s="5">
        <f>VLOOKUP(C881,[1]master_data!$A$2:$E$495,3,FALSE)</f>
        <v>10000</v>
      </c>
      <c r="G881" s="5">
        <f>VLOOKUP(C881,[1]master_data!$A$2:$E$495,4,FALSE)</f>
        <v>40000</v>
      </c>
      <c r="H881" s="5">
        <f t="shared" si="45"/>
        <v>10000</v>
      </c>
      <c r="I881" s="5">
        <f t="shared" si="46"/>
        <v>40000</v>
      </c>
      <c r="J881" s="5">
        <f t="shared" si="47"/>
        <v>30000</v>
      </c>
      <c r="K881" s="5" t="str">
        <f>VLOOKUP(C881,[1]master_data!$A$2:$E$495,5,FALSE)</f>
        <v>Ikan</v>
      </c>
      <c r="L881" s="5" t="s">
        <v>471</v>
      </c>
    </row>
    <row r="882" spans="1:12" ht="12" customHeight="1" x14ac:dyDescent="0.25">
      <c r="A882" s="6">
        <v>44834</v>
      </c>
      <c r="B882" s="1">
        <v>2203681</v>
      </c>
      <c r="C882" s="5" t="s">
        <v>225</v>
      </c>
      <c r="D882" s="5" t="str">
        <f>VLOOKUP(C882,[1]master_data!$A$2:$E$495,2,FALSE)</f>
        <v>HOKKY KOI GROWTH</v>
      </c>
      <c r="E882" s="5">
        <v>2</v>
      </c>
      <c r="F882" s="5">
        <f>VLOOKUP(C882,[1]master_data!$A$2:$E$495,3,FALSE)</f>
        <v>49000</v>
      </c>
      <c r="G882" s="5">
        <f>VLOOKUP(C882,[1]master_data!$A$2:$E$495,4,FALSE)</f>
        <v>55000</v>
      </c>
      <c r="H882" s="5">
        <f t="shared" si="45"/>
        <v>98000</v>
      </c>
      <c r="I882" s="5">
        <f t="shared" si="46"/>
        <v>110000</v>
      </c>
      <c r="J882" s="5">
        <f t="shared" si="47"/>
        <v>12000</v>
      </c>
      <c r="K882" s="5" t="str">
        <f>VLOOKUP(C882,[1]master_data!$A$2:$E$495,5,FALSE)</f>
        <v>Aksesoris</v>
      </c>
      <c r="L882" s="5" t="s">
        <v>471</v>
      </c>
    </row>
    <row r="883" spans="1:12" ht="12" customHeight="1" x14ac:dyDescent="0.25">
      <c r="A883" s="6">
        <v>44834</v>
      </c>
      <c r="B883" s="1">
        <v>2203680</v>
      </c>
      <c r="C883" s="5" t="s">
        <v>340</v>
      </c>
      <c r="D883" s="5" t="str">
        <f>VLOOKUP(C883,[1]master_data!$A$2:$E$495,2,FALSE)</f>
        <v>JETMET K</v>
      </c>
      <c r="E883" s="5">
        <v>5</v>
      </c>
      <c r="F883" s="5">
        <f>VLOOKUP(C883,[1]master_data!$A$2:$E$495,3,FALSE)</f>
        <v>17500</v>
      </c>
      <c r="G883" s="5">
        <f>VLOOKUP(C883,[1]master_data!$A$2:$E$495,4,FALSE)</f>
        <v>25000</v>
      </c>
      <c r="H883" s="5">
        <f t="shared" si="45"/>
        <v>87500</v>
      </c>
      <c r="I883" s="5">
        <f t="shared" si="46"/>
        <v>125000</v>
      </c>
      <c r="J883" s="5">
        <f t="shared" si="47"/>
        <v>37500</v>
      </c>
      <c r="K883" s="5" t="str">
        <f>VLOOKUP(C883,[1]master_data!$A$2:$E$495,5,FALSE)</f>
        <v>Aksesoris</v>
      </c>
      <c r="L883" s="5" t="s">
        <v>471</v>
      </c>
    </row>
    <row r="884" spans="1:12" ht="12" customHeight="1" x14ac:dyDescent="0.25">
      <c r="A884" s="6">
        <v>44834</v>
      </c>
      <c r="B884" s="1">
        <v>2203679</v>
      </c>
      <c r="C884" s="5" t="s">
        <v>448</v>
      </c>
      <c r="D884" s="5" t="str">
        <f>VLOOKUP(C884,[1]master_data!$A$2:$E$495,2,FALSE)</f>
        <v xml:space="preserve"> CHANNA RED BARITO K</v>
      </c>
      <c r="E884" s="5">
        <v>5</v>
      </c>
      <c r="F884" s="5">
        <f>VLOOKUP(C884,[1]master_data!$A$2:$E$495,3,FALSE)</f>
        <v>45000</v>
      </c>
      <c r="G884" s="5">
        <f>VLOOKUP(C884,[1]master_data!$A$2:$E$495,4,FALSE)</f>
        <v>100000</v>
      </c>
      <c r="H884" s="5">
        <f t="shared" si="45"/>
        <v>225000</v>
      </c>
      <c r="I884" s="5">
        <f t="shared" si="46"/>
        <v>500000</v>
      </c>
      <c r="J884" s="5">
        <f t="shared" si="47"/>
        <v>275000</v>
      </c>
      <c r="K884" s="5" t="str">
        <f>VLOOKUP(C884,[1]master_data!$A$2:$E$495,5,FALSE)</f>
        <v>Ikan</v>
      </c>
      <c r="L884" s="5" t="s">
        <v>471</v>
      </c>
    </row>
    <row r="885" spans="1:12" ht="12" customHeight="1" x14ac:dyDescent="0.25">
      <c r="A885" s="6">
        <v>44834</v>
      </c>
      <c r="B885" s="1">
        <v>2203678</v>
      </c>
      <c r="C885" s="5" t="s">
        <v>431</v>
      </c>
      <c r="D885" s="5" t="str">
        <f>VLOOKUP(C885,[1]master_data!$A$2:$E$495,2,FALSE)</f>
        <v>MANFISH B</v>
      </c>
      <c r="E885" s="5">
        <v>10</v>
      </c>
      <c r="F885" s="5">
        <f>VLOOKUP(C885,[1]master_data!$A$2:$E$495,3,FALSE)</f>
        <v>4000</v>
      </c>
      <c r="G885" s="5">
        <f>VLOOKUP(C885,[1]master_data!$A$2:$E$495,4,FALSE)</f>
        <v>10000</v>
      </c>
      <c r="H885" s="5">
        <f t="shared" si="45"/>
        <v>40000</v>
      </c>
      <c r="I885" s="5">
        <f t="shared" si="46"/>
        <v>100000</v>
      </c>
      <c r="J885" s="5">
        <f t="shared" si="47"/>
        <v>60000</v>
      </c>
      <c r="K885" s="5" t="str">
        <f>VLOOKUP(C885,[1]master_data!$A$2:$E$495,5,FALSE)</f>
        <v>Ikan</v>
      </c>
      <c r="L885" s="5" t="s">
        <v>471</v>
      </c>
    </row>
    <row r="886" spans="1:12" ht="12" customHeight="1" x14ac:dyDescent="0.25">
      <c r="A886" s="6">
        <v>44834</v>
      </c>
      <c r="B886" s="1">
        <v>2203677</v>
      </c>
      <c r="C886" s="5" t="s">
        <v>408</v>
      </c>
      <c r="D886" s="5" t="str">
        <f>VLOOKUP(C886,[1]master_data!$A$2:$E$495,2,FALSE)</f>
        <v>CATFISH</v>
      </c>
      <c r="E886" s="5">
        <v>2</v>
      </c>
      <c r="F886" s="5">
        <f>VLOOKUP(C886,[1]master_data!$A$2:$E$495,3,FALSE)</f>
        <v>20000</v>
      </c>
      <c r="G886" s="5">
        <f>VLOOKUP(C886,[1]master_data!$A$2:$E$495,4,FALSE)</f>
        <v>50000</v>
      </c>
      <c r="H886" s="5">
        <f t="shared" si="45"/>
        <v>40000</v>
      </c>
      <c r="I886" s="5">
        <f t="shared" si="46"/>
        <v>100000</v>
      </c>
      <c r="J886" s="5">
        <f t="shared" si="47"/>
        <v>60000</v>
      </c>
      <c r="K886" s="5" t="str">
        <f>VLOOKUP(C886,[1]master_data!$A$2:$E$495,5,FALSE)</f>
        <v>Ikan</v>
      </c>
      <c r="L886" s="5" t="s">
        <v>471</v>
      </c>
    </row>
    <row r="887" spans="1:12" ht="12" customHeight="1" x14ac:dyDescent="0.25">
      <c r="A887" s="6">
        <v>44834</v>
      </c>
      <c r="B887" s="1">
        <v>2203676</v>
      </c>
      <c r="C887" s="5" t="s">
        <v>290</v>
      </c>
      <c r="D887" s="5" t="str">
        <f>VLOOKUP(C887,[1]master_data!$A$2:$E$495,2,FALSE)</f>
        <v>MAINAN KINCIR DOUBEL</v>
      </c>
      <c r="E887" s="5">
        <v>1</v>
      </c>
      <c r="F887" s="5">
        <f>VLOOKUP(C887,[1]master_data!$A$2:$E$495,3,FALSE)</f>
        <v>17000</v>
      </c>
      <c r="G887" s="5">
        <f>VLOOKUP(C887,[1]master_data!$A$2:$E$495,4,FALSE)</f>
        <v>30000</v>
      </c>
      <c r="H887" s="5">
        <f t="shared" si="45"/>
        <v>17000</v>
      </c>
      <c r="I887" s="5">
        <f t="shared" si="46"/>
        <v>30000</v>
      </c>
      <c r="J887" s="5">
        <f t="shared" si="47"/>
        <v>13000</v>
      </c>
      <c r="K887" s="5" t="str">
        <f>VLOOKUP(C887,[1]master_data!$A$2:$E$495,5,FALSE)</f>
        <v>Aksesoris</v>
      </c>
      <c r="L887" s="5" t="s">
        <v>471</v>
      </c>
    </row>
    <row r="888" spans="1:12" ht="12" customHeight="1" x14ac:dyDescent="0.25">
      <c r="A888" s="6">
        <v>44833</v>
      </c>
      <c r="B888" s="1">
        <v>2203675</v>
      </c>
      <c r="C888" s="5" t="s">
        <v>452</v>
      </c>
      <c r="D888" s="5" t="str">
        <f>VLOOKUP(C888,[1]master_data!$A$2:$E$495,2,FALSE)</f>
        <v>SNOW WHITE</v>
      </c>
      <c r="E888" s="5">
        <v>2</v>
      </c>
      <c r="F888" s="5">
        <f>VLOOKUP(C888,[1]master_data!$A$2:$E$495,3,FALSE)</f>
        <v>1500</v>
      </c>
      <c r="G888" s="5">
        <f>VLOOKUP(C888,[1]master_data!$A$2:$E$495,4,FALSE)</f>
        <v>3000</v>
      </c>
      <c r="H888" s="5">
        <f t="shared" si="45"/>
        <v>3000</v>
      </c>
      <c r="I888" s="5">
        <f t="shared" si="46"/>
        <v>6000</v>
      </c>
      <c r="J888" s="5">
        <f t="shared" si="47"/>
        <v>3000</v>
      </c>
      <c r="K888" s="5" t="str">
        <f>VLOOKUP(C888,[1]master_data!$A$2:$E$495,5,FALSE)</f>
        <v>Ikan</v>
      </c>
      <c r="L888" s="5" t="s">
        <v>471</v>
      </c>
    </row>
    <row r="889" spans="1:12" ht="12" customHeight="1" x14ac:dyDescent="0.25">
      <c r="A889" s="6">
        <v>44833</v>
      </c>
      <c r="B889" s="1">
        <v>2203674</v>
      </c>
      <c r="C889" s="5" t="s">
        <v>408</v>
      </c>
      <c r="D889" s="5" t="str">
        <f>VLOOKUP(C889,[1]master_data!$A$2:$E$495,2,FALSE)</f>
        <v>CATFISH</v>
      </c>
      <c r="E889" s="5">
        <v>2</v>
      </c>
      <c r="F889" s="5">
        <f>VLOOKUP(C889,[1]master_data!$A$2:$E$495,3,FALSE)</f>
        <v>20000</v>
      </c>
      <c r="G889" s="5">
        <f>VLOOKUP(C889,[1]master_data!$A$2:$E$495,4,FALSE)</f>
        <v>50000</v>
      </c>
      <c r="H889" s="5">
        <f t="shared" si="45"/>
        <v>40000</v>
      </c>
      <c r="I889" s="5">
        <f t="shared" si="46"/>
        <v>100000</v>
      </c>
      <c r="J889" s="5">
        <f t="shared" si="47"/>
        <v>60000</v>
      </c>
      <c r="K889" s="5" t="str">
        <f>VLOOKUP(C889,[1]master_data!$A$2:$E$495,5,FALSE)</f>
        <v>Ikan</v>
      </c>
      <c r="L889" s="5" t="s">
        <v>471</v>
      </c>
    </row>
    <row r="890" spans="1:12" ht="12" customHeight="1" x14ac:dyDescent="0.25">
      <c r="A890" s="6">
        <v>44833</v>
      </c>
      <c r="B890" s="1">
        <v>2203673</v>
      </c>
      <c r="C890" s="5" t="s">
        <v>194</v>
      </c>
      <c r="D890" s="5" t="str">
        <f>VLOOKUP(C890,[1]master_data!$A$2:$E$495,2,FALSE)</f>
        <v>LED KANDILA DnN ECO 30 CM</v>
      </c>
      <c r="E890" s="5">
        <v>1</v>
      </c>
      <c r="F890" s="5">
        <f>VLOOKUP(C890,[1]master_data!$A$2:$E$495,3,FALSE)</f>
        <v>48000</v>
      </c>
      <c r="G890" s="5">
        <f>VLOOKUP(C890,[1]master_data!$A$2:$E$495,4,FALSE)</f>
        <v>70000</v>
      </c>
      <c r="H890" s="5">
        <f t="shared" si="45"/>
        <v>48000</v>
      </c>
      <c r="I890" s="5">
        <f t="shared" si="46"/>
        <v>70000</v>
      </c>
      <c r="J890" s="5">
        <f t="shared" si="47"/>
        <v>22000</v>
      </c>
      <c r="K890" s="5" t="str">
        <f>VLOOKUP(C890,[1]master_data!$A$2:$E$495,5,FALSE)</f>
        <v>Aksesoris</v>
      </c>
      <c r="L890" s="5" t="s">
        <v>471</v>
      </c>
    </row>
    <row r="891" spans="1:12" ht="12" customHeight="1" x14ac:dyDescent="0.25">
      <c r="A891" s="6">
        <v>44833</v>
      </c>
      <c r="B891" s="1">
        <v>2203672</v>
      </c>
      <c r="C891" s="5" t="s">
        <v>258</v>
      </c>
      <c r="D891" s="5" t="str">
        <f>VLOOKUP(C891,[1]master_data!$A$2:$E$495,2,FALSE)</f>
        <v>BIOBOL</v>
      </c>
      <c r="E891" s="5">
        <v>20</v>
      </c>
      <c r="F891" s="5">
        <f>VLOOKUP(C891,[1]master_data!$A$2:$E$495,3,FALSE)</f>
        <v>4000</v>
      </c>
      <c r="G891" s="5">
        <f>VLOOKUP(C891,[1]master_data!$A$2:$E$495,4,FALSE)</f>
        <v>7500</v>
      </c>
      <c r="H891" s="5">
        <f t="shared" si="45"/>
        <v>80000</v>
      </c>
      <c r="I891" s="5">
        <f t="shared" si="46"/>
        <v>150000</v>
      </c>
      <c r="J891" s="5">
        <f t="shared" si="47"/>
        <v>70000</v>
      </c>
      <c r="K891" s="5" t="str">
        <f>VLOOKUP(C891,[1]master_data!$A$2:$E$495,5,FALSE)</f>
        <v>Aksesoris</v>
      </c>
      <c r="L891" s="5" t="s">
        <v>471</v>
      </c>
    </row>
    <row r="892" spans="1:12" ht="12" customHeight="1" x14ac:dyDescent="0.25">
      <c r="A892" s="6">
        <v>44833</v>
      </c>
      <c r="B892" s="1">
        <v>2203671</v>
      </c>
      <c r="C892" s="5" t="s">
        <v>47</v>
      </c>
      <c r="D892" s="5" t="str">
        <f>VLOOKUP(C892,[1]master_data!$A$2:$E$495,2,FALSE)</f>
        <v>MESIN NIKITA 1200</v>
      </c>
      <c r="E892" s="5">
        <v>10</v>
      </c>
      <c r="F892" s="5">
        <f>VLOOKUP(C892,[1]master_data!$A$2:$E$495,3,FALSE)</f>
        <v>24000</v>
      </c>
      <c r="G892" s="5">
        <f>VLOOKUP(C892,[1]master_data!$A$2:$E$495,4,FALSE)</f>
        <v>35000</v>
      </c>
      <c r="H892" s="5">
        <f t="shared" si="45"/>
        <v>240000</v>
      </c>
      <c r="I892" s="5">
        <f t="shared" si="46"/>
        <v>350000</v>
      </c>
      <c r="J892" s="5">
        <f t="shared" si="47"/>
        <v>110000</v>
      </c>
      <c r="K892" s="5" t="str">
        <f>VLOOKUP(C892,[1]master_data!$A$2:$E$495,5,FALSE)</f>
        <v>Aksesoris</v>
      </c>
      <c r="L892" s="5" t="s">
        <v>471</v>
      </c>
    </row>
    <row r="893" spans="1:12" ht="12" customHeight="1" x14ac:dyDescent="0.25">
      <c r="A893" s="6">
        <v>44833</v>
      </c>
      <c r="B893" s="1">
        <v>2203670</v>
      </c>
      <c r="C893" s="5" t="s">
        <v>212</v>
      </c>
      <c r="D893" s="5" t="str">
        <f>VLOOKUP(C893,[1]master_data!$A$2:$E$495,2,FALSE)</f>
        <v>UDANG KERING</v>
      </c>
      <c r="E893" s="5">
        <v>10</v>
      </c>
      <c r="F893" s="5">
        <f>VLOOKUP(C893,[1]master_data!$A$2:$E$495,3,FALSE)</f>
        <v>4500</v>
      </c>
      <c r="G893" s="5">
        <f>VLOOKUP(C893,[1]master_data!$A$2:$E$495,4,FALSE)</f>
        <v>10000</v>
      </c>
      <c r="H893" s="5">
        <f t="shared" si="45"/>
        <v>45000</v>
      </c>
      <c r="I893" s="5">
        <f t="shared" si="46"/>
        <v>100000</v>
      </c>
      <c r="J893" s="5">
        <f t="shared" si="47"/>
        <v>55000</v>
      </c>
      <c r="K893" s="5" t="str">
        <f>VLOOKUP(C893,[1]master_data!$A$2:$E$495,5,FALSE)</f>
        <v>Aksesoris</v>
      </c>
      <c r="L893" s="5" t="s">
        <v>471</v>
      </c>
    </row>
    <row r="894" spans="1:12" ht="12" customHeight="1" x14ac:dyDescent="0.25">
      <c r="A894" s="6">
        <v>44833</v>
      </c>
      <c r="B894" s="1">
        <v>2203669</v>
      </c>
      <c r="C894" s="5" t="s">
        <v>14</v>
      </c>
      <c r="D894" s="5" t="str">
        <f>VLOOKUP(C894,[1]master_data!$A$2:$E$495,2,FALSE)</f>
        <v>MESIN YANG 106</v>
      </c>
      <c r="E894" s="5">
        <v>1</v>
      </c>
      <c r="F894" s="5">
        <f>VLOOKUP(C894,[1]master_data!$A$2:$E$495,3,FALSE)</f>
        <v>220000</v>
      </c>
      <c r="G894" s="5">
        <f>VLOOKUP(C894,[1]master_data!$A$2:$E$495,4,FALSE)</f>
        <v>300000</v>
      </c>
      <c r="H894" s="5">
        <f t="shared" si="45"/>
        <v>220000</v>
      </c>
      <c r="I894" s="5">
        <f t="shared" si="46"/>
        <v>300000</v>
      </c>
      <c r="J894" s="5">
        <f t="shared" si="47"/>
        <v>80000</v>
      </c>
      <c r="K894" s="5" t="str">
        <f>VLOOKUP(C894,[1]master_data!$A$2:$E$495,5,FALSE)</f>
        <v>Aksesoris</v>
      </c>
      <c r="L894" s="5" t="s">
        <v>471</v>
      </c>
    </row>
    <row r="895" spans="1:12" ht="12" customHeight="1" x14ac:dyDescent="0.25">
      <c r="A895" s="6">
        <v>44833</v>
      </c>
      <c r="B895" s="1">
        <v>2203668</v>
      </c>
      <c r="C895" s="5" t="s">
        <v>403</v>
      </c>
      <c r="D895" s="5" t="str">
        <f>VLOOKUP(C895,[1]master_data!$A$2:$E$495,2,FALSE)</f>
        <v>CHANNA BLUE PULCHRA K</v>
      </c>
      <c r="E895" s="5">
        <v>2</v>
      </c>
      <c r="F895" s="5">
        <f>VLOOKUP(C895,[1]master_data!$A$2:$E$495,3,FALSE)</f>
        <v>25000</v>
      </c>
      <c r="G895" s="5">
        <f>VLOOKUP(C895,[1]master_data!$A$2:$E$495,4,FALSE)</f>
        <v>50000</v>
      </c>
      <c r="H895" s="5">
        <f t="shared" si="45"/>
        <v>50000</v>
      </c>
      <c r="I895" s="5">
        <f t="shared" si="46"/>
        <v>100000</v>
      </c>
      <c r="J895" s="5">
        <f t="shared" si="47"/>
        <v>50000</v>
      </c>
      <c r="K895" s="5" t="str">
        <f>VLOOKUP(C895,[1]master_data!$A$2:$E$495,5,FALSE)</f>
        <v>Ikan</v>
      </c>
      <c r="L895" s="5" t="s">
        <v>471</v>
      </c>
    </row>
    <row r="896" spans="1:12" ht="12" customHeight="1" x14ac:dyDescent="0.25">
      <c r="A896" s="6">
        <v>44832</v>
      </c>
      <c r="B896" s="1">
        <v>2203667</v>
      </c>
      <c r="C896" s="5" t="s">
        <v>399</v>
      </c>
      <c r="D896" s="5" t="str">
        <f>VLOOKUP(C896,[1]master_data!$A$2:$E$495,2,FALSE)</f>
        <v>BUENOS AIRES TETRA</v>
      </c>
      <c r="E896" s="5">
        <v>20</v>
      </c>
      <c r="F896" s="5">
        <f>VLOOKUP(C896,[1]master_data!$A$2:$E$495,3,FALSE)</f>
        <v>800</v>
      </c>
      <c r="G896" s="5">
        <f>VLOOKUP(C896,[1]master_data!$A$2:$E$495,4,FALSE)</f>
        <v>2000</v>
      </c>
      <c r="H896" s="5">
        <f t="shared" si="45"/>
        <v>16000</v>
      </c>
      <c r="I896" s="5">
        <f t="shared" si="46"/>
        <v>40000</v>
      </c>
      <c r="J896" s="5">
        <f t="shared" si="47"/>
        <v>24000</v>
      </c>
      <c r="K896" s="5" t="str">
        <f>VLOOKUP(C896,[1]master_data!$A$2:$E$495,5,FALSE)</f>
        <v>Ikan</v>
      </c>
      <c r="L896" s="5" t="s">
        <v>471</v>
      </c>
    </row>
    <row r="897" spans="1:12" ht="12" customHeight="1" x14ac:dyDescent="0.25">
      <c r="A897" s="6">
        <v>44832</v>
      </c>
      <c r="B897" s="1">
        <v>2203666</v>
      </c>
      <c r="C897" s="5" t="s">
        <v>454</v>
      </c>
      <c r="D897" s="5" t="str">
        <f>VLOOKUP(C897,[1]master_data!$A$2:$E$495,2,FALSE)</f>
        <v>SYNODONTI B</v>
      </c>
      <c r="E897" s="5">
        <v>30</v>
      </c>
      <c r="F897" s="5">
        <f>VLOOKUP(C897,[1]master_data!$A$2:$E$495,3,FALSE)</f>
        <v>4000</v>
      </c>
      <c r="G897" s="5">
        <f>VLOOKUP(C897,[1]master_data!$A$2:$E$495,4,FALSE)</f>
        <v>10000</v>
      </c>
      <c r="H897" s="5">
        <f t="shared" si="45"/>
        <v>120000</v>
      </c>
      <c r="I897" s="5">
        <f t="shared" si="46"/>
        <v>300000</v>
      </c>
      <c r="J897" s="5">
        <f t="shared" si="47"/>
        <v>180000</v>
      </c>
      <c r="K897" s="5" t="str">
        <f>VLOOKUP(C897,[1]master_data!$A$2:$E$495,5,FALSE)</f>
        <v>Ikan</v>
      </c>
      <c r="L897" s="5" t="s">
        <v>471</v>
      </c>
    </row>
    <row r="898" spans="1:12" ht="12" customHeight="1" x14ac:dyDescent="0.25">
      <c r="A898" s="6">
        <v>44832</v>
      </c>
      <c r="B898" s="1">
        <v>2203665</v>
      </c>
      <c r="C898" s="5" t="s">
        <v>439</v>
      </c>
      <c r="D898" s="5" t="str">
        <f>VLOOKUP(C898,[1]master_data!$A$2:$E$495,2,FALSE)</f>
        <v>NEON</v>
      </c>
      <c r="E898" s="5">
        <v>13</v>
      </c>
      <c r="F898" s="5">
        <f>VLOOKUP(C898,[1]master_data!$A$2:$E$495,3,FALSE)</f>
        <v>1250</v>
      </c>
      <c r="G898" s="5">
        <f>VLOOKUP(C898,[1]master_data!$A$2:$E$495,4,FALSE)</f>
        <v>5000</v>
      </c>
      <c r="H898" s="5">
        <f t="shared" si="45"/>
        <v>16250</v>
      </c>
      <c r="I898" s="5">
        <f t="shared" si="46"/>
        <v>65000</v>
      </c>
      <c r="J898" s="5">
        <f t="shared" si="47"/>
        <v>48750</v>
      </c>
      <c r="K898" s="5" t="str">
        <f>VLOOKUP(C898,[1]master_data!$A$2:$E$495,5,FALSE)</f>
        <v>Ikan</v>
      </c>
      <c r="L898" s="5" t="s">
        <v>471</v>
      </c>
    </row>
    <row r="899" spans="1:12" ht="12" customHeight="1" x14ac:dyDescent="0.25">
      <c r="A899" s="6">
        <v>44832</v>
      </c>
      <c r="B899" s="1">
        <v>2203664</v>
      </c>
      <c r="C899" s="5" t="s">
        <v>461</v>
      </c>
      <c r="D899" s="5" t="str">
        <f>VLOOKUP(C899,[1]master_data!$A$2:$E$495,2,FALSE)</f>
        <v>SEPAT</v>
      </c>
      <c r="E899" s="5">
        <v>20</v>
      </c>
      <c r="F899" s="5">
        <f>VLOOKUP(C899,[1]master_data!$A$2:$E$495,3,FALSE)</f>
        <v>600</v>
      </c>
      <c r="G899" s="5">
        <f>VLOOKUP(C899,[1]master_data!$A$2:$E$495,4,FALSE)</f>
        <v>2000</v>
      </c>
      <c r="H899" s="5">
        <f t="shared" si="45"/>
        <v>12000</v>
      </c>
      <c r="I899" s="5">
        <f t="shared" si="46"/>
        <v>40000</v>
      </c>
      <c r="J899" s="5">
        <f t="shared" si="47"/>
        <v>28000</v>
      </c>
      <c r="K899" s="5" t="str">
        <f>VLOOKUP(C899,[1]master_data!$A$2:$E$495,5,FALSE)</f>
        <v>Ikan</v>
      </c>
      <c r="L899" s="5" t="s">
        <v>471</v>
      </c>
    </row>
    <row r="900" spans="1:12" ht="12" customHeight="1" x14ac:dyDescent="0.25">
      <c r="A900" s="6">
        <v>44832</v>
      </c>
      <c r="B900" s="1">
        <v>2203663</v>
      </c>
      <c r="C900" s="5" t="s">
        <v>302</v>
      </c>
      <c r="D900" s="5" t="str">
        <f>VLOOKUP(C900,[1]master_data!$A$2:$E$495,2,FALSE)</f>
        <v>OBAT QUARANTINI MED</v>
      </c>
      <c r="E900" s="5">
        <v>5</v>
      </c>
      <c r="F900" s="5">
        <f>VLOOKUP(C900,[1]master_data!$A$2:$E$495,3,FALSE)</f>
        <v>37000</v>
      </c>
      <c r="G900" s="5">
        <f>VLOOKUP(C900,[1]master_data!$A$2:$E$495,4,FALSE)</f>
        <v>60000</v>
      </c>
      <c r="H900" s="5">
        <f t="shared" si="45"/>
        <v>185000</v>
      </c>
      <c r="I900" s="5">
        <f t="shared" si="46"/>
        <v>300000</v>
      </c>
      <c r="J900" s="5">
        <f t="shared" si="47"/>
        <v>115000</v>
      </c>
      <c r="K900" s="5" t="str">
        <f>VLOOKUP(C900,[1]master_data!$A$2:$E$495,5,FALSE)</f>
        <v>Aksesoris</v>
      </c>
      <c r="L900" s="5" t="s">
        <v>471</v>
      </c>
    </row>
    <row r="901" spans="1:12" ht="12" customHeight="1" x14ac:dyDescent="0.25">
      <c r="A901" s="6">
        <v>44832</v>
      </c>
      <c r="B901" s="1">
        <v>2203662</v>
      </c>
      <c r="C901" s="5" t="s">
        <v>188</v>
      </c>
      <c r="D901" s="5" t="str">
        <f>VLOOKUP(C901,[1]master_data!$A$2:$E$495,2,FALSE)</f>
        <v>LED KANDILA PRO RED ECO 30 CM</v>
      </c>
      <c r="E901" s="5">
        <v>2</v>
      </c>
      <c r="F901" s="5">
        <f>VLOOKUP(C901,[1]master_data!$A$2:$E$495,3,FALSE)</f>
        <v>40000</v>
      </c>
      <c r="G901" s="5">
        <f>VLOOKUP(C901,[1]master_data!$A$2:$E$495,4,FALSE)</f>
        <v>60000</v>
      </c>
      <c r="H901" s="5">
        <f t="shared" ref="H901:H964" si="48">E901*F901</f>
        <v>80000</v>
      </c>
      <c r="I901" s="5">
        <f t="shared" ref="I901:I964" si="49">E901*G901</f>
        <v>120000</v>
      </c>
      <c r="J901" s="5">
        <f t="shared" ref="J901:J964" si="50">I901-H901</f>
        <v>40000</v>
      </c>
      <c r="K901" s="5" t="str">
        <f>VLOOKUP(C901,[1]master_data!$A$2:$E$495,5,FALSE)</f>
        <v>Aksesoris</v>
      </c>
      <c r="L901" s="5" t="s">
        <v>471</v>
      </c>
    </row>
    <row r="902" spans="1:12" ht="12" customHeight="1" x14ac:dyDescent="0.25">
      <c r="A902" s="6">
        <v>44832</v>
      </c>
      <c r="B902" s="1">
        <v>2203661</v>
      </c>
      <c r="C902" s="5" t="s">
        <v>412</v>
      </c>
      <c r="D902" s="5" t="str">
        <f>VLOOKUP(C902,[1]master_data!$A$2:$E$495,2,FALSE)</f>
        <v>HIU TAWAR</v>
      </c>
      <c r="E902" s="5">
        <v>10</v>
      </c>
      <c r="F902" s="5">
        <f>VLOOKUP(C902,[1]master_data!$A$2:$E$495,3,FALSE)</f>
        <v>600</v>
      </c>
      <c r="G902" s="5">
        <f>VLOOKUP(C902,[1]master_data!$A$2:$E$495,4,FALSE)</f>
        <v>2000</v>
      </c>
      <c r="H902" s="5">
        <f t="shared" si="48"/>
        <v>6000</v>
      </c>
      <c r="I902" s="5">
        <f t="shared" si="49"/>
        <v>20000</v>
      </c>
      <c r="J902" s="5">
        <f t="shared" si="50"/>
        <v>14000</v>
      </c>
      <c r="K902" s="5" t="str">
        <f>VLOOKUP(C902,[1]master_data!$A$2:$E$495,5,FALSE)</f>
        <v>Ikan</v>
      </c>
      <c r="L902" s="5" t="s">
        <v>471</v>
      </c>
    </row>
    <row r="903" spans="1:12" ht="12" customHeight="1" x14ac:dyDescent="0.25">
      <c r="A903" s="6">
        <v>44832</v>
      </c>
      <c r="B903" s="1">
        <v>2203660</v>
      </c>
      <c r="C903" s="5" t="s">
        <v>47</v>
      </c>
      <c r="D903" s="5" t="str">
        <f>VLOOKUP(C903,[1]master_data!$A$2:$E$495,2,FALSE)</f>
        <v>MESIN NIKITA 1200</v>
      </c>
      <c r="E903" s="5">
        <v>1</v>
      </c>
      <c r="F903" s="5">
        <f>VLOOKUP(C903,[1]master_data!$A$2:$E$495,3,FALSE)</f>
        <v>24000</v>
      </c>
      <c r="G903" s="5">
        <f>VLOOKUP(C903,[1]master_data!$A$2:$E$495,4,FALSE)</f>
        <v>35000</v>
      </c>
      <c r="H903" s="5">
        <f t="shared" si="48"/>
        <v>24000</v>
      </c>
      <c r="I903" s="5">
        <f t="shared" si="49"/>
        <v>35000</v>
      </c>
      <c r="J903" s="5">
        <f t="shared" si="50"/>
        <v>11000</v>
      </c>
      <c r="K903" s="5" t="str">
        <f>VLOOKUP(C903,[1]master_data!$A$2:$E$495,5,FALSE)</f>
        <v>Aksesoris</v>
      </c>
      <c r="L903" s="5" t="s">
        <v>471</v>
      </c>
    </row>
    <row r="904" spans="1:12" ht="12" customHeight="1" x14ac:dyDescent="0.25">
      <c r="A904" s="6">
        <v>44831</v>
      </c>
      <c r="B904" s="1">
        <v>2203659</v>
      </c>
      <c r="C904" s="5" t="s">
        <v>449</v>
      </c>
      <c r="D904" s="5" t="str">
        <f>VLOOKUP(C904,[1]master_data!$A$2:$E$495,2,FALSE)</f>
        <v>CHANNA RED BARITO B</v>
      </c>
      <c r="E904" s="5">
        <v>2</v>
      </c>
      <c r="F904" s="5">
        <f>VLOOKUP(C904,[1]master_data!$A$2:$E$495,3,FALSE)</f>
        <v>120000</v>
      </c>
      <c r="G904" s="5">
        <f>VLOOKUP(C904,[1]master_data!$A$2:$E$495,4,FALSE)</f>
        <v>200000</v>
      </c>
      <c r="H904" s="5">
        <f t="shared" si="48"/>
        <v>240000</v>
      </c>
      <c r="I904" s="5">
        <f t="shared" si="49"/>
        <v>400000</v>
      </c>
      <c r="J904" s="5">
        <f t="shared" si="50"/>
        <v>160000</v>
      </c>
      <c r="K904" s="5" t="str">
        <f>VLOOKUP(C904,[1]master_data!$A$2:$E$495,5,FALSE)</f>
        <v>Ikan</v>
      </c>
      <c r="L904" s="5" t="s">
        <v>471</v>
      </c>
    </row>
    <row r="905" spans="1:12" ht="12" customHeight="1" x14ac:dyDescent="0.25">
      <c r="A905" s="6">
        <v>44831</v>
      </c>
      <c r="B905" s="1">
        <v>2203658</v>
      </c>
      <c r="C905" s="5" t="s">
        <v>456</v>
      </c>
      <c r="D905" s="5" t="str">
        <f>VLOOKUP(C905,[1]master_data!$A$2:$E$495,2,FALSE)</f>
        <v>TOMAN</v>
      </c>
      <c r="E905" s="5">
        <v>1</v>
      </c>
      <c r="F905" s="5">
        <f>VLOOKUP(C905,[1]master_data!$A$2:$E$495,3,FALSE)</f>
        <v>10000</v>
      </c>
      <c r="G905" s="5">
        <f>VLOOKUP(C905,[1]master_data!$A$2:$E$495,4,FALSE)</f>
        <v>25000</v>
      </c>
      <c r="H905" s="5">
        <f t="shared" si="48"/>
        <v>10000</v>
      </c>
      <c r="I905" s="5">
        <f t="shared" si="49"/>
        <v>25000</v>
      </c>
      <c r="J905" s="5">
        <f t="shared" si="50"/>
        <v>15000</v>
      </c>
      <c r="K905" s="5" t="str">
        <f>VLOOKUP(C905,[1]master_data!$A$2:$E$495,5,FALSE)</f>
        <v>Ikan</v>
      </c>
      <c r="L905" s="5" t="s">
        <v>471</v>
      </c>
    </row>
    <row r="906" spans="1:12" ht="12" customHeight="1" x14ac:dyDescent="0.25">
      <c r="A906" s="6">
        <v>44831</v>
      </c>
      <c r="B906" s="1">
        <v>2203657</v>
      </c>
      <c r="C906" s="5" t="s">
        <v>446</v>
      </c>
      <c r="D906" s="5" t="str">
        <f>VLOOKUP(C906,[1]master_data!$A$2:$E$495,2,FALSE)</f>
        <v>REDFIN HITAM</v>
      </c>
      <c r="E906" s="5">
        <v>30</v>
      </c>
      <c r="F906" s="5">
        <f>VLOOKUP(C906,[1]master_data!$A$2:$E$495,3,FALSE)</f>
        <v>1500</v>
      </c>
      <c r="G906" s="5">
        <f>VLOOKUP(C906,[1]master_data!$A$2:$E$495,4,FALSE)</f>
        <v>4000</v>
      </c>
      <c r="H906" s="5">
        <f t="shared" si="48"/>
        <v>45000</v>
      </c>
      <c r="I906" s="5">
        <f t="shared" si="49"/>
        <v>120000</v>
      </c>
      <c r="J906" s="5">
        <f t="shared" si="50"/>
        <v>75000</v>
      </c>
      <c r="K906" s="5" t="str">
        <f>VLOOKUP(C906,[1]master_data!$A$2:$E$495,5,FALSE)</f>
        <v>Ikan</v>
      </c>
      <c r="L906" s="5" t="s">
        <v>471</v>
      </c>
    </row>
    <row r="907" spans="1:12" ht="12" customHeight="1" x14ac:dyDescent="0.25">
      <c r="A907" s="6">
        <v>44831</v>
      </c>
      <c r="B907" s="1">
        <v>2203656</v>
      </c>
      <c r="C907" s="5" t="s">
        <v>298</v>
      </c>
      <c r="D907" s="5" t="str">
        <f>VLOOKUP(C907,[1]master_data!$A$2:$E$495,2,FALSE)</f>
        <v>MAGNET L</v>
      </c>
      <c r="E907" s="5">
        <v>10</v>
      </c>
      <c r="F907" s="5">
        <f>VLOOKUP(C907,[1]master_data!$A$2:$E$495,3,FALSE)</f>
        <v>70000</v>
      </c>
      <c r="G907" s="5">
        <f>VLOOKUP(C907,[1]master_data!$A$2:$E$495,4,FALSE)</f>
        <v>90000</v>
      </c>
      <c r="H907" s="5">
        <f t="shared" si="48"/>
        <v>700000</v>
      </c>
      <c r="I907" s="5">
        <f t="shared" si="49"/>
        <v>900000</v>
      </c>
      <c r="J907" s="5">
        <f t="shared" si="50"/>
        <v>200000</v>
      </c>
      <c r="K907" s="5" t="str">
        <f>VLOOKUP(C907,[1]master_data!$A$2:$E$495,5,FALSE)</f>
        <v>Aksesoris</v>
      </c>
      <c r="L907" s="5" t="s">
        <v>471</v>
      </c>
    </row>
    <row r="908" spans="1:12" ht="12" customHeight="1" x14ac:dyDescent="0.25">
      <c r="A908" s="6">
        <v>44830</v>
      </c>
      <c r="B908" s="1">
        <v>2203655</v>
      </c>
      <c r="C908" s="5" t="s">
        <v>94</v>
      </c>
      <c r="D908" s="5" t="str">
        <f>VLOOKUP(C908,[1]master_data!$A$2:$E$495,2,FALSE)</f>
        <v>MESIN AMARA 105</v>
      </c>
      <c r="E908" s="5">
        <v>2</v>
      </c>
      <c r="F908" s="5">
        <f>VLOOKUP(C908,[1]master_data!$A$2:$E$495,3,FALSE)</f>
        <v>155000</v>
      </c>
      <c r="G908" s="5">
        <f>VLOOKUP(C908,[1]master_data!$A$2:$E$495,4,FALSE)</f>
        <v>200000</v>
      </c>
      <c r="H908" s="5">
        <f t="shared" si="48"/>
        <v>310000</v>
      </c>
      <c r="I908" s="5">
        <f t="shared" si="49"/>
        <v>400000</v>
      </c>
      <c r="J908" s="5">
        <f t="shared" si="50"/>
        <v>90000</v>
      </c>
      <c r="K908" s="5" t="str">
        <f>VLOOKUP(C908,[1]master_data!$A$2:$E$495,5,FALSE)</f>
        <v>Aksesoris</v>
      </c>
      <c r="L908" s="5" t="s">
        <v>471</v>
      </c>
    </row>
    <row r="909" spans="1:12" ht="12" customHeight="1" x14ac:dyDescent="0.25">
      <c r="A909" s="6">
        <v>44830</v>
      </c>
      <c r="B909" s="1">
        <v>2203654</v>
      </c>
      <c r="C909" s="5" t="s">
        <v>462</v>
      </c>
      <c r="D909" s="5" t="str">
        <f>VLOOKUP(C909,[1]master_data!$A$2:$E$495,2,FALSE)</f>
        <v>SEPAT ALBINO</v>
      </c>
      <c r="E909" s="5">
        <v>15</v>
      </c>
      <c r="F909" s="5">
        <f>VLOOKUP(C909,[1]master_data!$A$2:$E$495,3,FALSE)</f>
        <v>2000</v>
      </c>
      <c r="G909" s="5">
        <f>VLOOKUP(C909,[1]master_data!$A$2:$E$495,4,FALSE)</f>
        <v>5000</v>
      </c>
      <c r="H909" s="5">
        <f t="shared" si="48"/>
        <v>30000</v>
      </c>
      <c r="I909" s="5">
        <f t="shared" si="49"/>
        <v>75000</v>
      </c>
      <c r="J909" s="5">
        <f t="shared" si="50"/>
        <v>45000</v>
      </c>
      <c r="K909" s="5" t="str">
        <f>VLOOKUP(C909,[1]master_data!$A$2:$E$495,5,FALSE)</f>
        <v>Ikan</v>
      </c>
      <c r="L909" s="5" t="s">
        <v>471</v>
      </c>
    </row>
    <row r="910" spans="1:12" ht="12" customHeight="1" x14ac:dyDescent="0.25">
      <c r="A910" s="6">
        <v>44830</v>
      </c>
      <c r="B910" s="1">
        <v>2203653</v>
      </c>
      <c r="C910" s="5" t="s">
        <v>462</v>
      </c>
      <c r="D910" s="5" t="str">
        <f>VLOOKUP(C910,[1]master_data!$A$2:$E$495,2,FALSE)</f>
        <v>SEPAT ALBINO</v>
      </c>
      <c r="E910" s="5">
        <v>10</v>
      </c>
      <c r="F910" s="5">
        <f>VLOOKUP(C910,[1]master_data!$A$2:$E$495,3,FALSE)</f>
        <v>2000</v>
      </c>
      <c r="G910" s="5">
        <f>VLOOKUP(C910,[1]master_data!$A$2:$E$495,4,FALSE)</f>
        <v>5000</v>
      </c>
      <c r="H910" s="5">
        <f t="shared" si="48"/>
        <v>20000</v>
      </c>
      <c r="I910" s="5">
        <f t="shared" si="49"/>
        <v>50000</v>
      </c>
      <c r="J910" s="5">
        <f t="shared" si="50"/>
        <v>30000</v>
      </c>
      <c r="K910" s="5" t="str">
        <f>VLOOKUP(C910,[1]master_data!$A$2:$E$495,5,FALSE)</f>
        <v>Ikan</v>
      </c>
      <c r="L910" s="5" t="s">
        <v>471</v>
      </c>
    </row>
    <row r="911" spans="1:12" ht="12" customHeight="1" x14ac:dyDescent="0.25">
      <c r="A911" s="6">
        <v>44830</v>
      </c>
      <c r="B911" s="1">
        <v>2203652</v>
      </c>
      <c r="C911" s="5" t="s">
        <v>403</v>
      </c>
      <c r="D911" s="5" t="str">
        <f>VLOOKUP(C911,[1]master_data!$A$2:$E$495,2,FALSE)</f>
        <v>CHANNA BLUE PULCHRA K</v>
      </c>
      <c r="E911" s="5">
        <v>1</v>
      </c>
      <c r="F911" s="5">
        <f>VLOOKUP(C911,[1]master_data!$A$2:$E$495,3,FALSE)</f>
        <v>25000</v>
      </c>
      <c r="G911" s="5">
        <f>VLOOKUP(C911,[1]master_data!$A$2:$E$495,4,FALSE)</f>
        <v>50000</v>
      </c>
      <c r="H911" s="5">
        <f t="shared" si="48"/>
        <v>25000</v>
      </c>
      <c r="I911" s="5">
        <f t="shared" si="49"/>
        <v>50000</v>
      </c>
      <c r="J911" s="5">
        <f t="shared" si="50"/>
        <v>25000</v>
      </c>
      <c r="K911" s="5" t="str">
        <f>VLOOKUP(C911,[1]master_data!$A$2:$E$495,5,FALSE)</f>
        <v>Ikan</v>
      </c>
      <c r="L911" s="5" t="s">
        <v>471</v>
      </c>
    </row>
    <row r="912" spans="1:12" ht="12" customHeight="1" x14ac:dyDescent="0.25">
      <c r="A912" s="6">
        <v>44830</v>
      </c>
      <c r="B912" s="1">
        <v>2203651</v>
      </c>
      <c r="C912" s="5" t="s">
        <v>450</v>
      </c>
      <c r="D912" s="5" t="str">
        <f>VLOOKUP(C912,[1]master_data!$A$2:$E$495,2,FALSE)</f>
        <v>SUMATRA BIASA</v>
      </c>
      <c r="E912" s="5">
        <v>20</v>
      </c>
      <c r="F912" s="5">
        <f>VLOOKUP(C912,[1]master_data!$A$2:$E$495,3,FALSE)</f>
        <v>800</v>
      </c>
      <c r="G912" s="5">
        <f>VLOOKUP(C912,[1]master_data!$A$2:$E$495,4,FALSE)</f>
        <v>2000</v>
      </c>
      <c r="H912" s="5">
        <f t="shared" si="48"/>
        <v>16000</v>
      </c>
      <c r="I912" s="5">
        <f t="shared" si="49"/>
        <v>40000</v>
      </c>
      <c r="J912" s="5">
        <f t="shared" si="50"/>
        <v>24000</v>
      </c>
      <c r="K912" s="5" t="str">
        <f>VLOOKUP(C912,[1]master_data!$A$2:$E$495,5,FALSE)</f>
        <v>Ikan</v>
      </c>
      <c r="L912" s="5" t="s">
        <v>471</v>
      </c>
    </row>
    <row r="913" spans="1:12" ht="12" customHeight="1" x14ac:dyDescent="0.25">
      <c r="A913" s="6">
        <v>44830</v>
      </c>
      <c r="B913" s="1">
        <v>2203650</v>
      </c>
      <c r="C913" s="5" t="s">
        <v>141</v>
      </c>
      <c r="D913" s="5" t="str">
        <f>VLOOKUP(C913,[1]master_data!$A$2:$E$495,2,FALSE)</f>
        <v>LED YANG HW 30 CM</v>
      </c>
      <c r="E913" s="5">
        <v>2</v>
      </c>
      <c r="F913" s="5">
        <f>VLOOKUP(C913,[1]master_data!$A$2:$E$495,3,FALSE)</f>
        <v>56000</v>
      </c>
      <c r="G913" s="5">
        <f>VLOOKUP(C913,[1]master_data!$A$2:$E$495,4,FALSE)</f>
        <v>75000</v>
      </c>
      <c r="H913" s="5">
        <f t="shared" si="48"/>
        <v>112000</v>
      </c>
      <c r="I913" s="5">
        <f t="shared" si="49"/>
        <v>150000</v>
      </c>
      <c r="J913" s="5">
        <f t="shared" si="50"/>
        <v>38000</v>
      </c>
      <c r="K913" s="5" t="str">
        <f>VLOOKUP(C913,[1]master_data!$A$2:$E$495,5,FALSE)</f>
        <v>Aksesoris</v>
      </c>
      <c r="L913" s="5" t="s">
        <v>471</v>
      </c>
    </row>
    <row r="914" spans="1:12" ht="12" customHeight="1" x14ac:dyDescent="0.25">
      <c r="A914" s="6">
        <v>44830</v>
      </c>
      <c r="B914" s="1">
        <v>2203649</v>
      </c>
      <c r="C914" s="5" t="s">
        <v>429</v>
      </c>
      <c r="D914" s="5" t="str">
        <f>VLOOKUP(C914,[1]master_data!$A$2:$E$495,2,FALSE)</f>
        <v>LOUHAN SUPER</v>
      </c>
      <c r="E914" s="5">
        <v>1</v>
      </c>
      <c r="F914" s="5">
        <f>VLOOKUP(C914,[1]master_data!$A$2:$E$495,3,FALSE)</f>
        <v>300000</v>
      </c>
      <c r="G914" s="5">
        <f>VLOOKUP(C914,[1]master_data!$A$2:$E$495,4,FALSE)</f>
        <v>500000</v>
      </c>
      <c r="H914" s="5">
        <f t="shared" si="48"/>
        <v>300000</v>
      </c>
      <c r="I914" s="5">
        <f t="shared" si="49"/>
        <v>500000</v>
      </c>
      <c r="J914" s="5">
        <f t="shared" si="50"/>
        <v>200000</v>
      </c>
      <c r="K914" s="5" t="str">
        <f>VLOOKUP(C914,[1]master_data!$A$2:$E$495,5,FALSE)</f>
        <v>Ikan</v>
      </c>
      <c r="L914" s="5" t="s">
        <v>471</v>
      </c>
    </row>
    <row r="915" spans="1:12" ht="12" customHeight="1" x14ac:dyDescent="0.25">
      <c r="A915" s="6">
        <v>44829</v>
      </c>
      <c r="B915" s="1">
        <v>2203648</v>
      </c>
      <c r="C915" s="5" t="s">
        <v>391</v>
      </c>
      <c r="D915" s="5" t="str">
        <f>VLOOKUP(C915,[1]master_data!$A$2:$E$495,2,FALSE)</f>
        <v>CHANNA ANDRAO K</v>
      </c>
      <c r="E915" s="5">
        <v>1</v>
      </c>
      <c r="F915" s="5">
        <f>VLOOKUP(C915,[1]master_data!$A$2:$E$495,3,FALSE)</f>
        <v>20000</v>
      </c>
      <c r="G915" s="5">
        <f>VLOOKUP(C915,[1]master_data!$A$2:$E$495,4,FALSE)</f>
        <v>50000</v>
      </c>
      <c r="H915" s="5">
        <f t="shared" si="48"/>
        <v>20000</v>
      </c>
      <c r="I915" s="5">
        <f t="shared" si="49"/>
        <v>50000</v>
      </c>
      <c r="J915" s="5">
        <f t="shared" si="50"/>
        <v>30000</v>
      </c>
      <c r="K915" s="5" t="str">
        <f>VLOOKUP(C915,[1]master_data!$A$2:$E$495,5,FALSE)</f>
        <v>Ikan</v>
      </c>
      <c r="L915" s="5" t="s">
        <v>471</v>
      </c>
    </row>
    <row r="916" spans="1:12" ht="12" customHeight="1" x14ac:dyDescent="0.25">
      <c r="A916" s="6">
        <v>44829</v>
      </c>
      <c r="B916" s="1">
        <v>2203647</v>
      </c>
      <c r="C916" s="5" t="s">
        <v>399</v>
      </c>
      <c r="D916" s="5" t="str">
        <f>VLOOKUP(C916,[1]master_data!$A$2:$E$495,2,FALSE)</f>
        <v>BUENOS AIRES TETRA</v>
      </c>
      <c r="E916" s="5">
        <v>30</v>
      </c>
      <c r="F916" s="5">
        <f>VLOOKUP(C916,[1]master_data!$A$2:$E$495,3,FALSE)</f>
        <v>800</v>
      </c>
      <c r="G916" s="5">
        <f>VLOOKUP(C916,[1]master_data!$A$2:$E$495,4,FALSE)</f>
        <v>2000</v>
      </c>
      <c r="H916" s="5">
        <f t="shared" si="48"/>
        <v>24000</v>
      </c>
      <c r="I916" s="5">
        <f t="shared" si="49"/>
        <v>60000</v>
      </c>
      <c r="J916" s="5">
        <f t="shared" si="50"/>
        <v>36000</v>
      </c>
      <c r="K916" s="5" t="str">
        <f>VLOOKUP(C916,[1]master_data!$A$2:$E$495,5,FALSE)</f>
        <v>Ikan</v>
      </c>
      <c r="L916" s="5" t="s">
        <v>471</v>
      </c>
    </row>
    <row r="917" spans="1:12" ht="12" customHeight="1" x14ac:dyDescent="0.25">
      <c r="A917" s="6">
        <v>44829</v>
      </c>
      <c r="B917" s="1">
        <v>2203646</v>
      </c>
      <c r="C917" s="5" t="s">
        <v>401</v>
      </c>
      <c r="D917" s="5" t="str">
        <f>VLOOKUP(C917,[1]master_data!$A$2:$E$495,2,FALSE)</f>
        <v>BALA BALA B</v>
      </c>
      <c r="E917" s="5">
        <v>5</v>
      </c>
      <c r="F917" s="5">
        <f>VLOOKUP(C917,[1]master_data!$A$2:$E$495,3,FALSE)</f>
        <v>7000</v>
      </c>
      <c r="G917" s="5">
        <f>VLOOKUP(C917,[1]master_data!$A$2:$E$495,4,FALSE)</f>
        <v>15000</v>
      </c>
      <c r="H917" s="5">
        <f t="shared" si="48"/>
        <v>35000</v>
      </c>
      <c r="I917" s="5">
        <f t="shared" si="49"/>
        <v>75000</v>
      </c>
      <c r="J917" s="5">
        <f t="shared" si="50"/>
        <v>40000</v>
      </c>
      <c r="K917" s="5" t="str">
        <f>VLOOKUP(C917,[1]master_data!$A$2:$E$495,5,FALSE)</f>
        <v>Ikan</v>
      </c>
      <c r="L917" s="5" t="s">
        <v>471</v>
      </c>
    </row>
    <row r="918" spans="1:12" ht="12" customHeight="1" x14ac:dyDescent="0.25">
      <c r="A918" s="6">
        <v>44829</v>
      </c>
      <c r="B918" s="1">
        <v>2203645</v>
      </c>
      <c r="C918" s="5" t="s">
        <v>438</v>
      </c>
      <c r="D918" s="5" t="str">
        <f>VLOOKUP(C918,[1]master_data!$A$2:$E$495,2,FALSE)</f>
        <v>NENTINEN</v>
      </c>
      <c r="E918" s="5">
        <v>20</v>
      </c>
      <c r="F918" s="5">
        <f>VLOOKUP(C918,[1]master_data!$A$2:$E$495,3,FALSE)</f>
        <v>1000</v>
      </c>
      <c r="G918" s="5">
        <f>VLOOKUP(C918,[1]master_data!$A$2:$E$495,4,FALSE)</f>
        <v>2500</v>
      </c>
      <c r="H918" s="5">
        <f t="shared" si="48"/>
        <v>20000</v>
      </c>
      <c r="I918" s="5">
        <f t="shared" si="49"/>
        <v>50000</v>
      </c>
      <c r="J918" s="5">
        <f t="shared" si="50"/>
        <v>30000</v>
      </c>
      <c r="K918" s="5" t="str">
        <f>VLOOKUP(C918,[1]master_data!$A$2:$E$495,5,FALSE)</f>
        <v>Ikan</v>
      </c>
      <c r="L918" s="5" t="s">
        <v>471</v>
      </c>
    </row>
    <row r="919" spans="1:12" ht="12" customHeight="1" x14ac:dyDescent="0.25">
      <c r="A919" s="6">
        <v>44829</v>
      </c>
      <c r="B919" s="1">
        <v>2203644</v>
      </c>
      <c r="C919" s="5" t="s">
        <v>448</v>
      </c>
      <c r="D919" s="5" t="str">
        <f>VLOOKUP(C919,[1]master_data!$A$2:$E$495,2,FALSE)</f>
        <v xml:space="preserve"> CHANNA RED BARITO K</v>
      </c>
      <c r="E919" s="5">
        <v>1</v>
      </c>
      <c r="F919" s="5">
        <f>VLOOKUP(C919,[1]master_data!$A$2:$E$495,3,FALSE)</f>
        <v>45000</v>
      </c>
      <c r="G919" s="5">
        <f>VLOOKUP(C919,[1]master_data!$A$2:$E$495,4,FALSE)</f>
        <v>100000</v>
      </c>
      <c r="H919" s="5">
        <f t="shared" si="48"/>
        <v>45000</v>
      </c>
      <c r="I919" s="5">
        <f t="shared" si="49"/>
        <v>100000</v>
      </c>
      <c r="J919" s="5">
        <f t="shared" si="50"/>
        <v>55000</v>
      </c>
      <c r="K919" s="5" t="str">
        <f>VLOOKUP(C919,[1]master_data!$A$2:$E$495,5,FALSE)</f>
        <v>Ikan</v>
      </c>
      <c r="L919" s="5" t="s">
        <v>471</v>
      </c>
    </row>
    <row r="920" spans="1:12" ht="12" customHeight="1" x14ac:dyDescent="0.25">
      <c r="A920" s="6">
        <v>44829</v>
      </c>
      <c r="B920" s="1">
        <v>2203643</v>
      </c>
      <c r="C920" s="5" t="s">
        <v>409</v>
      </c>
      <c r="D920" s="5" t="str">
        <f>VLOOKUP(C920,[1]master_data!$A$2:$E$495,2,FALSE)</f>
        <v>GOLD FISH</v>
      </c>
      <c r="E920" s="5">
        <v>10</v>
      </c>
      <c r="F920" s="5">
        <f>VLOOKUP(C920,[1]master_data!$A$2:$E$495,3,FALSE)</f>
        <v>800</v>
      </c>
      <c r="G920" s="5">
        <f>VLOOKUP(C920,[1]master_data!$A$2:$E$495,4,FALSE)</f>
        <v>2000</v>
      </c>
      <c r="H920" s="5">
        <f t="shared" si="48"/>
        <v>8000</v>
      </c>
      <c r="I920" s="5">
        <f t="shared" si="49"/>
        <v>20000</v>
      </c>
      <c r="J920" s="5">
        <f t="shared" si="50"/>
        <v>12000</v>
      </c>
      <c r="K920" s="5" t="str">
        <f>VLOOKUP(C920,[1]master_data!$A$2:$E$495,5,FALSE)</f>
        <v>Ikan</v>
      </c>
      <c r="L920" s="5" t="s">
        <v>471</v>
      </c>
    </row>
    <row r="921" spans="1:12" ht="12" customHeight="1" x14ac:dyDescent="0.25">
      <c r="A921" s="6">
        <v>44829</v>
      </c>
      <c r="B921" s="1">
        <v>2203642</v>
      </c>
      <c r="C921" s="5" t="s">
        <v>421</v>
      </c>
      <c r="D921" s="5" t="str">
        <f>VLOOKUP(C921,[1]master_data!$A$2:$E$495,2,FALSE)</f>
        <v>KOMET PAKAN</v>
      </c>
      <c r="E921" s="5">
        <v>15</v>
      </c>
      <c r="F921" s="5">
        <f>VLOOKUP(C921,[1]master_data!$A$2:$E$495,3,FALSE)</f>
        <v>300</v>
      </c>
      <c r="G921" s="5">
        <f>VLOOKUP(C921,[1]master_data!$A$2:$E$495,4,FALSE)</f>
        <v>1000</v>
      </c>
      <c r="H921" s="5">
        <f t="shared" si="48"/>
        <v>4500</v>
      </c>
      <c r="I921" s="5">
        <f t="shared" si="49"/>
        <v>15000</v>
      </c>
      <c r="J921" s="5">
        <f t="shared" si="50"/>
        <v>10500</v>
      </c>
      <c r="K921" s="5" t="str">
        <f>VLOOKUP(C921,[1]master_data!$A$2:$E$495,5,FALSE)</f>
        <v>Ikan</v>
      </c>
      <c r="L921" s="5" t="s">
        <v>471</v>
      </c>
    </row>
    <row r="922" spans="1:12" ht="12" customHeight="1" x14ac:dyDescent="0.25">
      <c r="A922" s="6">
        <v>44829</v>
      </c>
      <c r="B922" s="1">
        <v>2203641</v>
      </c>
      <c r="C922" s="5" t="s">
        <v>58</v>
      </c>
      <c r="D922" s="5" t="str">
        <f>VLOOKUP(C922,[1]master_data!$A$2:$E$495,2,FALSE)</f>
        <v>MINI FILTER</v>
      </c>
      <c r="E922" s="5">
        <v>4</v>
      </c>
      <c r="F922" s="5">
        <f>VLOOKUP(C922,[1]master_data!$A$2:$E$495,3,FALSE)</f>
        <v>13000</v>
      </c>
      <c r="G922" s="5">
        <f>VLOOKUP(C922,[1]master_data!$A$2:$E$495,4,FALSE)</f>
        <v>25000</v>
      </c>
      <c r="H922" s="5">
        <f t="shared" si="48"/>
        <v>52000</v>
      </c>
      <c r="I922" s="5">
        <f t="shared" si="49"/>
        <v>100000</v>
      </c>
      <c r="J922" s="5">
        <f t="shared" si="50"/>
        <v>48000</v>
      </c>
      <c r="K922" s="5" t="str">
        <f>VLOOKUP(C922,[1]master_data!$A$2:$E$495,5,FALSE)</f>
        <v>Aksesoris</v>
      </c>
      <c r="L922" s="5" t="s">
        <v>471</v>
      </c>
    </row>
    <row r="923" spans="1:12" ht="12" customHeight="1" x14ac:dyDescent="0.25">
      <c r="A923" s="6">
        <v>44829</v>
      </c>
      <c r="B923" s="1">
        <v>2203640</v>
      </c>
      <c r="C923" s="5" t="s">
        <v>426</v>
      </c>
      <c r="D923" s="5" t="str">
        <f>VLOOKUP(C923,[1]master_data!$A$2:$E$495,2,FALSE)</f>
        <v>DISCUS</v>
      </c>
      <c r="E923" s="5">
        <v>1</v>
      </c>
      <c r="F923" s="5">
        <f>VLOOKUP(C923,[1]master_data!$A$2:$E$495,3,FALSE)</f>
        <v>50000</v>
      </c>
      <c r="G923" s="5">
        <f>VLOOKUP(C923,[1]master_data!$A$2:$E$495,4,FALSE)</f>
        <v>150000</v>
      </c>
      <c r="H923" s="5">
        <f t="shared" si="48"/>
        <v>50000</v>
      </c>
      <c r="I923" s="5">
        <f t="shared" si="49"/>
        <v>150000</v>
      </c>
      <c r="J923" s="5">
        <f t="shared" si="50"/>
        <v>100000</v>
      </c>
      <c r="K923" s="5" t="str">
        <f>VLOOKUP(C923,[1]master_data!$A$2:$E$495,5,FALSE)</f>
        <v>Ikan</v>
      </c>
      <c r="L923" s="5" t="s">
        <v>471</v>
      </c>
    </row>
    <row r="924" spans="1:12" ht="12" customHeight="1" x14ac:dyDescent="0.25">
      <c r="A924" s="6">
        <v>44829</v>
      </c>
      <c r="B924" s="1">
        <v>2203639</v>
      </c>
      <c r="C924" s="5" t="s">
        <v>393</v>
      </c>
      <c r="D924" s="5" t="str">
        <f>VLOOKUP(C924,[1]master_data!$A$2:$E$495,2,FALSE)</f>
        <v>CHANNA ANDRAO B</v>
      </c>
      <c r="E924" s="5">
        <v>1</v>
      </c>
      <c r="F924" s="5">
        <f>VLOOKUP(C924,[1]master_data!$A$2:$E$495,3,FALSE)</f>
        <v>100000</v>
      </c>
      <c r="G924" s="5">
        <f>VLOOKUP(C924,[1]master_data!$A$2:$E$495,4,FALSE)</f>
        <v>200000</v>
      </c>
      <c r="H924" s="5">
        <f t="shared" si="48"/>
        <v>100000</v>
      </c>
      <c r="I924" s="5">
        <f t="shared" si="49"/>
        <v>200000</v>
      </c>
      <c r="J924" s="5">
        <f t="shared" si="50"/>
        <v>100000</v>
      </c>
      <c r="K924" s="5" t="str">
        <f>VLOOKUP(C924,[1]master_data!$A$2:$E$495,5,FALSE)</f>
        <v>Ikan</v>
      </c>
      <c r="L924" s="5" t="s">
        <v>471</v>
      </c>
    </row>
    <row r="925" spans="1:12" ht="12" customHeight="1" x14ac:dyDescent="0.25">
      <c r="A925" s="6">
        <v>44829</v>
      </c>
      <c r="B925" s="1">
        <v>2203638</v>
      </c>
      <c r="C925" s="5" t="s">
        <v>406</v>
      </c>
      <c r="D925" s="5" t="str">
        <f>VLOOKUP(C925,[1]master_data!$A$2:$E$495,2,FALSE)</f>
        <v>BARBIR</v>
      </c>
      <c r="E925" s="5">
        <v>30</v>
      </c>
      <c r="F925" s="5">
        <f>VLOOKUP(C925,[1]master_data!$A$2:$E$495,3,FALSE)</f>
        <v>800</v>
      </c>
      <c r="G925" s="5">
        <f>VLOOKUP(C925,[1]master_data!$A$2:$E$495,4,FALSE)</f>
        <v>2000</v>
      </c>
      <c r="H925" s="5">
        <f t="shared" si="48"/>
        <v>24000</v>
      </c>
      <c r="I925" s="5">
        <f t="shared" si="49"/>
        <v>60000</v>
      </c>
      <c r="J925" s="5">
        <f t="shared" si="50"/>
        <v>36000</v>
      </c>
      <c r="K925" s="5" t="str">
        <f>VLOOKUP(C925,[1]master_data!$A$2:$E$495,5,FALSE)</f>
        <v>Ikan</v>
      </c>
      <c r="L925" s="5" t="s">
        <v>471</v>
      </c>
    </row>
    <row r="926" spans="1:12" ht="12" customHeight="1" x14ac:dyDescent="0.25">
      <c r="A926" s="6">
        <v>44828</v>
      </c>
      <c r="B926" s="1">
        <v>2203637</v>
      </c>
      <c r="C926" s="5" t="s">
        <v>418</v>
      </c>
      <c r="D926" s="5" t="str">
        <f>VLOOKUP(C926,[1]master_data!$A$2:$E$495,2,FALSE)</f>
        <v>KOI B</v>
      </c>
      <c r="E926" s="5">
        <v>1</v>
      </c>
      <c r="F926" s="5">
        <f>VLOOKUP(C926,[1]master_data!$A$2:$E$495,3,FALSE)</f>
        <v>9000</v>
      </c>
      <c r="G926" s="5">
        <f>VLOOKUP(C926,[1]master_data!$A$2:$E$495,4,FALSE)</f>
        <v>30000</v>
      </c>
      <c r="H926" s="5">
        <f t="shared" si="48"/>
        <v>9000</v>
      </c>
      <c r="I926" s="5">
        <f t="shared" si="49"/>
        <v>30000</v>
      </c>
      <c r="J926" s="5">
        <f t="shared" si="50"/>
        <v>21000</v>
      </c>
      <c r="K926" s="5" t="str">
        <f>VLOOKUP(C926,[1]master_data!$A$2:$E$495,5,FALSE)</f>
        <v>Ikan</v>
      </c>
      <c r="L926" s="5" t="s">
        <v>471</v>
      </c>
    </row>
    <row r="927" spans="1:12" ht="12" customHeight="1" x14ac:dyDescent="0.25">
      <c r="A927" s="6">
        <v>44828</v>
      </c>
      <c r="B927" s="1">
        <v>2203636</v>
      </c>
      <c r="C927" s="5" t="s">
        <v>436</v>
      </c>
      <c r="D927" s="5" t="str">
        <f>VLOOKUP(C927,[1]master_data!$A$2:$E$495,2,FALSE)</f>
        <v>NIASA</v>
      </c>
      <c r="E927" s="5">
        <v>15</v>
      </c>
      <c r="F927" s="5">
        <f>VLOOKUP(C927,[1]master_data!$A$2:$E$495,3,FALSE)</f>
        <v>900</v>
      </c>
      <c r="G927" s="5">
        <f>VLOOKUP(C927,[1]master_data!$A$2:$E$495,4,FALSE)</f>
        <v>2000</v>
      </c>
      <c r="H927" s="5">
        <f t="shared" si="48"/>
        <v>13500</v>
      </c>
      <c r="I927" s="5">
        <f t="shared" si="49"/>
        <v>30000</v>
      </c>
      <c r="J927" s="5">
        <f t="shared" si="50"/>
        <v>16500</v>
      </c>
      <c r="K927" s="5" t="str">
        <f>VLOOKUP(C927,[1]master_data!$A$2:$E$495,5,FALSE)</f>
        <v>Ikan</v>
      </c>
      <c r="L927" s="5" t="s">
        <v>471</v>
      </c>
    </row>
    <row r="928" spans="1:12" ht="12" customHeight="1" x14ac:dyDescent="0.25">
      <c r="A928" s="6">
        <v>44828</v>
      </c>
      <c r="B928" s="1">
        <v>2203635</v>
      </c>
      <c r="C928" s="5" t="s">
        <v>392</v>
      </c>
      <c r="D928" s="5" t="str">
        <f>VLOOKUP(C928,[1]master_data!$A$2:$E$495,2,FALSE)</f>
        <v>CHANNA ASIATICA B</v>
      </c>
      <c r="E928" s="5">
        <v>6</v>
      </c>
      <c r="F928" s="5">
        <f>VLOOKUP(C928,[1]master_data!$A$2:$E$495,3,FALSE)</f>
        <v>40000</v>
      </c>
      <c r="G928" s="5">
        <f>VLOOKUP(C928,[1]master_data!$A$2:$E$495,4,FALSE)</f>
        <v>100000</v>
      </c>
      <c r="H928" s="5">
        <f t="shared" si="48"/>
        <v>240000</v>
      </c>
      <c r="I928" s="5">
        <f t="shared" si="49"/>
        <v>600000</v>
      </c>
      <c r="J928" s="5">
        <f t="shared" si="50"/>
        <v>360000</v>
      </c>
      <c r="K928" s="5" t="str">
        <f>VLOOKUP(C928,[1]master_data!$A$2:$E$495,5,FALSE)</f>
        <v>Ikan</v>
      </c>
      <c r="L928" s="5" t="s">
        <v>471</v>
      </c>
    </row>
    <row r="929" spans="1:12" ht="12" customHeight="1" x14ac:dyDescent="0.25">
      <c r="A929" s="6">
        <v>44828</v>
      </c>
      <c r="B929" s="1">
        <v>2203634</v>
      </c>
      <c r="C929" s="5" t="s">
        <v>437</v>
      </c>
      <c r="D929" s="5" t="str">
        <f>VLOOKUP(C929,[1]master_data!$A$2:$E$495,2,FALSE)</f>
        <v>RED EYE TETRA</v>
      </c>
      <c r="E929" s="5">
        <v>30</v>
      </c>
      <c r="F929" s="5">
        <f>VLOOKUP(C929,[1]master_data!$A$2:$E$495,3,FALSE)</f>
        <v>900</v>
      </c>
      <c r="G929" s="5">
        <f>VLOOKUP(C929,[1]master_data!$A$2:$E$495,4,FALSE)</f>
        <v>2000</v>
      </c>
      <c r="H929" s="5">
        <f t="shared" si="48"/>
        <v>27000</v>
      </c>
      <c r="I929" s="5">
        <f t="shared" si="49"/>
        <v>60000</v>
      </c>
      <c r="J929" s="5">
        <f t="shared" si="50"/>
        <v>33000</v>
      </c>
      <c r="K929" s="5" t="str">
        <f>VLOOKUP(C929,[1]master_data!$A$2:$E$495,5,FALSE)</f>
        <v>Ikan</v>
      </c>
      <c r="L929" s="5" t="s">
        <v>471</v>
      </c>
    </row>
    <row r="930" spans="1:12" ht="12" customHeight="1" x14ac:dyDescent="0.25">
      <c r="A930" s="6">
        <v>44828</v>
      </c>
      <c r="B930" s="1">
        <v>2203633</v>
      </c>
      <c r="C930" s="5" t="s">
        <v>39</v>
      </c>
      <c r="D930" s="5" t="str">
        <f>VLOOKUP(C930,[1]master_data!$A$2:$E$495,2,FALSE)</f>
        <v>MESIN YAMANO 107</v>
      </c>
      <c r="E930" s="5">
        <v>1</v>
      </c>
      <c r="F930" s="5">
        <f>VLOOKUP(C930,[1]master_data!$A$2:$E$495,3,FALSE)</f>
        <v>280000</v>
      </c>
      <c r="G930" s="5">
        <f>VLOOKUP(C930,[1]master_data!$A$2:$E$495,4,FALSE)</f>
        <v>321000</v>
      </c>
      <c r="H930" s="5">
        <f t="shared" si="48"/>
        <v>280000</v>
      </c>
      <c r="I930" s="5">
        <f t="shared" si="49"/>
        <v>321000</v>
      </c>
      <c r="J930" s="5">
        <f t="shared" si="50"/>
        <v>41000</v>
      </c>
      <c r="K930" s="5" t="str">
        <f>VLOOKUP(C930,[1]master_data!$A$2:$E$495,5,FALSE)</f>
        <v>Aksesoris</v>
      </c>
      <c r="L930" s="5" t="s">
        <v>471</v>
      </c>
    </row>
    <row r="931" spans="1:12" ht="12" customHeight="1" x14ac:dyDescent="0.25">
      <c r="A931" s="6">
        <v>44827</v>
      </c>
      <c r="B931" s="1">
        <v>2203632</v>
      </c>
      <c r="C931" s="5" t="s">
        <v>406</v>
      </c>
      <c r="D931" s="5" t="str">
        <f>VLOOKUP(C931,[1]master_data!$A$2:$E$495,2,FALSE)</f>
        <v>BARBIR</v>
      </c>
      <c r="E931" s="5">
        <v>15</v>
      </c>
      <c r="F931" s="5">
        <f>VLOOKUP(C931,[1]master_data!$A$2:$E$495,3,FALSE)</f>
        <v>800</v>
      </c>
      <c r="G931" s="5">
        <f>VLOOKUP(C931,[1]master_data!$A$2:$E$495,4,FALSE)</f>
        <v>2000</v>
      </c>
      <c r="H931" s="5">
        <f t="shared" si="48"/>
        <v>12000</v>
      </c>
      <c r="I931" s="5">
        <f t="shared" si="49"/>
        <v>30000</v>
      </c>
      <c r="J931" s="5">
        <f t="shared" si="50"/>
        <v>18000</v>
      </c>
      <c r="K931" s="5" t="str">
        <f>VLOOKUP(C931,[1]master_data!$A$2:$E$495,5,FALSE)</f>
        <v>Ikan</v>
      </c>
      <c r="L931" s="5" t="s">
        <v>471</v>
      </c>
    </row>
    <row r="932" spans="1:12" ht="12" customHeight="1" x14ac:dyDescent="0.25">
      <c r="A932" s="6">
        <v>44827</v>
      </c>
      <c r="B932" s="1">
        <v>2203631</v>
      </c>
      <c r="C932" s="5" t="s">
        <v>426</v>
      </c>
      <c r="D932" s="5" t="str">
        <f>VLOOKUP(C932,[1]master_data!$A$2:$E$495,2,FALSE)</f>
        <v>DISCUS</v>
      </c>
      <c r="E932" s="5">
        <v>1</v>
      </c>
      <c r="F932" s="5">
        <f>VLOOKUP(C932,[1]master_data!$A$2:$E$495,3,FALSE)</f>
        <v>50000</v>
      </c>
      <c r="G932" s="5">
        <f>VLOOKUP(C932,[1]master_data!$A$2:$E$495,4,FALSE)</f>
        <v>150000</v>
      </c>
      <c r="H932" s="5">
        <f t="shared" si="48"/>
        <v>50000</v>
      </c>
      <c r="I932" s="5">
        <f t="shared" si="49"/>
        <v>150000</v>
      </c>
      <c r="J932" s="5">
        <f t="shared" si="50"/>
        <v>100000</v>
      </c>
      <c r="K932" s="5" t="str">
        <f>VLOOKUP(C932,[1]master_data!$A$2:$E$495,5,FALSE)</f>
        <v>Ikan</v>
      </c>
      <c r="L932" s="5" t="s">
        <v>471</v>
      </c>
    </row>
    <row r="933" spans="1:12" ht="12" customHeight="1" x14ac:dyDescent="0.25">
      <c r="A933" s="6">
        <v>44827</v>
      </c>
      <c r="B933" s="1">
        <v>2203630</v>
      </c>
      <c r="C933" s="5" t="s">
        <v>412</v>
      </c>
      <c r="D933" s="5" t="str">
        <f>VLOOKUP(C933,[1]master_data!$A$2:$E$495,2,FALSE)</f>
        <v>HIU TAWAR</v>
      </c>
      <c r="E933" s="5">
        <v>10</v>
      </c>
      <c r="F933" s="5">
        <f>VLOOKUP(C933,[1]master_data!$A$2:$E$495,3,FALSE)</f>
        <v>600</v>
      </c>
      <c r="G933" s="5">
        <f>VLOOKUP(C933,[1]master_data!$A$2:$E$495,4,FALSE)</f>
        <v>2000</v>
      </c>
      <c r="H933" s="5">
        <f t="shared" si="48"/>
        <v>6000</v>
      </c>
      <c r="I933" s="5">
        <f t="shared" si="49"/>
        <v>20000</v>
      </c>
      <c r="J933" s="5">
        <f t="shared" si="50"/>
        <v>14000</v>
      </c>
      <c r="K933" s="5" t="str">
        <f>VLOOKUP(C933,[1]master_data!$A$2:$E$495,5,FALSE)</f>
        <v>Ikan</v>
      </c>
      <c r="L933" s="5" t="s">
        <v>471</v>
      </c>
    </row>
    <row r="934" spans="1:12" ht="12" customHeight="1" x14ac:dyDescent="0.25">
      <c r="A934" s="6">
        <v>44827</v>
      </c>
      <c r="B934" s="1">
        <v>2203629</v>
      </c>
      <c r="C934" s="5" t="s">
        <v>456</v>
      </c>
      <c r="D934" s="5" t="str">
        <f>VLOOKUP(C934,[1]master_data!$A$2:$E$495,2,FALSE)</f>
        <v>TOMAN</v>
      </c>
      <c r="E934" s="5">
        <v>2</v>
      </c>
      <c r="F934" s="5">
        <f>VLOOKUP(C934,[1]master_data!$A$2:$E$495,3,FALSE)</f>
        <v>10000</v>
      </c>
      <c r="G934" s="5">
        <f>VLOOKUP(C934,[1]master_data!$A$2:$E$495,4,FALSE)</f>
        <v>25000</v>
      </c>
      <c r="H934" s="5">
        <f t="shared" si="48"/>
        <v>20000</v>
      </c>
      <c r="I934" s="5">
        <f t="shared" si="49"/>
        <v>50000</v>
      </c>
      <c r="J934" s="5">
        <f t="shared" si="50"/>
        <v>30000</v>
      </c>
      <c r="K934" s="5" t="str">
        <f>VLOOKUP(C934,[1]master_data!$A$2:$E$495,5,FALSE)</f>
        <v>Ikan</v>
      </c>
      <c r="L934" s="5" t="s">
        <v>471</v>
      </c>
    </row>
    <row r="935" spans="1:12" ht="12" customHeight="1" x14ac:dyDescent="0.25">
      <c r="A935" s="6">
        <v>44827</v>
      </c>
      <c r="B935" s="1">
        <v>2203628</v>
      </c>
      <c r="C935" s="5" t="s">
        <v>160</v>
      </c>
      <c r="D935" s="5" t="str">
        <f>VLOOKUP(C935,[1]master_data!$A$2:$E$495,2,FALSE)</f>
        <v>LED KANDILA PRO RED 40 CM</v>
      </c>
      <c r="E935" s="5">
        <v>2</v>
      </c>
      <c r="F935" s="5">
        <f>VLOOKUP(C935,[1]master_data!$A$2:$E$495,3,FALSE)</f>
        <v>120000</v>
      </c>
      <c r="G935" s="5">
        <f>VLOOKUP(C935,[1]master_data!$A$2:$E$495,4,FALSE)</f>
        <v>160000</v>
      </c>
      <c r="H935" s="5">
        <f t="shared" si="48"/>
        <v>240000</v>
      </c>
      <c r="I935" s="5">
        <f t="shared" si="49"/>
        <v>320000</v>
      </c>
      <c r="J935" s="5">
        <f t="shared" si="50"/>
        <v>80000</v>
      </c>
      <c r="K935" s="5" t="str">
        <f>VLOOKUP(C935,[1]master_data!$A$2:$E$495,5,FALSE)</f>
        <v>Aksesoris</v>
      </c>
      <c r="L935" s="5" t="s">
        <v>471</v>
      </c>
    </row>
    <row r="936" spans="1:12" ht="12" customHeight="1" x14ac:dyDescent="0.25">
      <c r="A936" s="6">
        <v>44827</v>
      </c>
      <c r="B936" s="1">
        <v>2203627</v>
      </c>
      <c r="C936" s="5" t="s">
        <v>365</v>
      </c>
      <c r="D936" s="5" t="str">
        <f>VLOOKUP(C936,[1]master_data!$A$2:$E$495,2,FALSE)</f>
        <v>TUTUP AKUARIUM S</v>
      </c>
      <c r="E936" s="5">
        <v>2</v>
      </c>
      <c r="F936" s="5">
        <f>VLOOKUP(C936,[1]master_data!$A$2:$E$495,3,FALSE)</f>
        <v>20000</v>
      </c>
      <c r="G936" s="5">
        <f>VLOOKUP(C936,[1]master_data!$A$2:$E$495,4,FALSE)</f>
        <v>30000</v>
      </c>
      <c r="H936" s="5">
        <f t="shared" si="48"/>
        <v>40000</v>
      </c>
      <c r="I936" s="5">
        <f t="shared" si="49"/>
        <v>60000</v>
      </c>
      <c r="J936" s="5">
        <f t="shared" si="50"/>
        <v>20000</v>
      </c>
      <c r="K936" s="5" t="str">
        <f>VLOOKUP(C936,[1]master_data!$A$2:$E$495,5,FALSE)</f>
        <v>Aksesoris</v>
      </c>
      <c r="L936" s="5" t="s">
        <v>471</v>
      </c>
    </row>
    <row r="937" spans="1:12" ht="12" customHeight="1" x14ac:dyDescent="0.25">
      <c r="A937" s="6">
        <v>44827</v>
      </c>
      <c r="B937" s="1">
        <v>2203626</v>
      </c>
      <c r="C937" s="5" t="s">
        <v>193</v>
      </c>
      <c r="D937" s="5" t="str">
        <f>VLOOKUP(C937,[1]master_data!$A$2:$E$495,2,FALSE)</f>
        <v>LED KANDILA DnN ECO 100 CM</v>
      </c>
      <c r="E937" s="5">
        <v>2</v>
      </c>
      <c r="F937" s="5">
        <f>VLOOKUP(C937,[1]master_data!$A$2:$E$495,3,FALSE)</f>
        <v>103000</v>
      </c>
      <c r="G937" s="5">
        <f>VLOOKUP(C937,[1]master_data!$A$2:$E$495,4,FALSE)</f>
        <v>135000</v>
      </c>
      <c r="H937" s="5">
        <f t="shared" si="48"/>
        <v>206000</v>
      </c>
      <c r="I937" s="5">
        <f t="shared" si="49"/>
        <v>270000</v>
      </c>
      <c r="J937" s="5">
        <f t="shared" si="50"/>
        <v>64000</v>
      </c>
      <c r="K937" s="5" t="str">
        <f>VLOOKUP(C937,[1]master_data!$A$2:$E$495,5,FALSE)</f>
        <v>Aksesoris</v>
      </c>
      <c r="L937" s="5" t="s">
        <v>471</v>
      </c>
    </row>
    <row r="938" spans="1:12" ht="12" customHeight="1" x14ac:dyDescent="0.25">
      <c r="A938" s="6">
        <v>44827</v>
      </c>
      <c r="B938" s="1">
        <v>2203625</v>
      </c>
      <c r="C938" s="5" t="s">
        <v>286</v>
      </c>
      <c r="D938" s="5" t="str">
        <f>VLOOKUP(C938,[1]master_data!$A$2:$E$495,2,FALSE)</f>
        <v>KAPAS 1X1</v>
      </c>
      <c r="E938" s="5">
        <v>2</v>
      </c>
      <c r="F938" s="5">
        <f>VLOOKUP(C938,[1]master_data!$A$2:$E$495,3,FALSE)</f>
        <v>15000</v>
      </c>
      <c r="G938" s="5">
        <f>VLOOKUP(C938,[1]master_data!$A$2:$E$495,4,FALSE)</f>
        <v>27000</v>
      </c>
      <c r="H938" s="5">
        <f t="shared" si="48"/>
        <v>30000</v>
      </c>
      <c r="I938" s="5">
        <f t="shared" si="49"/>
        <v>54000</v>
      </c>
      <c r="J938" s="5">
        <f t="shared" si="50"/>
        <v>24000</v>
      </c>
      <c r="K938" s="5" t="str">
        <f>VLOOKUP(C938,[1]master_data!$A$2:$E$495,5,FALSE)</f>
        <v>Aksesoris</v>
      </c>
      <c r="L938" s="5" t="s">
        <v>471</v>
      </c>
    </row>
    <row r="939" spans="1:12" ht="12" customHeight="1" x14ac:dyDescent="0.25">
      <c r="A939" s="6">
        <v>44827</v>
      </c>
      <c r="B939" s="1">
        <v>2203624</v>
      </c>
      <c r="C939" s="5" t="s">
        <v>409</v>
      </c>
      <c r="D939" s="5" t="str">
        <f>VLOOKUP(C939,[1]master_data!$A$2:$E$495,2,FALSE)</f>
        <v>GOLD FISH</v>
      </c>
      <c r="E939" s="5">
        <v>20</v>
      </c>
      <c r="F939" s="5">
        <f>VLOOKUP(C939,[1]master_data!$A$2:$E$495,3,FALSE)</f>
        <v>800</v>
      </c>
      <c r="G939" s="5">
        <f>VLOOKUP(C939,[1]master_data!$A$2:$E$495,4,FALSE)</f>
        <v>2000</v>
      </c>
      <c r="H939" s="5">
        <f t="shared" si="48"/>
        <v>16000</v>
      </c>
      <c r="I939" s="5">
        <f t="shared" si="49"/>
        <v>40000</v>
      </c>
      <c r="J939" s="5">
        <f t="shared" si="50"/>
        <v>24000</v>
      </c>
      <c r="K939" s="5" t="str">
        <f>VLOOKUP(C939,[1]master_data!$A$2:$E$495,5,FALSE)</f>
        <v>Ikan</v>
      </c>
      <c r="L939" s="5" t="s">
        <v>471</v>
      </c>
    </row>
    <row r="940" spans="1:12" ht="12" customHeight="1" x14ac:dyDescent="0.25">
      <c r="A940" s="6">
        <v>44827</v>
      </c>
      <c r="B940" s="1">
        <v>2203623</v>
      </c>
      <c r="C940" s="5" t="s">
        <v>217</v>
      </c>
      <c r="D940" s="5" t="str">
        <f>VLOOKUP(C940,[1]master_data!$A$2:$E$495,2,FALSE)</f>
        <v>AKARI PREMIUM RED PARROT</v>
      </c>
      <c r="E940" s="5">
        <v>2</v>
      </c>
      <c r="F940" s="5">
        <f>VLOOKUP(C940,[1]master_data!$A$2:$E$495,3,FALSE)</f>
        <v>33000</v>
      </c>
      <c r="G940" s="5">
        <f>VLOOKUP(C940,[1]master_data!$A$2:$E$495,4,FALSE)</f>
        <v>50000</v>
      </c>
      <c r="H940" s="5">
        <f t="shared" si="48"/>
        <v>66000</v>
      </c>
      <c r="I940" s="5">
        <f t="shared" si="49"/>
        <v>100000</v>
      </c>
      <c r="J940" s="5">
        <f t="shared" si="50"/>
        <v>34000</v>
      </c>
      <c r="K940" s="5" t="str">
        <f>VLOOKUP(C940,[1]master_data!$A$2:$E$495,5,FALSE)</f>
        <v>Aksesoris</v>
      </c>
      <c r="L940" s="5" t="s">
        <v>471</v>
      </c>
    </row>
    <row r="941" spans="1:12" ht="12" customHeight="1" x14ac:dyDescent="0.25">
      <c r="A941" s="6">
        <v>44827</v>
      </c>
      <c r="B941" s="1">
        <v>2203622</v>
      </c>
      <c r="C941" s="5" t="s">
        <v>463</v>
      </c>
      <c r="D941" s="5" t="str">
        <f>VLOOKUP(C941,[1]master_data!$A$2:$E$495,2,FALSE)</f>
        <v>CHANNA STEWARTI</v>
      </c>
      <c r="E941" s="5">
        <v>2</v>
      </c>
      <c r="F941" s="5">
        <f>VLOOKUP(C941,[1]master_data!$A$2:$E$495,3,FALSE)</f>
        <v>15000</v>
      </c>
      <c r="G941" s="5">
        <f>VLOOKUP(C941,[1]master_data!$A$2:$E$495,4,FALSE)</f>
        <v>40000</v>
      </c>
      <c r="H941" s="5">
        <f t="shared" si="48"/>
        <v>30000</v>
      </c>
      <c r="I941" s="5">
        <f t="shared" si="49"/>
        <v>80000</v>
      </c>
      <c r="J941" s="5">
        <f t="shared" si="50"/>
        <v>50000</v>
      </c>
      <c r="K941" s="5" t="str">
        <f>VLOOKUP(C941,[1]master_data!$A$2:$E$495,5,FALSE)</f>
        <v>Ikan</v>
      </c>
      <c r="L941" s="5" t="s">
        <v>471</v>
      </c>
    </row>
    <row r="942" spans="1:12" ht="12" customHeight="1" x14ac:dyDescent="0.25">
      <c r="A942" s="6">
        <v>44826</v>
      </c>
      <c r="B942" s="1">
        <v>2203621</v>
      </c>
      <c r="C942" s="5" t="s">
        <v>434</v>
      </c>
      <c r="D942" s="5" t="str">
        <f>VLOOKUP(C942,[1]master_data!$A$2:$E$495,2,FALSE)</f>
        <v>MOLI PAKAN</v>
      </c>
      <c r="E942" s="5">
        <v>25</v>
      </c>
      <c r="F942" s="5">
        <f>VLOOKUP(C942,[1]master_data!$A$2:$E$495,3,FALSE)</f>
        <v>100</v>
      </c>
      <c r="G942" s="5">
        <f>VLOOKUP(C942,[1]master_data!$A$2:$E$495,4,FALSE)</f>
        <v>200</v>
      </c>
      <c r="H942" s="5">
        <f t="shared" si="48"/>
        <v>2500</v>
      </c>
      <c r="I942" s="5">
        <f t="shared" si="49"/>
        <v>5000</v>
      </c>
      <c r="J942" s="5">
        <f t="shared" si="50"/>
        <v>2500</v>
      </c>
      <c r="K942" s="5" t="str">
        <f>VLOOKUP(C942,[1]master_data!$A$2:$E$495,5,FALSE)</f>
        <v>Ikan</v>
      </c>
      <c r="L942" s="5" t="s">
        <v>471</v>
      </c>
    </row>
    <row r="943" spans="1:12" ht="12" customHeight="1" x14ac:dyDescent="0.25">
      <c r="A943" s="6">
        <v>44826</v>
      </c>
      <c r="B943" s="1">
        <v>2203620</v>
      </c>
      <c r="C943" s="5" t="s">
        <v>8</v>
      </c>
      <c r="D943" s="5" t="str">
        <f>VLOOKUP(C943,[1]master_data!$A$2:$E$495,2,FALSE)</f>
        <v>MESIN YANG 1800</v>
      </c>
      <c r="E943" s="5">
        <v>1</v>
      </c>
      <c r="F943" s="5">
        <f>VLOOKUP(C943,[1]master_data!$A$2:$E$495,3,FALSE)</f>
        <v>75000</v>
      </c>
      <c r="G943" s="5">
        <f>VLOOKUP(C943,[1]master_data!$A$2:$E$495,4,FALSE)</f>
        <v>110000</v>
      </c>
      <c r="H943" s="5">
        <f t="shared" si="48"/>
        <v>75000</v>
      </c>
      <c r="I943" s="5">
        <f t="shared" si="49"/>
        <v>110000</v>
      </c>
      <c r="J943" s="5">
        <f t="shared" si="50"/>
        <v>35000</v>
      </c>
      <c r="K943" s="5" t="str">
        <f>VLOOKUP(C943,[1]master_data!$A$2:$E$495,5,FALSE)</f>
        <v>Aksesoris</v>
      </c>
      <c r="L943" s="5" t="s">
        <v>471</v>
      </c>
    </row>
    <row r="944" spans="1:12" ht="12" customHeight="1" x14ac:dyDescent="0.25">
      <c r="A944" s="6">
        <v>44826</v>
      </c>
      <c r="B944" s="1">
        <v>2203619</v>
      </c>
      <c r="C944" s="5" t="s">
        <v>448</v>
      </c>
      <c r="D944" s="5" t="str">
        <f>VLOOKUP(C944,[1]master_data!$A$2:$E$495,2,FALSE)</f>
        <v xml:space="preserve"> CHANNA RED BARITO K</v>
      </c>
      <c r="E944" s="5">
        <v>3</v>
      </c>
      <c r="F944" s="5">
        <f>VLOOKUP(C944,[1]master_data!$A$2:$E$495,3,FALSE)</f>
        <v>45000</v>
      </c>
      <c r="G944" s="5">
        <f>VLOOKUP(C944,[1]master_data!$A$2:$E$495,4,FALSE)</f>
        <v>100000</v>
      </c>
      <c r="H944" s="5">
        <f t="shared" si="48"/>
        <v>135000</v>
      </c>
      <c r="I944" s="5">
        <f t="shared" si="49"/>
        <v>300000</v>
      </c>
      <c r="J944" s="5">
        <f t="shared" si="50"/>
        <v>165000</v>
      </c>
      <c r="K944" s="5" t="str">
        <f>VLOOKUP(C944,[1]master_data!$A$2:$E$495,5,FALSE)</f>
        <v>Ikan</v>
      </c>
      <c r="L944" s="5" t="s">
        <v>471</v>
      </c>
    </row>
    <row r="945" spans="1:12" ht="12" customHeight="1" x14ac:dyDescent="0.25">
      <c r="A945" s="6">
        <v>44826</v>
      </c>
      <c r="B945" s="1">
        <v>2203618</v>
      </c>
      <c r="C945" s="5" t="s">
        <v>146</v>
      </c>
      <c r="D945" s="5" t="str">
        <f>VLOOKUP(C945,[1]master_data!$A$2:$E$495,2,FALSE)</f>
        <v>LED KANDILA 2 BRS 20 CM</v>
      </c>
      <c r="E945" s="5">
        <v>1</v>
      </c>
      <c r="F945" s="5">
        <f>VLOOKUP(C945,[1]master_data!$A$2:$E$495,3,FALSE)</f>
        <v>21000</v>
      </c>
      <c r="G945" s="5">
        <f>VLOOKUP(C945,[1]master_data!$A$2:$E$495,4,FALSE)</f>
        <v>35000</v>
      </c>
      <c r="H945" s="5">
        <f t="shared" si="48"/>
        <v>21000</v>
      </c>
      <c r="I945" s="5">
        <f t="shared" si="49"/>
        <v>35000</v>
      </c>
      <c r="J945" s="5">
        <f t="shared" si="50"/>
        <v>14000</v>
      </c>
      <c r="K945" s="5" t="str">
        <f>VLOOKUP(C945,[1]master_data!$A$2:$E$495,5,FALSE)</f>
        <v>Aksesoris</v>
      </c>
      <c r="L945" s="5" t="s">
        <v>471</v>
      </c>
    </row>
    <row r="946" spans="1:12" ht="12" customHeight="1" x14ac:dyDescent="0.25">
      <c r="A946" s="6">
        <v>44826</v>
      </c>
      <c r="B946" s="1">
        <v>2203617</v>
      </c>
      <c r="C946" s="5" t="s">
        <v>453</v>
      </c>
      <c r="D946" s="5" t="str">
        <f>VLOOKUP(C946,[1]master_data!$A$2:$E$495,2,FALSE)</f>
        <v>SYNODONTIS K</v>
      </c>
      <c r="E946" s="5">
        <v>15</v>
      </c>
      <c r="F946" s="5">
        <f>VLOOKUP(C946,[1]master_data!$A$2:$E$495,3,FALSE)</f>
        <v>1500</v>
      </c>
      <c r="G946" s="5">
        <f>VLOOKUP(C946,[1]master_data!$A$2:$E$495,4,FALSE)</f>
        <v>5000</v>
      </c>
      <c r="H946" s="5">
        <f t="shared" si="48"/>
        <v>22500</v>
      </c>
      <c r="I946" s="5">
        <f t="shared" si="49"/>
        <v>75000</v>
      </c>
      <c r="J946" s="5">
        <f t="shared" si="50"/>
        <v>52500</v>
      </c>
      <c r="K946" s="5" t="str">
        <f>VLOOKUP(C946,[1]master_data!$A$2:$E$495,5,FALSE)</f>
        <v>Ikan</v>
      </c>
      <c r="L946" s="5" t="s">
        <v>471</v>
      </c>
    </row>
    <row r="947" spans="1:12" ht="12" customHeight="1" x14ac:dyDescent="0.25">
      <c r="A947" s="6">
        <v>44826</v>
      </c>
      <c r="B947" s="1">
        <v>2203616</v>
      </c>
      <c r="C947" s="5" t="s">
        <v>181</v>
      </c>
      <c r="D947" s="5" t="str">
        <f>VLOOKUP(C947,[1]master_data!$A$2:$E$495,2,FALSE)</f>
        <v>LED ARMADA 3 MODE M50</v>
      </c>
      <c r="E947" s="5">
        <v>2</v>
      </c>
      <c r="F947" s="5">
        <f>VLOOKUP(C947,[1]master_data!$A$2:$E$495,3,FALSE)</f>
        <v>26000</v>
      </c>
      <c r="G947" s="5">
        <f>VLOOKUP(C947,[1]master_data!$A$2:$E$495,4,FALSE)</f>
        <v>50000</v>
      </c>
      <c r="H947" s="5">
        <f t="shared" si="48"/>
        <v>52000</v>
      </c>
      <c r="I947" s="5">
        <f t="shared" si="49"/>
        <v>100000</v>
      </c>
      <c r="J947" s="5">
        <f t="shared" si="50"/>
        <v>48000</v>
      </c>
      <c r="K947" s="5" t="str">
        <f>VLOOKUP(C947,[1]master_data!$A$2:$E$495,5,FALSE)</f>
        <v>Aksesoris</v>
      </c>
      <c r="L947" s="5" t="s">
        <v>471</v>
      </c>
    </row>
    <row r="948" spans="1:12" ht="12" customHeight="1" x14ac:dyDescent="0.25">
      <c r="A948" s="6">
        <v>44826</v>
      </c>
      <c r="B948" s="1">
        <v>2203615</v>
      </c>
      <c r="C948" s="5" t="s">
        <v>6</v>
      </c>
      <c r="D948" s="5" t="str">
        <f>VLOOKUP(C948,[1]master_data!$A$2:$E$495,2,FALSE)</f>
        <v>MESIN YANG 1200</v>
      </c>
      <c r="E948" s="5">
        <v>1</v>
      </c>
      <c r="F948" s="5">
        <f>VLOOKUP(C948,[1]master_data!$A$2:$E$495,3,FALSE)</f>
        <v>25000</v>
      </c>
      <c r="G948" s="5">
        <f>VLOOKUP(C948,[1]master_data!$A$2:$E$495,4,FALSE)</f>
        <v>40000</v>
      </c>
      <c r="H948" s="5">
        <f t="shared" si="48"/>
        <v>25000</v>
      </c>
      <c r="I948" s="5">
        <f t="shared" si="49"/>
        <v>40000</v>
      </c>
      <c r="J948" s="5">
        <f t="shared" si="50"/>
        <v>15000</v>
      </c>
      <c r="K948" s="5" t="str">
        <f>VLOOKUP(C948,[1]master_data!$A$2:$E$495,5,FALSE)</f>
        <v>Aksesoris</v>
      </c>
      <c r="L948" s="5" t="s">
        <v>471</v>
      </c>
    </row>
    <row r="949" spans="1:12" ht="12" customHeight="1" x14ac:dyDescent="0.25">
      <c r="A949" s="6">
        <v>44826</v>
      </c>
      <c r="B949" s="1">
        <v>2203614</v>
      </c>
      <c r="C949" s="5" t="s">
        <v>410</v>
      </c>
      <c r="D949" s="5" t="str">
        <f>VLOOKUP(C949,[1]master_data!$A$2:$E$495,2,FALSE)</f>
        <v>GUPY</v>
      </c>
      <c r="E949" s="5">
        <v>10</v>
      </c>
      <c r="F949" s="5">
        <f>VLOOKUP(C949,[1]master_data!$A$2:$E$495,3,FALSE)</f>
        <v>1200</v>
      </c>
      <c r="G949" s="5">
        <f>VLOOKUP(C949,[1]master_data!$A$2:$E$495,4,FALSE)</f>
        <v>2500</v>
      </c>
      <c r="H949" s="5">
        <f t="shared" si="48"/>
        <v>12000</v>
      </c>
      <c r="I949" s="5">
        <f t="shared" si="49"/>
        <v>25000</v>
      </c>
      <c r="J949" s="5">
        <f t="shared" si="50"/>
        <v>13000</v>
      </c>
      <c r="K949" s="5" t="str">
        <f>VLOOKUP(C949,[1]master_data!$A$2:$E$495,5,FALSE)</f>
        <v>Ikan</v>
      </c>
      <c r="L949" s="5" t="s">
        <v>471</v>
      </c>
    </row>
    <row r="950" spans="1:12" ht="12" customHeight="1" x14ac:dyDescent="0.25">
      <c r="A950" s="6">
        <v>44826</v>
      </c>
      <c r="B950" s="1">
        <v>2203613</v>
      </c>
      <c r="C950" s="5" t="s">
        <v>418</v>
      </c>
      <c r="D950" s="5" t="str">
        <f>VLOOKUP(C950,[1]master_data!$A$2:$E$495,2,FALSE)</f>
        <v>KOI B</v>
      </c>
      <c r="E950" s="5">
        <v>5</v>
      </c>
      <c r="F950" s="5">
        <f>VLOOKUP(C950,[1]master_data!$A$2:$E$495,3,FALSE)</f>
        <v>9000</v>
      </c>
      <c r="G950" s="5">
        <f>VLOOKUP(C950,[1]master_data!$A$2:$E$495,4,FALSE)</f>
        <v>30000</v>
      </c>
      <c r="H950" s="5">
        <f t="shared" si="48"/>
        <v>45000</v>
      </c>
      <c r="I950" s="5">
        <f t="shared" si="49"/>
        <v>150000</v>
      </c>
      <c r="J950" s="5">
        <f t="shared" si="50"/>
        <v>105000</v>
      </c>
      <c r="K950" s="5" t="str">
        <f>VLOOKUP(C950,[1]master_data!$A$2:$E$495,5,FALSE)</f>
        <v>Ikan</v>
      </c>
      <c r="L950" s="5" t="s">
        <v>471</v>
      </c>
    </row>
    <row r="951" spans="1:12" ht="12" customHeight="1" x14ac:dyDescent="0.25">
      <c r="A951" s="6">
        <v>44825</v>
      </c>
      <c r="B951" s="1">
        <v>2203612</v>
      </c>
      <c r="C951" s="5" t="s">
        <v>365</v>
      </c>
      <c r="D951" s="5" t="str">
        <f>VLOOKUP(C951,[1]master_data!$A$2:$E$495,2,FALSE)</f>
        <v>TUTUP AKUARIUM S</v>
      </c>
      <c r="E951" s="5">
        <v>2</v>
      </c>
      <c r="F951" s="5">
        <f>VLOOKUP(C951,[1]master_data!$A$2:$E$495,3,FALSE)</f>
        <v>20000</v>
      </c>
      <c r="G951" s="5">
        <f>VLOOKUP(C951,[1]master_data!$A$2:$E$495,4,FALSE)</f>
        <v>30000</v>
      </c>
      <c r="H951" s="5">
        <f t="shared" si="48"/>
        <v>40000</v>
      </c>
      <c r="I951" s="5">
        <f t="shared" si="49"/>
        <v>60000</v>
      </c>
      <c r="J951" s="5">
        <f t="shared" si="50"/>
        <v>20000</v>
      </c>
      <c r="K951" s="5" t="str">
        <f>VLOOKUP(C951,[1]master_data!$A$2:$E$495,5,FALSE)</f>
        <v>Aksesoris</v>
      </c>
      <c r="L951" s="5" t="s">
        <v>471</v>
      </c>
    </row>
    <row r="952" spans="1:12" ht="12" customHeight="1" x14ac:dyDescent="0.25">
      <c r="A952" s="6">
        <v>44825</v>
      </c>
      <c r="B952" s="1">
        <v>2203611</v>
      </c>
      <c r="C952" s="5" t="s">
        <v>389</v>
      </c>
      <c r="D952" s="5" t="str">
        <f>VLOOKUP(C952,[1]master_data!$A$2:$E$495,2,FALSE)</f>
        <v>BATU ALAM B</v>
      </c>
      <c r="E952" s="5">
        <v>1</v>
      </c>
      <c r="F952" s="5">
        <f>VLOOKUP(C952,[1]master_data!$A$2:$E$495,3,FALSE)</f>
        <v>17000</v>
      </c>
      <c r="G952" s="5">
        <f>VLOOKUP(C952,[1]master_data!$A$2:$E$495,4,FALSE)</f>
        <v>30000</v>
      </c>
      <c r="H952" s="5">
        <f t="shared" si="48"/>
        <v>17000</v>
      </c>
      <c r="I952" s="5">
        <f t="shared" si="49"/>
        <v>30000</v>
      </c>
      <c r="J952" s="5">
        <f t="shared" si="50"/>
        <v>13000</v>
      </c>
      <c r="K952" s="5" t="str">
        <f>VLOOKUP(C952,[1]master_data!$A$2:$E$495,5,FALSE)</f>
        <v>Aksesoris</v>
      </c>
      <c r="L952" s="5" t="s">
        <v>471</v>
      </c>
    </row>
    <row r="953" spans="1:12" ht="12" customHeight="1" x14ac:dyDescent="0.25">
      <c r="A953" s="6">
        <v>44825</v>
      </c>
      <c r="B953" s="1">
        <v>2203610</v>
      </c>
      <c r="C953" s="5" t="s">
        <v>205</v>
      </c>
      <c r="D953" s="5" t="str">
        <f>VLOOKUP(C953,[1]master_data!$A$2:$E$495,2,FALSE)</f>
        <v>HIKARI VIBRA BITES 35 GR</v>
      </c>
      <c r="E953" s="5">
        <v>10</v>
      </c>
      <c r="F953" s="5">
        <f>VLOOKUP(C953,[1]master_data!$A$2:$E$495,3,FALSE)</f>
        <v>28500</v>
      </c>
      <c r="G953" s="5">
        <f>VLOOKUP(C953,[1]master_data!$A$2:$E$495,4,FALSE)</f>
        <v>40000</v>
      </c>
      <c r="H953" s="5">
        <f t="shared" si="48"/>
        <v>285000</v>
      </c>
      <c r="I953" s="5">
        <f t="shared" si="49"/>
        <v>400000</v>
      </c>
      <c r="J953" s="5">
        <f t="shared" si="50"/>
        <v>115000</v>
      </c>
      <c r="K953" s="5" t="str">
        <f>VLOOKUP(C953,[1]master_data!$A$2:$E$495,5,FALSE)</f>
        <v>Aksesoris</v>
      </c>
      <c r="L953" s="5" t="s">
        <v>471</v>
      </c>
    </row>
    <row r="954" spans="1:12" ht="12" customHeight="1" x14ac:dyDescent="0.25">
      <c r="A954" s="6">
        <v>44825</v>
      </c>
      <c r="B954" s="1">
        <v>2203609</v>
      </c>
      <c r="C954" s="5" t="s">
        <v>392</v>
      </c>
      <c r="D954" s="5" t="str">
        <f>VLOOKUP(C954,[1]master_data!$A$2:$E$495,2,FALSE)</f>
        <v>CHANNA ASIATICA B</v>
      </c>
      <c r="E954" s="5">
        <v>1</v>
      </c>
      <c r="F954" s="5">
        <f>VLOOKUP(C954,[1]master_data!$A$2:$E$495,3,FALSE)</f>
        <v>40000</v>
      </c>
      <c r="G954" s="5">
        <f>VLOOKUP(C954,[1]master_data!$A$2:$E$495,4,FALSE)</f>
        <v>100000</v>
      </c>
      <c r="H954" s="5">
        <f t="shared" si="48"/>
        <v>40000</v>
      </c>
      <c r="I954" s="5">
        <f t="shared" si="49"/>
        <v>100000</v>
      </c>
      <c r="J954" s="5">
        <f t="shared" si="50"/>
        <v>60000</v>
      </c>
      <c r="K954" s="5" t="str">
        <f>VLOOKUP(C954,[1]master_data!$A$2:$E$495,5,FALSE)</f>
        <v>Ikan</v>
      </c>
      <c r="L954" s="5" t="s">
        <v>471</v>
      </c>
    </row>
    <row r="955" spans="1:12" ht="12" customHeight="1" x14ac:dyDescent="0.25">
      <c r="A955" s="6">
        <v>44825</v>
      </c>
      <c r="B955" s="1">
        <v>2203608</v>
      </c>
      <c r="C955" s="5" t="s">
        <v>304</v>
      </c>
      <c r="D955" s="5" t="str">
        <f>VLOOKUP(C955,[1]master_data!$A$2:$E$495,2,FALSE)</f>
        <v>PINSET KANDILA</v>
      </c>
      <c r="E955" s="5">
        <v>10</v>
      </c>
      <c r="F955" s="5">
        <f>VLOOKUP(C955,[1]master_data!$A$2:$E$495,3,FALSE)</f>
        <v>18000</v>
      </c>
      <c r="G955" s="5">
        <f>VLOOKUP(C955,[1]master_data!$A$2:$E$495,4,FALSE)</f>
        <v>35000</v>
      </c>
      <c r="H955" s="5">
        <f t="shared" si="48"/>
        <v>180000</v>
      </c>
      <c r="I955" s="5">
        <f t="shared" si="49"/>
        <v>350000</v>
      </c>
      <c r="J955" s="5">
        <f t="shared" si="50"/>
        <v>170000</v>
      </c>
      <c r="K955" s="5" t="str">
        <f>VLOOKUP(C955,[1]master_data!$A$2:$E$495,5,FALSE)</f>
        <v>Aksesoris</v>
      </c>
      <c r="L955" s="5" t="s">
        <v>471</v>
      </c>
    </row>
    <row r="956" spans="1:12" ht="12" customHeight="1" x14ac:dyDescent="0.25">
      <c r="A956" s="6">
        <v>44825</v>
      </c>
      <c r="B956" s="1">
        <v>2203607</v>
      </c>
      <c r="C956" s="5" t="s">
        <v>460</v>
      </c>
      <c r="D956" s="5" t="str">
        <f>VLOOKUP(C956,[1]master_data!$A$2:$E$495,2,FALSE)</f>
        <v>ZEBRA KUNING</v>
      </c>
      <c r="E956" s="5">
        <v>25</v>
      </c>
      <c r="F956" s="5">
        <f>VLOOKUP(C956,[1]master_data!$A$2:$E$495,3,FALSE)</f>
        <v>800</v>
      </c>
      <c r="G956" s="5">
        <f>VLOOKUP(C956,[1]master_data!$A$2:$E$495,4,FALSE)</f>
        <v>2000</v>
      </c>
      <c r="H956" s="5">
        <f t="shared" si="48"/>
        <v>20000</v>
      </c>
      <c r="I956" s="5">
        <f t="shared" si="49"/>
        <v>50000</v>
      </c>
      <c r="J956" s="5">
        <f t="shared" si="50"/>
        <v>30000</v>
      </c>
      <c r="K956" s="5" t="str">
        <f>VLOOKUP(C956,[1]master_data!$A$2:$E$495,5,FALSE)</f>
        <v>Ikan</v>
      </c>
      <c r="L956" s="5" t="s">
        <v>471</v>
      </c>
    </row>
    <row r="957" spans="1:12" ht="12" customHeight="1" x14ac:dyDescent="0.25">
      <c r="A957" s="6">
        <v>44825</v>
      </c>
      <c r="B957" s="1">
        <v>2203606</v>
      </c>
      <c r="C957" s="5" t="s">
        <v>402</v>
      </c>
      <c r="D957" s="5" t="str">
        <f>VLOOKUP(C957,[1]master_data!$A$2:$E$495,2,FALSE)</f>
        <v>BLACK GHOST</v>
      </c>
      <c r="E957" s="5">
        <v>7</v>
      </c>
      <c r="F957" s="5">
        <f>VLOOKUP(C957,[1]master_data!$A$2:$E$495,3,FALSE)</f>
        <v>4000</v>
      </c>
      <c r="G957" s="5">
        <f>VLOOKUP(C957,[1]master_data!$A$2:$E$495,4,FALSE)</f>
        <v>10000</v>
      </c>
      <c r="H957" s="5">
        <f t="shared" si="48"/>
        <v>28000</v>
      </c>
      <c r="I957" s="5">
        <f t="shared" si="49"/>
        <v>70000</v>
      </c>
      <c r="J957" s="5">
        <f t="shared" si="50"/>
        <v>42000</v>
      </c>
      <c r="K957" s="5" t="str">
        <f>VLOOKUP(C957,[1]master_data!$A$2:$E$495,5,FALSE)</f>
        <v>Ikan</v>
      </c>
      <c r="L957" s="5" t="s">
        <v>471</v>
      </c>
    </row>
    <row r="958" spans="1:12" ht="12" customHeight="1" x14ac:dyDescent="0.25">
      <c r="A958" s="6">
        <v>44824</v>
      </c>
      <c r="B958" s="1">
        <v>2203605</v>
      </c>
      <c r="C958" s="5" t="s">
        <v>151</v>
      </c>
      <c r="D958" s="5" t="str">
        <f>VLOOKUP(C958,[1]master_data!$A$2:$E$495,2,FALSE)</f>
        <v>LED ROSTON 3 MODE 40 CM</v>
      </c>
      <c r="E958" s="5">
        <v>1</v>
      </c>
      <c r="F958" s="5">
        <f>VLOOKUP(C958,[1]master_data!$A$2:$E$495,3,FALSE)</f>
        <v>27000</v>
      </c>
      <c r="G958" s="5">
        <f>VLOOKUP(C958,[1]master_data!$A$2:$E$495,4,FALSE)</f>
        <v>550000</v>
      </c>
      <c r="H958" s="5">
        <f t="shared" si="48"/>
        <v>27000</v>
      </c>
      <c r="I958" s="5">
        <f t="shared" si="49"/>
        <v>550000</v>
      </c>
      <c r="J958" s="5">
        <f t="shared" si="50"/>
        <v>523000</v>
      </c>
      <c r="K958" s="5" t="str">
        <f>VLOOKUP(C958,[1]master_data!$A$2:$E$495,5,FALSE)</f>
        <v>Aksesoris</v>
      </c>
      <c r="L958" s="5" t="s">
        <v>471</v>
      </c>
    </row>
    <row r="959" spans="1:12" ht="12" customHeight="1" x14ac:dyDescent="0.25">
      <c r="A959" s="6">
        <v>44824</v>
      </c>
      <c r="B959" s="1">
        <v>2203604</v>
      </c>
      <c r="C959" s="5" t="s">
        <v>409</v>
      </c>
      <c r="D959" s="5" t="str">
        <f>VLOOKUP(C959,[1]master_data!$A$2:$E$495,2,FALSE)</f>
        <v>GOLD FISH</v>
      </c>
      <c r="E959" s="5">
        <v>1</v>
      </c>
      <c r="F959" s="5">
        <f>VLOOKUP(C959,[1]master_data!$A$2:$E$495,3,FALSE)</f>
        <v>800</v>
      </c>
      <c r="G959" s="5">
        <f>VLOOKUP(C959,[1]master_data!$A$2:$E$495,4,FALSE)</f>
        <v>2000</v>
      </c>
      <c r="H959" s="5">
        <f t="shared" si="48"/>
        <v>800</v>
      </c>
      <c r="I959" s="5">
        <f t="shared" si="49"/>
        <v>2000</v>
      </c>
      <c r="J959" s="5">
        <f t="shared" si="50"/>
        <v>1200</v>
      </c>
      <c r="K959" s="5" t="str">
        <f>VLOOKUP(C959,[1]master_data!$A$2:$E$495,5,FALSE)</f>
        <v>Ikan</v>
      </c>
      <c r="L959" s="5" t="s">
        <v>471</v>
      </c>
    </row>
    <row r="960" spans="1:12" ht="12" customHeight="1" x14ac:dyDescent="0.25">
      <c r="A960" s="6">
        <v>44824</v>
      </c>
      <c r="B960" s="1">
        <v>2203603</v>
      </c>
      <c r="C960" s="5" t="s">
        <v>409</v>
      </c>
      <c r="D960" s="5" t="str">
        <f>VLOOKUP(C960,[1]master_data!$A$2:$E$495,2,FALSE)</f>
        <v>GOLD FISH</v>
      </c>
      <c r="E960" s="5">
        <v>1</v>
      </c>
      <c r="F960" s="5">
        <f>VLOOKUP(C960,[1]master_data!$A$2:$E$495,3,FALSE)</f>
        <v>800</v>
      </c>
      <c r="G960" s="5">
        <f>VLOOKUP(C960,[1]master_data!$A$2:$E$495,4,FALSE)</f>
        <v>2000</v>
      </c>
      <c r="H960" s="5">
        <f t="shared" si="48"/>
        <v>800</v>
      </c>
      <c r="I960" s="5">
        <f t="shared" si="49"/>
        <v>2000</v>
      </c>
      <c r="J960" s="5">
        <f t="shared" si="50"/>
        <v>1200</v>
      </c>
      <c r="K960" s="5" t="str">
        <f>VLOOKUP(C960,[1]master_data!$A$2:$E$495,5,FALSE)</f>
        <v>Ikan</v>
      </c>
      <c r="L960" s="5" t="s">
        <v>471</v>
      </c>
    </row>
    <row r="961" spans="1:12" ht="12" customHeight="1" x14ac:dyDescent="0.25">
      <c r="A961" s="6">
        <v>44824</v>
      </c>
      <c r="B961" s="1">
        <v>2203602</v>
      </c>
      <c r="C961" s="5" t="s">
        <v>409</v>
      </c>
      <c r="D961" s="5" t="str">
        <f>VLOOKUP(C961,[1]master_data!$A$2:$E$495,2,FALSE)</f>
        <v>GOLD FISH</v>
      </c>
      <c r="E961" s="5">
        <v>1</v>
      </c>
      <c r="F961" s="5">
        <f>VLOOKUP(C961,[1]master_data!$A$2:$E$495,3,FALSE)</f>
        <v>800</v>
      </c>
      <c r="G961" s="5">
        <f>VLOOKUP(C961,[1]master_data!$A$2:$E$495,4,FALSE)</f>
        <v>2000</v>
      </c>
      <c r="H961" s="5">
        <f t="shared" si="48"/>
        <v>800</v>
      </c>
      <c r="I961" s="5">
        <f t="shared" si="49"/>
        <v>2000</v>
      </c>
      <c r="J961" s="5">
        <f t="shared" si="50"/>
        <v>1200</v>
      </c>
      <c r="K961" s="5" t="str">
        <f>VLOOKUP(C961,[1]master_data!$A$2:$E$495,5,FALSE)</f>
        <v>Ikan</v>
      </c>
      <c r="L961" s="5" t="s">
        <v>471</v>
      </c>
    </row>
    <row r="962" spans="1:12" ht="12" customHeight="1" x14ac:dyDescent="0.25">
      <c r="A962" s="6">
        <v>44823</v>
      </c>
      <c r="B962" s="1">
        <v>2203601</v>
      </c>
      <c r="C962" s="5" t="s">
        <v>409</v>
      </c>
      <c r="D962" s="5" t="str">
        <f>VLOOKUP(C962,[1]master_data!$A$2:$E$495,2,FALSE)</f>
        <v>GOLD FISH</v>
      </c>
      <c r="E962" s="5">
        <v>20</v>
      </c>
      <c r="F962" s="5">
        <f>VLOOKUP(C962,[1]master_data!$A$2:$E$495,3,FALSE)</f>
        <v>800</v>
      </c>
      <c r="G962" s="5">
        <f>VLOOKUP(C962,[1]master_data!$A$2:$E$495,4,FALSE)</f>
        <v>2000</v>
      </c>
      <c r="H962" s="5">
        <f t="shared" si="48"/>
        <v>16000</v>
      </c>
      <c r="I962" s="5">
        <f t="shared" si="49"/>
        <v>40000</v>
      </c>
      <c r="J962" s="5">
        <f t="shared" si="50"/>
        <v>24000</v>
      </c>
      <c r="K962" s="5" t="str">
        <f>VLOOKUP(C962,[1]master_data!$A$2:$E$495,5,FALSE)</f>
        <v>Ikan</v>
      </c>
      <c r="L962" s="5" t="s">
        <v>471</v>
      </c>
    </row>
    <row r="963" spans="1:12" ht="12" customHeight="1" x14ac:dyDescent="0.25">
      <c r="A963" s="6">
        <v>44823</v>
      </c>
      <c r="B963" s="1">
        <v>2203600</v>
      </c>
      <c r="C963" s="5" t="s">
        <v>165</v>
      </c>
      <c r="D963" s="5" t="str">
        <f>VLOOKUP(C963,[1]master_data!$A$2:$E$495,2,FALSE)</f>
        <v>LED KANDILA VIBRANT 100 CM</v>
      </c>
      <c r="E963" s="5">
        <v>1</v>
      </c>
      <c r="F963" s="5">
        <f>VLOOKUP(C963,[1]master_data!$A$2:$E$495,3,FALSE)</f>
        <v>152500</v>
      </c>
      <c r="G963" s="5">
        <f>VLOOKUP(C963,[1]master_data!$A$2:$E$495,4,FALSE)</f>
        <v>200000</v>
      </c>
      <c r="H963" s="5">
        <f t="shared" si="48"/>
        <v>152500</v>
      </c>
      <c r="I963" s="5">
        <f t="shared" si="49"/>
        <v>200000</v>
      </c>
      <c r="J963" s="5">
        <f t="shared" si="50"/>
        <v>47500</v>
      </c>
      <c r="K963" s="5" t="str">
        <f>VLOOKUP(C963,[1]master_data!$A$2:$E$495,5,FALSE)</f>
        <v>Aksesoris</v>
      </c>
      <c r="L963" s="5" t="s">
        <v>471</v>
      </c>
    </row>
    <row r="964" spans="1:12" ht="12" customHeight="1" x14ac:dyDescent="0.25">
      <c r="A964" s="6">
        <v>44823</v>
      </c>
      <c r="B964" s="1">
        <v>2203599</v>
      </c>
      <c r="C964" s="5" t="s">
        <v>399</v>
      </c>
      <c r="D964" s="5" t="str">
        <f>VLOOKUP(C964,[1]master_data!$A$2:$E$495,2,FALSE)</f>
        <v>BUENOS AIRES TETRA</v>
      </c>
      <c r="E964" s="5">
        <v>30</v>
      </c>
      <c r="F964" s="5">
        <f>VLOOKUP(C964,[1]master_data!$A$2:$E$495,3,FALSE)</f>
        <v>800</v>
      </c>
      <c r="G964" s="5">
        <f>VLOOKUP(C964,[1]master_data!$A$2:$E$495,4,FALSE)</f>
        <v>2000</v>
      </c>
      <c r="H964" s="5">
        <f t="shared" si="48"/>
        <v>24000</v>
      </c>
      <c r="I964" s="5">
        <f t="shared" si="49"/>
        <v>60000</v>
      </c>
      <c r="J964" s="5">
        <f t="shared" si="50"/>
        <v>36000</v>
      </c>
      <c r="K964" s="5" t="str">
        <f>VLOOKUP(C964,[1]master_data!$A$2:$E$495,5,FALSE)</f>
        <v>Ikan</v>
      </c>
      <c r="L964" s="5" t="s">
        <v>471</v>
      </c>
    </row>
    <row r="965" spans="1:12" ht="12" customHeight="1" x14ac:dyDescent="0.25">
      <c r="A965" s="6">
        <v>44823</v>
      </c>
      <c r="B965" s="1">
        <v>2203598</v>
      </c>
      <c r="C965" s="5" t="s">
        <v>432</v>
      </c>
      <c r="D965" s="5" t="str">
        <f>VLOOKUP(C965,[1]master_data!$A$2:$E$495,2,FALSE)</f>
        <v>MARU K</v>
      </c>
      <c r="E965" s="5">
        <v>9</v>
      </c>
      <c r="F965" s="5">
        <f>VLOOKUP(C965,[1]master_data!$A$2:$E$495,3,FALSE)</f>
        <v>23000</v>
      </c>
      <c r="G965" s="5">
        <f>VLOOKUP(C965,[1]master_data!$A$2:$E$495,4,FALSE)</f>
        <v>50000</v>
      </c>
      <c r="H965" s="5">
        <f t="shared" ref="H965:H1028" si="51">E965*F965</f>
        <v>207000</v>
      </c>
      <c r="I965" s="5">
        <f t="shared" ref="I965:I1028" si="52">E965*G965</f>
        <v>450000</v>
      </c>
      <c r="J965" s="5">
        <f t="shared" ref="J965:J1028" si="53">I965-H965</f>
        <v>243000</v>
      </c>
      <c r="K965" s="5" t="str">
        <f>VLOOKUP(C965,[1]master_data!$A$2:$E$495,5,FALSE)</f>
        <v>Ikan</v>
      </c>
      <c r="L965" s="5" t="s">
        <v>471</v>
      </c>
    </row>
    <row r="966" spans="1:12" ht="12" customHeight="1" x14ac:dyDescent="0.25">
      <c r="A966" s="6">
        <v>44823</v>
      </c>
      <c r="B966" s="1">
        <v>2203597</v>
      </c>
      <c r="C966" s="5" t="s">
        <v>65</v>
      </c>
      <c r="D966" s="5" t="str">
        <f>VLOOKUP(C966,[1]master_data!$A$2:$E$495,2,FALSE)</f>
        <v>BIO FOAM S</v>
      </c>
      <c r="E966" s="5">
        <v>2</v>
      </c>
      <c r="F966" s="5">
        <f>VLOOKUP(C966,[1]master_data!$A$2:$E$495,3,FALSE)</f>
        <v>12000</v>
      </c>
      <c r="G966" s="5">
        <f>VLOOKUP(C966,[1]master_data!$A$2:$E$495,4,FALSE)</f>
        <v>25000</v>
      </c>
      <c r="H966" s="5">
        <f t="shared" si="51"/>
        <v>24000</v>
      </c>
      <c r="I966" s="5">
        <f t="shared" si="52"/>
        <v>50000</v>
      </c>
      <c r="J966" s="5">
        <f t="shared" si="53"/>
        <v>26000</v>
      </c>
      <c r="K966" s="5" t="str">
        <f>VLOOKUP(C966,[1]master_data!$A$2:$E$495,5,FALSE)</f>
        <v>Aksesoris</v>
      </c>
      <c r="L966" s="5" t="s">
        <v>471</v>
      </c>
    </row>
    <row r="967" spans="1:12" ht="12" customHeight="1" x14ac:dyDescent="0.25">
      <c r="A967" s="6">
        <v>44823</v>
      </c>
      <c r="B967" s="1">
        <v>2203596</v>
      </c>
      <c r="C967" s="5" t="s">
        <v>433</v>
      </c>
      <c r="D967" s="5" t="str">
        <f>VLOOKUP(C967,[1]master_data!$A$2:$E$495,2,FALSE)</f>
        <v>MARU B</v>
      </c>
      <c r="E967" s="5">
        <v>2</v>
      </c>
      <c r="F967" s="5">
        <f>VLOOKUP(C967,[1]master_data!$A$2:$E$495,3,FALSE)</f>
        <v>90000</v>
      </c>
      <c r="G967" s="5">
        <f>VLOOKUP(C967,[1]master_data!$A$2:$E$495,4,FALSE)</f>
        <v>150000</v>
      </c>
      <c r="H967" s="5">
        <f t="shared" si="51"/>
        <v>180000</v>
      </c>
      <c r="I967" s="5">
        <f t="shared" si="52"/>
        <v>300000</v>
      </c>
      <c r="J967" s="5">
        <f t="shared" si="53"/>
        <v>120000</v>
      </c>
      <c r="K967" s="5" t="str">
        <f>VLOOKUP(C967,[1]master_data!$A$2:$E$495,5,FALSE)</f>
        <v>Ikan</v>
      </c>
      <c r="L967" s="5" t="s">
        <v>471</v>
      </c>
    </row>
    <row r="968" spans="1:12" ht="12" customHeight="1" x14ac:dyDescent="0.25">
      <c r="A968" s="6">
        <v>44822</v>
      </c>
      <c r="B968" s="1">
        <v>2203595</v>
      </c>
      <c r="C968" s="5" t="s">
        <v>420</v>
      </c>
      <c r="D968" s="5" t="str">
        <f>VLOOKUP(C968,[1]master_data!$A$2:$E$495,2,FALSE)</f>
        <v>KAVIAT</v>
      </c>
      <c r="E968" s="5">
        <v>30</v>
      </c>
      <c r="F968" s="5">
        <f>VLOOKUP(C968,[1]master_data!$A$2:$E$495,3,FALSE)</f>
        <v>3500</v>
      </c>
      <c r="G968" s="5">
        <f>VLOOKUP(C968,[1]master_data!$A$2:$E$495,4,FALSE)</f>
        <v>8000</v>
      </c>
      <c r="H968" s="5">
        <f t="shared" si="51"/>
        <v>105000</v>
      </c>
      <c r="I968" s="5">
        <f t="shared" si="52"/>
        <v>240000</v>
      </c>
      <c r="J968" s="5">
        <f t="shared" si="53"/>
        <v>135000</v>
      </c>
      <c r="K968" s="5" t="str">
        <f>VLOOKUP(C968,[1]master_data!$A$2:$E$495,5,FALSE)</f>
        <v>Ikan</v>
      </c>
      <c r="L968" s="5" t="s">
        <v>471</v>
      </c>
    </row>
    <row r="969" spans="1:12" ht="12" customHeight="1" x14ac:dyDescent="0.25">
      <c r="A969" s="6">
        <v>44822</v>
      </c>
      <c r="B969" s="1">
        <v>2203594</v>
      </c>
      <c r="C969" s="5" t="s">
        <v>81</v>
      </c>
      <c r="D969" s="5" t="str">
        <f>VLOOKUP(C969,[1]master_data!$A$2:$E$495,2,FALSE)</f>
        <v>TOP FILTER ARMADA B</v>
      </c>
      <c r="E969" s="5">
        <v>1</v>
      </c>
      <c r="F969" s="5">
        <f>VLOOKUP(C969,[1]master_data!$A$2:$E$495,3,FALSE)</f>
        <v>38000</v>
      </c>
      <c r="G969" s="5">
        <f>VLOOKUP(C969,[1]master_data!$A$2:$E$495,4,FALSE)</f>
        <v>60000</v>
      </c>
      <c r="H969" s="5">
        <f t="shared" si="51"/>
        <v>38000</v>
      </c>
      <c r="I969" s="5">
        <f t="shared" si="52"/>
        <v>60000</v>
      </c>
      <c r="J969" s="5">
        <f t="shared" si="53"/>
        <v>22000</v>
      </c>
      <c r="K969" s="5" t="str">
        <f>VLOOKUP(C969,[1]master_data!$A$2:$E$495,5,FALSE)</f>
        <v>Aksesoris</v>
      </c>
      <c r="L969" s="5" t="s">
        <v>471</v>
      </c>
    </row>
    <row r="970" spans="1:12" ht="12" customHeight="1" x14ac:dyDescent="0.25">
      <c r="A970" s="6">
        <v>44822</v>
      </c>
      <c r="B970" s="1">
        <v>2203593</v>
      </c>
      <c r="C970" s="5" t="s">
        <v>414</v>
      </c>
      <c r="D970" s="5" t="str">
        <f>VLOOKUP(C970,[1]master_data!$A$2:$E$495,2,FALSE)</f>
        <v>KOKI T</v>
      </c>
      <c r="E970" s="5">
        <v>10</v>
      </c>
      <c r="F970" s="5">
        <f>VLOOKUP(C970,[1]master_data!$A$2:$E$495,3,FALSE)</f>
        <v>8000</v>
      </c>
      <c r="G970" s="5">
        <f>VLOOKUP(C970,[1]master_data!$A$2:$E$495,4,FALSE)</f>
        <v>15000</v>
      </c>
      <c r="H970" s="5">
        <f t="shared" si="51"/>
        <v>80000</v>
      </c>
      <c r="I970" s="5">
        <f t="shared" si="52"/>
        <v>150000</v>
      </c>
      <c r="J970" s="5">
        <f t="shared" si="53"/>
        <v>70000</v>
      </c>
      <c r="K970" s="5" t="str">
        <f>VLOOKUP(C970,[1]master_data!$A$2:$E$495,5,FALSE)</f>
        <v>Ikan</v>
      </c>
      <c r="L970" s="5" t="s">
        <v>471</v>
      </c>
    </row>
    <row r="971" spans="1:12" ht="12" customHeight="1" x14ac:dyDescent="0.25">
      <c r="A971" s="6">
        <v>44822</v>
      </c>
      <c r="B971" s="1">
        <v>2203592</v>
      </c>
      <c r="C971" s="5" t="s">
        <v>182</v>
      </c>
      <c r="D971" s="5" t="str">
        <f>VLOOKUP(C971,[1]master_data!$A$2:$E$495,2,FALSE)</f>
        <v>LED ARMADA 3 MODE M60</v>
      </c>
      <c r="E971" s="5">
        <v>5</v>
      </c>
      <c r="F971" s="5">
        <f>VLOOKUP(C971,[1]master_data!$A$2:$E$495,3,FALSE)</f>
        <v>29000</v>
      </c>
      <c r="G971" s="5">
        <f>VLOOKUP(C971,[1]master_data!$A$2:$E$495,4,FALSE)</f>
        <v>60000</v>
      </c>
      <c r="H971" s="5">
        <f t="shared" si="51"/>
        <v>145000</v>
      </c>
      <c r="I971" s="5">
        <f t="shared" si="52"/>
        <v>300000</v>
      </c>
      <c r="J971" s="5">
        <f t="shared" si="53"/>
        <v>155000</v>
      </c>
      <c r="K971" s="5" t="str">
        <f>VLOOKUP(C971,[1]master_data!$A$2:$E$495,5,FALSE)</f>
        <v>Aksesoris</v>
      </c>
      <c r="L971" s="5" t="s">
        <v>471</v>
      </c>
    </row>
    <row r="972" spans="1:12" ht="12" customHeight="1" x14ac:dyDescent="0.25">
      <c r="A972" s="6">
        <v>44822</v>
      </c>
      <c r="B972" s="1">
        <v>2203591</v>
      </c>
      <c r="C972" s="5" t="s">
        <v>456</v>
      </c>
      <c r="D972" s="5" t="str">
        <f>VLOOKUP(C972,[1]master_data!$A$2:$E$495,2,FALSE)</f>
        <v>TOMAN</v>
      </c>
      <c r="E972" s="5">
        <v>1</v>
      </c>
      <c r="F972" s="5">
        <f>VLOOKUP(C972,[1]master_data!$A$2:$E$495,3,FALSE)</f>
        <v>10000</v>
      </c>
      <c r="G972" s="5">
        <f>VLOOKUP(C972,[1]master_data!$A$2:$E$495,4,FALSE)</f>
        <v>25000</v>
      </c>
      <c r="H972" s="5">
        <f t="shared" si="51"/>
        <v>10000</v>
      </c>
      <c r="I972" s="5">
        <f t="shared" si="52"/>
        <v>25000</v>
      </c>
      <c r="J972" s="5">
        <f t="shared" si="53"/>
        <v>15000</v>
      </c>
      <c r="K972" s="5" t="str">
        <f>VLOOKUP(C972,[1]master_data!$A$2:$E$495,5,FALSE)</f>
        <v>Ikan</v>
      </c>
      <c r="L972" s="5" t="s">
        <v>471</v>
      </c>
    </row>
    <row r="973" spans="1:12" ht="12" customHeight="1" x14ac:dyDescent="0.25">
      <c r="A973" s="6">
        <v>44822</v>
      </c>
      <c r="B973" s="1">
        <v>2203590</v>
      </c>
      <c r="C973" s="5" t="s">
        <v>441</v>
      </c>
      <c r="D973" s="5" t="str">
        <f>VLOOKUP(C973,[1]master_data!$A$2:$E$495,2,FALSE)</f>
        <v>PEMBERSIH KACA BIASA</v>
      </c>
      <c r="E973" s="5">
        <v>15</v>
      </c>
      <c r="F973" s="5">
        <f>VLOOKUP(C973,[1]master_data!$A$2:$E$495,3,FALSE)</f>
        <v>2000</v>
      </c>
      <c r="G973" s="5">
        <f>VLOOKUP(C973,[1]master_data!$A$2:$E$495,4,FALSE)</f>
        <v>5000</v>
      </c>
      <c r="H973" s="5">
        <f t="shared" si="51"/>
        <v>30000</v>
      </c>
      <c r="I973" s="5">
        <f t="shared" si="52"/>
        <v>75000</v>
      </c>
      <c r="J973" s="5">
        <f t="shared" si="53"/>
        <v>45000</v>
      </c>
      <c r="K973" s="5" t="str">
        <f>VLOOKUP(C973,[1]master_data!$A$2:$E$495,5,FALSE)</f>
        <v>Ikan</v>
      </c>
      <c r="L973" s="5" t="s">
        <v>471</v>
      </c>
    </row>
    <row r="974" spans="1:12" ht="12" customHeight="1" x14ac:dyDescent="0.25">
      <c r="A974" s="6">
        <v>44822</v>
      </c>
      <c r="B974" s="1">
        <v>2203589</v>
      </c>
      <c r="C974" s="5" t="s">
        <v>410</v>
      </c>
      <c r="D974" s="5" t="str">
        <f>VLOOKUP(C974,[1]master_data!$A$2:$E$495,2,FALSE)</f>
        <v>GUPY</v>
      </c>
      <c r="E974" s="5">
        <v>10</v>
      </c>
      <c r="F974" s="5">
        <f>VLOOKUP(C974,[1]master_data!$A$2:$E$495,3,FALSE)</f>
        <v>1200</v>
      </c>
      <c r="G974" s="5">
        <f>VLOOKUP(C974,[1]master_data!$A$2:$E$495,4,FALSE)</f>
        <v>2500</v>
      </c>
      <c r="H974" s="5">
        <f t="shared" si="51"/>
        <v>12000</v>
      </c>
      <c r="I974" s="5">
        <f t="shared" si="52"/>
        <v>25000</v>
      </c>
      <c r="J974" s="5">
        <f t="shared" si="53"/>
        <v>13000</v>
      </c>
      <c r="K974" s="5" t="str">
        <f>VLOOKUP(C974,[1]master_data!$A$2:$E$495,5,FALSE)</f>
        <v>Ikan</v>
      </c>
      <c r="L974" s="5" t="s">
        <v>471</v>
      </c>
    </row>
    <row r="975" spans="1:12" ht="12" customHeight="1" x14ac:dyDescent="0.25">
      <c r="A975" s="6">
        <v>44821</v>
      </c>
      <c r="B975" s="1">
        <v>2203588</v>
      </c>
      <c r="C975" s="5" t="s">
        <v>155</v>
      </c>
      <c r="D975" s="5" t="str">
        <f>VLOOKUP(C975,[1]master_data!$A$2:$E$495,2,FALSE)</f>
        <v>LED KANDILA 2 BRS 40 CM</v>
      </c>
      <c r="E975" s="5">
        <v>10</v>
      </c>
      <c r="F975" s="5">
        <f>VLOOKUP(C975,[1]master_data!$A$2:$E$495,3,FALSE)</f>
        <v>25000</v>
      </c>
      <c r="G975" s="5">
        <f>VLOOKUP(C975,[1]master_data!$A$2:$E$495,4,FALSE)</f>
        <v>45000</v>
      </c>
      <c r="H975" s="5">
        <f t="shared" si="51"/>
        <v>250000</v>
      </c>
      <c r="I975" s="5">
        <f t="shared" si="52"/>
        <v>450000</v>
      </c>
      <c r="J975" s="5">
        <f t="shared" si="53"/>
        <v>200000</v>
      </c>
      <c r="K975" s="5" t="str">
        <f>VLOOKUP(C975,[1]master_data!$A$2:$E$495,5,FALSE)</f>
        <v>Aksesoris</v>
      </c>
      <c r="L975" s="5" t="s">
        <v>471</v>
      </c>
    </row>
    <row r="976" spans="1:12" ht="12" customHeight="1" x14ac:dyDescent="0.25">
      <c r="A976" s="6">
        <v>44821</v>
      </c>
      <c r="B976" s="1">
        <v>2203587</v>
      </c>
      <c r="C976" s="5" t="s">
        <v>364</v>
      </c>
      <c r="D976" s="5" t="str">
        <f>VLOOKUP(C976,[1]master_data!$A$2:$E$495,2,FALSE)</f>
        <v>AKUARIUM 40 ROBOT</v>
      </c>
      <c r="E976" s="5">
        <v>1</v>
      </c>
      <c r="F976" s="5">
        <f>VLOOKUP(C976,[1]master_data!$A$2:$E$495,3,FALSE)</f>
        <v>9000</v>
      </c>
      <c r="G976" s="5">
        <f>VLOOKUP(C976,[1]master_data!$A$2:$E$495,4,FALSE)</f>
        <v>135000</v>
      </c>
      <c r="H976" s="5">
        <f t="shared" si="51"/>
        <v>9000</v>
      </c>
      <c r="I976" s="5">
        <f t="shared" si="52"/>
        <v>135000</v>
      </c>
      <c r="J976" s="5">
        <f t="shared" si="53"/>
        <v>126000</v>
      </c>
      <c r="K976" s="5" t="str">
        <f>VLOOKUP(C976,[1]master_data!$A$2:$E$495,5,FALSE)</f>
        <v>Aksesoris</v>
      </c>
      <c r="L976" s="5" t="s">
        <v>471</v>
      </c>
    </row>
    <row r="977" spans="1:12" ht="12" customHeight="1" x14ac:dyDescent="0.25">
      <c r="A977" s="6">
        <v>44821</v>
      </c>
      <c r="B977" s="1">
        <v>2203586</v>
      </c>
      <c r="C977" s="5" t="s">
        <v>448</v>
      </c>
      <c r="D977" s="5" t="str">
        <f>VLOOKUP(C977,[1]master_data!$A$2:$E$495,2,FALSE)</f>
        <v xml:space="preserve"> CHANNA RED BARITO K</v>
      </c>
      <c r="E977" s="5">
        <v>4</v>
      </c>
      <c r="F977" s="5">
        <f>VLOOKUP(C977,[1]master_data!$A$2:$E$495,3,FALSE)</f>
        <v>45000</v>
      </c>
      <c r="G977" s="5">
        <f>VLOOKUP(C977,[1]master_data!$A$2:$E$495,4,FALSE)</f>
        <v>100000</v>
      </c>
      <c r="H977" s="5">
        <f t="shared" si="51"/>
        <v>180000</v>
      </c>
      <c r="I977" s="5">
        <f t="shared" si="52"/>
        <v>400000</v>
      </c>
      <c r="J977" s="5">
        <f t="shared" si="53"/>
        <v>220000</v>
      </c>
      <c r="K977" s="5" t="str">
        <f>VLOOKUP(C977,[1]master_data!$A$2:$E$495,5,FALSE)</f>
        <v>Ikan</v>
      </c>
      <c r="L977" s="5" t="s">
        <v>471</v>
      </c>
    </row>
    <row r="978" spans="1:12" ht="12" customHeight="1" x14ac:dyDescent="0.25">
      <c r="A978" s="6">
        <v>44820</v>
      </c>
      <c r="B978" s="1">
        <v>2203585</v>
      </c>
      <c r="C978" s="5" t="s">
        <v>422</v>
      </c>
      <c r="D978" s="5" t="str">
        <f>VLOOKUP(C978,[1]master_data!$A$2:$E$495,2,FALSE)</f>
        <v>KOMET SLAYER</v>
      </c>
      <c r="E978" s="5">
        <v>1</v>
      </c>
      <c r="F978" s="5">
        <f>VLOOKUP(C978,[1]master_data!$A$2:$E$495,3,FALSE)</f>
        <v>2000</v>
      </c>
      <c r="G978" s="5">
        <f>VLOOKUP(C978,[1]master_data!$A$2:$E$495,4,FALSE)</f>
        <v>5000</v>
      </c>
      <c r="H978" s="5">
        <f t="shared" si="51"/>
        <v>2000</v>
      </c>
      <c r="I978" s="5">
        <f t="shared" si="52"/>
        <v>5000</v>
      </c>
      <c r="J978" s="5">
        <f t="shared" si="53"/>
        <v>3000</v>
      </c>
      <c r="K978" s="5" t="str">
        <f>VLOOKUP(C978,[1]master_data!$A$2:$E$495,5,FALSE)</f>
        <v>Ikan</v>
      </c>
      <c r="L978" s="5" t="s">
        <v>471</v>
      </c>
    </row>
    <row r="979" spans="1:12" ht="12" customHeight="1" x14ac:dyDescent="0.25">
      <c r="A979" s="6">
        <v>44820</v>
      </c>
      <c r="B979" s="1">
        <v>2203584</v>
      </c>
      <c r="C979" s="5" t="s">
        <v>431</v>
      </c>
      <c r="D979" s="5" t="str">
        <f>VLOOKUP(C979,[1]master_data!$A$2:$E$495,2,FALSE)</f>
        <v>MANFISH B</v>
      </c>
      <c r="E979" s="5">
        <v>12</v>
      </c>
      <c r="F979" s="5">
        <f>VLOOKUP(C979,[1]master_data!$A$2:$E$495,3,FALSE)</f>
        <v>4000</v>
      </c>
      <c r="G979" s="5">
        <f>VLOOKUP(C979,[1]master_data!$A$2:$E$495,4,FALSE)</f>
        <v>10000</v>
      </c>
      <c r="H979" s="5">
        <f t="shared" si="51"/>
        <v>48000</v>
      </c>
      <c r="I979" s="5">
        <f t="shared" si="52"/>
        <v>120000</v>
      </c>
      <c r="J979" s="5">
        <f t="shared" si="53"/>
        <v>72000</v>
      </c>
      <c r="K979" s="5" t="str">
        <f>VLOOKUP(C979,[1]master_data!$A$2:$E$495,5,FALSE)</f>
        <v>Ikan</v>
      </c>
      <c r="L979" s="5" t="s">
        <v>471</v>
      </c>
    </row>
    <row r="980" spans="1:12" ht="12" customHeight="1" x14ac:dyDescent="0.25">
      <c r="A980" s="6">
        <v>44820</v>
      </c>
      <c r="B980" s="1">
        <v>2203583</v>
      </c>
      <c r="C980" s="5" t="s">
        <v>390</v>
      </c>
      <c r="D980" s="5" t="str">
        <f>VLOOKUP(C980,[1]master_data!$A$2:$E$495,2,FALSE)</f>
        <v>CHANNA ASIATICA K</v>
      </c>
      <c r="E980" s="5">
        <v>5</v>
      </c>
      <c r="F980" s="5">
        <f>VLOOKUP(C980,[1]master_data!$A$2:$E$495,3,FALSE)</f>
        <v>10000</v>
      </c>
      <c r="G980" s="5">
        <f>VLOOKUP(C980,[1]master_data!$A$2:$E$495,4,FALSE)</f>
        <v>40000</v>
      </c>
      <c r="H980" s="5">
        <f t="shared" si="51"/>
        <v>50000</v>
      </c>
      <c r="I980" s="5">
        <f t="shared" si="52"/>
        <v>200000</v>
      </c>
      <c r="J980" s="5">
        <f t="shared" si="53"/>
        <v>150000</v>
      </c>
      <c r="K980" s="5" t="str">
        <f>VLOOKUP(C980,[1]master_data!$A$2:$E$495,5,FALSE)</f>
        <v>Ikan</v>
      </c>
      <c r="L980" s="5" t="s">
        <v>471</v>
      </c>
    </row>
    <row r="981" spans="1:12" ht="12" customHeight="1" x14ac:dyDescent="0.25">
      <c r="A981" s="6">
        <v>44820</v>
      </c>
      <c r="B981" s="1">
        <v>2203582</v>
      </c>
      <c r="C981" s="5" t="s">
        <v>462</v>
      </c>
      <c r="D981" s="5" t="str">
        <f>VLOOKUP(C981,[1]master_data!$A$2:$E$495,2,FALSE)</f>
        <v>SEPAT ALBINO</v>
      </c>
      <c r="E981" s="5">
        <v>15</v>
      </c>
      <c r="F981" s="5">
        <f>VLOOKUP(C981,[1]master_data!$A$2:$E$495,3,FALSE)</f>
        <v>2000</v>
      </c>
      <c r="G981" s="5">
        <f>VLOOKUP(C981,[1]master_data!$A$2:$E$495,4,FALSE)</f>
        <v>5000</v>
      </c>
      <c r="H981" s="5">
        <f t="shared" si="51"/>
        <v>30000</v>
      </c>
      <c r="I981" s="5">
        <f t="shared" si="52"/>
        <v>75000</v>
      </c>
      <c r="J981" s="5">
        <f t="shared" si="53"/>
        <v>45000</v>
      </c>
      <c r="K981" s="5" t="str">
        <f>VLOOKUP(C981,[1]master_data!$A$2:$E$495,5,FALSE)</f>
        <v>Ikan</v>
      </c>
      <c r="L981" s="5" t="s">
        <v>471</v>
      </c>
    </row>
    <row r="982" spans="1:12" ht="12" customHeight="1" x14ac:dyDescent="0.25">
      <c r="A982" s="6">
        <v>44820</v>
      </c>
      <c r="B982" s="1">
        <v>2203581</v>
      </c>
      <c r="C982" s="5" t="s">
        <v>397</v>
      </c>
      <c r="D982" s="5" t="str">
        <f>VLOOKUP(C982,[1]master_data!$A$2:$E$495,2,FALSE)</f>
        <v>ALIGATOR</v>
      </c>
      <c r="E982" s="5">
        <v>10</v>
      </c>
      <c r="F982" s="5">
        <f>VLOOKUP(C982,[1]master_data!$A$2:$E$495,3,FALSE)</f>
        <v>17000</v>
      </c>
      <c r="G982" s="5">
        <f>VLOOKUP(C982,[1]master_data!$A$2:$E$495,4,FALSE)</f>
        <v>35000</v>
      </c>
      <c r="H982" s="5">
        <f t="shared" si="51"/>
        <v>170000</v>
      </c>
      <c r="I982" s="5">
        <f t="shared" si="52"/>
        <v>350000</v>
      </c>
      <c r="J982" s="5">
        <f t="shared" si="53"/>
        <v>180000</v>
      </c>
      <c r="K982" s="5" t="str">
        <f>VLOOKUP(C982,[1]master_data!$A$2:$E$495,5,FALSE)</f>
        <v>Ikan</v>
      </c>
      <c r="L982" s="5" t="s">
        <v>471</v>
      </c>
    </row>
    <row r="983" spans="1:12" ht="12" customHeight="1" x14ac:dyDescent="0.25">
      <c r="A983" s="6">
        <v>44819</v>
      </c>
      <c r="B983" s="1">
        <v>2203580</v>
      </c>
      <c r="C983" s="5" t="s">
        <v>456</v>
      </c>
      <c r="D983" s="5" t="str">
        <f>VLOOKUP(C983,[1]master_data!$A$2:$E$495,2,FALSE)</f>
        <v>TOMAN</v>
      </c>
      <c r="E983" s="5">
        <v>5</v>
      </c>
      <c r="F983" s="5">
        <f>VLOOKUP(C983,[1]master_data!$A$2:$E$495,3,FALSE)</f>
        <v>10000</v>
      </c>
      <c r="G983" s="5">
        <f>VLOOKUP(C983,[1]master_data!$A$2:$E$495,4,FALSE)</f>
        <v>25000</v>
      </c>
      <c r="H983" s="5">
        <f t="shared" si="51"/>
        <v>50000</v>
      </c>
      <c r="I983" s="5">
        <f t="shared" si="52"/>
        <v>125000</v>
      </c>
      <c r="J983" s="5">
        <f t="shared" si="53"/>
        <v>75000</v>
      </c>
      <c r="K983" s="5" t="str">
        <f>VLOOKUP(C983,[1]master_data!$A$2:$E$495,5,FALSE)</f>
        <v>Ikan</v>
      </c>
      <c r="L983" s="5" t="s">
        <v>471</v>
      </c>
    </row>
    <row r="984" spans="1:12" ht="12" customHeight="1" x14ac:dyDescent="0.25">
      <c r="A984" s="6">
        <v>44819</v>
      </c>
      <c r="B984" s="1">
        <v>2203579</v>
      </c>
      <c r="C984" s="5" t="s">
        <v>323</v>
      </c>
      <c r="D984" s="5" t="str">
        <f>VLOOKUP(C984,[1]master_data!$A$2:$E$495,2,FALSE)</f>
        <v>AIRSTONE PANJANG 4</v>
      </c>
      <c r="E984" s="5">
        <v>15</v>
      </c>
      <c r="F984" s="5">
        <f>VLOOKUP(C984,[1]master_data!$A$2:$E$495,3,FALSE)</f>
        <v>6000</v>
      </c>
      <c r="G984" s="5">
        <f>VLOOKUP(C984,[1]master_data!$A$2:$E$495,4,FALSE)</f>
        <v>10000</v>
      </c>
      <c r="H984" s="5">
        <f t="shared" si="51"/>
        <v>90000</v>
      </c>
      <c r="I984" s="5">
        <f t="shared" si="52"/>
        <v>150000</v>
      </c>
      <c r="J984" s="5">
        <f t="shared" si="53"/>
        <v>60000</v>
      </c>
      <c r="K984" s="5" t="str">
        <f>VLOOKUP(C984,[1]master_data!$A$2:$E$495,5,FALSE)</f>
        <v>Aksesoris</v>
      </c>
      <c r="L984" s="5" t="s">
        <v>471</v>
      </c>
    </row>
    <row r="985" spans="1:12" ht="12" customHeight="1" x14ac:dyDescent="0.25">
      <c r="A985" s="6">
        <v>44819</v>
      </c>
      <c r="B985" s="1">
        <v>2203578</v>
      </c>
      <c r="C985" s="5" t="s">
        <v>226</v>
      </c>
      <c r="D985" s="5" t="str">
        <f>VLOOKUP(C985,[1]master_data!$A$2:$E$495,2,FALSE)</f>
        <v>SAN KOI 5MM</v>
      </c>
      <c r="E985" s="5">
        <v>10</v>
      </c>
      <c r="F985" s="5">
        <f>VLOOKUP(C985,[1]master_data!$A$2:$E$495,3,FALSE)</f>
        <v>61750</v>
      </c>
      <c r="G985" s="5">
        <f>VLOOKUP(C985,[1]master_data!$A$2:$E$495,4,FALSE)</f>
        <v>75000</v>
      </c>
      <c r="H985" s="5">
        <f t="shared" si="51"/>
        <v>617500</v>
      </c>
      <c r="I985" s="5">
        <f t="shared" si="52"/>
        <v>750000</v>
      </c>
      <c r="J985" s="5">
        <f t="shared" si="53"/>
        <v>132500</v>
      </c>
      <c r="K985" s="5" t="str">
        <f>VLOOKUP(C985,[1]master_data!$A$2:$E$495,5,FALSE)</f>
        <v>Aksesoris</v>
      </c>
      <c r="L985" s="5" t="s">
        <v>471</v>
      </c>
    </row>
    <row r="986" spans="1:12" ht="12" customHeight="1" x14ac:dyDescent="0.25">
      <c r="A986" s="6">
        <v>44819</v>
      </c>
      <c r="B986" s="1">
        <v>2203577</v>
      </c>
      <c r="C986" s="5" t="s">
        <v>331</v>
      </c>
      <c r="D986" s="5" t="str">
        <f>VLOOKUP(C986,[1]master_data!$A$2:$E$495,2,FALSE)</f>
        <v>KAPAS BANTAL</v>
      </c>
      <c r="E986" s="5">
        <v>5</v>
      </c>
      <c r="F986" s="5">
        <f>VLOOKUP(C986,[1]master_data!$A$2:$E$495,3,FALSE)</f>
        <v>10000</v>
      </c>
      <c r="G986" s="5">
        <f>VLOOKUP(C986,[1]master_data!$A$2:$E$495,4,FALSE)</f>
        <v>20000</v>
      </c>
      <c r="H986" s="5">
        <f t="shared" si="51"/>
        <v>50000</v>
      </c>
      <c r="I986" s="5">
        <f t="shared" si="52"/>
        <v>100000</v>
      </c>
      <c r="J986" s="5">
        <f t="shared" si="53"/>
        <v>50000</v>
      </c>
      <c r="K986" s="5" t="str">
        <f>VLOOKUP(C986,[1]master_data!$A$2:$E$495,5,FALSE)</f>
        <v>Aksesoris</v>
      </c>
      <c r="L986" s="5" t="s">
        <v>471</v>
      </c>
    </row>
    <row r="987" spans="1:12" ht="12" customHeight="1" x14ac:dyDescent="0.25">
      <c r="A987" s="6">
        <v>44819</v>
      </c>
      <c r="B987" s="1">
        <v>2203576</v>
      </c>
      <c r="C987" s="5" t="s">
        <v>425</v>
      </c>
      <c r="D987" s="5" t="str">
        <f>VLOOKUP(C987,[1]master_data!$A$2:$E$495,2,FALSE)</f>
        <v>CAROLINE</v>
      </c>
      <c r="E987" s="5">
        <v>25</v>
      </c>
      <c r="F987" s="5">
        <f>VLOOKUP(C987,[1]master_data!$A$2:$E$495,3,FALSE)</f>
        <v>900</v>
      </c>
      <c r="G987" s="5">
        <f>VLOOKUP(C987,[1]master_data!$A$2:$E$495,4,FALSE)</f>
        <v>2000</v>
      </c>
      <c r="H987" s="5">
        <f t="shared" si="51"/>
        <v>22500</v>
      </c>
      <c r="I987" s="5">
        <f t="shared" si="52"/>
        <v>50000</v>
      </c>
      <c r="J987" s="5">
        <f t="shared" si="53"/>
        <v>27500</v>
      </c>
      <c r="K987" s="5" t="str">
        <f>VLOOKUP(C987,[1]master_data!$A$2:$E$495,5,FALSE)</f>
        <v>Ikan</v>
      </c>
      <c r="L987" s="5" t="s">
        <v>471</v>
      </c>
    </row>
    <row r="988" spans="1:12" ht="12" customHeight="1" x14ac:dyDescent="0.25">
      <c r="A988" s="6">
        <v>44819</v>
      </c>
      <c r="B988" s="1">
        <v>2203575</v>
      </c>
      <c r="C988" s="5" t="s">
        <v>412</v>
      </c>
      <c r="D988" s="5" t="str">
        <f>VLOOKUP(C988,[1]master_data!$A$2:$E$495,2,FALSE)</f>
        <v>HIU TAWAR</v>
      </c>
      <c r="E988" s="5">
        <v>10</v>
      </c>
      <c r="F988" s="5">
        <f>VLOOKUP(C988,[1]master_data!$A$2:$E$495,3,FALSE)</f>
        <v>600</v>
      </c>
      <c r="G988" s="5">
        <f>VLOOKUP(C988,[1]master_data!$A$2:$E$495,4,FALSE)</f>
        <v>2000</v>
      </c>
      <c r="H988" s="5">
        <f t="shared" si="51"/>
        <v>6000</v>
      </c>
      <c r="I988" s="5">
        <f t="shared" si="52"/>
        <v>20000</v>
      </c>
      <c r="J988" s="5">
        <f t="shared" si="53"/>
        <v>14000</v>
      </c>
      <c r="K988" s="5" t="str">
        <f>VLOOKUP(C988,[1]master_data!$A$2:$E$495,5,FALSE)</f>
        <v>Ikan</v>
      </c>
      <c r="L988" s="5" t="s">
        <v>471</v>
      </c>
    </row>
    <row r="989" spans="1:12" ht="12" customHeight="1" x14ac:dyDescent="0.25">
      <c r="A989" s="6">
        <v>44819</v>
      </c>
      <c r="B989" s="1">
        <v>2203574</v>
      </c>
      <c r="C989" s="5" t="s">
        <v>457</v>
      </c>
      <c r="D989" s="5" t="str">
        <f>VLOOKUP(C989,[1]master_data!$A$2:$E$495,2,FALSE)</f>
        <v>ZEBRA PINK</v>
      </c>
      <c r="E989" s="5">
        <v>15</v>
      </c>
      <c r="F989" s="5">
        <f>VLOOKUP(C989,[1]master_data!$A$2:$E$495,3,FALSE)</f>
        <v>800</v>
      </c>
      <c r="G989" s="5">
        <f>VLOOKUP(C989,[1]master_data!$A$2:$E$495,4,FALSE)</f>
        <v>2000</v>
      </c>
      <c r="H989" s="5">
        <f t="shared" si="51"/>
        <v>12000</v>
      </c>
      <c r="I989" s="5">
        <f t="shared" si="52"/>
        <v>30000</v>
      </c>
      <c r="J989" s="5">
        <f t="shared" si="53"/>
        <v>18000</v>
      </c>
      <c r="K989" s="5" t="str">
        <f>VLOOKUP(C989,[1]master_data!$A$2:$E$495,5,FALSE)</f>
        <v>Ikan</v>
      </c>
      <c r="L989" s="5" t="s">
        <v>471</v>
      </c>
    </row>
    <row r="990" spans="1:12" ht="12" customHeight="1" x14ac:dyDescent="0.25">
      <c r="A990" s="6">
        <v>44819</v>
      </c>
      <c r="B990" s="1">
        <v>2203573</v>
      </c>
      <c r="C990" s="5" t="s">
        <v>425</v>
      </c>
      <c r="D990" s="5" t="str">
        <f>VLOOKUP(C990,[1]master_data!$A$2:$E$495,2,FALSE)</f>
        <v>CAROLINE</v>
      </c>
      <c r="E990" s="5">
        <v>20</v>
      </c>
      <c r="F990" s="5">
        <f>VLOOKUP(C990,[1]master_data!$A$2:$E$495,3,FALSE)</f>
        <v>900</v>
      </c>
      <c r="G990" s="5">
        <f>VLOOKUP(C990,[1]master_data!$A$2:$E$495,4,FALSE)</f>
        <v>2000</v>
      </c>
      <c r="H990" s="5">
        <f t="shared" si="51"/>
        <v>18000</v>
      </c>
      <c r="I990" s="5">
        <f t="shared" si="52"/>
        <v>40000</v>
      </c>
      <c r="J990" s="5">
        <f t="shared" si="53"/>
        <v>22000</v>
      </c>
      <c r="K990" s="5" t="str">
        <f>VLOOKUP(C990,[1]master_data!$A$2:$E$495,5,FALSE)</f>
        <v>Ikan</v>
      </c>
      <c r="L990" s="5" t="s">
        <v>471</v>
      </c>
    </row>
    <row r="991" spans="1:12" ht="12" customHeight="1" x14ac:dyDescent="0.25">
      <c r="A991" s="6">
        <v>44819</v>
      </c>
      <c r="B991" s="1">
        <v>2203572</v>
      </c>
      <c r="C991" s="5" t="s">
        <v>149</v>
      </c>
      <c r="D991" s="5" t="str">
        <f>VLOOKUP(C991,[1]master_data!$A$2:$E$495,2,FALSE)</f>
        <v>LED VOSSO 50-60 CM</v>
      </c>
      <c r="E991" s="5">
        <v>2</v>
      </c>
      <c r="F991" s="5">
        <f>VLOOKUP(C991,[1]master_data!$A$2:$E$495,3,FALSE)</f>
        <v>50000</v>
      </c>
      <c r="G991" s="5">
        <f>VLOOKUP(C991,[1]master_data!$A$2:$E$495,4,FALSE)</f>
        <v>75000</v>
      </c>
      <c r="H991" s="5">
        <f t="shared" si="51"/>
        <v>100000</v>
      </c>
      <c r="I991" s="5">
        <f t="shared" si="52"/>
        <v>150000</v>
      </c>
      <c r="J991" s="5">
        <f t="shared" si="53"/>
        <v>50000</v>
      </c>
      <c r="K991" s="5" t="str">
        <f>VLOOKUP(C991,[1]master_data!$A$2:$E$495,5,FALSE)</f>
        <v>Aksesoris</v>
      </c>
      <c r="L991" s="5" t="s">
        <v>471</v>
      </c>
    </row>
    <row r="992" spans="1:12" ht="12" customHeight="1" x14ac:dyDescent="0.25">
      <c r="A992" s="6">
        <v>44819</v>
      </c>
      <c r="B992" s="1">
        <v>2203571</v>
      </c>
      <c r="C992" s="5" t="s">
        <v>423</v>
      </c>
      <c r="D992" s="5" t="str">
        <f>VLOOKUP(C992,[1]master_data!$A$2:$E$495,2,FALSE)</f>
        <v>KOI SLAYER K</v>
      </c>
      <c r="E992" s="5">
        <v>1</v>
      </c>
      <c r="F992" s="5">
        <f>VLOOKUP(C992,[1]master_data!$A$2:$E$495,3,FALSE)</f>
        <v>3500</v>
      </c>
      <c r="G992" s="5">
        <f>VLOOKUP(C992,[1]master_data!$A$2:$E$495,4,FALSE)</f>
        <v>10000</v>
      </c>
      <c r="H992" s="5">
        <f t="shared" si="51"/>
        <v>3500</v>
      </c>
      <c r="I992" s="5">
        <f t="shared" si="52"/>
        <v>10000</v>
      </c>
      <c r="J992" s="5">
        <f t="shared" si="53"/>
        <v>6500</v>
      </c>
      <c r="K992" s="5" t="str">
        <f>VLOOKUP(C992,[1]master_data!$A$2:$E$495,5,FALSE)</f>
        <v>Ikan</v>
      </c>
      <c r="L992" s="5" t="s">
        <v>471</v>
      </c>
    </row>
    <row r="993" spans="1:12" ht="12" customHeight="1" x14ac:dyDescent="0.25">
      <c r="A993" s="6">
        <v>44818</v>
      </c>
      <c r="B993" s="1">
        <v>2203570</v>
      </c>
      <c r="C993" s="5" t="s">
        <v>438</v>
      </c>
      <c r="D993" s="5" t="str">
        <f>VLOOKUP(C993,[1]master_data!$A$2:$E$495,2,FALSE)</f>
        <v>NENTINEN</v>
      </c>
      <c r="E993" s="5">
        <v>30</v>
      </c>
      <c r="F993" s="5">
        <f>VLOOKUP(C993,[1]master_data!$A$2:$E$495,3,FALSE)</f>
        <v>1000</v>
      </c>
      <c r="G993" s="5">
        <f>VLOOKUP(C993,[1]master_data!$A$2:$E$495,4,FALSE)</f>
        <v>2500</v>
      </c>
      <c r="H993" s="5">
        <f t="shared" si="51"/>
        <v>30000</v>
      </c>
      <c r="I993" s="5">
        <f t="shared" si="52"/>
        <v>75000</v>
      </c>
      <c r="J993" s="5">
        <f t="shared" si="53"/>
        <v>45000</v>
      </c>
      <c r="K993" s="5" t="str">
        <f>VLOOKUP(C993,[1]master_data!$A$2:$E$495,5,FALSE)</f>
        <v>Ikan</v>
      </c>
      <c r="L993" s="5" t="s">
        <v>471</v>
      </c>
    </row>
    <row r="994" spans="1:12" ht="12" customHeight="1" x14ac:dyDescent="0.25">
      <c r="A994" s="6">
        <v>44818</v>
      </c>
      <c r="B994" s="1">
        <v>2203569</v>
      </c>
      <c r="C994" s="5" t="s">
        <v>175</v>
      </c>
      <c r="D994" s="5" t="str">
        <f>VLOOKUP(C994,[1]master_data!$A$2:$E$495,2,FALSE)</f>
        <v>LED KANDILA DnN 100 CM</v>
      </c>
      <c r="E994" s="5">
        <v>2</v>
      </c>
      <c r="F994" s="5">
        <f>VLOOKUP(C994,[1]master_data!$A$2:$E$495,3,FALSE)</f>
        <v>55000</v>
      </c>
      <c r="G994" s="5">
        <f>VLOOKUP(C994,[1]master_data!$A$2:$E$495,4,FALSE)</f>
        <v>100000</v>
      </c>
      <c r="H994" s="5">
        <f t="shared" si="51"/>
        <v>110000</v>
      </c>
      <c r="I994" s="5">
        <f t="shared" si="52"/>
        <v>200000</v>
      </c>
      <c r="J994" s="5">
        <f t="shared" si="53"/>
        <v>90000</v>
      </c>
      <c r="K994" s="5" t="str">
        <f>VLOOKUP(C994,[1]master_data!$A$2:$E$495,5,FALSE)</f>
        <v>Aksesoris</v>
      </c>
      <c r="L994" s="5" t="s">
        <v>471</v>
      </c>
    </row>
    <row r="995" spans="1:12" ht="12" customHeight="1" x14ac:dyDescent="0.25">
      <c r="A995" s="6">
        <v>44818</v>
      </c>
      <c r="B995" s="1">
        <v>2203568</v>
      </c>
      <c r="C995" s="5" t="s">
        <v>459</v>
      </c>
      <c r="D995" s="5" t="str">
        <f>VLOOKUP(C995,[1]master_data!$A$2:$E$495,2,FALSE)</f>
        <v>ZEBRA UNGU</v>
      </c>
      <c r="E995" s="5">
        <v>15</v>
      </c>
      <c r="F995" s="5">
        <f>VLOOKUP(C995,[1]master_data!$A$2:$E$495,3,FALSE)</f>
        <v>800</v>
      </c>
      <c r="G995" s="5">
        <f>VLOOKUP(C995,[1]master_data!$A$2:$E$495,4,FALSE)</f>
        <v>2000</v>
      </c>
      <c r="H995" s="5">
        <f t="shared" si="51"/>
        <v>12000</v>
      </c>
      <c r="I995" s="5">
        <f t="shared" si="52"/>
        <v>30000</v>
      </c>
      <c r="J995" s="5">
        <f t="shared" si="53"/>
        <v>18000</v>
      </c>
      <c r="K995" s="5" t="str">
        <f>VLOOKUP(C995,[1]master_data!$A$2:$E$495,5,FALSE)</f>
        <v>Ikan</v>
      </c>
      <c r="L995" s="5" t="s">
        <v>471</v>
      </c>
    </row>
    <row r="996" spans="1:12" ht="12" customHeight="1" x14ac:dyDescent="0.25">
      <c r="A996" s="6">
        <v>44818</v>
      </c>
      <c r="B996" s="1">
        <v>2203567</v>
      </c>
      <c r="C996" s="5" t="s">
        <v>90</v>
      </c>
      <c r="D996" s="5" t="str">
        <f>VLOOKUP(C996,[1]master_data!$A$2:$E$495,2,FALSE)</f>
        <v>MESIN AMARA 107</v>
      </c>
      <c r="E996" s="5">
        <v>1</v>
      </c>
      <c r="F996" s="5">
        <f>VLOOKUP(C996,[1]master_data!$A$2:$E$495,3,FALSE)</f>
        <v>310000</v>
      </c>
      <c r="G996" s="5">
        <f>VLOOKUP(C996,[1]master_data!$A$2:$E$495,4,FALSE)</f>
        <v>380000</v>
      </c>
      <c r="H996" s="5">
        <f t="shared" si="51"/>
        <v>310000</v>
      </c>
      <c r="I996" s="5">
        <f t="shared" si="52"/>
        <v>380000</v>
      </c>
      <c r="J996" s="5">
        <f t="shared" si="53"/>
        <v>70000</v>
      </c>
      <c r="K996" s="5" t="str">
        <f>VLOOKUP(C996,[1]master_data!$A$2:$E$495,5,FALSE)</f>
        <v>Aksesoris</v>
      </c>
      <c r="L996" s="5" t="s">
        <v>471</v>
      </c>
    </row>
    <row r="997" spans="1:12" ht="12" customHeight="1" x14ac:dyDescent="0.25">
      <c r="A997" s="6">
        <v>44818</v>
      </c>
      <c r="B997" s="1">
        <v>2203566</v>
      </c>
      <c r="C997" s="5" t="s">
        <v>459</v>
      </c>
      <c r="D997" s="5" t="str">
        <f>VLOOKUP(C997,[1]master_data!$A$2:$E$495,2,FALSE)</f>
        <v>ZEBRA UNGU</v>
      </c>
      <c r="E997" s="5">
        <v>20</v>
      </c>
      <c r="F997" s="5">
        <f>VLOOKUP(C997,[1]master_data!$A$2:$E$495,3,FALSE)</f>
        <v>800</v>
      </c>
      <c r="G997" s="5">
        <f>VLOOKUP(C997,[1]master_data!$A$2:$E$495,4,FALSE)</f>
        <v>2000</v>
      </c>
      <c r="H997" s="5">
        <f t="shared" si="51"/>
        <v>16000</v>
      </c>
      <c r="I997" s="5">
        <f t="shared" si="52"/>
        <v>40000</v>
      </c>
      <c r="J997" s="5">
        <f t="shared" si="53"/>
        <v>24000</v>
      </c>
      <c r="K997" s="5" t="str">
        <f>VLOOKUP(C997,[1]master_data!$A$2:$E$495,5,FALSE)</f>
        <v>Ikan</v>
      </c>
      <c r="L997" s="5" t="s">
        <v>471</v>
      </c>
    </row>
    <row r="998" spans="1:12" ht="12" customHeight="1" x14ac:dyDescent="0.25">
      <c r="A998" s="6">
        <v>44818</v>
      </c>
      <c r="B998" s="1">
        <v>2203565</v>
      </c>
      <c r="C998" s="5" t="s">
        <v>440</v>
      </c>
      <c r="D998" s="5" t="str">
        <f>VLOOKUP(C998,[1]master_data!$A$2:$E$495,2,FALSE)</f>
        <v>OSCAR</v>
      </c>
      <c r="E998" s="5">
        <v>5</v>
      </c>
      <c r="F998" s="5">
        <f>VLOOKUP(C998,[1]master_data!$A$2:$E$495,3,FALSE)</f>
        <v>25000</v>
      </c>
      <c r="G998" s="5">
        <f>VLOOKUP(C998,[1]master_data!$A$2:$E$495,4,FALSE)</f>
        <v>50000</v>
      </c>
      <c r="H998" s="5">
        <f t="shared" si="51"/>
        <v>125000</v>
      </c>
      <c r="I998" s="5">
        <f t="shared" si="52"/>
        <v>250000</v>
      </c>
      <c r="J998" s="5">
        <f t="shared" si="53"/>
        <v>125000</v>
      </c>
      <c r="K998" s="5" t="str">
        <f>VLOOKUP(C998,[1]master_data!$A$2:$E$495,5,FALSE)</f>
        <v>Ikan</v>
      </c>
      <c r="L998" s="5" t="s">
        <v>471</v>
      </c>
    </row>
    <row r="999" spans="1:12" ht="12" customHeight="1" x14ac:dyDescent="0.25">
      <c r="A999" s="6">
        <v>44818</v>
      </c>
      <c r="B999" s="1">
        <v>2203564</v>
      </c>
      <c r="C999" s="5" t="s">
        <v>248</v>
      </c>
      <c r="D999" s="5" t="str">
        <f>VLOOKUP(C999,[1]master_data!$A$2:$E$495,2,FALSE)</f>
        <v>MATLINE BLUE</v>
      </c>
      <c r="E999" s="5">
        <v>10</v>
      </c>
      <c r="F999" s="5">
        <f>VLOOKUP(C999,[1]master_data!$A$2:$E$495,3,FALSE)</f>
        <v>7000</v>
      </c>
      <c r="G999" s="5">
        <f>VLOOKUP(C999,[1]master_data!$A$2:$E$495,4,FALSE)</f>
        <v>10000</v>
      </c>
      <c r="H999" s="5">
        <f t="shared" si="51"/>
        <v>70000</v>
      </c>
      <c r="I999" s="5">
        <f t="shared" si="52"/>
        <v>100000</v>
      </c>
      <c r="J999" s="5">
        <f t="shared" si="53"/>
        <v>30000</v>
      </c>
      <c r="K999" s="5" t="str">
        <f>VLOOKUP(C999,[1]master_data!$A$2:$E$495,5,FALSE)</f>
        <v>Aksesoris</v>
      </c>
      <c r="L999" s="5" t="s">
        <v>471</v>
      </c>
    </row>
    <row r="1000" spans="1:12" ht="12" customHeight="1" x14ac:dyDescent="0.25">
      <c r="A1000" s="6">
        <v>44818</v>
      </c>
      <c r="B1000" s="1">
        <v>2203563</v>
      </c>
      <c r="C1000" s="5" t="s">
        <v>450</v>
      </c>
      <c r="D1000" s="5" t="str">
        <f>VLOOKUP(C1000,[1]master_data!$A$2:$E$495,2,FALSE)</f>
        <v>SUMATRA BIASA</v>
      </c>
      <c r="E1000" s="5">
        <v>25</v>
      </c>
      <c r="F1000" s="5">
        <f>VLOOKUP(C1000,[1]master_data!$A$2:$E$495,3,FALSE)</f>
        <v>800</v>
      </c>
      <c r="G1000" s="5">
        <f>VLOOKUP(C1000,[1]master_data!$A$2:$E$495,4,FALSE)</f>
        <v>2000</v>
      </c>
      <c r="H1000" s="5">
        <f t="shared" si="51"/>
        <v>20000</v>
      </c>
      <c r="I1000" s="5">
        <f t="shared" si="52"/>
        <v>50000</v>
      </c>
      <c r="J1000" s="5">
        <f t="shared" si="53"/>
        <v>30000</v>
      </c>
      <c r="K1000" s="5" t="str">
        <f>VLOOKUP(C1000,[1]master_data!$A$2:$E$495,5,FALSE)</f>
        <v>Ikan</v>
      </c>
      <c r="L1000" s="5" t="s">
        <v>471</v>
      </c>
    </row>
    <row r="1001" spans="1:12" ht="12" customHeight="1" x14ac:dyDescent="0.25">
      <c r="A1001" s="6">
        <v>44818</v>
      </c>
      <c r="B1001" s="1">
        <v>2203562</v>
      </c>
      <c r="C1001" s="5" t="s">
        <v>397</v>
      </c>
      <c r="D1001" s="5" t="str">
        <f>VLOOKUP(C1001,[1]master_data!$A$2:$E$495,2,FALSE)</f>
        <v>ALIGATOR</v>
      </c>
      <c r="E1001" s="5">
        <v>1</v>
      </c>
      <c r="F1001" s="5">
        <f>VLOOKUP(C1001,[1]master_data!$A$2:$E$495,3,FALSE)</f>
        <v>17000</v>
      </c>
      <c r="G1001" s="5">
        <f>VLOOKUP(C1001,[1]master_data!$A$2:$E$495,4,FALSE)</f>
        <v>35000</v>
      </c>
      <c r="H1001" s="5">
        <f t="shared" si="51"/>
        <v>17000</v>
      </c>
      <c r="I1001" s="5">
        <f t="shared" si="52"/>
        <v>35000</v>
      </c>
      <c r="J1001" s="5">
        <f t="shared" si="53"/>
        <v>18000</v>
      </c>
      <c r="K1001" s="5" t="str">
        <f>VLOOKUP(C1001,[1]master_data!$A$2:$E$495,5,FALSE)</f>
        <v>Ikan</v>
      </c>
      <c r="L1001" s="5" t="s">
        <v>471</v>
      </c>
    </row>
    <row r="1002" spans="1:12" ht="12" customHeight="1" x14ac:dyDescent="0.25">
      <c r="A1002" s="6">
        <v>44817</v>
      </c>
      <c r="B1002" s="1">
        <v>2203561</v>
      </c>
      <c r="C1002" s="5" t="s">
        <v>127</v>
      </c>
      <c r="D1002" s="5" t="str">
        <f>VLOOKUP(C1002,[1]master_data!$A$2:$E$495,2,FALSE)</f>
        <v>LED YAMANO 3W</v>
      </c>
      <c r="E1002" s="5">
        <v>2</v>
      </c>
      <c r="F1002" s="5">
        <f>VLOOKUP(C1002,[1]master_data!$A$2:$E$495,3,FALSE)</f>
        <v>37000</v>
      </c>
      <c r="G1002" s="5">
        <f>VLOOKUP(C1002,[1]master_data!$A$2:$E$495,4,FALSE)</f>
        <v>60000</v>
      </c>
      <c r="H1002" s="5">
        <f t="shared" si="51"/>
        <v>74000</v>
      </c>
      <c r="I1002" s="5">
        <f t="shared" si="52"/>
        <v>120000</v>
      </c>
      <c r="J1002" s="5">
        <f t="shared" si="53"/>
        <v>46000</v>
      </c>
      <c r="K1002" s="5" t="str">
        <f>VLOOKUP(C1002,[1]master_data!$A$2:$E$495,5,FALSE)</f>
        <v>Aksesoris</v>
      </c>
      <c r="L1002" s="5" t="s">
        <v>471</v>
      </c>
    </row>
    <row r="1003" spans="1:12" ht="12" customHeight="1" x14ac:dyDescent="0.25">
      <c r="A1003" s="6">
        <v>44817</v>
      </c>
      <c r="B1003" s="1">
        <v>2203560</v>
      </c>
      <c r="C1003" s="5" t="s">
        <v>418</v>
      </c>
      <c r="D1003" s="5" t="str">
        <f>VLOOKUP(C1003,[1]master_data!$A$2:$E$495,2,FALSE)</f>
        <v>KOI B</v>
      </c>
      <c r="E1003" s="5">
        <v>2</v>
      </c>
      <c r="F1003" s="5">
        <f>VLOOKUP(C1003,[1]master_data!$A$2:$E$495,3,FALSE)</f>
        <v>9000</v>
      </c>
      <c r="G1003" s="5">
        <f>VLOOKUP(C1003,[1]master_data!$A$2:$E$495,4,FALSE)</f>
        <v>30000</v>
      </c>
      <c r="H1003" s="5">
        <f t="shared" si="51"/>
        <v>18000</v>
      </c>
      <c r="I1003" s="5">
        <f t="shared" si="52"/>
        <v>60000</v>
      </c>
      <c r="J1003" s="5">
        <f t="shared" si="53"/>
        <v>42000</v>
      </c>
      <c r="K1003" s="5" t="str">
        <f>VLOOKUP(C1003,[1]master_data!$A$2:$E$495,5,FALSE)</f>
        <v>Ikan</v>
      </c>
      <c r="L1003" s="5" t="s">
        <v>471</v>
      </c>
    </row>
    <row r="1004" spans="1:12" ht="12" customHeight="1" x14ac:dyDescent="0.25">
      <c r="A1004" s="6">
        <v>44817</v>
      </c>
      <c r="B1004" s="1">
        <v>2203559</v>
      </c>
      <c r="C1004" s="5" t="s">
        <v>29</v>
      </c>
      <c r="D1004" s="5" t="str">
        <f>VLOOKUP(C1004,[1]master_data!$A$2:$E$495,2,FALSE)</f>
        <v>MESIN ROSTON 108</v>
      </c>
      <c r="E1004" s="5">
        <v>1</v>
      </c>
      <c r="F1004" s="5">
        <f>VLOOKUP(C1004,[1]master_data!$A$2:$E$495,3,FALSE)</f>
        <v>190000</v>
      </c>
      <c r="G1004" s="5">
        <f>VLOOKUP(C1004,[1]master_data!$A$2:$E$495,4,FALSE)</f>
        <v>275000</v>
      </c>
      <c r="H1004" s="5">
        <f t="shared" si="51"/>
        <v>190000</v>
      </c>
      <c r="I1004" s="5">
        <f t="shared" si="52"/>
        <v>275000</v>
      </c>
      <c r="J1004" s="5">
        <f t="shared" si="53"/>
        <v>85000</v>
      </c>
      <c r="K1004" s="5" t="str">
        <f>VLOOKUP(C1004,[1]master_data!$A$2:$E$495,5,FALSE)</f>
        <v>Aksesoris</v>
      </c>
      <c r="L1004" s="5" t="s">
        <v>471</v>
      </c>
    </row>
    <row r="1005" spans="1:12" ht="12" customHeight="1" x14ac:dyDescent="0.25">
      <c r="A1005" s="6">
        <v>44817</v>
      </c>
      <c r="B1005" s="1">
        <v>2203558</v>
      </c>
      <c r="C1005" s="5" t="s">
        <v>431</v>
      </c>
      <c r="D1005" s="5" t="str">
        <f>VLOOKUP(C1005,[1]master_data!$A$2:$E$495,2,FALSE)</f>
        <v>MANFISH B</v>
      </c>
      <c r="E1005" s="5">
        <v>1</v>
      </c>
      <c r="F1005" s="5">
        <f>VLOOKUP(C1005,[1]master_data!$A$2:$E$495,3,FALSE)</f>
        <v>4000</v>
      </c>
      <c r="G1005" s="5">
        <f>VLOOKUP(C1005,[1]master_data!$A$2:$E$495,4,FALSE)</f>
        <v>10000</v>
      </c>
      <c r="H1005" s="5">
        <f t="shared" si="51"/>
        <v>4000</v>
      </c>
      <c r="I1005" s="5">
        <f t="shared" si="52"/>
        <v>10000</v>
      </c>
      <c r="J1005" s="5">
        <f t="shared" si="53"/>
        <v>6000</v>
      </c>
      <c r="K1005" s="5" t="str">
        <f>VLOOKUP(C1005,[1]master_data!$A$2:$E$495,5,FALSE)</f>
        <v>Ikan</v>
      </c>
      <c r="L1005" s="5" t="s">
        <v>471</v>
      </c>
    </row>
    <row r="1006" spans="1:12" ht="12" customHeight="1" x14ac:dyDescent="0.25">
      <c r="A1006" s="6">
        <v>44817</v>
      </c>
      <c r="B1006" s="1">
        <v>2203557</v>
      </c>
      <c r="C1006" s="5" t="s">
        <v>430</v>
      </c>
      <c r="D1006" s="5" t="str">
        <f>VLOOKUP(C1006,[1]master_data!$A$2:$E$495,2,FALSE)</f>
        <v>MANFISH K</v>
      </c>
      <c r="E1006" s="5">
        <v>10</v>
      </c>
      <c r="F1006" s="5">
        <f>VLOOKUP(C1006,[1]master_data!$A$2:$E$495,3,FALSE)</f>
        <v>2000</v>
      </c>
      <c r="G1006" s="5">
        <f>VLOOKUP(C1006,[1]master_data!$A$2:$E$495,4,FALSE)</f>
        <v>5000</v>
      </c>
      <c r="H1006" s="5">
        <f t="shared" si="51"/>
        <v>20000</v>
      </c>
      <c r="I1006" s="5">
        <f t="shared" si="52"/>
        <v>50000</v>
      </c>
      <c r="J1006" s="5">
        <f t="shared" si="53"/>
        <v>30000</v>
      </c>
      <c r="K1006" s="5" t="str">
        <f>VLOOKUP(C1006,[1]master_data!$A$2:$E$495,5,FALSE)</f>
        <v>Ikan</v>
      </c>
      <c r="L1006" s="5" t="s">
        <v>471</v>
      </c>
    </row>
    <row r="1007" spans="1:12" ht="12" customHeight="1" x14ac:dyDescent="0.25">
      <c r="A1007" s="6">
        <v>44817</v>
      </c>
      <c r="B1007" s="1">
        <v>2203556</v>
      </c>
      <c r="C1007" s="5" t="s">
        <v>173</v>
      </c>
      <c r="D1007" s="5" t="str">
        <f>VLOOKUP(C1007,[1]master_data!$A$2:$E$495,2,FALSE)</f>
        <v>LED KANDILA DnN 40 CM</v>
      </c>
      <c r="E1007" s="5">
        <v>2</v>
      </c>
      <c r="F1007" s="5">
        <f>VLOOKUP(C1007,[1]master_data!$A$2:$E$495,3,FALSE)</f>
        <v>30000</v>
      </c>
      <c r="G1007" s="5">
        <f>VLOOKUP(C1007,[1]master_data!$A$2:$E$495,4,FALSE)</f>
        <v>50000</v>
      </c>
      <c r="H1007" s="5">
        <f t="shared" si="51"/>
        <v>60000</v>
      </c>
      <c r="I1007" s="5">
        <f t="shared" si="52"/>
        <v>100000</v>
      </c>
      <c r="J1007" s="5">
        <f t="shared" si="53"/>
        <v>40000</v>
      </c>
      <c r="K1007" s="5" t="str">
        <f>VLOOKUP(C1007,[1]master_data!$A$2:$E$495,5,FALSE)</f>
        <v>Aksesoris</v>
      </c>
      <c r="L1007" s="5" t="s">
        <v>471</v>
      </c>
    </row>
    <row r="1008" spans="1:12" ht="12" customHeight="1" x14ac:dyDescent="0.25">
      <c r="A1008" s="6">
        <v>44817</v>
      </c>
      <c r="B1008" s="1">
        <v>2203555</v>
      </c>
      <c r="C1008" s="5" t="s">
        <v>248</v>
      </c>
      <c r="D1008" s="5" t="str">
        <f>VLOOKUP(C1008,[1]master_data!$A$2:$E$495,2,FALSE)</f>
        <v>MATLINE BLUE</v>
      </c>
      <c r="E1008" s="5">
        <v>15</v>
      </c>
      <c r="F1008" s="5">
        <f>VLOOKUP(C1008,[1]master_data!$A$2:$E$495,3,FALSE)</f>
        <v>7000</v>
      </c>
      <c r="G1008" s="5">
        <f>VLOOKUP(C1008,[1]master_data!$A$2:$E$495,4,FALSE)</f>
        <v>10000</v>
      </c>
      <c r="H1008" s="5">
        <f t="shared" si="51"/>
        <v>105000</v>
      </c>
      <c r="I1008" s="5">
        <f t="shared" si="52"/>
        <v>150000</v>
      </c>
      <c r="J1008" s="5">
        <f t="shared" si="53"/>
        <v>45000</v>
      </c>
      <c r="K1008" s="5" t="str">
        <f>VLOOKUP(C1008,[1]master_data!$A$2:$E$495,5,FALSE)</f>
        <v>Aksesoris</v>
      </c>
      <c r="L1008" s="5" t="s">
        <v>471</v>
      </c>
    </row>
    <row r="1009" spans="1:12" ht="12" customHeight="1" x14ac:dyDescent="0.25">
      <c r="A1009" s="6">
        <v>44817</v>
      </c>
      <c r="B1009" s="1">
        <v>2203554</v>
      </c>
      <c r="C1009" s="5" t="s">
        <v>418</v>
      </c>
      <c r="D1009" s="5" t="str">
        <f>VLOOKUP(C1009,[1]master_data!$A$2:$E$495,2,FALSE)</f>
        <v>KOI B</v>
      </c>
      <c r="E1009" s="5">
        <v>1</v>
      </c>
      <c r="F1009" s="5">
        <f>VLOOKUP(C1009,[1]master_data!$A$2:$E$495,3,FALSE)</f>
        <v>9000</v>
      </c>
      <c r="G1009" s="5">
        <f>VLOOKUP(C1009,[1]master_data!$A$2:$E$495,4,FALSE)</f>
        <v>30000</v>
      </c>
      <c r="H1009" s="5">
        <f t="shared" si="51"/>
        <v>9000</v>
      </c>
      <c r="I1009" s="5">
        <f t="shared" si="52"/>
        <v>30000</v>
      </c>
      <c r="J1009" s="5">
        <f t="shared" si="53"/>
        <v>21000</v>
      </c>
      <c r="K1009" s="5" t="str">
        <f>VLOOKUP(C1009,[1]master_data!$A$2:$E$495,5,FALSE)</f>
        <v>Ikan</v>
      </c>
      <c r="L1009" s="5" t="s">
        <v>471</v>
      </c>
    </row>
    <row r="1010" spans="1:12" ht="12" customHeight="1" x14ac:dyDescent="0.25">
      <c r="A1010" s="6">
        <v>44817</v>
      </c>
      <c r="B1010" s="1">
        <v>2203553</v>
      </c>
      <c r="C1010" s="5" t="s">
        <v>409</v>
      </c>
      <c r="D1010" s="5" t="str">
        <f>VLOOKUP(C1010,[1]master_data!$A$2:$E$495,2,FALSE)</f>
        <v>GOLD FISH</v>
      </c>
      <c r="E1010" s="5">
        <v>1</v>
      </c>
      <c r="F1010" s="5">
        <f>VLOOKUP(C1010,[1]master_data!$A$2:$E$495,3,FALSE)</f>
        <v>800</v>
      </c>
      <c r="G1010" s="5">
        <f>VLOOKUP(C1010,[1]master_data!$A$2:$E$495,4,FALSE)</f>
        <v>2000</v>
      </c>
      <c r="H1010" s="5">
        <f t="shared" si="51"/>
        <v>800</v>
      </c>
      <c r="I1010" s="5">
        <f t="shared" si="52"/>
        <v>2000</v>
      </c>
      <c r="J1010" s="5">
        <f t="shared" si="53"/>
        <v>1200</v>
      </c>
      <c r="K1010" s="5" t="str">
        <f>VLOOKUP(C1010,[1]master_data!$A$2:$E$495,5,FALSE)</f>
        <v>Ikan</v>
      </c>
      <c r="L1010" s="5" t="s">
        <v>471</v>
      </c>
    </row>
    <row r="1011" spans="1:12" ht="12" customHeight="1" x14ac:dyDescent="0.25">
      <c r="A1011" s="6">
        <v>44817</v>
      </c>
      <c r="B1011" s="1">
        <v>2203552</v>
      </c>
      <c r="C1011" s="5" t="s">
        <v>463</v>
      </c>
      <c r="D1011" s="5" t="str">
        <f>VLOOKUP(C1011,[1]master_data!$A$2:$E$495,2,FALSE)</f>
        <v>CHANNA STEWARTI</v>
      </c>
      <c r="E1011" s="5">
        <v>9</v>
      </c>
      <c r="F1011" s="5">
        <f>VLOOKUP(C1011,[1]master_data!$A$2:$E$495,3,FALSE)</f>
        <v>15000</v>
      </c>
      <c r="G1011" s="5">
        <f>VLOOKUP(C1011,[1]master_data!$A$2:$E$495,4,FALSE)</f>
        <v>40000</v>
      </c>
      <c r="H1011" s="5">
        <f t="shared" si="51"/>
        <v>135000</v>
      </c>
      <c r="I1011" s="5">
        <f t="shared" si="52"/>
        <v>360000</v>
      </c>
      <c r="J1011" s="5">
        <f t="shared" si="53"/>
        <v>225000</v>
      </c>
      <c r="K1011" s="5" t="str">
        <f>VLOOKUP(C1011,[1]master_data!$A$2:$E$495,5,FALSE)</f>
        <v>Ikan</v>
      </c>
      <c r="L1011" s="5" t="s">
        <v>471</v>
      </c>
    </row>
    <row r="1012" spans="1:12" ht="12" customHeight="1" x14ac:dyDescent="0.25">
      <c r="A1012" s="6">
        <v>44817</v>
      </c>
      <c r="B1012" s="1">
        <v>2203551</v>
      </c>
      <c r="C1012" s="5" t="s">
        <v>409</v>
      </c>
      <c r="D1012" s="5" t="str">
        <f>VLOOKUP(C1012,[1]master_data!$A$2:$E$495,2,FALSE)</f>
        <v>GOLD FISH</v>
      </c>
      <c r="E1012" s="5">
        <v>1</v>
      </c>
      <c r="F1012" s="5">
        <f>VLOOKUP(C1012,[1]master_data!$A$2:$E$495,3,FALSE)</f>
        <v>800</v>
      </c>
      <c r="G1012" s="5">
        <f>VLOOKUP(C1012,[1]master_data!$A$2:$E$495,4,FALSE)</f>
        <v>2000</v>
      </c>
      <c r="H1012" s="5">
        <f t="shared" si="51"/>
        <v>800</v>
      </c>
      <c r="I1012" s="5">
        <f t="shared" si="52"/>
        <v>2000</v>
      </c>
      <c r="J1012" s="5">
        <f t="shared" si="53"/>
        <v>1200</v>
      </c>
      <c r="K1012" s="5" t="str">
        <f>VLOOKUP(C1012,[1]master_data!$A$2:$E$495,5,FALSE)</f>
        <v>Ikan</v>
      </c>
      <c r="L1012" s="5" t="s">
        <v>471</v>
      </c>
    </row>
    <row r="1013" spans="1:12" ht="12" customHeight="1" x14ac:dyDescent="0.25">
      <c r="A1013" s="6">
        <v>44817</v>
      </c>
      <c r="B1013" s="1">
        <v>2203550</v>
      </c>
      <c r="C1013" s="5" t="s">
        <v>409</v>
      </c>
      <c r="D1013" s="5" t="str">
        <f>VLOOKUP(C1013,[1]master_data!$A$2:$E$495,2,FALSE)</f>
        <v>GOLD FISH</v>
      </c>
      <c r="E1013" s="5">
        <v>1</v>
      </c>
      <c r="F1013" s="5">
        <f>VLOOKUP(C1013,[1]master_data!$A$2:$E$495,3,FALSE)</f>
        <v>800</v>
      </c>
      <c r="G1013" s="5">
        <f>VLOOKUP(C1013,[1]master_data!$A$2:$E$495,4,FALSE)</f>
        <v>2000</v>
      </c>
      <c r="H1013" s="5">
        <f t="shared" si="51"/>
        <v>800</v>
      </c>
      <c r="I1013" s="5">
        <f t="shared" si="52"/>
        <v>2000</v>
      </c>
      <c r="J1013" s="5">
        <f t="shared" si="53"/>
        <v>1200</v>
      </c>
      <c r="K1013" s="5" t="str">
        <f>VLOOKUP(C1013,[1]master_data!$A$2:$E$495,5,FALSE)</f>
        <v>Ikan</v>
      </c>
      <c r="L1013" s="5" t="s">
        <v>471</v>
      </c>
    </row>
    <row r="1014" spans="1:12" ht="12" customHeight="1" x14ac:dyDescent="0.25">
      <c r="A1014" s="6">
        <v>44816</v>
      </c>
      <c r="B1014" s="1">
        <v>2203549</v>
      </c>
      <c r="C1014" s="5" t="s">
        <v>40</v>
      </c>
      <c r="D1014" s="5" t="str">
        <f>VLOOKUP(C1014,[1]master_data!$A$2:$E$495,2,FALSE)</f>
        <v>MESIN YAMANO ACO 001</v>
      </c>
      <c r="E1014" s="5">
        <v>1</v>
      </c>
      <c r="F1014" s="5">
        <f>VLOOKUP(C1014,[1]master_data!$A$2:$E$495,3,FALSE)</f>
        <v>275000</v>
      </c>
      <c r="G1014" s="5">
        <f>VLOOKUP(C1014,[1]master_data!$A$2:$E$495,4,FALSE)</f>
        <v>350000</v>
      </c>
      <c r="H1014" s="5">
        <f t="shared" si="51"/>
        <v>275000</v>
      </c>
      <c r="I1014" s="5">
        <f t="shared" si="52"/>
        <v>350000</v>
      </c>
      <c r="J1014" s="5">
        <f t="shared" si="53"/>
        <v>75000</v>
      </c>
      <c r="K1014" s="5" t="str">
        <f>VLOOKUP(C1014,[1]master_data!$A$2:$E$495,5,FALSE)</f>
        <v>Aksesoris</v>
      </c>
      <c r="L1014" s="5" t="s">
        <v>471</v>
      </c>
    </row>
    <row r="1015" spans="1:12" ht="12" customHeight="1" x14ac:dyDescent="0.25">
      <c r="A1015" s="6">
        <v>44816</v>
      </c>
      <c r="B1015" s="1">
        <v>2203548</v>
      </c>
      <c r="C1015" s="5" t="s">
        <v>396</v>
      </c>
      <c r="D1015" s="5" t="str">
        <f>VLOOKUP(C1015,[1]master_data!$A$2:$E$495,2,FALSE)</f>
        <v>ALGA EATER</v>
      </c>
      <c r="E1015" s="5">
        <v>10</v>
      </c>
      <c r="F1015" s="5">
        <f>VLOOKUP(C1015,[1]master_data!$A$2:$E$495,3,FALSE)</f>
        <v>1750</v>
      </c>
      <c r="G1015" s="5">
        <f>VLOOKUP(C1015,[1]master_data!$A$2:$E$495,4,FALSE)</f>
        <v>5000</v>
      </c>
      <c r="H1015" s="5">
        <f t="shared" si="51"/>
        <v>17500</v>
      </c>
      <c r="I1015" s="5">
        <f t="shared" si="52"/>
        <v>50000</v>
      </c>
      <c r="J1015" s="5">
        <f t="shared" si="53"/>
        <v>32500</v>
      </c>
      <c r="K1015" s="5" t="str">
        <f>VLOOKUP(C1015,[1]master_data!$A$2:$E$495,5,FALSE)</f>
        <v>Ikan</v>
      </c>
      <c r="L1015" s="5" t="s">
        <v>471</v>
      </c>
    </row>
    <row r="1016" spans="1:12" ht="12" customHeight="1" x14ac:dyDescent="0.25">
      <c r="A1016" s="6">
        <v>44816</v>
      </c>
      <c r="B1016" s="1">
        <v>2203547</v>
      </c>
      <c r="C1016" s="5" t="s">
        <v>420</v>
      </c>
      <c r="D1016" s="5" t="str">
        <f>VLOOKUP(C1016,[1]master_data!$A$2:$E$495,2,FALSE)</f>
        <v>KAVIAT</v>
      </c>
      <c r="E1016" s="5">
        <v>20</v>
      </c>
      <c r="F1016" s="5">
        <f>VLOOKUP(C1016,[1]master_data!$A$2:$E$495,3,FALSE)</f>
        <v>3500</v>
      </c>
      <c r="G1016" s="5">
        <f>VLOOKUP(C1016,[1]master_data!$A$2:$E$495,4,FALSE)</f>
        <v>8000</v>
      </c>
      <c r="H1016" s="5">
        <f t="shared" si="51"/>
        <v>70000</v>
      </c>
      <c r="I1016" s="5">
        <f t="shared" si="52"/>
        <v>160000</v>
      </c>
      <c r="J1016" s="5">
        <f t="shared" si="53"/>
        <v>90000</v>
      </c>
      <c r="K1016" s="5" t="str">
        <f>VLOOKUP(C1016,[1]master_data!$A$2:$E$495,5,FALSE)</f>
        <v>Ikan</v>
      </c>
      <c r="L1016" s="5" t="s">
        <v>471</v>
      </c>
    </row>
    <row r="1017" spans="1:12" ht="12" customHeight="1" x14ac:dyDescent="0.25">
      <c r="A1017" s="6">
        <v>44816</v>
      </c>
      <c r="B1017" s="1">
        <v>2203546</v>
      </c>
      <c r="C1017" s="5" t="s">
        <v>462</v>
      </c>
      <c r="D1017" s="5" t="str">
        <f>VLOOKUP(C1017,[1]master_data!$A$2:$E$495,2,FALSE)</f>
        <v>SEPAT ALBINO</v>
      </c>
      <c r="E1017" s="5">
        <v>10</v>
      </c>
      <c r="F1017" s="5">
        <f>VLOOKUP(C1017,[1]master_data!$A$2:$E$495,3,FALSE)</f>
        <v>2000</v>
      </c>
      <c r="G1017" s="5">
        <f>VLOOKUP(C1017,[1]master_data!$A$2:$E$495,4,FALSE)</f>
        <v>5000</v>
      </c>
      <c r="H1017" s="5">
        <f t="shared" si="51"/>
        <v>20000</v>
      </c>
      <c r="I1017" s="5">
        <f t="shared" si="52"/>
        <v>50000</v>
      </c>
      <c r="J1017" s="5">
        <f t="shared" si="53"/>
        <v>30000</v>
      </c>
      <c r="K1017" s="5" t="str">
        <f>VLOOKUP(C1017,[1]master_data!$A$2:$E$495,5,FALSE)</f>
        <v>Ikan</v>
      </c>
      <c r="L1017" s="5" t="s">
        <v>471</v>
      </c>
    </row>
    <row r="1018" spans="1:12" ht="12" customHeight="1" x14ac:dyDescent="0.25">
      <c r="A1018" s="6">
        <v>44816</v>
      </c>
      <c r="B1018" s="1">
        <v>2203545</v>
      </c>
      <c r="C1018" s="5" t="s">
        <v>420</v>
      </c>
      <c r="D1018" s="5" t="str">
        <f>VLOOKUP(C1018,[1]master_data!$A$2:$E$495,2,FALSE)</f>
        <v>KAVIAT</v>
      </c>
      <c r="E1018" s="5">
        <v>30</v>
      </c>
      <c r="F1018" s="5">
        <f>VLOOKUP(C1018,[1]master_data!$A$2:$E$495,3,FALSE)</f>
        <v>3500</v>
      </c>
      <c r="G1018" s="5">
        <f>VLOOKUP(C1018,[1]master_data!$A$2:$E$495,4,FALSE)</f>
        <v>8000</v>
      </c>
      <c r="H1018" s="5">
        <f t="shared" si="51"/>
        <v>105000</v>
      </c>
      <c r="I1018" s="5">
        <f t="shared" si="52"/>
        <v>240000</v>
      </c>
      <c r="J1018" s="5">
        <f t="shared" si="53"/>
        <v>135000</v>
      </c>
      <c r="K1018" s="5" t="str">
        <f>VLOOKUP(C1018,[1]master_data!$A$2:$E$495,5,FALSE)</f>
        <v>Ikan</v>
      </c>
      <c r="L1018" s="5" t="s">
        <v>471</v>
      </c>
    </row>
    <row r="1019" spans="1:12" ht="12" customHeight="1" x14ac:dyDescent="0.25">
      <c r="A1019" s="6">
        <v>44816</v>
      </c>
      <c r="B1019" s="1">
        <v>2203544</v>
      </c>
      <c r="C1019" s="5" t="s">
        <v>223</v>
      </c>
      <c r="D1019" s="5" t="str">
        <f>VLOOKUP(C1019,[1]master_data!$A$2:$E$495,2,FALSE)</f>
        <v>HIKARI FRIEND 75 GR</v>
      </c>
      <c r="E1019" s="5">
        <v>2</v>
      </c>
      <c r="F1019" s="5">
        <f>VLOOKUP(C1019,[1]master_data!$A$2:$E$495,3,FALSE)</f>
        <v>50000</v>
      </c>
      <c r="G1019" s="5">
        <f>VLOOKUP(C1019,[1]master_data!$A$2:$E$495,4,FALSE)</f>
        <v>65000</v>
      </c>
      <c r="H1019" s="5">
        <f t="shared" si="51"/>
        <v>100000</v>
      </c>
      <c r="I1019" s="5">
        <f t="shared" si="52"/>
        <v>130000</v>
      </c>
      <c r="J1019" s="5">
        <f t="shared" si="53"/>
        <v>30000</v>
      </c>
      <c r="K1019" s="5" t="str">
        <f>VLOOKUP(C1019,[1]master_data!$A$2:$E$495,5,FALSE)</f>
        <v>Aksesoris</v>
      </c>
      <c r="L1019" s="5" t="s">
        <v>471</v>
      </c>
    </row>
    <row r="1020" spans="1:12" ht="12" customHeight="1" x14ac:dyDescent="0.25">
      <c r="A1020" s="6">
        <v>44816</v>
      </c>
      <c r="B1020" s="1">
        <v>2203543</v>
      </c>
      <c r="C1020" s="5" t="s">
        <v>282</v>
      </c>
      <c r="D1020" s="5" t="str">
        <f>VLOOKUP(C1020,[1]master_data!$A$2:$E$495,2,FALSE)</f>
        <v>HIASAN KELAPA</v>
      </c>
      <c r="E1020" s="5">
        <v>1</v>
      </c>
      <c r="F1020" s="5">
        <f>VLOOKUP(C1020,[1]master_data!$A$2:$E$495,3,FALSE)</f>
        <v>8000</v>
      </c>
      <c r="G1020" s="5">
        <f>VLOOKUP(C1020,[1]master_data!$A$2:$E$495,4,FALSE)</f>
        <v>15000</v>
      </c>
      <c r="H1020" s="5">
        <f t="shared" si="51"/>
        <v>8000</v>
      </c>
      <c r="I1020" s="5">
        <f t="shared" si="52"/>
        <v>15000</v>
      </c>
      <c r="J1020" s="5">
        <f t="shared" si="53"/>
        <v>7000</v>
      </c>
      <c r="K1020" s="5" t="str">
        <f>VLOOKUP(C1020,[1]master_data!$A$2:$E$495,5,FALSE)</f>
        <v>Aksesoris</v>
      </c>
      <c r="L1020" s="5" t="s">
        <v>471</v>
      </c>
    </row>
    <row r="1021" spans="1:12" ht="12" customHeight="1" x14ac:dyDescent="0.25">
      <c r="A1021" s="6">
        <v>44816</v>
      </c>
      <c r="B1021" s="1">
        <v>2203542</v>
      </c>
      <c r="C1021" s="5" t="s">
        <v>53</v>
      </c>
      <c r="D1021" s="5" t="str">
        <f>VLOOKUP(C1021,[1]master_data!$A$2:$E$495,2,FALSE)</f>
        <v>MESIN RECENT 203</v>
      </c>
      <c r="E1021" s="5">
        <v>2</v>
      </c>
      <c r="F1021" s="5">
        <f>VLOOKUP(C1021,[1]master_data!$A$2:$E$495,3,FALSE)</f>
        <v>43500</v>
      </c>
      <c r="G1021" s="5">
        <f>VLOOKUP(C1021,[1]master_data!$A$2:$E$495,4,FALSE)</f>
        <v>70000</v>
      </c>
      <c r="H1021" s="5">
        <f t="shared" si="51"/>
        <v>87000</v>
      </c>
      <c r="I1021" s="5">
        <f t="shared" si="52"/>
        <v>140000</v>
      </c>
      <c r="J1021" s="5">
        <f t="shared" si="53"/>
        <v>53000</v>
      </c>
      <c r="K1021" s="5" t="str">
        <f>VLOOKUP(C1021,[1]master_data!$A$2:$E$495,5,FALSE)</f>
        <v>Aksesoris</v>
      </c>
      <c r="L1021" s="5" t="s">
        <v>471</v>
      </c>
    </row>
    <row r="1022" spans="1:12" ht="12" customHeight="1" x14ac:dyDescent="0.25">
      <c r="A1022" s="6">
        <v>44816</v>
      </c>
      <c r="B1022" s="1">
        <v>2203541</v>
      </c>
      <c r="C1022" s="5" t="s">
        <v>277</v>
      </c>
      <c r="D1022" s="5" t="str">
        <f>VLOOKUP(C1022,[1]master_data!$A$2:$E$495,2,FALSE)</f>
        <v>HEATER STENLEES 50 W</v>
      </c>
      <c r="E1022" s="5">
        <v>1</v>
      </c>
      <c r="F1022" s="5">
        <f>VLOOKUP(C1022,[1]master_data!$A$2:$E$495,3,FALSE)</f>
        <v>63000</v>
      </c>
      <c r="G1022" s="5">
        <f>VLOOKUP(C1022,[1]master_data!$A$2:$E$495,4,FALSE)</f>
        <v>85000</v>
      </c>
      <c r="H1022" s="5">
        <f t="shared" si="51"/>
        <v>63000</v>
      </c>
      <c r="I1022" s="5">
        <f t="shared" si="52"/>
        <v>85000</v>
      </c>
      <c r="J1022" s="5">
        <f t="shared" si="53"/>
        <v>22000</v>
      </c>
      <c r="K1022" s="5" t="str">
        <f>VLOOKUP(C1022,[1]master_data!$A$2:$E$495,5,FALSE)</f>
        <v>Aksesoris</v>
      </c>
      <c r="L1022" s="5" t="s">
        <v>471</v>
      </c>
    </row>
    <row r="1023" spans="1:12" ht="12" customHeight="1" x14ac:dyDescent="0.25">
      <c r="A1023" s="6">
        <v>44815</v>
      </c>
      <c r="B1023" s="1">
        <v>2203540</v>
      </c>
      <c r="C1023" s="5" t="s">
        <v>15</v>
      </c>
      <c r="D1023" s="5" t="str">
        <f>VLOOKUP(C1023,[1]master_data!$A$2:$E$495,2,FALSE)</f>
        <v>MESIN YANG 107</v>
      </c>
      <c r="E1023" s="5">
        <v>1</v>
      </c>
      <c r="F1023" s="5">
        <f>VLOOKUP(C1023,[1]master_data!$A$2:$E$495,3,FALSE)</f>
        <v>330000</v>
      </c>
      <c r="G1023" s="5">
        <f>VLOOKUP(C1023,[1]master_data!$A$2:$E$495,4,FALSE)</f>
        <v>400000</v>
      </c>
      <c r="H1023" s="5">
        <f t="shared" si="51"/>
        <v>330000</v>
      </c>
      <c r="I1023" s="5">
        <f t="shared" si="52"/>
        <v>400000</v>
      </c>
      <c r="J1023" s="5">
        <f t="shared" si="53"/>
        <v>70000</v>
      </c>
      <c r="K1023" s="5" t="str">
        <f>VLOOKUP(C1023,[1]master_data!$A$2:$E$495,5,FALSE)</f>
        <v>Aksesoris</v>
      </c>
      <c r="L1023" s="5" t="s">
        <v>471</v>
      </c>
    </row>
    <row r="1024" spans="1:12" ht="12" customHeight="1" x14ac:dyDescent="0.25">
      <c r="A1024" s="6">
        <v>44815</v>
      </c>
      <c r="B1024" s="1">
        <v>2203539</v>
      </c>
      <c r="C1024" s="5" t="s">
        <v>50</v>
      </c>
      <c r="D1024" s="5" t="str">
        <f>VLOOKUP(C1024,[1]master_data!$A$2:$E$495,2,FALSE)</f>
        <v>MESIN SWI 1600</v>
      </c>
      <c r="E1024" s="5">
        <v>1</v>
      </c>
      <c r="F1024" s="5">
        <f>VLOOKUP(C1024,[1]master_data!$A$2:$E$495,3,FALSE)</f>
        <v>37500</v>
      </c>
      <c r="G1024" s="5">
        <f>VLOOKUP(C1024,[1]master_data!$A$2:$E$495,4,FALSE)</f>
        <v>55000</v>
      </c>
      <c r="H1024" s="5">
        <f t="shared" si="51"/>
        <v>37500</v>
      </c>
      <c r="I1024" s="5">
        <f t="shared" si="52"/>
        <v>55000</v>
      </c>
      <c r="J1024" s="5">
        <f t="shared" si="53"/>
        <v>17500</v>
      </c>
      <c r="K1024" s="5" t="str">
        <f>VLOOKUP(C1024,[1]master_data!$A$2:$E$495,5,FALSE)</f>
        <v>Aksesoris</v>
      </c>
      <c r="L1024" s="5" t="s">
        <v>471</v>
      </c>
    </row>
    <row r="1025" spans="1:12" ht="12" customHeight="1" x14ac:dyDescent="0.25">
      <c r="A1025" s="6">
        <v>44815</v>
      </c>
      <c r="B1025" s="1">
        <v>2203538</v>
      </c>
      <c r="C1025" s="5" t="s">
        <v>404</v>
      </c>
      <c r="D1025" s="5" t="str">
        <f>VLOOKUP(C1025,[1]master_data!$A$2:$E$495,2,FALSE)</f>
        <v>CHANNA BLUE PULCHRA B</v>
      </c>
      <c r="E1025" s="5">
        <v>1</v>
      </c>
      <c r="F1025" s="5">
        <f>VLOOKUP(C1025,[1]master_data!$A$2:$E$495,3,FALSE)</f>
        <v>125000</v>
      </c>
      <c r="G1025" s="5">
        <f>VLOOKUP(C1025,[1]master_data!$A$2:$E$495,4,FALSE)</f>
        <v>200000</v>
      </c>
      <c r="H1025" s="5">
        <f t="shared" si="51"/>
        <v>125000</v>
      </c>
      <c r="I1025" s="5">
        <f t="shared" si="52"/>
        <v>200000</v>
      </c>
      <c r="J1025" s="5">
        <f t="shared" si="53"/>
        <v>75000</v>
      </c>
      <c r="K1025" s="5" t="str">
        <f>VLOOKUP(C1025,[1]master_data!$A$2:$E$495,5,FALSE)</f>
        <v>Ikan</v>
      </c>
      <c r="L1025" s="5" t="s">
        <v>471</v>
      </c>
    </row>
    <row r="1026" spans="1:12" ht="12" customHeight="1" x14ac:dyDescent="0.25">
      <c r="A1026" s="6">
        <v>44815</v>
      </c>
      <c r="B1026" s="1">
        <v>2203537</v>
      </c>
      <c r="C1026" s="5" t="s">
        <v>435</v>
      </c>
      <c r="D1026" s="5" t="str">
        <f>VLOOKUP(C1026,[1]master_data!$A$2:$E$495,2,FALSE)</f>
        <v>MOLI BALON</v>
      </c>
      <c r="E1026" s="5">
        <v>1</v>
      </c>
      <c r="F1026" s="5">
        <f>VLOOKUP(C1026,[1]master_data!$A$2:$E$495,3,FALSE)</f>
        <v>800</v>
      </c>
      <c r="G1026" s="5">
        <f>VLOOKUP(C1026,[1]master_data!$A$2:$E$495,4,FALSE)</f>
        <v>2000</v>
      </c>
      <c r="H1026" s="5">
        <f t="shared" si="51"/>
        <v>800</v>
      </c>
      <c r="I1026" s="5">
        <f t="shared" si="52"/>
        <v>2000</v>
      </c>
      <c r="J1026" s="5">
        <f t="shared" si="53"/>
        <v>1200</v>
      </c>
      <c r="K1026" s="5" t="str">
        <f>VLOOKUP(C1026,[1]master_data!$A$2:$E$495,5,FALSE)</f>
        <v>Ikan</v>
      </c>
      <c r="L1026" s="5" t="s">
        <v>471</v>
      </c>
    </row>
    <row r="1027" spans="1:12" ht="12" customHeight="1" x14ac:dyDescent="0.25">
      <c r="A1027" s="6">
        <v>44815</v>
      </c>
      <c r="B1027" s="1">
        <v>2203536</v>
      </c>
      <c r="C1027" s="5" t="s">
        <v>430</v>
      </c>
      <c r="D1027" s="5" t="str">
        <f>VLOOKUP(C1027,[1]master_data!$A$2:$E$495,2,FALSE)</f>
        <v>MANFISH K</v>
      </c>
      <c r="E1027" s="5">
        <v>10</v>
      </c>
      <c r="F1027" s="5">
        <f>VLOOKUP(C1027,[1]master_data!$A$2:$E$495,3,FALSE)</f>
        <v>2000</v>
      </c>
      <c r="G1027" s="5">
        <f>VLOOKUP(C1027,[1]master_data!$A$2:$E$495,4,FALSE)</f>
        <v>5000</v>
      </c>
      <c r="H1027" s="5">
        <f t="shared" si="51"/>
        <v>20000</v>
      </c>
      <c r="I1027" s="5">
        <f t="shared" si="52"/>
        <v>50000</v>
      </c>
      <c r="J1027" s="5">
        <f t="shared" si="53"/>
        <v>30000</v>
      </c>
      <c r="K1027" s="5" t="str">
        <f>VLOOKUP(C1027,[1]master_data!$A$2:$E$495,5,FALSE)</f>
        <v>Ikan</v>
      </c>
      <c r="L1027" s="5" t="s">
        <v>471</v>
      </c>
    </row>
    <row r="1028" spans="1:12" ht="12" customHeight="1" x14ac:dyDescent="0.25">
      <c r="A1028" s="6">
        <v>44815</v>
      </c>
      <c r="B1028" s="1">
        <v>2203535</v>
      </c>
      <c r="C1028" s="5" t="s">
        <v>243</v>
      </c>
      <c r="D1028" s="5" t="str">
        <f>VLOOKUP(C1028,[1]master_data!$A$2:$E$495,2,FALSE)</f>
        <v>TAKARI SINKING</v>
      </c>
      <c r="E1028" s="5">
        <v>20</v>
      </c>
      <c r="F1028" s="5">
        <f>VLOOKUP(C1028,[1]master_data!$A$2:$E$495,3,FALSE)</f>
        <v>7100</v>
      </c>
      <c r="G1028" s="5">
        <f>VLOOKUP(C1028,[1]master_data!$A$2:$E$495,4,FALSE)</f>
        <v>10000</v>
      </c>
      <c r="H1028" s="5">
        <f t="shared" si="51"/>
        <v>142000</v>
      </c>
      <c r="I1028" s="5">
        <f t="shared" si="52"/>
        <v>200000</v>
      </c>
      <c r="J1028" s="5">
        <f t="shared" si="53"/>
        <v>58000</v>
      </c>
      <c r="K1028" s="5" t="str">
        <f>VLOOKUP(C1028,[1]master_data!$A$2:$E$495,5,FALSE)</f>
        <v>Aksesoris</v>
      </c>
      <c r="L1028" s="5" t="s">
        <v>471</v>
      </c>
    </row>
    <row r="1029" spans="1:12" ht="12" customHeight="1" x14ac:dyDescent="0.25">
      <c r="A1029" s="6">
        <v>44815</v>
      </c>
      <c r="B1029" s="1">
        <v>2203534</v>
      </c>
      <c r="C1029" s="5" t="s">
        <v>54</v>
      </c>
      <c r="D1029" s="5" t="str">
        <f>VLOOKUP(C1029,[1]master_data!$A$2:$E$495,2,FALSE)</f>
        <v>MESIN HIKARI 1200</v>
      </c>
      <c r="E1029" s="5">
        <v>1</v>
      </c>
      <c r="F1029" s="5">
        <f>VLOOKUP(C1029,[1]master_data!$A$2:$E$495,3,FALSE)</f>
        <v>27000</v>
      </c>
      <c r="G1029" s="5">
        <f>VLOOKUP(C1029,[1]master_data!$A$2:$E$495,4,FALSE)</f>
        <v>35000</v>
      </c>
      <c r="H1029" s="5">
        <f t="shared" ref="H1029:H1092" si="54">E1029*F1029</f>
        <v>27000</v>
      </c>
      <c r="I1029" s="5">
        <f t="shared" ref="I1029:I1092" si="55">E1029*G1029</f>
        <v>35000</v>
      </c>
      <c r="J1029" s="5">
        <f t="shared" ref="J1029:J1092" si="56">I1029-H1029</f>
        <v>8000</v>
      </c>
      <c r="K1029" s="5" t="str">
        <f>VLOOKUP(C1029,[1]master_data!$A$2:$E$495,5,FALSE)</f>
        <v>Aksesoris</v>
      </c>
      <c r="L1029" s="5" t="s">
        <v>471</v>
      </c>
    </row>
    <row r="1030" spans="1:12" ht="12" customHeight="1" x14ac:dyDescent="0.25">
      <c r="A1030" s="6">
        <v>44815</v>
      </c>
      <c r="B1030" s="1">
        <v>2203533</v>
      </c>
      <c r="C1030" s="5" t="s">
        <v>460</v>
      </c>
      <c r="D1030" s="5" t="str">
        <f>VLOOKUP(C1030,[1]master_data!$A$2:$E$495,2,FALSE)</f>
        <v>ZEBRA KUNING</v>
      </c>
      <c r="E1030" s="5">
        <v>25</v>
      </c>
      <c r="F1030" s="5">
        <f>VLOOKUP(C1030,[1]master_data!$A$2:$E$495,3,FALSE)</f>
        <v>800</v>
      </c>
      <c r="G1030" s="5">
        <f>VLOOKUP(C1030,[1]master_data!$A$2:$E$495,4,FALSE)</f>
        <v>2000</v>
      </c>
      <c r="H1030" s="5">
        <f t="shared" si="54"/>
        <v>20000</v>
      </c>
      <c r="I1030" s="5">
        <f t="shared" si="55"/>
        <v>50000</v>
      </c>
      <c r="J1030" s="5">
        <f t="shared" si="56"/>
        <v>30000</v>
      </c>
      <c r="K1030" s="5" t="str">
        <f>VLOOKUP(C1030,[1]master_data!$A$2:$E$495,5,FALSE)</f>
        <v>Ikan</v>
      </c>
      <c r="L1030" s="5" t="s">
        <v>471</v>
      </c>
    </row>
    <row r="1031" spans="1:12" ht="12" customHeight="1" x14ac:dyDescent="0.25">
      <c r="A1031" s="6">
        <v>44815</v>
      </c>
      <c r="B1031" s="1">
        <v>2203532</v>
      </c>
      <c r="C1031" s="5" t="s">
        <v>280</v>
      </c>
      <c r="D1031" s="5" t="str">
        <f>VLOOKUP(C1031,[1]master_data!$A$2:$E$495,2,FALSE)</f>
        <v>KRAN 2 W</v>
      </c>
      <c r="E1031" s="5">
        <v>1</v>
      </c>
      <c r="F1031" s="5">
        <f>VLOOKUP(C1031,[1]master_data!$A$2:$E$495,3,FALSE)</f>
        <v>4000</v>
      </c>
      <c r="G1031" s="5">
        <f>VLOOKUP(C1031,[1]master_data!$A$2:$E$495,4,FALSE)</f>
        <v>6000</v>
      </c>
      <c r="H1031" s="5">
        <f t="shared" si="54"/>
        <v>4000</v>
      </c>
      <c r="I1031" s="5">
        <f t="shared" si="55"/>
        <v>6000</v>
      </c>
      <c r="J1031" s="5">
        <f t="shared" si="56"/>
        <v>2000</v>
      </c>
      <c r="K1031" s="5" t="str">
        <f>VLOOKUP(C1031,[1]master_data!$A$2:$E$495,5,FALSE)</f>
        <v>Aksesoris</v>
      </c>
      <c r="L1031" s="5" t="s">
        <v>471</v>
      </c>
    </row>
    <row r="1032" spans="1:12" ht="12" customHeight="1" x14ac:dyDescent="0.25">
      <c r="A1032" s="6">
        <v>44815</v>
      </c>
      <c r="B1032" s="1">
        <v>2203531</v>
      </c>
      <c r="C1032" s="5" t="s">
        <v>344</v>
      </c>
      <c r="D1032" s="5" t="str">
        <f>VLOOKUP(C1032,[1]master_data!$A$2:$E$495,2,FALSE)</f>
        <v>KRAN 4 W</v>
      </c>
      <c r="E1032" s="5">
        <v>1</v>
      </c>
      <c r="F1032" s="5">
        <f>VLOOKUP(C1032,[1]master_data!$A$2:$E$495,3,FALSE)</f>
        <v>8000</v>
      </c>
      <c r="G1032" s="5">
        <f>VLOOKUP(C1032,[1]master_data!$A$2:$E$495,4,FALSE)</f>
        <v>12000</v>
      </c>
      <c r="H1032" s="5">
        <f t="shared" si="54"/>
        <v>8000</v>
      </c>
      <c r="I1032" s="5">
        <f t="shared" si="55"/>
        <v>12000</v>
      </c>
      <c r="J1032" s="5">
        <f t="shared" si="56"/>
        <v>4000</v>
      </c>
      <c r="K1032" s="5" t="str">
        <f>VLOOKUP(C1032,[1]master_data!$A$2:$E$495,5,FALSE)</f>
        <v>Aksesoris</v>
      </c>
      <c r="L1032" s="5" t="s">
        <v>471</v>
      </c>
    </row>
    <row r="1033" spans="1:12" ht="12" customHeight="1" x14ac:dyDescent="0.25">
      <c r="A1033" s="6">
        <v>44815</v>
      </c>
      <c r="B1033" s="1">
        <v>2203530</v>
      </c>
      <c r="C1033" s="5" t="s">
        <v>155</v>
      </c>
      <c r="D1033" s="5" t="str">
        <f>VLOOKUP(C1033,[1]master_data!$A$2:$E$495,2,FALSE)</f>
        <v>LED KANDILA 2 BRS 40 CM</v>
      </c>
      <c r="E1033" s="5">
        <v>1</v>
      </c>
      <c r="F1033" s="5">
        <f>VLOOKUP(C1033,[1]master_data!$A$2:$E$495,3,FALSE)</f>
        <v>25000</v>
      </c>
      <c r="G1033" s="5">
        <f>VLOOKUP(C1033,[1]master_data!$A$2:$E$495,4,FALSE)</f>
        <v>45000</v>
      </c>
      <c r="H1033" s="5">
        <f t="shared" si="54"/>
        <v>25000</v>
      </c>
      <c r="I1033" s="5">
        <f t="shared" si="55"/>
        <v>45000</v>
      </c>
      <c r="J1033" s="5">
        <f t="shared" si="56"/>
        <v>20000</v>
      </c>
      <c r="K1033" s="5" t="str">
        <f>VLOOKUP(C1033,[1]master_data!$A$2:$E$495,5,FALSE)</f>
        <v>Aksesoris</v>
      </c>
      <c r="L1033" s="5" t="s">
        <v>471</v>
      </c>
    </row>
    <row r="1034" spans="1:12" ht="12" customHeight="1" x14ac:dyDescent="0.25">
      <c r="A1034" s="6">
        <v>44815</v>
      </c>
      <c r="B1034" s="1">
        <v>2203529</v>
      </c>
      <c r="C1034" s="5" t="s">
        <v>372</v>
      </c>
      <c r="D1034" s="5" t="str">
        <f>VLOOKUP(C1034,[1]master_data!$A$2:$E$495,2,FALSE)</f>
        <v>SOLITER C2</v>
      </c>
      <c r="E1034" s="5">
        <v>1</v>
      </c>
      <c r="F1034" s="5">
        <f>VLOOKUP(C1034,[1]master_data!$A$2:$E$495,3,FALSE)</f>
        <v>60000</v>
      </c>
      <c r="G1034" s="5">
        <f>VLOOKUP(C1034,[1]master_data!$A$2:$E$495,4,FALSE)</f>
        <v>85000</v>
      </c>
      <c r="H1034" s="5">
        <f t="shared" si="54"/>
        <v>60000</v>
      </c>
      <c r="I1034" s="5">
        <f t="shared" si="55"/>
        <v>85000</v>
      </c>
      <c r="J1034" s="5">
        <f t="shared" si="56"/>
        <v>25000</v>
      </c>
      <c r="K1034" s="5" t="str">
        <f>VLOOKUP(C1034,[1]master_data!$A$2:$E$495,5,FALSE)</f>
        <v>Aksesoris</v>
      </c>
      <c r="L1034" s="5" t="s">
        <v>471</v>
      </c>
    </row>
    <row r="1035" spans="1:12" ht="12" customHeight="1" x14ac:dyDescent="0.25">
      <c r="A1035" s="6">
        <v>44815</v>
      </c>
      <c r="B1035" s="1">
        <v>2203528</v>
      </c>
      <c r="C1035" s="5" t="s">
        <v>133</v>
      </c>
      <c r="D1035" s="5" t="str">
        <f>VLOOKUP(C1035,[1]master_data!$A$2:$E$495,2,FALSE)</f>
        <v>LED YAMANO P1000</v>
      </c>
      <c r="E1035" s="5">
        <v>1</v>
      </c>
      <c r="F1035" s="5">
        <f>VLOOKUP(C1035,[1]master_data!$A$2:$E$495,3,FALSE)</f>
        <v>100000</v>
      </c>
      <c r="G1035" s="5">
        <f>VLOOKUP(C1035,[1]master_data!$A$2:$E$495,4,FALSE)</f>
        <v>130000</v>
      </c>
      <c r="H1035" s="5">
        <f t="shared" si="54"/>
        <v>100000</v>
      </c>
      <c r="I1035" s="5">
        <f t="shared" si="55"/>
        <v>130000</v>
      </c>
      <c r="J1035" s="5">
        <f t="shared" si="56"/>
        <v>30000</v>
      </c>
      <c r="K1035" s="5" t="str">
        <f>VLOOKUP(C1035,[1]master_data!$A$2:$E$495,5,FALSE)</f>
        <v>Aksesoris</v>
      </c>
      <c r="L1035" s="5" t="s">
        <v>471</v>
      </c>
    </row>
    <row r="1036" spans="1:12" ht="12" customHeight="1" x14ac:dyDescent="0.25">
      <c r="A1036" s="6">
        <v>44815</v>
      </c>
      <c r="B1036" s="1">
        <v>2203527</v>
      </c>
      <c r="C1036" s="5" t="s">
        <v>305</v>
      </c>
      <c r="D1036" s="5" t="str">
        <f>VLOOKUP(C1036,[1]master_data!$A$2:$E$495,2,FALSE)</f>
        <v>POMATE</v>
      </c>
      <c r="E1036" s="5">
        <v>1</v>
      </c>
      <c r="F1036" s="5">
        <f>VLOOKUP(C1036,[1]master_data!$A$2:$E$495,3,FALSE)</f>
        <v>25000</v>
      </c>
      <c r="G1036" s="5">
        <f>VLOOKUP(C1036,[1]master_data!$A$2:$E$495,4,FALSE)</f>
        <v>40000</v>
      </c>
      <c r="H1036" s="5">
        <f t="shared" si="54"/>
        <v>25000</v>
      </c>
      <c r="I1036" s="5">
        <f t="shared" si="55"/>
        <v>40000</v>
      </c>
      <c r="J1036" s="5">
        <f t="shared" si="56"/>
        <v>15000</v>
      </c>
      <c r="K1036" s="5" t="str">
        <f>VLOOKUP(C1036,[1]master_data!$A$2:$E$495,5,FALSE)</f>
        <v>Aksesoris</v>
      </c>
      <c r="L1036" s="5" t="s">
        <v>471</v>
      </c>
    </row>
    <row r="1037" spans="1:12" ht="12" customHeight="1" x14ac:dyDescent="0.25">
      <c r="A1037" s="6">
        <v>44815</v>
      </c>
      <c r="B1037" s="1">
        <v>2203526</v>
      </c>
      <c r="C1037" s="5" t="s">
        <v>124</v>
      </c>
      <c r="D1037" s="5" t="str">
        <f>VLOOKUP(C1037,[1]master_data!$A$2:$E$495,2,FALSE)</f>
        <v>LAMPU YAMANO UV 7W</v>
      </c>
      <c r="E1037" s="5">
        <v>1</v>
      </c>
      <c r="F1037" s="5">
        <f>VLOOKUP(C1037,[1]master_data!$A$2:$E$495,3,FALSE)</f>
        <v>63000</v>
      </c>
      <c r="G1037" s="5">
        <f>VLOOKUP(C1037,[1]master_data!$A$2:$E$495,4,FALSE)</f>
        <v>80000</v>
      </c>
      <c r="H1037" s="5">
        <f t="shared" si="54"/>
        <v>63000</v>
      </c>
      <c r="I1037" s="5">
        <f t="shared" si="55"/>
        <v>80000</v>
      </c>
      <c r="J1037" s="5">
        <f t="shared" si="56"/>
        <v>17000</v>
      </c>
      <c r="K1037" s="5" t="str">
        <f>VLOOKUP(C1037,[1]master_data!$A$2:$E$495,5,FALSE)</f>
        <v>Aksesoris</v>
      </c>
      <c r="L1037" s="5" t="s">
        <v>471</v>
      </c>
    </row>
    <row r="1038" spans="1:12" ht="12" customHeight="1" x14ac:dyDescent="0.25">
      <c r="A1038" s="6">
        <v>44815</v>
      </c>
      <c r="B1038" s="1">
        <v>2203525</v>
      </c>
      <c r="C1038" s="5" t="s">
        <v>249</v>
      </c>
      <c r="D1038" s="5" t="str">
        <f>VLOOKUP(C1038,[1]master_data!$A$2:$E$495,2,FALSE)</f>
        <v>AIRSTONE BAKSO B</v>
      </c>
      <c r="E1038" s="5">
        <v>1</v>
      </c>
      <c r="F1038" s="5">
        <f>VLOOKUP(C1038,[1]master_data!$A$2:$E$495,3,FALSE)</f>
        <v>7700</v>
      </c>
      <c r="G1038" s="5">
        <f>VLOOKUP(C1038,[1]master_data!$A$2:$E$495,4,FALSE)</f>
        <v>10000</v>
      </c>
      <c r="H1038" s="5">
        <f t="shared" si="54"/>
        <v>7700</v>
      </c>
      <c r="I1038" s="5">
        <f t="shared" si="55"/>
        <v>10000</v>
      </c>
      <c r="J1038" s="5">
        <f t="shared" si="56"/>
        <v>2300</v>
      </c>
      <c r="K1038" s="5" t="str">
        <f>VLOOKUP(C1038,[1]master_data!$A$2:$E$495,5,FALSE)</f>
        <v>Aksesoris</v>
      </c>
      <c r="L1038" s="5" t="s">
        <v>471</v>
      </c>
    </row>
    <row r="1039" spans="1:12" ht="12" customHeight="1" x14ac:dyDescent="0.25">
      <c r="A1039" s="6">
        <v>44815</v>
      </c>
      <c r="B1039" s="1">
        <v>2203524</v>
      </c>
      <c r="C1039" s="5" t="s">
        <v>292</v>
      </c>
      <c r="D1039" s="5" t="str">
        <f>VLOOKUP(C1039,[1]master_data!$A$2:$E$495,2,FALSE)</f>
        <v>MAINAN KERANG</v>
      </c>
      <c r="E1039" s="5">
        <v>1</v>
      </c>
      <c r="F1039" s="5">
        <f>VLOOKUP(C1039,[1]master_data!$A$2:$E$495,3,FALSE)</f>
        <v>15000</v>
      </c>
      <c r="G1039" s="5">
        <f>VLOOKUP(C1039,[1]master_data!$A$2:$E$495,4,FALSE)</f>
        <v>25000</v>
      </c>
      <c r="H1039" s="5">
        <f t="shared" si="54"/>
        <v>15000</v>
      </c>
      <c r="I1039" s="5">
        <f t="shared" si="55"/>
        <v>25000</v>
      </c>
      <c r="J1039" s="5">
        <f t="shared" si="56"/>
        <v>10000</v>
      </c>
      <c r="K1039" s="5" t="str">
        <f>VLOOKUP(C1039,[1]master_data!$A$2:$E$495,5,FALSE)</f>
        <v>Aksesoris</v>
      </c>
      <c r="L1039" s="5" t="s">
        <v>471</v>
      </c>
    </row>
    <row r="1040" spans="1:12" ht="12" customHeight="1" x14ac:dyDescent="0.25">
      <c r="A1040" s="6">
        <v>44815</v>
      </c>
      <c r="B1040" s="1">
        <v>2203523</v>
      </c>
      <c r="C1040" s="5" t="s">
        <v>436</v>
      </c>
      <c r="D1040" s="5" t="str">
        <f>VLOOKUP(C1040,[1]master_data!$A$2:$E$495,2,FALSE)</f>
        <v>NIASA</v>
      </c>
      <c r="E1040" s="5">
        <v>10</v>
      </c>
      <c r="F1040" s="5">
        <f>VLOOKUP(C1040,[1]master_data!$A$2:$E$495,3,FALSE)</f>
        <v>900</v>
      </c>
      <c r="G1040" s="5">
        <f>VLOOKUP(C1040,[1]master_data!$A$2:$E$495,4,FALSE)</f>
        <v>2000</v>
      </c>
      <c r="H1040" s="5">
        <f t="shared" si="54"/>
        <v>9000</v>
      </c>
      <c r="I1040" s="5">
        <f t="shared" si="55"/>
        <v>20000</v>
      </c>
      <c r="J1040" s="5">
        <f t="shared" si="56"/>
        <v>11000</v>
      </c>
      <c r="K1040" s="5" t="str">
        <f>VLOOKUP(C1040,[1]master_data!$A$2:$E$495,5,FALSE)</f>
        <v>Ikan</v>
      </c>
      <c r="L1040" s="5" t="s">
        <v>471</v>
      </c>
    </row>
    <row r="1041" spans="1:12" ht="12" customHeight="1" x14ac:dyDescent="0.25">
      <c r="A1041" s="6">
        <v>44815</v>
      </c>
      <c r="B1041" s="1">
        <v>2203522</v>
      </c>
      <c r="C1041" s="5" t="s">
        <v>158</v>
      </c>
      <c r="D1041" s="5" t="str">
        <f>VLOOKUP(C1041,[1]master_data!$A$2:$E$495,2,FALSE)</f>
        <v>LED KANDILA 3 MODE 60 CM</v>
      </c>
      <c r="E1041" s="5">
        <v>1</v>
      </c>
      <c r="F1041" s="5">
        <f>VLOOKUP(C1041,[1]master_data!$A$2:$E$495,3,FALSE)</f>
        <v>33000</v>
      </c>
      <c r="G1041" s="5">
        <f>VLOOKUP(C1041,[1]master_data!$A$2:$E$495,4,FALSE)</f>
        <v>70000</v>
      </c>
      <c r="H1041" s="5">
        <f t="shared" si="54"/>
        <v>33000</v>
      </c>
      <c r="I1041" s="5">
        <f t="shared" si="55"/>
        <v>70000</v>
      </c>
      <c r="J1041" s="5">
        <f t="shared" si="56"/>
        <v>37000</v>
      </c>
      <c r="K1041" s="5" t="str">
        <f>VLOOKUP(C1041,[1]master_data!$A$2:$E$495,5,FALSE)</f>
        <v>Aksesoris</v>
      </c>
      <c r="L1041" s="5" t="s">
        <v>471</v>
      </c>
    </row>
    <row r="1042" spans="1:12" ht="12" customHeight="1" x14ac:dyDescent="0.25">
      <c r="A1042" s="6">
        <v>44815</v>
      </c>
      <c r="B1042" s="1">
        <v>2203521</v>
      </c>
      <c r="C1042" s="5" t="s">
        <v>409</v>
      </c>
      <c r="D1042" s="5" t="str">
        <f>VLOOKUP(C1042,[1]master_data!$A$2:$E$495,2,FALSE)</f>
        <v>GOLD FISH</v>
      </c>
      <c r="E1042" s="5">
        <v>10</v>
      </c>
      <c r="F1042" s="5">
        <f>VLOOKUP(C1042,[1]master_data!$A$2:$E$495,3,FALSE)</f>
        <v>800</v>
      </c>
      <c r="G1042" s="5">
        <f>VLOOKUP(C1042,[1]master_data!$A$2:$E$495,4,FALSE)</f>
        <v>2000</v>
      </c>
      <c r="H1042" s="5">
        <f t="shared" si="54"/>
        <v>8000</v>
      </c>
      <c r="I1042" s="5">
        <f t="shared" si="55"/>
        <v>20000</v>
      </c>
      <c r="J1042" s="5">
        <f t="shared" si="56"/>
        <v>12000</v>
      </c>
      <c r="K1042" s="5" t="str">
        <f>VLOOKUP(C1042,[1]master_data!$A$2:$E$495,5,FALSE)</f>
        <v>Ikan</v>
      </c>
      <c r="L1042" s="5" t="s">
        <v>471</v>
      </c>
    </row>
    <row r="1043" spans="1:12" ht="12" customHeight="1" x14ac:dyDescent="0.25">
      <c r="A1043" s="6">
        <v>44814</v>
      </c>
      <c r="B1043" s="1">
        <v>2203520</v>
      </c>
      <c r="C1043" s="5" t="s">
        <v>12</v>
      </c>
      <c r="D1043" s="5" t="str">
        <f>VLOOKUP(C1043,[1]master_data!$A$2:$E$495,2,FALSE)</f>
        <v>MESIN YANG 104</v>
      </c>
      <c r="E1043" s="5">
        <v>1</v>
      </c>
      <c r="F1043" s="5">
        <f>VLOOKUP(C1043,[1]master_data!$A$2:$E$495,3,FALSE)</f>
        <v>98000</v>
      </c>
      <c r="G1043" s="5">
        <f>VLOOKUP(C1043,[1]master_data!$A$2:$E$495,4,FALSE)</f>
        <v>140000</v>
      </c>
      <c r="H1043" s="5">
        <f t="shared" si="54"/>
        <v>98000</v>
      </c>
      <c r="I1043" s="5">
        <f t="shared" si="55"/>
        <v>140000</v>
      </c>
      <c r="J1043" s="5">
        <f t="shared" si="56"/>
        <v>42000</v>
      </c>
      <c r="K1043" s="5" t="str">
        <f>VLOOKUP(C1043,[1]master_data!$A$2:$E$495,5,FALSE)</f>
        <v>Aksesoris</v>
      </c>
      <c r="L1043" s="5" t="s">
        <v>471</v>
      </c>
    </row>
    <row r="1044" spans="1:12" ht="12" customHeight="1" x14ac:dyDescent="0.25">
      <c r="A1044" s="6">
        <v>44814</v>
      </c>
      <c r="B1044" s="1">
        <v>2203519</v>
      </c>
      <c r="C1044" s="5" t="s">
        <v>409</v>
      </c>
      <c r="D1044" s="5" t="str">
        <f>VLOOKUP(C1044,[1]master_data!$A$2:$E$495,2,FALSE)</f>
        <v>GOLD FISH</v>
      </c>
      <c r="E1044" s="5">
        <v>1</v>
      </c>
      <c r="F1044" s="5">
        <f>VLOOKUP(C1044,[1]master_data!$A$2:$E$495,3,FALSE)</f>
        <v>800</v>
      </c>
      <c r="G1044" s="5">
        <f>VLOOKUP(C1044,[1]master_data!$A$2:$E$495,4,FALSE)</f>
        <v>2000</v>
      </c>
      <c r="H1044" s="5">
        <f t="shared" si="54"/>
        <v>800</v>
      </c>
      <c r="I1044" s="5">
        <f t="shared" si="55"/>
        <v>2000</v>
      </c>
      <c r="J1044" s="5">
        <f t="shared" si="56"/>
        <v>1200</v>
      </c>
      <c r="K1044" s="5" t="str">
        <f>VLOOKUP(C1044,[1]master_data!$A$2:$E$495,5,FALSE)</f>
        <v>Ikan</v>
      </c>
      <c r="L1044" s="5" t="s">
        <v>471</v>
      </c>
    </row>
    <row r="1045" spans="1:12" ht="12" customHeight="1" x14ac:dyDescent="0.25">
      <c r="A1045" s="6">
        <v>44814</v>
      </c>
      <c r="B1045" s="1">
        <v>2203518</v>
      </c>
      <c r="C1045" s="5" t="s">
        <v>406</v>
      </c>
      <c r="D1045" s="5" t="str">
        <f>VLOOKUP(C1045,[1]master_data!$A$2:$E$495,2,FALSE)</f>
        <v>BARBIR</v>
      </c>
      <c r="E1045" s="5">
        <v>25</v>
      </c>
      <c r="F1045" s="5">
        <f>VLOOKUP(C1045,[1]master_data!$A$2:$E$495,3,FALSE)</f>
        <v>800</v>
      </c>
      <c r="G1045" s="5">
        <f>VLOOKUP(C1045,[1]master_data!$A$2:$E$495,4,FALSE)</f>
        <v>2000</v>
      </c>
      <c r="H1045" s="5">
        <f t="shared" si="54"/>
        <v>20000</v>
      </c>
      <c r="I1045" s="5">
        <f t="shared" si="55"/>
        <v>50000</v>
      </c>
      <c r="J1045" s="5">
        <f t="shared" si="56"/>
        <v>30000</v>
      </c>
      <c r="K1045" s="5" t="str">
        <f>VLOOKUP(C1045,[1]master_data!$A$2:$E$495,5,FALSE)</f>
        <v>Ikan</v>
      </c>
      <c r="L1045" s="5" t="s">
        <v>471</v>
      </c>
    </row>
    <row r="1046" spans="1:12" ht="12" customHeight="1" x14ac:dyDescent="0.25">
      <c r="A1046" s="6">
        <v>44814</v>
      </c>
      <c r="B1046" s="1">
        <v>2203517</v>
      </c>
      <c r="C1046" s="5" t="s">
        <v>409</v>
      </c>
      <c r="D1046" s="5" t="str">
        <f>VLOOKUP(C1046,[1]master_data!$A$2:$E$495,2,FALSE)</f>
        <v>GOLD FISH</v>
      </c>
      <c r="E1046" s="5">
        <v>1</v>
      </c>
      <c r="F1046" s="5">
        <f>VLOOKUP(C1046,[1]master_data!$A$2:$E$495,3,FALSE)</f>
        <v>800</v>
      </c>
      <c r="G1046" s="5">
        <f>VLOOKUP(C1046,[1]master_data!$A$2:$E$495,4,FALSE)</f>
        <v>2000</v>
      </c>
      <c r="H1046" s="5">
        <f t="shared" si="54"/>
        <v>800</v>
      </c>
      <c r="I1046" s="5">
        <f t="shared" si="55"/>
        <v>2000</v>
      </c>
      <c r="J1046" s="5">
        <f t="shared" si="56"/>
        <v>1200</v>
      </c>
      <c r="K1046" s="5" t="str">
        <f>VLOOKUP(C1046,[1]master_data!$A$2:$E$495,5,FALSE)</f>
        <v>Ikan</v>
      </c>
      <c r="L1046" s="5" t="s">
        <v>471</v>
      </c>
    </row>
    <row r="1047" spans="1:12" ht="12" customHeight="1" x14ac:dyDescent="0.25">
      <c r="A1047" s="6">
        <v>44814</v>
      </c>
      <c r="B1047" s="1">
        <v>2203516</v>
      </c>
      <c r="C1047" s="5" t="s">
        <v>36</v>
      </c>
      <c r="D1047" s="5" t="str">
        <f>VLOOKUP(C1047,[1]master_data!$A$2:$E$495,2,FALSE)</f>
        <v>MESIN YAMANO ACT 3800</v>
      </c>
      <c r="E1047" s="5">
        <v>1</v>
      </c>
      <c r="F1047" s="5">
        <f>VLOOKUP(C1047,[1]master_data!$A$2:$E$495,3,FALSE)</f>
        <v>400000</v>
      </c>
      <c r="G1047" s="5">
        <f>VLOOKUP(C1047,[1]master_data!$A$2:$E$495,4,FALSE)</f>
        <v>475000</v>
      </c>
      <c r="H1047" s="5">
        <f t="shared" si="54"/>
        <v>400000</v>
      </c>
      <c r="I1047" s="5">
        <f t="shared" si="55"/>
        <v>475000</v>
      </c>
      <c r="J1047" s="5">
        <f t="shared" si="56"/>
        <v>75000</v>
      </c>
      <c r="K1047" s="5" t="str">
        <f>VLOOKUP(C1047,[1]master_data!$A$2:$E$495,5,FALSE)</f>
        <v>Aksesoris</v>
      </c>
      <c r="L1047" s="5" t="s">
        <v>471</v>
      </c>
    </row>
    <row r="1048" spans="1:12" ht="12" customHeight="1" x14ac:dyDescent="0.25">
      <c r="A1048" s="6">
        <v>44814</v>
      </c>
      <c r="B1048" s="1">
        <v>2203515</v>
      </c>
      <c r="C1048" s="5" t="s">
        <v>6</v>
      </c>
      <c r="D1048" s="5" t="str">
        <f>VLOOKUP(C1048,[1]master_data!$A$2:$E$495,2,FALSE)</f>
        <v>MESIN YANG 1200</v>
      </c>
      <c r="E1048" s="5">
        <v>5</v>
      </c>
      <c r="F1048" s="5">
        <f>VLOOKUP(C1048,[1]master_data!$A$2:$E$495,3,FALSE)</f>
        <v>25000</v>
      </c>
      <c r="G1048" s="5">
        <f>VLOOKUP(C1048,[1]master_data!$A$2:$E$495,4,FALSE)</f>
        <v>40000</v>
      </c>
      <c r="H1048" s="5">
        <f t="shared" si="54"/>
        <v>125000</v>
      </c>
      <c r="I1048" s="5">
        <f t="shared" si="55"/>
        <v>200000</v>
      </c>
      <c r="J1048" s="5">
        <f t="shared" si="56"/>
        <v>75000</v>
      </c>
      <c r="K1048" s="5" t="str">
        <f>VLOOKUP(C1048,[1]master_data!$A$2:$E$495,5,FALSE)</f>
        <v>Aksesoris</v>
      </c>
      <c r="L1048" s="5" t="s">
        <v>471</v>
      </c>
    </row>
    <row r="1049" spans="1:12" ht="12" customHeight="1" x14ac:dyDescent="0.25">
      <c r="A1049" s="6">
        <v>44814</v>
      </c>
      <c r="B1049" s="1">
        <v>2203514</v>
      </c>
      <c r="C1049" s="5" t="s">
        <v>409</v>
      </c>
      <c r="D1049" s="5" t="str">
        <f>VLOOKUP(C1049,[1]master_data!$A$2:$E$495,2,FALSE)</f>
        <v>GOLD FISH</v>
      </c>
      <c r="E1049" s="5">
        <v>1</v>
      </c>
      <c r="F1049" s="5">
        <f>VLOOKUP(C1049,[1]master_data!$A$2:$E$495,3,FALSE)</f>
        <v>800</v>
      </c>
      <c r="G1049" s="5">
        <f>VLOOKUP(C1049,[1]master_data!$A$2:$E$495,4,FALSE)</f>
        <v>2000</v>
      </c>
      <c r="H1049" s="5">
        <f t="shared" si="54"/>
        <v>800</v>
      </c>
      <c r="I1049" s="5">
        <f t="shared" si="55"/>
        <v>2000</v>
      </c>
      <c r="J1049" s="5">
        <f t="shared" si="56"/>
        <v>1200</v>
      </c>
      <c r="K1049" s="5" t="str">
        <f>VLOOKUP(C1049,[1]master_data!$A$2:$E$495,5,FALSE)</f>
        <v>Ikan</v>
      </c>
      <c r="L1049" s="5" t="s">
        <v>471</v>
      </c>
    </row>
    <row r="1050" spans="1:12" ht="12" customHeight="1" x14ac:dyDescent="0.25">
      <c r="A1050" s="6">
        <v>44814</v>
      </c>
      <c r="B1050" s="1">
        <v>2203513</v>
      </c>
      <c r="C1050" s="5" t="s">
        <v>403</v>
      </c>
      <c r="D1050" s="5" t="str">
        <f>VLOOKUP(C1050,[1]master_data!$A$2:$E$495,2,FALSE)</f>
        <v>CHANNA BLUE PULCHRA K</v>
      </c>
      <c r="E1050" s="5">
        <v>5</v>
      </c>
      <c r="F1050" s="5">
        <f>VLOOKUP(C1050,[1]master_data!$A$2:$E$495,3,FALSE)</f>
        <v>25000</v>
      </c>
      <c r="G1050" s="5">
        <f>VLOOKUP(C1050,[1]master_data!$A$2:$E$495,4,FALSE)</f>
        <v>50000</v>
      </c>
      <c r="H1050" s="5">
        <f t="shared" si="54"/>
        <v>125000</v>
      </c>
      <c r="I1050" s="5">
        <f t="shared" si="55"/>
        <v>250000</v>
      </c>
      <c r="J1050" s="5">
        <f t="shared" si="56"/>
        <v>125000</v>
      </c>
      <c r="K1050" s="5" t="str">
        <f>VLOOKUP(C1050,[1]master_data!$A$2:$E$495,5,FALSE)</f>
        <v>Ikan</v>
      </c>
      <c r="L1050" s="5" t="s">
        <v>471</v>
      </c>
    </row>
    <row r="1051" spans="1:12" ht="12" customHeight="1" x14ac:dyDescent="0.25">
      <c r="A1051" s="6">
        <v>44814</v>
      </c>
      <c r="B1051" s="1">
        <v>2203512</v>
      </c>
      <c r="C1051" s="5" t="s">
        <v>432</v>
      </c>
      <c r="D1051" s="5" t="str">
        <f>VLOOKUP(C1051,[1]master_data!$A$2:$E$495,2,FALSE)</f>
        <v>MARU K</v>
      </c>
      <c r="E1051" s="5">
        <v>1</v>
      </c>
      <c r="F1051" s="5">
        <f>VLOOKUP(C1051,[1]master_data!$A$2:$E$495,3,FALSE)</f>
        <v>23000</v>
      </c>
      <c r="G1051" s="5">
        <f>VLOOKUP(C1051,[1]master_data!$A$2:$E$495,4,FALSE)</f>
        <v>50000</v>
      </c>
      <c r="H1051" s="5">
        <f t="shared" si="54"/>
        <v>23000</v>
      </c>
      <c r="I1051" s="5">
        <f t="shared" si="55"/>
        <v>50000</v>
      </c>
      <c r="J1051" s="5">
        <f t="shared" si="56"/>
        <v>27000</v>
      </c>
      <c r="K1051" s="5" t="str">
        <f>VLOOKUP(C1051,[1]master_data!$A$2:$E$495,5,FALSE)</f>
        <v>Ikan</v>
      </c>
      <c r="L1051" s="5" t="s">
        <v>471</v>
      </c>
    </row>
    <row r="1052" spans="1:12" ht="12" customHeight="1" x14ac:dyDescent="0.25">
      <c r="A1052" s="6">
        <v>44814</v>
      </c>
      <c r="B1052" s="1">
        <v>2203511</v>
      </c>
      <c r="C1052" s="5" t="s">
        <v>46</v>
      </c>
      <c r="D1052" s="5" t="str">
        <f>VLOOKUP(C1052,[1]master_data!$A$2:$E$495,2,FALSE)</f>
        <v>MESIN NIKITA 104</v>
      </c>
      <c r="E1052" s="5">
        <v>2</v>
      </c>
      <c r="F1052" s="5">
        <f>VLOOKUP(C1052,[1]master_data!$A$2:$E$495,3,FALSE)</f>
        <v>70000</v>
      </c>
      <c r="G1052" s="5">
        <f>VLOOKUP(C1052,[1]master_data!$A$2:$E$495,4,FALSE)</f>
        <v>120000</v>
      </c>
      <c r="H1052" s="5">
        <f t="shared" si="54"/>
        <v>140000</v>
      </c>
      <c r="I1052" s="5">
        <f t="shared" si="55"/>
        <v>240000</v>
      </c>
      <c r="J1052" s="5">
        <f t="shared" si="56"/>
        <v>100000</v>
      </c>
      <c r="K1052" s="5" t="str">
        <f>VLOOKUP(C1052,[1]master_data!$A$2:$E$495,5,FALSE)</f>
        <v>Aksesoris</v>
      </c>
      <c r="L1052" s="5" t="s">
        <v>471</v>
      </c>
    </row>
    <row r="1053" spans="1:12" ht="12" customHeight="1" x14ac:dyDescent="0.25">
      <c r="A1053" s="6">
        <v>44814</v>
      </c>
      <c r="B1053" s="1">
        <v>2203510</v>
      </c>
      <c r="C1053" s="5" t="s">
        <v>137</v>
      </c>
      <c r="D1053" s="5" t="str">
        <f>VLOOKUP(C1053,[1]master_data!$A$2:$E$495,2,FALSE)</f>
        <v>LAMPU YAMANO UV 20W</v>
      </c>
      <c r="E1053" s="5">
        <v>1</v>
      </c>
      <c r="F1053" s="5">
        <f>VLOOKUP(C1053,[1]master_data!$A$2:$E$495,3,FALSE)</f>
        <v>184000</v>
      </c>
      <c r="G1053" s="5">
        <f>VLOOKUP(C1053,[1]master_data!$A$2:$E$495,4,FALSE)</f>
        <v>225000</v>
      </c>
      <c r="H1053" s="5">
        <f t="shared" si="54"/>
        <v>184000</v>
      </c>
      <c r="I1053" s="5">
        <f t="shared" si="55"/>
        <v>225000</v>
      </c>
      <c r="J1053" s="5">
        <f t="shared" si="56"/>
        <v>41000</v>
      </c>
      <c r="K1053" s="5" t="str">
        <f>VLOOKUP(C1053,[1]master_data!$A$2:$E$495,5,FALSE)</f>
        <v>Aksesoris</v>
      </c>
      <c r="L1053" s="5" t="s">
        <v>471</v>
      </c>
    </row>
    <row r="1054" spans="1:12" ht="12" customHeight="1" x14ac:dyDescent="0.25">
      <c r="A1054" s="6">
        <v>44814</v>
      </c>
      <c r="B1054" s="1">
        <v>2203509</v>
      </c>
      <c r="C1054" s="5" t="s">
        <v>434</v>
      </c>
      <c r="D1054" s="5" t="str">
        <f>VLOOKUP(C1054,[1]master_data!$A$2:$E$495,2,FALSE)</f>
        <v>MOLI PAKAN</v>
      </c>
      <c r="E1054" s="5">
        <v>30</v>
      </c>
      <c r="F1054" s="5">
        <f>VLOOKUP(C1054,[1]master_data!$A$2:$E$495,3,FALSE)</f>
        <v>100</v>
      </c>
      <c r="G1054" s="5">
        <f>VLOOKUP(C1054,[1]master_data!$A$2:$E$495,4,FALSE)</f>
        <v>200</v>
      </c>
      <c r="H1054" s="5">
        <f t="shared" si="54"/>
        <v>3000</v>
      </c>
      <c r="I1054" s="5">
        <f t="shared" si="55"/>
        <v>6000</v>
      </c>
      <c r="J1054" s="5">
        <f t="shared" si="56"/>
        <v>3000</v>
      </c>
      <c r="K1054" s="5" t="str">
        <f>VLOOKUP(C1054,[1]master_data!$A$2:$E$495,5,FALSE)</f>
        <v>Ikan</v>
      </c>
      <c r="L1054" s="5" t="s">
        <v>471</v>
      </c>
    </row>
    <row r="1055" spans="1:12" ht="12" customHeight="1" x14ac:dyDescent="0.25">
      <c r="A1055" s="6">
        <v>44814</v>
      </c>
      <c r="B1055" s="1">
        <v>2203508</v>
      </c>
      <c r="C1055" s="5" t="s">
        <v>460</v>
      </c>
      <c r="D1055" s="5" t="str">
        <f>VLOOKUP(C1055,[1]master_data!$A$2:$E$495,2,FALSE)</f>
        <v>ZEBRA KUNING</v>
      </c>
      <c r="E1055" s="5">
        <v>15</v>
      </c>
      <c r="F1055" s="5">
        <f>VLOOKUP(C1055,[1]master_data!$A$2:$E$495,3,FALSE)</f>
        <v>800</v>
      </c>
      <c r="G1055" s="5">
        <f>VLOOKUP(C1055,[1]master_data!$A$2:$E$495,4,FALSE)</f>
        <v>2000</v>
      </c>
      <c r="H1055" s="5">
        <f t="shared" si="54"/>
        <v>12000</v>
      </c>
      <c r="I1055" s="5">
        <f t="shared" si="55"/>
        <v>30000</v>
      </c>
      <c r="J1055" s="5">
        <f t="shared" si="56"/>
        <v>18000</v>
      </c>
      <c r="K1055" s="5" t="str">
        <f>VLOOKUP(C1055,[1]master_data!$A$2:$E$495,5,FALSE)</f>
        <v>Ikan</v>
      </c>
      <c r="L1055" s="5" t="s">
        <v>471</v>
      </c>
    </row>
    <row r="1056" spans="1:12" ht="12" customHeight="1" x14ac:dyDescent="0.25">
      <c r="A1056" s="6">
        <v>44813</v>
      </c>
      <c r="B1056" s="1">
        <v>2203507</v>
      </c>
      <c r="C1056" s="5" t="s">
        <v>449</v>
      </c>
      <c r="D1056" s="5" t="str">
        <f>VLOOKUP(C1056,[1]master_data!$A$2:$E$495,2,FALSE)</f>
        <v>CHANNA RED BARITO B</v>
      </c>
      <c r="E1056" s="5">
        <v>1</v>
      </c>
      <c r="F1056" s="5">
        <f>VLOOKUP(C1056,[1]master_data!$A$2:$E$495,3,FALSE)</f>
        <v>120000</v>
      </c>
      <c r="G1056" s="5">
        <f>VLOOKUP(C1056,[1]master_data!$A$2:$E$495,4,FALSE)</f>
        <v>200000</v>
      </c>
      <c r="H1056" s="5">
        <f t="shared" si="54"/>
        <v>120000</v>
      </c>
      <c r="I1056" s="5">
        <f t="shared" si="55"/>
        <v>200000</v>
      </c>
      <c r="J1056" s="5">
        <f t="shared" si="56"/>
        <v>80000</v>
      </c>
      <c r="K1056" s="5" t="str">
        <f>VLOOKUP(C1056,[1]master_data!$A$2:$E$495,5,FALSE)</f>
        <v>Ikan</v>
      </c>
      <c r="L1056" s="5" t="s">
        <v>471</v>
      </c>
    </row>
    <row r="1057" spans="1:12" ht="12" customHeight="1" x14ac:dyDescent="0.25">
      <c r="A1057" s="6">
        <v>44813</v>
      </c>
      <c r="B1057" s="1">
        <v>2203506</v>
      </c>
      <c r="C1057" s="5" t="s">
        <v>388</v>
      </c>
      <c r="D1057" s="5" t="str">
        <f>VLOOKUP(C1057,[1]master_data!$A$2:$E$495,2,FALSE)</f>
        <v>BATU ALAM K</v>
      </c>
      <c r="E1057" s="5">
        <v>20</v>
      </c>
      <c r="F1057" s="5">
        <f>VLOOKUP(C1057,[1]master_data!$A$2:$E$495,3,FALSE)</f>
        <v>5000</v>
      </c>
      <c r="G1057" s="5">
        <f>VLOOKUP(C1057,[1]master_data!$A$2:$E$495,4,FALSE)</f>
        <v>10000</v>
      </c>
      <c r="H1057" s="5">
        <f t="shared" si="54"/>
        <v>100000</v>
      </c>
      <c r="I1057" s="5">
        <f t="shared" si="55"/>
        <v>200000</v>
      </c>
      <c r="J1057" s="5">
        <f t="shared" si="56"/>
        <v>100000</v>
      </c>
      <c r="K1057" s="5" t="str">
        <f>VLOOKUP(C1057,[1]master_data!$A$2:$E$495,5,FALSE)</f>
        <v>Aksesoris</v>
      </c>
      <c r="L1057" s="5" t="s">
        <v>471</v>
      </c>
    </row>
    <row r="1058" spans="1:12" ht="12" customHeight="1" x14ac:dyDescent="0.25">
      <c r="A1058" s="6">
        <v>44813</v>
      </c>
      <c r="B1058" s="1">
        <v>2203505</v>
      </c>
      <c r="C1058" s="5" t="s">
        <v>117</v>
      </c>
      <c r="D1058" s="5" t="str">
        <f>VLOOKUP(C1058,[1]master_data!$A$2:$E$495,2,FALSE)</f>
        <v>LED ROSTON 3 MODE 30 CM</v>
      </c>
      <c r="E1058" s="5">
        <v>1</v>
      </c>
      <c r="F1058" s="5">
        <f>VLOOKUP(C1058,[1]master_data!$A$2:$E$495,3,FALSE)</f>
        <v>25000</v>
      </c>
      <c r="G1058" s="5">
        <f>VLOOKUP(C1058,[1]master_data!$A$2:$E$495,4,FALSE)</f>
        <v>45000</v>
      </c>
      <c r="H1058" s="5">
        <f t="shared" si="54"/>
        <v>25000</v>
      </c>
      <c r="I1058" s="5">
        <f t="shared" si="55"/>
        <v>45000</v>
      </c>
      <c r="J1058" s="5">
        <f t="shared" si="56"/>
        <v>20000</v>
      </c>
      <c r="K1058" s="5" t="str">
        <f>VLOOKUP(C1058,[1]master_data!$A$2:$E$495,5,FALSE)</f>
        <v>Aksesoris</v>
      </c>
      <c r="L1058" s="5" t="s">
        <v>471</v>
      </c>
    </row>
    <row r="1059" spans="1:12" ht="12" customHeight="1" x14ac:dyDescent="0.25">
      <c r="A1059" s="6">
        <v>44813</v>
      </c>
      <c r="B1059" s="1">
        <v>2203504</v>
      </c>
      <c r="C1059" s="5" t="s">
        <v>81</v>
      </c>
      <c r="D1059" s="5" t="str">
        <f>VLOOKUP(C1059,[1]master_data!$A$2:$E$495,2,FALSE)</f>
        <v>TOP FILTER ARMADA B</v>
      </c>
      <c r="E1059" s="5">
        <v>1</v>
      </c>
      <c r="F1059" s="5">
        <f>VLOOKUP(C1059,[1]master_data!$A$2:$E$495,3,FALSE)</f>
        <v>38000</v>
      </c>
      <c r="G1059" s="5">
        <f>VLOOKUP(C1059,[1]master_data!$A$2:$E$495,4,FALSE)</f>
        <v>60000</v>
      </c>
      <c r="H1059" s="5">
        <f t="shared" si="54"/>
        <v>38000</v>
      </c>
      <c r="I1059" s="5">
        <f t="shared" si="55"/>
        <v>60000</v>
      </c>
      <c r="J1059" s="5">
        <f t="shared" si="56"/>
        <v>22000</v>
      </c>
      <c r="K1059" s="5" t="str">
        <f>VLOOKUP(C1059,[1]master_data!$A$2:$E$495,5,FALSE)</f>
        <v>Aksesoris</v>
      </c>
      <c r="L1059" s="5" t="s">
        <v>471</v>
      </c>
    </row>
    <row r="1060" spans="1:12" ht="12" customHeight="1" x14ac:dyDescent="0.25">
      <c r="A1060" s="6">
        <v>44813</v>
      </c>
      <c r="B1060" s="1">
        <v>2203503</v>
      </c>
      <c r="C1060" s="5" t="s">
        <v>442</v>
      </c>
      <c r="D1060" s="5" t="str">
        <f>VLOOKUP(C1060,[1]master_data!$A$2:$E$495,2,FALSE)</f>
        <v>PEMBERSIH KACA ALBINO</v>
      </c>
      <c r="E1060" s="5">
        <v>15</v>
      </c>
      <c r="F1060" s="5">
        <f>VLOOKUP(C1060,[1]master_data!$A$2:$E$495,3,FALSE)</f>
        <v>2500</v>
      </c>
      <c r="G1060" s="5">
        <f>VLOOKUP(C1060,[1]master_data!$A$2:$E$495,4,FALSE)</f>
        <v>5000</v>
      </c>
      <c r="H1060" s="5">
        <f t="shared" si="54"/>
        <v>37500</v>
      </c>
      <c r="I1060" s="5">
        <f t="shared" si="55"/>
        <v>75000</v>
      </c>
      <c r="J1060" s="5">
        <f t="shared" si="56"/>
        <v>37500</v>
      </c>
      <c r="K1060" s="5" t="str">
        <f>VLOOKUP(C1060,[1]master_data!$A$2:$E$495,5,FALSE)</f>
        <v>Ikan</v>
      </c>
      <c r="L1060" s="5" t="s">
        <v>471</v>
      </c>
    </row>
    <row r="1061" spans="1:12" ht="12" customHeight="1" x14ac:dyDescent="0.25">
      <c r="A1061" s="6">
        <v>44813</v>
      </c>
      <c r="B1061" s="1">
        <v>2203502</v>
      </c>
      <c r="C1061" s="5" t="s">
        <v>191</v>
      </c>
      <c r="D1061" s="5" t="str">
        <f>VLOOKUP(C1061,[1]master_data!$A$2:$E$495,2,FALSE)</f>
        <v>LED KANDILA PRO RED ECO 60 CM</v>
      </c>
      <c r="E1061" s="5">
        <v>1</v>
      </c>
      <c r="F1061" s="5">
        <f>VLOOKUP(C1061,[1]master_data!$A$2:$E$495,3,FALSE)</f>
        <v>60000</v>
      </c>
      <c r="G1061" s="5">
        <f>VLOOKUP(C1061,[1]master_data!$A$2:$E$495,4,FALSE)</f>
        <v>80000</v>
      </c>
      <c r="H1061" s="5">
        <f t="shared" si="54"/>
        <v>60000</v>
      </c>
      <c r="I1061" s="5">
        <f t="shared" si="55"/>
        <v>80000</v>
      </c>
      <c r="J1061" s="5">
        <f t="shared" si="56"/>
        <v>20000</v>
      </c>
      <c r="K1061" s="5" t="str">
        <f>VLOOKUP(C1061,[1]master_data!$A$2:$E$495,5,FALSE)</f>
        <v>Aksesoris</v>
      </c>
      <c r="L1061" s="5" t="s">
        <v>471</v>
      </c>
    </row>
    <row r="1062" spans="1:12" ht="12" customHeight="1" x14ac:dyDescent="0.25">
      <c r="A1062" s="6">
        <v>44813</v>
      </c>
      <c r="B1062" s="1">
        <v>2203501</v>
      </c>
      <c r="C1062" s="5" t="s">
        <v>249</v>
      </c>
      <c r="D1062" s="5" t="str">
        <f>VLOOKUP(C1062,[1]master_data!$A$2:$E$495,2,FALSE)</f>
        <v>AIRSTONE BAKSO B</v>
      </c>
      <c r="E1062" s="5">
        <v>20</v>
      </c>
      <c r="F1062" s="5">
        <f>VLOOKUP(C1062,[1]master_data!$A$2:$E$495,3,FALSE)</f>
        <v>7700</v>
      </c>
      <c r="G1062" s="5">
        <f>VLOOKUP(C1062,[1]master_data!$A$2:$E$495,4,FALSE)</f>
        <v>10000</v>
      </c>
      <c r="H1062" s="5">
        <f t="shared" si="54"/>
        <v>154000</v>
      </c>
      <c r="I1062" s="5">
        <f t="shared" si="55"/>
        <v>200000</v>
      </c>
      <c r="J1062" s="5">
        <f t="shared" si="56"/>
        <v>46000</v>
      </c>
      <c r="K1062" s="5" t="str">
        <f>VLOOKUP(C1062,[1]master_data!$A$2:$E$495,5,FALSE)</f>
        <v>Aksesoris</v>
      </c>
      <c r="L1062" s="5" t="s">
        <v>471</v>
      </c>
    </row>
    <row r="1063" spans="1:12" ht="12" customHeight="1" x14ac:dyDescent="0.25">
      <c r="A1063" s="6">
        <v>44813</v>
      </c>
      <c r="B1063" s="1">
        <v>2203500</v>
      </c>
      <c r="C1063" s="5" t="s">
        <v>393</v>
      </c>
      <c r="D1063" s="5" t="str">
        <f>VLOOKUP(C1063,[1]master_data!$A$2:$E$495,2,FALSE)</f>
        <v>CHANNA ANDRAO B</v>
      </c>
      <c r="E1063" s="5">
        <v>1</v>
      </c>
      <c r="F1063" s="5">
        <f>VLOOKUP(C1063,[1]master_data!$A$2:$E$495,3,FALSE)</f>
        <v>100000</v>
      </c>
      <c r="G1063" s="5">
        <f>VLOOKUP(C1063,[1]master_data!$A$2:$E$495,4,FALSE)</f>
        <v>200000</v>
      </c>
      <c r="H1063" s="5">
        <f t="shared" si="54"/>
        <v>100000</v>
      </c>
      <c r="I1063" s="5">
        <f t="shared" si="55"/>
        <v>200000</v>
      </c>
      <c r="J1063" s="5">
        <f t="shared" si="56"/>
        <v>100000</v>
      </c>
      <c r="K1063" s="5" t="str">
        <f>VLOOKUP(C1063,[1]master_data!$A$2:$E$495,5,FALSE)</f>
        <v>Ikan</v>
      </c>
      <c r="L1063" s="5" t="s">
        <v>471</v>
      </c>
    </row>
    <row r="1064" spans="1:12" ht="12" customHeight="1" x14ac:dyDescent="0.25">
      <c r="A1064" s="6">
        <v>44813</v>
      </c>
      <c r="B1064" s="1">
        <v>2203499</v>
      </c>
      <c r="C1064" s="5" t="s">
        <v>349</v>
      </c>
      <c r="D1064" s="5" t="str">
        <f>VLOOKUP(C1064,[1]master_data!$A$2:$E$495,2,FALSE)</f>
        <v>AKUARIUM 80 ROBOT</v>
      </c>
      <c r="E1064" s="5">
        <v>1</v>
      </c>
      <c r="F1064" s="5">
        <f>VLOOKUP(C1064,[1]master_data!$A$2:$E$495,3,FALSE)</f>
        <v>300000</v>
      </c>
      <c r="G1064" s="5">
        <f>VLOOKUP(C1064,[1]master_data!$A$2:$E$495,4,FALSE)</f>
        <v>370000</v>
      </c>
      <c r="H1064" s="5">
        <f t="shared" si="54"/>
        <v>300000</v>
      </c>
      <c r="I1064" s="5">
        <f t="shared" si="55"/>
        <v>370000</v>
      </c>
      <c r="J1064" s="5">
        <f t="shared" si="56"/>
        <v>70000</v>
      </c>
      <c r="K1064" s="5" t="str">
        <f>VLOOKUP(C1064,[1]master_data!$A$2:$E$495,5,FALSE)</f>
        <v>Aksesoris</v>
      </c>
      <c r="L1064" s="5" t="s">
        <v>471</v>
      </c>
    </row>
    <row r="1065" spans="1:12" ht="12" customHeight="1" x14ac:dyDescent="0.25">
      <c r="A1065" s="6">
        <v>44813</v>
      </c>
      <c r="B1065" s="1">
        <v>2203498</v>
      </c>
      <c r="C1065" s="5" t="s">
        <v>450</v>
      </c>
      <c r="D1065" s="5" t="str">
        <f>VLOOKUP(C1065,[1]master_data!$A$2:$E$495,2,FALSE)</f>
        <v>SUMATRA BIASA</v>
      </c>
      <c r="E1065" s="5">
        <v>10</v>
      </c>
      <c r="F1065" s="5">
        <f>VLOOKUP(C1065,[1]master_data!$A$2:$E$495,3,FALSE)</f>
        <v>800</v>
      </c>
      <c r="G1065" s="5">
        <f>VLOOKUP(C1065,[1]master_data!$A$2:$E$495,4,FALSE)</f>
        <v>2000</v>
      </c>
      <c r="H1065" s="5">
        <f t="shared" si="54"/>
        <v>8000</v>
      </c>
      <c r="I1065" s="5">
        <f t="shared" si="55"/>
        <v>20000</v>
      </c>
      <c r="J1065" s="5">
        <f t="shared" si="56"/>
        <v>12000</v>
      </c>
      <c r="K1065" s="5" t="str">
        <f>VLOOKUP(C1065,[1]master_data!$A$2:$E$495,5,FALSE)</f>
        <v>Ikan</v>
      </c>
      <c r="L1065" s="5" t="s">
        <v>471</v>
      </c>
    </row>
    <row r="1066" spans="1:12" ht="12" customHeight="1" x14ac:dyDescent="0.25">
      <c r="A1066" s="6">
        <v>44812</v>
      </c>
      <c r="B1066" s="1">
        <v>2203497</v>
      </c>
      <c r="C1066" s="5" t="s">
        <v>395</v>
      </c>
      <c r="D1066" s="5" t="str">
        <f>VLOOKUP(C1066,[1]master_data!$A$2:$E$495,2,FALSE)</f>
        <v>ARWANA SILVER B</v>
      </c>
      <c r="E1066" s="5">
        <v>2</v>
      </c>
      <c r="F1066" s="5">
        <f>VLOOKUP(C1066,[1]master_data!$A$2:$E$495,3,FALSE)</f>
        <v>300000</v>
      </c>
      <c r="G1066" s="5">
        <f>VLOOKUP(C1066,[1]master_data!$A$2:$E$495,4,FALSE)</f>
        <v>500000</v>
      </c>
      <c r="H1066" s="5">
        <f t="shared" si="54"/>
        <v>600000</v>
      </c>
      <c r="I1066" s="5">
        <f t="shared" si="55"/>
        <v>1000000</v>
      </c>
      <c r="J1066" s="5">
        <f t="shared" si="56"/>
        <v>400000</v>
      </c>
      <c r="K1066" s="5" t="str">
        <f>VLOOKUP(C1066,[1]master_data!$A$2:$E$495,5,FALSE)</f>
        <v>Ikan</v>
      </c>
      <c r="L1066" s="5" t="s">
        <v>471</v>
      </c>
    </row>
    <row r="1067" spans="1:12" ht="12" customHeight="1" x14ac:dyDescent="0.25">
      <c r="A1067" s="6">
        <v>44812</v>
      </c>
      <c r="B1067" s="1">
        <v>2203496</v>
      </c>
      <c r="C1067" s="5" t="s">
        <v>449</v>
      </c>
      <c r="D1067" s="5" t="str">
        <f>VLOOKUP(C1067,[1]master_data!$A$2:$E$495,2,FALSE)</f>
        <v>CHANNA RED BARITO B</v>
      </c>
      <c r="E1067" s="5">
        <v>1</v>
      </c>
      <c r="F1067" s="5">
        <f>VLOOKUP(C1067,[1]master_data!$A$2:$E$495,3,FALSE)</f>
        <v>120000</v>
      </c>
      <c r="G1067" s="5">
        <f>VLOOKUP(C1067,[1]master_data!$A$2:$E$495,4,FALSE)</f>
        <v>200000</v>
      </c>
      <c r="H1067" s="5">
        <f t="shared" si="54"/>
        <v>120000</v>
      </c>
      <c r="I1067" s="5">
        <f t="shared" si="55"/>
        <v>200000</v>
      </c>
      <c r="J1067" s="5">
        <f t="shared" si="56"/>
        <v>80000</v>
      </c>
      <c r="K1067" s="5" t="str">
        <f>VLOOKUP(C1067,[1]master_data!$A$2:$E$495,5,FALSE)</f>
        <v>Ikan</v>
      </c>
      <c r="L1067" s="5" t="s">
        <v>471</v>
      </c>
    </row>
    <row r="1068" spans="1:12" ht="12" customHeight="1" x14ac:dyDescent="0.25">
      <c r="A1068" s="6">
        <v>44812</v>
      </c>
      <c r="B1068" s="1">
        <v>2203495</v>
      </c>
      <c r="C1068" s="5" t="s">
        <v>443</v>
      </c>
      <c r="D1068" s="5" t="str">
        <f>VLOOKUP(C1068,[1]master_data!$A$2:$E$495,2,FALSE)</f>
        <v>PALMAS</v>
      </c>
      <c r="E1068" s="5">
        <v>1</v>
      </c>
      <c r="F1068" s="5">
        <f>VLOOKUP(C1068,[1]master_data!$A$2:$E$495,3,FALSE)</f>
        <v>10000</v>
      </c>
      <c r="G1068" s="5">
        <f>VLOOKUP(C1068,[1]master_data!$A$2:$E$495,4,FALSE)</f>
        <v>25000</v>
      </c>
      <c r="H1068" s="5">
        <f t="shared" si="54"/>
        <v>10000</v>
      </c>
      <c r="I1068" s="5">
        <f t="shared" si="55"/>
        <v>25000</v>
      </c>
      <c r="J1068" s="5">
        <f t="shared" si="56"/>
        <v>15000</v>
      </c>
      <c r="K1068" s="5" t="str">
        <f>VLOOKUP(C1068,[1]master_data!$A$2:$E$495,5,FALSE)</f>
        <v>Ikan</v>
      </c>
      <c r="L1068" s="5" t="s">
        <v>471</v>
      </c>
    </row>
    <row r="1069" spans="1:12" ht="12" customHeight="1" x14ac:dyDescent="0.25">
      <c r="A1069" s="6">
        <v>44812</v>
      </c>
      <c r="B1069" s="1">
        <v>2203494</v>
      </c>
      <c r="C1069" s="5" t="s">
        <v>317</v>
      </c>
      <c r="D1069" s="5" t="str">
        <f>VLOOKUP(C1069,[1]master_data!$A$2:$E$495,2,FALSE)</f>
        <v>PEMBERSIH KERAK KACA</v>
      </c>
      <c r="E1069" s="5">
        <v>10</v>
      </c>
      <c r="F1069" s="5">
        <f>VLOOKUP(C1069,[1]master_data!$A$2:$E$495,3,FALSE)</f>
        <v>7000</v>
      </c>
      <c r="G1069" s="5">
        <f>VLOOKUP(C1069,[1]master_data!$A$2:$E$495,4,FALSE)</f>
        <v>15000</v>
      </c>
      <c r="H1069" s="5">
        <f t="shared" si="54"/>
        <v>70000</v>
      </c>
      <c r="I1069" s="5">
        <f t="shared" si="55"/>
        <v>150000</v>
      </c>
      <c r="J1069" s="5">
        <f t="shared" si="56"/>
        <v>80000</v>
      </c>
      <c r="K1069" s="5" t="str">
        <f>VLOOKUP(C1069,[1]master_data!$A$2:$E$495,5,FALSE)</f>
        <v>Aksesoris</v>
      </c>
      <c r="L1069" s="5" t="s">
        <v>471</v>
      </c>
    </row>
    <row r="1070" spans="1:12" ht="12" customHeight="1" x14ac:dyDescent="0.25">
      <c r="A1070" s="6">
        <v>44811</v>
      </c>
      <c r="B1070" s="1">
        <v>2203493</v>
      </c>
      <c r="C1070" s="5" t="s">
        <v>194</v>
      </c>
      <c r="D1070" s="5" t="str">
        <f>VLOOKUP(C1070,[1]master_data!$A$2:$E$495,2,FALSE)</f>
        <v>LED KANDILA DnN ECO 30 CM</v>
      </c>
      <c r="E1070" s="5">
        <v>1</v>
      </c>
      <c r="F1070" s="5">
        <f>VLOOKUP(C1070,[1]master_data!$A$2:$E$495,3,FALSE)</f>
        <v>48000</v>
      </c>
      <c r="G1070" s="5">
        <f>VLOOKUP(C1070,[1]master_data!$A$2:$E$495,4,FALSE)</f>
        <v>70000</v>
      </c>
      <c r="H1070" s="5">
        <f t="shared" si="54"/>
        <v>48000</v>
      </c>
      <c r="I1070" s="5">
        <f t="shared" si="55"/>
        <v>70000</v>
      </c>
      <c r="J1070" s="5">
        <f t="shared" si="56"/>
        <v>22000</v>
      </c>
      <c r="K1070" s="5" t="str">
        <f>VLOOKUP(C1070,[1]master_data!$A$2:$E$495,5,FALSE)</f>
        <v>Aksesoris</v>
      </c>
      <c r="L1070" s="5" t="s">
        <v>471</v>
      </c>
    </row>
    <row r="1071" spans="1:12" ht="12" customHeight="1" x14ac:dyDescent="0.25">
      <c r="A1071" s="6">
        <v>44811</v>
      </c>
      <c r="B1071" s="1">
        <v>2203492</v>
      </c>
      <c r="C1071" s="5" t="s">
        <v>235</v>
      </c>
      <c r="D1071" s="5" t="str">
        <f>VLOOKUP(C1071,[1]master_data!$A$2:$E$495,2,FALSE)</f>
        <v>MIZUKO</v>
      </c>
      <c r="E1071" s="5">
        <v>2</v>
      </c>
      <c r="F1071" s="5">
        <f>VLOOKUP(C1071,[1]master_data!$A$2:$E$495,3,FALSE)</f>
        <v>30000</v>
      </c>
      <c r="G1071" s="5">
        <f>VLOOKUP(C1071,[1]master_data!$A$2:$E$495,4,FALSE)</f>
        <v>50000</v>
      </c>
      <c r="H1071" s="5">
        <f t="shared" si="54"/>
        <v>60000</v>
      </c>
      <c r="I1071" s="5">
        <f t="shared" si="55"/>
        <v>100000</v>
      </c>
      <c r="J1071" s="5">
        <f t="shared" si="56"/>
        <v>40000</v>
      </c>
      <c r="K1071" s="5" t="str">
        <f>VLOOKUP(C1071,[1]master_data!$A$2:$E$495,5,FALSE)</f>
        <v>Aksesoris</v>
      </c>
      <c r="L1071" s="5" t="s">
        <v>471</v>
      </c>
    </row>
    <row r="1072" spans="1:12" ht="12" customHeight="1" x14ac:dyDescent="0.25">
      <c r="A1072" s="6">
        <v>44811</v>
      </c>
      <c r="B1072" s="1">
        <v>2203491</v>
      </c>
      <c r="C1072" s="5" t="s">
        <v>408</v>
      </c>
      <c r="D1072" s="5" t="str">
        <f>VLOOKUP(C1072,[1]master_data!$A$2:$E$495,2,FALSE)</f>
        <v>CATFISH</v>
      </c>
      <c r="E1072" s="5">
        <v>1</v>
      </c>
      <c r="F1072" s="5">
        <f>VLOOKUP(C1072,[1]master_data!$A$2:$E$495,3,FALSE)</f>
        <v>20000</v>
      </c>
      <c r="G1072" s="5">
        <f>VLOOKUP(C1072,[1]master_data!$A$2:$E$495,4,FALSE)</f>
        <v>50000</v>
      </c>
      <c r="H1072" s="5">
        <f t="shared" si="54"/>
        <v>20000</v>
      </c>
      <c r="I1072" s="5">
        <f t="shared" si="55"/>
        <v>50000</v>
      </c>
      <c r="J1072" s="5">
        <f t="shared" si="56"/>
        <v>30000</v>
      </c>
      <c r="K1072" s="5" t="str">
        <f>VLOOKUP(C1072,[1]master_data!$A$2:$E$495,5,FALSE)</f>
        <v>Ikan</v>
      </c>
      <c r="L1072" s="5" t="s">
        <v>471</v>
      </c>
    </row>
    <row r="1073" spans="1:12" ht="12" customHeight="1" x14ac:dyDescent="0.25">
      <c r="A1073" s="6">
        <v>44811</v>
      </c>
      <c r="B1073" s="1">
        <v>2203490</v>
      </c>
      <c r="C1073" s="5" t="s">
        <v>454</v>
      </c>
      <c r="D1073" s="5" t="str">
        <f>VLOOKUP(C1073,[1]master_data!$A$2:$E$495,2,FALSE)</f>
        <v>SYNODONTI B</v>
      </c>
      <c r="E1073" s="5">
        <v>30</v>
      </c>
      <c r="F1073" s="5">
        <f>VLOOKUP(C1073,[1]master_data!$A$2:$E$495,3,FALSE)</f>
        <v>4000</v>
      </c>
      <c r="G1073" s="5">
        <f>VLOOKUP(C1073,[1]master_data!$A$2:$E$495,4,FALSE)</f>
        <v>10000</v>
      </c>
      <c r="H1073" s="5">
        <f t="shared" si="54"/>
        <v>120000</v>
      </c>
      <c r="I1073" s="5">
        <f t="shared" si="55"/>
        <v>300000</v>
      </c>
      <c r="J1073" s="5">
        <f t="shared" si="56"/>
        <v>180000</v>
      </c>
      <c r="K1073" s="5" t="str">
        <f>VLOOKUP(C1073,[1]master_data!$A$2:$E$495,5,FALSE)</f>
        <v>Ikan</v>
      </c>
      <c r="L1073" s="5" t="s">
        <v>471</v>
      </c>
    </row>
    <row r="1074" spans="1:12" ht="12" customHeight="1" x14ac:dyDescent="0.25">
      <c r="A1074" s="6">
        <v>44811</v>
      </c>
      <c r="B1074" s="1">
        <v>2203489</v>
      </c>
      <c r="C1074" s="5" t="s">
        <v>14</v>
      </c>
      <c r="D1074" s="5" t="str">
        <f>VLOOKUP(C1074,[1]master_data!$A$2:$E$495,2,FALSE)</f>
        <v>MESIN YANG 106</v>
      </c>
      <c r="E1074" s="5">
        <v>2</v>
      </c>
      <c r="F1074" s="5">
        <f>VLOOKUP(C1074,[1]master_data!$A$2:$E$495,3,FALSE)</f>
        <v>220000</v>
      </c>
      <c r="G1074" s="5">
        <f>VLOOKUP(C1074,[1]master_data!$A$2:$E$495,4,FALSE)</f>
        <v>300000</v>
      </c>
      <c r="H1074" s="5">
        <f t="shared" si="54"/>
        <v>440000</v>
      </c>
      <c r="I1074" s="5">
        <f t="shared" si="55"/>
        <v>600000</v>
      </c>
      <c r="J1074" s="5">
        <f t="shared" si="56"/>
        <v>160000</v>
      </c>
      <c r="K1074" s="5" t="str">
        <f>VLOOKUP(C1074,[1]master_data!$A$2:$E$495,5,FALSE)</f>
        <v>Aksesoris</v>
      </c>
      <c r="L1074" s="5" t="s">
        <v>471</v>
      </c>
    </row>
    <row r="1075" spans="1:12" ht="12" customHeight="1" x14ac:dyDescent="0.25">
      <c r="A1075" s="6">
        <v>44811</v>
      </c>
      <c r="B1075" s="1">
        <v>2203488</v>
      </c>
      <c r="C1075" s="5" t="s">
        <v>340</v>
      </c>
      <c r="D1075" s="5" t="str">
        <f>VLOOKUP(C1075,[1]master_data!$A$2:$E$495,2,FALSE)</f>
        <v>JETMET K</v>
      </c>
      <c r="E1075" s="5">
        <v>2</v>
      </c>
      <c r="F1075" s="5">
        <f>VLOOKUP(C1075,[1]master_data!$A$2:$E$495,3,FALSE)</f>
        <v>17500</v>
      </c>
      <c r="G1075" s="5">
        <f>VLOOKUP(C1075,[1]master_data!$A$2:$E$495,4,FALSE)</f>
        <v>25000</v>
      </c>
      <c r="H1075" s="5">
        <f t="shared" si="54"/>
        <v>35000</v>
      </c>
      <c r="I1075" s="5">
        <f t="shared" si="55"/>
        <v>50000</v>
      </c>
      <c r="J1075" s="5">
        <f t="shared" si="56"/>
        <v>15000</v>
      </c>
      <c r="K1075" s="5" t="str">
        <f>VLOOKUP(C1075,[1]master_data!$A$2:$E$495,5,FALSE)</f>
        <v>Aksesoris</v>
      </c>
      <c r="L1075" s="5" t="s">
        <v>471</v>
      </c>
    </row>
    <row r="1076" spans="1:12" ht="12" customHeight="1" x14ac:dyDescent="0.25">
      <c r="A1076" s="6">
        <v>44811</v>
      </c>
      <c r="B1076" s="1">
        <v>2203487</v>
      </c>
      <c r="C1076" s="5" t="s">
        <v>425</v>
      </c>
      <c r="D1076" s="5" t="str">
        <f>VLOOKUP(C1076,[1]master_data!$A$2:$E$495,2,FALSE)</f>
        <v>CAROLINE</v>
      </c>
      <c r="E1076" s="5">
        <v>25</v>
      </c>
      <c r="F1076" s="5">
        <f>VLOOKUP(C1076,[1]master_data!$A$2:$E$495,3,FALSE)</f>
        <v>900</v>
      </c>
      <c r="G1076" s="5">
        <f>VLOOKUP(C1076,[1]master_data!$A$2:$E$495,4,FALSE)</f>
        <v>2000</v>
      </c>
      <c r="H1076" s="5">
        <f t="shared" si="54"/>
        <v>22500</v>
      </c>
      <c r="I1076" s="5">
        <f t="shared" si="55"/>
        <v>50000</v>
      </c>
      <c r="J1076" s="5">
        <f t="shared" si="56"/>
        <v>27500</v>
      </c>
      <c r="K1076" s="5" t="str">
        <f>VLOOKUP(C1076,[1]master_data!$A$2:$E$495,5,FALSE)</f>
        <v>Ikan</v>
      </c>
      <c r="L1076" s="5" t="s">
        <v>471</v>
      </c>
    </row>
    <row r="1077" spans="1:12" ht="12" customHeight="1" x14ac:dyDescent="0.25">
      <c r="A1077" s="6">
        <v>44811</v>
      </c>
      <c r="B1077" s="1">
        <v>2203486</v>
      </c>
      <c r="C1077" s="5" t="s">
        <v>441</v>
      </c>
      <c r="D1077" s="5" t="str">
        <f>VLOOKUP(C1077,[1]master_data!$A$2:$E$495,2,FALSE)</f>
        <v>PEMBERSIH KACA BIASA</v>
      </c>
      <c r="E1077" s="5">
        <v>10</v>
      </c>
      <c r="F1077" s="5">
        <f>VLOOKUP(C1077,[1]master_data!$A$2:$E$495,3,FALSE)</f>
        <v>2000</v>
      </c>
      <c r="G1077" s="5">
        <f>VLOOKUP(C1077,[1]master_data!$A$2:$E$495,4,FALSE)</f>
        <v>5000</v>
      </c>
      <c r="H1077" s="5">
        <f t="shared" si="54"/>
        <v>20000</v>
      </c>
      <c r="I1077" s="5">
        <f t="shared" si="55"/>
        <v>50000</v>
      </c>
      <c r="J1077" s="5">
        <f t="shared" si="56"/>
        <v>30000</v>
      </c>
      <c r="K1077" s="5" t="str">
        <f>VLOOKUP(C1077,[1]master_data!$A$2:$E$495,5,FALSE)</f>
        <v>Ikan</v>
      </c>
      <c r="L1077" s="5" t="s">
        <v>471</v>
      </c>
    </row>
    <row r="1078" spans="1:12" ht="12" customHeight="1" x14ac:dyDescent="0.25">
      <c r="A1078" s="6">
        <v>44810</v>
      </c>
      <c r="B1078" s="1">
        <v>2203485</v>
      </c>
      <c r="C1078" s="5" t="s">
        <v>461</v>
      </c>
      <c r="D1078" s="5" t="str">
        <f>VLOOKUP(C1078,[1]master_data!$A$2:$E$495,2,FALSE)</f>
        <v>SEPAT</v>
      </c>
      <c r="E1078" s="5">
        <v>30</v>
      </c>
      <c r="F1078" s="5">
        <f>VLOOKUP(C1078,[1]master_data!$A$2:$E$495,3,FALSE)</f>
        <v>600</v>
      </c>
      <c r="G1078" s="5">
        <f>VLOOKUP(C1078,[1]master_data!$A$2:$E$495,4,FALSE)</f>
        <v>2000</v>
      </c>
      <c r="H1078" s="5">
        <f t="shared" si="54"/>
        <v>18000</v>
      </c>
      <c r="I1078" s="5">
        <f t="shared" si="55"/>
        <v>60000</v>
      </c>
      <c r="J1078" s="5">
        <f t="shared" si="56"/>
        <v>42000</v>
      </c>
      <c r="K1078" s="5" t="str">
        <f>VLOOKUP(C1078,[1]master_data!$A$2:$E$495,5,FALSE)</f>
        <v>Ikan</v>
      </c>
      <c r="L1078" s="5" t="s">
        <v>471</v>
      </c>
    </row>
    <row r="1079" spans="1:12" ht="12" customHeight="1" x14ac:dyDescent="0.25">
      <c r="A1079" s="6">
        <v>44810</v>
      </c>
      <c r="B1079" s="1">
        <v>2203484</v>
      </c>
      <c r="C1079" s="5" t="s">
        <v>436</v>
      </c>
      <c r="D1079" s="5" t="str">
        <f>VLOOKUP(C1079,[1]master_data!$A$2:$E$495,2,FALSE)</f>
        <v>NIASA</v>
      </c>
      <c r="E1079" s="5">
        <v>30</v>
      </c>
      <c r="F1079" s="5">
        <f>VLOOKUP(C1079,[1]master_data!$A$2:$E$495,3,FALSE)</f>
        <v>900</v>
      </c>
      <c r="G1079" s="5">
        <f>VLOOKUP(C1079,[1]master_data!$A$2:$E$495,4,FALSE)</f>
        <v>2000</v>
      </c>
      <c r="H1079" s="5">
        <f t="shared" si="54"/>
        <v>27000</v>
      </c>
      <c r="I1079" s="5">
        <f t="shared" si="55"/>
        <v>60000</v>
      </c>
      <c r="J1079" s="5">
        <f t="shared" si="56"/>
        <v>33000</v>
      </c>
      <c r="K1079" s="5" t="str">
        <f>VLOOKUP(C1079,[1]master_data!$A$2:$E$495,5,FALSE)</f>
        <v>Ikan</v>
      </c>
      <c r="L1079" s="5" t="s">
        <v>471</v>
      </c>
    </row>
    <row r="1080" spans="1:12" ht="12" customHeight="1" x14ac:dyDescent="0.25">
      <c r="A1080" s="6">
        <v>44810</v>
      </c>
      <c r="B1080" s="1">
        <v>2203483</v>
      </c>
      <c r="C1080" s="5" t="s">
        <v>413</v>
      </c>
      <c r="D1080" s="5" t="str">
        <f>VLOOKUP(C1080,[1]master_data!$A$2:$E$495,2,FALSE)</f>
        <v>KOKI K</v>
      </c>
      <c r="E1080" s="5">
        <v>10</v>
      </c>
      <c r="F1080" s="5">
        <f>VLOOKUP(C1080,[1]master_data!$A$2:$E$495,3,FALSE)</f>
        <v>3500</v>
      </c>
      <c r="G1080" s="5">
        <f>VLOOKUP(C1080,[1]master_data!$A$2:$E$495,4,FALSE)</f>
        <v>10000</v>
      </c>
      <c r="H1080" s="5">
        <f t="shared" si="54"/>
        <v>35000</v>
      </c>
      <c r="I1080" s="5">
        <f t="shared" si="55"/>
        <v>100000</v>
      </c>
      <c r="J1080" s="5">
        <f t="shared" si="56"/>
        <v>65000</v>
      </c>
      <c r="K1080" s="5" t="str">
        <f>VLOOKUP(C1080,[1]master_data!$A$2:$E$495,5,FALSE)</f>
        <v>Ikan</v>
      </c>
      <c r="L1080" s="5" t="s">
        <v>471</v>
      </c>
    </row>
    <row r="1081" spans="1:12" ht="12" customHeight="1" x14ac:dyDescent="0.25">
      <c r="A1081" s="6">
        <v>44810</v>
      </c>
      <c r="B1081" s="1">
        <v>2203482</v>
      </c>
      <c r="C1081" s="5" t="s">
        <v>433</v>
      </c>
      <c r="D1081" s="5" t="str">
        <f>VLOOKUP(C1081,[1]master_data!$A$2:$E$495,2,FALSE)</f>
        <v>MARU B</v>
      </c>
      <c r="E1081" s="5">
        <v>1</v>
      </c>
      <c r="F1081" s="5">
        <f>VLOOKUP(C1081,[1]master_data!$A$2:$E$495,3,FALSE)</f>
        <v>90000</v>
      </c>
      <c r="G1081" s="5">
        <f>VLOOKUP(C1081,[1]master_data!$A$2:$E$495,4,FALSE)</f>
        <v>150000</v>
      </c>
      <c r="H1081" s="5">
        <f t="shared" si="54"/>
        <v>90000</v>
      </c>
      <c r="I1081" s="5">
        <f t="shared" si="55"/>
        <v>150000</v>
      </c>
      <c r="J1081" s="5">
        <f t="shared" si="56"/>
        <v>60000</v>
      </c>
      <c r="K1081" s="5" t="str">
        <f>VLOOKUP(C1081,[1]master_data!$A$2:$E$495,5,FALSE)</f>
        <v>Ikan</v>
      </c>
      <c r="L1081" s="5" t="s">
        <v>471</v>
      </c>
    </row>
    <row r="1082" spans="1:12" ht="12" customHeight="1" x14ac:dyDescent="0.25">
      <c r="A1082" s="6">
        <v>44810</v>
      </c>
      <c r="B1082" s="1">
        <v>2203481</v>
      </c>
      <c r="C1082" s="5" t="s">
        <v>94</v>
      </c>
      <c r="D1082" s="5" t="str">
        <f>VLOOKUP(C1082,[1]master_data!$A$2:$E$495,2,FALSE)</f>
        <v>MESIN AMARA 105</v>
      </c>
      <c r="E1082" s="5">
        <v>1</v>
      </c>
      <c r="F1082" s="5">
        <f>VLOOKUP(C1082,[1]master_data!$A$2:$E$495,3,FALSE)</f>
        <v>155000</v>
      </c>
      <c r="G1082" s="5">
        <f>VLOOKUP(C1082,[1]master_data!$A$2:$E$495,4,FALSE)</f>
        <v>200000</v>
      </c>
      <c r="H1082" s="5">
        <f t="shared" si="54"/>
        <v>155000</v>
      </c>
      <c r="I1082" s="5">
        <f t="shared" si="55"/>
        <v>200000</v>
      </c>
      <c r="J1082" s="5">
        <f t="shared" si="56"/>
        <v>45000</v>
      </c>
      <c r="K1082" s="5" t="str">
        <f>VLOOKUP(C1082,[1]master_data!$A$2:$E$495,5,FALSE)</f>
        <v>Aksesoris</v>
      </c>
      <c r="L1082" s="5" t="s">
        <v>471</v>
      </c>
    </row>
    <row r="1083" spans="1:12" ht="12" customHeight="1" x14ac:dyDescent="0.25">
      <c r="A1083" s="6">
        <v>44810</v>
      </c>
      <c r="B1083" s="1">
        <v>2203480</v>
      </c>
      <c r="C1083" s="5" t="s">
        <v>429</v>
      </c>
      <c r="D1083" s="5" t="str">
        <f>VLOOKUP(C1083,[1]master_data!$A$2:$E$495,2,FALSE)</f>
        <v>LOUHAN SUPER</v>
      </c>
      <c r="E1083" s="5">
        <v>1</v>
      </c>
      <c r="F1083" s="5">
        <f>VLOOKUP(C1083,[1]master_data!$A$2:$E$495,3,FALSE)</f>
        <v>300000</v>
      </c>
      <c r="G1083" s="5">
        <f>VLOOKUP(C1083,[1]master_data!$A$2:$E$495,4,FALSE)</f>
        <v>500000</v>
      </c>
      <c r="H1083" s="5">
        <f t="shared" si="54"/>
        <v>300000</v>
      </c>
      <c r="I1083" s="5">
        <f t="shared" si="55"/>
        <v>500000</v>
      </c>
      <c r="J1083" s="5">
        <f t="shared" si="56"/>
        <v>200000</v>
      </c>
      <c r="K1083" s="5" t="str">
        <f>VLOOKUP(C1083,[1]master_data!$A$2:$E$495,5,FALSE)</f>
        <v>Ikan</v>
      </c>
      <c r="L1083" s="5" t="s">
        <v>471</v>
      </c>
    </row>
    <row r="1084" spans="1:12" ht="12" customHeight="1" x14ac:dyDescent="0.25">
      <c r="A1084" s="6">
        <v>44810</v>
      </c>
      <c r="B1084" s="1">
        <v>2203479</v>
      </c>
      <c r="C1084" s="5" t="s">
        <v>404</v>
      </c>
      <c r="D1084" s="5" t="str">
        <f>VLOOKUP(C1084,[1]master_data!$A$2:$E$495,2,FALSE)</f>
        <v>CHANNA BLUE PULCHRA B</v>
      </c>
      <c r="E1084" s="5">
        <v>1</v>
      </c>
      <c r="F1084" s="5">
        <f>VLOOKUP(C1084,[1]master_data!$A$2:$E$495,3,FALSE)</f>
        <v>125000</v>
      </c>
      <c r="G1084" s="5">
        <f>VLOOKUP(C1084,[1]master_data!$A$2:$E$495,4,FALSE)</f>
        <v>200000</v>
      </c>
      <c r="H1084" s="5">
        <f t="shared" si="54"/>
        <v>125000</v>
      </c>
      <c r="I1084" s="5">
        <f t="shared" si="55"/>
        <v>200000</v>
      </c>
      <c r="J1084" s="5">
        <f t="shared" si="56"/>
        <v>75000</v>
      </c>
      <c r="K1084" s="5" t="str">
        <f>VLOOKUP(C1084,[1]master_data!$A$2:$E$495,5,FALSE)</f>
        <v>Ikan</v>
      </c>
      <c r="L1084" s="5" t="s">
        <v>471</v>
      </c>
    </row>
    <row r="1085" spans="1:12" ht="12" customHeight="1" x14ac:dyDescent="0.25">
      <c r="A1085" s="6">
        <v>44810</v>
      </c>
      <c r="B1085" s="1">
        <v>2203478</v>
      </c>
      <c r="C1085" s="5" t="s">
        <v>458</v>
      </c>
      <c r="D1085" s="5" t="str">
        <f>VLOOKUP(C1085,[1]master_data!$A$2:$E$495,2,FALSE)</f>
        <v>ZEBRA HIJAU</v>
      </c>
      <c r="E1085" s="5">
        <v>20</v>
      </c>
      <c r="F1085" s="5">
        <f>VLOOKUP(C1085,[1]master_data!$A$2:$E$495,3,FALSE)</f>
        <v>800</v>
      </c>
      <c r="G1085" s="5">
        <f>VLOOKUP(C1085,[1]master_data!$A$2:$E$495,4,FALSE)</f>
        <v>2000</v>
      </c>
      <c r="H1085" s="5">
        <f t="shared" si="54"/>
        <v>16000</v>
      </c>
      <c r="I1085" s="5">
        <f t="shared" si="55"/>
        <v>40000</v>
      </c>
      <c r="J1085" s="5">
        <f t="shared" si="56"/>
        <v>24000</v>
      </c>
      <c r="K1085" s="5" t="str">
        <f>VLOOKUP(C1085,[1]master_data!$A$2:$E$495,5,FALSE)</f>
        <v>Ikan</v>
      </c>
      <c r="L1085" s="5" t="s">
        <v>471</v>
      </c>
    </row>
    <row r="1086" spans="1:12" ht="12" customHeight="1" x14ac:dyDescent="0.25">
      <c r="A1086" s="6">
        <v>44810</v>
      </c>
      <c r="B1086" s="1">
        <v>2203477</v>
      </c>
      <c r="C1086" s="5" t="s">
        <v>424</v>
      </c>
      <c r="D1086" s="5" t="str">
        <f>VLOOKUP(C1086,[1]master_data!$A$2:$E$495,2,FALSE)</f>
        <v>KOI SLAYER B</v>
      </c>
      <c r="E1086" s="5">
        <v>1</v>
      </c>
      <c r="F1086" s="5">
        <f>VLOOKUP(C1086,[1]master_data!$A$2:$E$495,3,FALSE)</f>
        <v>8000</v>
      </c>
      <c r="G1086" s="5">
        <f>VLOOKUP(C1086,[1]master_data!$A$2:$E$495,4,FALSE)</f>
        <v>20000</v>
      </c>
      <c r="H1086" s="5">
        <f t="shared" si="54"/>
        <v>8000</v>
      </c>
      <c r="I1086" s="5">
        <f t="shared" si="55"/>
        <v>20000</v>
      </c>
      <c r="J1086" s="5">
        <f t="shared" si="56"/>
        <v>12000</v>
      </c>
      <c r="K1086" s="5" t="str">
        <f>VLOOKUP(C1086,[1]master_data!$A$2:$E$495,5,FALSE)</f>
        <v>Ikan</v>
      </c>
      <c r="L1086" s="5" t="s">
        <v>471</v>
      </c>
    </row>
    <row r="1087" spans="1:12" ht="12" customHeight="1" x14ac:dyDescent="0.25">
      <c r="A1087" s="6">
        <v>44809</v>
      </c>
      <c r="B1087" s="1">
        <v>2203476</v>
      </c>
      <c r="C1087" s="5" t="s">
        <v>314</v>
      </c>
      <c r="D1087" s="5" t="str">
        <f>VLOOKUP(C1087,[1]master_data!$A$2:$E$495,2,FALSE)</f>
        <v>L SELANG</v>
      </c>
      <c r="E1087" s="5">
        <v>30</v>
      </c>
      <c r="F1087" s="5">
        <f>VLOOKUP(C1087,[1]master_data!$A$2:$E$495,3,FALSE)</f>
        <v>750</v>
      </c>
      <c r="G1087" s="5">
        <f>VLOOKUP(C1087,[1]master_data!$A$2:$E$495,4,FALSE)</f>
        <v>1500</v>
      </c>
      <c r="H1087" s="5">
        <f t="shared" si="54"/>
        <v>22500</v>
      </c>
      <c r="I1087" s="5">
        <f t="shared" si="55"/>
        <v>45000</v>
      </c>
      <c r="J1087" s="5">
        <f t="shared" si="56"/>
        <v>22500</v>
      </c>
      <c r="K1087" s="5" t="str">
        <f>VLOOKUP(C1087,[1]master_data!$A$2:$E$495,5,FALSE)</f>
        <v>Aksesoris</v>
      </c>
      <c r="L1087" s="5" t="s">
        <v>471</v>
      </c>
    </row>
    <row r="1088" spans="1:12" ht="12" customHeight="1" x14ac:dyDescent="0.25">
      <c r="A1088" s="6">
        <v>44809</v>
      </c>
      <c r="B1088" s="1">
        <v>2203475</v>
      </c>
      <c r="C1088" s="5" t="s">
        <v>223</v>
      </c>
      <c r="D1088" s="5" t="str">
        <f>VLOOKUP(C1088,[1]master_data!$A$2:$E$495,2,FALSE)</f>
        <v>HIKARI FRIEND 75 GR</v>
      </c>
      <c r="E1088" s="5">
        <v>10</v>
      </c>
      <c r="F1088" s="5">
        <f>VLOOKUP(C1088,[1]master_data!$A$2:$E$495,3,FALSE)</f>
        <v>50000</v>
      </c>
      <c r="G1088" s="5">
        <f>VLOOKUP(C1088,[1]master_data!$A$2:$E$495,4,FALSE)</f>
        <v>65000</v>
      </c>
      <c r="H1088" s="5">
        <f t="shared" si="54"/>
        <v>500000</v>
      </c>
      <c r="I1088" s="5">
        <f t="shared" si="55"/>
        <v>650000</v>
      </c>
      <c r="J1088" s="5">
        <f t="shared" si="56"/>
        <v>150000</v>
      </c>
      <c r="K1088" s="5" t="str">
        <f>VLOOKUP(C1088,[1]master_data!$A$2:$E$495,5,FALSE)</f>
        <v>Aksesoris</v>
      </c>
      <c r="L1088" s="5" t="s">
        <v>471</v>
      </c>
    </row>
    <row r="1089" spans="1:12" ht="12" customHeight="1" x14ac:dyDescent="0.25">
      <c r="A1089" s="6">
        <v>44809</v>
      </c>
      <c r="B1089" s="1">
        <v>2203474</v>
      </c>
      <c r="C1089" s="5" t="s">
        <v>423</v>
      </c>
      <c r="D1089" s="5" t="str">
        <f>VLOOKUP(C1089,[1]master_data!$A$2:$E$495,2,FALSE)</f>
        <v>KOI SLAYER K</v>
      </c>
      <c r="E1089" s="5">
        <v>20</v>
      </c>
      <c r="F1089" s="5">
        <f>VLOOKUP(C1089,[1]master_data!$A$2:$E$495,3,FALSE)</f>
        <v>3500</v>
      </c>
      <c r="G1089" s="5">
        <f>VLOOKUP(C1089,[1]master_data!$A$2:$E$495,4,FALSE)</f>
        <v>10000</v>
      </c>
      <c r="H1089" s="5">
        <f t="shared" si="54"/>
        <v>70000</v>
      </c>
      <c r="I1089" s="5">
        <f t="shared" si="55"/>
        <v>200000</v>
      </c>
      <c r="J1089" s="5">
        <f t="shared" si="56"/>
        <v>130000</v>
      </c>
      <c r="K1089" s="5" t="str">
        <f>VLOOKUP(C1089,[1]master_data!$A$2:$E$495,5,FALSE)</f>
        <v>Ikan</v>
      </c>
      <c r="L1089" s="5" t="s">
        <v>471</v>
      </c>
    </row>
    <row r="1090" spans="1:12" ht="12" customHeight="1" x14ac:dyDescent="0.25">
      <c r="A1090" s="6">
        <v>44809</v>
      </c>
      <c r="B1090" s="1">
        <v>2203473</v>
      </c>
      <c r="C1090" s="5" t="s">
        <v>416</v>
      </c>
      <c r="D1090" s="5" t="str">
        <f>VLOOKUP(C1090,[1]master_data!$A$2:$E$495,2,FALSE)</f>
        <v>KOI K</v>
      </c>
      <c r="E1090" s="5">
        <v>1</v>
      </c>
      <c r="F1090" s="5">
        <f>VLOOKUP(C1090,[1]master_data!$A$2:$E$495,3,FALSE)</f>
        <v>2500</v>
      </c>
      <c r="G1090" s="5">
        <f>VLOOKUP(C1090,[1]master_data!$A$2:$E$495,4,FALSE)</f>
        <v>10000</v>
      </c>
      <c r="H1090" s="5">
        <f t="shared" si="54"/>
        <v>2500</v>
      </c>
      <c r="I1090" s="5">
        <f t="shared" si="55"/>
        <v>10000</v>
      </c>
      <c r="J1090" s="5">
        <f t="shared" si="56"/>
        <v>7500</v>
      </c>
      <c r="K1090" s="5" t="str">
        <f>VLOOKUP(C1090,[1]master_data!$A$2:$E$495,5,FALSE)</f>
        <v>Ikan</v>
      </c>
      <c r="L1090" s="5" t="s">
        <v>471</v>
      </c>
    </row>
    <row r="1091" spans="1:12" ht="12" customHeight="1" x14ac:dyDescent="0.25">
      <c r="A1091" s="6">
        <v>44809</v>
      </c>
      <c r="B1091" s="1">
        <v>2203472</v>
      </c>
      <c r="C1091" s="5" t="s">
        <v>438</v>
      </c>
      <c r="D1091" s="5" t="str">
        <f>VLOOKUP(C1091,[1]master_data!$A$2:$E$495,2,FALSE)</f>
        <v>NENTINEN</v>
      </c>
      <c r="E1091" s="5">
        <v>10</v>
      </c>
      <c r="F1091" s="5">
        <f>VLOOKUP(C1091,[1]master_data!$A$2:$E$495,3,FALSE)</f>
        <v>1000</v>
      </c>
      <c r="G1091" s="5">
        <f>VLOOKUP(C1091,[1]master_data!$A$2:$E$495,4,FALSE)</f>
        <v>2500</v>
      </c>
      <c r="H1091" s="5">
        <f t="shared" si="54"/>
        <v>10000</v>
      </c>
      <c r="I1091" s="5">
        <f t="shared" si="55"/>
        <v>25000</v>
      </c>
      <c r="J1091" s="5">
        <f t="shared" si="56"/>
        <v>15000</v>
      </c>
      <c r="K1091" s="5" t="str">
        <f>VLOOKUP(C1091,[1]master_data!$A$2:$E$495,5,FALSE)</f>
        <v>Ikan</v>
      </c>
      <c r="L1091" s="5" t="s">
        <v>471</v>
      </c>
    </row>
    <row r="1092" spans="1:12" ht="12" customHeight="1" x14ac:dyDescent="0.25">
      <c r="A1092" s="6">
        <v>44809</v>
      </c>
      <c r="B1092" s="1">
        <v>2203471</v>
      </c>
      <c r="C1092" s="5" t="s">
        <v>443</v>
      </c>
      <c r="D1092" s="5" t="str">
        <f>VLOOKUP(C1092,[1]master_data!$A$2:$E$495,2,FALSE)</f>
        <v>PALMAS</v>
      </c>
      <c r="E1092" s="5">
        <v>2</v>
      </c>
      <c r="F1092" s="5">
        <f>VLOOKUP(C1092,[1]master_data!$A$2:$E$495,3,FALSE)</f>
        <v>10000</v>
      </c>
      <c r="G1092" s="5">
        <f>VLOOKUP(C1092,[1]master_data!$A$2:$E$495,4,FALSE)</f>
        <v>25000</v>
      </c>
      <c r="H1092" s="5">
        <f t="shared" si="54"/>
        <v>20000</v>
      </c>
      <c r="I1092" s="5">
        <f t="shared" si="55"/>
        <v>50000</v>
      </c>
      <c r="J1092" s="5">
        <f t="shared" si="56"/>
        <v>30000</v>
      </c>
      <c r="K1092" s="5" t="str">
        <f>VLOOKUP(C1092,[1]master_data!$A$2:$E$495,5,FALSE)</f>
        <v>Ikan</v>
      </c>
      <c r="L1092" s="5" t="s">
        <v>471</v>
      </c>
    </row>
    <row r="1093" spans="1:12" ht="12" customHeight="1" x14ac:dyDescent="0.25">
      <c r="A1093" s="6">
        <v>44809</v>
      </c>
      <c r="B1093" s="1">
        <v>2203470</v>
      </c>
      <c r="C1093" s="5" t="s">
        <v>350</v>
      </c>
      <c r="D1093" s="5" t="str">
        <f>VLOOKUP(C1093,[1]master_data!$A$2:$E$495,2,FALSE)</f>
        <v>AKUARIUM 70 ROBOT</v>
      </c>
      <c r="E1093" s="5">
        <v>1</v>
      </c>
      <c r="F1093" s="5">
        <f>VLOOKUP(C1093,[1]master_data!$A$2:$E$495,3,FALSE)</f>
        <v>260000</v>
      </c>
      <c r="G1093" s="5">
        <f>VLOOKUP(C1093,[1]master_data!$A$2:$E$495,4,FALSE)</f>
        <v>350000</v>
      </c>
      <c r="H1093" s="5">
        <f t="shared" ref="H1093:H1156" si="57">E1093*F1093</f>
        <v>260000</v>
      </c>
      <c r="I1093" s="5">
        <f t="shared" ref="I1093:I1156" si="58">E1093*G1093</f>
        <v>350000</v>
      </c>
      <c r="J1093" s="5">
        <f t="shared" ref="J1093:J1156" si="59">I1093-H1093</f>
        <v>90000</v>
      </c>
      <c r="K1093" s="5" t="str">
        <f>VLOOKUP(C1093,[1]master_data!$A$2:$E$495,5,FALSE)</f>
        <v>Aksesoris</v>
      </c>
      <c r="L1093" s="5" t="s">
        <v>471</v>
      </c>
    </row>
    <row r="1094" spans="1:12" ht="12" customHeight="1" x14ac:dyDescent="0.25">
      <c r="A1094" s="6">
        <v>44809</v>
      </c>
      <c r="B1094" s="1">
        <v>2203469</v>
      </c>
      <c r="C1094" s="5" t="s">
        <v>457</v>
      </c>
      <c r="D1094" s="5" t="str">
        <f>VLOOKUP(C1094,[1]master_data!$A$2:$E$495,2,FALSE)</f>
        <v>ZEBRA PINK</v>
      </c>
      <c r="E1094" s="5">
        <v>30</v>
      </c>
      <c r="F1094" s="5">
        <f>VLOOKUP(C1094,[1]master_data!$A$2:$E$495,3,FALSE)</f>
        <v>800</v>
      </c>
      <c r="G1094" s="5">
        <f>VLOOKUP(C1094,[1]master_data!$A$2:$E$495,4,FALSE)</f>
        <v>2000</v>
      </c>
      <c r="H1094" s="5">
        <f t="shared" si="57"/>
        <v>24000</v>
      </c>
      <c r="I1094" s="5">
        <f t="shared" si="58"/>
        <v>60000</v>
      </c>
      <c r="J1094" s="5">
        <f t="shared" si="59"/>
        <v>36000</v>
      </c>
      <c r="K1094" s="5" t="str">
        <f>VLOOKUP(C1094,[1]master_data!$A$2:$E$495,5,FALSE)</f>
        <v>Ikan</v>
      </c>
      <c r="L1094" s="5" t="s">
        <v>471</v>
      </c>
    </row>
    <row r="1095" spans="1:12" ht="12" customHeight="1" x14ac:dyDescent="0.25">
      <c r="A1095" s="6">
        <v>44808</v>
      </c>
      <c r="B1095" s="1">
        <v>2203468</v>
      </c>
      <c r="C1095" s="5" t="s">
        <v>462</v>
      </c>
      <c r="D1095" s="5" t="str">
        <f>VLOOKUP(C1095,[1]master_data!$A$2:$E$495,2,FALSE)</f>
        <v>SEPAT ALBINO</v>
      </c>
      <c r="E1095" s="5">
        <v>1</v>
      </c>
      <c r="F1095" s="5">
        <f>VLOOKUP(C1095,[1]master_data!$A$2:$E$495,3,FALSE)</f>
        <v>2000</v>
      </c>
      <c r="G1095" s="5">
        <f>VLOOKUP(C1095,[1]master_data!$A$2:$E$495,4,FALSE)</f>
        <v>5000</v>
      </c>
      <c r="H1095" s="5">
        <f t="shared" si="57"/>
        <v>2000</v>
      </c>
      <c r="I1095" s="5">
        <f t="shared" si="58"/>
        <v>5000</v>
      </c>
      <c r="J1095" s="5">
        <f t="shared" si="59"/>
        <v>3000</v>
      </c>
      <c r="K1095" s="5" t="str">
        <f>VLOOKUP(C1095,[1]master_data!$A$2:$E$495,5,FALSE)</f>
        <v>Ikan</v>
      </c>
      <c r="L1095" s="5" t="s">
        <v>471</v>
      </c>
    </row>
    <row r="1096" spans="1:12" ht="12" customHeight="1" x14ac:dyDescent="0.25">
      <c r="A1096" s="6">
        <v>44808</v>
      </c>
      <c r="B1096" s="1">
        <v>2203467</v>
      </c>
      <c r="C1096" s="5" t="s">
        <v>302</v>
      </c>
      <c r="D1096" s="5" t="str">
        <f>VLOOKUP(C1096,[1]master_data!$A$2:$E$495,2,FALSE)</f>
        <v>OBAT QUARANTINI MED</v>
      </c>
      <c r="E1096" s="5">
        <v>10</v>
      </c>
      <c r="F1096" s="5">
        <f>VLOOKUP(C1096,[1]master_data!$A$2:$E$495,3,FALSE)</f>
        <v>37000</v>
      </c>
      <c r="G1096" s="5">
        <f>VLOOKUP(C1096,[1]master_data!$A$2:$E$495,4,FALSE)</f>
        <v>60000</v>
      </c>
      <c r="H1096" s="5">
        <f t="shared" si="57"/>
        <v>370000</v>
      </c>
      <c r="I1096" s="5">
        <f t="shared" si="58"/>
        <v>600000</v>
      </c>
      <c r="J1096" s="5">
        <f t="shared" si="59"/>
        <v>230000</v>
      </c>
      <c r="K1096" s="5" t="str">
        <f>VLOOKUP(C1096,[1]master_data!$A$2:$E$495,5,FALSE)</f>
        <v>Aksesoris</v>
      </c>
      <c r="L1096" s="5" t="s">
        <v>471</v>
      </c>
    </row>
    <row r="1097" spans="1:12" ht="12" customHeight="1" x14ac:dyDescent="0.25">
      <c r="A1097" s="6">
        <v>44808</v>
      </c>
      <c r="B1097" s="1">
        <v>2203466</v>
      </c>
      <c r="C1097" s="5" t="s">
        <v>410</v>
      </c>
      <c r="D1097" s="5" t="str">
        <f>VLOOKUP(C1097,[1]master_data!$A$2:$E$495,2,FALSE)</f>
        <v>GUPY</v>
      </c>
      <c r="E1097" s="5">
        <v>20</v>
      </c>
      <c r="F1097" s="5">
        <f>VLOOKUP(C1097,[1]master_data!$A$2:$E$495,3,FALSE)</f>
        <v>1200</v>
      </c>
      <c r="G1097" s="5">
        <f>VLOOKUP(C1097,[1]master_data!$A$2:$E$495,4,FALSE)</f>
        <v>2500</v>
      </c>
      <c r="H1097" s="5">
        <f t="shared" si="57"/>
        <v>24000</v>
      </c>
      <c r="I1097" s="5">
        <f t="shared" si="58"/>
        <v>50000</v>
      </c>
      <c r="J1097" s="5">
        <f t="shared" si="59"/>
        <v>26000</v>
      </c>
      <c r="K1097" s="5" t="str">
        <f>VLOOKUP(C1097,[1]master_data!$A$2:$E$495,5,FALSE)</f>
        <v>Ikan</v>
      </c>
      <c r="L1097" s="5" t="s">
        <v>471</v>
      </c>
    </row>
    <row r="1098" spans="1:12" ht="12" customHeight="1" x14ac:dyDescent="0.25">
      <c r="A1098" s="6">
        <v>44808</v>
      </c>
      <c r="B1098" s="1">
        <v>2203465</v>
      </c>
      <c r="C1098" s="5" t="s">
        <v>202</v>
      </c>
      <c r="D1098" s="5" t="str">
        <f>VLOOKUP(C1098,[1]master_data!$A$2:$E$495,2,FALSE)</f>
        <v>HOKKY COLOUR MAX</v>
      </c>
      <c r="E1098" s="5">
        <v>20</v>
      </c>
      <c r="F1098" s="5">
        <f>VLOOKUP(C1098,[1]master_data!$A$2:$E$495,3,FALSE)</f>
        <v>7600</v>
      </c>
      <c r="G1098" s="5">
        <f>VLOOKUP(C1098,[1]master_data!$A$2:$E$495,4,FALSE)</f>
        <v>10000</v>
      </c>
      <c r="H1098" s="5">
        <f t="shared" si="57"/>
        <v>152000</v>
      </c>
      <c r="I1098" s="5">
        <f t="shared" si="58"/>
        <v>200000</v>
      </c>
      <c r="J1098" s="5">
        <f t="shared" si="59"/>
        <v>48000</v>
      </c>
      <c r="K1098" s="5" t="str">
        <f>VLOOKUP(C1098,[1]master_data!$A$2:$E$495,5,FALSE)</f>
        <v>Aksesoris</v>
      </c>
      <c r="L1098" s="5" t="s">
        <v>471</v>
      </c>
    </row>
    <row r="1099" spans="1:12" ht="12" customHeight="1" x14ac:dyDescent="0.25">
      <c r="A1099" s="6">
        <v>44808</v>
      </c>
      <c r="B1099" s="1">
        <v>2203464</v>
      </c>
      <c r="C1099" s="5" t="s">
        <v>442</v>
      </c>
      <c r="D1099" s="5" t="str">
        <f>VLOOKUP(C1099,[1]master_data!$A$2:$E$495,2,FALSE)</f>
        <v>PEMBERSIH KACA ALBINO</v>
      </c>
      <c r="E1099" s="5">
        <v>15</v>
      </c>
      <c r="F1099" s="5">
        <f>VLOOKUP(C1099,[1]master_data!$A$2:$E$495,3,FALSE)</f>
        <v>2500</v>
      </c>
      <c r="G1099" s="5">
        <f>VLOOKUP(C1099,[1]master_data!$A$2:$E$495,4,FALSE)</f>
        <v>5000</v>
      </c>
      <c r="H1099" s="5">
        <f t="shared" si="57"/>
        <v>37500</v>
      </c>
      <c r="I1099" s="5">
        <f t="shared" si="58"/>
        <v>75000</v>
      </c>
      <c r="J1099" s="5">
        <f t="shared" si="59"/>
        <v>37500</v>
      </c>
      <c r="K1099" s="5" t="str">
        <f>VLOOKUP(C1099,[1]master_data!$A$2:$E$495,5,FALSE)</f>
        <v>Ikan</v>
      </c>
      <c r="L1099" s="5" t="s">
        <v>471</v>
      </c>
    </row>
    <row r="1100" spans="1:12" ht="12" customHeight="1" x14ac:dyDescent="0.25">
      <c r="A1100" s="6">
        <v>44808</v>
      </c>
      <c r="B1100" s="1">
        <v>2203463</v>
      </c>
      <c r="C1100" s="5" t="s">
        <v>47</v>
      </c>
      <c r="D1100" s="5" t="str">
        <f>VLOOKUP(C1100,[1]master_data!$A$2:$E$495,2,FALSE)</f>
        <v>MESIN NIKITA 1200</v>
      </c>
      <c r="E1100" s="5">
        <v>1</v>
      </c>
      <c r="F1100" s="5">
        <f>VLOOKUP(C1100,[1]master_data!$A$2:$E$495,3,FALSE)</f>
        <v>24000</v>
      </c>
      <c r="G1100" s="5">
        <f>VLOOKUP(C1100,[1]master_data!$A$2:$E$495,4,FALSE)</f>
        <v>35000</v>
      </c>
      <c r="H1100" s="5">
        <f t="shared" si="57"/>
        <v>24000</v>
      </c>
      <c r="I1100" s="5">
        <f t="shared" si="58"/>
        <v>35000</v>
      </c>
      <c r="J1100" s="5">
        <f t="shared" si="59"/>
        <v>11000</v>
      </c>
      <c r="K1100" s="5" t="str">
        <f>VLOOKUP(C1100,[1]master_data!$A$2:$E$495,5,FALSE)</f>
        <v>Aksesoris</v>
      </c>
      <c r="L1100" s="5" t="s">
        <v>471</v>
      </c>
    </row>
    <row r="1101" spans="1:12" ht="12" customHeight="1" x14ac:dyDescent="0.25">
      <c r="A1101" s="6">
        <v>44808</v>
      </c>
      <c r="B1101" s="1">
        <v>2203462</v>
      </c>
      <c r="C1101" s="5" t="s">
        <v>106</v>
      </c>
      <c r="D1101" s="5" t="str">
        <f>VLOOKUP(C1101,[1]master_data!$A$2:$E$495,2,FALSE)</f>
        <v>AIRATOR KIYOSAKI LUB 2</v>
      </c>
      <c r="E1101" s="5">
        <v>1</v>
      </c>
      <c r="F1101" s="5">
        <f>VLOOKUP(C1101,[1]master_data!$A$2:$E$495,3,FALSE)</f>
        <v>29000</v>
      </c>
      <c r="G1101" s="5">
        <f>VLOOKUP(C1101,[1]master_data!$A$2:$E$495,4,FALSE)</f>
        <v>50000</v>
      </c>
      <c r="H1101" s="5">
        <f t="shared" si="57"/>
        <v>29000</v>
      </c>
      <c r="I1101" s="5">
        <f t="shared" si="58"/>
        <v>50000</v>
      </c>
      <c r="J1101" s="5">
        <f t="shared" si="59"/>
        <v>21000</v>
      </c>
      <c r="K1101" s="5" t="str">
        <f>VLOOKUP(C1101,[1]master_data!$A$2:$E$495,5,FALSE)</f>
        <v>Aksesoris</v>
      </c>
      <c r="L1101" s="5" t="s">
        <v>471</v>
      </c>
    </row>
    <row r="1102" spans="1:12" ht="12" customHeight="1" x14ac:dyDescent="0.25">
      <c r="A1102" s="6">
        <v>44808</v>
      </c>
      <c r="B1102" s="1">
        <v>2203461</v>
      </c>
      <c r="C1102" s="5" t="s">
        <v>168</v>
      </c>
      <c r="D1102" s="5" t="str">
        <f>VLOOKUP(C1102,[1]master_data!$A$2:$E$495,2,FALSE)</f>
        <v>LED RECENT ATAS 3 MODE 80 CM</v>
      </c>
      <c r="E1102" s="5">
        <v>2</v>
      </c>
      <c r="F1102" s="5">
        <f>VLOOKUP(C1102,[1]master_data!$A$2:$E$495,3,FALSE)</f>
        <v>88000</v>
      </c>
      <c r="G1102" s="5">
        <f>VLOOKUP(C1102,[1]master_data!$A$2:$E$495,4,FALSE)</f>
        <v>130000</v>
      </c>
      <c r="H1102" s="5">
        <f t="shared" si="57"/>
        <v>176000</v>
      </c>
      <c r="I1102" s="5">
        <f t="shared" si="58"/>
        <v>260000</v>
      </c>
      <c r="J1102" s="5">
        <f t="shared" si="59"/>
        <v>84000</v>
      </c>
      <c r="K1102" s="5" t="str">
        <f>VLOOKUP(C1102,[1]master_data!$A$2:$E$495,5,FALSE)</f>
        <v>Aksesoris</v>
      </c>
      <c r="L1102" s="5" t="s">
        <v>471</v>
      </c>
    </row>
    <row r="1103" spans="1:12" ht="12" customHeight="1" x14ac:dyDescent="0.25">
      <c r="A1103" s="6">
        <v>44807</v>
      </c>
      <c r="B1103" s="1">
        <v>2203460</v>
      </c>
      <c r="C1103" s="5" t="s">
        <v>460</v>
      </c>
      <c r="D1103" s="5" t="str">
        <f>VLOOKUP(C1103,[1]master_data!$A$2:$E$495,2,FALSE)</f>
        <v>ZEBRA KUNING</v>
      </c>
      <c r="E1103" s="5">
        <v>20</v>
      </c>
      <c r="F1103" s="5">
        <f>VLOOKUP(C1103,[1]master_data!$A$2:$E$495,3,FALSE)</f>
        <v>800</v>
      </c>
      <c r="G1103" s="5">
        <f>VLOOKUP(C1103,[1]master_data!$A$2:$E$495,4,FALSE)</f>
        <v>2000</v>
      </c>
      <c r="H1103" s="5">
        <f t="shared" si="57"/>
        <v>16000</v>
      </c>
      <c r="I1103" s="5">
        <f t="shared" si="58"/>
        <v>40000</v>
      </c>
      <c r="J1103" s="5">
        <f t="shared" si="59"/>
        <v>24000</v>
      </c>
      <c r="K1103" s="5" t="str">
        <f>VLOOKUP(C1103,[1]master_data!$A$2:$E$495,5,FALSE)</f>
        <v>Ikan</v>
      </c>
      <c r="L1103" s="5" t="s">
        <v>471</v>
      </c>
    </row>
    <row r="1104" spans="1:12" ht="12" customHeight="1" x14ac:dyDescent="0.25">
      <c r="A1104" s="6">
        <v>44807</v>
      </c>
      <c r="B1104" s="1">
        <v>2203459</v>
      </c>
      <c r="C1104" s="5" t="s">
        <v>439</v>
      </c>
      <c r="D1104" s="5" t="str">
        <f>VLOOKUP(C1104,[1]master_data!$A$2:$E$495,2,FALSE)</f>
        <v>NEON</v>
      </c>
      <c r="E1104" s="5">
        <v>20</v>
      </c>
      <c r="F1104" s="5">
        <f>VLOOKUP(C1104,[1]master_data!$A$2:$E$495,3,FALSE)</f>
        <v>1250</v>
      </c>
      <c r="G1104" s="5">
        <f>VLOOKUP(C1104,[1]master_data!$A$2:$E$495,4,FALSE)</f>
        <v>5000</v>
      </c>
      <c r="H1104" s="5">
        <f t="shared" si="57"/>
        <v>25000</v>
      </c>
      <c r="I1104" s="5">
        <f t="shared" si="58"/>
        <v>100000</v>
      </c>
      <c r="J1104" s="5">
        <f t="shared" si="59"/>
        <v>75000</v>
      </c>
      <c r="K1104" s="5" t="str">
        <f>VLOOKUP(C1104,[1]master_data!$A$2:$E$495,5,FALSE)</f>
        <v>Ikan</v>
      </c>
      <c r="L1104" s="5" t="s">
        <v>471</v>
      </c>
    </row>
    <row r="1105" spans="1:12" ht="12" customHeight="1" x14ac:dyDescent="0.25">
      <c r="A1105" s="6">
        <v>44807</v>
      </c>
      <c r="B1105" s="1">
        <v>2203458</v>
      </c>
      <c r="C1105" s="5" t="s">
        <v>435</v>
      </c>
      <c r="D1105" s="5" t="str">
        <f>VLOOKUP(C1105,[1]master_data!$A$2:$E$495,2,FALSE)</f>
        <v>MOLI BALON</v>
      </c>
      <c r="E1105" s="5">
        <v>10</v>
      </c>
      <c r="F1105" s="5">
        <f>VLOOKUP(C1105,[1]master_data!$A$2:$E$495,3,FALSE)</f>
        <v>800</v>
      </c>
      <c r="G1105" s="5">
        <f>VLOOKUP(C1105,[1]master_data!$A$2:$E$495,4,FALSE)</f>
        <v>2000</v>
      </c>
      <c r="H1105" s="5">
        <f t="shared" si="57"/>
        <v>8000</v>
      </c>
      <c r="I1105" s="5">
        <f t="shared" si="58"/>
        <v>20000</v>
      </c>
      <c r="J1105" s="5">
        <f t="shared" si="59"/>
        <v>12000</v>
      </c>
      <c r="K1105" s="5" t="str">
        <f>VLOOKUP(C1105,[1]master_data!$A$2:$E$495,5,FALSE)</f>
        <v>Ikan</v>
      </c>
      <c r="L1105" s="5" t="s">
        <v>471</v>
      </c>
    </row>
    <row r="1106" spans="1:12" ht="12" customHeight="1" x14ac:dyDescent="0.25">
      <c r="A1106" s="6">
        <v>44807</v>
      </c>
      <c r="B1106" s="1">
        <v>2203457</v>
      </c>
      <c r="C1106" s="5" t="s">
        <v>398</v>
      </c>
      <c r="D1106" s="5" t="str">
        <f>VLOOKUP(C1106,[1]master_data!$A$2:$E$495,2,FALSE)</f>
        <v>BIPOLAR</v>
      </c>
      <c r="E1106" s="5">
        <v>1</v>
      </c>
      <c r="F1106" s="5">
        <f>VLOOKUP(C1106,[1]master_data!$A$2:$E$495,3,FALSE)</f>
        <v>1000</v>
      </c>
      <c r="G1106" s="5">
        <f>VLOOKUP(C1106,[1]master_data!$A$2:$E$495,4,FALSE)</f>
        <v>2500</v>
      </c>
      <c r="H1106" s="5">
        <f t="shared" si="57"/>
        <v>1000</v>
      </c>
      <c r="I1106" s="5">
        <f t="shared" si="58"/>
        <v>2500</v>
      </c>
      <c r="J1106" s="5">
        <f t="shared" si="59"/>
        <v>1500</v>
      </c>
      <c r="K1106" s="5" t="str">
        <f>VLOOKUP(C1106,[1]master_data!$A$2:$E$495,5,FALSE)</f>
        <v>Ikan</v>
      </c>
      <c r="L1106" s="5" t="s">
        <v>471</v>
      </c>
    </row>
    <row r="1107" spans="1:12" ht="12" customHeight="1" x14ac:dyDescent="0.25">
      <c r="A1107" s="6">
        <v>44807</v>
      </c>
      <c r="B1107" s="1">
        <v>2203456</v>
      </c>
      <c r="C1107" s="5" t="s">
        <v>104</v>
      </c>
      <c r="D1107" s="5" t="str">
        <f>VLOOKUP(C1107,[1]master_data!$A$2:$E$495,2,FALSE)</f>
        <v>AIRATOR AMARA LUB 2</v>
      </c>
      <c r="E1107" s="5">
        <v>5</v>
      </c>
      <c r="F1107" s="5">
        <f>VLOOKUP(C1107,[1]master_data!$A$2:$E$495,3,FALSE)</f>
        <v>33000</v>
      </c>
      <c r="G1107" s="5">
        <f>VLOOKUP(C1107,[1]master_data!$A$2:$E$495,4,FALSE)</f>
        <v>50000</v>
      </c>
      <c r="H1107" s="5">
        <f t="shared" si="57"/>
        <v>165000</v>
      </c>
      <c r="I1107" s="5">
        <f t="shared" si="58"/>
        <v>250000</v>
      </c>
      <c r="J1107" s="5">
        <f t="shared" si="59"/>
        <v>85000</v>
      </c>
      <c r="K1107" s="5" t="str">
        <f>VLOOKUP(C1107,[1]master_data!$A$2:$E$495,5,FALSE)</f>
        <v>Aksesoris</v>
      </c>
      <c r="L1107" s="5" t="s">
        <v>471</v>
      </c>
    </row>
    <row r="1108" spans="1:12" ht="12" customHeight="1" x14ac:dyDescent="0.25">
      <c r="A1108" s="6">
        <v>44807</v>
      </c>
      <c r="B1108" s="1">
        <v>2203455</v>
      </c>
      <c r="C1108" s="5" t="s">
        <v>313</v>
      </c>
      <c r="D1108" s="5" t="str">
        <f>VLOOKUP(C1108,[1]master_data!$A$2:$E$495,2,FALSE)</f>
        <v>LURUS PIPA</v>
      </c>
      <c r="E1108" s="5">
        <v>30</v>
      </c>
      <c r="F1108" s="5">
        <f>VLOOKUP(C1108,[1]master_data!$A$2:$E$495,3,FALSE)</f>
        <v>800</v>
      </c>
      <c r="G1108" s="5">
        <f>VLOOKUP(C1108,[1]master_data!$A$2:$E$495,4,FALSE)</f>
        <v>2000</v>
      </c>
      <c r="H1108" s="5">
        <f t="shared" si="57"/>
        <v>24000</v>
      </c>
      <c r="I1108" s="5">
        <f t="shared" si="58"/>
        <v>60000</v>
      </c>
      <c r="J1108" s="5">
        <f t="shared" si="59"/>
        <v>36000</v>
      </c>
      <c r="K1108" s="5" t="str">
        <f>VLOOKUP(C1108,[1]master_data!$A$2:$E$495,5,FALSE)</f>
        <v>Aksesoris</v>
      </c>
      <c r="L1108" s="5" t="s">
        <v>471</v>
      </c>
    </row>
    <row r="1109" spans="1:12" ht="12" customHeight="1" x14ac:dyDescent="0.25">
      <c r="A1109" s="6">
        <v>44807</v>
      </c>
      <c r="B1109" s="1">
        <v>2203454</v>
      </c>
      <c r="C1109" s="5" t="s">
        <v>333</v>
      </c>
      <c r="D1109" s="5" t="str">
        <f>VLOOKUP(C1109,[1]master_data!$A$2:$E$495,2,FALSE)</f>
        <v>KAPAS 2 LAPIS</v>
      </c>
      <c r="E1109" s="5">
        <v>16</v>
      </c>
      <c r="F1109" s="5">
        <f>VLOOKUP(C1109,[1]master_data!$A$2:$E$495,3,FALSE)</f>
        <v>2000</v>
      </c>
      <c r="G1109" s="5">
        <f>VLOOKUP(C1109,[1]master_data!$A$2:$E$495,4,FALSE)</f>
        <v>4000</v>
      </c>
      <c r="H1109" s="5">
        <f t="shared" si="57"/>
        <v>32000</v>
      </c>
      <c r="I1109" s="5">
        <f t="shared" si="58"/>
        <v>64000</v>
      </c>
      <c r="J1109" s="5">
        <f t="shared" si="59"/>
        <v>32000</v>
      </c>
      <c r="K1109" s="5" t="str">
        <f>VLOOKUP(C1109,[1]master_data!$A$2:$E$495,5,FALSE)</f>
        <v>Aksesoris</v>
      </c>
      <c r="L1109" s="5" t="s">
        <v>471</v>
      </c>
    </row>
    <row r="1110" spans="1:12" ht="12" customHeight="1" x14ac:dyDescent="0.25">
      <c r="A1110" s="6">
        <v>44807</v>
      </c>
      <c r="B1110" s="1">
        <v>2203453</v>
      </c>
      <c r="C1110" s="5" t="s">
        <v>123</v>
      </c>
      <c r="D1110" s="5" t="str">
        <f>VLOOKUP(C1110,[1]master_data!$A$2:$E$495,2,FALSE)</f>
        <v>LED ROSTON 3 MODE 60 CM</v>
      </c>
      <c r="E1110" s="5">
        <v>5</v>
      </c>
      <c r="F1110" s="5">
        <f>VLOOKUP(C1110,[1]master_data!$A$2:$E$495,3,FALSE)</f>
        <v>33000</v>
      </c>
      <c r="G1110" s="5">
        <f>VLOOKUP(C1110,[1]master_data!$A$2:$E$495,4,FALSE)</f>
        <v>70000</v>
      </c>
      <c r="H1110" s="5">
        <f t="shared" si="57"/>
        <v>165000</v>
      </c>
      <c r="I1110" s="5">
        <f t="shared" si="58"/>
        <v>350000</v>
      </c>
      <c r="J1110" s="5">
        <f t="shared" si="59"/>
        <v>185000</v>
      </c>
      <c r="K1110" s="5" t="str">
        <f>VLOOKUP(C1110,[1]master_data!$A$2:$E$495,5,FALSE)</f>
        <v>Aksesoris</v>
      </c>
      <c r="L1110" s="5" t="s">
        <v>471</v>
      </c>
    </row>
    <row r="1111" spans="1:12" ht="12" customHeight="1" x14ac:dyDescent="0.25">
      <c r="A1111" s="6">
        <v>44806</v>
      </c>
      <c r="B1111" s="1">
        <v>2203452</v>
      </c>
      <c r="C1111" s="5" t="s">
        <v>355</v>
      </c>
      <c r="D1111" s="5" t="str">
        <f>VLOOKUP(C1111,[1]master_data!$A$2:$E$495,2,FALSE)</f>
        <v>TOPLES  1,5 L</v>
      </c>
      <c r="E1111" s="5">
        <v>7</v>
      </c>
      <c r="F1111" s="5">
        <f>VLOOKUP(C1111,[1]master_data!$A$2:$E$495,3,FALSE)</f>
        <v>38500</v>
      </c>
      <c r="G1111" s="5">
        <f>VLOOKUP(C1111,[1]master_data!$A$2:$E$495,4,FALSE)</f>
        <v>55000</v>
      </c>
      <c r="H1111" s="5">
        <f t="shared" si="57"/>
        <v>269500</v>
      </c>
      <c r="I1111" s="5">
        <f t="shared" si="58"/>
        <v>385000</v>
      </c>
      <c r="J1111" s="5">
        <f t="shared" si="59"/>
        <v>115500</v>
      </c>
      <c r="K1111" s="5" t="str">
        <f>VLOOKUP(C1111,[1]master_data!$A$2:$E$495,5,FALSE)</f>
        <v>Aksesoris</v>
      </c>
      <c r="L1111" s="5" t="s">
        <v>471</v>
      </c>
    </row>
    <row r="1112" spans="1:12" ht="12" customHeight="1" x14ac:dyDescent="0.25">
      <c r="A1112" s="6">
        <v>44806</v>
      </c>
      <c r="B1112" s="1">
        <v>2203451</v>
      </c>
      <c r="C1112" s="5" t="s">
        <v>444</v>
      </c>
      <c r="D1112" s="5" t="str">
        <f>VLOOKUP(C1112,[1]master_data!$A$2:$E$495,2,FALSE)</f>
        <v>PARROT</v>
      </c>
      <c r="E1112" s="5">
        <v>10</v>
      </c>
      <c r="F1112" s="5">
        <f>VLOOKUP(C1112,[1]master_data!$A$2:$E$495,3,FALSE)</f>
        <v>27000</v>
      </c>
      <c r="G1112" s="5">
        <f>VLOOKUP(C1112,[1]master_data!$A$2:$E$495,4,FALSE)</f>
        <v>60000</v>
      </c>
      <c r="H1112" s="5">
        <f t="shared" si="57"/>
        <v>270000</v>
      </c>
      <c r="I1112" s="5">
        <f t="shared" si="58"/>
        <v>600000</v>
      </c>
      <c r="J1112" s="5">
        <f t="shared" si="59"/>
        <v>330000</v>
      </c>
      <c r="K1112" s="5" t="str">
        <f>VLOOKUP(C1112,[1]master_data!$A$2:$E$495,5,FALSE)</f>
        <v>Ikan</v>
      </c>
      <c r="L1112" s="5" t="s">
        <v>471</v>
      </c>
    </row>
    <row r="1113" spans="1:12" ht="12" customHeight="1" x14ac:dyDescent="0.25">
      <c r="A1113" s="6">
        <v>44806</v>
      </c>
      <c r="B1113" s="1">
        <v>2203450</v>
      </c>
      <c r="C1113" s="5" t="s">
        <v>403</v>
      </c>
      <c r="D1113" s="5" t="str">
        <f>VLOOKUP(C1113,[1]master_data!$A$2:$E$495,2,FALSE)</f>
        <v>CHANNA BLUE PULCHRA K</v>
      </c>
      <c r="E1113" s="5">
        <v>1</v>
      </c>
      <c r="F1113" s="5">
        <f>VLOOKUP(C1113,[1]master_data!$A$2:$E$495,3,FALSE)</f>
        <v>25000</v>
      </c>
      <c r="G1113" s="5">
        <f>VLOOKUP(C1113,[1]master_data!$A$2:$E$495,4,FALSE)</f>
        <v>50000</v>
      </c>
      <c r="H1113" s="5">
        <f t="shared" si="57"/>
        <v>25000</v>
      </c>
      <c r="I1113" s="5">
        <f t="shared" si="58"/>
        <v>50000</v>
      </c>
      <c r="J1113" s="5">
        <f t="shared" si="59"/>
        <v>25000</v>
      </c>
      <c r="K1113" s="5" t="str">
        <f>VLOOKUP(C1113,[1]master_data!$A$2:$E$495,5,FALSE)</f>
        <v>Ikan</v>
      </c>
      <c r="L1113" s="5" t="s">
        <v>471</v>
      </c>
    </row>
    <row r="1114" spans="1:12" ht="12" customHeight="1" x14ac:dyDescent="0.25">
      <c r="A1114" s="6">
        <v>44806</v>
      </c>
      <c r="B1114" s="1">
        <v>2203449</v>
      </c>
      <c r="C1114" s="5" t="s">
        <v>400</v>
      </c>
      <c r="D1114" s="5" t="str">
        <f>VLOOKUP(C1114,[1]master_data!$A$2:$E$495,2,FALSE)</f>
        <v>BALA BALA K</v>
      </c>
      <c r="E1114" s="5">
        <v>1</v>
      </c>
      <c r="F1114" s="5">
        <f>VLOOKUP(C1114,[1]master_data!$A$2:$E$495,3,FALSE)</f>
        <v>4000</v>
      </c>
      <c r="G1114" s="5">
        <f>VLOOKUP(C1114,[1]master_data!$A$2:$E$495,4,FALSE)</f>
        <v>8000</v>
      </c>
      <c r="H1114" s="5">
        <f t="shared" si="57"/>
        <v>4000</v>
      </c>
      <c r="I1114" s="5">
        <f t="shared" si="58"/>
        <v>8000</v>
      </c>
      <c r="J1114" s="5">
        <f t="shared" si="59"/>
        <v>4000</v>
      </c>
      <c r="K1114" s="5" t="str">
        <f>VLOOKUP(C1114,[1]master_data!$A$2:$E$495,5,FALSE)</f>
        <v>Ikan</v>
      </c>
      <c r="L1114" s="5" t="s">
        <v>471</v>
      </c>
    </row>
    <row r="1115" spans="1:12" ht="12" customHeight="1" x14ac:dyDescent="0.25">
      <c r="A1115" s="6">
        <v>44805</v>
      </c>
      <c r="B1115" s="1">
        <v>2203448</v>
      </c>
      <c r="C1115" s="5" t="s">
        <v>423</v>
      </c>
      <c r="D1115" s="5" t="str">
        <f>VLOOKUP(C1115,[1]master_data!$A$2:$E$495,2,FALSE)</f>
        <v>KOI SLAYER K</v>
      </c>
      <c r="E1115" s="5">
        <v>30</v>
      </c>
      <c r="F1115" s="5">
        <f>VLOOKUP(C1115,[1]master_data!$A$2:$E$495,3,FALSE)</f>
        <v>3500</v>
      </c>
      <c r="G1115" s="5">
        <f>VLOOKUP(C1115,[1]master_data!$A$2:$E$495,4,FALSE)</f>
        <v>10000</v>
      </c>
      <c r="H1115" s="5">
        <f t="shared" si="57"/>
        <v>105000</v>
      </c>
      <c r="I1115" s="5">
        <f t="shared" si="58"/>
        <v>300000</v>
      </c>
      <c r="J1115" s="5">
        <f t="shared" si="59"/>
        <v>195000</v>
      </c>
      <c r="K1115" s="5" t="str">
        <f>VLOOKUP(C1115,[1]master_data!$A$2:$E$495,5,FALSE)</f>
        <v>Ikan</v>
      </c>
      <c r="L1115" s="5" t="s">
        <v>471</v>
      </c>
    </row>
    <row r="1116" spans="1:12" ht="12" customHeight="1" x14ac:dyDescent="0.25">
      <c r="A1116" s="6">
        <v>44805</v>
      </c>
      <c r="B1116" s="1">
        <v>2203447</v>
      </c>
      <c r="C1116" s="5" t="s">
        <v>276</v>
      </c>
      <c r="D1116" s="5" t="str">
        <f>VLOOKUP(C1116,[1]master_data!$A$2:$E$495,2,FALSE)</f>
        <v>JARING 30</v>
      </c>
      <c r="E1116" s="5">
        <v>2</v>
      </c>
      <c r="F1116" s="5">
        <f>VLOOKUP(C1116,[1]master_data!$A$2:$E$495,3,FALSE)</f>
        <v>7100</v>
      </c>
      <c r="G1116" s="5">
        <f>VLOOKUP(C1116,[1]master_data!$A$2:$E$495,4,FALSE)</f>
        <v>12000</v>
      </c>
      <c r="H1116" s="5">
        <f t="shared" si="57"/>
        <v>14200</v>
      </c>
      <c r="I1116" s="5">
        <f t="shared" si="58"/>
        <v>24000</v>
      </c>
      <c r="J1116" s="5">
        <f t="shared" si="59"/>
        <v>9800</v>
      </c>
      <c r="K1116" s="5" t="str">
        <f>VLOOKUP(C1116,[1]master_data!$A$2:$E$495,5,FALSE)</f>
        <v>Aksesoris</v>
      </c>
      <c r="L1116" s="5" t="s">
        <v>471</v>
      </c>
    </row>
    <row r="1117" spans="1:12" ht="12" customHeight="1" x14ac:dyDescent="0.25">
      <c r="A1117" s="6">
        <v>44805</v>
      </c>
      <c r="B1117" s="1">
        <v>2203446</v>
      </c>
      <c r="C1117" s="5" t="s">
        <v>462</v>
      </c>
      <c r="D1117" s="5" t="str">
        <f>VLOOKUP(C1117,[1]master_data!$A$2:$E$495,2,FALSE)</f>
        <v>SEPAT ALBINO</v>
      </c>
      <c r="E1117" s="5">
        <v>25</v>
      </c>
      <c r="F1117" s="5">
        <f>VLOOKUP(C1117,[1]master_data!$A$2:$E$495,3,FALSE)</f>
        <v>2000</v>
      </c>
      <c r="G1117" s="5">
        <f>VLOOKUP(C1117,[1]master_data!$A$2:$E$495,4,FALSE)</f>
        <v>5000</v>
      </c>
      <c r="H1117" s="5">
        <f t="shared" si="57"/>
        <v>50000</v>
      </c>
      <c r="I1117" s="5">
        <f t="shared" si="58"/>
        <v>125000</v>
      </c>
      <c r="J1117" s="5">
        <f t="shared" si="59"/>
        <v>75000</v>
      </c>
      <c r="K1117" s="5" t="str">
        <f>VLOOKUP(C1117,[1]master_data!$A$2:$E$495,5,FALSE)</f>
        <v>Ikan</v>
      </c>
      <c r="L1117" s="5" t="s">
        <v>471</v>
      </c>
    </row>
    <row r="1118" spans="1:12" ht="12" customHeight="1" x14ac:dyDescent="0.25">
      <c r="A1118" s="6">
        <v>44805</v>
      </c>
      <c r="B1118" s="1">
        <v>2203445</v>
      </c>
      <c r="C1118" s="5" t="s">
        <v>425</v>
      </c>
      <c r="D1118" s="5" t="str">
        <f>VLOOKUP(C1118,[1]master_data!$A$2:$E$495,2,FALSE)</f>
        <v>CAROLINE</v>
      </c>
      <c r="E1118" s="5">
        <v>10</v>
      </c>
      <c r="F1118" s="5">
        <f>VLOOKUP(C1118,[1]master_data!$A$2:$E$495,3,FALSE)</f>
        <v>900</v>
      </c>
      <c r="G1118" s="5">
        <f>VLOOKUP(C1118,[1]master_data!$A$2:$E$495,4,FALSE)</f>
        <v>2000</v>
      </c>
      <c r="H1118" s="5">
        <f t="shared" si="57"/>
        <v>9000</v>
      </c>
      <c r="I1118" s="5">
        <f t="shared" si="58"/>
        <v>20000</v>
      </c>
      <c r="J1118" s="5">
        <f t="shared" si="59"/>
        <v>11000</v>
      </c>
      <c r="K1118" s="5" t="str">
        <f>VLOOKUP(C1118,[1]master_data!$A$2:$E$495,5,FALSE)</f>
        <v>Ikan</v>
      </c>
      <c r="L1118" s="5" t="s">
        <v>471</v>
      </c>
    </row>
    <row r="1119" spans="1:12" ht="12" customHeight="1" x14ac:dyDescent="0.25">
      <c r="A1119" s="6">
        <v>44805</v>
      </c>
      <c r="B1119" s="1">
        <v>2203444</v>
      </c>
      <c r="C1119" s="5" t="s">
        <v>446</v>
      </c>
      <c r="D1119" s="5" t="str">
        <f>VLOOKUP(C1119,[1]master_data!$A$2:$E$495,2,FALSE)</f>
        <v>REDFIN HITAM</v>
      </c>
      <c r="E1119" s="5">
        <v>19</v>
      </c>
      <c r="F1119" s="5">
        <f>VLOOKUP(C1119,[1]master_data!$A$2:$E$495,3,FALSE)</f>
        <v>1500</v>
      </c>
      <c r="G1119" s="5">
        <f>VLOOKUP(C1119,[1]master_data!$A$2:$E$495,4,FALSE)</f>
        <v>4000</v>
      </c>
      <c r="H1119" s="5">
        <f t="shared" si="57"/>
        <v>28500</v>
      </c>
      <c r="I1119" s="5">
        <f t="shared" si="58"/>
        <v>76000</v>
      </c>
      <c r="J1119" s="5">
        <f t="shared" si="59"/>
        <v>47500</v>
      </c>
      <c r="K1119" s="5" t="str">
        <f>VLOOKUP(C1119,[1]master_data!$A$2:$E$495,5,FALSE)</f>
        <v>Ikan</v>
      </c>
      <c r="L1119" s="5" t="s">
        <v>471</v>
      </c>
    </row>
    <row r="1120" spans="1:12" ht="12" customHeight="1" x14ac:dyDescent="0.25">
      <c r="A1120" s="6">
        <v>44805</v>
      </c>
      <c r="B1120" s="1">
        <v>2203443</v>
      </c>
      <c r="C1120" s="5" t="s">
        <v>445</v>
      </c>
      <c r="D1120" s="5" t="str">
        <f>VLOOKUP(C1120,[1]master_data!$A$2:$E$495,2,FALSE)</f>
        <v>PESO</v>
      </c>
      <c r="E1120" s="5">
        <v>1</v>
      </c>
      <c r="F1120" s="5">
        <f>VLOOKUP(C1120,[1]master_data!$A$2:$E$495,3,FALSE)</f>
        <v>19000</v>
      </c>
      <c r="G1120" s="5">
        <f>VLOOKUP(C1120,[1]master_data!$A$2:$E$495,4,FALSE)</f>
        <v>40000</v>
      </c>
      <c r="H1120" s="5">
        <f t="shared" si="57"/>
        <v>19000</v>
      </c>
      <c r="I1120" s="5">
        <f t="shared" si="58"/>
        <v>40000</v>
      </c>
      <c r="J1120" s="5">
        <f t="shared" si="59"/>
        <v>21000</v>
      </c>
      <c r="K1120" s="5" t="str">
        <f>VLOOKUP(C1120,[1]master_data!$A$2:$E$495,5,FALSE)</f>
        <v>Ikan</v>
      </c>
      <c r="L1120" s="5" t="s">
        <v>471</v>
      </c>
    </row>
    <row r="1121" spans="1:12" ht="12" customHeight="1" x14ac:dyDescent="0.25">
      <c r="A1121" s="6">
        <v>44805</v>
      </c>
      <c r="B1121" s="1">
        <v>2203442</v>
      </c>
      <c r="C1121" s="5" t="s">
        <v>448</v>
      </c>
      <c r="D1121" s="5" t="str">
        <f>VLOOKUP(C1121,[1]master_data!$A$2:$E$495,2,FALSE)</f>
        <v xml:space="preserve"> CHANNA RED BARITO K</v>
      </c>
      <c r="E1121" s="5">
        <v>2</v>
      </c>
      <c r="F1121" s="5">
        <f>VLOOKUP(C1121,[1]master_data!$A$2:$E$495,3,FALSE)</f>
        <v>45000</v>
      </c>
      <c r="G1121" s="5">
        <f>VLOOKUP(C1121,[1]master_data!$A$2:$E$495,4,FALSE)</f>
        <v>100000</v>
      </c>
      <c r="H1121" s="5">
        <f t="shared" si="57"/>
        <v>90000</v>
      </c>
      <c r="I1121" s="5">
        <f t="shared" si="58"/>
        <v>200000</v>
      </c>
      <c r="J1121" s="5">
        <f t="shared" si="59"/>
        <v>110000</v>
      </c>
      <c r="K1121" s="5" t="str">
        <f>VLOOKUP(C1121,[1]master_data!$A$2:$E$495,5,FALSE)</f>
        <v>Ikan</v>
      </c>
      <c r="L1121" s="5" t="s">
        <v>471</v>
      </c>
    </row>
    <row r="1122" spans="1:12" ht="12" customHeight="1" x14ac:dyDescent="0.25">
      <c r="A1122" s="6">
        <v>44804</v>
      </c>
      <c r="B1122" s="1">
        <v>2203441</v>
      </c>
      <c r="C1122" s="5" t="s">
        <v>256</v>
      </c>
      <c r="D1122" s="5" t="str">
        <f>VLOOKUP(C1122,[1]master_data!$A$2:$E$495,2,FALSE)</f>
        <v>BACKGROUND</v>
      </c>
      <c r="E1122" s="5">
        <v>15</v>
      </c>
      <c r="F1122" s="5">
        <f>VLOOKUP(C1122,[1]master_data!$A$2:$E$495,3,FALSE)</f>
        <v>8000</v>
      </c>
      <c r="G1122" s="5">
        <f>VLOOKUP(C1122,[1]master_data!$A$2:$E$495,4,FALSE)</f>
        <v>15000</v>
      </c>
      <c r="H1122" s="5">
        <f t="shared" si="57"/>
        <v>120000</v>
      </c>
      <c r="I1122" s="5">
        <f t="shared" si="58"/>
        <v>225000</v>
      </c>
      <c r="J1122" s="5">
        <f t="shared" si="59"/>
        <v>105000</v>
      </c>
      <c r="K1122" s="5" t="str">
        <f>VLOOKUP(C1122,[1]master_data!$A$2:$E$495,5,FALSE)</f>
        <v>Aksesoris</v>
      </c>
      <c r="L1122" s="5" t="s">
        <v>471</v>
      </c>
    </row>
    <row r="1123" spans="1:12" ht="12" customHeight="1" x14ac:dyDescent="0.25">
      <c r="A1123" s="6">
        <v>44804</v>
      </c>
      <c r="B1123" s="1">
        <v>2203440</v>
      </c>
      <c r="C1123" s="5" t="s">
        <v>177</v>
      </c>
      <c r="D1123" s="5" t="str">
        <f>VLOOKUP(C1123,[1]master_data!$A$2:$E$495,2,FALSE)</f>
        <v>LED ARMADA 3 BRS AP 400</v>
      </c>
      <c r="E1123" s="5">
        <v>2</v>
      </c>
      <c r="F1123" s="5">
        <f>VLOOKUP(C1123,[1]master_data!$A$2:$E$495,3,FALSE)</f>
        <v>45000</v>
      </c>
      <c r="G1123" s="5">
        <f>VLOOKUP(C1123,[1]master_data!$A$2:$E$495,4,FALSE)</f>
        <v>70000</v>
      </c>
      <c r="H1123" s="5">
        <f t="shared" si="57"/>
        <v>90000</v>
      </c>
      <c r="I1123" s="5">
        <f t="shared" si="58"/>
        <v>140000</v>
      </c>
      <c r="J1123" s="5">
        <f t="shared" si="59"/>
        <v>50000</v>
      </c>
      <c r="K1123" s="5" t="str">
        <f>VLOOKUP(C1123,[1]master_data!$A$2:$E$495,5,FALSE)</f>
        <v>Aksesoris</v>
      </c>
      <c r="L1123" s="5" t="s">
        <v>471</v>
      </c>
    </row>
    <row r="1124" spans="1:12" ht="12" customHeight="1" x14ac:dyDescent="0.25">
      <c r="A1124" s="6">
        <v>44804</v>
      </c>
      <c r="B1124" s="1">
        <v>2203439</v>
      </c>
      <c r="C1124" s="5" t="s">
        <v>21</v>
      </c>
      <c r="D1124" s="5" t="str">
        <f>VLOOKUP(C1124,[1]master_data!$A$2:$E$495,2,FALSE)</f>
        <v>MESIN ROSTON 1600</v>
      </c>
      <c r="E1124" s="5">
        <v>1</v>
      </c>
      <c r="F1124" s="5">
        <f>VLOOKUP(C1124,[1]master_data!$A$2:$E$495,3,FALSE)</f>
        <v>40000</v>
      </c>
      <c r="G1124" s="5">
        <f>VLOOKUP(C1124,[1]master_data!$A$2:$E$495,4,FALSE)</f>
        <v>55000</v>
      </c>
      <c r="H1124" s="5">
        <f t="shared" si="57"/>
        <v>40000</v>
      </c>
      <c r="I1124" s="5">
        <f t="shared" si="58"/>
        <v>55000</v>
      </c>
      <c r="J1124" s="5">
        <f t="shared" si="59"/>
        <v>15000</v>
      </c>
      <c r="K1124" s="5" t="str">
        <f>VLOOKUP(C1124,[1]master_data!$A$2:$E$495,5,FALSE)</f>
        <v>Aksesoris</v>
      </c>
      <c r="L1124" s="5" t="s">
        <v>471</v>
      </c>
    </row>
    <row r="1125" spans="1:12" ht="12" customHeight="1" x14ac:dyDescent="0.25">
      <c r="A1125" s="6">
        <v>44804</v>
      </c>
      <c r="B1125" s="1">
        <v>2203438</v>
      </c>
      <c r="C1125" s="5" t="s">
        <v>407</v>
      </c>
      <c r="D1125" s="5" t="str">
        <f>VLOOKUP(C1125,[1]master_data!$A$2:$E$495,2,FALSE)</f>
        <v>CUPANG</v>
      </c>
      <c r="E1125" s="5">
        <v>20</v>
      </c>
      <c r="F1125" s="5">
        <f>VLOOKUP(C1125,[1]master_data!$A$2:$E$495,3,FALSE)</f>
        <v>2000</v>
      </c>
      <c r="G1125" s="5">
        <f>VLOOKUP(C1125,[1]master_data!$A$2:$E$495,4,FALSE)</f>
        <v>5000</v>
      </c>
      <c r="H1125" s="5">
        <f t="shared" si="57"/>
        <v>40000</v>
      </c>
      <c r="I1125" s="5">
        <f t="shared" si="58"/>
        <v>100000</v>
      </c>
      <c r="J1125" s="5">
        <f t="shared" si="59"/>
        <v>60000</v>
      </c>
      <c r="K1125" s="5" t="str">
        <f>VLOOKUP(C1125,[1]master_data!$A$2:$E$495,5,FALSE)</f>
        <v>Ikan</v>
      </c>
      <c r="L1125" s="5" t="s">
        <v>471</v>
      </c>
    </row>
    <row r="1126" spans="1:12" ht="12" customHeight="1" x14ac:dyDescent="0.25">
      <c r="A1126" s="6">
        <v>44804</v>
      </c>
      <c r="B1126" s="1">
        <v>2203437</v>
      </c>
      <c r="C1126" s="5" t="s">
        <v>28</v>
      </c>
      <c r="D1126" s="5" t="str">
        <f>VLOOKUP(C1126,[1]master_data!$A$2:$E$495,2,FALSE)</f>
        <v>MESIN ROSTON 107</v>
      </c>
      <c r="E1126" s="5">
        <v>2</v>
      </c>
      <c r="F1126" s="5">
        <f>VLOOKUP(C1126,[1]master_data!$A$2:$E$495,3,FALSE)</f>
        <v>185000</v>
      </c>
      <c r="G1126" s="5">
        <f>VLOOKUP(C1126,[1]master_data!$A$2:$E$495,4,FALSE)</f>
        <v>260000</v>
      </c>
      <c r="H1126" s="5">
        <f t="shared" si="57"/>
        <v>370000</v>
      </c>
      <c r="I1126" s="5">
        <f t="shared" si="58"/>
        <v>520000</v>
      </c>
      <c r="J1126" s="5">
        <f t="shared" si="59"/>
        <v>150000</v>
      </c>
      <c r="K1126" s="5" t="str">
        <f>VLOOKUP(C1126,[1]master_data!$A$2:$E$495,5,FALSE)</f>
        <v>Aksesoris</v>
      </c>
      <c r="L1126" s="5" t="s">
        <v>471</v>
      </c>
    </row>
    <row r="1127" spans="1:12" ht="12" customHeight="1" x14ac:dyDescent="0.25">
      <c r="A1127" s="6">
        <v>44804</v>
      </c>
      <c r="B1127" s="1">
        <v>2203436</v>
      </c>
      <c r="C1127" s="5" t="s">
        <v>452</v>
      </c>
      <c r="D1127" s="5" t="str">
        <f>VLOOKUP(C1127,[1]master_data!$A$2:$E$495,2,FALSE)</f>
        <v>SNOW WHITE</v>
      </c>
      <c r="E1127" s="5">
        <v>30</v>
      </c>
      <c r="F1127" s="5">
        <f>VLOOKUP(C1127,[1]master_data!$A$2:$E$495,3,FALSE)</f>
        <v>1500</v>
      </c>
      <c r="G1127" s="5">
        <f>VLOOKUP(C1127,[1]master_data!$A$2:$E$495,4,FALSE)</f>
        <v>3000</v>
      </c>
      <c r="H1127" s="5">
        <f t="shared" si="57"/>
        <v>45000</v>
      </c>
      <c r="I1127" s="5">
        <f t="shared" si="58"/>
        <v>90000</v>
      </c>
      <c r="J1127" s="5">
        <f t="shared" si="59"/>
        <v>45000</v>
      </c>
      <c r="K1127" s="5" t="str">
        <f>VLOOKUP(C1127,[1]master_data!$A$2:$E$495,5,FALSE)</f>
        <v>Ikan</v>
      </c>
      <c r="L1127" s="5" t="s">
        <v>471</v>
      </c>
    </row>
    <row r="1128" spans="1:12" ht="12" customHeight="1" x14ac:dyDescent="0.25">
      <c r="A1128" s="6">
        <v>44804</v>
      </c>
      <c r="B1128" s="1">
        <v>2203435</v>
      </c>
      <c r="C1128" s="5" t="s">
        <v>65</v>
      </c>
      <c r="D1128" s="5" t="str">
        <f>VLOOKUP(C1128,[1]master_data!$A$2:$E$495,2,FALSE)</f>
        <v>BIO FOAM S</v>
      </c>
      <c r="E1128" s="5">
        <v>2</v>
      </c>
      <c r="F1128" s="5">
        <f>VLOOKUP(C1128,[1]master_data!$A$2:$E$495,3,FALSE)</f>
        <v>12000</v>
      </c>
      <c r="G1128" s="5">
        <f>VLOOKUP(C1128,[1]master_data!$A$2:$E$495,4,FALSE)</f>
        <v>25000</v>
      </c>
      <c r="H1128" s="5">
        <f t="shared" si="57"/>
        <v>24000</v>
      </c>
      <c r="I1128" s="5">
        <f t="shared" si="58"/>
        <v>50000</v>
      </c>
      <c r="J1128" s="5">
        <f t="shared" si="59"/>
        <v>26000</v>
      </c>
      <c r="K1128" s="5" t="str">
        <f>VLOOKUP(C1128,[1]master_data!$A$2:$E$495,5,FALSE)</f>
        <v>Aksesoris</v>
      </c>
      <c r="L1128" s="5" t="s">
        <v>471</v>
      </c>
    </row>
    <row r="1129" spans="1:12" ht="12" customHeight="1" x14ac:dyDescent="0.25">
      <c r="A1129" s="6">
        <v>44804</v>
      </c>
      <c r="B1129" s="1">
        <v>2203434</v>
      </c>
      <c r="C1129" s="5" t="s">
        <v>163</v>
      </c>
      <c r="D1129" s="5" t="str">
        <f>VLOOKUP(C1129,[1]master_data!$A$2:$E$495,2,FALSE)</f>
        <v>LED KANDILA VIBRANT 50 CM</v>
      </c>
      <c r="E1129" s="5">
        <v>1</v>
      </c>
      <c r="F1129" s="5">
        <f>VLOOKUP(C1129,[1]master_data!$A$2:$E$495,3,FALSE)</f>
        <v>110000</v>
      </c>
      <c r="G1129" s="5">
        <f>VLOOKUP(C1129,[1]master_data!$A$2:$E$495,4,FALSE)</f>
        <v>135000</v>
      </c>
      <c r="H1129" s="5">
        <f t="shared" si="57"/>
        <v>110000</v>
      </c>
      <c r="I1129" s="5">
        <f t="shared" si="58"/>
        <v>135000</v>
      </c>
      <c r="J1129" s="5">
        <f t="shared" si="59"/>
        <v>25000</v>
      </c>
      <c r="K1129" s="5" t="str">
        <f>VLOOKUP(C1129,[1]master_data!$A$2:$E$495,5,FALSE)</f>
        <v>Aksesoris</v>
      </c>
      <c r="L1129" s="5" t="s">
        <v>471</v>
      </c>
    </row>
    <row r="1130" spans="1:12" ht="12" customHeight="1" x14ac:dyDescent="0.25">
      <c r="A1130" s="6">
        <v>44804</v>
      </c>
      <c r="B1130" s="1">
        <v>2203433</v>
      </c>
      <c r="C1130" s="5" t="s">
        <v>334</v>
      </c>
      <c r="D1130" s="5" t="str">
        <f>VLOOKUP(C1130,[1]master_data!$A$2:$E$495,2,FALSE)</f>
        <v>KARPET RUMPUT</v>
      </c>
      <c r="E1130" s="5">
        <v>1</v>
      </c>
      <c r="F1130" s="5">
        <f>VLOOKUP(C1130,[1]master_data!$A$2:$E$495,3,FALSE)</f>
        <v>15000</v>
      </c>
      <c r="G1130" s="5">
        <f>VLOOKUP(C1130,[1]master_data!$A$2:$E$495,4,FALSE)</f>
        <v>25000</v>
      </c>
      <c r="H1130" s="5">
        <f t="shared" si="57"/>
        <v>15000</v>
      </c>
      <c r="I1130" s="5">
        <f t="shared" si="58"/>
        <v>25000</v>
      </c>
      <c r="J1130" s="5">
        <f t="shared" si="59"/>
        <v>10000</v>
      </c>
      <c r="K1130" s="5" t="str">
        <f>VLOOKUP(C1130,[1]master_data!$A$2:$E$495,5,FALSE)</f>
        <v>Aksesoris</v>
      </c>
      <c r="L1130" s="5" t="s">
        <v>471</v>
      </c>
    </row>
    <row r="1131" spans="1:12" ht="12" customHeight="1" x14ac:dyDescent="0.25">
      <c r="A1131" s="6">
        <v>44804</v>
      </c>
      <c r="B1131" s="1">
        <v>2203432</v>
      </c>
      <c r="C1131" s="5" t="s">
        <v>6</v>
      </c>
      <c r="D1131" s="5" t="str">
        <f>VLOOKUP(C1131,[1]master_data!$A$2:$E$495,2,FALSE)</f>
        <v>MESIN YANG 1200</v>
      </c>
      <c r="E1131" s="5">
        <v>1</v>
      </c>
      <c r="F1131" s="5">
        <f>VLOOKUP(C1131,[1]master_data!$A$2:$E$495,3,FALSE)</f>
        <v>25000</v>
      </c>
      <c r="G1131" s="5">
        <f>VLOOKUP(C1131,[1]master_data!$A$2:$E$495,4,FALSE)</f>
        <v>40000</v>
      </c>
      <c r="H1131" s="5">
        <f t="shared" si="57"/>
        <v>25000</v>
      </c>
      <c r="I1131" s="5">
        <f t="shared" si="58"/>
        <v>40000</v>
      </c>
      <c r="J1131" s="5">
        <f t="shared" si="59"/>
        <v>15000</v>
      </c>
      <c r="K1131" s="5" t="str">
        <f>VLOOKUP(C1131,[1]master_data!$A$2:$E$495,5,FALSE)</f>
        <v>Aksesoris</v>
      </c>
      <c r="L1131" s="5" t="s">
        <v>471</v>
      </c>
    </row>
    <row r="1132" spans="1:12" ht="12" customHeight="1" x14ac:dyDescent="0.25">
      <c r="A1132" s="6">
        <v>44804</v>
      </c>
      <c r="B1132" s="1">
        <v>2203431</v>
      </c>
      <c r="C1132" s="5" t="s">
        <v>440</v>
      </c>
      <c r="D1132" s="5" t="str">
        <f>VLOOKUP(C1132,[1]master_data!$A$2:$E$495,2,FALSE)</f>
        <v>OSCAR</v>
      </c>
      <c r="E1132" s="5">
        <v>1</v>
      </c>
      <c r="F1132" s="5">
        <f>VLOOKUP(C1132,[1]master_data!$A$2:$E$495,3,FALSE)</f>
        <v>25000</v>
      </c>
      <c r="G1132" s="5">
        <f>VLOOKUP(C1132,[1]master_data!$A$2:$E$495,4,FALSE)</f>
        <v>50000</v>
      </c>
      <c r="H1132" s="5">
        <f t="shared" si="57"/>
        <v>25000</v>
      </c>
      <c r="I1132" s="5">
        <f t="shared" si="58"/>
        <v>50000</v>
      </c>
      <c r="J1132" s="5">
        <f t="shared" si="59"/>
        <v>25000</v>
      </c>
      <c r="K1132" s="5" t="str">
        <f>VLOOKUP(C1132,[1]master_data!$A$2:$E$495,5,FALSE)</f>
        <v>Ikan</v>
      </c>
      <c r="L1132" s="5" t="s">
        <v>471</v>
      </c>
    </row>
    <row r="1133" spans="1:12" ht="12" customHeight="1" x14ac:dyDescent="0.25">
      <c r="A1133" s="6">
        <v>44804</v>
      </c>
      <c r="B1133" s="1">
        <v>2203430</v>
      </c>
      <c r="C1133" s="5" t="s">
        <v>461</v>
      </c>
      <c r="D1133" s="5" t="str">
        <f>VLOOKUP(C1133,[1]master_data!$A$2:$E$495,2,FALSE)</f>
        <v>SEPAT</v>
      </c>
      <c r="E1133" s="5">
        <v>7</v>
      </c>
      <c r="F1133" s="5">
        <f>VLOOKUP(C1133,[1]master_data!$A$2:$E$495,3,FALSE)</f>
        <v>600</v>
      </c>
      <c r="G1133" s="5">
        <f>VLOOKUP(C1133,[1]master_data!$A$2:$E$495,4,FALSE)</f>
        <v>2000</v>
      </c>
      <c r="H1133" s="5">
        <f t="shared" si="57"/>
        <v>4200</v>
      </c>
      <c r="I1133" s="5">
        <f t="shared" si="58"/>
        <v>14000</v>
      </c>
      <c r="J1133" s="5">
        <f t="shared" si="59"/>
        <v>9800</v>
      </c>
      <c r="K1133" s="5" t="str">
        <f>VLOOKUP(C1133,[1]master_data!$A$2:$E$495,5,FALSE)</f>
        <v>Ikan</v>
      </c>
      <c r="L1133" s="5" t="s">
        <v>471</v>
      </c>
    </row>
    <row r="1134" spans="1:12" ht="12" customHeight="1" x14ac:dyDescent="0.25">
      <c r="A1134" s="6">
        <v>44804</v>
      </c>
      <c r="B1134" s="1">
        <v>2203429</v>
      </c>
      <c r="C1134" s="5" t="s">
        <v>45</v>
      </c>
      <c r="D1134" s="5" t="str">
        <f>VLOOKUP(C1134,[1]master_data!$A$2:$E$495,2,FALSE)</f>
        <v>TOP FILTER NIKITA K</v>
      </c>
      <c r="E1134" s="5">
        <v>1</v>
      </c>
      <c r="F1134" s="5">
        <f>VLOOKUP(C1134,[1]master_data!$A$2:$E$495,3,FALSE)</f>
        <v>36000</v>
      </c>
      <c r="G1134" s="5">
        <f>VLOOKUP(C1134,[1]master_data!$A$2:$E$495,4,FALSE)</f>
        <v>55000</v>
      </c>
      <c r="H1134" s="5">
        <f t="shared" si="57"/>
        <v>36000</v>
      </c>
      <c r="I1134" s="5">
        <f t="shared" si="58"/>
        <v>55000</v>
      </c>
      <c r="J1134" s="5">
        <f t="shared" si="59"/>
        <v>19000</v>
      </c>
      <c r="K1134" s="5" t="str">
        <f>VLOOKUP(C1134,[1]master_data!$A$2:$E$495,5,FALSE)</f>
        <v>Aksesoris</v>
      </c>
      <c r="L1134" s="5" t="s">
        <v>471</v>
      </c>
    </row>
    <row r="1135" spans="1:12" ht="12" customHeight="1" x14ac:dyDescent="0.25">
      <c r="A1135" s="6">
        <v>44804</v>
      </c>
      <c r="B1135" s="1">
        <v>2203428</v>
      </c>
      <c r="C1135" s="5" t="s">
        <v>434</v>
      </c>
      <c r="D1135" s="5" t="str">
        <f>VLOOKUP(C1135,[1]master_data!$A$2:$E$495,2,FALSE)</f>
        <v>MOLI PAKAN</v>
      </c>
      <c r="E1135" s="5">
        <v>15</v>
      </c>
      <c r="F1135" s="5">
        <f>VLOOKUP(C1135,[1]master_data!$A$2:$E$495,3,FALSE)</f>
        <v>100</v>
      </c>
      <c r="G1135" s="5">
        <f>VLOOKUP(C1135,[1]master_data!$A$2:$E$495,4,FALSE)</f>
        <v>200</v>
      </c>
      <c r="H1135" s="5">
        <f t="shared" si="57"/>
        <v>1500</v>
      </c>
      <c r="I1135" s="5">
        <f t="shared" si="58"/>
        <v>3000</v>
      </c>
      <c r="J1135" s="5">
        <f t="shared" si="59"/>
        <v>1500</v>
      </c>
      <c r="K1135" s="5" t="str">
        <f>VLOOKUP(C1135,[1]master_data!$A$2:$E$495,5,FALSE)</f>
        <v>Ikan</v>
      </c>
      <c r="L1135" s="5" t="s">
        <v>471</v>
      </c>
    </row>
    <row r="1136" spans="1:12" ht="12" customHeight="1" x14ac:dyDescent="0.25">
      <c r="A1136" s="6">
        <v>44803</v>
      </c>
      <c r="B1136" s="1">
        <v>2203427</v>
      </c>
      <c r="C1136" s="5" t="s">
        <v>165</v>
      </c>
      <c r="D1136" s="5" t="str">
        <f>VLOOKUP(C1136,[1]master_data!$A$2:$E$495,2,FALSE)</f>
        <v>LED KANDILA VIBRANT 100 CM</v>
      </c>
      <c r="E1136" s="5">
        <v>1</v>
      </c>
      <c r="F1136" s="5">
        <f>VLOOKUP(C1136,[1]master_data!$A$2:$E$495,3,FALSE)</f>
        <v>152500</v>
      </c>
      <c r="G1136" s="5">
        <f>VLOOKUP(C1136,[1]master_data!$A$2:$E$495,4,FALSE)</f>
        <v>200000</v>
      </c>
      <c r="H1136" s="5">
        <f t="shared" si="57"/>
        <v>152500</v>
      </c>
      <c r="I1136" s="5">
        <f t="shared" si="58"/>
        <v>200000</v>
      </c>
      <c r="J1136" s="5">
        <f t="shared" si="59"/>
        <v>47500</v>
      </c>
      <c r="K1136" s="5" t="str">
        <f>VLOOKUP(C1136,[1]master_data!$A$2:$E$495,5,FALSE)</f>
        <v>Aksesoris</v>
      </c>
      <c r="L1136" s="5" t="s">
        <v>471</v>
      </c>
    </row>
    <row r="1137" spans="1:12" ht="12" customHeight="1" x14ac:dyDescent="0.25">
      <c r="A1137" s="6">
        <v>44803</v>
      </c>
      <c r="B1137" s="1">
        <v>2203426</v>
      </c>
      <c r="C1137" s="5" t="s">
        <v>233</v>
      </c>
      <c r="D1137" s="5" t="str">
        <f>VLOOKUP(C1137,[1]master_data!$A$2:$E$495,2,FALSE)</f>
        <v>FISH LOVE PAKAN</v>
      </c>
      <c r="E1137" s="5">
        <v>20</v>
      </c>
      <c r="F1137" s="5">
        <f>VLOOKUP(C1137,[1]master_data!$A$2:$E$495,3,FALSE)</f>
        <v>2500</v>
      </c>
      <c r="G1137" s="5">
        <f>VLOOKUP(C1137,[1]master_data!$A$2:$E$495,4,FALSE)</f>
        <v>5000</v>
      </c>
      <c r="H1137" s="5">
        <f t="shared" si="57"/>
        <v>50000</v>
      </c>
      <c r="I1137" s="5">
        <f t="shared" si="58"/>
        <v>100000</v>
      </c>
      <c r="J1137" s="5">
        <f t="shared" si="59"/>
        <v>50000</v>
      </c>
      <c r="K1137" s="5" t="str">
        <f>VLOOKUP(C1137,[1]master_data!$A$2:$E$495,5,FALSE)</f>
        <v>Aksesoris</v>
      </c>
      <c r="L1137" s="5" t="s">
        <v>471</v>
      </c>
    </row>
    <row r="1138" spans="1:12" ht="12" customHeight="1" x14ac:dyDescent="0.25">
      <c r="A1138" s="6">
        <v>44803</v>
      </c>
      <c r="B1138" s="1">
        <v>2203425</v>
      </c>
      <c r="C1138" s="5" t="s">
        <v>456</v>
      </c>
      <c r="D1138" s="5" t="str">
        <f>VLOOKUP(C1138,[1]master_data!$A$2:$E$495,2,FALSE)</f>
        <v>TOMAN</v>
      </c>
      <c r="E1138" s="5">
        <v>2</v>
      </c>
      <c r="F1138" s="5">
        <f>VLOOKUP(C1138,[1]master_data!$A$2:$E$495,3,FALSE)</f>
        <v>10000</v>
      </c>
      <c r="G1138" s="5">
        <f>VLOOKUP(C1138,[1]master_data!$A$2:$E$495,4,FALSE)</f>
        <v>25000</v>
      </c>
      <c r="H1138" s="5">
        <f t="shared" si="57"/>
        <v>20000</v>
      </c>
      <c r="I1138" s="5">
        <f t="shared" si="58"/>
        <v>50000</v>
      </c>
      <c r="J1138" s="5">
        <f t="shared" si="59"/>
        <v>30000</v>
      </c>
      <c r="K1138" s="5" t="str">
        <f>VLOOKUP(C1138,[1]master_data!$A$2:$E$495,5,FALSE)</f>
        <v>Ikan</v>
      </c>
      <c r="L1138" s="5" t="s">
        <v>471</v>
      </c>
    </row>
    <row r="1139" spans="1:12" ht="12" customHeight="1" x14ac:dyDescent="0.25">
      <c r="A1139" s="6">
        <v>44803</v>
      </c>
      <c r="B1139" s="1">
        <v>2203424</v>
      </c>
      <c r="C1139" s="5" t="s">
        <v>36</v>
      </c>
      <c r="D1139" s="5" t="str">
        <f>VLOOKUP(C1139,[1]master_data!$A$2:$E$495,2,FALSE)</f>
        <v>MESIN YAMANO ACT 3800</v>
      </c>
      <c r="E1139" s="5">
        <v>1</v>
      </c>
      <c r="F1139" s="5">
        <f>VLOOKUP(C1139,[1]master_data!$A$2:$E$495,3,FALSE)</f>
        <v>400000</v>
      </c>
      <c r="G1139" s="5">
        <f>VLOOKUP(C1139,[1]master_data!$A$2:$E$495,4,FALSE)</f>
        <v>475000</v>
      </c>
      <c r="H1139" s="5">
        <f t="shared" si="57"/>
        <v>400000</v>
      </c>
      <c r="I1139" s="5">
        <f t="shared" si="58"/>
        <v>475000</v>
      </c>
      <c r="J1139" s="5">
        <f t="shared" si="59"/>
        <v>75000</v>
      </c>
      <c r="K1139" s="5" t="str">
        <f>VLOOKUP(C1139,[1]master_data!$A$2:$E$495,5,FALSE)</f>
        <v>Aksesoris</v>
      </c>
      <c r="L1139" s="5" t="s">
        <v>471</v>
      </c>
    </row>
    <row r="1140" spans="1:12" ht="12" customHeight="1" x14ac:dyDescent="0.25">
      <c r="A1140" s="6">
        <v>44803</v>
      </c>
      <c r="B1140" s="1">
        <v>2203423</v>
      </c>
      <c r="C1140" s="5" t="s">
        <v>26</v>
      </c>
      <c r="D1140" s="5" t="str">
        <f>VLOOKUP(C1140,[1]master_data!$A$2:$E$495,2,FALSE)</f>
        <v>MESIN ROSTON 105+</v>
      </c>
      <c r="E1140" s="5">
        <v>1</v>
      </c>
      <c r="F1140" s="5">
        <f>VLOOKUP(C1140,[1]master_data!$A$2:$E$495,3,FALSE)</f>
        <v>95000</v>
      </c>
      <c r="G1140" s="5">
        <f>VLOOKUP(C1140,[1]master_data!$A$2:$E$495,4,FALSE)</f>
        <v>145000</v>
      </c>
      <c r="H1140" s="5">
        <f t="shared" si="57"/>
        <v>95000</v>
      </c>
      <c r="I1140" s="5">
        <f t="shared" si="58"/>
        <v>145000</v>
      </c>
      <c r="J1140" s="5">
        <f t="shared" si="59"/>
        <v>50000</v>
      </c>
      <c r="K1140" s="5" t="str">
        <f>VLOOKUP(C1140,[1]master_data!$A$2:$E$495,5,FALSE)</f>
        <v>Aksesoris</v>
      </c>
      <c r="L1140" s="5" t="s">
        <v>471</v>
      </c>
    </row>
    <row r="1141" spans="1:12" ht="12" customHeight="1" x14ac:dyDescent="0.25">
      <c r="A1141" s="6">
        <v>44803</v>
      </c>
      <c r="B1141" s="1">
        <v>2203422</v>
      </c>
      <c r="C1141" s="5" t="s">
        <v>456</v>
      </c>
      <c r="D1141" s="5" t="str">
        <f>VLOOKUP(C1141,[1]master_data!$A$2:$E$495,2,FALSE)</f>
        <v>TOMAN</v>
      </c>
      <c r="E1141" s="5">
        <v>1</v>
      </c>
      <c r="F1141" s="5">
        <f>VLOOKUP(C1141,[1]master_data!$A$2:$E$495,3,FALSE)</f>
        <v>10000</v>
      </c>
      <c r="G1141" s="5">
        <f>VLOOKUP(C1141,[1]master_data!$A$2:$E$495,4,FALSE)</f>
        <v>25000</v>
      </c>
      <c r="H1141" s="5">
        <f t="shared" si="57"/>
        <v>10000</v>
      </c>
      <c r="I1141" s="5">
        <f t="shared" si="58"/>
        <v>25000</v>
      </c>
      <c r="J1141" s="5">
        <f t="shared" si="59"/>
        <v>15000</v>
      </c>
      <c r="K1141" s="5" t="str">
        <f>VLOOKUP(C1141,[1]master_data!$A$2:$E$495,5,FALSE)</f>
        <v>Ikan</v>
      </c>
      <c r="L1141" s="5" t="s">
        <v>471</v>
      </c>
    </row>
    <row r="1142" spans="1:12" ht="12" customHeight="1" x14ac:dyDescent="0.25">
      <c r="A1142" s="6">
        <v>44803</v>
      </c>
      <c r="B1142" s="1">
        <v>2203421</v>
      </c>
      <c r="C1142" s="5" t="s">
        <v>428</v>
      </c>
      <c r="D1142" s="5" t="str">
        <f>VLOOKUP(C1142,[1]master_data!$A$2:$E$495,2,FALSE)</f>
        <v>LOUHAN</v>
      </c>
      <c r="E1142" s="5">
        <v>2</v>
      </c>
      <c r="F1142" s="5">
        <f>VLOOKUP(C1142,[1]master_data!$A$2:$E$495,3,FALSE)</f>
        <v>85000</v>
      </c>
      <c r="G1142" s="5">
        <f>VLOOKUP(C1142,[1]master_data!$A$2:$E$495,4,FALSE)</f>
        <v>200000</v>
      </c>
      <c r="H1142" s="5">
        <f t="shared" si="57"/>
        <v>170000</v>
      </c>
      <c r="I1142" s="5">
        <f t="shared" si="58"/>
        <v>400000</v>
      </c>
      <c r="J1142" s="5">
        <f t="shared" si="59"/>
        <v>230000</v>
      </c>
      <c r="K1142" s="5" t="str">
        <f>VLOOKUP(C1142,[1]master_data!$A$2:$E$495,5,FALSE)</f>
        <v>Ikan</v>
      </c>
      <c r="L1142" s="5" t="s">
        <v>471</v>
      </c>
    </row>
    <row r="1143" spans="1:12" ht="12" customHeight="1" x14ac:dyDescent="0.25">
      <c r="A1143" s="6">
        <v>44803</v>
      </c>
      <c r="B1143" s="1">
        <v>2203420</v>
      </c>
      <c r="C1143" s="5" t="s">
        <v>393</v>
      </c>
      <c r="D1143" s="5" t="str">
        <f>VLOOKUP(C1143,[1]master_data!$A$2:$E$495,2,FALSE)</f>
        <v>CHANNA ANDRAO B</v>
      </c>
      <c r="E1143" s="5">
        <v>1</v>
      </c>
      <c r="F1143" s="5">
        <f>VLOOKUP(C1143,[1]master_data!$A$2:$E$495,3,FALSE)</f>
        <v>100000</v>
      </c>
      <c r="G1143" s="5">
        <f>VLOOKUP(C1143,[1]master_data!$A$2:$E$495,4,FALSE)</f>
        <v>200000</v>
      </c>
      <c r="H1143" s="5">
        <f t="shared" si="57"/>
        <v>100000</v>
      </c>
      <c r="I1143" s="5">
        <f t="shared" si="58"/>
        <v>200000</v>
      </c>
      <c r="J1143" s="5">
        <f t="shared" si="59"/>
        <v>100000</v>
      </c>
      <c r="K1143" s="5" t="str">
        <f>VLOOKUP(C1143,[1]master_data!$A$2:$E$495,5,FALSE)</f>
        <v>Ikan</v>
      </c>
      <c r="L1143" s="5" t="s">
        <v>471</v>
      </c>
    </row>
    <row r="1144" spans="1:12" ht="12" customHeight="1" x14ac:dyDescent="0.25">
      <c r="A1144" s="6">
        <v>44803</v>
      </c>
      <c r="B1144" s="1">
        <v>2203419</v>
      </c>
      <c r="C1144" s="5" t="s">
        <v>236</v>
      </c>
      <c r="D1144" s="5" t="str">
        <f>VLOOKUP(C1144,[1]master_data!$A$2:$E$495,2,FALSE)</f>
        <v>PREMIUM GOLD FISH RED</v>
      </c>
      <c r="E1144" s="5">
        <v>2</v>
      </c>
      <c r="F1144" s="5">
        <f>VLOOKUP(C1144,[1]master_data!$A$2:$E$495,3,FALSE)</f>
        <v>37000</v>
      </c>
      <c r="G1144" s="5">
        <f>VLOOKUP(C1144,[1]master_data!$A$2:$E$495,4,FALSE)</f>
        <v>50000</v>
      </c>
      <c r="H1144" s="5">
        <f t="shared" si="57"/>
        <v>74000</v>
      </c>
      <c r="I1144" s="5">
        <f t="shared" si="58"/>
        <v>100000</v>
      </c>
      <c r="J1144" s="5">
        <f t="shared" si="59"/>
        <v>26000</v>
      </c>
      <c r="K1144" s="5" t="str">
        <f>VLOOKUP(C1144,[1]master_data!$A$2:$E$495,5,FALSE)</f>
        <v>Aksesoris</v>
      </c>
      <c r="L1144" s="5" t="s">
        <v>471</v>
      </c>
    </row>
    <row r="1145" spans="1:12" ht="12" customHeight="1" x14ac:dyDescent="0.25">
      <c r="A1145" s="6">
        <v>44802</v>
      </c>
      <c r="B1145" s="1">
        <v>2203418</v>
      </c>
      <c r="C1145" s="5" t="s">
        <v>419</v>
      </c>
      <c r="D1145" s="5" t="str">
        <f>VLOOKUP(C1145,[1]master_data!$A$2:$E$495,2,FALSE)</f>
        <v>KURA - KURA</v>
      </c>
      <c r="E1145" s="5">
        <v>1</v>
      </c>
      <c r="F1145" s="5">
        <f>VLOOKUP(C1145,[1]master_data!$A$2:$E$495,3,FALSE)</f>
        <v>25000</v>
      </c>
      <c r="G1145" s="5">
        <f>VLOOKUP(C1145,[1]master_data!$A$2:$E$495,4,FALSE)</f>
        <v>35000</v>
      </c>
      <c r="H1145" s="5">
        <f t="shared" si="57"/>
        <v>25000</v>
      </c>
      <c r="I1145" s="5">
        <f t="shared" si="58"/>
        <v>35000</v>
      </c>
      <c r="J1145" s="5">
        <f t="shared" si="59"/>
        <v>10000</v>
      </c>
      <c r="K1145" s="5" t="str">
        <f>VLOOKUP(C1145,[1]master_data!$A$2:$E$495,5,FALSE)</f>
        <v>Ikan</v>
      </c>
      <c r="L1145" s="5" t="s">
        <v>471</v>
      </c>
    </row>
    <row r="1146" spans="1:12" ht="12" customHeight="1" x14ac:dyDescent="0.25">
      <c r="A1146" s="6">
        <v>44802</v>
      </c>
      <c r="B1146" s="1">
        <v>2203417</v>
      </c>
      <c r="C1146" s="5" t="s">
        <v>20</v>
      </c>
      <c r="D1146" s="5" t="str">
        <f>VLOOKUP(C1146,[1]master_data!$A$2:$E$495,2,FALSE)</f>
        <v>MESIN ROSTON 1200</v>
      </c>
      <c r="E1146" s="5">
        <v>1</v>
      </c>
      <c r="F1146" s="5">
        <f>VLOOKUP(C1146,[1]master_data!$A$2:$E$495,3,FALSE)</f>
        <v>23000</v>
      </c>
      <c r="G1146" s="5">
        <f>VLOOKUP(C1146,[1]master_data!$A$2:$E$495,4,FALSE)</f>
        <v>35000</v>
      </c>
      <c r="H1146" s="5">
        <f t="shared" si="57"/>
        <v>23000</v>
      </c>
      <c r="I1146" s="5">
        <f t="shared" si="58"/>
        <v>35000</v>
      </c>
      <c r="J1146" s="5">
        <f t="shared" si="59"/>
        <v>12000</v>
      </c>
      <c r="K1146" s="5" t="str">
        <f>VLOOKUP(C1146,[1]master_data!$A$2:$E$495,5,FALSE)</f>
        <v>Aksesoris</v>
      </c>
      <c r="L1146" s="5" t="s">
        <v>471</v>
      </c>
    </row>
    <row r="1147" spans="1:12" ht="12" customHeight="1" x14ac:dyDescent="0.25">
      <c r="A1147" s="6">
        <v>44802</v>
      </c>
      <c r="B1147" s="1">
        <v>2203416</v>
      </c>
      <c r="C1147" s="5" t="s">
        <v>165</v>
      </c>
      <c r="D1147" s="5" t="str">
        <f>VLOOKUP(C1147,[1]master_data!$A$2:$E$495,2,FALSE)</f>
        <v>LED KANDILA VIBRANT 100 CM</v>
      </c>
      <c r="E1147" s="5">
        <v>1</v>
      </c>
      <c r="F1147" s="5">
        <f>VLOOKUP(C1147,[1]master_data!$A$2:$E$495,3,FALSE)</f>
        <v>152500</v>
      </c>
      <c r="G1147" s="5">
        <f>VLOOKUP(C1147,[1]master_data!$A$2:$E$495,4,FALSE)</f>
        <v>200000</v>
      </c>
      <c r="H1147" s="5">
        <f t="shared" si="57"/>
        <v>152500</v>
      </c>
      <c r="I1147" s="5">
        <f t="shared" si="58"/>
        <v>200000</v>
      </c>
      <c r="J1147" s="5">
        <f t="shared" si="59"/>
        <v>47500</v>
      </c>
      <c r="K1147" s="5" t="str">
        <f>VLOOKUP(C1147,[1]master_data!$A$2:$E$495,5,FALSE)</f>
        <v>Aksesoris</v>
      </c>
      <c r="L1147" s="5" t="s">
        <v>471</v>
      </c>
    </row>
    <row r="1148" spans="1:12" ht="12" customHeight="1" x14ac:dyDescent="0.25">
      <c r="A1148" s="6">
        <v>44802</v>
      </c>
      <c r="B1148" s="1">
        <v>2203415</v>
      </c>
      <c r="C1148" s="5" t="s">
        <v>444</v>
      </c>
      <c r="D1148" s="5" t="str">
        <f>VLOOKUP(C1148,[1]master_data!$A$2:$E$495,2,FALSE)</f>
        <v>PARROT</v>
      </c>
      <c r="E1148" s="5">
        <v>1</v>
      </c>
      <c r="F1148" s="5">
        <f>VLOOKUP(C1148,[1]master_data!$A$2:$E$495,3,FALSE)</f>
        <v>27000</v>
      </c>
      <c r="G1148" s="5">
        <f>VLOOKUP(C1148,[1]master_data!$A$2:$E$495,4,FALSE)</f>
        <v>60000</v>
      </c>
      <c r="H1148" s="5">
        <f t="shared" si="57"/>
        <v>27000</v>
      </c>
      <c r="I1148" s="5">
        <f t="shared" si="58"/>
        <v>60000</v>
      </c>
      <c r="J1148" s="5">
        <f t="shared" si="59"/>
        <v>33000</v>
      </c>
      <c r="K1148" s="5" t="str">
        <f>VLOOKUP(C1148,[1]master_data!$A$2:$E$495,5,FALSE)</f>
        <v>Ikan</v>
      </c>
      <c r="L1148" s="5" t="s">
        <v>471</v>
      </c>
    </row>
    <row r="1149" spans="1:12" ht="12" customHeight="1" x14ac:dyDescent="0.25">
      <c r="A1149" s="6">
        <v>44802</v>
      </c>
      <c r="B1149" s="1">
        <v>2203414</v>
      </c>
      <c r="C1149" s="5" t="s">
        <v>428</v>
      </c>
      <c r="D1149" s="5" t="str">
        <f>VLOOKUP(C1149,[1]master_data!$A$2:$E$495,2,FALSE)</f>
        <v>LOUHAN</v>
      </c>
      <c r="E1149" s="5">
        <v>1</v>
      </c>
      <c r="F1149" s="5">
        <f>VLOOKUP(C1149,[1]master_data!$A$2:$E$495,3,FALSE)</f>
        <v>85000</v>
      </c>
      <c r="G1149" s="5">
        <f>VLOOKUP(C1149,[1]master_data!$A$2:$E$495,4,FALSE)</f>
        <v>200000</v>
      </c>
      <c r="H1149" s="5">
        <f t="shared" si="57"/>
        <v>85000</v>
      </c>
      <c r="I1149" s="5">
        <f t="shared" si="58"/>
        <v>200000</v>
      </c>
      <c r="J1149" s="5">
        <f t="shared" si="59"/>
        <v>115000</v>
      </c>
      <c r="K1149" s="5" t="str">
        <f>VLOOKUP(C1149,[1]master_data!$A$2:$E$495,5,FALSE)</f>
        <v>Ikan</v>
      </c>
      <c r="L1149" s="5" t="s">
        <v>471</v>
      </c>
    </row>
    <row r="1150" spans="1:12" ht="12" customHeight="1" x14ac:dyDescent="0.25">
      <c r="A1150" s="6">
        <v>44802</v>
      </c>
      <c r="B1150" s="1">
        <v>2203413</v>
      </c>
      <c r="C1150" s="5" t="s">
        <v>211</v>
      </c>
      <c r="D1150" s="5" t="str">
        <f>VLOOKUP(C1150,[1]master_data!$A$2:$E$495,2,FALSE)</f>
        <v>CRISTAL PAKAN CUPANG</v>
      </c>
      <c r="E1150" s="5">
        <v>30</v>
      </c>
      <c r="F1150" s="5">
        <f>VLOOKUP(C1150,[1]master_data!$A$2:$E$495,3,FALSE)</f>
        <v>1500</v>
      </c>
      <c r="G1150" s="5">
        <f>VLOOKUP(C1150,[1]master_data!$A$2:$E$495,4,FALSE)</f>
        <v>3000</v>
      </c>
      <c r="H1150" s="5">
        <f t="shared" si="57"/>
        <v>45000</v>
      </c>
      <c r="I1150" s="5">
        <f t="shared" si="58"/>
        <v>90000</v>
      </c>
      <c r="J1150" s="5">
        <f t="shared" si="59"/>
        <v>45000</v>
      </c>
      <c r="K1150" s="5" t="str">
        <f>VLOOKUP(C1150,[1]master_data!$A$2:$E$495,5,FALSE)</f>
        <v>Aksesoris</v>
      </c>
      <c r="L1150" s="5" t="s">
        <v>471</v>
      </c>
    </row>
    <row r="1151" spans="1:12" ht="12" customHeight="1" x14ac:dyDescent="0.25">
      <c r="A1151" s="6">
        <v>44802</v>
      </c>
      <c r="B1151" s="1">
        <v>2203412</v>
      </c>
      <c r="C1151" s="5" t="s">
        <v>79</v>
      </c>
      <c r="D1151" s="5" t="str">
        <f>VLOOKUP(C1151,[1]master_data!$A$2:$E$495,2,FALSE)</f>
        <v>MESIN KIYOSAKI 107A</v>
      </c>
      <c r="E1151" s="5">
        <v>1</v>
      </c>
      <c r="F1151" s="5">
        <f>VLOOKUP(C1151,[1]master_data!$A$2:$E$495,3,FALSE)</f>
        <v>250000</v>
      </c>
      <c r="G1151" s="5">
        <f>VLOOKUP(C1151,[1]master_data!$A$2:$E$495,4,FALSE)</f>
        <v>300000</v>
      </c>
      <c r="H1151" s="5">
        <f t="shared" si="57"/>
        <v>250000</v>
      </c>
      <c r="I1151" s="5">
        <f t="shared" si="58"/>
        <v>300000</v>
      </c>
      <c r="J1151" s="5">
        <f t="shared" si="59"/>
        <v>50000</v>
      </c>
      <c r="K1151" s="5" t="str">
        <f>VLOOKUP(C1151,[1]master_data!$A$2:$E$495,5,FALSE)</f>
        <v>Aksesoris</v>
      </c>
      <c r="L1151" s="5" t="s">
        <v>471</v>
      </c>
    </row>
    <row r="1152" spans="1:12" ht="12" customHeight="1" x14ac:dyDescent="0.25">
      <c r="A1152" s="6">
        <v>44802</v>
      </c>
      <c r="B1152" s="1">
        <v>2203411</v>
      </c>
      <c r="C1152" s="5" t="s">
        <v>58</v>
      </c>
      <c r="D1152" s="5" t="str">
        <f>VLOOKUP(C1152,[1]master_data!$A$2:$E$495,2,FALSE)</f>
        <v>MINI FILTER</v>
      </c>
      <c r="E1152" s="5">
        <v>1</v>
      </c>
      <c r="F1152" s="5">
        <f>VLOOKUP(C1152,[1]master_data!$A$2:$E$495,3,FALSE)</f>
        <v>13000</v>
      </c>
      <c r="G1152" s="5">
        <f>VLOOKUP(C1152,[1]master_data!$A$2:$E$495,4,FALSE)</f>
        <v>25000</v>
      </c>
      <c r="H1152" s="5">
        <f t="shared" si="57"/>
        <v>13000</v>
      </c>
      <c r="I1152" s="5">
        <f t="shared" si="58"/>
        <v>25000</v>
      </c>
      <c r="J1152" s="5">
        <f t="shared" si="59"/>
        <v>12000</v>
      </c>
      <c r="K1152" s="5" t="str">
        <f>VLOOKUP(C1152,[1]master_data!$A$2:$E$495,5,FALSE)</f>
        <v>Aksesoris</v>
      </c>
      <c r="L1152" s="5" t="s">
        <v>471</v>
      </c>
    </row>
    <row r="1153" spans="1:12" ht="12" customHeight="1" x14ac:dyDescent="0.25">
      <c r="A1153" s="6">
        <v>44802</v>
      </c>
      <c r="B1153" s="1">
        <v>2203410</v>
      </c>
      <c r="C1153" s="5" t="s">
        <v>277</v>
      </c>
      <c r="D1153" s="5" t="str">
        <f>VLOOKUP(C1153,[1]master_data!$A$2:$E$495,2,FALSE)</f>
        <v>HEATER STENLEES 50 W</v>
      </c>
      <c r="E1153" s="5">
        <v>1</v>
      </c>
      <c r="F1153" s="5">
        <f>VLOOKUP(C1153,[1]master_data!$A$2:$E$495,3,FALSE)</f>
        <v>63000</v>
      </c>
      <c r="G1153" s="5">
        <f>VLOOKUP(C1153,[1]master_data!$A$2:$E$495,4,FALSE)</f>
        <v>85000</v>
      </c>
      <c r="H1153" s="5">
        <f t="shared" si="57"/>
        <v>63000</v>
      </c>
      <c r="I1153" s="5">
        <f t="shared" si="58"/>
        <v>85000</v>
      </c>
      <c r="J1153" s="5">
        <f t="shared" si="59"/>
        <v>22000</v>
      </c>
      <c r="K1153" s="5" t="str">
        <f>VLOOKUP(C1153,[1]master_data!$A$2:$E$495,5,FALSE)</f>
        <v>Aksesoris</v>
      </c>
      <c r="L1153" s="5" t="s">
        <v>471</v>
      </c>
    </row>
    <row r="1154" spans="1:12" ht="12" customHeight="1" x14ac:dyDescent="0.25">
      <c r="A1154" s="6">
        <v>44802</v>
      </c>
      <c r="B1154" s="1">
        <v>2203409</v>
      </c>
      <c r="C1154" s="5" t="s">
        <v>436</v>
      </c>
      <c r="D1154" s="5" t="str">
        <f>VLOOKUP(C1154,[1]master_data!$A$2:$E$495,2,FALSE)</f>
        <v>NIASA</v>
      </c>
      <c r="E1154" s="5">
        <v>10</v>
      </c>
      <c r="F1154" s="5">
        <f>VLOOKUP(C1154,[1]master_data!$A$2:$E$495,3,FALSE)</f>
        <v>900</v>
      </c>
      <c r="G1154" s="5">
        <f>VLOOKUP(C1154,[1]master_data!$A$2:$E$495,4,FALSE)</f>
        <v>2000</v>
      </c>
      <c r="H1154" s="5">
        <f t="shared" si="57"/>
        <v>9000</v>
      </c>
      <c r="I1154" s="5">
        <f t="shared" si="58"/>
        <v>20000</v>
      </c>
      <c r="J1154" s="5">
        <f t="shared" si="59"/>
        <v>11000</v>
      </c>
      <c r="K1154" s="5" t="str">
        <f>VLOOKUP(C1154,[1]master_data!$A$2:$E$495,5,FALSE)</f>
        <v>Ikan</v>
      </c>
      <c r="L1154" s="5" t="s">
        <v>471</v>
      </c>
    </row>
    <row r="1155" spans="1:12" ht="12" customHeight="1" x14ac:dyDescent="0.25">
      <c r="A1155" s="6">
        <v>44801</v>
      </c>
      <c r="B1155" s="1">
        <v>2203408</v>
      </c>
      <c r="C1155" s="5" t="s">
        <v>41</v>
      </c>
      <c r="D1155" s="5" t="str">
        <f>VLOOKUP(C1155,[1]master_data!$A$2:$E$495,2,FALSE)</f>
        <v>MESIN YAMANO ACO 004</v>
      </c>
      <c r="E1155" s="5">
        <v>1</v>
      </c>
      <c r="F1155" s="5">
        <f>VLOOKUP(C1155,[1]master_data!$A$2:$E$495,3,FALSE)</f>
        <v>505000</v>
      </c>
      <c r="G1155" s="5">
        <f>VLOOKUP(C1155,[1]master_data!$A$2:$E$495,4,FALSE)</f>
        <v>550000</v>
      </c>
      <c r="H1155" s="5">
        <f t="shared" si="57"/>
        <v>505000</v>
      </c>
      <c r="I1155" s="5">
        <f t="shared" si="58"/>
        <v>550000</v>
      </c>
      <c r="J1155" s="5">
        <f t="shared" si="59"/>
        <v>45000</v>
      </c>
      <c r="K1155" s="5" t="str">
        <f>VLOOKUP(C1155,[1]master_data!$A$2:$E$495,5,FALSE)</f>
        <v>Aksesoris</v>
      </c>
      <c r="L1155" s="5" t="s">
        <v>471</v>
      </c>
    </row>
    <row r="1156" spans="1:12" ht="12" customHeight="1" x14ac:dyDescent="0.25">
      <c r="A1156" s="6">
        <v>44801</v>
      </c>
      <c r="B1156" s="1">
        <v>2203407</v>
      </c>
      <c r="C1156" s="5" t="s">
        <v>424</v>
      </c>
      <c r="D1156" s="5" t="str">
        <f>VLOOKUP(C1156,[1]master_data!$A$2:$E$495,2,FALSE)</f>
        <v>KOI SLAYER B</v>
      </c>
      <c r="E1156" s="5">
        <v>5</v>
      </c>
      <c r="F1156" s="5">
        <f>VLOOKUP(C1156,[1]master_data!$A$2:$E$495,3,FALSE)</f>
        <v>8000</v>
      </c>
      <c r="G1156" s="5">
        <f>VLOOKUP(C1156,[1]master_data!$A$2:$E$495,4,FALSE)</f>
        <v>20000</v>
      </c>
      <c r="H1156" s="5">
        <f t="shared" si="57"/>
        <v>40000</v>
      </c>
      <c r="I1156" s="5">
        <f t="shared" si="58"/>
        <v>100000</v>
      </c>
      <c r="J1156" s="5">
        <f t="shared" si="59"/>
        <v>60000</v>
      </c>
      <c r="K1156" s="5" t="str">
        <f>VLOOKUP(C1156,[1]master_data!$A$2:$E$495,5,FALSE)</f>
        <v>Ikan</v>
      </c>
      <c r="L1156" s="5" t="s">
        <v>471</v>
      </c>
    </row>
    <row r="1157" spans="1:12" ht="12" customHeight="1" x14ac:dyDescent="0.25">
      <c r="A1157" s="6">
        <v>44801</v>
      </c>
      <c r="B1157" s="1">
        <v>2203406</v>
      </c>
      <c r="C1157" s="5" t="s">
        <v>254</v>
      </c>
      <c r="D1157" s="5" t="str">
        <f>VLOOKUP(C1157,[1]master_data!$A$2:$E$495,2,FALSE)</f>
        <v>STOP KUTU</v>
      </c>
      <c r="E1157" s="5">
        <v>5</v>
      </c>
      <c r="F1157" s="5">
        <f>VLOOKUP(C1157,[1]master_data!$A$2:$E$495,3,FALSE)</f>
        <v>10000</v>
      </c>
      <c r="G1157" s="5">
        <f>VLOOKUP(C1157,[1]master_data!$A$2:$E$495,4,FALSE)</f>
        <v>15000</v>
      </c>
      <c r="H1157" s="5">
        <f t="shared" ref="H1157:H1220" si="60">E1157*F1157</f>
        <v>50000</v>
      </c>
      <c r="I1157" s="5">
        <f t="shared" ref="I1157:I1220" si="61">E1157*G1157</f>
        <v>75000</v>
      </c>
      <c r="J1157" s="5">
        <f t="shared" ref="J1157:J1220" si="62">I1157-H1157</f>
        <v>25000</v>
      </c>
      <c r="K1157" s="5" t="str">
        <f>VLOOKUP(C1157,[1]master_data!$A$2:$E$495,5,FALSE)</f>
        <v>Aksesoris</v>
      </c>
      <c r="L1157" s="5" t="s">
        <v>471</v>
      </c>
    </row>
    <row r="1158" spans="1:12" ht="12" customHeight="1" x14ac:dyDescent="0.25">
      <c r="A1158" s="6">
        <v>44801</v>
      </c>
      <c r="B1158" s="1">
        <v>2203405</v>
      </c>
      <c r="C1158" s="5" t="s">
        <v>62</v>
      </c>
      <c r="D1158" s="5" t="str">
        <f>VLOOKUP(C1158,[1]master_data!$A$2:$E$495,2,FALSE)</f>
        <v>MESIN SUSUN 3000</v>
      </c>
      <c r="E1158" s="5">
        <v>1</v>
      </c>
      <c r="F1158" s="5">
        <f>VLOOKUP(C1158,[1]master_data!$A$2:$E$495,3,FALSE)</f>
        <v>409000</v>
      </c>
      <c r="G1158" s="5">
        <f>VLOOKUP(C1158,[1]master_data!$A$2:$E$495,4,FALSE)</f>
        <v>450000</v>
      </c>
      <c r="H1158" s="5">
        <f t="shared" si="60"/>
        <v>409000</v>
      </c>
      <c r="I1158" s="5">
        <f t="shared" si="61"/>
        <v>450000</v>
      </c>
      <c r="J1158" s="5">
        <f t="shared" si="62"/>
        <v>41000</v>
      </c>
      <c r="K1158" s="5" t="str">
        <f>VLOOKUP(C1158,[1]master_data!$A$2:$E$495,5,FALSE)</f>
        <v>Aksesoris</v>
      </c>
      <c r="L1158" s="5" t="s">
        <v>471</v>
      </c>
    </row>
    <row r="1159" spans="1:12" ht="12" customHeight="1" x14ac:dyDescent="0.25">
      <c r="A1159" s="6">
        <v>44801</v>
      </c>
      <c r="B1159" s="1">
        <v>2203404</v>
      </c>
      <c r="C1159" s="5" t="s">
        <v>408</v>
      </c>
      <c r="D1159" s="5" t="str">
        <f>VLOOKUP(C1159,[1]master_data!$A$2:$E$495,2,FALSE)</f>
        <v>CATFISH</v>
      </c>
      <c r="E1159" s="5">
        <v>5</v>
      </c>
      <c r="F1159" s="5">
        <f>VLOOKUP(C1159,[1]master_data!$A$2:$E$495,3,FALSE)</f>
        <v>20000</v>
      </c>
      <c r="G1159" s="5">
        <f>VLOOKUP(C1159,[1]master_data!$A$2:$E$495,4,FALSE)</f>
        <v>50000</v>
      </c>
      <c r="H1159" s="5">
        <f t="shared" si="60"/>
        <v>100000</v>
      </c>
      <c r="I1159" s="5">
        <f t="shared" si="61"/>
        <v>250000</v>
      </c>
      <c r="J1159" s="5">
        <f t="shared" si="62"/>
        <v>150000</v>
      </c>
      <c r="K1159" s="5" t="str">
        <f>VLOOKUP(C1159,[1]master_data!$A$2:$E$495,5,FALSE)</f>
        <v>Ikan</v>
      </c>
      <c r="L1159" s="5" t="s">
        <v>471</v>
      </c>
    </row>
    <row r="1160" spans="1:12" ht="12" customHeight="1" x14ac:dyDescent="0.25">
      <c r="A1160" s="6">
        <v>44801</v>
      </c>
      <c r="B1160" s="1">
        <v>2203403</v>
      </c>
      <c r="C1160" s="5" t="s">
        <v>353</v>
      </c>
      <c r="D1160" s="5" t="str">
        <f>VLOOKUP(C1160,[1]master_data!$A$2:$E$495,2,FALSE)</f>
        <v>AKUARIUM BAHARI L</v>
      </c>
      <c r="E1160" s="5">
        <v>1</v>
      </c>
      <c r="F1160" s="5">
        <f>VLOOKUP(C1160,[1]master_data!$A$2:$E$495,3,FALSE)</f>
        <v>82000</v>
      </c>
      <c r="G1160" s="5">
        <f>VLOOKUP(C1160,[1]master_data!$A$2:$E$495,4,FALSE)</f>
        <v>150000</v>
      </c>
      <c r="H1160" s="5">
        <f t="shared" si="60"/>
        <v>82000</v>
      </c>
      <c r="I1160" s="5">
        <f t="shared" si="61"/>
        <v>150000</v>
      </c>
      <c r="J1160" s="5">
        <f t="shared" si="62"/>
        <v>68000</v>
      </c>
      <c r="K1160" s="5" t="str">
        <f>VLOOKUP(C1160,[1]master_data!$A$2:$E$495,5,FALSE)</f>
        <v>Aksesoris</v>
      </c>
      <c r="L1160" s="5" t="s">
        <v>471</v>
      </c>
    </row>
    <row r="1161" spans="1:12" ht="12" customHeight="1" x14ac:dyDescent="0.25">
      <c r="A1161" s="6">
        <v>44801</v>
      </c>
      <c r="B1161" s="1">
        <v>2203402</v>
      </c>
      <c r="C1161" s="5" t="s">
        <v>457</v>
      </c>
      <c r="D1161" s="5" t="str">
        <f>VLOOKUP(C1161,[1]master_data!$A$2:$E$495,2,FALSE)</f>
        <v>ZEBRA PINK</v>
      </c>
      <c r="E1161" s="5">
        <v>10</v>
      </c>
      <c r="F1161" s="5">
        <f>VLOOKUP(C1161,[1]master_data!$A$2:$E$495,3,FALSE)</f>
        <v>800</v>
      </c>
      <c r="G1161" s="5">
        <f>VLOOKUP(C1161,[1]master_data!$A$2:$E$495,4,FALSE)</f>
        <v>2000</v>
      </c>
      <c r="H1161" s="5">
        <f t="shared" si="60"/>
        <v>8000</v>
      </c>
      <c r="I1161" s="5">
        <f t="shared" si="61"/>
        <v>20000</v>
      </c>
      <c r="J1161" s="5">
        <f t="shared" si="62"/>
        <v>12000</v>
      </c>
      <c r="K1161" s="5" t="str">
        <f>VLOOKUP(C1161,[1]master_data!$A$2:$E$495,5,FALSE)</f>
        <v>Ikan</v>
      </c>
      <c r="L1161" s="5" t="s">
        <v>471</v>
      </c>
    </row>
    <row r="1162" spans="1:12" ht="12" customHeight="1" x14ac:dyDescent="0.25">
      <c r="A1162" s="6">
        <v>44801</v>
      </c>
      <c r="B1162" s="1">
        <v>2203401</v>
      </c>
      <c r="C1162" s="5" t="s">
        <v>253</v>
      </c>
      <c r="D1162" s="5" t="str">
        <f>VLOOKUP(C1162,[1]master_data!$A$2:$E$495,2,FALSE)</f>
        <v>GOSOKAN BIASA</v>
      </c>
      <c r="E1162" s="5">
        <v>5</v>
      </c>
      <c r="F1162" s="5">
        <f>VLOOKUP(C1162,[1]master_data!$A$2:$E$495,3,FALSE)</f>
        <v>10000</v>
      </c>
      <c r="G1162" s="5">
        <f>VLOOKUP(C1162,[1]master_data!$A$2:$E$495,4,FALSE)</f>
        <v>20000</v>
      </c>
      <c r="H1162" s="5">
        <f t="shared" si="60"/>
        <v>50000</v>
      </c>
      <c r="I1162" s="5">
        <f t="shared" si="61"/>
        <v>100000</v>
      </c>
      <c r="J1162" s="5">
        <f t="shared" si="62"/>
        <v>50000</v>
      </c>
      <c r="K1162" s="5" t="str">
        <f>VLOOKUP(C1162,[1]master_data!$A$2:$E$495,5,FALSE)</f>
        <v>Aksesoris</v>
      </c>
      <c r="L1162" s="5" t="s">
        <v>471</v>
      </c>
    </row>
    <row r="1163" spans="1:12" ht="12" customHeight="1" x14ac:dyDescent="0.25">
      <c r="A1163" s="6">
        <v>44801</v>
      </c>
      <c r="B1163" s="1">
        <v>2203400</v>
      </c>
      <c r="C1163" s="5" t="s">
        <v>415</v>
      </c>
      <c r="D1163" s="5" t="str">
        <f>VLOOKUP(C1163,[1]master_data!$A$2:$E$495,2,FALSE)</f>
        <v>KOKI B</v>
      </c>
      <c r="E1163" s="5">
        <v>1</v>
      </c>
      <c r="F1163" s="5">
        <f>VLOOKUP(C1163,[1]master_data!$A$2:$E$495,3,FALSE)</f>
        <v>20000</v>
      </c>
      <c r="G1163" s="5">
        <f>VLOOKUP(C1163,[1]master_data!$A$2:$E$495,4,FALSE)</f>
        <v>50000</v>
      </c>
      <c r="H1163" s="5">
        <f t="shared" si="60"/>
        <v>20000</v>
      </c>
      <c r="I1163" s="5">
        <f t="shared" si="61"/>
        <v>50000</v>
      </c>
      <c r="J1163" s="5">
        <f t="shared" si="62"/>
        <v>30000</v>
      </c>
      <c r="K1163" s="5" t="str">
        <f>VLOOKUP(C1163,[1]master_data!$A$2:$E$495,5,FALSE)</f>
        <v>Ikan</v>
      </c>
      <c r="L1163" s="5" t="s">
        <v>471</v>
      </c>
    </row>
    <row r="1164" spans="1:12" ht="12" customHeight="1" x14ac:dyDescent="0.25">
      <c r="A1164" s="6">
        <v>44801</v>
      </c>
      <c r="B1164" s="1">
        <v>2203399</v>
      </c>
      <c r="C1164" s="5" t="s">
        <v>58</v>
      </c>
      <c r="D1164" s="5" t="str">
        <f>VLOOKUP(C1164,[1]master_data!$A$2:$E$495,2,FALSE)</f>
        <v>MINI FILTER</v>
      </c>
      <c r="E1164" s="5">
        <v>1</v>
      </c>
      <c r="F1164" s="5">
        <f>VLOOKUP(C1164,[1]master_data!$A$2:$E$495,3,FALSE)</f>
        <v>13000</v>
      </c>
      <c r="G1164" s="5">
        <f>VLOOKUP(C1164,[1]master_data!$A$2:$E$495,4,FALSE)</f>
        <v>25000</v>
      </c>
      <c r="H1164" s="5">
        <f t="shared" si="60"/>
        <v>13000</v>
      </c>
      <c r="I1164" s="5">
        <f t="shared" si="61"/>
        <v>25000</v>
      </c>
      <c r="J1164" s="5">
        <f t="shared" si="62"/>
        <v>12000</v>
      </c>
      <c r="K1164" s="5" t="str">
        <f>VLOOKUP(C1164,[1]master_data!$A$2:$E$495,5,FALSE)</f>
        <v>Aksesoris</v>
      </c>
      <c r="L1164" s="5" t="s">
        <v>471</v>
      </c>
    </row>
    <row r="1165" spans="1:12" ht="12" customHeight="1" x14ac:dyDescent="0.25">
      <c r="A1165" s="6">
        <v>44801</v>
      </c>
      <c r="B1165" s="1">
        <v>2203398</v>
      </c>
      <c r="C1165" s="5" t="s">
        <v>50</v>
      </c>
      <c r="D1165" s="5" t="str">
        <f>VLOOKUP(C1165,[1]master_data!$A$2:$E$495,2,FALSE)</f>
        <v>MESIN SWI 1600</v>
      </c>
      <c r="E1165" s="5">
        <v>2</v>
      </c>
      <c r="F1165" s="5">
        <f>VLOOKUP(C1165,[1]master_data!$A$2:$E$495,3,FALSE)</f>
        <v>37500</v>
      </c>
      <c r="G1165" s="5">
        <f>VLOOKUP(C1165,[1]master_data!$A$2:$E$495,4,FALSE)</f>
        <v>55000</v>
      </c>
      <c r="H1165" s="5">
        <f t="shared" si="60"/>
        <v>75000</v>
      </c>
      <c r="I1165" s="5">
        <f t="shared" si="61"/>
        <v>110000</v>
      </c>
      <c r="J1165" s="5">
        <f t="shared" si="62"/>
        <v>35000</v>
      </c>
      <c r="K1165" s="5" t="str">
        <f>VLOOKUP(C1165,[1]master_data!$A$2:$E$495,5,FALSE)</f>
        <v>Aksesoris</v>
      </c>
      <c r="L1165" s="5" t="s">
        <v>471</v>
      </c>
    </row>
    <row r="1166" spans="1:12" ht="12" customHeight="1" x14ac:dyDescent="0.25">
      <c r="A1166" s="6">
        <v>44801</v>
      </c>
      <c r="B1166" s="1">
        <v>2203397</v>
      </c>
      <c r="C1166" s="5" t="s">
        <v>415</v>
      </c>
      <c r="D1166" s="5" t="str">
        <f>VLOOKUP(C1166,[1]master_data!$A$2:$E$495,2,FALSE)</f>
        <v>KOKI B</v>
      </c>
      <c r="E1166" s="5">
        <v>2</v>
      </c>
      <c r="F1166" s="5">
        <f>VLOOKUP(C1166,[1]master_data!$A$2:$E$495,3,FALSE)</f>
        <v>20000</v>
      </c>
      <c r="G1166" s="5">
        <f>VLOOKUP(C1166,[1]master_data!$A$2:$E$495,4,FALSE)</f>
        <v>50000</v>
      </c>
      <c r="H1166" s="5">
        <f t="shared" si="60"/>
        <v>40000</v>
      </c>
      <c r="I1166" s="5">
        <f t="shared" si="61"/>
        <v>100000</v>
      </c>
      <c r="J1166" s="5">
        <f t="shared" si="62"/>
        <v>60000</v>
      </c>
      <c r="K1166" s="5" t="str">
        <f>VLOOKUP(C1166,[1]master_data!$A$2:$E$495,5,FALSE)</f>
        <v>Ikan</v>
      </c>
      <c r="L1166" s="5" t="s">
        <v>471</v>
      </c>
    </row>
    <row r="1167" spans="1:12" ht="12" customHeight="1" x14ac:dyDescent="0.25">
      <c r="A1167" s="6">
        <v>44800</v>
      </c>
      <c r="B1167" s="1">
        <v>2203396</v>
      </c>
      <c r="C1167" s="5" t="s">
        <v>423</v>
      </c>
      <c r="D1167" s="5" t="str">
        <f>VLOOKUP(C1167,[1]master_data!$A$2:$E$495,2,FALSE)</f>
        <v>KOI SLAYER K</v>
      </c>
      <c r="E1167" s="5">
        <v>15</v>
      </c>
      <c r="F1167" s="5">
        <f>VLOOKUP(C1167,[1]master_data!$A$2:$E$495,3,FALSE)</f>
        <v>3500</v>
      </c>
      <c r="G1167" s="5">
        <f>VLOOKUP(C1167,[1]master_data!$A$2:$E$495,4,FALSE)</f>
        <v>10000</v>
      </c>
      <c r="H1167" s="5">
        <f t="shared" si="60"/>
        <v>52500</v>
      </c>
      <c r="I1167" s="5">
        <f t="shared" si="61"/>
        <v>150000</v>
      </c>
      <c r="J1167" s="5">
        <f t="shared" si="62"/>
        <v>97500</v>
      </c>
      <c r="K1167" s="5" t="str">
        <f>VLOOKUP(C1167,[1]master_data!$A$2:$E$495,5,FALSE)</f>
        <v>Ikan</v>
      </c>
      <c r="L1167" s="5" t="s">
        <v>471</v>
      </c>
    </row>
    <row r="1168" spans="1:12" ht="12" customHeight="1" x14ac:dyDescent="0.25">
      <c r="A1168" s="6">
        <v>44800</v>
      </c>
      <c r="B1168" s="1">
        <v>2203395</v>
      </c>
      <c r="C1168" s="5" t="s">
        <v>197</v>
      </c>
      <c r="D1168" s="5" t="str">
        <f>VLOOKUP(C1168,[1]master_data!$A$2:$E$495,2,FALSE)</f>
        <v>AKARI PREMIUM YELLOW</v>
      </c>
      <c r="E1168" s="5">
        <v>5</v>
      </c>
      <c r="F1168" s="5">
        <f>VLOOKUP(C1168,[1]master_data!$A$2:$E$495,3,FALSE)</f>
        <v>37000</v>
      </c>
      <c r="G1168" s="5">
        <f>VLOOKUP(C1168,[1]master_data!$A$2:$E$495,4,FALSE)</f>
        <v>50000</v>
      </c>
      <c r="H1168" s="5">
        <f t="shared" si="60"/>
        <v>185000</v>
      </c>
      <c r="I1168" s="5">
        <f t="shared" si="61"/>
        <v>250000</v>
      </c>
      <c r="J1168" s="5">
        <f t="shared" si="62"/>
        <v>65000</v>
      </c>
      <c r="K1168" s="5" t="str">
        <f>VLOOKUP(C1168,[1]master_data!$A$2:$E$495,5,FALSE)</f>
        <v>Aksesoris</v>
      </c>
      <c r="L1168" s="5" t="s">
        <v>471</v>
      </c>
    </row>
    <row r="1169" spans="1:12" ht="12" customHeight="1" x14ac:dyDescent="0.25">
      <c r="A1169" s="6">
        <v>44800</v>
      </c>
      <c r="B1169" s="1">
        <v>2203394</v>
      </c>
      <c r="C1169" s="5" t="s">
        <v>425</v>
      </c>
      <c r="D1169" s="5" t="str">
        <f>VLOOKUP(C1169,[1]master_data!$A$2:$E$495,2,FALSE)</f>
        <v>CAROLINE</v>
      </c>
      <c r="E1169" s="5">
        <v>15</v>
      </c>
      <c r="F1169" s="5">
        <f>VLOOKUP(C1169,[1]master_data!$A$2:$E$495,3,FALSE)</f>
        <v>900</v>
      </c>
      <c r="G1169" s="5">
        <f>VLOOKUP(C1169,[1]master_data!$A$2:$E$495,4,FALSE)</f>
        <v>2000</v>
      </c>
      <c r="H1169" s="5">
        <f t="shared" si="60"/>
        <v>13500</v>
      </c>
      <c r="I1169" s="5">
        <f t="shared" si="61"/>
        <v>30000</v>
      </c>
      <c r="J1169" s="5">
        <f t="shared" si="62"/>
        <v>16500</v>
      </c>
      <c r="K1169" s="5" t="str">
        <f>VLOOKUP(C1169,[1]master_data!$A$2:$E$495,5,FALSE)</f>
        <v>Ikan</v>
      </c>
      <c r="L1169" s="5" t="s">
        <v>471</v>
      </c>
    </row>
    <row r="1170" spans="1:12" ht="12" customHeight="1" x14ac:dyDescent="0.25">
      <c r="A1170" s="6">
        <v>44800</v>
      </c>
      <c r="B1170" s="1">
        <v>2203393</v>
      </c>
      <c r="C1170" s="5" t="s">
        <v>393</v>
      </c>
      <c r="D1170" s="5" t="str">
        <f>VLOOKUP(C1170,[1]master_data!$A$2:$E$495,2,FALSE)</f>
        <v>CHANNA ANDRAO B</v>
      </c>
      <c r="E1170" s="5">
        <v>3</v>
      </c>
      <c r="F1170" s="5">
        <f>VLOOKUP(C1170,[1]master_data!$A$2:$E$495,3,FALSE)</f>
        <v>100000</v>
      </c>
      <c r="G1170" s="5">
        <f>VLOOKUP(C1170,[1]master_data!$A$2:$E$495,4,FALSE)</f>
        <v>200000</v>
      </c>
      <c r="H1170" s="5">
        <f t="shared" si="60"/>
        <v>300000</v>
      </c>
      <c r="I1170" s="5">
        <f t="shared" si="61"/>
        <v>600000</v>
      </c>
      <c r="J1170" s="5">
        <f t="shared" si="62"/>
        <v>300000</v>
      </c>
      <c r="K1170" s="5" t="str">
        <f>VLOOKUP(C1170,[1]master_data!$A$2:$E$495,5,FALSE)</f>
        <v>Ikan</v>
      </c>
      <c r="L1170" s="5" t="s">
        <v>471</v>
      </c>
    </row>
    <row r="1171" spans="1:12" ht="12" customHeight="1" x14ac:dyDescent="0.25">
      <c r="A1171" s="6">
        <v>44800</v>
      </c>
      <c r="B1171" s="1">
        <v>2203392</v>
      </c>
      <c r="C1171" s="5" t="s">
        <v>91</v>
      </c>
      <c r="D1171" s="5" t="str">
        <f>VLOOKUP(C1171,[1]master_data!$A$2:$E$495,2,FALSE)</f>
        <v>MESIN AMARA 2600</v>
      </c>
      <c r="E1171" s="5">
        <v>2</v>
      </c>
      <c r="F1171" s="5">
        <f>VLOOKUP(C1171,[1]master_data!$A$2:$E$495,3,FALSE)</f>
        <v>50000</v>
      </c>
      <c r="G1171" s="5">
        <f>VLOOKUP(C1171,[1]master_data!$A$2:$E$495,4,FALSE)</f>
        <v>59000</v>
      </c>
      <c r="H1171" s="5">
        <f t="shared" si="60"/>
        <v>100000</v>
      </c>
      <c r="I1171" s="5">
        <f t="shared" si="61"/>
        <v>118000</v>
      </c>
      <c r="J1171" s="5">
        <f t="shared" si="62"/>
        <v>18000</v>
      </c>
      <c r="K1171" s="5" t="str">
        <f>VLOOKUP(C1171,[1]master_data!$A$2:$E$495,5,FALSE)</f>
        <v>Aksesoris</v>
      </c>
      <c r="L1171" s="5" t="s">
        <v>471</v>
      </c>
    </row>
    <row r="1172" spans="1:12" ht="12" customHeight="1" x14ac:dyDescent="0.25">
      <c r="A1172" s="6">
        <v>44800</v>
      </c>
      <c r="B1172" s="1">
        <v>2203391</v>
      </c>
      <c r="C1172" s="5" t="s">
        <v>445</v>
      </c>
      <c r="D1172" s="5" t="str">
        <f>VLOOKUP(C1172,[1]master_data!$A$2:$E$495,2,FALSE)</f>
        <v>PESO</v>
      </c>
      <c r="E1172" s="5">
        <v>1</v>
      </c>
      <c r="F1172" s="5">
        <f>VLOOKUP(C1172,[1]master_data!$A$2:$E$495,3,FALSE)</f>
        <v>19000</v>
      </c>
      <c r="G1172" s="5">
        <f>VLOOKUP(C1172,[1]master_data!$A$2:$E$495,4,FALSE)</f>
        <v>40000</v>
      </c>
      <c r="H1172" s="5">
        <f t="shared" si="60"/>
        <v>19000</v>
      </c>
      <c r="I1172" s="5">
        <f t="shared" si="61"/>
        <v>40000</v>
      </c>
      <c r="J1172" s="5">
        <f t="shared" si="62"/>
        <v>21000</v>
      </c>
      <c r="K1172" s="5" t="str">
        <f>VLOOKUP(C1172,[1]master_data!$A$2:$E$495,5,FALSE)</f>
        <v>Ikan</v>
      </c>
      <c r="L1172" s="5" t="s">
        <v>471</v>
      </c>
    </row>
    <row r="1173" spans="1:12" ht="12" customHeight="1" x14ac:dyDescent="0.25">
      <c r="A1173" s="6">
        <v>44799</v>
      </c>
      <c r="B1173" s="1">
        <v>2203390</v>
      </c>
      <c r="C1173" s="5" t="s">
        <v>418</v>
      </c>
      <c r="D1173" s="5" t="str">
        <f>VLOOKUP(C1173,[1]master_data!$A$2:$E$495,2,FALSE)</f>
        <v>KOI B</v>
      </c>
      <c r="E1173" s="5">
        <v>3</v>
      </c>
      <c r="F1173" s="5">
        <f>VLOOKUP(C1173,[1]master_data!$A$2:$E$495,3,FALSE)</f>
        <v>9000</v>
      </c>
      <c r="G1173" s="5">
        <f>VLOOKUP(C1173,[1]master_data!$A$2:$E$495,4,FALSE)</f>
        <v>30000</v>
      </c>
      <c r="H1173" s="5">
        <f t="shared" si="60"/>
        <v>27000</v>
      </c>
      <c r="I1173" s="5">
        <f t="shared" si="61"/>
        <v>90000</v>
      </c>
      <c r="J1173" s="5">
        <f t="shared" si="62"/>
        <v>63000</v>
      </c>
      <c r="K1173" s="5" t="str">
        <f>VLOOKUP(C1173,[1]master_data!$A$2:$E$495,5,FALSE)</f>
        <v>Ikan</v>
      </c>
      <c r="L1173" s="5" t="s">
        <v>471</v>
      </c>
    </row>
    <row r="1174" spans="1:12" ht="12" customHeight="1" x14ac:dyDescent="0.25">
      <c r="A1174" s="6">
        <v>44799</v>
      </c>
      <c r="B1174" s="1">
        <v>2203389</v>
      </c>
      <c r="C1174" s="5" t="s">
        <v>233</v>
      </c>
      <c r="D1174" s="5" t="str">
        <f>VLOOKUP(C1174,[1]master_data!$A$2:$E$495,2,FALSE)</f>
        <v>FISH LOVE PAKAN</v>
      </c>
      <c r="E1174" s="5">
        <v>20</v>
      </c>
      <c r="F1174" s="5">
        <f>VLOOKUP(C1174,[1]master_data!$A$2:$E$495,3,FALSE)</f>
        <v>2500</v>
      </c>
      <c r="G1174" s="5">
        <f>VLOOKUP(C1174,[1]master_data!$A$2:$E$495,4,FALSE)</f>
        <v>5000</v>
      </c>
      <c r="H1174" s="5">
        <f t="shared" si="60"/>
        <v>50000</v>
      </c>
      <c r="I1174" s="5">
        <f t="shared" si="61"/>
        <v>100000</v>
      </c>
      <c r="J1174" s="5">
        <f t="shared" si="62"/>
        <v>50000</v>
      </c>
      <c r="K1174" s="5" t="str">
        <f>VLOOKUP(C1174,[1]master_data!$A$2:$E$495,5,FALSE)</f>
        <v>Aksesoris</v>
      </c>
      <c r="L1174" s="5" t="s">
        <v>471</v>
      </c>
    </row>
    <row r="1175" spans="1:12" ht="12" customHeight="1" x14ac:dyDescent="0.25">
      <c r="A1175" s="6">
        <v>44799</v>
      </c>
      <c r="B1175" s="1">
        <v>2203388</v>
      </c>
      <c r="C1175" s="5" t="s">
        <v>442</v>
      </c>
      <c r="D1175" s="5" t="str">
        <f>VLOOKUP(C1175,[1]master_data!$A$2:$E$495,2,FALSE)</f>
        <v>PEMBERSIH KACA ALBINO</v>
      </c>
      <c r="E1175" s="5">
        <v>1</v>
      </c>
      <c r="F1175" s="5">
        <f>VLOOKUP(C1175,[1]master_data!$A$2:$E$495,3,FALSE)</f>
        <v>2500</v>
      </c>
      <c r="G1175" s="5">
        <f>VLOOKUP(C1175,[1]master_data!$A$2:$E$495,4,FALSE)</f>
        <v>5000</v>
      </c>
      <c r="H1175" s="5">
        <f t="shared" si="60"/>
        <v>2500</v>
      </c>
      <c r="I1175" s="5">
        <f t="shared" si="61"/>
        <v>5000</v>
      </c>
      <c r="J1175" s="5">
        <f t="shared" si="62"/>
        <v>2500</v>
      </c>
      <c r="K1175" s="5" t="str">
        <f>VLOOKUP(C1175,[1]master_data!$A$2:$E$495,5,FALSE)</f>
        <v>Ikan</v>
      </c>
      <c r="L1175" s="5" t="s">
        <v>471</v>
      </c>
    </row>
    <row r="1176" spans="1:12" ht="12" customHeight="1" x14ac:dyDescent="0.25">
      <c r="A1176" s="6">
        <v>44799</v>
      </c>
      <c r="B1176" s="1">
        <v>2203387</v>
      </c>
      <c r="C1176" s="5" t="s">
        <v>312</v>
      </c>
      <c r="D1176" s="5" t="str">
        <f>VLOOKUP(C1176,[1]master_data!$A$2:$E$495,2,FALSE)</f>
        <v>T PIPA</v>
      </c>
      <c r="E1176" s="5">
        <v>15</v>
      </c>
      <c r="F1176" s="5">
        <f>VLOOKUP(C1176,[1]master_data!$A$2:$E$495,3,FALSE)</f>
        <v>800</v>
      </c>
      <c r="G1176" s="5">
        <f>VLOOKUP(C1176,[1]master_data!$A$2:$E$495,4,FALSE)</f>
        <v>2000</v>
      </c>
      <c r="H1176" s="5">
        <f t="shared" si="60"/>
        <v>12000</v>
      </c>
      <c r="I1176" s="5">
        <f t="shared" si="61"/>
        <v>30000</v>
      </c>
      <c r="J1176" s="5">
        <f t="shared" si="62"/>
        <v>18000</v>
      </c>
      <c r="K1176" s="5" t="str">
        <f>VLOOKUP(C1176,[1]master_data!$A$2:$E$495,5,FALSE)</f>
        <v>Aksesoris</v>
      </c>
      <c r="L1176" s="5" t="s">
        <v>471</v>
      </c>
    </row>
    <row r="1177" spans="1:12" ht="12" customHeight="1" x14ac:dyDescent="0.25">
      <c r="A1177" s="6">
        <v>44799</v>
      </c>
      <c r="B1177" s="1">
        <v>2203386</v>
      </c>
      <c r="C1177" s="5" t="s">
        <v>305</v>
      </c>
      <c r="D1177" s="5" t="str">
        <f>VLOOKUP(C1177,[1]master_data!$A$2:$E$495,2,FALSE)</f>
        <v>POMATE</v>
      </c>
      <c r="E1177" s="5">
        <v>2</v>
      </c>
      <c r="F1177" s="5">
        <f>VLOOKUP(C1177,[1]master_data!$A$2:$E$495,3,FALSE)</f>
        <v>25000</v>
      </c>
      <c r="G1177" s="5">
        <f>VLOOKUP(C1177,[1]master_data!$A$2:$E$495,4,FALSE)</f>
        <v>40000</v>
      </c>
      <c r="H1177" s="5">
        <f t="shared" si="60"/>
        <v>50000</v>
      </c>
      <c r="I1177" s="5">
        <f t="shared" si="61"/>
        <v>80000</v>
      </c>
      <c r="J1177" s="5">
        <f t="shared" si="62"/>
        <v>30000</v>
      </c>
      <c r="K1177" s="5" t="str">
        <f>VLOOKUP(C1177,[1]master_data!$A$2:$E$495,5,FALSE)</f>
        <v>Aksesoris</v>
      </c>
      <c r="L1177" s="5" t="s">
        <v>471</v>
      </c>
    </row>
    <row r="1178" spans="1:12" ht="12" customHeight="1" x14ac:dyDescent="0.25">
      <c r="A1178" s="6">
        <v>44799</v>
      </c>
      <c r="B1178" s="1">
        <v>2203385</v>
      </c>
      <c r="C1178" s="5" t="s">
        <v>58</v>
      </c>
      <c r="D1178" s="5" t="str">
        <f>VLOOKUP(C1178,[1]master_data!$A$2:$E$495,2,FALSE)</f>
        <v>MINI FILTER</v>
      </c>
      <c r="E1178" s="5">
        <v>10</v>
      </c>
      <c r="F1178" s="5">
        <f>VLOOKUP(C1178,[1]master_data!$A$2:$E$495,3,FALSE)</f>
        <v>13000</v>
      </c>
      <c r="G1178" s="5">
        <f>VLOOKUP(C1178,[1]master_data!$A$2:$E$495,4,FALSE)</f>
        <v>25000</v>
      </c>
      <c r="H1178" s="5">
        <f t="shared" si="60"/>
        <v>130000</v>
      </c>
      <c r="I1178" s="5">
        <f t="shared" si="61"/>
        <v>250000</v>
      </c>
      <c r="J1178" s="5">
        <f t="shared" si="62"/>
        <v>120000</v>
      </c>
      <c r="K1178" s="5" t="str">
        <f>VLOOKUP(C1178,[1]master_data!$A$2:$E$495,5,FALSE)</f>
        <v>Aksesoris</v>
      </c>
      <c r="L1178" s="5" t="s">
        <v>471</v>
      </c>
    </row>
    <row r="1179" spans="1:12" ht="12" customHeight="1" x14ac:dyDescent="0.25">
      <c r="A1179" s="6">
        <v>44799</v>
      </c>
      <c r="B1179" s="1">
        <v>2203384</v>
      </c>
      <c r="C1179" s="5" t="s">
        <v>438</v>
      </c>
      <c r="D1179" s="5" t="str">
        <f>VLOOKUP(C1179,[1]master_data!$A$2:$E$495,2,FALSE)</f>
        <v>NENTINEN</v>
      </c>
      <c r="E1179" s="5">
        <v>25</v>
      </c>
      <c r="F1179" s="5">
        <f>VLOOKUP(C1179,[1]master_data!$A$2:$E$495,3,FALSE)</f>
        <v>1000</v>
      </c>
      <c r="G1179" s="5">
        <f>VLOOKUP(C1179,[1]master_data!$A$2:$E$495,4,FALSE)</f>
        <v>2500</v>
      </c>
      <c r="H1179" s="5">
        <f t="shared" si="60"/>
        <v>25000</v>
      </c>
      <c r="I1179" s="5">
        <f t="shared" si="61"/>
        <v>62500</v>
      </c>
      <c r="J1179" s="5">
        <f t="shared" si="62"/>
        <v>37500</v>
      </c>
      <c r="K1179" s="5" t="str">
        <f>VLOOKUP(C1179,[1]master_data!$A$2:$E$495,5,FALSE)</f>
        <v>Ikan</v>
      </c>
      <c r="L1179" s="5" t="s">
        <v>471</v>
      </c>
    </row>
    <row r="1180" spans="1:12" ht="12" customHeight="1" x14ac:dyDescent="0.25">
      <c r="A1180" s="6">
        <v>44799</v>
      </c>
      <c r="B1180" s="1">
        <v>2203383</v>
      </c>
      <c r="C1180" s="5" t="s">
        <v>133</v>
      </c>
      <c r="D1180" s="5" t="str">
        <f>VLOOKUP(C1180,[1]master_data!$A$2:$E$495,2,FALSE)</f>
        <v>LED YAMANO P1000</v>
      </c>
      <c r="E1180" s="5">
        <v>2</v>
      </c>
      <c r="F1180" s="5">
        <f>VLOOKUP(C1180,[1]master_data!$A$2:$E$495,3,FALSE)</f>
        <v>100000</v>
      </c>
      <c r="G1180" s="5">
        <f>VLOOKUP(C1180,[1]master_data!$A$2:$E$495,4,FALSE)</f>
        <v>130000</v>
      </c>
      <c r="H1180" s="5">
        <f t="shared" si="60"/>
        <v>200000</v>
      </c>
      <c r="I1180" s="5">
        <f t="shared" si="61"/>
        <v>260000</v>
      </c>
      <c r="J1180" s="5">
        <f t="shared" si="62"/>
        <v>60000</v>
      </c>
      <c r="K1180" s="5" t="str">
        <f>VLOOKUP(C1180,[1]master_data!$A$2:$E$495,5,FALSE)</f>
        <v>Aksesoris</v>
      </c>
      <c r="L1180" s="5" t="s">
        <v>471</v>
      </c>
    </row>
    <row r="1181" spans="1:12" ht="12" customHeight="1" x14ac:dyDescent="0.25">
      <c r="A1181" s="6">
        <v>44799</v>
      </c>
      <c r="B1181" s="1">
        <v>2203382</v>
      </c>
      <c r="C1181" s="5" t="s">
        <v>321</v>
      </c>
      <c r="D1181" s="5" t="str">
        <f>VLOOKUP(C1181,[1]master_data!$A$2:$E$495,2,FALSE)</f>
        <v>AIRSTONE PANJANG 8</v>
      </c>
      <c r="E1181" s="5">
        <v>1</v>
      </c>
      <c r="F1181" s="5">
        <f>VLOOKUP(C1181,[1]master_data!$A$2:$E$495,3,FALSE)</f>
        <v>9000</v>
      </c>
      <c r="G1181" s="5">
        <f>VLOOKUP(C1181,[1]master_data!$A$2:$E$495,4,FALSE)</f>
        <v>17000</v>
      </c>
      <c r="H1181" s="5">
        <f t="shared" si="60"/>
        <v>9000</v>
      </c>
      <c r="I1181" s="5">
        <f t="shared" si="61"/>
        <v>17000</v>
      </c>
      <c r="J1181" s="5">
        <f t="shared" si="62"/>
        <v>8000</v>
      </c>
      <c r="K1181" s="5" t="str">
        <f>VLOOKUP(C1181,[1]master_data!$A$2:$E$495,5,FALSE)</f>
        <v>Aksesoris</v>
      </c>
      <c r="L1181" s="5" t="s">
        <v>471</v>
      </c>
    </row>
    <row r="1182" spans="1:12" ht="12" customHeight="1" x14ac:dyDescent="0.25">
      <c r="A1182" s="6">
        <v>44799</v>
      </c>
      <c r="B1182" s="1">
        <v>2203381</v>
      </c>
      <c r="C1182" s="5" t="s">
        <v>314</v>
      </c>
      <c r="D1182" s="5" t="str">
        <f>VLOOKUP(C1182,[1]master_data!$A$2:$E$495,2,FALSE)</f>
        <v>L SELANG</v>
      </c>
      <c r="E1182" s="5">
        <v>10</v>
      </c>
      <c r="F1182" s="5">
        <f>VLOOKUP(C1182,[1]master_data!$A$2:$E$495,3,FALSE)</f>
        <v>750</v>
      </c>
      <c r="G1182" s="5">
        <f>VLOOKUP(C1182,[1]master_data!$A$2:$E$495,4,FALSE)</f>
        <v>1500</v>
      </c>
      <c r="H1182" s="5">
        <f t="shared" si="60"/>
        <v>7500</v>
      </c>
      <c r="I1182" s="5">
        <f t="shared" si="61"/>
        <v>15000</v>
      </c>
      <c r="J1182" s="5">
        <f t="shared" si="62"/>
        <v>7500</v>
      </c>
      <c r="K1182" s="5" t="str">
        <f>VLOOKUP(C1182,[1]master_data!$A$2:$E$495,5,FALSE)</f>
        <v>Aksesoris</v>
      </c>
      <c r="L1182" s="5" t="s">
        <v>471</v>
      </c>
    </row>
    <row r="1183" spans="1:12" ht="12" customHeight="1" x14ac:dyDescent="0.25">
      <c r="A1183" s="6">
        <v>44799</v>
      </c>
      <c r="B1183" s="1">
        <v>2203380</v>
      </c>
      <c r="C1183" s="5" t="s">
        <v>300</v>
      </c>
      <c r="D1183" s="5" t="str">
        <f>VLOOKUP(C1183,[1]master_data!$A$2:$E$495,2,FALSE)</f>
        <v>MAINAN ANGEL SIMON</v>
      </c>
      <c r="E1183" s="5">
        <v>1</v>
      </c>
      <c r="F1183" s="5">
        <f>VLOOKUP(C1183,[1]master_data!$A$2:$E$495,3,FALSE)</f>
        <v>9000</v>
      </c>
      <c r="G1183" s="5">
        <f>VLOOKUP(C1183,[1]master_data!$A$2:$E$495,4,FALSE)</f>
        <v>18000</v>
      </c>
      <c r="H1183" s="5">
        <f t="shared" si="60"/>
        <v>9000</v>
      </c>
      <c r="I1183" s="5">
        <f t="shared" si="61"/>
        <v>18000</v>
      </c>
      <c r="J1183" s="5">
        <f t="shared" si="62"/>
        <v>9000</v>
      </c>
      <c r="K1183" s="5" t="str">
        <f>VLOOKUP(C1183,[1]master_data!$A$2:$E$495,5,FALSE)</f>
        <v>Aksesoris</v>
      </c>
      <c r="L1183" s="5" t="s">
        <v>471</v>
      </c>
    </row>
    <row r="1184" spans="1:12" ht="12" customHeight="1" x14ac:dyDescent="0.25">
      <c r="A1184" s="6">
        <v>44799</v>
      </c>
      <c r="B1184" s="1">
        <v>2203379</v>
      </c>
      <c r="C1184" s="5" t="s">
        <v>438</v>
      </c>
      <c r="D1184" s="5" t="str">
        <f>VLOOKUP(C1184,[1]master_data!$A$2:$E$495,2,FALSE)</f>
        <v>NENTINEN</v>
      </c>
      <c r="E1184" s="5">
        <v>1</v>
      </c>
      <c r="F1184" s="5">
        <f>VLOOKUP(C1184,[1]master_data!$A$2:$E$495,3,FALSE)</f>
        <v>1000</v>
      </c>
      <c r="G1184" s="5">
        <f>VLOOKUP(C1184,[1]master_data!$A$2:$E$495,4,FALSE)</f>
        <v>2500</v>
      </c>
      <c r="H1184" s="5">
        <f t="shared" si="60"/>
        <v>1000</v>
      </c>
      <c r="I1184" s="5">
        <f t="shared" si="61"/>
        <v>2500</v>
      </c>
      <c r="J1184" s="5">
        <f t="shared" si="62"/>
        <v>1500</v>
      </c>
      <c r="K1184" s="5" t="str">
        <f>VLOOKUP(C1184,[1]master_data!$A$2:$E$495,5,FALSE)</f>
        <v>Ikan</v>
      </c>
      <c r="L1184" s="5" t="s">
        <v>471</v>
      </c>
    </row>
    <row r="1185" spans="1:12" ht="12" customHeight="1" x14ac:dyDescent="0.25">
      <c r="A1185" s="6">
        <v>44799</v>
      </c>
      <c r="B1185" s="1">
        <v>2203378</v>
      </c>
      <c r="C1185" s="5" t="s">
        <v>410</v>
      </c>
      <c r="D1185" s="5" t="str">
        <f>VLOOKUP(C1185,[1]master_data!$A$2:$E$495,2,FALSE)</f>
        <v>GUPY</v>
      </c>
      <c r="E1185" s="5">
        <v>10</v>
      </c>
      <c r="F1185" s="5">
        <f>VLOOKUP(C1185,[1]master_data!$A$2:$E$495,3,FALSE)</f>
        <v>1200</v>
      </c>
      <c r="G1185" s="5">
        <f>VLOOKUP(C1185,[1]master_data!$A$2:$E$495,4,FALSE)</f>
        <v>2500</v>
      </c>
      <c r="H1185" s="5">
        <f t="shared" si="60"/>
        <v>12000</v>
      </c>
      <c r="I1185" s="5">
        <f t="shared" si="61"/>
        <v>25000</v>
      </c>
      <c r="J1185" s="5">
        <f t="shared" si="62"/>
        <v>13000</v>
      </c>
      <c r="K1185" s="5" t="str">
        <f>VLOOKUP(C1185,[1]master_data!$A$2:$E$495,5,FALSE)</f>
        <v>Ikan</v>
      </c>
      <c r="L1185" s="5" t="s">
        <v>471</v>
      </c>
    </row>
    <row r="1186" spans="1:12" ht="12" customHeight="1" x14ac:dyDescent="0.25">
      <c r="A1186" s="6">
        <v>44799</v>
      </c>
      <c r="B1186" s="1">
        <v>2203377</v>
      </c>
      <c r="C1186" s="5" t="s">
        <v>48</v>
      </c>
      <c r="D1186" s="5" t="str">
        <f>VLOOKUP(C1186,[1]master_data!$A$2:$E$495,2,FALSE)</f>
        <v>MESIN NIKITA WAVE MAKER M7</v>
      </c>
      <c r="E1186" s="5">
        <v>1</v>
      </c>
      <c r="F1186" s="5">
        <f>VLOOKUP(C1186,[1]master_data!$A$2:$E$495,3,FALSE)</f>
        <v>101500</v>
      </c>
      <c r="G1186" s="5">
        <f>VLOOKUP(C1186,[1]master_data!$A$2:$E$495,4,FALSE)</f>
        <v>135000</v>
      </c>
      <c r="H1186" s="5">
        <f t="shared" si="60"/>
        <v>101500</v>
      </c>
      <c r="I1186" s="5">
        <f t="shared" si="61"/>
        <v>135000</v>
      </c>
      <c r="J1186" s="5">
        <f t="shared" si="62"/>
        <v>33500</v>
      </c>
      <c r="K1186" s="5" t="str">
        <f>VLOOKUP(C1186,[1]master_data!$A$2:$E$495,5,FALSE)</f>
        <v>Aksesoris</v>
      </c>
      <c r="L1186" s="5" t="s">
        <v>471</v>
      </c>
    </row>
    <row r="1187" spans="1:12" ht="12" customHeight="1" x14ac:dyDescent="0.25">
      <c r="A1187" s="6">
        <v>44799</v>
      </c>
      <c r="B1187" s="1">
        <v>2203376</v>
      </c>
      <c r="C1187" s="5" t="s">
        <v>49</v>
      </c>
      <c r="D1187" s="5" t="str">
        <f>VLOOKUP(C1187,[1]master_data!$A$2:$E$495,2,FALSE)</f>
        <v>MESIN NIKITA WAVE MAKER M6</v>
      </c>
      <c r="E1187" s="5">
        <v>1</v>
      </c>
      <c r="F1187" s="5">
        <f>VLOOKUP(C1187,[1]master_data!$A$2:$E$495,3,FALSE)</f>
        <v>86000</v>
      </c>
      <c r="G1187" s="5">
        <f>VLOOKUP(C1187,[1]master_data!$A$2:$E$495,4,FALSE)</f>
        <v>120000</v>
      </c>
      <c r="H1187" s="5">
        <f t="shared" si="60"/>
        <v>86000</v>
      </c>
      <c r="I1187" s="5">
        <f t="shared" si="61"/>
        <v>120000</v>
      </c>
      <c r="J1187" s="5">
        <f t="shared" si="62"/>
        <v>34000</v>
      </c>
      <c r="K1187" s="5" t="str">
        <f>VLOOKUP(C1187,[1]master_data!$A$2:$E$495,5,FALSE)</f>
        <v>Aksesoris</v>
      </c>
      <c r="L1187" s="5" t="s">
        <v>471</v>
      </c>
    </row>
    <row r="1188" spans="1:12" ht="12" customHeight="1" x14ac:dyDescent="0.25">
      <c r="A1188" s="6">
        <v>44799</v>
      </c>
      <c r="B1188" s="1">
        <v>2203375</v>
      </c>
      <c r="C1188" s="5" t="s">
        <v>440</v>
      </c>
      <c r="D1188" s="5" t="str">
        <f>VLOOKUP(C1188,[1]master_data!$A$2:$E$495,2,FALSE)</f>
        <v>OSCAR</v>
      </c>
      <c r="E1188" s="5">
        <v>2</v>
      </c>
      <c r="F1188" s="5">
        <f>VLOOKUP(C1188,[1]master_data!$A$2:$E$495,3,FALSE)</f>
        <v>25000</v>
      </c>
      <c r="G1188" s="5">
        <f>VLOOKUP(C1188,[1]master_data!$A$2:$E$495,4,FALSE)</f>
        <v>50000</v>
      </c>
      <c r="H1188" s="5">
        <f t="shared" si="60"/>
        <v>50000</v>
      </c>
      <c r="I1188" s="5">
        <f t="shared" si="61"/>
        <v>100000</v>
      </c>
      <c r="J1188" s="5">
        <f t="shared" si="62"/>
        <v>50000</v>
      </c>
      <c r="K1188" s="5" t="str">
        <f>VLOOKUP(C1188,[1]master_data!$A$2:$E$495,5,FALSE)</f>
        <v>Ikan</v>
      </c>
      <c r="L1188" s="5" t="s">
        <v>471</v>
      </c>
    </row>
    <row r="1189" spans="1:12" ht="12" customHeight="1" x14ac:dyDescent="0.25">
      <c r="A1189" s="6">
        <v>44799</v>
      </c>
      <c r="B1189" s="1">
        <v>2203374</v>
      </c>
      <c r="C1189" s="5" t="s">
        <v>453</v>
      </c>
      <c r="D1189" s="5" t="str">
        <f>VLOOKUP(C1189,[1]master_data!$A$2:$E$495,2,FALSE)</f>
        <v>SYNODONTIS K</v>
      </c>
      <c r="E1189" s="5">
        <v>2</v>
      </c>
      <c r="F1189" s="5">
        <f>VLOOKUP(C1189,[1]master_data!$A$2:$E$495,3,FALSE)</f>
        <v>1500</v>
      </c>
      <c r="G1189" s="5">
        <f>VLOOKUP(C1189,[1]master_data!$A$2:$E$495,4,FALSE)</f>
        <v>5000</v>
      </c>
      <c r="H1189" s="5">
        <f t="shared" si="60"/>
        <v>3000</v>
      </c>
      <c r="I1189" s="5">
        <f t="shared" si="61"/>
        <v>10000</v>
      </c>
      <c r="J1189" s="5">
        <f t="shared" si="62"/>
        <v>7000</v>
      </c>
      <c r="K1189" s="5" t="str">
        <f>VLOOKUP(C1189,[1]master_data!$A$2:$E$495,5,FALSE)</f>
        <v>Ikan</v>
      </c>
      <c r="L1189" s="5" t="s">
        <v>471</v>
      </c>
    </row>
    <row r="1190" spans="1:12" ht="12" customHeight="1" x14ac:dyDescent="0.25">
      <c r="A1190" s="6">
        <v>44798</v>
      </c>
      <c r="B1190" s="1">
        <v>2203373</v>
      </c>
      <c r="C1190" s="5" t="s">
        <v>430</v>
      </c>
      <c r="D1190" s="5" t="str">
        <f>VLOOKUP(C1190,[1]master_data!$A$2:$E$495,2,FALSE)</f>
        <v>MANFISH K</v>
      </c>
      <c r="E1190" s="5">
        <v>3</v>
      </c>
      <c r="F1190" s="5">
        <f>VLOOKUP(C1190,[1]master_data!$A$2:$E$495,3,FALSE)</f>
        <v>2000</v>
      </c>
      <c r="G1190" s="5">
        <f>VLOOKUP(C1190,[1]master_data!$A$2:$E$495,4,FALSE)</f>
        <v>5000</v>
      </c>
      <c r="H1190" s="5">
        <f t="shared" si="60"/>
        <v>6000</v>
      </c>
      <c r="I1190" s="5">
        <f t="shared" si="61"/>
        <v>15000</v>
      </c>
      <c r="J1190" s="5">
        <f t="shared" si="62"/>
        <v>9000</v>
      </c>
      <c r="K1190" s="5" t="str">
        <f>VLOOKUP(C1190,[1]master_data!$A$2:$E$495,5,FALSE)</f>
        <v>Ikan</v>
      </c>
      <c r="L1190" s="5" t="s">
        <v>471</v>
      </c>
    </row>
    <row r="1191" spans="1:12" ht="12" customHeight="1" x14ac:dyDescent="0.25">
      <c r="A1191" s="6">
        <v>44798</v>
      </c>
      <c r="B1191" s="1">
        <v>2203372</v>
      </c>
      <c r="C1191" s="5" t="s">
        <v>356</v>
      </c>
      <c r="D1191" s="5" t="str">
        <f>VLOOKUP(C1191,[1]master_data!$A$2:$E$495,2,FALSE)</f>
        <v>TOPLES 3,3 L</v>
      </c>
      <c r="E1191" s="5">
        <v>10</v>
      </c>
      <c r="F1191" s="5">
        <f>VLOOKUP(C1191,[1]master_data!$A$2:$E$495,3,FALSE)</f>
        <v>50000</v>
      </c>
      <c r="G1191" s="5">
        <f>VLOOKUP(C1191,[1]master_data!$A$2:$E$495,4,FALSE)</f>
        <v>75000</v>
      </c>
      <c r="H1191" s="5">
        <f t="shared" si="60"/>
        <v>500000</v>
      </c>
      <c r="I1191" s="5">
        <f t="shared" si="61"/>
        <v>750000</v>
      </c>
      <c r="J1191" s="5">
        <f t="shared" si="62"/>
        <v>250000</v>
      </c>
      <c r="K1191" s="5" t="str">
        <f>VLOOKUP(C1191,[1]master_data!$A$2:$E$495,5,FALSE)</f>
        <v>Aksesoris</v>
      </c>
      <c r="L1191" s="5" t="s">
        <v>471</v>
      </c>
    </row>
    <row r="1192" spans="1:12" ht="12" customHeight="1" x14ac:dyDescent="0.25">
      <c r="A1192" s="6">
        <v>44798</v>
      </c>
      <c r="B1192" s="1">
        <v>2203371</v>
      </c>
      <c r="C1192" s="5" t="s">
        <v>390</v>
      </c>
      <c r="D1192" s="5" t="str">
        <f>VLOOKUP(C1192,[1]master_data!$A$2:$E$495,2,FALSE)</f>
        <v>CHANNA ASIATICA K</v>
      </c>
      <c r="E1192" s="5">
        <v>2</v>
      </c>
      <c r="F1192" s="5">
        <f>VLOOKUP(C1192,[1]master_data!$A$2:$E$495,3,FALSE)</f>
        <v>10000</v>
      </c>
      <c r="G1192" s="5">
        <f>VLOOKUP(C1192,[1]master_data!$A$2:$E$495,4,FALSE)</f>
        <v>40000</v>
      </c>
      <c r="H1192" s="5">
        <f t="shared" si="60"/>
        <v>20000</v>
      </c>
      <c r="I1192" s="5">
        <f t="shared" si="61"/>
        <v>80000</v>
      </c>
      <c r="J1192" s="5">
        <f t="shared" si="62"/>
        <v>60000</v>
      </c>
      <c r="K1192" s="5" t="str">
        <f>VLOOKUP(C1192,[1]master_data!$A$2:$E$495,5,FALSE)</f>
        <v>Ikan</v>
      </c>
      <c r="L1192" s="5" t="s">
        <v>471</v>
      </c>
    </row>
    <row r="1193" spans="1:12" ht="12" customHeight="1" x14ac:dyDescent="0.25">
      <c r="A1193" s="6">
        <v>44798</v>
      </c>
      <c r="B1193" s="1">
        <v>2203370</v>
      </c>
      <c r="C1193" s="5" t="s">
        <v>312</v>
      </c>
      <c r="D1193" s="5" t="str">
        <f>VLOOKUP(C1193,[1]master_data!$A$2:$E$495,2,FALSE)</f>
        <v>T PIPA</v>
      </c>
      <c r="E1193" s="5">
        <v>25</v>
      </c>
      <c r="F1193" s="5">
        <f>VLOOKUP(C1193,[1]master_data!$A$2:$E$495,3,FALSE)</f>
        <v>800</v>
      </c>
      <c r="G1193" s="5">
        <f>VLOOKUP(C1193,[1]master_data!$A$2:$E$495,4,FALSE)</f>
        <v>2000</v>
      </c>
      <c r="H1193" s="5">
        <f t="shared" si="60"/>
        <v>20000</v>
      </c>
      <c r="I1193" s="5">
        <f t="shared" si="61"/>
        <v>50000</v>
      </c>
      <c r="J1193" s="5">
        <f t="shared" si="62"/>
        <v>30000</v>
      </c>
      <c r="K1193" s="5" t="str">
        <f>VLOOKUP(C1193,[1]master_data!$A$2:$E$495,5,FALSE)</f>
        <v>Aksesoris</v>
      </c>
      <c r="L1193" s="5" t="s">
        <v>471</v>
      </c>
    </row>
    <row r="1194" spans="1:12" ht="12" customHeight="1" x14ac:dyDescent="0.25">
      <c r="A1194" s="6">
        <v>44798</v>
      </c>
      <c r="B1194" s="1">
        <v>2203369</v>
      </c>
      <c r="C1194" s="5" t="s">
        <v>404</v>
      </c>
      <c r="D1194" s="5" t="str">
        <f>VLOOKUP(C1194,[1]master_data!$A$2:$E$495,2,FALSE)</f>
        <v>CHANNA BLUE PULCHRA B</v>
      </c>
      <c r="E1194" s="5">
        <v>2</v>
      </c>
      <c r="F1194" s="5">
        <f>VLOOKUP(C1194,[1]master_data!$A$2:$E$495,3,FALSE)</f>
        <v>125000</v>
      </c>
      <c r="G1194" s="5">
        <f>VLOOKUP(C1194,[1]master_data!$A$2:$E$495,4,FALSE)</f>
        <v>200000</v>
      </c>
      <c r="H1194" s="5">
        <f t="shared" si="60"/>
        <v>250000</v>
      </c>
      <c r="I1194" s="5">
        <f t="shared" si="61"/>
        <v>400000</v>
      </c>
      <c r="J1194" s="5">
        <f t="shared" si="62"/>
        <v>150000</v>
      </c>
      <c r="K1194" s="5" t="str">
        <f>VLOOKUP(C1194,[1]master_data!$A$2:$E$495,5,FALSE)</f>
        <v>Ikan</v>
      </c>
      <c r="L1194" s="5" t="s">
        <v>471</v>
      </c>
    </row>
    <row r="1195" spans="1:12" ht="12" customHeight="1" x14ac:dyDescent="0.25">
      <c r="A1195" s="6">
        <v>44798</v>
      </c>
      <c r="B1195" s="1">
        <v>2203368</v>
      </c>
      <c r="C1195" s="5" t="s">
        <v>393</v>
      </c>
      <c r="D1195" s="5" t="str">
        <f>VLOOKUP(C1195,[1]master_data!$A$2:$E$495,2,FALSE)</f>
        <v>CHANNA ANDRAO B</v>
      </c>
      <c r="E1195" s="5">
        <v>1</v>
      </c>
      <c r="F1195" s="5">
        <f>VLOOKUP(C1195,[1]master_data!$A$2:$E$495,3,FALSE)</f>
        <v>100000</v>
      </c>
      <c r="G1195" s="5">
        <f>VLOOKUP(C1195,[1]master_data!$A$2:$E$495,4,FALSE)</f>
        <v>200000</v>
      </c>
      <c r="H1195" s="5">
        <f t="shared" si="60"/>
        <v>100000</v>
      </c>
      <c r="I1195" s="5">
        <f t="shared" si="61"/>
        <v>200000</v>
      </c>
      <c r="J1195" s="5">
        <f t="shared" si="62"/>
        <v>100000</v>
      </c>
      <c r="K1195" s="5" t="str">
        <f>VLOOKUP(C1195,[1]master_data!$A$2:$E$495,5,FALSE)</f>
        <v>Ikan</v>
      </c>
      <c r="L1195" s="5" t="s">
        <v>471</v>
      </c>
    </row>
    <row r="1196" spans="1:12" ht="12" customHeight="1" x14ac:dyDescent="0.25">
      <c r="A1196" s="6">
        <v>44797</v>
      </c>
      <c r="B1196" s="1">
        <v>2203367</v>
      </c>
      <c r="C1196" s="5" t="s">
        <v>226</v>
      </c>
      <c r="D1196" s="5" t="str">
        <f>VLOOKUP(C1196,[1]master_data!$A$2:$E$495,2,FALSE)</f>
        <v>SAN KOI 5MM</v>
      </c>
      <c r="E1196" s="5">
        <v>1</v>
      </c>
      <c r="F1196" s="5">
        <f>VLOOKUP(C1196,[1]master_data!$A$2:$E$495,3,FALSE)</f>
        <v>61750</v>
      </c>
      <c r="G1196" s="5">
        <f>VLOOKUP(C1196,[1]master_data!$A$2:$E$495,4,FALSE)</f>
        <v>75000</v>
      </c>
      <c r="H1196" s="5">
        <f t="shared" si="60"/>
        <v>61750</v>
      </c>
      <c r="I1196" s="5">
        <f t="shared" si="61"/>
        <v>75000</v>
      </c>
      <c r="J1196" s="5">
        <f t="shared" si="62"/>
        <v>13250</v>
      </c>
      <c r="K1196" s="5" t="str">
        <f>VLOOKUP(C1196,[1]master_data!$A$2:$E$495,5,FALSE)</f>
        <v>Aksesoris</v>
      </c>
      <c r="L1196" s="5" t="s">
        <v>471</v>
      </c>
    </row>
    <row r="1197" spans="1:12" ht="12" customHeight="1" x14ac:dyDescent="0.25">
      <c r="A1197" s="6">
        <v>44797</v>
      </c>
      <c r="B1197" s="1">
        <v>2203366</v>
      </c>
      <c r="C1197" s="5" t="s">
        <v>410</v>
      </c>
      <c r="D1197" s="5" t="str">
        <f>VLOOKUP(C1197,[1]master_data!$A$2:$E$495,2,FALSE)</f>
        <v>GUPY</v>
      </c>
      <c r="E1197" s="5">
        <v>1</v>
      </c>
      <c r="F1197" s="5">
        <f>VLOOKUP(C1197,[1]master_data!$A$2:$E$495,3,FALSE)</f>
        <v>1200</v>
      </c>
      <c r="G1197" s="5">
        <f>VLOOKUP(C1197,[1]master_data!$A$2:$E$495,4,FALSE)</f>
        <v>2500</v>
      </c>
      <c r="H1197" s="5">
        <f t="shared" si="60"/>
        <v>1200</v>
      </c>
      <c r="I1197" s="5">
        <f t="shared" si="61"/>
        <v>2500</v>
      </c>
      <c r="J1197" s="5">
        <f t="shared" si="62"/>
        <v>1300</v>
      </c>
      <c r="K1197" s="5" t="str">
        <f>VLOOKUP(C1197,[1]master_data!$A$2:$E$495,5,FALSE)</f>
        <v>Ikan</v>
      </c>
      <c r="L1197" s="5" t="s">
        <v>471</v>
      </c>
    </row>
    <row r="1198" spans="1:12" ht="12" customHeight="1" x14ac:dyDescent="0.25">
      <c r="A1198" s="6">
        <v>44797</v>
      </c>
      <c r="B1198" s="1">
        <v>2203365</v>
      </c>
      <c r="C1198" s="5" t="s">
        <v>48</v>
      </c>
      <c r="D1198" s="5" t="str">
        <f>VLOOKUP(C1198,[1]master_data!$A$2:$E$495,2,FALSE)</f>
        <v>MESIN NIKITA WAVE MAKER M7</v>
      </c>
      <c r="E1198" s="5">
        <v>1</v>
      </c>
      <c r="F1198" s="5">
        <f>VLOOKUP(C1198,[1]master_data!$A$2:$E$495,3,FALSE)</f>
        <v>101500</v>
      </c>
      <c r="G1198" s="5">
        <f>VLOOKUP(C1198,[1]master_data!$A$2:$E$495,4,FALSE)</f>
        <v>135000</v>
      </c>
      <c r="H1198" s="5">
        <f t="shared" si="60"/>
        <v>101500</v>
      </c>
      <c r="I1198" s="5">
        <f t="shared" si="61"/>
        <v>135000</v>
      </c>
      <c r="J1198" s="5">
        <f t="shared" si="62"/>
        <v>33500</v>
      </c>
      <c r="K1198" s="5" t="str">
        <f>VLOOKUP(C1198,[1]master_data!$A$2:$E$495,5,FALSE)</f>
        <v>Aksesoris</v>
      </c>
      <c r="L1198" s="5" t="s">
        <v>471</v>
      </c>
    </row>
    <row r="1199" spans="1:12" ht="12" customHeight="1" x14ac:dyDescent="0.25">
      <c r="A1199" s="6">
        <v>44797</v>
      </c>
      <c r="B1199" s="1">
        <v>2203364</v>
      </c>
      <c r="C1199" s="5" t="s">
        <v>278</v>
      </c>
      <c r="D1199" s="5" t="str">
        <f>VLOOKUP(C1199,[1]master_data!$A$2:$E$495,2,FALSE)</f>
        <v>HEATER STENLEES 100 W</v>
      </c>
      <c r="E1199" s="5">
        <v>10</v>
      </c>
      <c r="F1199" s="5">
        <f>VLOOKUP(C1199,[1]master_data!$A$2:$E$495,3,FALSE)</f>
        <v>56000</v>
      </c>
      <c r="G1199" s="5">
        <f>VLOOKUP(C1199,[1]master_data!$A$2:$E$495,4,FALSE)</f>
        <v>85000</v>
      </c>
      <c r="H1199" s="5">
        <f t="shared" si="60"/>
        <v>560000</v>
      </c>
      <c r="I1199" s="5">
        <f t="shared" si="61"/>
        <v>850000</v>
      </c>
      <c r="J1199" s="5">
        <f t="shared" si="62"/>
        <v>290000</v>
      </c>
      <c r="K1199" s="5" t="str">
        <f>VLOOKUP(C1199,[1]master_data!$A$2:$E$495,5,FALSE)</f>
        <v>Aksesoris</v>
      </c>
      <c r="L1199" s="5" t="s">
        <v>471</v>
      </c>
    </row>
    <row r="1200" spans="1:12" ht="12" customHeight="1" x14ac:dyDescent="0.25">
      <c r="A1200" s="6">
        <v>44797</v>
      </c>
      <c r="B1200" s="1">
        <v>2203363</v>
      </c>
      <c r="C1200" s="5" t="s">
        <v>177</v>
      </c>
      <c r="D1200" s="5" t="str">
        <f>VLOOKUP(C1200,[1]master_data!$A$2:$E$495,2,FALSE)</f>
        <v>LED ARMADA 3 BRS AP 400</v>
      </c>
      <c r="E1200" s="5">
        <v>1</v>
      </c>
      <c r="F1200" s="5">
        <f>VLOOKUP(C1200,[1]master_data!$A$2:$E$495,3,FALSE)</f>
        <v>45000</v>
      </c>
      <c r="G1200" s="5">
        <f>VLOOKUP(C1200,[1]master_data!$A$2:$E$495,4,FALSE)</f>
        <v>70000</v>
      </c>
      <c r="H1200" s="5">
        <f t="shared" si="60"/>
        <v>45000</v>
      </c>
      <c r="I1200" s="5">
        <f t="shared" si="61"/>
        <v>70000</v>
      </c>
      <c r="J1200" s="5">
        <f t="shared" si="62"/>
        <v>25000</v>
      </c>
      <c r="K1200" s="5" t="str">
        <f>VLOOKUP(C1200,[1]master_data!$A$2:$E$495,5,FALSE)</f>
        <v>Aksesoris</v>
      </c>
      <c r="L1200" s="5" t="s">
        <v>471</v>
      </c>
    </row>
    <row r="1201" spans="1:12" ht="12" customHeight="1" x14ac:dyDescent="0.25">
      <c r="A1201" s="6">
        <v>44797</v>
      </c>
      <c r="B1201" s="1">
        <v>2203362</v>
      </c>
      <c r="C1201" s="5" t="s">
        <v>282</v>
      </c>
      <c r="D1201" s="5" t="str">
        <f>VLOOKUP(C1201,[1]master_data!$A$2:$E$495,2,FALSE)</f>
        <v>HIASAN KELAPA</v>
      </c>
      <c r="E1201" s="5">
        <v>1</v>
      </c>
      <c r="F1201" s="5">
        <f>VLOOKUP(C1201,[1]master_data!$A$2:$E$495,3,FALSE)</f>
        <v>8000</v>
      </c>
      <c r="G1201" s="5">
        <f>VLOOKUP(C1201,[1]master_data!$A$2:$E$495,4,FALSE)</f>
        <v>15000</v>
      </c>
      <c r="H1201" s="5">
        <f t="shared" si="60"/>
        <v>8000</v>
      </c>
      <c r="I1201" s="5">
        <f t="shared" si="61"/>
        <v>15000</v>
      </c>
      <c r="J1201" s="5">
        <f t="shared" si="62"/>
        <v>7000</v>
      </c>
      <c r="K1201" s="5" t="str">
        <f>VLOOKUP(C1201,[1]master_data!$A$2:$E$495,5,FALSE)</f>
        <v>Aksesoris</v>
      </c>
      <c r="L1201" s="5" t="s">
        <v>471</v>
      </c>
    </row>
    <row r="1202" spans="1:12" ht="12" customHeight="1" x14ac:dyDescent="0.25">
      <c r="A1202" s="6">
        <v>44797</v>
      </c>
      <c r="B1202" s="1">
        <v>2203361</v>
      </c>
      <c r="C1202" s="5" t="s">
        <v>42</v>
      </c>
      <c r="D1202" s="5" t="str">
        <f>VLOOKUP(C1202,[1]master_data!$A$2:$E$495,2,FALSE)</f>
        <v>MESIN YAMANO MP 44</v>
      </c>
      <c r="E1202" s="5">
        <v>10</v>
      </c>
      <c r="F1202" s="5">
        <f>VLOOKUP(C1202,[1]master_data!$A$2:$E$495,3,FALSE)</f>
        <v>40000</v>
      </c>
      <c r="G1202" s="5">
        <f>VLOOKUP(C1202,[1]master_data!$A$2:$E$495,4,FALSE)</f>
        <v>60000</v>
      </c>
      <c r="H1202" s="5">
        <f t="shared" si="60"/>
        <v>400000</v>
      </c>
      <c r="I1202" s="5">
        <f t="shared" si="61"/>
        <v>600000</v>
      </c>
      <c r="J1202" s="5">
        <f t="shared" si="62"/>
        <v>200000</v>
      </c>
      <c r="K1202" s="5" t="str">
        <f>VLOOKUP(C1202,[1]master_data!$A$2:$E$495,5,FALSE)</f>
        <v>Aksesoris</v>
      </c>
      <c r="L1202" s="5" t="s">
        <v>471</v>
      </c>
    </row>
    <row r="1203" spans="1:12" ht="12" customHeight="1" x14ac:dyDescent="0.25">
      <c r="A1203" s="6">
        <v>44796</v>
      </c>
      <c r="B1203" s="1">
        <v>2203360</v>
      </c>
      <c r="C1203" s="5" t="s">
        <v>456</v>
      </c>
      <c r="D1203" s="5" t="str">
        <f>VLOOKUP(C1203,[1]master_data!$A$2:$E$495,2,FALSE)</f>
        <v>TOMAN</v>
      </c>
      <c r="E1203" s="5">
        <v>1</v>
      </c>
      <c r="F1203" s="5">
        <f>VLOOKUP(C1203,[1]master_data!$A$2:$E$495,3,FALSE)</f>
        <v>10000</v>
      </c>
      <c r="G1203" s="5">
        <f>VLOOKUP(C1203,[1]master_data!$A$2:$E$495,4,FALSE)</f>
        <v>25000</v>
      </c>
      <c r="H1203" s="5">
        <f t="shared" si="60"/>
        <v>10000</v>
      </c>
      <c r="I1203" s="5">
        <f t="shared" si="61"/>
        <v>25000</v>
      </c>
      <c r="J1203" s="5">
        <f t="shared" si="62"/>
        <v>15000</v>
      </c>
      <c r="K1203" s="5" t="str">
        <f>VLOOKUP(C1203,[1]master_data!$A$2:$E$495,5,FALSE)</f>
        <v>Ikan</v>
      </c>
      <c r="L1203" s="5" t="s">
        <v>471</v>
      </c>
    </row>
    <row r="1204" spans="1:12" ht="12" customHeight="1" x14ac:dyDescent="0.25">
      <c r="A1204" s="6">
        <v>44796</v>
      </c>
      <c r="B1204" s="1">
        <v>2203359</v>
      </c>
      <c r="C1204" s="5" t="s">
        <v>79</v>
      </c>
      <c r="D1204" s="5" t="str">
        <f>VLOOKUP(C1204,[1]master_data!$A$2:$E$495,2,FALSE)</f>
        <v>MESIN KIYOSAKI 107A</v>
      </c>
      <c r="E1204" s="5">
        <v>1</v>
      </c>
      <c r="F1204" s="5">
        <f>VLOOKUP(C1204,[1]master_data!$A$2:$E$495,3,FALSE)</f>
        <v>250000</v>
      </c>
      <c r="G1204" s="5">
        <f>VLOOKUP(C1204,[1]master_data!$A$2:$E$495,4,FALSE)</f>
        <v>300000</v>
      </c>
      <c r="H1204" s="5">
        <f t="shared" si="60"/>
        <v>250000</v>
      </c>
      <c r="I1204" s="5">
        <f t="shared" si="61"/>
        <v>300000</v>
      </c>
      <c r="J1204" s="5">
        <f t="shared" si="62"/>
        <v>50000</v>
      </c>
      <c r="K1204" s="5" t="str">
        <f>VLOOKUP(C1204,[1]master_data!$A$2:$E$495,5,FALSE)</f>
        <v>Aksesoris</v>
      </c>
      <c r="L1204" s="5" t="s">
        <v>471</v>
      </c>
    </row>
    <row r="1205" spans="1:12" ht="12" customHeight="1" x14ac:dyDescent="0.25">
      <c r="A1205" s="6">
        <v>44796</v>
      </c>
      <c r="B1205" s="1">
        <v>2203358</v>
      </c>
      <c r="C1205" s="5" t="s">
        <v>171</v>
      </c>
      <c r="D1205" s="5" t="str">
        <f>VLOOKUP(C1205,[1]master_data!$A$2:$E$495,2,FALSE)</f>
        <v>LED KIYOSAKI 3 MODE 100CM</v>
      </c>
      <c r="E1205" s="5">
        <v>1</v>
      </c>
      <c r="F1205" s="5">
        <f>VLOOKUP(C1205,[1]master_data!$A$2:$E$495,3,FALSE)</f>
        <v>82000</v>
      </c>
      <c r="G1205" s="5">
        <f>VLOOKUP(C1205,[1]master_data!$A$2:$E$495,4,FALSE)</f>
        <v>120000</v>
      </c>
      <c r="H1205" s="5">
        <f t="shared" si="60"/>
        <v>82000</v>
      </c>
      <c r="I1205" s="5">
        <f t="shared" si="61"/>
        <v>120000</v>
      </c>
      <c r="J1205" s="5">
        <f t="shared" si="62"/>
        <v>38000</v>
      </c>
      <c r="K1205" s="5" t="str">
        <f>VLOOKUP(C1205,[1]master_data!$A$2:$E$495,5,FALSE)</f>
        <v>Aksesoris</v>
      </c>
      <c r="L1205" s="5" t="s">
        <v>471</v>
      </c>
    </row>
    <row r="1206" spans="1:12" ht="12" customHeight="1" x14ac:dyDescent="0.25">
      <c r="A1206" s="6">
        <v>44796</v>
      </c>
      <c r="B1206" s="1">
        <v>2203357</v>
      </c>
      <c r="C1206" s="5" t="s">
        <v>94</v>
      </c>
      <c r="D1206" s="5" t="str">
        <f>VLOOKUP(C1206,[1]master_data!$A$2:$E$495,2,FALSE)</f>
        <v>MESIN AMARA 105</v>
      </c>
      <c r="E1206" s="5">
        <v>2</v>
      </c>
      <c r="F1206" s="5">
        <f>VLOOKUP(C1206,[1]master_data!$A$2:$E$495,3,FALSE)</f>
        <v>155000</v>
      </c>
      <c r="G1206" s="5">
        <f>VLOOKUP(C1206,[1]master_data!$A$2:$E$495,4,FALSE)</f>
        <v>200000</v>
      </c>
      <c r="H1206" s="5">
        <f t="shared" si="60"/>
        <v>310000</v>
      </c>
      <c r="I1206" s="5">
        <f t="shared" si="61"/>
        <v>400000</v>
      </c>
      <c r="J1206" s="5">
        <f t="shared" si="62"/>
        <v>90000</v>
      </c>
      <c r="K1206" s="5" t="str">
        <f>VLOOKUP(C1206,[1]master_data!$A$2:$E$495,5,FALSE)</f>
        <v>Aksesoris</v>
      </c>
      <c r="L1206" s="5" t="s">
        <v>471</v>
      </c>
    </row>
    <row r="1207" spans="1:12" ht="12" customHeight="1" x14ac:dyDescent="0.25">
      <c r="A1207" s="6">
        <v>44796</v>
      </c>
      <c r="B1207" s="1">
        <v>2203356</v>
      </c>
      <c r="C1207" s="5" t="s">
        <v>428</v>
      </c>
      <c r="D1207" s="5" t="str">
        <f>VLOOKUP(C1207,[1]master_data!$A$2:$E$495,2,FALSE)</f>
        <v>LOUHAN</v>
      </c>
      <c r="E1207" s="5">
        <v>1</v>
      </c>
      <c r="F1207" s="5">
        <f>VLOOKUP(C1207,[1]master_data!$A$2:$E$495,3,FALSE)</f>
        <v>85000</v>
      </c>
      <c r="G1207" s="5">
        <f>VLOOKUP(C1207,[1]master_data!$A$2:$E$495,4,FALSE)</f>
        <v>200000</v>
      </c>
      <c r="H1207" s="5">
        <f t="shared" si="60"/>
        <v>85000</v>
      </c>
      <c r="I1207" s="5">
        <f t="shared" si="61"/>
        <v>200000</v>
      </c>
      <c r="J1207" s="5">
        <f t="shared" si="62"/>
        <v>115000</v>
      </c>
      <c r="K1207" s="5" t="str">
        <f>VLOOKUP(C1207,[1]master_data!$A$2:$E$495,5,FALSE)</f>
        <v>Ikan</v>
      </c>
      <c r="L1207" s="5" t="s">
        <v>471</v>
      </c>
    </row>
    <row r="1208" spans="1:12" ht="12" customHeight="1" x14ac:dyDescent="0.25">
      <c r="A1208" s="6">
        <v>44796</v>
      </c>
      <c r="B1208" s="1">
        <v>2203355</v>
      </c>
      <c r="C1208" s="5" t="s">
        <v>456</v>
      </c>
      <c r="D1208" s="5" t="str">
        <f>VLOOKUP(C1208,[1]master_data!$A$2:$E$495,2,FALSE)</f>
        <v>TOMAN</v>
      </c>
      <c r="E1208" s="5">
        <v>1</v>
      </c>
      <c r="F1208" s="5">
        <f>VLOOKUP(C1208,[1]master_data!$A$2:$E$495,3,FALSE)</f>
        <v>10000</v>
      </c>
      <c r="G1208" s="5">
        <f>VLOOKUP(C1208,[1]master_data!$A$2:$E$495,4,FALSE)</f>
        <v>25000</v>
      </c>
      <c r="H1208" s="5">
        <f t="shared" si="60"/>
        <v>10000</v>
      </c>
      <c r="I1208" s="5">
        <f t="shared" si="61"/>
        <v>25000</v>
      </c>
      <c r="J1208" s="5">
        <f t="shared" si="62"/>
        <v>15000</v>
      </c>
      <c r="K1208" s="5" t="str">
        <f>VLOOKUP(C1208,[1]master_data!$A$2:$E$495,5,FALSE)</f>
        <v>Ikan</v>
      </c>
      <c r="L1208" s="5" t="s">
        <v>471</v>
      </c>
    </row>
    <row r="1209" spans="1:12" ht="12" customHeight="1" x14ac:dyDescent="0.25">
      <c r="A1209" s="6">
        <v>44796</v>
      </c>
      <c r="B1209" s="1">
        <v>2203354</v>
      </c>
      <c r="C1209" s="5" t="s">
        <v>402</v>
      </c>
      <c r="D1209" s="5" t="str">
        <f>VLOOKUP(C1209,[1]master_data!$A$2:$E$495,2,FALSE)</f>
        <v>BLACK GHOST</v>
      </c>
      <c r="E1209" s="5">
        <v>11</v>
      </c>
      <c r="F1209" s="5">
        <f>VLOOKUP(C1209,[1]master_data!$A$2:$E$495,3,FALSE)</f>
        <v>4000</v>
      </c>
      <c r="G1209" s="5">
        <f>VLOOKUP(C1209,[1]master_data!$A$2:$E$495,4,FALSE)</f>
        <v>10000</v>
      </c>
      <c r="H1209" s="5">
        <f t="shared" si="60"/>
        <v>44000</v>
      </c>
      <c r="I1209" s="5">
        <f t="shared" si="61"/>
        <v>110000</v>
      </c>
      <c r="J1209" s="5">
        <f t="shared" si="62"/>
        <v>66000</v>
      </c>
      <c r="K1209" s="5" t="str">
        <f>VLOOKUP(C1209,[1]master_data!$A$2:$E$495,5,FALSE)</f>
        <v>Ikan</v>
      </c>
      <c r="L1209" s="5" t="s">
        <v>471</v>
      </c>
    </row>
    <row r="1210" spans="1:12" ht="12" customHeight="1" x14ac:dyDescent="0.25">
      <c r="A1210" s="6">
        <v>44796</v>
      </c>
      <c r="B1210" s="1">
        <v>2203353</v>
      </c>
      <c r="C1210" s="5" t="s">
        <v>440</v>
      </c>
      <c r="D1210" s="5" t="str">
        <f>VLOOKUP(C1210,[1]master_data!$A$2:$E$495,2,FALSE)</f>
        <v>OSCAR</v>
      </c>
      <c r="E1210" s="5">
        <v>1</v>
      </c>
      <c r="F1210" s="5">
        <f>VLOOKUP(C1210,[1]master_data!$A$2:$E$495,3,FALSE)</f>
        <v>25000</v>
      </c>
      <c r="G1210" s="5">
        <f>VLOOKUP(C1210,[1]master_data!$A$2:$E$495,4,FALSE)</f>
        <v>50000</v>
      </c>
      <c r="H1210" s="5">
        <f t="shared" si="60"/>
        <v>25000</v>
      </c>
      <c r="I1210" s="5">
        <f t="shared" si="61"/>
        <v>50000</v>
      </c>
      <c r="J1210" s="5">
        <f t="shared" si="62"/>
        <v>25000</v>
      </c>
      <c r="K1210" s="5" t="str">
        <f>VLOOKUP(C1210,[1]master_data!$A$2:$E$495,5,FALSE)</f>
        <v>Ikan</v>
      </c>
      <c r="L1210" s="5" t="s">
        <v>471</v>
      </c>
    </row>
    <row r="1211" spans="1:12" ht="12" customHeight="1" x14ac:dyDescent="0.25">
      <c r="A1211" s="6">
        <v>44795</v>
      </c>
      <c r="B1211" s="1">
        <v>2203352</v>
      </c>
      <c r="C1211" s="5" t="s">
        <v>397</v>
      </c>
      <c r="D1211" s="5" t="str">
        <f>VLOOKUP(C1211,[1]master_data!$A$2:$E$495,2,FALSE)</f>
        <v>ALIGATOR</v>
      </c>
      <c r="E1211" s="5">
        <v>5</v>
      </c>
      <c r="F1211" s="5">
        <f>VLOOKUP(C1211,[1]master_data!$A$2:$E$495,3,FALSE)</f>
        <v>17000</v>
      </c>
      <c r="G1211" s="5">
        <f>VLOOKUP(C1211,[1]master_data!$A$2:$E$495,4,FALSE)</f>
        <v>35000</v>
      </c>
      <c r="H1211" s="5">
        <f t="shared" si="60"/>
        <v>85000</v>
      </c>
      <c r="I1211" s="5">
        <f t="shared" si="61"/>
        <v>175000</v>
      </c>
      <c r="J1211" s="5">
        <f t="shared" si="62"/>
        <v>90000</v>
      </c>
      <c r="K1211" s="5" t="str">
        <f>VLOOKUP(C1211,[1]master_data!$A$2:$E$495,5,FALSE)</f>
        <v>Ikan</v>
      </c>
      <c r="L1211" s="5" t="s">
        <v>471</v>
      </c>
    </row>
    <row r="1212" spans="1:12" ht="12" customHeight="1" x14ac:dyDescent="0.25">
      <c r="A1212" s="6">
        <v>44795</v>
      </c>
      <c r="B1212" s="1">
        <v>2203351</v>
      </c>
      <c r="C1212" s="5" t="s">
        <v>19</v>
      </c>
      <c r="D1212" s="5" t="str">
        <f>VLOOKUP(C1212,[1]master_data!$A$2:$E$495,2,FALSE)</f>
        <v>MESIN ROSTON 1000 L</v>
      </c>
      <c r="E1212" s="5">
        <v>1</v>
      </c>
      <c r="F1212" s="5">
        <f>VLOOKUP(C1212,[1]master_data!$A$2:$E$495,3,FALSE)</f>
        <v>30000</v>
      </c>
      <c r="G1212" s="5">
        <f>VLOOKUP(C1212,[1]master_data!$A$2:$E$495,4,FALSE)</f>
        <v>45000</v>
      </c>
      <c r="H1212" s="5">
        <f t="shared" si="60"/>
        <v>30000</v>
      </c>
      <c r="I1212" s="5">
        <f t="shared" si="61"/>
        <v>45000</v>
      </c>
      <c r="J1212" s="5">
        <f t="shared" si="62"/>
        <v>15000</v>
      </c>
      <c r="K1212" s="5" t="str">
        <f>VLOOKUP(C1212,[1]master_data!$A$2:$E$495,5,FALSE)</f>
        <v>Aksesoris</v>
      </c>
      <c r="L1212" s="5" t="s">
        <v>471</v>
      </c>
    </row>
    <row r="1213" spans="1:12" ht="12" customHeight="1" x14ac:dyDescent="0.25">
      <c r="A1213" s="6">
        <v>44795</v>
      </c>
      <c r="B1213" s="1">
        <v>2203350</v>
      </c>
      <c r="C1213" s="5" t="s">
        <v>76</v>
      </c>
      <c r="D1213" s="5" t="str">
        <f>VLOOKUP(C1213,[1]master_data!$A$2:$E$495,2,FALSE)</f>
        <v>MESIN KIYOSAKI 1800</v>
      </c>
      <c r="E1213" s="5">
        <v>1</v>
      </c>
      <c r="F1213" s="5">
        <f>VLOOKUP(C1213,[1]master_data!$A$2:$E$495,3,FALSE)</f>
        <v>45000</v>
      </c>
      <c r="G1213" s="5">
        <f>VLOOKUP(C1213,[1]master_data!$A$2:$E$495,4,FALSE)</f>
        <v>100000</v>
      </c>
      <c r="H1213" s="5">
        <f t="shared" si="60"/>
        <v>45000</v>
      </c>
      <c r="I1213" s="5">
        <f t="shared" si="61"/>
        <v>100000</v>
      </c>
      <c r="J1213" s="5">
        <f t="shared" si="62"/>
        <v>55000</v>
      </c>
      <c r="K1213" s="5" t="str">
        <f>VLOOKUP(C1213,[1]master_data!$A$2:$E$495,5,FALSE)</f>
        <v>Aksesoris</v>
      </c>
      <c r="L1213" s="5" t="s">
        <v>471</v>
      </c>
    </row>
    <row r="1214" spans="1:12" ht="12" customHeight="1" x14ac:dyDescent="0.25">
      <c r="A1214" s="6">
        <v>44795</v>
      </c>
      <c r="B1214" s="1">
        <v>2203349</v>
      </c>
      <c r="C1214" s="5" t="s">
        <v>252</v>
      </c>
      <c r="D1214" s="5" t="str">
        <f>VLOOKUP(C1214,[1]master_data!$A$2:$E$495,2,FALSE)</f>
        <v>AIRSTONE 80</v>
      </c>
      <c r="E1214" s="5">
        <v>10</v>
      </c>
      <c r="F1214" s="5">
        <f>VLOOKUP(C1214,[1]master_data!$A$2:$E$495,3,FALSE)</f>
        <v>14000</v>
      </c>
      <c r="G1214" s="5">
        <f>VLOOKUP(C1214,[1]master_data!$A$2:$E$495,4,FALSE)</f>
        <v>22000</v>
      </c>
      <c r="H1214" s="5">
        <f t="shared" si="60"/>
        <v>140000</v>
      </c>
      <c r="I1214" s="5">
        <f t="shared" si="61"/>
        <v>220000</v>
      </c>
      <c r="J1214" s="5">
        <f t="shared" si="62"/>
        <v>80000</v>
      </c>
      <c r="K1214" s="5" t="str">
        <f>VLOOKUP(C1214,[1]master_data!$A$2:$E$495,5,FALSE)</f>
        <v>Aksesoris</v>
      </c>
      <c r="L1214" s="5" t="s">
        <v>471</v>
      </c>
    </row>
    <row r="1215" spans="1:12" ht="12" customHeight="1" x14ac:dyDescent="0.25">
      <c r="A1215" s="6">
        <v>44795</v>
      </c>
      <c r="B1215" s="1">
        <v>2203348</v>
      </c>
      <c r="C1215" s="5" t="s">
        <v>432</v>
      </c>
      <c r="D1215" s="5" t="str">
        <f>VLOOKUP(C1215,[1]master_data!$A$2:$E$495,2,FALSE)</f>
        <v>MARU K</v>
      </c>
      <c r="E1215" s="5">
        <v>1</v>
      </c>
      <c r="F1215" s="5">
        <f>VLOOKUP(C1215,[1]master_data!$A$2:$E$495,3,FALSE)</f>
        <v>23000</v>
      </c>
      <c r="G1215" s="5">
        <f>VLOOKUP(C1215,[1]master_data!$A$2:$E$495,4,FALSE)</f>
        <v>50000</v>
      </c>
      <c r="H1215" s="5">
        <f t="shared" si="60"/>
        <v>23000</v>
      </c>
      <c r="I1215" s="5">
        <f t="shared" si="61"/>
        <v>50000</v>
      </c>
      <c r="J1215" s="5">
        <f t="shared" si="62"/>
        <v>27000</v>
      </c>
      <c r="K1215" s="5" t="str">
        <f>VLOOKUP(C1215,[1]master_data!$A$2:$E$495,5,FALSE)</f>
        <v>Ikan</v>
      </c>
      <c r="L1215" s="5" t="s">
        <v>471</v>
      </c>
    </row>
    <row r="1216" spans="1:12" ht="12" customHeight="1" x14ac:dyDescent="0.25">
      <c r="A1216" s="6">
        <v>44795</v>
      </c>
      <c r="B1216" s="1">
        <v>2203347</v>
      </c>
      <c r="C1216" s="5" t="s">
        <v>139</v>
      </c>
      <c r="D1216" s="5" t="str">
        <f>VLOOKUP(C1216,[1]master_data!$A$2:$E$495,2,FALSE)</f>
        <v>LED NIKITA 3 MODE 80 CM</v>
      </c>
      <c r="E1216" s="5">
        <v>10</v>
      </c>
      <c r="F1216" s="5">
        <f>VLOOKUP(C1216,[1]master_data!$A$2:$E$495,3,FALSE)</f>
        <v>53000</v>
      </c>
      <c r="G1216" s="5">
        <f>VLOOKUP(C1216,[1]master_data!$A$2:$E$495,4,FALSE)</f>
        <v>80000</v>
      </c>
      <c r="H1216" s="5">
        <f t="shared" si="60"/>
        <v>530000</v>
      </c>
      <c r="I1216" s="5">
        <f t="shared" si="61"/>
        <v>800000</v>
      </c>
      <c r="J1216" s="5">
        <f t="shared" si="62"/>
        <v>270000</v>
      </c>
      <c r="K1216" s="5" t="str">
        <f>VLOOKUP(C1216,[1]master_data!$A$2:$E$495,5,FALSE)</f>
        <v>Aksesoris</v>
      </c>
      <c r="L1216" s="5" t="s">
        <v>471</v>
      </c>
    </row>
    <row r="1217" spans="1:12" ht="12" customHeight="1" x14ac:dyDescent="0.25">
      <c r="A1217" s="6">
        <v>44795</v>
      </c>
      <c r="B1217" s="1">
        <v>2203346</v>
      </c>
      <c r="C1217" s="5" t="s">
        <v>454</v>
      </c>
      <c r="D1217" s="5" t="str">
        <f>VLOOKUP(C1217,[1]master_data!$A$2:$E$495,2,FALSE)</f>
        <v>SYNODONTI B</v>
      </c>
      <c r="E1217" s="5">
        <v>5</v>
      </c>
      <c r="F1217" s="5">
        <f>VLOOKUP(C1217,[1]master_data!$A$2:$E$495,3,FALSE)</f>
        <v>4000</v>
      </c>
      <c r="G1217" s="5">
        <f>VLOOKUP(C1217,[1]master_data!$A$2:$E$495,4,FALSE)</f>
        <v>10000</v>
      </c>
      <c r="H1217" s="5">
        <f t="shared" si="60"/>
        <v>20000</v>
      </c>
      <c r="I1217" s="5">
        <f t="shared" si="61"/>
        <v>50000</v>
      </c>
      <c r="J1217" s="5">
        <f t="shared" si="62"/>
        <v>30000</v>
      </c>
      <c r="K1217" s="5" t="str">
        <f>VLOOKUP(C1217,[1]master_data!$A$2:$E$495,5,FALSE)</f>
        <v>Ikan</v>
      </c>
      <c r="L1217" s="5" t="s">
        <v>471</v>
      </c>
    </row>
    <row r="1218" spans="1:12" ht="12" customHeight="1" x14ac:dyDescent="0.25">
      <c r="A1218" s="6">
        <v>44794</v>
      </c>
      <c r="B1218" s="1">
        <v>2203345</v>
      </c>
      <c r="C1218" s="5" t="s">
        <v>110</v>
      </c>
      <c r="D1218" s="5" t="str">
        <f>VLOOKUP(C1218,[1]master_data!$A$2:$E$495,2,FALSE)</f>
        <v>AIRATOR  YANG LUB 2</v>
      </c>
      <c r="E1218" s="5">
        <v>1</v>
      </c>
      <c r="F1218" s="5">
        <f>VLOOKUP(C1218,[1]master_data!$A$2:$E$495,3,FALSE)</f>
        <v>26500</v>
      </c>
      <c r="G1218" s="5">
        <f>VLOOKUP(C1218,[1]master_data!$A$2:$E$495,4,FALSE)</f>
        <v>50000</v>
      </c>
      <c r="H1218" s="5">
        <f t="shared" si="60"/>
        <v>26500</v>
      </c>
      <c r="I1218" s="5">
        <f t="shared" si="61"/>
        <v>50000</v>
      </c>
      <c r="J1218" s="5">
        <f t="shared" si="62"/>
        <v>23500</v>
      </c>
      <c r="K1218" s="5" t="str">
        <f>VLOOKUP(C1218,[1]master_data!$A$2:$E$495,5,FALSE)</f>
        <v>Aksesoris</v>
      </c>
      <c r="L1218" s="5" t="s">
        <v>471</v>
      </c>
    </row>
    <row r="1219" spans="1:12" ht="12" customHeight="1" x14ac:dyDescent="0.25">
      <c r="A1219" s="6">
        <v>44794</v>
      </c>
      <c r="B1219" s="1">
        <v>2203344</v>
      </c>
      <c r="C1219" s="5" t="s">
        <v>52</v>
      </c>
      <c r="D1219" s="5" t="str">
        <f>VLOOKUP(C1219,[1]master_data!$A$2:$E$495,2,FALSE)</f>
        <v>TOP FILTER LENGKAP B</v>
      </c>
      <c r="E1219" s="5">
        <v>1</v>
      </c>
      <c r="F1219" s="5">
        <f>VLOOKUP(C1219,[1]master_data!$A$2:$E$495,3,FALSE)</f>
        <v>37500</v>
      </c>
      <c r="G1219" s="5">
        <f>VLOOKUP(C1219,[1]master_data!$A$2:$E$495,4,FALSE)</f>
        <v>65000</v>
      </c>
      <c r="H1219" s="5">
        <f t="shared" si="60"/>
        <v>37500</v>
      </c>
      <c r="I1219" s="5">
        <f t="shared" si="61"/>
        <v>65000</v>
      </c>
      <c r="J1219" s="5">
        <f t="shared" si="62"/>
        <v>27500</v>
      </c>
      <c r="K1219" s="5" t="str">
        <f>VLOOKUP(C1219,[1]master_data!$A$2:$E$495,5,FALSE)</f>
        <v>Aksesoris</v>
      </c>
      <c r="L1219" s="5" t="s">
        <v>471</v>
      </c>
    </row>
    <row r="1220" spans="1:12" ht="12" customHeight="1" x14ac:dyDescent="0.25">
      <c r="A1220" s="6">
        <v>44794</v>
      </c>
      <c r="B1220" s="1">
        <v>2203343</v>
      </c>
      <c r="C1220" s="5" t="s">
        <v>47</v>
      </c>
      <c r="D1220" s="5" t="str">
        <f>VLOOKUP(C1220,[1]master_data!$A$2:$E$495,2,FALSE)</f>
        <v>MESIN NIKITA 1200</v>
      </c>
      <c r="E1220" s="5">
        <v>2</v>
      </c>
      <c r="F1220" s="5">
        <f>VLOOKUP(C1220,[1]master_data!$A$2:$E$495,3,FALSE)</f>
        <v>24000</v>
      </c>
      <c r="G1220" s="5">
        <f>VLOOKUP(C1220,[1]master_data!$A$2:$E$495,4,FALSE)</f>
        <v>35000</v>
      </c>
      <c r="H1220" s="5">
        <f t="shared" si="60"/>
        <v>48000</v>
      </c>
      <c r="I1220" s="5">
        <f t="shared" si="61"/>
        <v>70000</v>
      </c>
      <c r="J1220" s="5">
        <f t="shared" si="62"/>
        <v>22000</v>
      </c>
      <c r="K1220" s="5" t="str">
        <f>VLOOKUP(C1220,[1]master_data!$A$2:$E$495,5,FALSE)</f>
        <v>Aksesoris</v>
      </c>
      <c r="L1220" s="5" t="s">
        <v>471</v>
      </c>
    </row>
    <row r="1221" spans="1:12" ht="12" customHeight="1" x14ac:dyDescent="0.25">
      <c r="A1221" s="6">
        <v>44794</v>
      </c>
      <c r="B1221" s="1">
        <v>2203342</v>
      </c>
      <c r="C1221" s="5" t="s">
        <v>274</v>
      </c>
      <c r="D1221" s="5" t="str">
        <f>VLOOKUP(C1221,[1]master_data!$A$2:$E$495,2,FALSE)</f>
        <v>JARING 15</v>
      </c>
      <c r="E1221" s="5">
        <v>1</v>
      </c>
      <c r="F1221" s="5">
        <f>VLOOKUP(C1221,[1]master_data!$A$2:$E$495,3,FALSE)</f>
        <v>3750</v>
      </c>
      <c r="G1221" s="5">
        <f>VLOOKUP(C1221,[1]master_data!$A$2:$E$495,4,FALSE)</f>
        <v>8000</v>
      </c>
      <c r="H1221" s="5">
        <f t="shared" ref="H1221:H1284" si="63">E1221*F1221</f>
        <v>3750</v>
      </c>
      <c r="I1221" s="5">
        <f t="shared" ref="I1221:I1284" si="64">E1221*G1221</f>
        <v>8000</v>
      </c>
      <c r="J1221" s="5">
        <f t="shared" ref="J1221:J1284" si="65">I1221-H1221</f>
        <v>4250</v>
      </c>
      <c r="K1221" s="5" t="str">
        <f>VLOOKUP(C1221,[1]master_data!$A$2:$E$495,5,FALSE)</f>
        <v>Aksesoris</v>
      </c>
      <c r="L1221" s="5" t="s">
        <v>471</v>
      </c>
    </row>
    <row r="1222" spans="1:12" ht="12" customHeight="1" x14ac:dyDescent="0.25">
      <c r="A1222" s="6">
        <v>44794</v>
      </c>
      <c r="B1222" s="1">
        <v>2203341</v>
      </c>
      <c r="C1222" s="5" t="s">
        <v>109</v>
      </c>
      <c r="D1222" s="5" t="str">
        <f>VLOOKUP(C1222,[1]master_data!$A$2:$E$495,2,FALSE)</f>
        <v>AIRATOR KANDILA LUB 2</v>
      </c>
      <c r="E1222" s="5">
        <v>10</v>
      </c>
      <c r="F1222" s="5">
        <f>VLOOKUP(C1222,[1]master_data!$A$2:$E$495,3,FALSE)</f>
        <v>26000</v>
      </c>
      <c r="G1222" s="5">
        <f>VLOOKUP(C1222,[1]master_data!$A$2:$E$495,4,FALSE)</f>
        <v>50000</v>
      </c>
      <c r="H1222" s="5">
        <f t="shared" si="63"/>
        <v>260000</v>
      </c>
      <c r="I1222" s="5">
        <f t="shared" si="64"/>
        <v>500000</v>
      </c>
      <c r="J1222" s="5">
        <f t="shared" si="65"/>
        <v>240000</v>
      </c>
      <c r="K1222" s="5" t="str">
        <f>VLOOKUP(C1222,[1]master_data!$A$2:$E$495,5,FALSE)</f>
        <v>Aksesoris</v>
      </c>
      <c r="L1222" s="5" t="s">
        <v>471</v>
      </c>
    </row>
    <row r="1223" spans="1:12" ht="12" customHeight="1" x14ac:dyDescent="0.25">
      <c r="A1223" s="6">
        <v>44794</v>
      </c>
      <c r="B1223" s="1">
        <v>2203340</v>
      </c>
      <c r="C1223" s="5" t="s">
        <v>39</v>
      </c>
      <c r="D1223" s="5" t="str">
        <f>VLOOKUP(C1223,[1]master_data!$A$2:$E$495,2,FALSE)</f>
        <v>MESIN YAMANO 107</v>
      </c>
      <c r="E1223" s="5">
        <v>1</v>
      </c>
      <c r="F1223" s="5">
        <f>VLOOKUP(C1223,[1]master_data!$A$2:$E$495,3,FALSE)</f>
        <v>280000</v>
      </c>
      <c r="G1223" s="5">
        <f>VLOOKUP(C1223,[1]master_data!$A$2:$E$495,4,FALSE)</f>
        <v>321000</v>
      </c>
      <c r="H1223" s="5">
        <f t="shared" si="63"/>
        <v>280000</v>
      </c>
      <c r="I1223" s="5">
        <f t="shared" si="64"/>
        <v>321000</v>
      </c>
      <c r="J1223" s="5">
        <f t="shared" si="65"/>
        <v>41000</v>
      </c>
      <c r="K1223" s="5" t="str">
        <f>VLOOKUP(C1223,[1]master_data!$A$2:$E$495,5,FALSE)</f>
        <v>Aksesoris</v>
      </c>
      <c r="L1223" s="5" t="s">
        <v>471</v>
      </c>
    </row>
    <row r="1224" spans="1:12" ht="12" customHeight="1" x14ac:dyDescent="0.25">
      <c r="A1224" s="6">
        <v>44794</v>
      </c>
      <c r="B1224" s="1">
        <v>2203339</v>
      </c>
      <c r="C1224" s="5" t="s">
        <v>428</v>
      </c>
      <c r="D1224" s="5" t="str">
        <f>VLOOKUP(C1224,[1]master_data!$A$2:$E$495,2,FALSE)</f>
        <v>LOUHAN</v>
      </c>
      <c r="E1224" s="5">
        <v>1</v>
      </c>
      <c r="F1224" s="5">
        <f>VLOOKUP(C1224,[1]master_data!$A$2:$E$495,3,FALSE)</f>
        <v>85000</v>
      </c>
      <c r="G1224" s="5">
        <f>VLOOKUP(C1224,[1]master_data!$A$2:$E$495,4,FALSE)</f>
        <v>200000</v>
      </c>
      <c r="H1224" s="5">
        <f t="shared" si="63"/>
        <v>85000</v>
      </c>
      <c r="I1224" s="5">
        <f t="shared" si="64"/>
        <v>200000</v>
      </c>
      <c r="J1224" s="5">
        <f t="shared" si="65"/>
        <v>115000</v>
      </c>
      <c r="K1224" s="5" t="str">
        <f>VLOOKUP(C1224,[1]master_data!$A$2:$E$495,5,FALSE)</f>
        <v>Ikan</v>
      </c>
      <c r="L1224" s="5" t="s">
        <v>471</v>
      </c>
    </row>
    <row r="1225" spans="1:12" ht="12" customHeight="1" x14ac:dyDescent="0.25">
      <c r="A1225" s="6">
        <v>44794</v>
      </c>
      <c r="B1225" s="1">
        <v>2203338</v>
      </c>
      <c r="C1225" s="5" t="s">
        <v>434</v>
      </c>
      <c r="D1225" s="5" t="str">
        <f>VLOOKUP(C1225,[1]master_data!$A$2:$E$495,2,FALSE)</f>
        <v>MOLI PAKAN</v>
      </c>
      <c r="E1225" s="5">
        <v>30</v>
      </c>
      <c r="F1225" s="5">
        <f>VLOOKUP(C1225,[1]master_data!$A$2:$E$495,3,FALSE)</f>
        <v>100</v>
      </c>
      <c r="G1225" s="5">
        <f>VLOOKUP(C1225,[1]master_data!$A$2:$E$495,4,FALSE)</f>
        <v>200</v>
      </c>
      <c r="H1225" s="5">
        <f t="shared" si="63"/>
        <v>3000</v>
      </c>
      <c r="I1225" s="5">
        <f t="shared" si="64"/>
        <v>6000</v>
      </c>
      <c r="J1225" s="5">
        <f t="shared" si="65"/>
        <v>3000</v>
      </c>
      <c r="K1225" s="5" t="str">
        <f>VLOOKUP(C1225,[1]master_data!$A$2:$E$495,5,FALSE)</f>
        <v>Ikan</v>
      </c>
      <c r="L1225" s="5" t="s">
        <v>471</v>
      </c>
    </row>
    <row r="1226" spans="1:12" ht="12" customHeight="1" x14ac:dyDescent="0.25">
      <c r="A1226" s="6">
        <v>44794</v>
      </c>
      <c r="B1226" s="1">
        <v>2203337</v>
      </c>
      <c r="C1226" s="5" t="s">
        <v>449</v>
      </c>
      <c r="D1226" s="5" t="str">
        <f>VLOOKUP(C1226,[1]master_data!$A$2:$E$495,2,FALSE)</f>
        <v>CHANNA RED BARITO B</v>
      </c>
      <c r="E1226" s="5">
        <v>1</v>
      </c>
      <c r="F1226" s="5">
        <f>VLOOKUP(C1226,[1]master_data!$A$2:$E$495,3,FALSE)</f>
        <v>120000</v>
      </c>
      <c r="G1226" s="5">
        <f>VLOOKUP(C1226,[1]master_data!$A$2:$E$495,4,FALSE)</f>
        <v>200000</v>
      </c>
      <c r="H1226" s="5">
        <f t="shared" si="63"/>
        <v>120000</v>
      </c>
      <c r="I1226" s="5">
        <f t="shared" si="64"/>
        <v>200000</v>
      </c>
      <c r="J1226" s="5">
        <f t="shared" si="65"/>
        <v>80000</v>
      </c>
      <c r="K1226" s="5" t="str">
        <f>VLOOKUP(C1226,[1]master_data!$A$2:$E$495,5,FALSE)</f>
        <v>Ikan</v>
      </c>
      <c r="L1226" s="5" t="s">
        <v>471</v>
      </c>
    </row>
    <row r="1227" spans="1:12" ht="12" customHeight="1" x14ac:dyDescent="0.25">
      <c r="A1227" s="6">
        <v>44794</v>
      </c>
      <c r="B1227" s="1">
        <v>2203336</v>
      </c>
      <c r="C1227" s="5" t="s">
        <v>189</v>
      </c>
      <c r="D1227" s="5" t="str">
        <f>VLOOKUP(C1227,[1]master_data!$A$2:$E$495,2,FALSE)</f>
        <v>LED KANDILA PRO RED ECO 40 CM</v>
      </c>
      <c r="E1227" s="5">
        <v>1</v>
      </c>
      <c r="F1227" s="5">
        <f>VLOOKUP(C1227,[1]master_data!$A$2:$E$495,3,FALSE)</f>
        <v>45000</v>
      </c>
      <c r="G1227" s="5">
        <f>VLOOKUP(C1227,[1]master_data!$A$2:$E$495,4,FALSE)</f>
        <v>65000</v>
      </c>
      <c r="H1227" s="5">
        <f t="shared" si="63"/>
        <v>45000</v>
      </c>
      <c r="I1227" s="5">
        <f t="shared" si="64"/>
        <v>65000</v>
      </c>
      <c r="J1227" s="5">
        <f t="shared" si="65"/>
        <v>20000</v>
      </c>
      <c r="K1227" s="5" t="str">
        <f>VLOOKUP(C1227,[1]master_data!$A$2:$E$495,5,FALSE)</f>
        <v>Aksesoris</v>
      </c>
      <c r="L1227" s="5" t="s">
        <v>471</v>
      </c>
    </row>
    <row r="1228" spans="1:12" ht="12" customHeight="1" x14ac:dyDescent="0.25">
      <c r="A1228" s="6">
        <v>44793</v>
      </c>
      <c r="B1228" s="1">
        <v>2203335</v>
      </c>
      <c r="C1228" s="5" t="s">
        <v>204</v>
      </c>
      <c r="D1228" s="5" t="str">
        <f>VLOOKUP(C1228,[1]master_data!$A$2:$E$495,2,FALSE)</f>
        <v>MAGOT</v>
      </c>
      <c r="E1228" s="5">
        <v>15</v>
      </c>
      <c r="F1228" s="5">
        <f>VLOOKUP(C1228,[1]master_data!$A$2:$E$495,3,FALSE)</f>
        <v>4500</v>
      </c>
      <c r="G1228" s="5">
        <f>VLOOKUP(C1228,[1]master_data!$A$2:$E$495,4,FALSE)</f>
        <v>10000</v>
      </c>
      <c r="H1228" s="5">
        <f t="shared" si="63"/>
        <v>67500</v>
      </c>
      <c r="I1228" s="5">
        <f t="shared" si="64"/>
        <v>150000</v>
      </c>
      <c r="J1228" s="5">
        <f t="shared" si="65"/>
        <v>82500</v>
      </c>
      <c r="K1228" s="5" t="str">
        <f>VLOOKUP(C1228,[1]master_data!$A$2:$E$495,5,FALSE)</f>
        <v>Aksesoris</v>
      </c>
      <c r="L1228" s="5" t="s">
        <v>471</v>
      </c>
    </row>
    <row r="1229" spans="1:12" ht="12" customHeight="1" x14ac:dyDescent="0.25">
      <c r="A1229" s="6">
        <v>44793</v>
      </c>
      <c r="B1229" s="1">
        <v>2203334</v>
      </c>
      <c r="C1229" s="5" t="s">
        <v>222</v>
      </c>
      <c r="D1229" s="5" t="str">
        <f>VLOOKUP(C1229,[1]master_data!$A$2:$E$495,2,FALSE)</f>
        <v>CP KOI COLOUR</v>
      </c>
      <c r="E1229" s="5">
        <v>2</v>
      </c>
      <c r="F1229" s="5">
        <f>VLOOKUP(C1229,[1]master_data!$A$2:$E$495,3,FALSE)</f>
        <v>38000</v>
      </c>
      <c r="G1229" s="5">
        <f>VLOOKUP(C1229,[1]master_data!$A$2:$E$495,4,FALSE)</f>
        <v>50000</v>
      </c>
      <c r="H1229" s="5">
        <f t="shared" si="63"/>
        <v>76000</v>
      </c>
      <c r="I1229" s="5">
        <f t="shared" si="64"/>
        <v>100000</v>
      </c>
      <c r="J1229" s="5">
        <f t="shared" si="65"/>
        <v>24000</v>
      </c>
      <c r="K1229" s="5" t="str">
        <f>VLOOKUP(C1229,[1]master_data!$A$2:$E$495,5,FALSE)</f>
        <v>Aksesoris</v>
      </c>
      <c r="L1229" s="5" t="s">
        <v>471</v>
      </c>
    </row>
    <row r="1230" spans="1:12" ht="12" customHeight="1" x14ac:dyDescent="0.25">
      <c r="A1230" s="6">
        <v>44793</v>
      </c>
      <c r="B1230" s="1">
        <v>2203333</v>
      </c>
      <c r="C1230" s="5" t="s">
        <v>101</v>
      </c>
      <c r="D1230" s="5" t="str">
        <f>VLOOKUP(C1230,[1]master_data!$A$2:$E$495,2,FALSE)</f>
        <v>AIRATOR JINGYE LUB 1</v>
      </c>
      <c r="E1230" s="5">
        <v>5</v>
      </c>
      <c r="F1230" s="5">
        <f>VLOOKUP(C1230,[1]master_data!$A$2:$E$495,3,FALSE)</f>
        <v>20500</v>
      </c>
      <c r="G1230" s="5">
        <f>VLOOKUP(C1230,[1]master_data!$A$2:$E$495,4,FALSE)</f>
        <v>30000</v>
      </c>
      <c r="H1230" s="5">
        <f t="shared" si="63"/>
        <v>102500</v>
      </c>
      <c r="I1230" s="5">
        <f t="shared" si="64"/>
        <v>150000</v>
      </c>
      <c r="J1230" s="5">
        <f t="shared" si="65"/>
        <v>47500</v>
      </c>
      <c r="K1230" s="5" t="str">
        <f>VLOOKUP(C1230,[1]master_data!$A$2:$E$495,5,FALSE)</f>
        <v>Aksesoris</v>
      </c>
      <c r="L1230" s="5" t="s">
        <v>471</v>
      </c>
    </row>
    <row r="1231" spans="1:12" ht="12" customHeight="1" x14ac:dyDescent="0.25">
      <c r="A1231" s="6">
        <v>44793</v>
      </c>
      <c r="B1231" s="1">
        <v>2203332</v>
      </c>
      <c r="C1231" s="5" t="s">
        <v>246</v>
      </c>
      <c r="D1231" s="5" t="str">
        <f>VLOOKUP(C1231,[1]master_data!$A$2:$E$495,2,FALSE)</f>
        <v>BACTERIAL STATER</v>
      </c>
      <c r="E1231" s="5">
        <v>9</v>
      </c>
      <c r="F1231" s="5">
        <f>VLOOKUP(C1231,[1]master_data!$A$2:$E$495,3,FALSE)</f>
        <v>10000</v>
      </c>
      <c r="G1231" s="5">
        <f>VLOOKUP(C1231,[1]master_data!$A$2:$E$495,4,FALSE)</f>
        <v>15000</v>
      </c>
      <c r="H1231" s="5">
        <f t="shared" si="63"/>
        <v>90000</v>
      </c>
      <c r="I1231" s="5">
        <f t="shared" si="64"/>
        <v>135000</v>
      </c>
      <c r="J1231" s="5">
        <f t="shared" si="65"/>
        <v>45000</v>
      </c>
      <c r="K1231" s="5" t="str">
        <f>VLOOKUP(C1231,[1]master_data!$A$2:$E$495,5,FALSE)</f>
        <v>Aksesoris</v>
      </c>
      <c r="L1231" s="5" t="s">
        <v>471</v>
      </c>
    </row>
    <row r="1232" spans="1:12" ht="12" customHeight="1" x14ac:dyDescent="0.25">
      <c r="A1232" s="6">
        <v>44793</v>
      </c>
      <c r="B1232" s="1">
        <v>2203331</v>
      </c>
      <c r="C1232" s="5" t="s">
        <v>445</v>
      </c>
      <c r="D1232" s="5" t="str">
        <f>VLOOKUP(C1232,[1]master_data!$A$2:$E$495,2,FALSE)</f>
        <v>PESO</v>
      </c>
      <c r="E1232" s="5">
        <v>1</v>
      </c>
      <c r="F1232" s="5">
        <f>VLOOKUP(C1232,[1]master_data!$A$2:$E$495,3,FALSE)</f>
        <v>19000</v>
      </c>
      <c r="G1232" s="5">
        <f>VLOOKUP(C1232,[1]master_data!$A$2:$E$495,4,FALSE)</f>
        <v>40000</v>
      </c>
      <c r="H1232" s="5">
        <f t="shared" si="63"/>
        <v>19000</v>
      </c>
      <c r="I1232" s="5">
        <f t="shared" si="64"/>
        <v>40000</v>
      </c>
      <c r="J1232" s="5">
        <f t="shared" si="65"/>
        <v>21000</v>
      </c>
      <c r="K1232" s="5" t="str">
        <f>VLOOKUP(C1232,[1]master_data!$A$2:$E$495,5,FALSE)</f>
        <v>Ikan</v>
      </c>
      <c r="L1232" s="5" t="s">
        <v>471</v>
      </c>
    </row>
    <row r="1233" spans="1:12" ht="12" customHeight="1" x14ac:dyDescent="0.25">
      <c r="A1233" s="6">
        <v>44793</v>
      </c>
      <c r="B1233" s="1">
        <v>2203330</v>
      </c>
      <c r="C1233" s="5" t="s">
        <v>415</v>
      </c>
      <c r="D1233" s="5" t="str">
        <f>VLOOKUP(C1233,[1]master_data!$A$2:$E$495,2,FALSE)</f>
        <v>KOKI B</v>
      </c>
      <c r="E1233" s="5">
        <v>10</v>
      </c>
      <c r="F1233" s="5">
        <f>VLOOKUP(C1233,[1]master_data!$A$2:$E$495,3,FALSE)</f>
        <v>20000</v>
      </c>
      <c r="G1233" s="5">
        <f>VLOOKUP(C1233,[1]master_data!$A$2:$E$495,4,FALSE)</f>
        <v>50000</v>
      </c>
      <c r="H1233" s="5">
        <f t="shared" si="63"/>
        <v>200000</v>
      </c>
      <c r="I1233" s="5">
        <f t="shared" si="64"/>
        <v>500000</v>
      </c>
      <c r="J1233" s="5">
        <f t="shared" si="65"/>
        <v>300000</v>
      </c>
      <c r="K1233" s="5" t="str">
        <f>VLOOKUP(C1233,[1]master_data!$A$2:$E$495,5,FALSE)</f>
        <v>Ikan</v>
      </c>
      <c r="L1233" s="5" t="s">
        <v>471</v>
      </c>
    </row>
    <row r="1234" spans="1:12" ht="12" customHeight="1" x14ac:dyDescent="0.25">
      <c r="A1234" s="6">
        <v>44793</v>
      </c>
      <c r="B1234" s="1">
        <v>2203329</v>
      </c>
      <c r="C1234" s="5" t="s">
        <v>390</v>
      </c>
      <c r="D1234" s="5" t="str">
        <f>VLOOKUP(C1234,[1]master_data!$A$2:$E$495,2,FALSE)</f>
        <v>CHANNA ASIATICA K</v>
      </c>
      <c r="E1234" s="5">
        <v>1</v>
      </c>
      <c r="F1234" s="5">
        <f>VLOOKUP(C1234,[1]master_data!$A$2:$E$495,3,FALSE)</f>
        <v>10000</v>
      </c>
      <c r="G1234" s="5">
        <f>VLOOKUP(C1234,[1]master_data!$A$2:$E$495,4,FALSE)</f>
        <v>40000</v>
      </c>
      <c r="H1234" s="5">
        <f t="shared" si="63"/>
        <v>10000</v>
      </c>
      <c r="I1234" s="5">
        <f t="shared" si="64"/>
        <v>40000</v>
      </c>
      <c r="J1234" s="5">
        <f t="shared" si="65"/>
        <v>30000</v>
      </c>
      <c r="K1234" s="5" t="str">
        <f>VLOOKUP(C1234,[1]master_data!$A$2:$E$495,5,FALSE)</f>
        <v>Ikan</v>
      </c>
      <c r="L1234" s="5" t="s">
        <v>471</v>
      </c>
    </row>
    <row r="1235" spans="1:12" ht="12" customHeight="1" x14ac:dyDescent="0.25">
      <c r="A1235" s="6">
        <v>44792</v>
      </c>
      <c r="B1235" s="1">
        <v>2203328</v>
      </c>
      <c r="C1235" s="5" t="s">
        <v>436</v>
      </c>
      <c r="D1235" s="5" t="str">
        <f>VLOOKUP(C1235,[1]master_data!$A$2:$E$495,2,FALSE)</f>
        <v>NIASA</v>
      </c>
      <c r="E1235" s="5">
        <v>25</v>
      </c>
      <c r="F1235" s="5">
        <f>VLOOKUP(C1235,[1]master_data!$A$2:$E$495,3,FALSE)</f>
        <v>900</v>
      </c>
      <c r="G1235" s="5">
        <f>VLOOKUP(C1235,[1]master_data!$A$2:$E$495,4,FALSE)</f>
        <v>2000</v>
      </c>
      <c r="H1235" s="5">
        <f t="shared" si="63"/>
        <v>22500</v>
      </c>
      <c r="I1235" s="5">
        <f t="shared" si="64"/>
        <v>50000</v>
      </c>
      <c r="J1235" s="5">
        <f t="shared" si="65"/>
        <v>27500</v>
      </c>
      <c r="K1235" s="5" t="str">
        <f>VLOOKUP(C1235,[1]master_data!$A$2:$E$495,5,FALSE)</f>
        <v>Ikan</v>
      </c>
      <c r="L1235" s="5" t="s">
        <v>471</v>
      </c>
    </row>
    <row r="1236" spans="1:12" ht="12" customHeight="1" x14ac:dyDescent="0.25">
      <c r="A1236" s="6">
        <v>44792</v>
      </c>
      <c r="B1236" s="1">
        <v>2203327</v>
      </c>
      <c r="C1236" s="5" t="s">
        <v>425</v>
      </c>
      <c r="D1236" s="5" t="str">
        <f>VLOOKUP(C1236,[1]master_data!$A$2:$E$495,2,FALSE)</f>
        <v>CAROLINE</v>
      </c>
      <c r="E1236" s="5">
        <v>30</v>
      </c>
      <c r="F1236" s="5">
        <f>VLOOKUP(C1236,[1]master_data!$A$2:$E$495,3,FALSE)</f>
        <v>900</v>
      </c>
      <c r="G1236" s="5">
        <f>VLOOKUP(C1236,[1]master_data!$A$2:$E$495,4,FALSE)</f>
        <v>2000</v>
      </c>
      <c r="H1236" s="5">
        <f t="shared" si="63"/>
        <v>27000</v>
      </c>
      <c r="I1236" s="5">
        <f t="shared" si="64"/>
        <v>60000</v>
      </c>
      <c r="J1236" s="5">
        <f t="shared" si="65"/>
        <v>33000</v>
      </c>
      <c r="K1236" s="5" t="str">
        <f>VLOOKUP(C1236,[1]master_data!$A$2:$E$495,5,FALSE)</f>
        <v>Ikan</v>
      </c>
      <c r="L1236" s="5" t="s">
        <v>471</v>
      </c>
    </row>
    <row r="1237" spans="1:12" ht="12" customHeight="1" x14ac:dyDescent="0.25">
      <c r="A1237" s="6">
        <v>44792</v>
      </c>
      <c r="B1237" s="1">
        <v>2203326</v>
      </c>
      <c r="C1237" s="5" t="s">
        <v>399</v>
      </c>
      <c r="D1237" s="5" t="str">
        <f>VLOOKUP(C1237,[1]master_data!$A$2:$E$495,2,FALSE)</f>
        <v>BUENOS AIRES TETRA</v>
      </c>
      <c r="E1237" s="5">
        <v>20</v>
      </c>
      <c r="F1237" s="5">
        <f>VLOOKUP(C1237,[1]master_data!$A$2:$E$495,3,FALSE)</f>
        <v>800</v>
      </c>
      <c r="G1237" s="5">
        <f>VLOOKUP(C1237,[1]master_data!$A$2:$E$495,4,FALSE)</f>
        <v>2000</v>
      </c>
      <c r="H1237" s="5">
        <f t="shared" si="63"/>
        <v>16000</v>
      </c>
      <c r="I1237" s="5">
        <f t="shared" si="64"/>
        <v>40000</v>
      </c>
      <c r="J1237" s="5">
        <f t="shared" si="65"/>
        <v>24000</v>
      </c>
      <c r="K1237" s="5" t="str">
        <f>VLOOKUP(C1237,[1]master_data!$A$2:$E$495,5,FALSE)</f>
        <v>Ikan</v>
      </c>
      <c r="L1237" s="5" t="s">
        <v>471</v>
      </c>
    </row>
    <row r="1238" spans="1:12" ht="12" customHeight="1" x14ac:dyDescent="0.25">
      <c r="A1238" s="6">
        <v>44792</v>
      </c>
      <c r="B1238" s="1">
        <v>2203325</v>
      </c>
      <c r="C1238" s="5" t="s">
        <v>442</v>
      </c>
      <c r="D1238" s="5" t="str">
        <f>VLOOKUP(C1238,[1]master_data!$A$2:$E$495,2,FALSE)</f>
        <v>PEMBERSIH KACA ALBINO</v>
      </c>
      <c r="E1238" s="5">
        <v>20</v>
      </c>
      <c r="F1238" s="5">
        <f>VLOOKUP(C1238,[1]master_data!$A$2:$E$495,3,FALSE)</f>
        <v>2500</v>
      </c>
      <c r="G1238" s="5">
        <f>VLOOKUP(C1238,[1]master_data!$A$2:$E$495,4,FALSE)</f>
        <v>5000</v>
      </c>
      <c r="H1238" s="5">
        <f t="shared" si="63"/>
        <v>50000</v>
      </c>
      <c r="I1238" s="5">
        <f t="shared" si="64"/>
        <v>100000</v>
      </c>
      <c r="J1238" s="5">
        <f t="shared" si="65"/>
        <v>50000</v>
      </c>
      <c r="K1238" s="5" t="str">
        <f>VLOOKUP(C1238,[1]master_data!$A$2:$E$495,5,FALSE)</f>
        <v>Ikan</v>
      </c>
      <c r="L1238" s="5" t="s">
        <v>471</v>
      </c>
    </row>
    <row r="1239" spans="1:12" ht="12" customHeight="1" x14ac:dyDescent="0.25">
      <c r="A1239" s="6">
        <v>44792</v>
      </c>
      <c r="B1239" s="1">
        <v>2203324</v>
      </c>
      <c r="C1239" s="5" t="s">
        <v>160</v>
      </c>
      <c r="D1239" s="5" t="str">
        <f>VLOOKUP(C1239,[1]master_data!$A$2:$E$495,2,FALSE)</f>
        <v>LED KANDILA PRO RED 40 CM</v>
      </c>
      <c r="E1239" s="5">
        <v>2</v>
      </c>
      <c r="F1239" s="5">
        <f>VLOOKUP(C1239,[1]master_data!$A$2:$E$495,3,FALSE)</f>
        <v>120000</v>
      </c>
      <c r="G1239" s="5">
        <f>VLOOKUP(C1239,[1]master_data!$A$2:$E$495,4,FALSE)</f>
        <v>160000</v>
      </c>
      <c r="H1239" s="5">
        <f t="shared" si="63"/>
        <v>240000</v>
      </c>
      <c r="I1239" s="5">
        <f t="shared" si="64"/>
        <v>320000</v>
      </c>
      <c r="J1239" s="5">
        <f t="shared" si="65"/>
        <v>80000</v>
      </c>
      <c r="K1239" s="5" t="str">
        <f>VLOOKUP(C1239,[1]master_data!$A$2:$E$495,5,FALSE)</f>
        <v>Aksesoris</v>
      </c>
      <c r="L1239" s="5" t="s">
        <v>471</v>
      </c>
    </row>
    <row r="1240" spans="1:12" ht="12" customHeight="1" x14ac:dyDescent="0.25">
      <c r="A1240" s="6">
        <v>44792</v>
      </c>
      <c r="B1240" s="1">
        <v>2203323</v>
      </c>
      <c r="C1240" s="5" t="s">
        <v>403</v>
      </c>
      <c r="D1240" s="5" t="str">
        <f>VLOOKUP(C1240,[1]master_data!$A$2:$E$495,2,FALSE)</f>
        <v>CHANNA BLUE PULCHRA K</v>
      </c>
      <c r="E1240" s="5">
        <v>2</v>
      </c>
      <c r="F1240" s="5">
        <f>VLOOKUP(C1240,[1]master_data!$A$2:$E$495,3,FALSE)</f>
        <v>25000</v>
      </c>
      <c r="G1240" s="5">
        <f>VLOOKUP(C1240,[1]master_data!$A$2:$E$495,4,FALSE)</f>
        <v>50000</v>
      </c>
      <c r="H1240" s="5">
        <f t="shared" si="63"/>
        <v>50000</v>
      </c>
      <c r="I1240" s="5">
        <f t="shared" si="64"/>
        <v>100000</v>
      </c>
      <c r="J1240" s="5">
        <f t="shared" si="65"/>
        <v>50000</v>
      </c>
      <c r="K1240" s="5" t="str">
        <f>VLOOKUP(C1240,[1]master_data!$A$2:$E$495,5,FALSE)</f>
        <v>Ikan</v>
      </c>
      <c r="L1240" s="5" t="s">
        <v>471</v>
      </c>
    </row>
    <row r="1241" spans="1:12" ht="12" customHeight="1" x14ac:dyDescent="0.25">
      <c r="A1241" s="6">
        <v>44792</v>
      </c>
      <c r="B1241" s="1">
        <v>2203322</v>
      </c>
      <c r="C1241" s="5" t="s">
        <v>237</v>
      </c>
      <c r="D1241" s="5" t="str">
        <f>VLOOKUP(C1241,[1]master_data!$A$2:$E$495,2,FALSE)</f>
        <v>QUICK RED BG</v>
      </c>
      <c r="E1241" s="5">
        <v>2</v>
      </c>
      <c r="F1241" s="5">
        <f>VLOOKUP(C1241,[1]master_data!$A$2:$E$495,3,FALSE)</f>
        <v>19200</v>
      </c>
      <c r="G1241" s="5">
        <f>VLOOKUP(C1241,[1]master_data!$A$2:$E$495,4,FALSE)</f>
        <v>35000</v>
      </c>
      <c r="H1241" s="5">
        <f t="shared" si="63"/>
        <v>38400</v>
      </c>
      <c r="I1241" s="5">
        <f t="shared" si="64"/>
        <v>70000</v>
      </c>
      <c r="J1241" s="5">
        <f t="shared" si="65"/>
        <v>31600</v>
      </c>
      <c r="K1241" s="5" t="str">
        <f>VLOOKUP(C1241,[1]master_data!$A$2:$E$495,5,FALSE)</f>
        <v>Aksesoris</v>
      </c>
      <c r="L1241" s="5" t="s">
        <v>471</v>
      </c>
    </row>
    <row r="1242" spans="1:12" ht="12" customHeight="1" x14ac:dyDescent="0.25">
      <c r="A1242" s="6">
        <v>44792</v>
      </c>
      <c r="B1242" s="1">
        <v>2203321</v>
      </c>
      <c r="C1242" s="5" t="s">
        <v>215</v>
      </c>
      <c r="D1242" s="5" t="str">
        <f>VLOOKUP(C1242,[1]master_data!$A$2:$E$495,2,FALSE)</f>
        <v>MEM PRIME 10 GR</v>
      </c>
      <c r="E1242" s="5">
        <v>15</v>
      </c>
      <c r="F1242" s="5">
        <f>VLOOKUP(C1242,[1]master_data!$A$2:$E$495,3,FALSE)</f>
        <v>5000</v>
      </c>
      <c r="G1242" s="5">
        <f>VLOOKUP(C1242,[1]master_data!$A$2:$E$495,4,FALSE)</f>
        <v>10000</v>
      </c>
      <c r="H1242" s="5">
        <f t="shared" si="63"/>
        <v>75000</v>
      </c>
      <c r="I1242" s="5">
        <f t="shared" si="64"/>
        <v>150000</v>
      </c>
      <c r="J1242" s="5">
        <f t="shared" si="65"/>
        <v>75000</v>
      </c>
      <c r="K1242" s="5" t="str">
        <f>VLOOKUP(C1242,[1]master_data!$A$2:$E$495,5,FALSE)</f>
        <v>Aksesoris</v>
      </c>
      <c r="L1242" s="5" t="s">
        <v>471</v>
      </c>
    </row>
    <row r="1243" spans="1:12" ht="12" customHeight="1" x14ac:dyDescent="0.25">
      <c r="A1243" s="6">
        <v>44792</v>
      </c>
      <c r="B1243" s="1">
        <v>2203320</v>
      </c>
      <c r="C1243" s="5" t="s">
        <v>34</v>
      </c>
      <c r="D1243" s="5" t="str">
        <f>VLOOKUP(C1243,[1]master_data!$A$2:$E$495,2,FALSE)</f>
        <v>MESIN YAMANO 1600</v>
      </c>
      <c r="E1243" s="5">
        <v>2</v>
      </c>
      <c r="F1243" s="5">
        <f>VLOOKUP(C1243,[1]master_data!$A$2:$E$495,3,FALSE)</f>
        <v>55000</v>
      </c>
      <c r="G1243" s="5">
        <f>VLOOKUP(C1243,[1]master_data!$A$2:$E$495,4,FALSE)</f>
        <v>75000</v>
      </c>
      <c r="H1243" s="5">
        <f t="shared" si="63"/>
        <v>110000</v>
      </c>
      <c r="I1243" s="5">
        <f t="shared" si="64"/>
        <v>150000</v>
      </c>
      <c r="J1243" s="5">
        <f t="shared" si="65"/>
        <v>40000</v>
      </c>
      <c r="K1243" s="5" t="str">
        <f>VLOOKUP(C1243,[1]master_data!$A$2:$E$495,5,FALSE)</f>
        <v>Aksesoris</v>
      </c>
      <c r="L1243" s="5" t="s">
        <v>471</v>
      </c>
    </row>
    <row r="1244" spans="1:12" ht="12" customHeight="1" x14ac:dyDescent="0.25">
      <c r="A1244" s="6">
        <v>44792</v>
      </c>
      <c r="B1244" s="1">
        <v>2203319</v>
      </c>
      <c r="C1244" s="5" t="s">
        <v>78</v>
      </c>
      <c r="D1244" s="5" t="str">
        <f>VLOOKUP(C1244,[1]master_data!$A$2:$E$495,2,FALSE)</f>
        <v>MESIN AQURA 1000L</v>
      </c>
      <c r="E1244" s="5">
        <v>1</v>
      </c>
      <c r="F1244" s="5">
        <f>VLOOKUP(C1244,[1]master_data!$A$2:$E$495,3,FALSE)</f>
        <v>38000</v>
      </c>
      <c r="G1244" s="5">
        <f>VLOOKUP(C1244,[1]master_data!$A$2:$E$495,4,FALSE)</f>
        <v>50000</v>
      </c>
      <c r="H1244" s="5">
        <f t="shared" si="63"/>
        <v>38000</v>
      </c>
      <c r="I1244" s="5">
        <f t="shared" si="64"/>
        <v>50000</v>
      </c>
      <c r="J1244" s="5">
        <f t="shared" si="65"/>
        <v>12000</v>
      </c>
      <c r="K1244" s="5" t="str">
        <f>VLOOKUP(C1244,[1]master_data!$A$2:$E$495,5,FALSE)</f>
        <v>Aksesoris</v>
      </c>
      <c r="L1244" s="5" t="s">
        <v>471</v>
      </c>
    </row>
    <row r="1245" spans="1:12" ht="12" customHeight="1" x14ac:dyDescent="0.25">
      <c r="A1245" s="6">
        <v>44792</v>
      </c>
      <c r="B1245" s="1">
        <v>2203318</v>
      </c>
      <c r="C1245" s="5" t="s">
        <v>165</v>
      </c>
      <c r="D1245" s="5" t="str">
        <f>VLOOKUP(C1245,[1]master_data!$A$2:$E$495,2,FALSE)</f>
        <v>LED KANDILA VIBRANT 100 CM</v>
      </c>
      <c r="E1245" s="5">
        <v>2</v>
      </c>
      <c r="F1245" s="5">
        <f>VLOOKUP(C1245,[1]master_data!$A$2:$E$495,3,FALSE)</f>
        <v>152500</v>
      </c>
      <c r="G1245" s="5">
        <f>VLOOKUP(C1245,[1]master_data!$A$2:$E$495,4,FALSE)</f>
        <v>200000</v>
      </c>
      <c r="H1245" s="5">
        <f t="shared" si="63"/>
        <v>305000</v>
      </c>
      <c r="I1245" s="5">
        <f t="shared" si="64"/>
        <v>400000</v>
      </c>
      <c r="J1245" s="5">
        <f t="shared" si="65"/>
        <v>95000</v>
      </c>
      <c r="K1245" s="5" t="str">
        <f>VLOOKUP(C1245,[1]master_data!$A$2:$E$495,5,FALSE)</f>
        <v>Aksesoris</v>
      </c>
      <c r="L1245" s="5" t="s">
        <v>471</v>
      </c>
    </row>
    <row r="1246" spans="1:12" ht="12" customHeight="1" x14ac:dyDescent="0.25">
      <c r="A1246" s="6">
        <v>44792</v>
      </c>
      <c r="B1246" s="1">
        <v>2203317</v>
      </c>
      <c r="C1246" s="5" t="s">
        <v>197</v>
      </c>
      <c r="D1246" s="5" t="str">
        <f>VLOOKUP(C1246,[1]master_data!$A$2:$E$495,2,FALSE)</f>
        <v>AKARI PREMIUM YELLOW</v>
      </c>
      <c r="E1246" s="5">
        <v>5</v>
      </c>
      <c r="F1246" s="5">
        <f>VLOOKUP(C1246,[1]master_data!$A$2:$E$495,3,FALSE)</f>
        <v>37000</v>
      </c>
      <c r="G1246" s="5">
        <f>VLOOKUP(C1246,[1]master_data!$A$2:$E$495,4,FALSE)</f>
        <v>50000</v>
      </c>
      <c r="H1246" s="5">
        <f t="shared" si="63"/>
        <v>185000</v>
      </c>
      <c r="I1246" s="5">
        <f t="shared" si="64"/>
        <v>250000</v>
      </c>
      <c r="J1246" s="5">
        <f t="shared" si="65"/>
        <v>65000</v>
      </c>
      <c r="K1246" s="5" t="str">
        <f>VLOOKUP(C1246,[1]master_data!$A$2:$E$495,5,FALSE)</f>
        <v>Aksesoris</v>
      </c>
      <c r="L1246" s="5" t="s">
        <v>471</v>
      </c>
    </row>
    <row r="1247" spans="1:12" ht="12" customHeight="1" x14ac:dyDescent="0.25">
      <c r="A1247" s="6">
        <v>44791</v>
      </c>
      <c r="B1247" s="1">
        <v>2203316</v>
      </c>
      <c r="C1247" s="5" t="s">
        <v>57</v>
      </c>
      <c r="D1247" s="5" t="str">
        <f>VLOOKUP(C1247,[1]master_data!$A$2:$E$495,2,FALSE)</f>
        <v>MESIN MARVIN 1200</v>
      </c>
      <c r="E1247" s="5">
        <v>1</v>
      </c>
      <c r="F1247" s="5">
        <f>VLOOKUP(C1247,[1]master_data!$A$2:$E$495,3,FALSE)</f>
        <v>23000</v>
      </c>
      <c r="G1247" s="5">
        <f>VLOOKUP(C1247,[1]master_data!$A$2:$E$495,4,FALSE)</f>
        <v>35000</v>
      </c>
      <c r="H1247" s="5">
        <f t="shared" si="63"/>
        <v>23000</v>
      </c>
      <c r="I1247" s="5">
        <f t="shared" si="64"/>
        <v>35000</v>
      </c>
      <c r="J1247" s="5">
        <f t="shared" si="65"/>
        <v>12000</v>
      </c>
      <c r="K1247" s="5" t="str">
        <f>VLOOKUP(C1247,[1]master_data!$A$2:$E$495,5,FALSE)</f>
        <v>Aksesoris</v>
      </c>
      <c r="L1247" s="5" t="s">
        <v>471</v>
      </c>
    </row>
    <row r="1248" spans="1:12" ht="12" customHeight="1" x14ac:dyDescent="0.25">
      <c r="A1248" s="6">
        <v>44791</v>
      </c>
      <c r="B1248" s="1">
        <v>2203315</v>
      </c>
      <c r="C1248" s="5" t="s">
        <v>240</v>
      </c>
      <c r="D1248" s="5" t="str">
        <f>VLOOKUP(C1248,[1]master_data!$A$2:$E$495,2,FALSE)</f>
        <v>PREMIUM RED BG</v>
      </c>
      <c r="E1248" s="5">
        <v>1</v>
      </c>
      <c r="F1248" s="5">
        <f>VLOOKUP(C1248,[1]master_data!$A$2:$E$495,3,FALSE)</f>
        <v>12500</v>
      </c>
      <c r="G1248" s="5">
        <f>VLOOKUP(C1248,[1]master_data!$A$2:$E$495,4,FALSE)</f>
        <v>25000</v>
      </c>
      <c r="H1248" s="5">
        <f t="shared" si="63"/>
        <v>12500</v>
      </c>
      <c r="I1248" s="5">
        <f t="shared" si="64"/>
        <v>25000</v>
      </c>
      <c r="J1248" s="5">
        <f t="shared" si="65"/>
        <v>12500</v>
      </c>
      <c r="K1248" s="5" t="str">
        <f>VLOOKUP(C1248,[1]master_data!$A$2:$E$495,5,FALSE)</f>
        <v>Aksesoris</v>
      </c>
      <c r="L1248" s="5" t="s">
        <v>471</v>
      </c>
    </row>
    <row r="1249" spans="1:12" ht="12" customHeight="1" x14ac:dyDescent="0.25">
      <c r="A1249" s="6">
        <v>44791</v>
      </c>
      <c r="B1249" s="1">
        <v>2203314</v>
      </c>
      <c r="C1249" s="5" t="s">
        <v>135</v>
      </c>
      <c r="D1249" s="5" t="str">
        <f>VLOOKUP(C1249,[1]master_data!$A$2:$E$495,2,FALSE)</f>
        <v>LED NIKITA NS 400</v>
      </c>
      <c r="E1249" s="5">
        <v>1</v>
      </c>
      <c r="F1249" s="5">
        <f>VLOOKUP(C1249,[1]master_data!$A$2:$E$495,3,FALSE)</f>
        <v>41000</v>
      </c>
      <c r="G1249" s="5">
        <f>VLOOKUP(C1249,[1]master_data!$A$2:$E$495,4,FALSE)</f>
        <v>65000</v>
      </c>
      <c r="H1249" s="5">
        <f t="shared" si="63"/>
        <v>41000</v>
      </c>
      <c r="I1249" s="5">
        <f t="shared" si="64"/>
        <v>65000</v>
      </c>
      <c r="J1249" s="5">
        <f t="shared" si="65"/>
        <v>24000</v>
      </c>
      <c r="K1249" s="5" t="str">
        <f>VLOOKUP(C1249,[1]master_data!$A$2:$E$495,5,FALSE)</f>
        <v>Aksesoris</v>
      </c>
      <c r="L1249" s="5" t="s">
        <v>471</v>
      </c>
    </row>
    <row r="1250" spans="1:12" ht="12" customHeight="1" x14ac:dyDescent="0.25">
      <c r="A1250" s="6">
        <v>44791</v>
      </c>
      <c r="B1250" s="1">
        <v>2203313</v>
      </c>
      <c r="C1250" s="5" t="s">
        <v>120</v>
      </c>
      <c r="D1250" s="5" t="str">
        <f>VLOOKUP(C1250,[1]master_data!$A$2:$E$495,2,FALSE)</f>
        <v>LED ROSTON 50 CM</v>
      </c>
      <c r="E1250" s="5">
        <v>2</v>
      </c>
      <c r="F1250" s="5">
        <f>VLOOKUP(C1250,[1]master_data!$A$2:$E$495,3,FALSE)</f>
        <v>27000</v>
      </c>
      <c r="G1250" s="5">
        <f>VLOOKUP(C1250,[1]master_data!$A$2:$E$495,4,FALSE)</f>
        <v>50000</v>
      </c>
      <c r="H1250" s="5">
        <f t="shared" si="63"/>
        <v>54000</v>
      </c>
      <c r="I1250" s="5">
        <f t="shared" si="64"/>
        <v>100000</v>
      </c>
      <c r="J1250" s="5">
        <f t="shared" si="65"/>
        <v>46000</v>
      </c>
      <c r="K1250" s="5" t="str">
        <f>VLOOKUP(C1250,[1]master_data!$A$2:$E$495,5,FALSE)</f>
        <v>Aksesoris</v>
      </c>
      <c r="L1250" s="5" t="s">
        <v>471</v>
      </c>
    </row>
    <row r="1251" spans="1:12" ht="12" customHeight="1" x14ac:dyDescent="0.25">
      <c r="A1251" s="6">
        <v>44791</v>
      </c>
      <c r="B1251" s="1">
        <v>2203312</v>
      </c>
      <c r="C1251" s="5" t="s">
        <v>432</v>
      </c>
      <c r="D1251" s="5" t="str">
        <f>VLOOKUP(C1251,[1]master_data!$A$2:$E$495,2,FALSE)</f>
        <v>MARU K</v>
      </c>
      <c r="E1251" s="5">
        <v>10</v>
      </c>
      <c r="F1251" s="5">
        <f>VLOOKUP(C1251,[1]master_data!$A$2:$E$495,3,FALSE)</f>
        <v>23000</v>
      </c>
      <c r="G1251" s="5">
        <f>VLOOKUP(C1251,[1]master_data!$A$2:$E$495,4,FALSE)</f>
        <v>50000</v>
      </c>
      <c r="H1251" s="5">
        <f t="shared" si="63"/>
        <v>230000</v>
      </c>
      <c r="I1251" s="5">
        <f t="shared" si="64"/>
        <v>500000</v>
      </c>
      <c r="J1251" s="5">
        <f t="shared" si="65"/>
        <v>270000</v>
      </c>
      <c r="K1251" s="5" t="str">
        <f>VLOOKUP(C1251,[1]master_data!$A$2:$E$495,5,FALSE)</f>
        <v>Ikan</v>
      </c>
      <c r="L1251" s="5" t="s">
        <v>471</v>
      </c>
    </row>
    <row r="1252" spans="1:12" ht="12" customHeight="1" x14ac:dyDescent="0.25">
      <c r="A1252" s="6">
        <v>44791</v>
      </c>
      <c r="B1252" s="1">
        <v>2203311</v>
      </c>
      <c r="C1252" s="5" t="s">
        <v>29</v>
      </c>
      <c r="D1252" s="5" t="str">
        <f>VLOOKUP(C1252,[1]master_data!$A$2:$E$495,2,FALSE)</f>
        <v>MESIN ROSTON 108</v>
      </c>
      <c r="E1252" s="5">
        <v>2</v>
      </c>
      <c r="F1252" s="5">
        <f>VLOOKUP(C1252,[1]master_data!$A$2:$E$495,3,FALSE)</f>
        <v>190000</v>
      </c>
      <c r="G1252" s="5">
        <f>VLOOKUP(C1252,[1]master_data!$A$2:$E$495,4,FALSE)</f>
        <v>275000</v>
      </c>
      <c r="H1252" s="5">
        <f t="shared" si="63"/>
        <v>380000</v>
      </c>
      <c r="I1252" s="5">
        <f t="shared" si="64"/>
        <v>550000</v>
      </c>
      <c r="J1252" s="5">
        <f t="shared" si="65"/>
        <v>170000</v>
      </c>
      <c r="K1252" s="5" t="str">
        <f>VLOOKUP(C1252,[1]master_data!$A$2:$E$495,5,FALSE)</f>
        <v>Aksesoris</v>
      </c>
      <c r="L1252" s="5" t="s">
        <v>471</v>
      </c>
    </row>
    <row r="1253" spans="1:12" ht="12" customHeight="1" x14ac:dyDescent="0.25">
      <c r="A1253" s="6">
        <v>44791</v>
      </c>
      <c r="B1253" s="1">
        <v>2203310</v>
      </c>
      <c r="C1253" s="5" t="s">
        <v>47</v>
      </c>
      <c r="D1253" s="5" t="str">
        <f>VLOOKUP(C1253,[1]master_data!$A$2:$E$495,2,FALSE)</f>
        <v>MESIN NIKITA 1200</v>
      </c>
      <c r="E1253" s="5">
        <v>1</v>
      </c>
      <c r="F1253" s="5">
        <f>VLOOKUP(C1253,[1]master_data!$A$2:$E$495,3,FALSE)</f>
        <v>24000</v>
      </c>
      <c r="G1253" s="5">
        <f>VLOOKUP(C1253,[1]master_data!$A$2:$E$495,4,FALSE)</f>
        <v>35000</v>
      </c>
      <c r="H1253" s="5">
        <f t="shared" si="63"/>
        <v>24000</v>
      </c>
      <c r="I1253" s="5">
        <f t="shared" si="64"/>
        <v>35000</v>
      </c>
      <c r="J1253" s="5">
        <f t="shared" si="65"/>
        <v>11000</v>
      </c>
      <c r="K1253" s="5" t="str">
        <f>VLOOKUP(C1253,[1]master_data!$A$2:$E$495,5,FALSE)</f>
        <v>Aksesoris</v>
      </c>
      <c r="L1253" s="5" t="s">
        <v>471</v>
      </c>
    </row>
    <row r="1254" spans="1:12" ht="12" customHeight="1" x14ac:dyDescent="0.25">
      <c r="A1254" s="6">
        <v>44791</v>
      </c>
      <c r="B1254" s="1">
        <v>2203309</v>
      </c>
      <c r="C1254" s="5" t="s">
        <v>425</v>
      </c>
      <c r="D1254" s="5" t="str">
        <f>VLOOKUP(C1254,[1]master_data!$A$2:$E$495,2,FALSE)</f>
        <v>CAROLINE</v>
      </c>
      <c r="E1254" s="5">
        <v>10</v>
      </c>
      <c r="F1254" s="5">
        <f>VLOOKUP(C1254,[1]master_data!$A$2:$E$495,3,FALSE)</f>
        <v>900</v>
      </c>
      <c r="G1254" s="5">
        <f>VLOOKUP(C1254,[1]master_data!$A$2:$E$495,4,FALSE)</f>
        <v>2000</v>
      </c>
      <c r="H1254" s="5">
        <f t="shared" si="63"/>
        <v>9000</v>
      </c>
      <c r="I1254" s="5">
        <f t="shared" si="64"/>
        <v>20000</v>
      </c>
      <c r="J1254" s="5">
        <f t="shared" si="65"/>
        <v>11000</v>
      </c>
      <c r="K1254" s="5" t="str">
        <f>VLOOKUP(C1254,[1]master_data!$A$2:$E$495,5,FALSE)</f>
        <v>Ikan</v>
      </c>
      <c r="L1254" s="5" t="s">
        <v>471</v>
      </c>
    </row>
    <row r="1255" spans="1:12" ht="12" customHeight="1" x14ac:dyDescent="0.25">
      <c r="A1255" s="6">
        <v>44790</v>
      </c>
      <c r="B1255" s="1">
        <v>2203308</v>
      </c>
      <c r="C1255" s="5" t="s">
        <v>424</v>
      </c>
      <c r="D1255" s="5" t="str">
        <f>VLOOKUP(C1255,[1]master_data!$A$2:$E$495,2,FALSE)</f>
        <v>KOI SLAYER B</v>
      </c>
      <c r="E1255" s="5">
        <v>10</v>
      </c>
      <c r="F1255" s="5">
        <f>VLOOKUP(C1255,[1]master_data!$A$2:$E$495,3,FALSE)</f>
        <v>8000</v>
      </c>
      <c r="G1255" s="5">
        <f>VLOOKUP(C1255,[1]master_data!$A$2:$E$495,4,FALSE)</f>
        <v>20000</v>
      </c>
      <c r="H1255" s="5">
        <f t="shared" si="63"/>
        <v>80000</v>
      </c>
      <c r="I1255" s="5">
        <f t="shared" si="64"/>
        <v>200000</v>
      </c>
      <c r="J1255" s="5">
        <f t="shared" si="65"/>
        <v>120000</v>
      </c>
      <c r="K1255" s="5" t="str">
        <f>VLOOKUP(C1255,[1]master_data!$A$2:$E$495,5,FALSE)</f>
        <v>Ikan</v>
      </c>
      <c r="L1255" s="5" t="s">
        <v>471</v>
      </c>
    </row>
    <row r="1256" spans="1:12" ht="12" customHeight="1" x14ac:dyDescent="0.25">
      <c r="A1256" s="6">
        <v>44790</v>
      </c>
      <c r="B1256" s="1">
        <v>2203307</v>
      </c>
      <c r="C1256" s="5" t="s">
        <v>405</v>
      </c>
      <c r="D1256" s="5" t="str">
        <f>VLOOKUP(C1256,[1]master_data!$A$2:$E$495,2,FALSE)</f>
        <v>KOMET BOKIM</v>
      </c>
      <c r="E1256" s="5">
        <v>15</v>
      </c>
      <c r="F1256" s="5">
        <f>VLOOKUP(C1256,[1]master_data!$A$2:$E$495,3,FALSE)</f>
        <v>1500</v>
      </c>
      <c r="G1256" s="5">
        <f>VLOOKUP(C1256,[1]master_data!$A$2:$E$495,4,FALSE)</f>
        <v>5000</v>
      </c>
      <c r="H1256" s="5">
        <f t="shared" si="63"/>
        <v>22500</v>
      </c>
      <c r="I1256" s="5">
        <f t="shared" si="64"/>
        <v>75000</v>
      </c>
      <c r="J1256" s="5">
        <f t="shared" si="65"/>
        <v>52500</v>
      </c>
      <c r="K1256" s="5" t="str">
        <f>VLOOKUP(C1256,[1]master_data!$A$2:$E$495,5,FALSE)</f>
        <v>Ikan</v>
      </c>
      <c r="L1256" s="5" t="s">
        <v>471</v>
      </c>
    </row>
    <row r="1257" spans="1:12" ht="12" customHeight="1" x14ac:dyDescent="0.25">
      <c r="A1257" s="6">
        <v>44790</v>
      </c>
      <c r="B1257" s="1">
        <v>2203306</v>
      </c>
      <c r="C1257" s="5" t="s">
        <v>248</v>
      </c>
      <c r="D1257" s="5" t="str">
        <f>VLOOKUP(C1257,[1]master_data!$A$2:$E$495,2,FALSE)</f>
        <v>MATLINE BLUE</v>
      </c>
      <c r="E1257" s="5">
        <v>15</v>
      </c>
      <c r="F1257" s="5">
        <f>VLOOKUP(C1257,[1]master_data!$A$2:$E$495,3,FALSE)</f>
        <v>7000</v>
      </c>
      <c r="G1257" s="5">
        <f>VLOOKUP(C1257,[1]master_data!$A$2:$E$495,4,FALSE)</f>
        <v>10000</v>
      </c>
      <c r="H1257" s="5">
        <f t="shared" si="63"/>
        <v>105000</v>
      </c>
      <c r="I1257" s="5">
        <f t="shared" si="64"/>
        <v>150000</v>
      </c>
      <c r="J1257" s="5">
        <f t="shared" si="65"/>
        <v>45000</v>
      </c>
      <c r="K1257" s="5" t="str">
        <f>VLOOKUP(C1257,[1]master_data!$A$2:$E$495,5,FALSE)</f>
        <v>Aksesoris</v>
      </c>
      <c r="L1257" s="5" t="s">
        <v>471</v>
      </c>
    </row>
    <row r="1258" spans="1:12" ht="12" customHeight="1" x14ac:dyDescent="0.25">
      <c r="A1258" s="6">
        <v>44790</v>
      </c>
      <c r="B1258" s="1">
        <v>2203305</v>
      </c>
      <c r="C1258" s="5" t="s">
        <v>424</v>
      </c>
      <c r="D1258" s="5" t="str">
        <f>VLOOKUP(C1258,[1]master_data!$A$2:$E$495,2,FALSE)</f>
        <v>KOI SLAYER B</v>
      </c>
      <c r="E1258" s="5">
        <v>5</v>
      </c>
      <c r="F1258" s="5">
        <f>VLOOKUP(C1258,[1]master_data!$A$2:$E$495,3,FALSE)</f>
        <v>8000</v>
      </c>
      <c r="G1258" s="5">
        <f>VLOOKUP(C1258,[1]master_data!$A$2:$E$495,4,FALSE)</f>
        <v>20000</v>
      </c>
      <c r="H1258" s="5">
        <f t="shared" si="63"/>
        <v>40000</v>
      </c>
      <c r="I1258" s="5">
        <f t="shared" si="64"/>
        <v>100000</v>
      </c>
      <c r="J1258" s="5">
        <f t="shared" si="65"/>
        <v>60000</v>
      </c>
      <c r="K1258" s="5" t="str">
        <f>VLOOKUP(C1258,[1]master_data!$A$2:$E$495,5,FALSE)</f>
        <v>Ikan</v>
      </c>
      <c r="L1258" s="5" t="s">
        <v>471</v>
      </c>
    </row>
    <row r="1259" spans="1:12" ht="12" customHeight="1" x14ac:dyDescent="0.25">
      <c r="A1259" s="6">
        <v>44790</v>
      </c>
      <c r="B1259" s="1">
        <v>2203304</v>
      </c>
      <c r="C1259" s="5" t="s">
        <v>449</v>
      </c>
      <c r="D1259" s="5" t="str">
        <f>VLOOKUP(C1259,[1]master_data!$A$2:$E$495,2,FALSE)</f>
        <v>CHANNA RED BARITO B</v>
      </c>
      <c r="E1259" s="5">
        <v>1</v>
      </c>
      <c r="F1259" s="5">
        <f>VLOOKUP(C1259,[1]master_data!$A$2:$E$495,3,FALSE)</f>
        <v>120000</v>
      </c>
      <c r="G1259" s="5">
        <f>VLOOKUP(C1259,[1]master_data!$A$2:$E$495,4,FALSE)</f>
        <v>200000</v>
      </c>
      <c r="H1259" s="5">
        <f t="shared" si="63"/>
        <v>120000</v>
      </c>
      <c r="I1259" s="5">
        <f t="shared" si="64"/>
        <v>200000</v>
      </c>
      <c r="J1259" s="5">
        <f t="shared" si="65"/>
        <v>80000</v>
      </c>
      <c r="K1259" s="5" t="str">
        <f>VLOOKUP(C1259,[1]master_data!$A$2:$E$495,5,FALSE)</f>
        <v>Ikan</v>
      </c>
      <c r="L1259" s="5" t="s">
        <v>471</v>
      </c>
    </row>
    <row r="1260" spans="1:12" ht="12" customHeight="1" x14ac:dyDescent="0.25">
      <c r="A1260" s="6">
        <v>44790</v>
      </c>
      <c r="B1260" s="1">
        <v>2203303</v>
      </c>
      <c r="C1260" s="5" t="s">
        <v>399</v>
      </c>
      <c r="D1260" s="5" t="str">
        <f>VLOOKUP(C1260,[1]master_data!$A$2:$E$495,2,FALSE)</f>
        <v>BUENOS AIRES TETRA</v>
      </c>
      <c r="E1260" s="5">
        <v>20</v>
      </c>
      <c r="F1260" s="5">
        <f>VLOOKUP(C1260,[1]master_data!$A$2:$E$495,3,FALSE)</f>
        <v>800</v>
      </c>
      <c r="G1260" s="5">
        <f>VLOOKUP(C1260,[1]master_data!$A$2:$E$495,4,FALSE)</f>
        <v>2000</v>
      </c>
      <c r="H1260" s="5">
        <f t="shared" si="63"/>
        <v>16000</v>
      </c>
      <c r="I1260" s="5">
        <f t="shared" si="64"/>
        <v>40000</v>
      </c>
      <c r="J1260" s="5">
        <f t="shared" si="65"/>
        <v>24000</v>
      </c>
      <c r="K1260" s="5" t="str">
        <f>VLOOKUP(C1260,[1]master_data!$A$2:$E$495,5,FALSE)</f>
        <v>Ikan</v>
      </c>
      <c r="L1260" s="5" t="s">
        <v>471</v>
      </c>
    </row>
    <row r="1261" spans="1:12" ht="12" customHeight="1" x14ac:dyDescent="0.25">
      <c r="A1261" s="6">
        <v>44790</v>
      </c>
      <c r="B1261" s="1">
        <v>2203302</v>
      </c>
      <c r="C1261" s="5" t="s">
        <v>425</v>
      </c>
      <c r="D1261" s="5" t="str">
        <f>VLOOKUP(C1261,[1]master_data!$A$2:$E$495,2,FALSE)</f>
        <v>CAROLINE</v>
      </c>
      <c r="E1261" s="5">
        <v>20</v>
      </c>
      <c r="F1261" s="5">
        <f>VLOOKUP(C1261,[1]master_data!$A$2:$E$495,3,FALSE)</f>
        <v>900</v>
      </c>
      <c r="G1261" s="5">
        <f>VLOOKUP(C1261,[1]master_data!$A$2:$E$495,4,FALSE)</f>
        <v>2000</v>
      </c>
      <c r="H1261" s="5">
        <f t="shared" si="63"/>
        <v>18000</v>
      </c>
      <c r="I1261" s="5">
        <f t="shared" si="64"/>
        <v>40000</v>
      </c>
      <c r="J1261" s="5">
        <f t="shared" si="65"/>
        <v>22000</v>
      </c>
      <c r="K1261" s="5" t="str">
        <f>VLOOKUP(C1261,[1]master_data!$A$2:$E$495,5,FALSE)</f>
        <v>Ikan</v>
      </c>
      <c r="L1261" s="5" t="s">
        <v>471</v>
      </c>
    </row>
    <row r="1262" spans="1:12" ht="12" customHeight="1" x14ac:dyDescent="0.25">
      <c r="A1262" s="6">
        <v>44790</v>
      </c>
      <c r="B1262" s="1">
        <v>2203301</v>
      </c>
      <c r="C1262" s="5" t="s">
        <v>459</v>
      </c>
      <c r="D1262" s="5" t="str">
        <f>VLOOKUP(C1262,[1]master_data!$A$2:$E$495,2,FALSE)</f>
        <v>ZEBRA UNGU</v>
      </c>
      <c r="E1262" s="5">
        <v>15</v>
      </c>
      <c r="F1262" s="5">
        <f>VLOOKUP(C1262,[1]master_data!$A$2:$E$495,3,FALSE)</f>
        <v>800</v>
      </c>
      <c r="G1262" s="5">
        <f>VLOOKUP(C1262,[1]master_data!$A$2:$E$495,4,FALSE)</f>
        <v>2000</v>
      </c>
      <c r="H1262" s="5">
        <f t="shared" si="63"/>
        <v>12000</v>
      </c>
      <c r="I1262" s="5">
        <f t="shared" si="64"/>
        <v>30000</v>
      </c>
      <c r="J1262" s="5">
        <f t="shared" si="65"/>
        <v>18000</v>
      </c>
      <c r="K1262" s="5" t="str">
        <f>VLOOKUP(C1262,[1]master_data!$A$2:$E$495,5,FALSE)</f>
        <v>Ikan</v>
      </c>
      <c r="L1262" s="5" t="s">
        <v>471</v>
      </c>
    </row>
    <row r="1263" spans="1:12" ht="12" customHeight="1" x14ac:dyDescent="0.25">
      <c r="A1263" s="6">
        <v>44790</v>
      </c>
      <c r="B1263" s="1">
        <v>2203300</v>
      </c>
      <c r="C1263" s="5" t="s">
        <v>433</v>
      </c>
      <c r="D1263" s="5" t="str">
        <f>VLOOKUP(C1263,[1]master_data!$A$2:$E$495,2,FALSE)</f>
        <v>MARU B</v>
      </c>
      <c r="E1263" s="5">
        <v>2</v>
      </c>
      <c r="F1263" s="5">
        <f>VLOOKUP(C1263,[1]master_data!$A$2:$E$495,3,FALSE)</f>
        <v>90000</v>
      </c>
      <c r="G1263" s="5">
        <f>VLOOKUP(C1263,[1]master_data!$A$2:$E$495,4,FALSE)</f>
        <v>150000</v>
      </c>
      <c r="H1263" s="5">
        <f t="shared" si="63"/>
        <v>180000</v>
      </c>
      <c r="I1263" s="5">
        <f t="shared" si="64"/>
        <v>300000</v>
      </c>
      <c r="J1263" s="5">
        <f t="shared" si="65"/>
        <v>120000</v>
      </c>
      <c r="K1263" s="5" t="str">
        <f>VLOOKUP(C1263,[1]master_data!$A$2:$E$495,5,FALSE)</f>
        <v>Ikan</v>
      </c>
      <c r="L1263" s="5" t="s">
        <v>471</v>
      </c>
    </row>
    <row r="1264" spans="1:12" ht="12" customHeight="1" x14ac:dyDescent="0.25">
      <c r="A1264" s="6">
        <v>44790</v>
      </c>
      <c r="B1264" s="1">
        <v>2203299</v>
      </c>
      <c r="C1264" s="5" t="s">
        <v>287</v>
      </c>
      <c r="D1264" s="5" t="str">
        <f>VLOOKUP(C1264,[1]master_data!$A$2:$E$495,2,FALSE)</f>
        <v>KAPAS 2X1</v>
      </c>
      <c r="E1264" s="5">
        <v>5</v>
      </c>
      <c r="F1264" s="5">
        <f>VLOOKUP(C1264,[1]master_data!$A$2:$E$495,3,FALSE)</f>
        <v>35000</v>
      </c>
      <c r="G1264" s="5">
        <f>VLOOKUP(C1264,[1]master_data!$A$2:$E$495,4,FALSE)</f>
        <v>40000</v>
      </c>
      <c r="H1264" s="5">
        <f t="shared" si="63"/>
        <v>175000</v>
      </c>
      <c r="I1264" s="5">
        <f t="shared" si="64"/>
        <v>200000</v>
      </c>
      <c r="J1264" s="5">
        <f t="shared" si="65"/>
        <v>25000</v>
      </c>
      <c r="K1264" s="5" t="str">
        <f>VLOOKUP(C1264,[1]master_data!$A$2:$E$495,5,FALSE)</f>
        <v>Aksesoris</v>
      </c>
      <c r="L1264" s="5" t="s">
        <v>471</v>
      </c>
    </row>
    <row r="1265" spans="1:12" ht="12" customHeight="1" x14ac:dyDescent="0.25">
      <c r="A1265" s="6">
        <v>44789</v>
      </c>
      <c r="B1265" s="1">
        <v>2203298</v>
      </c>
      <c r="C1265" s="5" t="s">
        <v>83</v>
      </c>
      <c r="D1265" s="5" t="str">
        <f>VLOOKUP(C1265,[1]master_data!$A$2:$E$495,2,FALSE)</f>
        <v>MESIN ARMADA 1050L</v>
      </c>
      <c r="E1265" s="5">
        <v>1</v>
      </c>
      <c r="F1265" s="5">
        <f>VLOOKUP(C1265,[1]master_data!$A$2:$E$495,3,FALSE)</f>
        <v>38000</v>
      </c>
      <c r="G1265" s="5">
        <f>VLOOKUP(C1265,[1]master_data!$A$2:$E$495,4,FALSE)</f>
        <v>50000</v>
      </c>
      <c r="H1265" s="5">
        <f t="shared" si="63"/>
        <v>38000</v>
      </c>
      <c r="I1265" s="5">
        <f t="shared" si="64"/>
        <v>50000</v>
      </c>
      <c r="J1265" s="5">
        <f t="shared" si="65"/>
        <v>12000</v>
      </c>
      <c r="K1265" s="5" t="str">
        <f>VLOOKUP(C1265,[1]master_data!$A$2:$E$495,5,FALSE)</f>
        <v>Aksesoris</v>
      </c>
      <c r="L1265" s="5" t="s">
        <v>471</v>
      </c>
    </row>
    <row r="1266" spans="1:12" ht="12" customHeight="1" x14ac:dyDescent="0.25">
      <c r="A1266" s="6">
        <v>44789</v>
      </c>
      <c r="B1266" s="1">
        <v>2203297</v>
      </c>
      <c r="C1266" s="5" t="s">
        <v>83</v>
      </c>
      <c r="D1266" s="5" t="str">
        <f>VLOOKUP(C1266,[1]master_data!$A$2:$E$495,2,FALSE)</f>
        <v>MESIN ARMADA 1050L</v>
      </c>
      <c r="E1266" s="5">
        <v>2</v>
      </c>
      <c r="F1266" s="5">
        <f>VLOOKUP(C1266,[1]master_data!$A$2:$E$495,3,FALSE)</f>
        <v>38000</v>
      </c>
      <c r="G1266" s="5">
        <f>VLOOKUP(C1266,[1]master_data!$A$2:$E$495,4,FALSE)</f>
        <v>50000</v>
      </c>
      <c r="H1266" s="5">
        <f t="shared" si="63"/>
        <v>76000</v>
      </c>
      <c r="I1266" s="5">
        <f t="shared" si="64"/>
        <v>100000</v>
      </c>
      <c r="J1266" s="5">
        <f t="shared" si="65"/>
        <v>24000</v>
      </c>
      <c r="K1266" s="5" t="str">
        <f>VLOOKUP(C1266,[1]master_data!$A$2:$E$495,5,FALSE)</f>
        <v>Aksesoris</v>
      </c>
      <c r="L1266" s="5" t="s">
        <v>471</v>
      </c>
    </row>
    <row r="1267" spans="1:12" ht="12" customHeight="1" x14ac:dyDescent="0.25">
      <c r="A1267" s="6">
        <v>44789</v>
      </c>
      <c r="B1267" s="1">
        <v>2203296</v>
      </c>
      <c r="C1267" s="5" t="s">
        <v>297</v>
      </c>
      <c r="D1267" s="5" t="str">
        <f>VLOOKUP(C1267,[1]master_data!$A$2:$E$495,2,FALSE)</f>
        <v>MAGNET M</v>
      </c>
      <c r="E1267" s="5">
        <v>1</v>
      </c>
      <c r="F1267" s="5">
        <f>VLOOKUP(C1267,[1]master_data!$A$2:$E$495,3,FALSE)</f>
        <v>36000</v>
      </c>
      <c r="G1267" s="5">
        <f>VLOOKUP(C1267,[1]master_data!$A$2:$E$495,4,FALSE)</f>
        <v>50000</v>
      </c>
      <c r="H1267" s="5">
        <f t="shared" si="63"/>
        <v>36000</v>
      </c>
      <c r="I1267" s="5">
        <f t="shared" si="64"/>
        <v>50000</v>
      </c>
      <c r="J1267" s="5">
        <f t="shared" si="65"/>
        <v>14000</v>
      </c>
      <c r="K1267" s="5" t="str">
        <f>VLOOKUP(C1267,[1]master_data!$A$2:$E$495,5,FALSE)</f>
        <v>Aksesoris</v>
      </c>
      <c r="L1267" s="5" t="s">
        <v>471</v>
      </c>
    </row>
    <row r="1268" spans="1:12" ht="12" customHeight="1" x14ac:dyDescent="0.25">
      <c r="A1268" s="6">
        <v>44789</v>
      </c>
      <c r="B1268" s="1">
        <v>2203295</v>
      </c>
      <c r="C1268" s="5" t="s">
        <v>372</v>
      </c>
      <c r="D1268" s="5" t="str">
        <f>VLOOKUP(C1268,[1]master_data!$A$2:$E$495,2,FALSE)</f>
        <v>SOLITER C2</v>
      </c>
      <c r="E1268" s="5">
        <v>5</v>
      </c>
      <c r="F1268" s="5">
        <f>VLOOKUP(C1268,[1]master_data!$A$2:$E$495,3,FALSE)</f>
        <v>60000</v>
      </c>
      <c r="G1268" s="5">
        <f>VLOOKUP(C1268,[1]master_data!$A$2:$E$495,4,FALSE)</f>
        <v>85000</v>
      </c>
      <c r="H1268" s="5">
        <f t="shared" si="63"/>
        <v>300000</v>
      </c>
      <c r="I1268" s="5">
        <f t="shared" si="64"/>
        <v>425000</v>
      </c>
      <c r="J1268" s="5">
        <f t="shared" si="65"/>
        <v>125000</v>
      </c>
      <c r="K1268" s="5" t="str">
        <f>VLOOKUP(C1268,[1]master_data!$A$2:$E$495,5,FALSE)</f>
        <v>Aksesoris</v>
      </c>
      <c r="L1268" s="5" t="s">
        <v>471</v>
      </c>
    </row>
    <row r="1269" spans="1:12" ht="12" customHeight="1" x14ac:dyDescent="0.25">
      <c r="A1269" s="6">
        <v>44789</v>
      </c>
      <c r="B1269" s="1">
        <v>2203294</v>
      </c>
      <c r="C1269" s="5" t="s">
        <v>431</v>
      </c>
      <c r="D1269" s="5" t="str">
        <f>VLOOKUP(C1269,[1]master_data!$A$2:$E$495,2,FALSE)</f>
        <v>MANFISH B</v>
      </c>
      <c r="E1269" s="5">
        <v>10</v>
      </c>
      <c r="F1269" s="5">
        <f>VLOOKUP(C1269,[1]master_data!$A$2:$E$495,3,FALSE)</f>
        <v>4000</v>
      </c>
      <c r="G1269" s="5">
        <f>VLOOKUP(C1269,[1]master_data!$A$2:$E$495,4,FALSE)</f>
        <v>10000</v>
      </c>
      <c r="H1269" s="5">
        <f t="shared" si="63"/>
        <v>40000</v>
      </c>
      <c r="I1269" s="5">
        <f t="shared" si="64"/>
        <v>100000</v>
      </c>
      <c r="J1269" s="5">
        <f t="shared" si="65"/>
        <v>60000</v>
      </c>
      <c r="K1269" s="5" t="str">
        <f>VLOOKUP(C1269,[1]master_data!$A$2:$E$495,5,FALSE)</f>
        <v>Ikan</v>
      </c>
      <c r="L1269" s="5" t="s">
        <v>471</v>
      </c>
    </row>
    <row r="1270" spans="1:12" ht="12" customHeight="1" x14ac:dyDescent="0.25">
      <c r="A1270" s="6">
        <v>44789</v>
      </c>
      <c r="B1270" s="1">
        <v>2203293</v>
      </c>
      <c r="C1270" s="5" t="s">
        <v>399</v>
      </c>
      <c r="D1270" s="5" t="str">
        <f>VLOOKUP(C1270,[1]master_data!$A$2:$E$495,2,FALSE)</f>
        <v>BUENOS AIRES TETRA</v>
      </c>
      <c r="E1270" s="5">
        <v>1</v>
      </c>
      <c r="F1270" s="5">
        <f>VLOOKUP(C1270,[1]master_data!$A$2:$E$495,3,FALSE)</f>
        <v>800</v>
      </c>
      <c r="G1270" s="5">
        <f>VLOOKUP(C1270,[1]master_data!$A$2:$E$495,4,FALSE)</f>
        <v>2000</v>
      </c>
      <c r="H1270" s="5">
        <f t="shared" si="63"/>
        <v>800</v>
      </c>
      <c r="I1270" s="5">
        <f t="shared" si="64"/>
        <v>2000</v>
      </c>
      <c r="J1270" s="5">
        <f t="shared" si="65"/>
        <v>1200</v>
      </c>
      <c r="K1270" s="5" t="str">
        <f>VLOOKUP(C1270,[1]master_data!$A$2:$E$495,5,FALSE)</f>
        <v>Ikan</v>
      </c>
      <c r="L1270" s="5" t="s">
        <v>471</v>
      </c>
    </row>
    <row r="1271" spans="1:12" ht="12" customHeight="1" x14ac:dyDescent="0.25">
      <c r="A1271" s="6">
        <v>44789</v>
      </c>
      <c r="B1271" s="1">
        <v>2203292</v>
      </c>
      <c r="C1271" s="5" t="s">
        <v>240</v>
      </c>
      <c r="D1271" s="5" t="str">
        <f>VLOOKUP(C1271,[1]master_data!$A$2:$E$495,2,FALSE)</f>
        <v>PREMIUM RED BG</v>
      </c>
      <c r="E1271" s="5">
        <v>1</v>
      </c>
      <c r="F1271" s="5">
        <f>VLOOKUP(C1271,[1]master_data!$A$2:$E$495,3,FALSE)</f>
        <v>12500</v>
      </c>
      <c r="G1271" s="5">
        <f>VLOOKUP(C1271,[1]master_data!$A$2:$E$495,4,FALSE)</f>
        <v>25000</v>
      </c>
      <c r="H1271" s="5">
        <f t="shared" si="63"/>
        <v>12500</v>
      </c>
      <c r="I1271" s="5">
        <f t="shared" si="64"/>
        <v>25000</v>
      </c>
      <c r="J1271" s="5">
        <f t="shared" si="65"/>
        <v>12500</v>
      </c>
      <c r="K1271" s="5" t="str">
        <f>VLOOKUP(C1271,[1]master_data!$A$2:$E$495,5,FALSE)</f>
        <v>Aksesoris</v>
      </c>
      <c r="L1271" s="5" t="s">
        <v>471</v>
      </c>
    </row>
    <row r="1272" spans="1:12" ht="12" customHeight="1" x14ac:dyDescent="0.25">
      <c r="A1272" s="6">
        <v>44789</v>
      </c>
      <c r="B1272" s="1">
        <v>2203291</v>
      </c>
      <c r="C1272" s="5" t="s">
        <v>114</v>
      </c>
      <c r="D1272" s="5" t="str">
        <f>VLOOKUP(C1272,[1]master_data!$A$2:$E$495,2,FALSE)</f>
        <v>LED ROSTON 3 MODE 20 CM</v>
      </c>
      <c r="E1272" s="5">
        <v>1</v>
      </c>
      <c r="F1272" s="5">
        <f>VLOOKUP(C1272,[1]master_data!$A$2:$E$495,3,FALSE)</f>
        <v>23000</v>
      </c>
      <c r="G1272" s="5">
        <f>VLOOKUP(C1272,[1]master_data!$A$2:$E$495,4,FALSE)</f>
        <v>40000</v>
      </c>
      <c r="H1272" s="5">
        <f t="shared" si="63"/>
        <v>23000</v>
      </c>
      <c r="I1272" s="5">
        <f t="shared" si="64"/>
        <v>40000</v>
      </c>
      <c r="J1272" s="5">
        <f t="shared" si="65"/>
        <v>17000</v>
      </c>
      <c r="K1272" s="5" t="str">
        <f>VLOOKUP(C1272,[1]master_data!$A$2:$E$495,5,FALSE)</f>
        <v>Aksesoris</v>
      </c>
      <c r="L1272" s="5" t="s">
        <v>471</v>
      </c>
    </row>
    <row r="1273" spans="1:12" ht="12" customHeight="1" x14ac:dyDescent="0.25">
      <c r="A1273" s="6">
        <v>44789</v>
      </c>
      <c r="B1273" s="1">
        <v>2203290</v>
      </c>
      <c r="C1273" s="5" t="s">
        <v>143</v>
      </c>
      <c r="D1273" s="5" t="str">
        <f>VLOOKUP(C1273,[1]master_data!$A$2:$E$495,2,FALSE)</f>
        <v>LED KANDILA DnN 40 CM</v>
      </c>
      <c r="E1273" s="5">
        <v>10</v>
      </c>
      <c r="F1273" s="5">
        <f>VLOOKUP(C1273,[1]master_data!$A$2:$E$495,3,FALSE)</f>
        <v>30000</v>
      </c>
      <c r="G1273" s="5">
        <f>VLOOKUP(C1273,[1]master_data!$A$2:$E$495,4,FALSE)</f>
        <v>50000</v>
      </c>
      <c r="H1273" s="5">
        <f t="shared" si="63"/>
        <v>300000</v>
      </c>
      <c r="I1273" s="5">
        <f t="shared" si="64"/>
        <v>500000</v>
      </c>
      <c r="J1273" s="5">
        <f t="shared" si="65"/>
        <v>200000</v>
      </c>
      <c r="K1273" s="5" t="str">
        <f>VLOOKUP(C1273,[1]master_data!$A$2:$E$495,5,FALSE)</f>
        <v>Aksesoris</v>
      </c>
      <c r="L1273" s="5" t="s">
        <v>471</v>
      </c>
    </row>
    <row r="1274" spans="1:12" ht="12" customHeight="1" x14ac:dyDescent="0.25">
      <c r="A1274" s="6">
        <v>44789</v>
      </c>
      <c r="B1274" s="1">
        <v>2203289</v>
      </c>
      <c r="C1274" s="5" t="s">
        <v>410</v>
      </c>
      <c r="D1274" s="5" t="str">
        <f>VLOOKUP(C1274,[1]master_data!$A$2:$E$495,2,FALSE)</f>
        <v>GUPY</v>
      </c>
      <c r="E1274" s="5">
        <v>20</v>
      </c>
      <c r="F1274" s="5">
        <f>VLOOKUP(C1274,[1]master_data!$A$2:$E$495,3,FALSE)</f>
        <v>1200</v>
      </c>
      <c r="G1274" s="5">
        <f>VLOOKUP(C1274,[1]master_data!$A$2:$E$495,4,FALSE)</f>
        <v>2500</v>
      </c>
      <c r="H1274" s="5">
        <f t="shared" si="63"/>
        <v>24000</v>
      </c>
      <c r="I1274" s="5">
        <f t="shared" si="64"/>
        <v>50000</v>
      </c>
      <c r="J1274" s="5">
        <f t="shared" si="65"/>
        <v>26000</v>
      </c>
      <c r="K1274" s="5" t="str">
        <f>VLOOKUP(C1274,[1]master_data!$A$2:$E$495,5,FALSE)</f>
        <v>Ikan</v>
      </c>
      <c r="L1274" s="5" t="s">
        <v>471</v>
      </c>
    </row>
    <row r="1275" spans="1:12" ht="12" customHeight="1" x14ac:dyDescent="0.25">
      <c r="A1275" s="6">
        <v>44789</v>
      </c>
      <c r="B1275" s="1">
        <v>2203288</v>
      </c>
      <c r="C1275" s="5" t="s">
        <v>450</v>
      </c>
      <c r="D1275" s="5" t="str">
        <f>VLOOKUP(C1275,[1]master_data!$A$2:$E$495,2,FALSE)</f>
        <v>SUMATRA BIASA</v>
      </c>
      <c r="E1275" s="5">
        <v>30</v>
      </c>
      <c r="F1275" s="5">
        <f>VLOOKUP(C1275,[1]master_data!$A$2:$E$495,3,FALSE)</f>
        <v>800</v>
      </c>
      <c r="G1275" s="5">
        <f>VLOOKUP(C1275,[1]master_data!$A$2:$E$495,4,FALSE)</f>
        <v>2000</v>
      </c>
      <c r="H1275" s="5">
        <f t="shared" si="63"/>
        <v>24000</v>
      </c>
      <c r="I1275" s="5">
        <f t="shared" si="64"/>
        <v>60000</v>
      </c>
      <c r="J1275" s="5">
        <f t="shared" si="65"/>
        <v>36000</v>
      </c>
      <c r="K1275" s="5" t="str">
        <f>VLOOKUP(C1275,[1]master_data!$A$2:$E$495,5,FALSE)</f>
        <v>Ikan</v>
      </c>
      <c r="L1275" s="5" t="s">
        <v>471</v>
      </c>
    </row>
    <row r="1276" spans="1:12" ht="12" customHeight="1" x14ac:dyDescent="0.25">
      <c r="A1276" s="6">
        <v>44789</v>
      </c>
      <c r="B1276" s="1">
        <v>2203287</v>
      </c>
      <c r="C1276" s="5" t="s">
        <v>427</v>
      </c>
      <c r="D1276" s="5" t="str">
        <f>VLOOKUP(C1276,[1]master_data!$A$2:$E$495,2,FALSE)</f>
        <v>LEMON</v>
      </c>
      <c r="E1276" s="5">
        <v>5</v>
      </c>
      <c r="F1276" s="5">
        <f>VLOOKUP(C1276,[1]master_data!$A$2:$E$495,3,FALSE)</f>
        <v>1000</v>
      </c>
      <c r="G1276" s="5">
        <f>VLOOKUP(C1276,[1]master_data!$A$2:$E$495,4,FALSE)</f>
        <v>2000</v>
      </c>
      <c r="H1276" s="5">
        <f t="shared" si="63"/>
        <v>5000</v>
      </c>
      <c r="I1276" s="5">
        <f t="shared" si="64"/>
        <v>10000</v>
      </c>
      <c r="J1276" s="5">
        <f t="shared" si="65"/>
        <v>5000</v>
      </c>
      <c r="K1276" s="5" t="str">
        <f>VLOOKUP(C1276,[1]master_data!$A$2:$E$495,5,FALSE)</f>
        <v>Ikan</v>
      </c>
      <c r="L1276" s="5" t="s">
        <v>471</v>
      </c>
    </row>
    <row r="1277" spans="1:12" ht="12" customHeight="1" x14ac:dyDescent="0.25">
      <c r="A1277" s="6">
        <v>44789</v>
      </c>
      <c r="B1277" s="1">
        <v>2203286</v>
      </c>
      <c r="C1277" s="5" t="s">
        <v>221</v>
      </c>
      <c r="D1277" s="5" t="str">
        <f>VLOOKUP(C1277,[1]master_data!$A$2:$E$495,2,FALSE)</f>
        <v>CP KOI GROWTH</v>
      </c>
      <c r="E1277" s="5">
        <v>2</v>
      </c>
      <c r="F1277" s="5">
        <f>VLOOKUP(C1277,[1]master_data!$A$2:$E$495,3,FALSE)</f>
        <v>38000</v>
      </c>
      <c r="G1277" s="5">
        <f>VLOOKUP(C1277,[1]master_data!$A$2:$E$495,4,FALSE)</f>
        <v>50000</v>
      </c>
      <c r="H1277" s="5">
        <f t="shared" si="63"/>
        <v>76000</v>
      </c>
      <c r="I1277" s="5">
        <f t="shared" si="64"/>
        <v>100000</v>
      </c>
      <c r="J1277" s="5">
        <f t="shared" si="65"/>
        <v>24000</v>
      </c>
      <c r="K1277" s="5" t="str">
        <f>VLOOKUP(C1277,[1]master_data!$A$2:$E$495,5,FALSE)</f>
        <v>Aksesoris</v>
      </c>
      <c r="L1277" s="5" t="s">
        <v>471</v>
      </c>
    </row>
    <row r="1278" spans="1:12" ht="12" customHeight="1" x14ac:dyDescent="0.25">
      <c r="A1278" s="6">
        <v>44788</v>
      </c>
      <c r="B1278" s="1">
        <v>2203285</v>
      </c>
      <c r="C1278" s="5" t="s">
        <v>460</v>
      </c>
      <c r="D1278" s="5" t="str">
        <f>VLOOKUP(C1278,[1]master_data!$A$2:$E$495,2,FALSE)</f>
        <v>ZEBRA KUNING</v>
      </c>
      <c r="E1278" s="5">
        <v>10</v>
      </c>
      <c r="F1278" s="5">
        <f>VLOOKUP(C1278,[1]master_data!$A$2:$E$495,3,FALSE)</f>
        <v>800</v>
      </c>
      <c r="G1278" s="5">
        <f>VLOOKUP(C1278,[1]master_data!$A$2:$E$495,4,FALSE)</f>
        <v>2000</v>
      </c>
      <c r="H1278" s="5">
        <f t="shared" si="63"/>
        <v>8000</v>
      </c>
      <c r="I1278" s="5">
        <f t="shared" si="64"/>
        <v>20000</v>
      </c>
      <c r="J1278" s="5">
        <f t="shared" si="65"/>
        <v>12000</v>
      </c>
      <c r="K1278" s="5" t="str">
        <f>VLOOKUP(C1278,[1]master_data!$A$2:$E$495,5,FALSE)</f>
        <v>Ikan</v>
      </c>
      <c r="L1278" s="5" t="s">
        <v>471</v>
      </c>
    </row>
    <row r="1279" spans="1:12" ht="12" customHeight="1" x14ac:dyDescent="0.25">
      <c r="A1279" s="6">
        <v>44788</v>
      </c>
      <c r="B1279" s="1">
        <v>2203284</v>
      </c>
      <c r="C1279" s="5" t="s">
        <v>385</v>
      </c>
      <c r="D1279" s="5" t="str">
        <f>VLOOKUP(C1279,[1]master_data!$A$2:$E$495,2,FALSE)</f>
        <v>BATU ZELOID</v>
      </c>
      <c r="E1279" s="5">
        <v>1</v>
      </c>
      <c r="F1279" s="5">
        <f>VLOOKUP(C1279,[1]master_data!$A$2:$E$495,3,FALSE)</f>
        <v>25000</v>
      </c>
      <c r="G1279" s="5">
        <f>VLOOKUP(C1279,[1]master_data!$A$2:$E$495,4,FALSE)</f>
        <v>35000</v>
      </c>
      <c r="H1279" s="5">
        <f t="shared" si="63"/>
        <v>25000</v>
      </c>
      <c r="I1279" s="5">
        <f t="shared" si="64"/>
        <v>35000</v>
      </c>
      <c r="J1279" s="5">
        <f t="shared" si="65"/>
        <v>10000</v>
      </c>
      <c r="K1279" s="5" t="str">
        <f>VLOOKUP(C1279,[1]master_data!$A$2:$E$495,5,FALSE)</f>
        <v>Aksesoris</v>
      </c>
      <c r="L1279" s="5" t="s">
        <v>471</v>
      </c>
    </row>
    <row r="1280" spans="1:12" ht="12" customHeight="1" x14ac:dyDescent="0.25">
      <c r="A1280" s="6">
        <v>44788</v>
      </c>
      <c r="B1280" s="1">
        <v>2203283</v>
      </c>
      <c r="C1280" s="5" t="s">
        <v>449</v>
      </c>
      <c r="D1280" s="5" t="str">
        <f>VLOOKUP(C1280,[1]master_data!$A$2:$E$495,2,FALSE)</f>
        <v>CHANNA RED BARITO B</v>
      </c>
      <c r="E1280" s="5">
        <v>1</v>
      </c>
      <c r="F1280" s="5">
        <f>VLOOKUP(C1280,[1]master_data!$A$2:$E$495,3,FALSE)</f>
        <v>120000</v>
      </c>
      <c r="G1280" s="5">
        <f>VLOOKUP(C1280,[1]master_data!$A$2:$E$495,4,FALSE)</f>
        <v>200000</v>
      </c>
      <c r="H1280" s="5">
        <f t="shared" si="63"/>
        <v>120000</v>
      </c>
      <c r="I1280" s="5">
        <f t="shared" si="64"/>
        <v>200000</v>
      </c>
      <c r="J1280" s="5">
        <f t="shared" si="65"/>
        <v>80000</v>
      </c>
      <c r="K1280" s="5" t="str">
        <f>VLOOKUP(C1280,[1]master_data!$A$2:$E$495,5,FALSE)</f>
        <v>Ikan</v>
      </c>
      <c r="L1280" s="5" t="s">
        <v>471</v>
      </c>
    </row>
    <row r="1281" spans="1:12" ht="12" customHeight="1" x14ac:dyDescent="0.25">
      <c r="A1281" s="6">
        <v>44788</v>
      </c>
      <c r="B1281" s="1">
        <v>2203282</v>
      </c>
      <c r="C1281" s="5" t="s">
        <v>397</v>
      </c>
      <c r="D1281" s="5" t="str">
        <f>VLOOKUP(C1281,[1]master_data!$A$2:$E$495,2,FALSE)</f>
        <v>ALIGATOR</v>
      </c>
      <c r="E1281" s="5">
        <v>2</v>
      </c>
      <c r="F1281" s="5">
        <f>VLOOKUP(C1281,[1]master_data!$A$2:$E$495,3,FALSE)</f>
        <v>17000</v>
      </c>
      <c r="G1281" s="5">
        <f>VLOOKUP(C1281,[1]master_data!$A$2:$E$495,4,FALSE)</f>
        <v>35000</v>
      </c>
      <c r="H1281" s="5">
        <f t="shared" si="63"/>
        <v>34000</v>
      </c>
      <c r="I1281" s="5">
        <f t="shared" si="64"/>
        <v>70000</v>
      </c>
      <c r="J1281" s="5">
        <f t="shared" si="65"/>
        <v>36000</v>
      </c>
      <c r="K1281" s="5" t="str">
        <f>VLOOKUP(C1281,[1]master_data!$A$2:$E$495,5,FALSE)</f>
        <v>Ikan</v>
      </c>
      <c r="L1281" s="5" t="s">
        <v>471</v>
      </c>
    </row>
    <row r="1282" spans="1:12" ht="12" customHeight="1" x14ac:dyDescent="0.25">
      <c r="A1282" s="6">
        <v>44788</v>
      </c>
      <c r="B1282" s="1">
        <v>2203281</v>
      </c>
      <c r="C1282" s="5" t="s">
        <v>291</v>
      </c>
      <c r="D1282" s="5" t="str">
        <f>VLOOKUP(C1282,[1]master_data!$A$2:$E$495,2,FALSE)</f>
        <v>MAINAN KODOK</v>
      </c>
      <c r="E1282" s="5">
        <v>1</v>
      </c>
      <c r="F1282" s="5">
        <f>VLOOKUP(C1282,[1]master_data!$A$2:$E$495,3,FALSE)</f>
        <v>11000</v>
      </c>
      <c r="G1282" s="5">
        <f>VLOOKUP(C1282,[1]master_data!$A$2:$E$495,4,FALSE)</f>
        <v>20000</v>
      </c>
      <c r="H1282" s="5">
        <f t="shared" si="63"/>
        <v>11000</v>
      </c>
      <c r="I1282" s="5">
        <f t="shared" si="64"/>
        <v>20000</v>
      </c>
      <c r="J1282" s="5">
        <f t="shared" si="65"/>
        <v>9000</v>
      </c>
      <c r="K1282" s="5" t="str">
        <f>VLOOKUP(C1282,[1]master_data!$A$2:$E$495,5,FALSE)</f>
        <v>Aksesoris</v>
      </c>
      <c r="L1282" s="5" t="s">
        <v>471</v>
      </c>
    </row>
    <row r="1283" spans="1:12" ht="12" customHeight="1" x14ac:dyDescent="0.25">
      <c r="A1283" s="6">
        <v>44788</v>
      </c>
      <c r="B1283" s="1">
        <v>2203280</v>
      </c>
      <c r="C1283" s="5" t="s">
        <v>430</v>
      </c>
      <c r="D1283" s="5" t="str">
        <f>VLOOKUP(C1283,[1]master_data!$A$2:$E$495,2,FALSE)</f>
        <v>MANFISH K</v>
      </c>
      <c r="E1283" s="5">
        <v>15</v>
      </c>
      <c r="F1283" s="5">
        <f>VLOOKUP(C1283,[1]master_data!$A$2:$E$495,3,FALSE)</f>
        <v>2000</v>
      </c>
      <c r="G1283" s="5">
        <f>VLOOKUP(C1283,[1]master_data!$A$2:$E$495,4,FALSE)</f>
        <v>5000</v>
      </c>
      <c r="H1283" s="5">
        <f t="shared" si="63"/>
        <v>30000</v>
      </c>
      <c r="I1283" s="5">
        <f t="shared" si="64"/>
        <v>75000</v>
      </c>
      <c r="J1283" s="5">
        <f t="shared" si="65"/>
        <v>45000</v>
      </c>
      <c r="K1283" s="5" t="str">
        <f>VLOOKUP(C1283,[1]master_data!$A$2:$E$495,5,FALSE)</f>
        <v>Ikan</v>
      </c>
      <c r="L1283" s="5" t="s">
        <v>471</v>
      </c>
    </row>
    <row r="1284" spans="1:12" ht="12" customHeight="1" x14ac:dyDescent="0.25">
      <c r="A1284" s="6">
        <v>44788</v>
      </c>
      <c r="B1284" s="1">
        <v>2203279</v>
      </c>
      <c r="C1284" s="5" t="s">
        <v>198</v>
      </c>
      <c r="D1284" s="5" t="str">
        <f>VLOOKUP(C1284,[1]master_data!$A$2:$E$495,2,FALSE)</f>
        <v>AKARI PREMIUM BLUE</v>
      </c>
      <c r="E1284" s="5">
        <v>2</v>
      </c>
      <c r="F1284" s="5">
        <f>VLOOKUP(C1284,[1]master_data!$A$2:$E$495,3,FALSE)</f>
        <v>37000</v>
      </c>
      <c r="G1284" s="5">
        <f>VLOOKUP(C1284,[1]master_data!$A$2:$E$495,4,FALSE)</f>
        <v>50000</v>
      </c>
      <c r="H1284" s="5">
        <f t="shared" si="63"/>
        <v>74000</v>
      </c>
      <c r="I1284" s="5">
        <f t="shared" si="64"/>
        <v>100000</v>
      </c>
      <c r="J1284" s="5">
        <f t="shared" si="65"/>
        <v>26000</v>
      </c>
      <c r="K1284" s="5" t="str">
        <f>VLOOKUP(C1284,[1]master_data!$A$2:$E$495,5,FALSE)</f>
        <v>Aksesoris</v>
      </c>
      <c r="L1284" s="5" t="s">
        <v>471</v>
      </c>
    </row>
    <row r="1285" spans="1:12" ht="12" customHeight="1" x14ac:dyDescent="0.25">
      <c r="A1285" s="6">
        <v>44788</v>
      </c>
      <c r="B1285" s="1">
        <v>2203278</v>
      </c>
      <c r="C1285" s="5" t="s">
        <v>453</v>
      </c>
      <c r="D1285" s="5" t="str">
        <f>VLOOKUP(C1285,[1]master_data!$A$2:$E$495,2,FALSE)</f>
        <v>SYNODONTIS K</v>
      </c>
      <c r="E1285" s="5">
        <v>15</v>
      </c>
      <c r="F1285" s="5">
        <f>VLOOKUP(C1285,[1]master_data!$A$2:$E$495,3,FALSE)</f>
        <v>1500</v>
      </c>
      <c r="G1285" s="5">
        <f>VLOOKUP(C1285,[1]master_data!$A$2:$E$495,4,FALSE)</f>
        <v>5000</v>
      </c>
      <c r="H1285" s="5">
        <f t="shared" ref="H1285:H1348" si="66">E1285*F1285</f>
        <v>22500</v>
      </c>
      <c r="I1285" s="5">
        <f t="shared" ref="I1285:I1348" si="67">E1285*G1285</f>
        <v>75000</v>
      </c>
      <c r="J1285" s="5">
        <f t="shared" ref="J1285:J1348" si="68">I1285-H1285</f>
        <v>52500</v>
      </c>
      <c r="K1285" s="5" t="str">
        <f>VLOOKUP(C1285,[1]master_data!$A$2:$E$495,5,FALSE)</f>
        <v>Ikan</v>
      </c>
      <c r="L1285" s="5" t="s">
        <v>471</v>
      </c>
    </row>
    <row r="1286" spans="1:12" ht="12" customHeight="1" x14ac:dyDescent="0.25">
      <c r="A1286" s="6">
        <v>44788</v>
      </c>
      <c r="B1286" s="1">
        <v>2203277</v>
      </c>
      <c r="C1286" s="5" t="s">
        <v>440</v>
      </c>
      <c r="D1286" s="5" t="str">
        <f>VLOOKUP(C1286,[1]master_data!$A$2:$E$495,2,FALSE)</f>
        <v>OSCAR</v>
      </c>
      <c r="E1286" s="5">
        <v>2</v>
      </c>
      <c r="F1286" s="5">
        <f>VLOOKUP(C1286,[1]master_data!$A$2:$E$495,3,FALSE)</f>
        <v>25000</v>
      </c>
      <c r="G1286" s="5">
        <f>VLOOKUP(C1286,[1]master_data!$A$2:$E$495,4,FALSE)</f>
        <v>50000</v>
      </c>
      <c r="H1286" s="5">
        <f t="shared" si="66"/>
        <v>50000</v>
      </c>
      <c r="I1286" s="5">
        <f t="shared" si="67"/>
        <v>100000</v>
      </c>
      <c r="J1286" s="5">
        <f t="shared" si="68"/>
        <v>50000</v>
      </c>
      <c r="K1286" s="5" t="str">
        <f>VLOOKUP(C1286,[1]master_data!$A$2:$E$495,5,FALSE)</f>
        <v>Ikan</v>
      </c>
      <c r="L1286" s="5" t="s">
        <v>471</v>
      </c>
    </row>
    <row r="1287" spans="1:12" ht="12" customHeight="1" x14ac:dyDescent="0.25">
      <c r="A1287" s="6">
        <v>44788</v>
      </c>
      <c r="B1287" s="1">
        <v>2203276</v>
      </c>
      <c r="C1287" s="5" t="s">
        <v>391</v>
      </c>
      <c r="D1287" s="5" t="str">
        <f>VLOOKUP(C1287,[1]master_data!$A$2:$E$495,2,FALSE)</f>
        <v>CHANNA ANDRAO K</v>
      </c>
      <c r="E1287" s="5">
        <v>1</v>
      </c>
      <c r="F1287" s="5">
        <f>VLOOKUP(C1287,[1]master_data!$A$2:$E$495,3,FALSE)</f>
        <v>20000</v>
      </c>
      <c r="G1287" s="5">
        <f>VLOOKUP(C1287,[1]master_data!$A$2:$E$495,4,FALSE)</f>
        <v>50000</v>
      </c>
      <c r="H1287" s="5">
        <f t="shared" si="66"/>
        <v>20000</v>
      </c>
      <c r="I1287" s="5">
        <f t="shared" si="67"/>
        <v>50000</v>
      </c>
      <c r="J1287" s="5">
        <f t="shared" si="68"/>
        <v>30000</v>
      </c>
      <c r="K1287" s="5" t="str">
        <f>VLOOKUP(C1287,[1]master_data!$A$2:$E$495,5,FALSE)</f>
        <v>Ikan</v>
      </c>
      <c r="L1287" s="5" t="s">
        <v>471</v>
      </c>
    </row>
    <row r="1288" spans="1:12" ht="12" customHeight="1" x14ac:dyDescent="0.25">
      <c r="A1288" s="6">
        <v>44788</v>
      </c>
      <c r="B1288" s="1">
        <v>2203275</v>
      </c>
      <c r="C1288" s="5" t="s">
        <v>458</v>
      </c>
      <c r="D1288" s="5" t="str">
        <f>VLOOKUP(C1288,[1]master_data!$A$2:$E$495,2,FALSE)</f>
        <v>ZEBRA HIJAU</v>
      </c>
      <c r="E1288" s="5">
        <v>20</v>
      </c>
      <c r="F1288" s="5">
        <f>VLOOKUP(C1288,[1]master_data!$A$2:$E$495,3,FALSE)</f>
        <v>800</v>
      </c>
      <c r="G1288" s="5">
        <f>VLOOKUP(C1288,[1]master_data!$A$2:$E$495,4,FALSE)</f>
        <v>2000</v>
      </c>
      <c r="H1288" s="5">
        <f t="shared" si="66"/>
        <v>16000</v>
      </c>
      <c r="I1288" s="5">
        <f t="shared" si="67"/>
        <v>40000</v>
      </c>
      <c r="J1288" s="5">
        <f t="shared" si="68"/>
        <v>24000</v>
      </c>
      <c r="K1288" s="5" t="str">
        <f>VLOOKUP(C1288,[1]master_data!$A$2:$E$495,5,FALSE)</f>
        <v>Ikan</v>
      </c>
      <c r="L1288" s="5" t="s">
        <v>471</v>
      </c>
    </row>
    <row r="1289" spans="1:12" ht="12" customHeight="1" x14ac:dyDescent="0.25">
      <c r="A1289" s="6">
        <v>44788</v>
      </c>
      <c r="B1289" s="1">
        <v>2203274</v>
      </c>
      <c r="C1289" s="5" t="s">
        <v>393</v>
      </c>
      <c r="D1289" s="5" t="str">
        <f>VLOOKUP(C1289,[1]master_data!$A$2:$E$495,2,FALSE)</f>
        <v>CHANNA ANDRAO B</v>
      </c>
      <c r="E1289" s="5">
        <v>1</v>
      </c>
      <c r="F1289" s="5">
        <f>VLOOKUP(C1289,[1]master_data!$A$2:$E$495,3,FALSE)</f>
        <v>100000</v>
      </c>
      <c r="G1289" s="5">
        <f>VLOOKUP(C1289,[1]master_data!$A$2:$E$495,4,FALSE)</f>
        <v>200000</v>
      </c>
      <c r="H1289" s="5">
        <f t="shared" si="66"/>
        <v>100000</v>
      </c>
      <c r="I1289" s="5">
        <f t="shared" si="67"/>
        <v>200000</v>
      </c>
      <c r="J1289" s="5">
        <f t="shared" si="68"/>
        <v>100000</v>
      </c>
      <c r="K1289" s="5" t="str">
        <f>VLOOKUP(C1289,[1]master_data!$A$2:$E$495,5,FALSE)</f>
        <v>Ikan</v>
      </c>
      <c r="L1289" s="5" t="s">
        <v>471</v>
      </c>
    </row>
    <row r="1290" spans="1:12" ht="12" customHeight="1" x14ac:dyDescent="0.25">
      <c r="A1290" s="6">
        <v>44788</v>
      </c>
      <c r="B1290" s="1">
        <v>2203273</v>
      </c>
      <c r="C1290" s="5" t="s">
        <v>322</v>
      </c>
      <c r="D1290" s="5" t="str">
        <f>VLOOKUP(C1290,[1]master_data!$A$2:$E$495,2,FALSE)</f>
        <v>AIRSTONE PANJANG 10</v>
      </c>
      <c r="E1290" s="5">
        <v>10</v>
      </c>
      <c r="F1290" s="5">
        <f>VLOOKUP(C1290,[1]master_data!$A$2:$E$495,3,FALSE)</f>
        <v>12000</v>
      </c>
      <c r="G1290" s="5">
        <f>VLOOKUP(C1290,[1]master_data!$A$2:$E$495,4,FALSE)</f>
        <v>20000</v>
      </c>
      <c r="H1290" s="5">
        <f t="shared" si="66"/>
        <v>120000</v>
      </c>
      <c r="I1290" s="5">
        <f t="shared" si="67"/>
        <v>200000</v>
      </c>
      <c r="J1290" s="5">
        <f t="shared" si="68"/>
        <v>80000</v>
      </c>
      <c r="K1290" s="5" t="str">
        <f>VLOOKUP(C1290,[1]master_data!$A$2:$E$495,5,FALSE)</f>
        <v>Aksesoris</v>
      </c>
      <c r="L1290" s="5" t="s">
        <v>471</v>
      </c>
    </row>
    <row r="1291" spans="1:12" ht="12" customHeight="1" x14ac:dyDescent="0.25">
      <c r="A1291" s="6">
        <v>44787</v>
      </c>
      <c r="B1291" s="1">
        <v>2203272</v>
      </c>
      <c r="C1291" s="5" t="s">
        <v>86</v>
      </c>
      <c r="D1291" s="5" t="str">
        <f>VLOOKUP(C1291,[1]master_data!$A$2:$E$495,2,FALSE)</f>
        <v>MESIN SOBO B 12000</v>
      </c>
      <c r="E1291" s="5">
        <v>1</v>
      </c>
      <c r="F1291" s="5">
        <f>VLOOKUP(C1291,[1]master_data!$A$2:$E$495,3,FALSE)</f>
        <v>597000</v>
      </c>
      <c r="G1291" s="5">
        <f>VLOOKUP(C1291,[1]master_data!$A$2:$E$495,4,FALSE)</f>
        <v>770000</v>
      </c>
      <c r="H1291" s="5">
        <f t="shared" si="66"/>
        <v>597000</v>
      </c>
      <c r="I1291" s="5">
        <f t="shared" si="67"/>
        <v>770000</v>
      </c>
      <c r="J1291" s="5">
        <f t="shared" si="68"/>
        <v>173000</v>
      </c>
      <c r="K1291" s="5" t="str">
        <f>VLOOKUP(C1291,[1]master_data!$A$2:$E$495,5,FALSE)</f>
        <v>Aksesoris</v>
      </c>
      <c r="L1291" s="5" t="s">
        <v>471</v>
      </c>
    </row>
    <row r="1292" spans="1:12" ht="12" customHeight="1" x14ac:dyDescent="0.25">
      <c r="A1292" s="6">
        <v>44787</v>
      </c>
      <c r="B1292" s="1">
        <v>2203271</v>
      </c>
      <c r="C1292" s="5" t="s">
        <v>16</v>
      </c>
      <c r="D1292" s="5" t="str">
        <f>VLOOKUP(C1292,[1]master_data!$A$2:$E$495,2,FALSE)</f>
        <v>HANG ON YANG 502</v>
      </c>
      <c r="E1292" s="5">
        <v>2</v>
      </c>
      <c r="F1292" s="5">
        <f>VLOOKUP(C1292,[1]master_data!$A$2:$E$495,3,FALSE)</f>
        <v>71000</v>
      </c>
      <c r="G1292" s="5">
        <f>VLOOKUP(C1292,[1]master_data!$A$2:$E$495,4,FALSE)</f>
        <v>95000</v>
      </c>
      <c r="H1292" s="5">
        <f t="shared" si="66"/>
        <v>142000</v>
      </c>
      <c r="I1292" s="5">
        <f t="shared" si="67"/>
        <v>190000</v>
      </c>
      <c r="J1292" s="5">
        <f t="shared" si="68"/>
        <v>48000</v>
      </c>
      <c r="K1292" s="5" t="str">
        <f>VLOOKUP(C1292,[1]master_data!$A$2:$E$495,5,FALSE)</f>
        <v>Aksesoris</v>
      </c>
      <c r="L1292" s="5" t="s">
        <v>471</v>
      </c>
    </row>
    <row r="1293" spans="1:12" ht="12" customHeight="1" x14ac:dyDescent="0.25">
      <c r="A1293" s="6">
        <v>44787</v>
      </c>
      <c r="B1293" s="1">
        <v>2203270</v>
      </c>
      <c r="C1293" s="5" t="s">
        <v>391</v>
      </c>
      <c r="D1293" s="5" t="str">
        <f>VLOOKUP(C1293,[1]master_data!$A$2:$E$495,2,FALSE)</f>
        <v>CHANNA ANDRAO K</v>
      </c>
      <c r="E1293" s="5">
        <v>1</v>
      </c>
      <c r="F1293" s="5">
        <f>VLOOKUP(C1293,[1]master_data!$A$2:$E$495,3,FALSE)</f>
        <v>20000</v>
      </c>
      <c r="G1293" s="5">
        <f>VLOOKUP(C1293,[1]master_data!$A$2:$E$495,4,FALSE)</f>
        <v>50000</v>
      </c>
      <c r="H1293" s="5">
        <f t="shared" si="66"/>
        <v>20000</v>
      </c>
      <c r="I1293" s="5">
        <f t="shared" si="67"/>
        <v>50000</v>
      </c>
      <c r="J1293" s="5">
        <f t="shared" si="68"/>
        <v>30000</v>
      </c>
      <c r="K1293" s="5" t="str">
        <f>VLOOKUP(C1293,[1]master_data!$A$2:$E$495,5,FALSE)</f>
        <v>Ikan</v>
      </c>
      <c r="L1293" s="5" t="s">
        <v>471</v>
      </c>
    </row>
    <row r="1294" spans="1:12" ht="12" customHeight="1" x14ac:dyDescent="0.25">
      <c r="A1294" s="6">
        <v>44787</v>
      </c>
      <c r="B1294" s="1">
        <v>2203269</v>
      </c>
      <c r="C1294" s="5" t="s">
        <v>405</v>
      </c>
      <c r="D1294" s="5" t="str">
        <f>VLOOKUP(C1294,[1]master_data!$A$2:$E$495,2,FALSE)</f>
        <v>KOMET BOKIM</v>
      </c>
      <c r="E1294" s="5">
        <v>15</v>
      </c>
      <c r="F1294" s="5">
        <f>VLOOKUP(C1294,[1]master_data!$A$2:$E$495,3,FALSE)</f>
        <v>1500</v>
      </c>
      <c r="G1294" s="5">
        <f>VLOOKUP(C1294,[1]master_data!$A$2:$E$495,4,FALSE)</f>
        <v>5000</v>
      </c>
      <c r="H1294" s="5">
        <f t="shared" si="66"/>
        <v>22500</v>
      </c>
      <c r="I1294" s="5">
        <f t="shared" si="67"/>
        <v>75000</v>
      </c>
      <c r="J1294" s="5">
        <f t="shared" si="68"/>
        <v>52500</v>
      </c>
      <c r="K1294" s="5" t="str">
        <f>VLOOKUP(C1294,[1]master_data!$A$2:$E$495,5,FALSE)</f>
        <v>Ikan</v>
      </c>
      <c r="L1294" s="5" t="s">
        <v>471</v>
      </c>
    </row>
    <row r="1295" spans="1:12" ht="12" customHeight="1" x14ac:dyDescent="0.25">
      <c r="A1295" s="6">
        <v>44787</v>
      </c>
      <c r="B1295" s="1">
        <v>2203268</v>
      </c>
      <c r="C1295" s="5" t="s">
        <v>256</v>
      </c>
      <c r="D1295" s="5" t="str">
        <f>VLOOKUP(C1295,[1]master_data!$A$2:$E$495,2,FALSE)</f>
        <v>BACKGROUND</v>
      </c>
      <c r="E1295" s="5">
        <v>9</v>
      </c>
      <c r="F1295" s="5">
        <f>VLOOKUP(C1295,[1]master_data!$A$2:$E$495,3,FALSE)</f>
        <v>8000</v>
      </c>
      <c r="G1295" s="5">
        <f>VLOOKUP(C1295,[1]master_data!$A$2:$E$495,4,FALSE)</f>
        <v>15000</v>
      </c>
      <c r="H1295" s="5">
        <f t="shared" si="66"/>
        <v>72000</v>
      </c>
      <c r="I1295" s="5">
        <f t="shared" si="67"/>
        <v>135000</v>
      </c>
      <c r="J1295" s="5">
        <f t="shared" si="68"/>
        <v>63000</v>
      </c>
      <c r="K1295" s="5" t="str">
        <f>VLOOKUP(C1295,[1]master_data!$A$2:$E$495,5,FALSE)</f>
        <v>Aksesoris</v>
      </c>
      <c r="L1295" s="5" t="s">
        <v>471</v>
      </c>
    </row>
    <row r="1296" spans="1:12" ht="12" customHeight="1" x14ac:dyDescent="0.25">
      <c r="A1296" s="6">
        <v>44787</v>
      </c>
      <c r="B1296" s="1">
        <v>2203267</v>
      </c>
      <c r="C1296" s="5" t="s">
        <v>423</v>
      </c>
      <c r="D1296" s="5" t="str">
        <f>VLOOKUP(C1296,[1]master_data!$A$2:$E$495,2,FALSE)</f>
        <v>KOI SLAYER K</v>
      </c>
      <c r="E1296" s="5">
        <v>1</v>
      </c>
      <c r="F1296" s="5">
        <f>VLOOKUP(C1296,[1]master_data!$A$2:$E$495,3,FALSE)</f>
        <v>3500</v>
      </c>
      <c r="G1296" s="5">
        <f>VLOOKUP(C1296,[1]master_data!$A$2:$E$495,4,FALSE)</f>
        <v>10000</v>
      </c>
      <c r="H1296" s="5">
        <f t="shared" si="66"/>
        <v>3500</v>
      </c>
      <c r="I1296" s="5">
        <f t="shared" si="67"/>
        <v>10000</v>
      </c>
      <c r="J1296" s="5">
        <f t="shared" si="68"/>
        <v>6500</v>
      </c>
      <c r="K1296" s="5" t="str">
        <f>VLOOKUP(C1296,[1]master_data!$A$2:$E$495,5,FALSE)</f>
        <v>Ikan</v>
      </c>
      <c r="L1296" s="5" t="s">
        <v>471</v>
      </c>
    </row>
    <row r="1297" spans="1:12" ht="12" customHeight="1" x14ac:dyDescent="0.25">
      <c r="A1297" s="6">
        <v>44787</v>
      </c>
      <c r="B1297" s="1">
        <v>2203266</v>
      </c>
      <c r="C1297" s="5" t="s">
        <v>446</v>
      </c>
      <c r="D1297" s="5" t="str">
        <f>VLOOKUP(C1297,[1]master_data!$A$2:$E$495,2,FALSE)</f>
        <v>REDFIN HITAM</v>
      </c>
      <c r="E1297" s="5">
        <v>20</v>
      </c>
      <c r="F1297" s="5">
        <f>VLOOKUP(C1297,[1]master_data!$A$2:$E$495,3,FALSE)</f>
        <v>1500</v>
      </c>
      <c r="G1297" s="5">
        <f>VLOOKUP(C1297,[1]master_data!$A$2:$E$495,4,FALSE)</f>
        <v>4000</v>
      </c>
      <c r="H1297" s="5">
        <f t="shared" si="66"/>
        <v>30000</v>
      </c>
      <c r="I1297" s="5">
        <f t="shared" si="67"/>
        <v>80000</v>
      </c>
      <c r="J1297" s="5">
        <f t="shared" si="68"/>
        <v>50000</v>
      </c>
      <c r="K1297" s="5" t="str">
        <f>VLOOKUP(C1297,[1]master_data!$A$2:$E$495,5,FALSE)</f>
        <v>Ikan</v>
      </c>
      <c r="L1297" s="5" t="s">
        <v>471</v>
      </c>
    </row>
    <row r="1298" spans="1:12" ht="12" customHeight="1" x14ac:dyDescent="0.25">
      <c r="A1298" s="6">
        <v>44787</v>
      </c>
      <c r="B1298" s="1">
        <v>2203265</v>
      </c>
      <c r="C1298" s="5" t="s">
        <v>256</v>
      </c>
      <c r="D1298" s="5" t="str">
        <f>VLOOKUP(C1298,[1]master_data!$A$2:$E$495,2,FALSE)</f>
        <v>BACKGROUND</v>
      </c>
      <c r="E1298" s="5">
        <v>10</v>
      </c>
      <c r="F1298" s="5">
        <f>VLOOKUP(C1298,[1]master_data!$A$2:$E$495,3,FALSE)</f>
        <v>8000</v>
      </c>
      <c r="G1298" s="5">
        <f>VLOOKUP(C1298,[1]master_data!$A$2:$E$495,4,FALSE)</f>
        <v>15000</v>
      </c>
      <c r="H1298" s="5">
        <f t="shared" si="66"/>
        <v>80000</v>
      </c>
      <c r="I1298" s="5">
        <f t="shared" si="67"/>
        <v>150000</v>
      </c>
      <c r="J1298" s="5">
        <f t="shared" si="68"/>
        <v>70000</v>
      </c>
      <c r="K1298" s="5" t="str">
        <f>VLOOKUP(C1298,[1]master_data!$A$2:$E$495,5,FALSE)</f>
        <v>Aksesoris</v>
      </c>
      <c r="L1298" s="5" t="s">
        <v>471</v>
      </c>
    </row>
    <row r="1299" spans="1:12" ht="12" customHeight="1" x14ac:dyDescent="0.25">
      <c r="A1299" s="6">
        <v>44787</v>
      </c>
      <c r="B1299" s="1">
        <v>2203264</v>
      </c>
      <c r="C1299" s="5" t="s">
        <v>296</v>
      </c>
      <c r="D1299" s="5" t="str">
        <f>VLOOKUP(C1299,[1]master_data!$A$2:$E$495,2,FALSE)</f>
        <v>MAGNET S</v>
      </c>
      <c r="E1299" s="5">
        <v>5</v>
      </c>
      <c r="F1299" s="5">
        <f>VLOOKUP(C1299,[1]master_data!$A$2:$E$495,3,FALSE)</f>
        <v>20000</v>
      </c>
      <c r="G1299" s="5">
        <f>VLOOKUP(C1299,[1]master_data!$A$2:$E$495,4,FALSE)</f>
        <v>30000</v>
      </c>
      <c r="H1299" s="5">
        <f t="shared" si="66"/>
        <v>100000</v>
      </c>
      <c r="I1299" s="5">
        <f t="shared" si="67"/>
        <v>150000</v>
      </c>
      <c r="J1299" s="5">
        <f t="shared" si="68"/>
        <v>50000</v>
      </c>
      <c r="K1299" s="5" t="str">
        <f>VLOOKUP(C1299,[1]master_data!$A$2:$E$495,5,FALSE)</f>
        <v>Aksesoris</v>
      </c>
      <c r="L1299" s="5" t="s">
        <v>471</v>
      </c>
    </row>
    <row r="1300" spans="1:12" ht="12" customHeight="1" x14ac:dyDescent="0.25">
      <c r="A1300" s="6">
        <v>44786</v>
      </c>
      <c r="B1300" s="1">
        <v>2203263</v>
      </c>
      <c r="C1300" s="5" t="s">
        <v>398</v>
      </c>
      <c r="D1300" s="5" t="str">
        <f>VLOOKUP(C1300,[1]master_data!$A$2:$E$495,2,FALSE)</f>
        <v>BIPOLAR</v>
      </c>
      <c r="E1300" s="5">
        <v>15</v>
      </c>
      <c r="F1300" s="5">
        <f>VLOOKUP(C1300,[1]master_data!$A$2:$E$495,3,FALSE)</f>
        <v>1000</v>
      </c>
      <c r="G1300" s="5">
        <f>VLOOKUP(C1300,[1]master_data!$A$2:$E$495,4,FALSE)</f>
        <v>2500</v>
      </c>
      <c r="H1300" s="5">
        <f t="shared" si="66"/>
        <v>15000</v>
      </c>
      <c r="I1300" s="5">
        <f t="shared" si="67"/>
        <v>37500</v>
      </c>
      <c r="J1300" s="5">
        <f t="shared" si="68"/>
        <v>22500</v>
      </c>
      <c r="K1300" s="5" t="str">
        <f>VLOOKUP(C1300,[1]master_data!$A$2:$E$495,5,FALSE)</f>
        <v>Ikan</v>
      </c>
      <c r="L1300" s="5" t="s">
        <v>471</v>
      </c>
    </row>
    <row r="1301" spans="1:12" ht="12" customHeight="1" x14ac:dyDescent="0.25">
      <c r="A1301" s="6">
        <v>44786</v>
      </c>
      <c r="B1301" s="1">
        <v>2203262</v>
      </c>
      <c r="C1301" s="5" t="s">
        <v>423</v>
      </c>
      <c r="D1301" s="5" t="str">
        <f>VLOOKUP(C1301,[1]master_data!$A$2:$E$495,2,FALSE)</f>
        <v>KOI SLAYER K</v>
      </c>
      <c r="E1301" s="5">
        <v>30</v>
      </c>
      <c r="F1301" s="5">
        <f>VLOOKUP(C1301,[1]master_data!$A$2:$E$495,3,FALSE)</f>
        <v>3500</v>
      </c>
      <c r="G1301" s="5">
        <f>VLOOKUP(C1301,[1]master_data!$A$2:$E$495,4,FALSE)</f>
        <v>10000</v>
      </c>
      <c r="H1301" s="5">
        <f t="shared" si="66"/>
        <v>105000</v>
      </c>
      <c r="I1301" s="5">
        <f t="shared" si="67"/>
        <v>300000</v>
      </c>
      <c r="J1301" s="5">
        <f t="shared" si="68"/>
        <v>195000</v>
      </c>
      <c r="K1301" s="5" t="str">
        <f>VLOOKUP(C1301,[1]master_data!$A$2:$E$495,5,FALSE)</f>
        <v>Ikan</v>
      </c>
      <c r="L1301" s="5" t="s">
        <v>471</v>
      </c>
    </row>
    <row r="1302" spans="1:12" ht="12" customHeight="1" x14ac:dyDescent="0.25">
      <c r="A1302" s="6">
        <v>44786</v>
      </c>
      <c r="B1302" s="1">
        <v>2203261</v>
      </c>
      <c r="C1302" s="5" t="s">
        <v>401</v>
      </c>
      <c r="D1302" s="5" t="str">
        <f>VLOOKUP(C1302,[1]master_data!$A$2:$E$495,2,FALSE)</f>
        <v>BALA BALA B</v>
      </c>
      <c r="E1302" s="5">
        <v>1</v>
      </c>
      <c r="F1302" s="5">
        <f>VLOOKUP(C1302,[1]master_data!$A$2:$E$495,3,FALSE)</f>
        <v>7000</v>
      </c>
      <c r="G1302" s="5">
        <f>VLOOKUP(C1302,[1]master_data!$A$2:$E$495,4,FALSE)</f>
        <v>15000</v>
      </c>
      <c r="H1302" s="5">
        <f t="shared" si="66"/>
        <v>7000</v>
      </c>
      <c r="I1302" s="5">
        <f t="shared" si="67"/>
        <v>15000</v>
      </c>
      <c r="J1302" s="5">
        <f t="shared" si="68"/>
        <v>8000</v>
      </c>
      <c r="K1302" s="5" t="str">
        <f>VLOOKUP(C1302,[1]master_data!$A$2:$E$495,5,FALSE)</f>
        <v>Ikan</v>
      </c>
      <c r="L1302" s="5" t="s">
        <v>471</v>
      </c>
    </row>
    <row r="1303" spans="1:12" ht="12" customHeight="1" x14ac:dyDescent="0.25">
      <c r="A1303" s="6">
        <v>44786</v>
      </c>
      <c r="B1303" s="1">
        <v>2203260</v>
      </c>
      <c r="C1303" s="5" t="s">
        <v>365</v>
      </c>
      <c r="D1303" s="5" t="str">
        <f>VLOOKUP(C1303,[1]master_data!$A$2:$E$495,2,FALSE)</f>
        <v>TUTUP AKUARIUM S</v>
      </c>
      <c r="E1303" s="5">
        <v>1</v>
      </c>
      <c r="F1303" s="5">
        <f>VLOOKUP(C1303,[1]master_data!$A$2:$E$495,3,FALSE)</f>
        <v>20000</v>
      </c>
      <c r="G1303" s="5">
        <f>VLOOKUP(C1303,[1]master_data!$A$2:$E$495,4,FALSE)</f>
        <v>30000</v>
      </c>
      <c r="H1303" s="5">
        <f t="shared" si="66"/>
        <v>20000</v>
      </c>
      <c r="I1303" s="5">
        <f t="shared" si="67"/>
        <v>30000</v>
      </c>
      <c r="J1303" s="5">
        <f t="shared" si="68"/>
        <v>10000</v>
      </c>
      <c r="K1303" s="5" t="str">
        <f>VLOOKUP(C1303,[1]master_data!$A$2:$E$495,5,FALSE)</f>
        <v>Aksesoris</v>
      </c>
      <c r="L1303" s="5" t="s">
        <v>471</v>
      </c>
    </row>
    <row r="1304" spans="1:12" ht="12" customHeight="1" x14ac:dyDescent="0.25">
      <c r="A1304" s="6">
        <v>44786</v>
      </c>
      <c r="B1304" s="1">
        <v>2203259</v>
      </c>
      <c r="C1304" s="5" t="s">
        <v>435</v>
      </c>
      <c r="D1304" s="5" t="str">
        <f>VLOOKUP(C1304,[1]master_data!$A$2:$E$495,2,FALSE)</f>
        <v>MOLI BALON</v>
      </c>
      <c r="E1304" s="5">
        <v>10</v>
      </c>
      <c r="F1304" s="5">
        <f>VLOOKUP(C1304,[1]master_data!$A$2:$E$495,3,FALSE)</f>
        <v>800</v>
      </c>
      <c r="G1304" s="5">
        <f>VLOOKUP(C1304,[1]master_data!$A$2:$E$495,4,FALSE)</f>
        <v>2000</v>
      </c>
      <c r="H1304" s="5">
        <f t="shared" si="66"/>
        <v>8000</v>
      </c>
      <c r="I1304" s="5">
        <f t="shared" si="67"/>
        <v>20000</v>
      </c>
      <c r="J1304" s="5">
        <f t="shared" si="68"/>
        <v>12000</v>
      </c>
      <c r="K1304" s="5" t="str">
        <f>VLOOKUP(C1304,[1]master_data!$A$2:$E$495,5,FALSE)</f>
        <v>Ikan</v>
      </c>
      <c r="L1304" s="5" t="s">
        <v>471</v>
      </c>
    </row>
    <row r="1305" spans="1:12" ht="12" customHeight="1" x14ac:dyDescent="0.25">
      <c r="A1305" s="6">
        <v>44786</v>
      </c>
      <c r="B1305" s="1">
        <v>2203258</v>
      </c>
      <c r="C1305" s="5" t="s">
        <v>252</v>
      </c>
      <c r="D1305" s="5" t="str">
        <f>VLOOKUP(C1305,[1]master_data!$A$2:$E$495,2,FALSE)</f>
        <v>AIRSTONE 80</v>
      </c>
      <c r="E1305" s="5">
        <v>1</v>
      </c>
      <c r="F1305" s="5">
        <f>VLOOKUP(C1305,[1]master_data!$A$2:$E$495,3,FALSE)</f>
        <v>14000</v>
      </c>
      <c r="G1305" s="5">
        <f>VLOOKUP(C1305,[1]master_data!$A$2:$E$495,4,FALSE)</f>
        <v>22000</v>
      </c>
      <c r="H1305" s="5">
        <f t="shared" si="66"/>
        <v>14000</v>
      </c>
      <c r="I1305" s="5">
        <f t="shared" si="67"/>
        <v>22000</v>
      </c>
      <c r="J1305" s="5">
        <f t="shared" si="68"/>
        <v>8000</v>
      </c>
      <c r="K1305" s="5" t="str">
        <f>VLOOKUP(C1305,[1]master_data!$A$2:$E$495,5,FALSE)</f>
        <v>Aksesoris</v>
      </c>
      <c r="L1305" s="5" t="s">
        <v>471</v>
      </c>
    </row>
    <row r="1306" spans="1:12" ht="12" customHeight="1" x14ac:dyDescent="0.25">
      <c r="A1306" s="6">
        <v>44786</v>
      </c>
      <c r="B1306" s="1">
        <v>2203257</v>
      </c>
      <c r="C1306" s="5" t="s">
        <v>392</v>
      </c>
      <c r="D1306" s="5" t="str">
        <f>VLOOKUP(C1306,[1]master_data!$A$2:$E$495,2,FALSE)</f>
        <v>CHANNA ASIATICA B</v>
      </c>
      <c r="E1306" s="5">
        <v>5</v>
      </c>
      <c r="F1306" s="5">
        <f>VLOOKUP(C1306,[1]master_data!$A$2:$E$495,3,FALSE)</f>
        <v>40000</v>
      </c>
      <c r="G1306" s="5">
        <f>VLOOKUP(C1306,[1]master_data!$A$2:$E$495,4,FALSE)</f>
        <v>100000</v>
      </c>
      <c r="H1306" s="5">
        <f t="shared" si="66"/>
        <v>200000</v>
      </c>
      <c r="I1306" s="5">
        <f t="shared" si="67"/>
        <v>500000</v>
      </c>
      <c r="J1306" s="5">
        <f t="shared" si="68"/>
        <v>300000</v>
      </c>
      <c r="K1306" s="5" t="str">
        <f>VLOOKUP(C1306,[1]master_data!$A$2:$E$495,5,FALSE)</f>
        <v>Ikan</v>
      </c>
      <c r="L1306" s="5" t="s">
        <v>471</v>
      </c>
    </row>
    <row r="1307" spans="1:12" ht="12" customHeight="1" x14ac:dyDescent="0.25">
      <c r="A1307" s="6">
        <v>44785</v>
      </c>
      <c r="B1307" s="1">
        <v>2203256</v>
      </c>
      <c r="C1307" s="5" t="s">
        <v>404</v>
      </c>
      <c r="D1307" s="5" t="str">
        <f>VLOOKUP(C1307,[1]master_data!$A$2:$E$495,2,FALSE)</f>
        <v>CHANNA BLUE PULCHRA B</v>
      </c>
      <c r="E1307" s="5">
        <v>2</v>
      </c>
      <c r="F1307" s="5">
        <f>VLOOKUP(C1307,[1]master_data!$A$2:$E$495,3,FALSE)</f>
        <v>125000</v>
      </c>
      <c r="G1307" s="5">
        <f>VLOOKUP(C1307,[1]master_data!$A$2:$E$495,4,FALSE)</f>
        <v>200000</v>
      </c>
      <c r="H1307" s="5">
        <f t="shared" si="66"/>
        <v>250000</v>
      </c>
      <c r="I1307" s="5">
        <f t="shared" si="67"/>
        <v>400000</v>
      </c>
      <c r="J1307" s="5">
        <f t="shared" si="68"/>
        <v>150000</v>
      </c>
      <c r="K1307" s="5" t="str">
        <f>VLOOKUP(C1307,[1]master_data!$A$2:$E$495,5,FALSE)</f>
        <v>Ikan</v>
      </c>
      <c r="L1307" s="5" t="s">
        <v>471</v>
      </c>
    </row>
    <row r="1308" spans="1:12" ht="12" customHeight="1" x14ac:dyDescent="0.25">
      <c r="A1308" s="6">
        <v>44785</v>
      </c>
      <c r="B1308" s="1">
        <v>2203255</v>
      </c>
      <c r="C1308" s="5" t="s">
        <v>405</v>
      </c>
      <c r="D1308" s="5" t="str">
        <f>VLOOKUP(C1308,[1]master_data!$A$2:$E$495,2,FALSE)</f>
        <v>KOMET BOKIM</v>
      </c>
      <c r="E1308" s="5">
        <v>15</v>
      </c>
      <c r="F1308" s="5">
        <f>VLOOKUP(C1308,[1]master_data!$A$2:$E$495,3,FALSE)</f>
        <v>1500</v>
      </c>
      <c r="G1308" s="5">
        <f>VLOOKUP(C1308,[1]master_data!$A$2:$E$495,4,FALSE)</f>
        <v>5000</v>
      </c>
      <c r="H1308" s="5">
        <f t="shared" si="66"/>
        <v>22500</v>
      </c>
      <c r="I1308" s="5">
        <f t="shared" si="67"/>
        <v>75000</v>
      </c>
      <c r="J1308" s="5">
        <f t="shared" si="68"/>
        <v>52500</v>
      </c>
      <c r="K1308" s="5" t="str">
        <f>VLOOKUP(C1308,[1]master_data!$A$2:$E$495,5,FALSE)</f>
        <v>Ikan</v>
      </c>
      <c r="L1308" s="5" t="s">
        <v>471</v>
      </c>
    </row>
    <row r="1309" spans="1:12" ht="12" customHeight="1" x14ac:dyDescent="0.25">
      <c r="A1309" s="6">
        <v>44785</v>
      </c>
      <c r="B1309" s="1">
        <v>2203254</v>
      </c>
      <c r="C1309" s="5" t="s">
        <v>371</v>
      </c>
      <c r="D1309" s="5" t="str">
        <f>VLOOKUP(C1309,[1]master_data!$A$2:$E$495,2,FALSE)</f>
        <v>SOLITER C1</v>
      </c>
      <c r="E1309" s="5">
        <v>10</v>
      </c>
      <c r="F1309" s="5">
        <f>VLOOKUP(C1309,[1]master_data!$A$2:$E$495,3,FALSE)</f>
        <v>55000</v>
      </c>
      <c r="G1309" s="5">
        <f>VLOOKUP(C1309,[1]master_data!$A$2:$E$495,4,FALSE)</f>
        <v>75000</v>
      </c>
      <c r="H1309" s="5">
        <f t="shared" si="66"/>
        <v>550000</v>
      </c>
      <c r="I1309" s="5">
        <f t="shared" si="67"/>
        <v>750000</v>
      </c>
      <c r="J1309" s="5">
        <f t="shared" si="68"/>
        <v>200000</v>
      </c>
      <c r="K1309" s="5" t="str">
        <f>VLOOKUP(C1309,[1]master_data!$A$2:$E$495,5,FALSE)</f>
        <v>Aksesoris</v>
      </c>
      <c r="L1309" s="5" t="s">
        <v>471</v>
      </c>
    </row>
    <row r="1310" spans="1:12" ht="12" customHeight="1" x14ac:dyDescent="0.25">
      <c r="A1310" s="6">
        <v>44785</v>
      </c>
      <c r="B1310" s="1">
        <v>2203253</v>
      </c>
      <c r="C1310" s="5" t="s">
        <v>369</v>
      </c>
      <c r="D1310" s="5" t="str">
        <f>VLOOKUP(C1310,[1]master_data!$A$2:$E$495,2,FALSE)</f>
        <v>TEMPAT CUPANG</v>
      </c>
      <c r="E1310" s="5">
        <v>10</v>
      </c>
      <c r="F1310" s="5">
        <f>VLOOKUP(C1310,[1]master_data!$A$2:$E$495,3,FALSE)</f>
        <v>2500</v>
      </c>
      <c r="G1310" s="5">
        <f>VLOOKUP(C1310,[1]master_data!$A$2:$E$495,4,FALSE)</f>
        <v>5000</v>
      </c>
      <c r="H1310" s="5">
        <f t="shared" si="66"/>
        <v>25000</v>
      </c>
      <c r="I1310" s="5">
        <f t="shared" si="67"/>
        <v>50000</v>
      </c>
      <c r="J1310" s="5">
        <f t="shared" si="68"/>
        <v>25000</v>
      </c>
      <c r="K1310" s="5" t="str">
        <f>VLOOKUP(C1310,[1]master_data!$A$2:$E$495,5,FALSE)</f>
        <v>Aksesoris</v>
      </c>
      <c r="L1310" s="5" t="s">
        <v>471</v>
      </c>
    </row>
    <row r="1311" spans="1:12" ht="12" customHeight="1" x14ac:dyDescent="0.25">
      <c r="A1311" s="6">
        <v>44785</v>
      </c>
      <c r="B1311" s="1">
        <v>2203252</v>
      </c>
      <c r="C1311" s="5" t="s">
        <v>428</v>
      </c>
      <c r="D1311" s="5" t="str">
        <f>VLOOKUP(C1311,[1]master_data!$A$2:$E$495,2,FALSE)</f>
        <v>LOUHAN</v>
      </c>
      <c r="E1311" s="5">
        <v>1</v>
      </c>
      <c r="F1311" s="5">
        <f>VLOOKUP(C1311,[1]master_data!$A$2:$E$495,3,FALSE)</f>
        <v>85000</v>
      </c>
      <c r="G1311" s="5">
        <f>VLOOKUP(C1311,[1]master_data!$A$2:$E$495,4,FALSE)</f>
        <v>200000</v>
      </c>
      <c r="H1311" s="5">
        <f t="shared" si="66"/>
        <v>85000</v>
      </c>
      <c r="I1311" s="5">
        <f t="shared" si="67"/>
        <v>200000</v>
      </c>
      <c r="J1311" s="5">
        <f t="shared" si="68"/>
        <v>115000</v>
      </c>
      <c r="K1311" s="5" t="str">
        <f>VLOOKUP(C1311,[1]master_data!$A$2:$E$495,5,FALSE)</f>
        <v>Ikan</v>
      </c>
      <c r="L1311" s="5" t="s">
        <v>471</v>
      </c>
    </row>
    <row r="1312" spans="1:12" ht="12" customHeight="1" x14ac:dyDescent="0.25">
      <c r="A1312" s="6">
        <v>44785</v>
      </c>
      <c r="B1312" s="1">
        <v>2203251</v>
      </c>
      <c r="C1312" s="5" t="s">
        <v>44</v>
      </c>
      <c r="D1312" s="5" t="str">
        <f>VLOOKUP(C1312,[1]master_data!$A$2:$E$495,2,FALSE)</f>
        <v>TOP FILTER NIKITA B</v>
      </c>
      <c r="E1312" s="5">
        <v>3</v>
      </c>
      <c r="F1312" s="5">
        <f>VLOOKUP(C1312,[1]master_data!$A$2:$E$495,3,FALSE)</f>
        <v>45000</v>
      </c>
      <c r="G1312" s="5">
        <f>VLOOKUP(C1312,[1]master_data!$A$2:$E$495,4,FALSE)</f>
        <v>70000</v>
      </c>
      <c r="H1312" s="5">
        <f t="shared" si="66"/>
        <v>135000</v>
      </c>
      <c r="I1312" s="5">
        <f t="shared" si="67"/>
        <v>210000</v>
      </c>
      <c r="J1312" s="5">
        <f t="shared" si="68"/>
        <v>75000</v>
      </c>
      <c r="K1312" s="5" t="str">
        <f>VLOOKUP(C1312,[1]master_data!$A$2:$E$495,5,FALSE)</f>
        <v>Aksesoris</v>
      </c>
      <c r="L1312" s="5" t="s">
        <v>471</v>
      </c>
    </row>
    <row r="1313" spans="1:12" ht="12" customHeight="1" x14ac:dyDescent="0.25">
      <c r="A1313" s="6">
        <v>44785</v>
      </c>
      <c r="B1313" s="1">
        <v>2203250</v>
      </c>
      <c r="C1313" s="5" t="s">
        <v>427</v>
      </c>
      <c r="D1313" s="5" t="str">
        <f>VLOOKUP(C1313,[1]master_data!$A$2:$E$495,2,FALSE)</f>
        <v>LEMON</v>
      </c>
      <c r="E1313" s="5">
        <v>25</v>
      </c>
      <c r="F1313" s="5">
        <f>VLOOKUP(C1313,[1]master_data!$A$2:$E$495,3,FALSE)</f>
        <v>1000</v>
      </c>
      <c r="G1313" s="5">
        <f>VLOOKUP(C1313,[1]master_data!$A$2:$E$495,4,FALSE)</f>
        <v>2000</v>
      </c>
      <c r="H1313" s="5">
        <f t="shared" si="66"/>
        <v>25000</v>
      </c>
      <c r="I1313" s="5">
        <f t="shared" si="67"/>
        <v>50000</v>
      </c>
      <c r="J1313" s="5">
        <f t="shared" si="68"/>
        <v>25000</v>
      </c>
      <c r="K1313" s="5" t="str">
        <f>VLOOKUP(C1313,[1]master_data!$A$2:$E$495,5,FALSE)</f>
        <v>Ikan</v>
      </c>
      <c r="L1313" s="5" t="s">
        <v>471</v>
      </c>
    </row>
    <row r="1314" spans="1:12" ht="12" customHeight="1" x14ac:dyDescent="0.25">
      <c r="A1314" s="6">
        <v>44785</v>
      </c>
      <c r="B1314" s="1">
        <v>2203249</v>
      </c>
      <c r="C1314" s="5" t="s">
        <v>435</v>
      </c>
      <c r="D1314" s="5" t="str">
        <f>VLOOKUP(C1314,[1]master_data!$A$2:$E$495,2,FALSE)</f>
        <v>MOLI BALON</v>
      </c>
      <c r="E1314" s="5">
        <v>15</v>
      </c>
      <c r="F1314" s="5">
        <f>VLOOKUP(C1314,[1]master_data!$A$2:$E$495,3,FALSE)</f>
        <v>800</v>
      </c>
      <c r="G1314" s="5">
        <f>VLOOKUP(C1314,[1]master_data!$A$2:$E$495,4,FALSE)</f>
        <v>2000</v>
      </c>
      <c r="H1314" s="5">
        <f t="shared" si="66"/>
        <v>12000</v>
      </c>
      <c r="I1314" s="5">
        <f t="shared" si="67"/>
        <v>30000</v>
      </c>
      <c r="J1314" s="5">
        <f t="shared" si="68"/>
        <v>18000</v>
      </c>
      <c r="K1314" s="5" t="str">
        <f>VLOOKUP(C1314,[1]master_data!$A$2:$E$495,5,FALSE)</f>
        <v>Ikan</v>
      </c>
      <c r="L1314" s="5" t="s">
        <v>471</v>
      </c>
    </row>
    <row r="1315" spans="1:12" ht="12" customHeight="1" x14ac:dyDescent="0.25">
      <c r="A1315" s="6">
        <v>44784</v>
      </c>
      <c r="B1315" s="1">
        <v>2203248</v>
      </c>
      <c r="C1315" s="5" t="s">
        <v>446</v>
      </c>
      <c r="D1315" s="5" t="str">
        <f>VLOOKUP(C1315,[1]master_data!$A$2:$E$495,2,FALSE)</f>
        <v>REDFIN HITAM</v>
      </c>
      <c r="E1315" s="5">
        <v>6</v>
      </c>
      <c r="F1315" s="5">
        <f>VLOOKUP(C1315,[1]master_data!$A$2:$E$495,3,FALSE)</f>
        <v>1500</v>
      </c>
      <c r="G1315" s="5">
        <f>VLOOKUP(C1315,[1]master_data!$A$2:$E$495,4,FALSE)</f>
        <v>4000</v>
      </c>
      <c r="H1315" s="5">
        <f t="shared" si="66"/>
        <v>9000</v>
      </c>
      <c r="I1315" s="5">
        <f t="shared" si="67"/>
        <v>24000</v>
      </c>
      <c r="J1315" s="5">
        <f t="shared" si="68"/>
        <v>15000</v>
      </c>
      <c r="K1315" s="5" t="str">
        <f>VLOOKUP(C1315,[1]master_data!$A$2:$E$495,5,FALSE)</f>
        <v>Ikan</v>
      </c>
      <c r="L1315" s="5" t="s">
        <v>471</v>
      </c>
    </row>
    <row r="1316" spans="1:12" ht="12" customHeight="1" x14ac:dyDescent="0.25">
      <c r="A1316" s="6">
        <v>44784</v>
      </c>
      <c r="B1316" s="1">
        <v>2203247</v>
      </c>
      <c r="C1316" s="5" t="s">
        <v>426</v>
      </c>
      <c r="D1316" s="5" t="str">
        <f>VLOOKUP(C1316,[1]master_data!$A$2:$E$495,2,FALSE)</f>
        <v>DISCUS</v>
      </c>
      <c r="E1316" s="5">
        <v>1</v>
      </c>
      <c r="F1316" s="5">
        <f>VLOOKUP(C1316,[1]master_data!$A$2:$E$495,3,FALSE)</f>
        <v>50000</v>
      </c>
      <c r="G1316" s="5">
        <f>VLOOKUP(C1316,[1]master_data!$A$2:$E$495,4,FALSE)</f>
        <v>150000</v>
      </c>
      <c r="H1316" s="5">
        <f t="shared" si="66"/>
        <v>50000</v>
      </c>
      <c r="I1316" s="5">
        <f t="shared" si="67"/>
        <v>150000</v>
      </c>
      <c r="J1316" s="5">
        <f t="shared" si="68"/>
        <v>100000</v>
      </c>
      <c r="K1316" s="5" t="str">
        <f>VLOOKUP(C1316,[1]master_data!$A$2:$E$495,5,FALSE)</f>
        <v>Ikan</v>
      </c>
      <c r="L1316" s="5" t="s">
        <v>471</v>
      </c>
    </row>
    <row r="1317" spans="1:12" ht="12" customHeight="1" x14ac:dyDescent="0.25">
      <c r="A1317" s="6">
        <v>44784</v>
      </c>
      <c r="B1317" s="1">
        <v>2203246</v>
      </c>
      <c r="C1317" s="5" t="s">
        <v>142</v>
      </c>
      <c r="D1317" s="5" t="str">
        <f>VLOOKUP(C1317,[1]master_data!$A$2:$E$495,2,FALSE)</f>
        <v>LED YANG HW 45 CM</v>
      </c>
      <c r="E1317" s="5">
        <v>1</v>
      </c>
      <c r="F1317" s="5">
        <f>VLOOKUP(C1317,[1]master_data!$A$2:$E$495,3,FALSE)</f>
        <v>70000</v>
      </c>
      <c r="G1317" s="5">
        <f>VLOOKUP(C1317,[1]master_data!$A$2:$E$495,4,FALSE)</f>
        <v>90000</v>
      </c>
      <c r="H1317" s="5">
        <f t="shared" si="66"/>
        <v>70000</v>
      </c>
      <c r="I1317" s="5">
        <f t="shared" si="67"/>
        <v>90000</v>
      </c>
      <c r="J1317" s="5">
        <f t="shared" si="68"/>
        <v>20000</v>
      </c>
      <c r="K1317" s="5" t="str">
        <f>VLOOKUP(C1317,[1]master_data!$A$2:$E$495,5,FALSE)</f>
        <v>Aksesoris</v>
      </c>
      <c r="L1317" s="5" t="s">
        <v>471</v>
      </c>
    </row>
    <row r="1318" spans="1:12" ht="12" customHeight="1" x14ac:dyDescent="0.25">
      <c r="A1318" s="6">
        <v>44784</v>
      </c>
      <c r="B1318" s="1">
        <v>2203245</v>
      </c>
      <c r="C1318" s="5" t="s">
        <v>436</v>
      </c>
      <c r="D1318" s="5" t="str">
        <f>VLOOKUP(C1318,[1]master_data!$A$2:$E$495,2,FALSE)</f>
        <v>NIASA</v>
      </c>
      <c r="E1318" s="5">
        <v>1</v>
      </c>
      <c r="F1318" s="5">
        <f>VLOOKUP(C1318,[1]master_data!$A$2:$E$495,3,FALSE)</f>
        <v>900</v>
      </c>
      <c r="G1318" s="5">
        <f>VLOOKUP(C1318,[1]master_data!$A$2:$E$495,4,FALSE)</f>
        <v>2000</v>
      </c>
      <c r="H1318" s="5">
        <f t="shared" si="66"/>
        <v>900</v>
      </c>
      <c r="I1318" s="5">
        <f t="shared" si="67"/>
        <v>2000</v>
      </c>
      <c r="J1318" s="5">
        <f t="shared" si="68"/>
        <v>1100</v>
      </c>
      <c r="K1318" s="5" t="str">
        <f>VLOOKUP(C1318,[1]master_data!$A$2:$E$495,5,FALSE)</f>
        <v>Ikan</v>
      </c>
      <c r="L1318" s="5" t="s">
        <v>471</v>
      </c>
    </row>
    <row r="1319" spans="1:12" ht="12" customHeight="1" x14ac:dyDescent="0.25">
      <c r="A1319" s="6">
        <v>44784</v>
      </c>
      <c r="B1319" s="1">
        <v>2203244</v>
      </c>
      <c r="C1319" s="5" t="s">
        <v>15</v>
      </c>
      <c r="D1319" s="5" t="str">
        <f>VLOOKUP(C1319,[1]master_data!$A$2:$E$495,2,FALSE)</f>
        <v>MESIN YANG 107</v>
      </c>
      <c r="E1319" s="5">
        <v>2</v>
      </c>
      <c r="F1319" s="5">
        <f>VLOOKUP(C1319,[1]master_data!$A$2:$E$495,3,FALSE)</f>
        <v>330000</v>
      </c>
      <c r="G1319" s="5">
        <f>VLOOKUP(C1319,[1]master_data!$A$2:$E$495,4,FALSE)</f>
        <v>400000</v>
      </c>
      <c r="H1319" s="5">
        <f t="shared" si="66"/>
        <v>660000</v>
      </c>
      <c r="I1319" s="5">
        <f t="shared" si="67"/>
        <v>800000</v>
      </c>
      <c r="J1319" s="5">
        <f t="shared" si="68"/>
        <v>140000</v>
      </c>
      <c r="K1319" s="5" t="str">
        <f>VLOOKUP(C1319,[1]master_data!$A$2:$E$495,5,FALSE)</f>
        <v>Aksesoris</v>
      </c>
      <c r="L1319" s="5" t="s">
        <v>471</v>
      </c>
    </row>
    <row r="1320" spans="1:12" ht="12" customHeight="1" x14ac:dyDescent="0.25">
      <c r="A1320" s="6">
        <v>44784</v>
      </c>
      <c r="B1320" s="1">
        <v>2203243</v>
      </c>
      <c r="C1320" s="5" t="s">
        <v>381</v>
      </c>
      <c r="D1320" s="5" t="str">
        <f>VLOOKUP(C1320,[1]master_data!$A$2:$E$495,2,FALSE)</f>
        <v>BATU WARNA FOSFOR K</v>
      </c>
      <c r="E1320" s="5">
        <v>15</v>
      </c>
      <c r="F1320" s="5">
        <f>VLOOKUP(C1320,[1]master_data!$A$2:$E$495,3,FALSE)</f>
        <v>5500</v>
      </c>
      <c r="G1320" s="5">
        <f>VLOOKUP(C1320,[1]master_data!$A$2:$E$495,4,FALSE)</f>
        <v>10000</v>
      </c>
      <c r="H1320" s="5">
        <f t="shared" si="66"/>
        <v>82500</v>
      </c>
      <c r="I1320" s="5">
        <f t="shared" si="67"/>
        <v>150000</v>
      </c>
      <c r="J1320" s="5">
        <f t="shared" si="68"/>
        <v>67500</v>
      </c>
      <c r="K1320" s="5" t="str">
        <f>VLOOKUP(C1320,[1]master_data!$A$2:$E$495,5,FALSE)</f>
        <v>Aksesoris</v>
      </c>
      <c r="L1320" s="5" t="s">
        <v>471</v>
      </c>
    </row>
    <row r="1321" spans="1:12" ht="12" customHeight="1" x14ac:dyDescent="0.25">
      <c r="A1321" s="6">
        <v>44784</v>
      </c>
      <c r="B1321" s="1">
        <v>2203242</v>
      </c>
      <c r="C1321" s="5" t="s">
        <v>140</v>
      </c>
      <c r="D1321" s="5" t="str">
        <f>VLOOKUP(C1321,[1]master_data!$A$2:$E$495,2,FALSE)</f>
        <v>LED NIKITA 3 MODE 100 CM</v>
      </c>
      <c r="E1321" s="5">
        <v>1</v>
      </c>
      <c r="F1321" s="5">
        <f>VLOOKUP(C1321,[1]master_data!$A$2:$E$495,3,FALSE)</f>
        <v>60000</v>
      </c>
      <c r="G1321" s="5">
        <f>VLOOKUP(C1321,[1]master_data!$A$2:$E$495,4,FALSE)</f>
        <v>90000</v>
      </c>
      <c r="H1321" s="5">
        <f t="shared" si="66"/>
        <v>60000</v>
      </c>
      <c r="I1321" s="5">
        <f t="shared" si="67"/>
        <v>90000</v>
      </c>
      <c r="J1321" s="5">
        <f t="shared" si="68"/>
        <v>30000</v>
      </c>
      <c r="K1321" s="5" t="str">
        <f>VLOOKUP(C1321,[1]master_data!$A$2:$E$495,5,FALSE)</f>
        <v>Aksesoris</v>
      </c>
      <c r="L1321" s="5" t="s">
        <v>471</v>
      </c>
    </row>
    <row r="1322" spans="1:12" ht="12" customHeight="1" x14ac:dyDescent="0.25">
      <c r="A1322" s="6">
        <v>44784</v>
      </c>
      <c r="B1322" s="1">
        <v>2203241</v>
      </c>
      <c r="C1322" s="5" t="s">
        <v>82</v>
      </c>
      <c r="D1322" s="5" t="str">
        <f>VLOOKUP(C1322,[1]master_data!$A$2:$E$495,2,FALSE)</f>
        <v>MESIN ARMADA 1150L</v>
      </c>
      <c r="E1322" s="5">
        <v>2</v>
      </c>
      <c r="F1322" s="5">
        <f>VLOOKUP(C1322,[1]master_data!$A$2:$E$495,3,FALSE)</f>
        <v>42000</v>
      </c>
      <c r="G1322" s="5">
        <f>VLOOKUP(C1322,[1]master_data!$A$2:$E$495,4,FALSE)</f>
        <v>55000</v>
      </c>
      <c r="H1322" s="5">
        <f t="shared" si="66"/>
        <v>84000</v>
      </c>
      <c r="I1322" s="5">
        <f t="shared" si="67"/>
        <v>110000</v>
      </c>
      <c r="J1322" s="5">
        <f t="shared" si="68"/>
        <v>26000</v>
      </c>
      <c r="K1322" s="5" t="str">
        <f>VLOOKUP(C1322,[1]master_data!$A$2:$E$495,5,FALSE)</f>
        <v>Aksesoris</v>
      </c>
      <c r="L1322" s="5" t="s">
        <v>471</v>
      </c>
    </row>
    <row r="1323" spans="1:12" ht="12" customHeight="1" x14ac:dyDescent="0.25">
      <c r="A1323" s="6">
        <v>44784</v>
      </c>
      <c r="B1323" s="1">
        <v>2203240</v>
      </c>
      <c r="C1323" s="5" t="s">
        <v>217</v>
      </c>
      <c r="D1323" s="5" t="str">
        <f>VLOOKUP(C1323,[1]master_data!$A$2:$E$495,2,FALSE)</f>
        <v>AKARI PREMIUM RED PARROT</v>
      </c>
      <c r="E1323" s="5">
        <v>10</v>
      </c>
      <c r="F1323" s="5">
        <f>VLOOKUP(C1323,[1]master_data!$A$2:$E$495,3,FALSE)</f>
        <v>33000</v>
      </c>
      <c r="G1323" s="5">
        <f>VLOOKUP(C1323,[1]master_data!$A$2:$E$495,4,FALSE)</f>
        <v>50000</v>
      </c>
      <c r="H1323" s="5">
        <f t="shared" si="66"/>
        <v>330000</v>
      </c>
      <c r="I1323" s="5">
        <f t="shared" si="67"/>
        <v>500000</v>
      </c>
      <c r="J1323" s="5">
        <f t="shared" si="68"/>
        <v>170000</v>
      </c>
      <c r="K1323" s="5" t="str">
        <f>VLOOKUP(C1323,[1]master_data!$A$2:$E$495,5,FALSE)</f>
        <v>Aksesoris</v>
      </c>
      <c r="L1323" s="5" t="s">
        <v>471</v>
      </c>
    </row>
    <row r="1324" spans="1:12" ht="12" customHeight="1" x14ac:dyDescent="0.25">
      <c r="A1324" s="6">
        <v>44783</v>
      </c>
      <c r="B1324" s="1">
        <v>2203239</v>
      </c>
      <c r="C1324" s="5" t="s">
        <v>451</v>
      </c>
      <c r="D1324" s="5" t="str">
        <f>VLOOKUP(C1324,[1]master_data!$A$2:$E$495,2,FALSE)</f>
        <v>SUMATRA GOLD FISH</v>
      </c>
      <c r="E1324" s="5">
        <v>30</v>
      </c>
      <c r="F1324" s="5">
        <f>VLOOKUP(C1324,[1]master_data!$A$2:$E$495,3,FALSE)</f>
        <v>2500</v>
      </c>
      <c r="G1324" s="5">
        <f>VLOOKUP(C1324,[1]master_data!$A$2:$E$495,4,FALSE)</f>
        <v>4000</v>
      </c>
      <c r="H1324" s="5">
        <f t="shared" si="66"/>
        <v>75000</v>
      </c>
      <c r="I1324" s="5">
        <f t="shared" si="67"/>
        <v>120000</v>
      </c>
      <c r="J1324" s="5">
        <f t="shared" si="68"/>
        <v>45000</v>
      </c>
      <c r="K1324" s="5" t="str">
        <f>VLOOKUP(C1324,[1]master_data!$A$2:$E$495,5,FALSE)</f>
        <v>Ikan</v>
      </c>
      <c r="L1324" s="5" t="s">
        <v>471</v>
      </c>
    </row>
    <row r="1325" spans="1:12" ht="12" customHeight="1" x14ac:dyDescent="0.25">
      <c r="A1325" s="6">
        <v>44783</v>
      </c>
      <c r="B1325" s="1">
        <v>2203238</v>
      </c>
      <c r="C1325" s="5" t="s">
        <v>334</v>
      </c>
      <c r="D1325" s="5" t="str">
        <f>VLOOKUP(C1325,[1]master_data!$A$2:$E$495,2,FALSE)</f>
        <v>KARPET RUMPUT</v>
      </c>
      <c r="E1325" s="5">
        <v>1</v>
      </c>
      <c r="F1325" s="5">
        <f>VLOOKUP(C1325,[1]master_data!$A$2:$E$495,3,FALSE)</f>
        <v>15000</v>
      </c>
      <c r="G1325" s="5">
        <f>VLOOKUP(C1325,[1]master_data!$A$2:$E$495,4,FALSE)</f>
        <v>25000</v>
      </c>
      <c r="H1325" s="5">
        <f t="shared" si="66"/>
        <v>15000</v>
      </c>
      <c r="I1325" s="5">
        <f t="shared" si="67"/>
        <v>25000</v>
      </c>
      <c r="J1325" s="5">
        <f t="shared" si="68"/>
        <v>10000</v>
      </c>
      <c r="K1325" s="5" t="str">
        <f>VLOOKUP(C1325,[1]master_data!$A$2:$E$495,5,FALSE)</f>
        <v>Aksesoris</v>
      </c>
      <c r="L1325" s="5" t="s">
        <v>471</v>
      </c>
    </row>
    <row r="1326" spans="1:12" ht="12" customHeight="1" x14ac:dyDescent="0.25">
      <c r="A1326" s="6">
        <v>44783</v>
      </c>
      <c r="B1326" s="1">
        <v>2203237</v>
      </c>
      <c r="C1326" s="5" t="s">
        <v>461</v>
      </c>
      <c r="D1326" s="5" t="str">
        <f>VLOOKUP(C1326,[1]master_data!$A$2:$E$495,2,FALSE)</f>
        <v>SEPAT</v>
      </c>
      <c r="E1326" s="5">
        <v>30</v>
      </c>
      <c r="F1326" s="5">
        <f>VLOOKUP(C1326,[1]master_data!$A$2:$E$495,3,FALSE)</f>
        <v>600</v>
      </c>
      <c r="G1326" s="5">
        <f>VLOOKUP(C1326,[1]master_data!$A$2:$E$495,4,FALSE)</f>
        <v>2000</v>
      </c>
      <c r="H1326" s="5">
        <f t="shared" si="66"/>
        <v>18000</v>
      </c>
      <c r="I1326" s="5">
        <f t="shared" si="67"/>
        <v>60000</v>
      </c>
      <c r="J1326" s="5">
        <f t="shared" si="68"/>
        <v>42000</v>
      </c>
      <c r="K1326" s="5" t="str">
        <f>VLOOKUP(C1326,[1]master_data!$A$2:$E$495,5,FALSE)</f>
        <v>Ikan</v>
      </c>
      <c r="L1326" s="5" t="s">
        <v>471</v>
      </c>
    </row>
    <row r="1327" spans="1:12" ht="12" customHeight="1" x14ac:dyDescent="0.25">
      <c r="A1327" s="6">
        <v>44783</v>
      </c>
      <c r="B1327" s="1">
        <v>2203236</v>
      </c>
      <c r="C1327" s="5" t="s">
        <v>445</v>
      </c>
      <c r="D1327" s="5" t="str">
        <f>VLOOKUP(C1327,[1]master_data!$A$2:$E$495,2,FALSE)</f>
        <v>PESO</v>
      </c>
      <c r="E1327" s="5">
        <v>1</v>
      </c>
      <c r="F1327" s="5">
        <f>VLOOKUP(C1327,[1]master_data!$A$2:$E$495,3,FALSE)</f>
        <v>19000</v>
      </c>
      <c r="G1327" s="5">
        <f>VLOOKUP(C1327,[1]master_data!$A$2:$E$495,4,FALSE)</f>
        <v>40000</v>
      </c>
      <c r="H1327" s="5">
        <f t="shared" si="66"/>
        <v>19000</v>
      </c>
      <c r="I1327" s="5">
        <f t="shared" si="67"/>
        <v>40000</v>
      </c>
      <c r="J1327" s="5">
        <f t="shared" si="68"/>
        <v>21000</v>
      </c>
      <c r="K1327" s="5" t="str">
        <f>VLOOKUP(C1327,[1]master_data!$A$2:$E$495,5,FALSE)</f>
        <v>Ikan</v>
      </c>
      <c r="L1327" s="5" t="s">
        <v>471</v>
      </c>
    </row>
    <row r="1328" spans="1:12" ht="12" customHeight="1" x14ac:dyDescent="0.25">
      <c r="A1328" s="6">
        <v>44783</v>
      </c>
      <c r="B1328" s="1">
        <v>2203235</v>
      </c>
      <c r="C1328" s="5" t="s">
        <v>67</v>
      </c>
      <c r="D1328" s="5" t="str">
        <f>VLOOKUP(C1328,[1]master_data!$A$2:$E$495,2,FALSE)</f>
        <v>MESIN RECENT 1200</v>
      </c>
      <c r="E1328" s="5">
        <v>2</v>
      </c>
      <c r="F1328" s="5">
        <f>VLOOKUP(C1328,[1]master_data!$A$2:$E$495,3,FALSE)</f>
        <v>23000</v>
      </c>
      <c r="G1328" s="5">
        <f>VLOOKUP(C1328,[1]master_data!$A$2:$E$495,4,FALSE)</f>
        <v>35000</v>
      </c>
      <c r="H1328" s="5">
        <f t="shared" si="66"/>
        <v>46000</v>
      </c>
      <c r="I1328" s="5">
        <f t="shared" si="67"/>
        <v>70000</v>
      </c>
      <c r="J1328" s="5">
        <f t="shared" si="68"/>
        <v>24000</v>
      </c>
      <c r="K1328" s="5" t="str">
        <f>VLOOKUP(C1328,[1]master_data!$A$2:$E$495,5,FALSE)</f>
        <v>Aksesoris</v>
      </c>
      <c r="L1328" s="5" t="s">
        <v>471</v>
      </c>
    </row>
    <row r="1329" spans="1:12" ht="12" customHeight="1" x14ac:dyDescent="0.25">
      <c r="A1329" s="6">
        <v>44783</v>
      </c>
      <c r="B1329" s="1">
        <v>2203234</v>
      </c>
      <c r="C1329" s="5" t="s">
        <v>440</v>
      </c>
      <c r="D1329" s="5" t="str">
        <f>VLOOKUP(C1329,[1]master_data!$A$2:$E$495,2,FALSE)</f>
        <v>OSCAR</v>
      </c>
      <c r="E1329" s="5">
        <v>2</v>
      </c>
      <c r="F1329" s="5">
        <f>VLOOKUP(C1329,[1]master_data!$A$2:$E$495,3,FALSE)</f>
        <v>25000</v>
      </c>
      <c r="G1329" s="5">
        <f>VLOOKUP(C1329,[1]master_data!$A$2:$E$495,4,FALSE)</f>
        <v>50000</v>
      </c>
      <c r="H1329" s="5">
        <f t="shared" si="66"/>
        <v>50000</v>
      </c>
      <c r="I1329" s="5">
        <f t="shared" si="67"/>
        <v>100000</v>
      </c>
      <c r="J1329" s="5">
        <f t="shared" si="68"/>
        <v>50000</v>
      </c>
      <c r="K1329" s="5" t="str">
        <f>VLOOKUP(C1329,[1]master_data!$A$2:$E$495,5,FALSE)</f>
        <v>Ikan</v>
      </c>
      <c r="L1329" s="5" t="s">
        <v>471</v>
      </c>
    </row>
    <row r="1330" spans="1:12" ht="12" customHeight="1" x14ac:dyDescent="0.25">
      <c r="A1330" s="6">
        <v>44783</v>
      </c>
      <c r="B1330" s="1">
        <v>2203233</v>
      </c>
      <c r="C1330" s="5" t="s">
        <v>192</v>
      </c>
      <c r="D1330" s="5" t="str">
        <f>VLOOKUP(C1330,[1]master_data!$A$2:$E$495,2,FALSE)</f>
        <v>LED KANDILA DnN ECO 80 CM</v>
      </c>
      <c r="E1330" s="5">
        <v>1</v>
      </c>
      <c r="F1330" s="5">
        <f>VLOOKUP(C1330,[1]master_data!$A$2:$E$495,3,FALSE)</f>
        <v>78000</v>
      </c>
      <c r="G1330" s="5">
        <f>VLOOKUP(C1330,[1]master_data!$A$2:$E$495,4,FALSE)</f>
        <v>110000</v>
      </c>
      <c r="H1330" s="5">
        <f t="shared" si="66"/>
        <v>78000</v>
      </c>
      <c r="I1330" s="5">
        <f t="shared" si="67"/>
        <v>110000</v>
      </c>
      <c r="J1330" s="5">
        <f t="shared" si="68"/>
        <v>32000</v>
      </c>
      <c r="K1330" s="5" t="str">
        <f>VLOOKUP(C1330,[1]master_data!$A$2:$E$495,5,FALSE)</f>
        <v>Aksesoris</v>
      </c>
      <c r="L1330" s="5" t="s">
        <v>471</v>
      </c>
    </row>
    <row r="1331" spans="1:12" ht="12" customHeight="1" x14ac:dyDescent="0.25">
      <c r="A1331" s="6">
        <v>44783</v>
      </c>
      <c r="B1331" s="1">
        <v>2203232</v>
      </c>
      <c r="C1331" s="5" t="s">
        <v>455</v>
      </c>
      <c r="D1331" s="5" t="str">
        <f>VLOOKUP(C1331,[1]master_data!$A$2:$E$495,2,FALSE)</f>
        <v>TETRA</v>
      </c>
      <c r="E1331" s="5">
        <v>30</v>
      </c>
      <c r="F1331" s="5">
        <f>VLOOKUP(C1331,[1]master_data!$A$2:$E$495,3,FALSE)</f>
        <v>800</v>
      </c>
      <c r="G1331" s="5">
        <f>VLOOKUP(C1331,[1]master_data!$A$2:$E$495,4,FALSE)</f>
        <v>2000</v>
      </c>
      <c r="H1331" s="5">
        <f t="shared" si="66"/>
        <v>24000</v>
      </c>
      <c r="I1331" s="5">
        <f t="shared" si="67"/>
        <v>60000</v>
      </c>
      <c r="J1331" s="5">
        <f t="shared" si="68"/>
        <v>36000</v>
      </c>
      <c r="K1331" s="5" t="str">
        <f>VLOOKUP(C1331,[1]master_data!$A$2:$E$495,5,FALSE)</f>
        <v>Ikan</v>
      </c>
      <c r="L1331" s="5" t="s">
        <v>471</v>
      </c>
    </row>
    <row r="1332" spans="1:12" ht="12" customHeight="1" x14ac:dyDescent="0.25">
      <c r="A1332" s="6">
        <v>44783</v>
      </c>
      <c r="B1332" s="1">
        <v>2203231</v>
      </c>
      <c r="C1332" s="5" t="s">
        <v>125</v>
      </c>
      <c r="D1332" s="5" t="str">
        <f>VLOOKUP(C1332,[1]master_data!$A$2:$E$495,2,FALSE)</f>
        <v>LAMPU YAMANO UV 9W</v>
      </c>
      <c r="E1332" s="5">
        <v>1</v>
      </c>
      <c r="F1332" s="5">
        <f>VLOOKUP(C1332,[1]master_data!$A$2:$E$495,3,FALSE)</f>
        <v>66000</v>
      </c>
      <c r="G1332" s="5">
        <f>VLOOKUP(C1332,[1]master_data!$A$2:$E$495,4,FALSE)</f>
        <v>85000</v>
      </c>
      <c r="H1332" s="5">
        <f t="shared" si="66"/>
        <v>66000</v>
      </c>
      <c r="I1332" s="5">
        <f t="shared" si="67"/>
        <v>85000</v>
      </c>
      <c r="J1332" s="5">
        <f t="shared" si="68"/>
        <v>19000</v>
      </c>
      <c r="K1332" s="5" t="str">
        <f>VLOOKUP(C1332,[1]master_data!$A$2:$E$495,5,FALSE)</f>
        <v>Aksesoris</v>
      </c>
      <c r="L1332" s="5" t="s">
        <v>471</v>
      </c>
    </row>
    <row r="1333" spans="1:12" ht="12" customHeight="1" x14ac:dyDescent="0.25">
      <c r="A1333" s="6">
        <v>44783</v>
      </c>
      <c r="B1333" s="1">
        <v>2203230</v>
      </c>
      <c r="C1333" s="5" t="s">
        <v>160</v>
      </c>
      <c r="D1333" s="5" t="str">
        <f>VLOOKUP(C1333,[1]master_data!$A$2:$E$495,2,FALSE)</f>
        <v>LED KANDILA PRO RED 40 CM</v>
      </c>
      <c r="E1333" s="5">
        <v>2</v>
      </c>
      <c r="F1333" s="5">
        <f>VLOOKUP(C1333,[1]master_data!$A$2:$E$495,3,FALSE)</f>
        <v>120000</v>
      </c>
      <c r="G1333" s="5">
        <f>VLOOKUP(C1333,[1]master_data!$A$2:$E$495,4,FALSE)</f>
        <v>160000</v>
      </c>
      <c r="H1333" s="5">
        <f t="shared" si="66"/>
        <v>240000</v>
      </c>
      <c r="I1333" s="5">
        <f t="shared" si="67"/>
        <v>320000</v>
      </c>
      <c r="J1333" s="5">
        <f t="shared" si="68"/>
        <v>80000</v>
      </c>
      <c r="K1333" s="5" t="str">
        <f>VLOOKUP(C1333,[1]master_data!$A$2:$E$495,5,FALSE)</f>
        <v>Aksesoris</v>
      </c>
      <c r="L1333" s="5" t="s">
        <v>471</v>
      </c>
    </row>
    <row r="1334" spans="1:12" ht="12" customHeight="1" x14ac:dyDescent="0.25">
      <c r="A1334" s="6">
        <v>44783</v>
      </c>
      <c r="B1334" s="1">
        <v>2203229</v>
      </c>
      <c r="C1334" s="5" t="s">
        <v>250</v>
      </c>
      <c r="D1334" s="5" t="str">
        <f>VLOOKUP(C1334,[1]master_data!$A$2:$E$495,2,FALSE)</f>
        <v>AIRSTONE 40</v>
      </c>
      <c r="E1334" s="5">
        <v>5</v>
      </c>
      <c r="F1334" s="5">
        <f>VLOOKUP(C1334,[1]master_data!$A$2:$E$495,3,FALSE)</f>
        <v>6000</v>
      </c>
      <c r="G1334" s="5">
        <f>VLOOKUP(C1334,[1]master_data!$A$2:$E$495,4,FALSE)</f>
        <v>12000</v>
      </c>
      <c r="H1334" s="5">
        <f t="shared" si="66"/>
        <v>30000</v>
      </c>
      <c r="I1334" s="5">
        <f t="shared" si="67"/>
        <v>60000</v>
      </c>
      <c r="J1334" s="5">
        <f t="shared" si="68"/>
        <v>30000</v>
      </c>
      <c r="K1334" s="5" t="str">
        <f>VLOOKUP(C1334,[1]master_data!$A$2:$E$495,5,FALSE)</f>
        <v>Aksesoris</v>
      </c>
      <c r="L1334" s="5" t="s">
        <v>471</v>
      </c>
    </row>
    <row r="1335" spans="1:12" ht="12" customHeight="1" x14ac:dyDescent="0.25">
      <c r="A1335" s="6">
        <v>44783</v>
      </c>
      <c r="B1335" s="1">
        <v>2203228</v>
      </c>
      <c r="C1335" s="5" t="s">
        <v>408</v>
      </c>
      <c r="D1335" s="5" t="str">
        <f>VLOOKUP(C1335,[1]master_data!$A$2:$E$495,2,FALSE)</f>
        <v>CATFISH</v>
      </c>
      <c r="E1335" s="5">
        <v>2</v>
      </c>
      <c r="F1335" s="5">
        <f>VLOOKUP(C1335,[1]master_data!$A$2:$E$495,3,FALSE)</f>
        <v>20000</v>
      </c>
      <c r="G1335" s="5">
        <f>VLOOKUP(C1335,[1]master_data!$A$2:$E$495,4,FALSE)</f>
        <v>50000</v>
      </c>
      <c r="H1335" s="5">
        <f t="shared" si="66"/>
        <v>40000</v>
      </c>
      <c r="I1335" s="5">
        <f t="shared" si="67"/>
        <v>100000</v>
      </c>
      <c r="J1335" s="5">
        <f t="shared" si="68"/>
        <v>60000</v>
      </c>
      <c r="K1335" s="5" t="str">
        <f>VLOOKUP(C1335,[1]master_data!$A$2:$E$495,5,FALSE)</f>
        <v>Ikan</v>
      </c>
      <c r="L1335" s="5" t="s">
        <v>471</v>
      </c>
    </row>
    <row r="1336" spans="1:12" ht="12" customHeight="1" x14ac:dyDescent="0.25">
      <c r="A1336" s="6">
        <v>44783</v>
      </c>
      <c r="B1336" s="1">
        <v>2203227</v>
      </c>
      <c r="C1336" s="5" t="s">
        <v>406</v>
      </c>
      <c r="D1336" s="5" t="str">
        <f>VLOOKUP(C1336,[1]master_data!$A$2:$E$495,2,FALSE)</f>
        <v>BARBIR</v>
      </c>
      <c r="E1336" s="5">
        <v>20</v>
      </c>
      <c r="F1336" s="5">
        <f>VLOOKUP(C1336,[1]master_data!$A$2:$E$495,3,FALSE)</f>
        <v>800</v>
      </c>
      <c r="G1336" s="5">
        <f>VLOOKUP(C1336,[1]master_data!$A$2:$E$495,4,FALSE)</f>
        <v>2000</v>
      </c>
      <c r="H1336" s="5">
        <f t="shared" si="66"/>
        <v>16000</v>
      </c>
      <c r="I1336" s="5">
        <f t="shared" si="67"/>
        <v>40000</v>
      </c>
      <c r="J1336" s="5">
        <f t="shared" si="68"/>
        <v>24000</v>
      </c>
      <c r="K1336" s="5" t="str">
        <f>VLOOKUP(C1336,[1]master_data!$A$2:$E$495,5,FALSE)</f>
        <v>Ikan</v>
      </c>
      <c r="L1336" s="5" t="s">
        <v>471</v>
      </c>
    </row>
    <row r="1337" spans="1:12" ht="12" customHeight="1" x14ac:dyDescent="0.25">
      <c r="A1337" s="6">
        <v>44783</v>
      </c>
      <c r="B1337" s="1">
        <v>2203226</v>
      </c>
      <c r="C1337" s="5" t="s">
        <v>422</v>
      </c>
      <c r="D1337" s="5" t="str">
        <f>VLOOKUP(C1337,[1]master_data!$A$2:$E$495,2,FALSE)</f>
        <v>KOMET SLAYER</v>
      </c>
      <c r="E1337" s="5">
        <v>30</v>
      </c>
      <c r="F1337" s="5">
        <f>VLOOKUP(C1337,[1]master_data!$A$2:$E$495,3,FALSE)</f>
        <v>2000</v>
      </c>
      <c r="G1337" s="5">
        <f>VLOOKUP(C1337,[1]master_data!$A$2:$E$495,4,FALSE)</f>
        <v>5000</v>
      </c>
      <c r="H1337" s="5">
        <f t="shared" si="66"/>
        <v>60000</v>
      </c>
      <c r="I1337" s="5">
        <f t="shared" si="67"/>
        <v>150000</v>
      </c>
      <c r="J1337" s="5">
        <f t="shared" si="68"/>
        <v>90000</v>
      </c>
      <c r="K1337" s="5" t="str">
        <f>VLOOKUP(C1337,[1]master_data!$A$2:$E$495,5,FALSE)</f>
        <v>Ikan</v>
      </c>
      <c r="L1337" s="5" t="s">
        <v>471</v>
      </c>
    </row>
    <row r="1338" spans="1:12" ht="12" customHeight="1" x14ac:dyDescent="0.25">
      <c r="A1338" s="6">
        <v>44783</v>
      </c>
      <c r="B1338" s="1">
        <v>2203225</v>
      </c>
      <c r="C1338" s="5" t="s">
        <v>434</v>
      </c>
      <c r="D1338" s="5" t="str">
        <f>VLOOKUP(C1338,[1]master_data!$A$2:$E$495,2,FALSE)</f>
        <v>MOLI PAKAN</v>
      </c>
      <c r="E1338" s="5">
        <v>15</v>
      </c>
      <c r="F1338" s="5">
        <f>VLOOKUP(C1338,[1]master_data!$A$2:$E$495,3,FALSE)</f>
        <v>100</v>
      </c>
      <c r="G1338" s="5">
        <f>VLOOKUP(C1338,[1]master_data!$A$2:$E$495,4,FALSE)</f>
        <v>200</v>
      </c>
      <c r="H1338" s="5">
        <f t="shared" si="66"/>
        <v>1500</v>
      </c>
      <c r="I1338" s="5">
        <f t="shared" si="67"/>
        <v>3000</v>
      </c>
      <c r="J1338" s="5">
        <f t="shared" si="68"/>
        <v>1500</v>
      </c>
      <c r="K1338" s="5" t="str">
        <f>VLOOKUP(C1338,[1]master_data!$A$2:$E$495,5,FALSE)</f>
        <v>Ikan</v>
      </c>
      <c r="L1338" s="5" t="s">
        <v>471</v>
      </c>
    </row>
    <row r="1339" spans="1:12" ht="12" customHeight="1" x14ac:dyDescent="0.25">
      <c r="A1339" s="6">
        <v>44782</v>
      </c>
      <c r="B1339" s="1">
        <v>2203224</v>
      </c>
      <c r="C1339" s="5" t="s">
        <v>153</v>
      </c>
      <c r="D1339" s="5" t="str">
        <f>VLOOKUP(C1339,[1]master_data!$A$2:$E$495,2,FALSE)</f>
        <v>LED ROSTON 28 C</v>
      </c>
      <c r="E1339" s="5">
        <v>8</v>
      </c>
      <c r="F1339" s="5">
        <f>VLOOKUP(C1339,[1]master_data!$A$2:$E$495,3,FALSE)</f>
        <v>35000</v>
      </c>
      <c r="G1339" s="5">
        <f>VLOOKUP(C1339,[1]master_data!$A$2:$E$495,4,FALSE)</f>
        <v>55000</v>
      </c>
      <c r="H1339" s="5">
        <f t="shared" si="66"/>
        <v>280000</v>
      </c>
      <c r="I1339" s="5">
        <f t="shared" si="67"/>
        <v>440000</v>
      </c>
      <c r="J1339" s="5">
        <f t="shared" si="68"/>
        <v>160000</v>
      </c>
      <c r="K1339" s="5" t="str">
        <f>VLOOKUP(C1339,[1]master_data!$A$2:$E$495,5,FALSE)</f>
        <v>Aksesoris</v>
      </c>
      <c r="L1339" s="5" t="s">
        <v>471</v>
      </c>
    </row>
    <row r="1340" spans="1:12" ht="12" customHeight="1" x14ac:dyDescent="0.25">
      <c r="A1340" s="6">
        <v>44782</v>
      </c>
      <c r="B1340" s="1">
        <v>2203223</v>
      </c>
      <c r="C1340" s="5" t="s">
        <v>401</v>
      </c>
      <c r="D1340" s="5" t="str">
        <f>VLOOKUP(C1340,[1]master_data!$A$2:$E$495,2,FALSE)</f>
        <v>BALA BALA B</v>
      </c>
      <c r="E1340" s="5">
        <v>5</v>
      </c>
      <c r="F1340" s="5">
        <f>VLOOKUP(C1340,[1]master_data!$A$2:$E$495,3,FALSE)</f>
        <v>7000</v>
      </c>
      <c r="G1340" s="5">
        <f>VLOOKUP(C1340,[1]master_data!$A$2:$E$495,4,FALSE)</f>
        <v>15000</v>
      </c>
      <c r="H1340" s="5">
        <f t="shared" si="66"/>
        <v>35000</v>
      </c>
      <c r="I1340" s="5">
        <f t="shared" si="67"/>
        <v>75000</v>
      </c>
      <c r="J1340" s="5">
        <f t="shared" si="68"/>
        <v>40000</v>
      </c>
      <c r="K1340" s="5" t="str">
        <f>VLOOKUP(C1340,[1]master_data!$A$2:$E$495,5,FALSE)</f>
        <v>Ikan</v>
      </c>
      <c r="L1340" s="5" t="s">
        <v>471</v>
      </c>
    </row>
    <row r="1341" spans="1:12" ht="12" customHeight="1" x14ac:dyDescent="0.25">
      <c r="A1341" s="6">
        <v>44782</v>
      </c>
      <c r="B1341" s="1">
        <v>2203222</v>
      </c>
      <c r="C1341" s="5" t="s">
        <v>399</v>
      </c>
      <c r="D1341" s="5" t="str">
        <f>VLOOKUP(C1341,[1]master_data!$A$2:$E$495,2,FALSE)</f>
        <v>BUENOS AIRES TETRA</v>
      </c>
      <c r="E1341" s="5">
        <v>15</v>
      </c>
      <c r="F1341" s="5">
        <f>VLOOKUP(C1341,[1]master_data!$A$2:$E$495,3,FALSE)</f>
        <v>800</v>
      </c>
      <c r="G1341" s="5">
        <f>VLOOKUP(C1341,[1]master_data!$A$2:$E$495,4,FALSE)</f>
        <v>2000</v>
      </c>
      <c r="H1341" s="5">
        <f t="shared" si="66"/>
        <v>12000</v>
      </c>
      <c r="I1341" s="5">
        <f t="shared" si="67"/>
        <v>30000</v>
      </c>
      <c r="J1341" s="5">
        <f t="shared" si="68"/>
        <v>18000</v>
      </c>
      <c r="K1341" s="5" t="str">
        <f>VLOOKUP(C1341,[1]master_data!$A$2:$E$495,5,FALSE)</f>
        <v>Ikan</v>
      </c>
      <c r="L1341" s="5" t="s">
        <v>471</v>
      </c>
    </row>
    <row r="1342" spans="1:12" ht="12" customHeight="1" x14ac:dyDescent="0.25">
      <c r="A1342" s="6">
        <v>44782</v>
      </c>
      <c r="B1342" s="1">
        <v>2203221</v>
      </c>
      <c r="C1342" s="5" t="s">
        <v>418</v>
      </c>
      <c r="D1342" s="5" t="str">
        <f>VLOOKUP(C1342,[1]master_data!$A$2:$E$495,2,FALSE)</f>
        <v>KOI B</v>
      </c>
      <c r="E1342" s="5">
        <v>5</v>
      </c>
      <c r="F1342" s="5">
        <f>VLOOKUP(C1342,[1]master_data!$A$2:$E$495,3,FALSE)</f>
        <v>9000</v>
      </c>
      <c r="G1342" s="5">
        <f>VLOOKUP(C1342,[1]master_data!$A$2:$E$495,4,FALSE)</f>
        <v>30000</v>
      </c>
      <c r="H1342" s="5">
        <f t="shared" si="66"/>
        <v>45000</v>
      </c>
      <c r="I1342" s="5">
        <f t="shared" si="67"/>
        <v>150000</v>
      </c>
      <c r="J1342" s="5">
        <f t="shared" si="68"/>
        <v>105000</v>
      </c>
      <c r="K1342" s="5" t="str">
        <f>VLOOKUP(C1342,[1]master_data!$A$2:$E$495,5,FALSE)</f>
        <v>Ikan</v>
      </c>
      <c r="L1342" s="5" t="s">
        <v>471</v>
      </c>
    </row>
    <row r="1343" spans="1:12" ht="12" customHeight="1" x14ac:dyDescent="0.25">
      <c r="A1343" s="6">
        <v>44782</v>
      </c>
      <c r="B1343" s="1">
        <v>2203220</v>
      </c>
      <c r="C1343" s="5" t="s">
        <v>17</v>
      </c>
      <c r="D1343" s="5" t="str">
        <f>VLOOKUP(C1343,[1]master_data!$A$2:$E$495,2,FALSE)</f>
        <v>MESIN YANG WAVE MAKER 100</v>
      </c>
      <c r="E1343" s="5">
        <v>1</v>
      </c>
      <c r="F1343" s="5">
        <f>VLOOKUP(C1343,[1]master_data!$A$2:$E$495,3,FALSE)</f>
        <v>67500</v>
      </c>
      <c r="G1343" s="5">
        <f>VLOOKUP(C1343,[1]master_data!$A$2:$E$495,4,FALSE)</f>
        <v>85000</v>
      </c>
      <c r="H1343" s="5">
        <f t="shared" si="66"/>
        <v>67500</v>
      </c>
      <c r="I1343" s="5">
        <f t="shared" si="67"/>
        <v>85000</v>
      </c>
      <c r="J1343" s="5">
        <f t="shared" si="68"/>
        <v>17500</v>
      </c>
      <c r="K1343" s="5" t="str">
        <f>VLOOKUP(C1343,[1]master_data!$A$2:$E$495,5,FALSE)</f>
        <v>Aksesoris</v>
      </c>
      <c r="L1343" s="5" t="s">
        <v>471</v>
      </c>
    </row>
    <row r="1344" spans="1:12" ht="12" customHeight="1" x14ac:dyDescent="0.25">
      <c r="A1344" s="6">
        <v>44782</v>
      </c>
      <c r="B1344" s="1">
        <v>2203219</v>
      </c>
      <c r="C1344" s="5" t="s">
        <v>302</v>
      </c>
      <c r="D1344" s="5" t="str">
        <f>VLOOKUP(C1344,[1]master_data!$A$2:$E$495,2,FALSE)</f>
        <v>OBAT QUARANTINI MED</v>
      </c>
      <c r="E1344" s="5">
        <v>5</v>
      </c>
      <c r="F1344" s="5">
        <f>VLOOKUP(C1344,[1]master_data!$A$2:$E$495,3,FALSE)</f>
        <v>37000</v>
      </c>
      <c r="G1344" s="5">
        <f>VLOOKUP(C1344,[1]master_data!$A$2:$E$495,4,FALSE)</f>
        <v>60000</v>
      </c>
      <c r="H1344" s="5">
        <f t="shared" si="66"/>
        <v>185000</v>
      </c>
      <c r="I1344" s="5">
        <f t="shared" si="67"/>
        <v>300000</v>
      </c>
      <c r="J1344" s="5">
        <f t="shared" si="68"/>
        <v>115000</v>
      </c>
      <c r="K1344" s="5" t="str">
        <f>VLOOKUP(C1344,[1]master_data!$A$2:$E$495,5,FALSE)</f>
        <v>Aksesoris</v>
      </c>
      <c r="L1344" s="5" t="s">
        <v>471</v>
      </c>
    </row>
    <row r="1345" spans="1:12" ht="12" customHeight="1" x14ac:dyDescent="0.25">
      <c r="A1345" s="6">
        <v>44782</v>
      </c>
      <c r="B1345" s="1">
        <v>2203218</v>
      </c>
      <c r="C1345" s="5" t="s">
        <v>248</v>
      </c>
      <c r="D1345" s="5" t="str">
        <f>VLOOKUP(C1345,[1]master_data!$A$2:$E$495,2,FALSE)</f>
        <v>MATLINE BLUE</v>
      </c>
      <c r="E1345" s="5">
        <v>2</v>
      </c>
      <c r="F1345" s="5">
        <f>VLOOKUP(C1345,[1]master_data!$A$2:$E$495,3,FALSE)</f>
        <v>7000</v>
      </c>
      <c r="G1345" s="5">
        <f>VLOOKUP(C1345,[1]master_data!$A$2:$E$495,4,FALSE)</f>
        <v>10000</v>
      </c>
      <c r="H1345" s="5">
        <f t="shared" si="66"/>
        <v>14000</v>
      </c>
      <c r="I1345" s="5">
        <f t="shared" si="67"/>
        <v>20000</v>
      </c>
      <c r="J1345" s="5">
        <f t="shared" si="68"/>
        <v>6000</v>
      </c>
      <c r="K1345" s="5" t="str">
        <f>VLOOKUP(C1345,[1]master_data!$A$2:$E$495,5,FALSE)</f>
        <v>Aksesoris</v>
      </c>
      <c r="L1345" s="5" t="s">
        <v>471</v>
      </c>
    </row>
    <row r="1346" spans="1:12" ht="12" customHeight="1" x14ac:dyDescent="0.25">
      <c r="A1346" s="6">
        <v>44782</v>
      </c>
      <c r="B1346" s="1">
        <v>2203217</v>
      </c>
      <c r="C1346" s="5" t="s">
        <v>444</v>
      </c>
      <c r="D1346" s="5" t="str">
        <f>VLOOKUP(C1346,[1]master_data!$A$2:$E$495,2,FALSE)</f>
        <v>PARROT</v>
      </c>
      <c r="E1346" s="5">
        <v>2</v>
      </c>
      <c r="F1346" s="5">
        <f>VLOOKUP(C1346,[1]master_data!$A$2:$E$495,3,FALSE)</f>
        <v>27000</v>
      </c>
      <c r="G1346" s="5">
        <f>VLOOKUP(C1346,[1]master_data!$A$2:$E$495,4,FALSE)</f>
        <v>60000</v>
      </c>
      <c r="H1346" s="5">
        <f t="shared" si="66"/>
        <v>54000</v>
      </c>
      <c r="I1346" s="5">
        <f t="shared" si="67"/>
        <v>120000</v>
      </c>
      <c r="J1346" s="5">
        <f t="shared" si="68"/>
        <v>66000</v>
      </c>
      <c r="K1346" s="5" t="str">
        <f>VLOOKUP(C1346,[1]master_data!$A$2:$E$495,5,FALSE)</f>
        <v>Ikan</v>
      </c>
      <c r="L1346" s="5" t="s">
        <v>471</v>
      </c>
    </row>
    <row r="1347" spans="1:12" ht="12" customHeight="1" x14ac:dyDescent="0.25">
      <c r="A1347" s="6">
        <v>44782</v>
      </c>
      <c r="B1347" s="1">
        <v>2203216</v>
      </c>
      <c r="C1347" s="5" t="s">
        <v>437</v>
      </c>
      <c r="D1347" s="5" t="str">
        <f>VLOOKUP(C1347,[1]master_data!$A$2:$E$495,2,FALSE)</f>
        <v>RED EYE TETRA</v>
      </c>
      <c r="E1347" s="5">
        <v>20</v>
      </c>
      <c r="F1347" s="5">
        <f>VLOOKUP(C1347,[1]master_data!$A$2:$E$495,3,FALSE)</f>
        <v>900</v>
      </c>
      <c r="G1347" s="5">
        <f>VLOOKUP(C1347,[1]master_data!$A$2:$E$495,4,FALSE)</f>
        <v>2000</v>
      </c>
      <c r="H1347" s="5">
        <f t="shared" si="66"/>
        <v>18000</v>
      </c>
      <c r="I1347" s="5">
        <f t="shared" si="67"/>
        <v>40000</v>
      </c>
      <c r="J1347" s="5">
        <f t="shared" si="68"/>
        <v>22000</v>
      </c>
      <c r="K1347" s="5" t="str">
        <f>VLOOKUP(C1347,[1]master_data!$A$2:$E$495,5,FALSE)</f>
        <v>Ikan</v>
      </c>
      <c r="L1347" s="5" t="s">
        <v>471</v>
      </c>
    </row>
    <row r="1348" spans="1:12" ht="12" customHeight="1" x14ac:dyDescent="0.25">
      <c r="A1348" s="6">
        <v>44782</v>
      </c>
      <c r="B1348" s="1">
        <v>2203215</v>
      </c>
      <c r="C1348" s="5" t="s">
        <v>433</v>
      </c>
      <c r="D1348" s="5" t="str">
        <f>VLOOKUP(C1348,[1]master_data!$A$2:$E$495,2,FALSE)</f>
        <v>MARU B</v>
      </c>
      <c r="E1348" s="5">
        <v>1</v>
      </c>
      <c r="F1348" s="5">
        <f>VLOOKUP(C1348,[1]master_data!$A$2:$E$495,3,FALSE)</f>
        <v>90000</v>
      </c>
      <c r="G1348" s="5">
        <f>VLOOKUP(C1348,[1]master_data!$A$2:$E$495,4,FALSE)</f>
        <v>150000</v>
      </c>
      <c r="H1348" s="5">
        <f t="shared" si="66"/>
        <v>90000</v>
      </c>
      <c r="I1348" s="5">
        <f t="shared" si="67"/>
        <v>150000</v>
      </c>
      <c r="J1348" s="5">
        <f t="shared" si="68"/>
        <v>60000</v>
      </c>
      <c r="K1348" s="5" t="str">
        <f>VLOOKUP(C1348,[1]master_data!$A$2:$E$495,5,FALSE)</f>
        <v>Ikan</v>
      </c>
      <c r="L1348" s="5" t="s">
        <v>471</v>
      </c>
    </row>
    <row r="1349" spans="1:12" ht="12" customHeight="1" x14ac:dyDescent="0.25">
      <c r="A1349" s="6">
        <v>44781</v>
      </c>
      <c r="B1349" s="1">
        <v>2203214</v>
      </c>
      <c r="C1349" s="5" t="s">
        <v>442</v>
      </c>
      <c r="D1349" s="5" t="str">
        <f>VLOOKUP(C1349,[1]master_data!$A$2:$E$495,2,FALSE)</f>
        <v>PEMBERSIH KACA ALBINO</v>
      </c>
      <c r="E1349" s="5">
        <v>25</v>
      </c>
      <c r="F1349" s="5">
        <f>VLOOKUP(C1349,[1]master_data!$A$2:$E$495,3,FALSE)</f>
        <v>2500</v>
      </c>
      <c r="G1349" s="5">
        <f>VLOOKUP(C1349,[1]master_data!$A$2:$E$495,4,FALSE)</f>
        <v>5000</v>
      </c>
      <c r="H1349" s="5">
        <f t="shared" ref="H1349:H1412" si="69">E1349*F1349</f>
        <v>62500</v>
      </c>
      <c r="I1349" s="5">
        <f t="shared" ref="I1349:I1412" si="70">E1349*G1349</f>
        <v>125000</v>
      </c>
      <c r="J1349" s="5">
        <f t="shared" ref="J1349:J1412" si="71">I1349-H1349</f>
        <v>62500</v>
      </c>
      <c r="K1349" s="5" t="str">
        <f>VLOOKUP(C1349,[1]master_data!$A$2:$E$495,5,FALSE)</f>
        <v>Ikan</v>
      </c>
      <c r="L1349" s="5" t="s">
        <v>471</v>
      </c>
    </row>
    <row r="1350" spans="1:12" ht="12" customHeight="1" x14ac:dyDescent="0.25">
      <c r="A1350" s="6">
        <v>44781</v>
      </c>
      <c r="B1350" s="1">
        <v>2203213</v>
      </c>
      <c r="C1350" s="5" t="s">
        <v>427</v>
      </c>
      <c r="D1350" s="5" t="str">
        <f>VLOOKUP(C1350,[1]master_data!$A$2:$E$495,2,FALSE)</f>
        <v>LEMON</v>
      </c>
      <c r="E1350" s="5">
        <v>25</v>
      </c>
      <c r="F1350" s="5">
        <f>VLOOKUP(C1350,[1]master_data!$A$2:$E$495,3,FALSE)</f>
        <v>1000</v>
      </c>
      <c r="G1350" s="5">
        <f>VLOOKUP(C1350,[1]master_data!$A$2:$E$495,4,FALSE)</f>
        <v>2000</v>
      </c>
      <c r="H1350" s="5">
        <f t="shared" si="69"/>
        <v>25000</v>
      </c>
      <c r="I1350" s="5">
        <f t="shared" si="70"/>
        <v>50000</v>
      </c>
      <c r="J1350" s="5">
        <f t="shared" si="71"/>
        <v>25000</v>
      </c>
      <c r="K1350" s="5" t="str">
        <f>VLOOKUP(C1350,[1]master_data!$A$2:$E$495,5,FALSE)</f>
        <v>Ikan</v>
      </c>
      <c r="L1350" s="5" t="s">
        <v>471</v>
      </c>
    </row>
    <row r="1351" spans="1:12" ht="12" customHeight="1" x14ac:dyDescent="0.25">
      <c r="A1351" s="6">
        <v>44781</v>
      </c>
      <c r="B1351" s="1">
        <v>2203212</v>
      </c>
      <c r="C1351" s="5" t="s">
        <v>447</v>
      </c>
      <c r="D1351" s="5" t="str">
        <f>VLOOKUP(C1351,[1]master_data!$A$2:$E$495,2,FALSE)</f>
        <v>REDFIN ALBINO</v>
      </c>
      <c r="E1351" s="5">
        <v>10</v>
      </c>
      <c r="F1351" s="5">
        <f>VLOOKUP(C1351,[1]master_data!$A$2:$E$495,3,FALSE)</f>
        <v>1500</v>
      </c>
      <c r="G1351" s="5">
        <f>VLOOKUP(C1351,[1]master_data!$A$2:$E$495,4,FALSE)</f>
        <v>4000</v>
      </c>
      <c r="H1351" s="5">
        <f t="shared" si="69"/>
        <v>15000</v>
      </c>
      <c r="I1351" s="5">
        <f t="shared" si="70"/>
        <v>40000</v>
      </c>
      <c r="J1351" s="5">
        <f t="shared" si="71"/>
        <v>25000</v>
      </c>
      <c r="K1351" s="5" t="str">
        <f>VLOOKUP(C1351,[1]master_data!$A$2:$E$495,5,FALSE)</f>
        <v>Ikan</v>
      </c>
      <c r="L1351" s="5" t="s">
        <v>471</v>
      </c>
    </row>
    <row r="1352" spans="1:12" ht="12" customHeight="1" x14ac:dyDescent="0.25">
      <c r="A1352" s="6">
        <v>44781</v>
      </c>
      <c r="B1352" s="1">
        <v>2203211</v>
      </c>
      <c r="C1352" s="5" t="s">
        <v>434</v>
      </c>
      <c r="D1352" s="5" t="str">
        <f>VLOOKUP(C1352,[1]master_data!$A$2:$E$495,2,FALSE)</f>
        <v>MOLI PAKAN</v>
      </c>
      <c r="E1352" s="5">
        <v>10</v>
      </c>
      <c r="F1352" s="5">
        <f>VLOOKUP(C1352,[1]master_data!$A$2:$E$495,3,FALSE)</f>
        <v>100</v>
      </c>
      <c r="G1352" s="5">
        <f>VLOOKUP(C1352,[1]master_data!$A$2:$E$495,4,FALSE)</f>
        <v>200</v>
      </c>
      <c r="H1352" s="5">
        <f t="shared" si="69"/>
        <v>1000</v>
      </c>
      <c r="I1352" s="5">
        <f t="shared" si="70"/>
        <v>2000</v>
      </c>
      <c r="J1352" s="5">
        <f t="shared" si="71"/>
        <v>1000</v>
      </c>
      <c r="K1352" s="5" t="str">
        <f>VLOOKUP(C1352,[1]master_data!$A$2:$E$495,5,FALSE)</f>
        <v>Ikan</v>
      </c>
      <c r="L1352" s="5" t="s">
        <v>471</v>
      </c>
    </row>
    <row r="1353" spans="1:12" ht="12" customHeight="1" x14ac:dyDescent="0.25">
      <c r="A1353" s="6">
        <v>44781</v>
      </c>
      <c r="B1353" s="1">
        <v>2203210</v>
      </c>
      <c r="C1353" s="5" t="s">
        <v>147</v>
      </c>
      <c r="D1353" s="5" t="str">
        <f>VLOOKUP(C1353,[1]master_data!$A$2:$E$495,2,FALSE)</f>
        <v>LED KANDILA 3 BRS 30 CM</v>
      </c>
      <c r="E1353" s="5">
        <v>1</v>
      </c>
      <c r="F1353" s="5">
        <f>VLOOKUP(C1353,[1]master_data!$A$2:$E$495,3,FALSE)</f>
        <v>22000</v>
      </c>
      <c r="G1353" s="5">
        <f>VLOOKUP(C1353,[1]master_data!$A$2:$E$495,4,FALSE)</f>
        <v>40000</v>
      </c>
      <c r="H1353" s="5">
        <f t="shared" si="69"/>
        <v>22000</v>
      </c>
      <c r="I1353" s="5">
        <f t="shared" si="70"/>
        <v>40000</v>
      </c>
      <c r="J1353" s="5">
        <f t="shared" si="71"/>
        <v>18000</v>
      </c>
      <c r="K1353" s="5" t="str">
        <f>VLOOKUP(C1353,[1]master_data!$A$2:$E$495,5,FALSE)</f>
        <v>Aksesoris</v>
      </c>
      <c r="L1353" s="5" t="s">
        <v>471</v>
      </c>
    </row>
    <row r="1354" spans="1:12" ht="12" customHeight="1" x14ac:dyDescent="0.25">
      <c r="A1354" s="6">
        <v>44781</v>
      </c>
      <c r="B1354" s="1">
        <v>2203209</v>
      </c>
      <c r="C1354" s="5" t="s">
        <v>306</v>
      </c>
      <c r="D1354" s="5" t="str">
        <f>VLOOKUP(C1354,[1]master_data!$A$2:$E$495,2,FALSE)</f>
        <v>SEDOTAN</v>
      </c>
      <c r="E1354" s="5">
        <v>10</v>
      </c>
      <c r="F1354" s="5">
        <f>VLOOKUP(C1354,[1]master_data!$A$2:$E$495,3,FALSE)</f>
        <v>10000</v>
      </c>
      <c r="G1354" s="5">
        <f>VLOOKUP(C1354,[1]master_data!$A$2:$E$495,4,FALSE)</f>
        <v>15000</v>
      </c>
      <c r="H1354" s="5">
        <f t="shared" si="69"/>
        <v>100000</v>
      </c>
      <c r="I1354" s="5">
        <f t="shared" si="70"/>
        <v>150000</v>
      </c>
      <c r="J1354" s="5">
        <f t="shared" si="71"/>
        <v>50000</v>
      </c>
      <c r="K1354" s="5" t="str">
        <f>VLOOKUP(C1354,[1]master_data!$A$2:$E$495,5,FALSE)</f>
        <v>Aksesoris</v>
      </c>
      <c r="L1354" s="5" t="s">
        <v>471</v>
      </c>
    </row>
    <row r="1355" spans="1:12" ht="12" customHeight="1" x14ac:dyDescent="0.25">
      <c r="A1355" s="6">
        <v>44781</v>
      </c>
      <c r="B1355" s="1">
        <v>2203208</v>
      </c>
      <c r="C1355" s="5" t="s">
        <v>391</v>
      </c>
      <c r="D1355" s="5" t="str">
        <f>VLOOKUP(C1355,[1]master_data!$A$2:$E$495,2,FALSE)</f>
        <v>CHANNA ANDRAO K</v>
      </c>
      <c r="E1355" s="5">
        <v>1</v>
      </c>
      <c r="F1355" s="5">
        <f>VLOOKUP(C1355,[1]master_data!$A$2:$E$495,3,FALSE)</f>
        <v>20000</v>
      </c>
      <c r="G1355" s="5">
        <f>VLOOKUP(C1355,[1]master_data!$A$2:$E$495,4,FALSE)</f>
        <v>50000</v>
      </c>
      <c r="H1355" s="5">
        <f t="shared" si="69"/>
        <v>20000</v>
      </c>
      <c r="I1355" s="5">
        <f t="shared" si="70"/>
        <v>50000</v>
      </c>
      <c r="J1355" s="5">
        <f t="shared" si="71"/>
        <v>30000</v>
      </c>
      <c r="K1355" s="5" t="str">
        <f>VLOOKUP(C1355,[1]master_data!$A$2:$E$495,5,FALSE)</f>
        <v>Ikan</v>
      </c>
      <c r="L1355" s="5" t="s">
        <v>471</v>
      </c>
    </row>
    <row r="1356" spans="1:12" ht="12" customHeight="1" x14ac:dyDescent="0.25">
      <c r="A1356" s="6">
        <v>44781</v>
      </c>
      <c r="B1356" s="1">
        <v>2203207</v>
      </c>
      <c r="C1356" s="5" t="s">
        <v>403</v>
      </c>
      <c r="D1356" s="5" t="str">
        <f>VLOOKUP(C1356,[1]master_data!$A$2:$E$495,2,FALSE)</f>
        <v>CHANNA BLUE PULCHRA K</v>
      </c>
      <c r="E1356" s="5">
        <v>5</v>
      </c>
      <c r="F1356" s="5">
        <f>VLOOKUP(C1356,[1]master_data!$A$2:$E$495,3,FALSE)</f>
        <v>25000</v>
      </c>
      <c r="G1356" s="5">
        <f>VLOOKUP(C1356,[1]master_data!$A$2:$E$495,4,FALSE)</f>
        <v>50000</v>
      </c>
      <c r="H1356" s="5">
        <f t="shared" si="69"/>
        <v>125000</v>
      </c>
      <c r="I1356" s="5">
        <f t="shared" si="70"/>
        <v>250000</v>
      </c>
      <c r="J1356" s="5">
        <f t="shared" si="71"/>
        <v>125000</v>
      </c>
      <c r="K1356" s="5" t="str">
        <f>VLOOKUP(C1356,[1]master_data!$A$2:$E$495,5,FALSE)</f>
        <v>Ikan</v>
      </c>
      <c r="L1356" s="5" t="s">
        <v>471</v>
      </c>
    </row>
    <row r="1357" spans="1:12" ht="12" customHeight="1" x14ac:dyDescent="0.25">
      <c r="A1357" s="6">
        <v>44781</v>
      </c>
      <c r="B1357" s="1">
        <v>2203206</v>
      </c>
      <c r="C1357" s="5" t="s">
        <v>451</v>
      </c>
      <c r="D1357" s="5" t="str">
        <f>VLOOKUP(C1357,[1]master_data!$A$2:$E$495,2,FALSE)</f>
        <v>SUMATRA GOLD FISH</v>
      </c>
      <c r="E1357" s="5">
        <v>15</v>
      </c>
      <c r="F1357" s="5">
        <f>VLOOKUP(C1357,[1]master_data!$A$2:$E$495,3,FALSE)</f>
        <v>2500</v>
      </c>
      <c r="G1357" s="5">
        <f>VLOOKUP(C1357,[1]master_data!$A$2:$E$495,4,FALSE)</f>
        <v>4000</v>
      </c>
      <c r="H1357" s="5">
        <f t="shared" si="69"/>
        <v>37500</v>
      </c>
      <c r="I1357" s="5">
        <f t="shared" si="70"/>
        <v>60000</v>
      </c>
      <c r="J1357" s="5">
        <f t="shared" si="71"/>
        <v>22500</v>
      </c>
      <c r="K1357" s="5" t="str">
        <f>VLOOKUP(C1357,[1]master_data!$A$2:$E$495,5,FALSE)</f>
        <v>Ikan</v>
      </c>
      <c r="L1357" s="5" t="s">
        <v>471</v>
      </c>
    </row>
    <row r="1358" spans="1:12" ht="12" customHeight="1" x14ac:dyDescent="0.25">
      <c r="A1358" s="6">
        <v>44781</v>
      </c>
      <c r="B1358" s="1">
        <v>2203205</v>
      </c>
      <c r="C1358" s="5" t="s">
        <v>349</v>
      </c>
      <c r="D1358" s="5" t="str">
        <f>VLOOKUP(C1358,[1]master_data!$A$2:$E$495,2,FALSE)</f>
        <v>AKUARIUM 80 ROBOT</v>
      </c>
      <c r="E1358" s="5">
        <v>2</v>
      </c>
      <c r="F1358" s="5">
        <f>VLOOKUP(C1358,[1]master_data!$A$2:$E$495,3,FALSE)</f>
        <v>300000</v>
      </c>
      <c r="G1358" s="5">
        <f>VLOOKUP(C1358,[1]master_data!$A$2:$E$495,4,FALSE)</f>
        <v>370000</v>
      </c>
      <c r="H1358" s="5">
        <f t="shared" si="69"/>
        <v>600000</v>
      </c>
      <c r="I1358" s="5">
        <f t="shared" si="70"/>
        <v>740000</v>
      </c>
      <c r="J1358" s="5">
        <f t="shared" si="71"/>
        <v>140000</v>
      </c>
      <c r="K1358" s="5" t="str">
        <f>VLOOKUP(C1358,[1]master_data!$A$2:$E$495,5,FALSE)</f>
        <v>Aksesoris</v>
      </c>
      <c r="L1358" s="5" t="s">
        <v>471</v>
      </c>
    </row>
    <row r="1359" spans="1:12" ht="12" customHeight="1" x14ac:dyDescent="0.25">
      <c r="A1359" s="6">
        <v>44781</v>
      </c>
      <c r="B1359" s="1">
        <v>2203204</v>
      </c>
      <c r="C1359" s="5" t="s">
        <v>463</v>
      </c>
      <c r="D1359" s="5" t="str">
        <f>VLOOKUP(C1359,[1]master_data!$A$2:$E$495,2,FALSE)</f>
        <v>CHANNA STEWARTI</v>
      </c>
      <c r="E1359" s="5">
        <v>2</v>
      </c>
      <c r="F1359" s="5">
        <f>VLOOKUP(C1359,[1]master_data!$A$2:$E$495,3,FALSE)</f>
        <v>15000</v>
      </c>
      <c r="G1359" s="5">
        <f>VLOOKUP(C1359,[1]master_data!$A$2:$E$495,4,FALSE)</f>
        <v>40000</v>
      </c>
      <c r="H1359" s="5">
        <f t="shared" si="69"/>
        <v>30000</v>
      </c>
      <c r="I1359" s="5">
        <f t="shared" si="70"/>
        <v>80000</v>
      </c>
      <c r="J1359" s="5">
        <f t="shared" si="71"/>
        <v>50000</v>
      </c>
      <c r="K1359" s="5" t="str">
        <f>VLOOKUP(C1359,[1]master_data!$A$2:$E$495,5,FALSE)</f>
        <v>Ikan</v>
      </c>
      <c r="L1359" s="5" t="s">
        <v>471</v>
      </c>
    </row>
    <row r="1360" spans="1:12" ht="12" customHeight="1" x14ac:dyDescent="0.25">
      <c r="A1360" s="6">
        <v>44781</v>
      </c>
      <c r="B1360" s="1">
        <v>2203203</v>
      </c>
      <c r="C1360" s="5" t="s">
        <v>147</v>
      </c>
      <c r="D1360" s="5" t="str">
        <f>VLOOKUP(C1360,[1]master_data!$A$2:$E$495,2,FALSE)</f>
        <v>LED KANDILA 3 BRS 30 CM</v>
      </c>
      <c r="E1360" s="5">
        <v>1</v>
      </c>
      <c r="F1360" s="5">
        <f>VLOOKUP(C1360,[1]master_data!$A$2:$E$495,3,FALSE)</f>
        <v>22000</v>
      </c>
      <c r="G1360" s="5">
        <f>VLOOKUP(C1360,[1]master_data!$A$2:$E$495,4,FALSE)</f>
        <v>40000</v>
      </c>
      <c r="H1360" s="5">
        <f t="shared" si="69"/>
        <v>22000</v>
      </c>
      <c r="I1360" s="5">
        <f t="shared" si="70"/>
        <v>40000</v>
      </c>
      <c r="J1360" s="5">
        <f t="shared" si="71"/>
        <v>18000</v>
      </c>
      <c r="K1360" s="5" t="str">
        <f>VLOOKUP(C1360,[1]master_data!$A$2:$E$495,5,FALSE)</f>
        <v>Aksesoris</v>
      </c>
      <c r="L1360" s="5" t="s">
        <v>471</v>
      </c>
    </row>
    <row r="1361" spans="1:12" ht="12" customHeight="1" x14ac:dyDescent="0.25">
      <c r="A1361" s="6">
        <v>44780</v>
      </c>
      <c r="B1361" s="1">
        <v>2203202</v>
      </c>
      <c r="C1361" s="5" t="s">
        <v>422</v>
      </c>
      <c r="D1361" s="5" t="str">
        <f>VLOOKUP(C1361,[1]master_data!$A$2:$E$495,2,FALSE)</f>
        <v>KOMET SLAYER</v>
      </c>
      <c r="E1361" s="5">
        <v>25</v>
      </c>
      <c r="F1361" s="5">
        <f>VLOOKUP(C1361,[1]master_data!$A$2:$E$495,3,FALSE)</f>
        <v>2000</v>
      </c>
      <c r="G1361" s="5">
        <f>VLOOKUP(C1361,[1]master_data!$A$2:$E$495,4,FALSE)</f>
        <v>5000</v>
      </c>
      <c r="H1361" s="5">
        <f t="shared" si="69"/>
        <v>50000</v>
      </c>
      <c r="I1361" s="5">
        <f t="shared" si="70"/>
        <v>125000</v>
      </c>
      <c r="J1361" s="5">
        <f t="shared" si="71"/>
        <v>75000</v>
      </c>
      <c r="K1361" s="5" t="str">
        <f>VLOOKUP(C1361,[1]master_data!$A$2:$E$495,5,FALSE)</f>
        <v>Ikan</v>
      </c>
      <c r="L1361" s="5" t="s">
        <v>471</v>
      </c>
    </row>
    <row r="1362" spans="1:12" ht="12" customHeight="1" x14ac:dyDescent="0.25">
      <c r="A1362" s="6">
        <v>44780</v>
      </c>
      <c r="B1362" s="1">
        <v>2203201</v>
      </c>
      <c r="C1362" s="5" t="s">
        <v>429</v>
      </c>
      <c r="D1362" s="5" t="str">
        <f>VLOOKUP(C1362,[1]master_data!$A$2:$E$495,2,FALSE)</f>
        <v>LOUHAN SUPER</v>
      </c>
      <c r="E1362" s="5">
        <v>2</v>
      </c>
      <c r="F1362" s="5">
        <f>VLOOKUP(C1362,[1]master_data!$A$2:$E$495,3,FALSE)</f>
        <v>300000</v>
      </c>
      <c r="G1362" s="5">
        <f>VLOOKUP(C1362,[1]master_data!$A$2:$E$495,4,FALSE)</f>
        <v>500000</v>
      </c>
      <c r="H1362" s="5">
        <f t="shared" si="69"/>
        <v>600000</v>
      </c>
      <c r="I1362" s="5">
        <f t="shared" si="70"/>
        <v>1000000</v>
      </c>
      <c r="J1362" s="5">
        <f t="shared" si="71"/>
        <v>400000</v>
      </c>
      <c r="K1362" s="5" t="str">
        <f>VLOOKUP(C1362,[1]master_data!$A$2:$E$495,5,FALSE)</f>
        <v>Ikan</v>
      </c>
      <c r="L1362" s="5" t="s">
        <v>471</v>
      </c>
    </row>
    <row r="1363" spans="1:12" ht="12" customHeight="1" x14ac:dyDescent="0.25">
      <c r="A1363" s="6">
        <v>44780</v>
      </c>
      <c r="B1363" s="1">
        <v>2203200</v>
      </c>
      <c r="C1363" s="5" t="s">
        <v>440</v>
      </c>
      <c r="D1363" s="5" t="str">
        <f>VLOOKUP(C1363,[1]master_data!$A$2:$E$495,2,FALSE)</f>
        <v>OSCAR</v>
      </c>
      <c r="E1363" s="5">
        <v>3</v>
      </c>
      <c r="F1363" s="5">
        <f>VLOOKUP(C1363,[1]master_data!$A$2:$E$495,3,FALSE)</f>
        <v>25000</v>
      </c>
      <c r="G1363" s="5">
        <f>VLOOKUP(C1363,[1]master_data!$A$2:$E$495,4,FALSE)</f>
        <v>50000</v>
      </c>
      <c r="H1363" s="5">
        <f t="shared" si="69"/>
        <v>75000</v>
      </c>
      <c r="I1363" s="5">
        <f t="shared" si="70"/>
        <v>150000</v>
      </c>
      <c r="J1363" s="5">
        <f t="shared" si="71"/>
        <v>75000</v>
      </c>
      <c r="K1363" s="5" t="str">
        <f>VLOOKUP(C1363,[1]master_data!$A$2:$E$495,5,FALSE)</f>
        <v>Ikan</v>
      </c>
      <c r="L1363" s="5" t="s">
        <v>471</v>
      </c>
    </row>
    <row r="1364" spans="1:12" ht="12" customHeight="1" x14ac:dyDescent="0.25">
      <c r="A1364" s="6">
        <v>44780</v>
      </c>
      <c r="B1364" s="1">
        <v>2203199</v>
      </c>
      <c r="C1364" s="5" t="s">
        <v>362</v>
      </c>
      <c r="D1364" s="5" t="str">
        <f>VLOOKUP(C1364,[1]master_data!$A$2:$E$495,2,FALSE)</f>
        <v>AKUARIUM 50 POLOS</v>
      </c>
      <c r="E1364" s="5">
        <v>1</v>
      </c>
      <c r="F1364" s="5">
        <f>VLOOKUP(C1364,[1]master_data!$A$2:$E$495,3,FALSE)</f>
        <v>100000</v>
      </c>
      <c r="G1364" s="5">
        <f>VLOOKUP(C1364,[1]master_data!$A$2:$E$495,4,FALSE)</f>
        <v>130000</v>
      </c>
      <c r="H1364" s="5">
        <f t="shared" si="69"/>
        <v>100000</v>
      </c>
      <c r="I1364" s="5">
        <f t="shared" si="70"/>
        <v>130000</v>
      </c>
      <c r="J1364" s="5">
        <f t="shared" si="71"/>
        <v>30000</v>
      </c>
      <c r="K1364" s="5" t="str">
        <f>VLOOKUP(C1364,[1]master_data!$A$2:$E$495,5,FALSE)</f>
        <v>Aksesoris</v>
      </c>
      <c r="L1364" s="5" t="s">
        <v>471</v>
      </c>
    </row>
    <row r="1365" spans="1:12" ht="12" customHeight="1" x14ac:dyDescent="0.25">
      <c r="A1365" s="6">
        <v>44779</v>
      </c>
      <c r="B1365" s="1">
        <v>2203198</v>
      </c>
      <c r="C1365" s="5" t="s">
        <v>186</v>
      </c>
      <c r="D1365" s="5" t="str">
        <f>VLOOKUP(C1365,[1]master_data!$A$2:$E$495,2,FALSE)</f>
        <v>LED RECENT DnN 50CM</v>
      </c>
      <c r="E1365" s="5">
        <v>1</v>
      </c>
      <c r="F1365" s="5">
        <f>VLOOKUP(C1365,[1]master_data!$A$2:$E$495,3,FALSE)</f>
        <v>30000</v>
      </c>
      <c r="G1365" s="5">
        <f>VLOOKUP(C1365,[1]master_data!$A$2:$E$495,4,FALSE)</f>
        <v>60000</v>
      </c>
      <c r="H1365" s="5">
        <f t="shared" si="69"/>
        <v>30000</v>
      </c>
      <c r="I1365" s="5">
        <f t="shared" si="70"/>
        <v>60000</v>
      </c>
      <c r="J1365" s="5">
        <f t="shared" si="71"/>
        <v>30000</v>
      </c>
      <c r="K1365" s="5" t="str">
        <f>VLOOKUP(C1365,[1]master_data!$A$2:$E$495,5,FALSE)</f>
        <v>Aksesoris</v>
      </c>
      <c r="L1365" s="5" t="s">
        <v>471</v>
      </c>
    </row>
    <row r="1366" spans="1:12" ht="12" customHeight="1" x14ac:dyDescent="0.25">
      <c r="A1366" s="6">
        <v>44779</v>
      </c>
      <c r="B1366" s="1">
        <v>2203197</v>
      </c>
      <c r="C1366" s="5" t="s">
        <v>463</v>
      </c>
      <c r="D1366" s="5" t="str">
        <f>VLOOKUP(C1366,[1]master_data!$A$2:$E$495,2,FALSE)</f>
        <v>CHANNA STEWARTI</v>
      </c>
      <c r="E1366" s="5">
        <v>5</v>
      </c>
      <c r="F1366" s="5">
        <f>VLOOKUP(C1366,[1]master_data!$A$2:$E$495,3,FALSE)</f>
        <v>15000</v>
      </c>
      <c r="G1366" s="5">
        <f>VLOOKUP(C1366,[1]master_data!$A$2:$E$495,4,FALSE)</f>
        <v>40000</v>
      </c>
      <c r="H1366" s="5">
        <f t="shared" si="69"/>
        <v>75000</v>
      </c>
      <c r="I1366" s="5">
        <f t="shared" si="70"/>
        <v>200000</v>
      </c>
      <c r="J1366" s="5">
        <f t="shared" si="71"/>
        <v>125000</v>
      </c>
      <c r="K1366" s="5" t="str">
        <f>VLOOKUP(C1366,[1]master_data!$A$2:$E$495,5,FALSE)</f>
        <v>Ikan</v>
      </c>
      <c r="L1366" s="5" t="s">
        <v>471</v>
      </c>
    </row>
    <row r="1367" spans="1:12" ht="12" customHeight="1" x14ac:dyDescent="0.25">
      <c r="A1367" s="6">
        <v>44779</v>
      </c>
      <c r="B1367" s="1">
        <v>2203196</v>
      </c>
      <c r="C1367" s="5" t="s">
        <v>280</v>
      </c>
      <c r="D1367" s="5" t="str">
        <f>VLOOKUP(C1367,[1]master_data!$A$2:$E$495,2,FALSE)</f>
        <v>KRAN 2 W</v>
      </c>
      <c r="E1367" s="5">
        <v>20</v>
      </c>
      <c r="F1367" s="5">
        <f>VLOOKUP(C1367,[1]master_data!$A$2:$E$495,3,FALSE)</f>
        <v>4000</v>
      </c>
      <c r="G1367" s="5">
        <f>VLOOKUP(C1367,[1]master_data!$A$2:$E$495,4,FALSE)</f>
        <v>6000</v>
      </c>
      <c r="H1367" s="5">
        <f t="shared" si="69"/>
        <v>80000</v>
      </c>
      <c r="I1367" s="5">
        <f t="shared" si="70"/>
        <v>120000</v>
      </c>
      <c r="J1367" s="5">
        <f t="shared" si="71"/>
        <v>40000</v>
      </c>
      <c r="K1367" s="5" t="str">
        <f>VLOOKUP(C1367,[1]master_data!$A$2:$E$495,5,FALSE)</f>
        <v>Aksesoris</v>
      </c>
      <c r="L1367" s="5" t="s">
        <v>471</v>
      </c>
    </row>
    <row r="1368" spans="1:12" ht="12" customHeight="1" x14ac:dyDescent="0.25">
      <c r="A1368" s="6">
        <v>44779</v>
      </c>
      <c r="B1368" s="1">
        <v>2203195</v>
      </c>
      <c r="C1368" s="5" t="s">
        <v>437</v>
      </c>
      <c r="D1368" s="5" t="str">
        <f>VLOOKUP(C1368,[1]master_data!$A$2:$E$495,2,FALSE)</f>
        <v>RED EYE TETRA</v>
      </c>
      <c r="E1368" s="5">
        <v>30</v>
      </c>
      <c r="F1368" s="5">
        <f>VLOOKUP(C1368,[1]master_data!$A$2:$E$495,3,FALSE)</f>
        <v>900</v>
      </c>
      <c r="G1368" s="5">
        <f>VLOOKUP(C1368,[1]master_data!$A$2:$E$495,4,FALSE)</f>
        <v>2000</v>
      </c>
      <c r="H1368" s="5">
        <f t="shared" si="69"/>
        <v>27000</v>
      </c>
      <c r="I1368" s="5">
        <f t="shared" si="70"/>
        <v>60000</v>
      </c>
      <c r="J1368" s="5">
        <f t="shared" si="71"/>
        <v>33000</v>
      </c>
      <c r="K1368" s="5" t="str">
        <f>VLOOKUP(C1368,[1]master_data!$A$2:$E$495,5,FALSE)</f>
        <v>Ikan</v>
      </c>
      <c r="L1368" s="5" t="s">
        <v>471</v>
      </c>
    </row>
    <row r="1369" spans="1:12" ht="12" customHeight="1" x14ac:dyDescent="0.25">
      <c r="A1369" s="6">
        <v>44779</v>
      </c>
      <c r="B1369" s="1">
        <v>2203194</v>
      </c>
      <c r="C1369" s="5" t="s">
        <v>433</v>
      </c>
      <c r="D1369" s="5" t="str">
        <f>VLOOKUP(C1369,[1]master_data!$A$2:$E$495,2,FALSE)</f>
        <v>MARU B</v>
      </c>
      <c r="E1369" s="5">
        <v>2</v>
      </c>
      <c r="F1369" s="5">
        <f>VLOOKUP(C1369,[1]master_data!$A$2:$E$495,3,FALSE)</f>
        <v>90000</v>
      </c>
      <c r="G1369" s="5">
        <f>VLOOKUP(C1369,[1]master_data!$A$2:$E$495,4,FALSE)</f>
        <v>150000</v>
      </c>
      <c r="H1369" s="5">
        <f t="shared" si="69"/>
        <v>180000</v>
      </c>
      <c r="I1369" s="5">
        <f t="shared" si="70"/>
        <v>300000</v>
      </c>
      <c r="J1369" s="5">
        <f t="shared" si="71"/>
        <v>120000</v>
      </c>
      <c r="K1369" s="5" t="str">
        <f>VLOOKUP(C1369,[1]master_data!$A$2:$E$495,5,FALSE)</f>
        <v>Ikan</v>
      </c>
      <c r="L1369" s="5" t="s">
        <v>471</v>
      </c>
    </row>
    <row r="1370" spans="1:12" ht="12" customHeight="1" x14ac:dyDescent="0.25">
      <c r="A1370" s="6">
        <v>44779</v>
      </c>
      <c r="B1370" s="1">
        <v>2203193</v>
      </c>
      <c r="C1370" s="5" t="s">
        <v>12</v>
      </c>
      <c r="D1370" s="5" t="str">
        <f>VLOOKUP(C1370,[1]master_data!$A$2:$E$495,2,FALSE)</f>
        <v>MESIN YANG 104</v>
      </c>
      <c r="E1370" s="5">
        <v>1</v>
      </c>
      <c r="F1370" s="5">
        <f>VLOOKUP(C1370,[1]master_data!$A$2:$E$495,3,FALSE)</f>
        <v>98000</v>
      </c>
      <c r="G1370" s="5">
        <f>VLOOKUP(C1370,[1]master_data!$A$2:$E$495,4,FALSE)</f>
        <v>140000</v>
      </c>
      <c r="H1370" s="5">
        <f t="shared" si="69"/>
        <v>98000</v>
      </c>
      <c r="I1370" s="5">
        <f t="shared" si="70"/>
        <v>140000</v>
      </c>
      <c r="J1370" s="5">
        <f t="shared" si="71"/>
        <v>42000</v>
      </c>
      <c r="K1370" s="5" t="str">
        <f>VLOOKUP(C1370,[1]master_data!$A$2:$E$495,5,FALSE)</f>
        <v>Aksesoris</v>
      </c>
      <c r="L1370" s="5" t="s">
        <v>471</v>
      </c>
    </row>
    <row r="1371" spans="1:12" ht="12" customHeight="1" x14ac:dyDescent="0.25">
      <c r="A1371" s="6">
        <v>44779</v>
      </c>
      <c r="B1371" s="1">
        <v>2203192</v>
      </c>
      <c r="C1371" s="5" t="s">
        <v>396</v>
      </c>
      <c r="D1371" s="5" t="str">
        <f>VLOOKUP(C1371,[1]master_data!$A$2:$E$495,2,FALSE)</f>
        <v>ALGA EATER</v>
      </c>
      <c r="E1371" s="5">
        <v>25</v>
      </c>
      <c r="F1371" s="5">
        <f>VLOOKUP(C1371,[1]master_data!$A$2:$E$495,3,FALSE)</f>
        <v>1750</v>
      </c>
      <c r="G1371" s="5">
        <f>VLOOKUP(C1371,[1]master_data!$A$2:$E$495,4,FALSE)</f>
        <v>5000</v>
      </c>
      <c r="H1371" s="5">
        <f t="shared" si="69"/>
        <v>43750</v>
      </c>
      <c r="I1371" s="5">
        <f t="shared" si="70"/>
        <v>125000</v>
      </c>
      <c r="J1371" s="5">
        <f t="shared" si="71"/>
        <v>81250</v>
      </c>
      <c r="K1371" s="5" t="str">
        <f>VLOOKUP(C1371,[1]master_data!$A$2:$E$495,5,FALSE)</f>
        <v>Ikan</v>
      </c>
      <c r="L1371" s="5" t="s">
        <v>471</v>
      </c>
    </row>
    <row r="1372" spans="1:12" ht="12" customHeight="1" x14ac:dyDescent="0.25">
      <c r="A1372" s="6">
        <v>44779</v>
      </c>
      <c r="B1372" s="1">
        <v>2203191</v>
      </c>
      <c r="C1372" s="5" t="s">
        <v>400</v>
      </c>
      <c r="D1372" s="5" t="str">
        <f>VLOOKUP(C1372,[1]master_data!$A$2:$E$495,2,FALSE)</f>
        <v>BALA BALA K</v>
      </c>
      <c r="E1372" s="5">
        <v>28</v>
      </c>
      <c r="F1372" s="5">
        <f>VLOOKUP(C1372,[1]master_data!$A$2:$E$495,3,FALSE)</f>
        <v>4000</v>
      </c>
      <c r="G1372" s="5">
        <f>VLOOKUP(C1372,[1]master_data!$A$2:$E$495,4,FALSE)</f>
        <v>8000</v>
      </c>
      <c r="H1372" s="5">
        <f t="shared" si="69"/>
        <v>112000</v>
      </c>
      <c r="I1372" s="5">
        <f t="shared" si="70"/>
        <v>224000</v>
      </c>
      <c r="J1372" s="5">
        <f t="shared" si="71"/>
        <v>112000</v>
      </c>
      <c r="K1372" s="5" t="str">
        <f>VLOOKUP(C1372,[1]master_data!$A$2:$E$495,5,FALSE)</f>
        <v>Ikan</v>
      </c>
      <c r="L1372" s="5" t="s">
        <v>471</v>
      </c>
    </row>
    <row r="1373" spans="1:12" ht="12" customHeight="1" x14ac:dyDescent="0.25">
      <c r="A1373" s="6">
        <v>44778</v>
      </c>
      <c r="B1373" s="1">
        <v>2203190</v>
      </c>
      <c r="C1373" s="5" t="s">
        <v>459</v>
      </c>
      <c r="D1373" s="5" t="str">
        <f>VLOOKUP(C1373,[1]master_data!$A$2:$E$495,2,FALSE)</f>
        <v>ZEBRA UNGU</v>
      </c>
      <c r="E1373" s="5">
        <v>15</v>
      </c>
      <c r="F1373" s="5">
        <f>VLOOKUP(C1373,[1]master_data!$A$2:$E$495,3,FALSE)</f>
        <v>800</v>
      </c>
      <c r="G1373" s="5">
        <f>VLOOKUP(C1373,[1]master_data!$A$2:$E$495,4,FALSE)</f>
        <v>2000</v>
      </c>
      <c r="H1373" s="5">
        <f t="shared" si="69"/>
        <v>12000</v>
      </c>
      <c r="I1373" s="5">
        <f t="shared" si="70"/>
        <v>30000</v>
      </c>
      <c r="J1373" s="5">
        <f t="shared" si="71"/>
        <v>18000</v>
      </c>
      <c r="K1373" s="5" t="str">
        <f>VLOOKUP(C1373,[1]master_data!$A$2:$E$495,5,FALSE)</f>
        <v>Ikan</v>
      </c>
      <c r="L1373" s="5" t="s">
        <v>471</v>
      </c>
    </row>
    <row r="1374" spans="1:12" ht="12" customHeight="1" x14ac:dyDescent="0.25">
      <c r="A1374" s="6">
        <v>44778</v>
      </c>
      <c r="B1374" s="1">
        <v>2203189</v>
      </c>
      <c r="C1374" s="5" t="s">
        <v>91</v>
      </c>
      <c r="D1374" s="5" t="str">
        <f>VLOOKUP(C1374,[1]master_data!$A$2:$E$495,2,FALSE)</f>
        <v>MESIN AMARA 2600</v>
      </c>
      <c r="E1374" s="5">
        <v>1</v>
      </c>
      <c r="F1374" s="5">
        <f>VLOOKUP(C1374,[1]master_data!$A$2:$E$495,3,FALSE)</f>
        <v>50000</v>
      </c>
      <c r="G1374" s="5">
        <f>VLOOKUP(C1374,[1]master_data!$A$2:$E$495,4,FALSE)</f>
        <v>59000</v>
      </c>
      <c r="H1374" s="5">
        <f t="shared" si="69"/>
        <v>50000</v>
      </c>
      <c r="I1374" s="5">
        <f t="shared" si="70"/>
        <v>59000</v>
      </c>
      <c r="J1374" s="5">
        <f t="shared" si="71"/>
        <v>9000</v>
      </c>
      <c r="K1374" s="5" t="str">
        <f>VLOOKUP(C1374,[1]master_data!$A$2:$E$495,5,FALSE)</f>
        <v>Aksesoris</v>
      </c>
      <c r="L1374" s="5" t="s">
        <v>471</v>
      </c>
    </row>
    <row r="1375" spans="1:12" ht="12" customHeight="1" x14ac:dyDescent="0.25">
      <c r="A1375" s="6">
        <v>44778</v>
      </c>
      <c r="B1375" s="1">
        <v>2203188</v>
      </c>
      <c r="C1375" s="5" t="s">
        <v>440</v>
      </c>
      <c r="D1375" s="5" t="str">
        <f>VLOOKUP(C1375,[1]master_data!$A$2:$E$495,2,FALSE)</f>
        <v>OSCAR</v>
      </c>
      <c r="E1375" s="5">
        <v>2</v>
      </c>
      <c r="F1375" s="5">
        <f>VLOOKUP(C1375,[1]master_data!$A$2:$E$495,3,FALSE)</f>
        <v>25000</v>
      </c>
      <c r="G1375" s="5">
        <f>VLOOKUP(C1375,[1]master_data!$A$2:$E$495,4,FALSE)</f>
        <v>50000</v>
      </c>
      <c r="H1375" s="5">
        <f t="shared" si="69"/>
        <v>50000</v>
      </c>
      <c r="I1375" s="5">
        <f t="shared" si="70"/>
        <v>100000</v>
      </c>
      <c r="J1375" s="5">
        <f t="shared" si="71"/>
        <v>50000</v>
      </c>
      <c r="K1375" s="5" t="str">
        <f>VLOOKUP(C1375,[1]master_data!$A$2:$E$495,5,FALSE)</f>
        <v>Ikan</v>
      </c>
      <c r="L1375" s="5" t="s">
        <v>471</v>
      </c>
    </row>
    <row r="1376" spans="1:12" ht="12" customHeight="1" x14ac:dyDescent="0.25">
      <c r="A1376" s="6">
        <v>44778</v>
      </c>
      <c r="B1376" s="1">
        <v>2203187</v>
      </c>
      <c r="C1376" s="5" t="s">
        <v>441</v>
      </c>
      <c r="D1376" s="5" t="str">
        <f>VLOOKUP(C1376,[1]master_data!$A$2:$E$495,2,FALSE)</f>
        <v>PEMBERSIH KACA BIASA</v>
      </c>
      <c r="E1376" s="5">
        <v>10</v>
      </c>
      <c r="F1376" s="5">
        <f>VLOOKUP(C1376,[1]master_data!$A$2:$E$495,3,FALSE)</f>
        <v>2000</v>
      </c>
      <c r="G1376" s="5">
        <f>VLOOKUP(C1376,[1]master_data!$A$2:$E$495,4,FALSE)</f>
        <v>5000</v>
      </c>
      <c r="H1376" s="5">
        <f t="shared" si="69"/>
        <v>20000</v>
      </c>
      <c r="I1376" s="5">
        <f t="shared" si="70"/>
        <v>50000</v>
      </c>
      <c r="J1376" s="5">
        <f t="shared" si="71"/>
        <v>30000</v>
      </c>
      <c r="K1376" s="5" t="str">
        <f>VLOOKUP(C1376,[1]master_data!$A$2:$E$495,5,FALSE)</f>
        <v>Ikan</v>
      </c>
      <c r="L1376" s="5" t="s">
        <v>471</v>
      </c>
    </row>
    <row r="1377" spans="1:12" ht="12" customHeight="1" x14ac:dyDescent="0.25">
      <c r="A1377" s="6">
        <v>44778</v>
      </c>
      <c r="B1377" s="1">
        <v>2203186</v>
      </c>
      <c r="C1377" s="5" t="s">
        <v>455</v>
      </c>
      <c r="D1377" s="5" t="str">
        <f>VLOOKUP(C1377,[1]master_data!$A$2:$E$495,2,FALSE)</f>
        <v>TETRA</v>
      </c>
      <c r="E1377" s="5">
        <v>25</v>
      </c>
      <c r="F1377" s="5">
        <f>VLOOKUP(C1377,[1]master_data!$A$2:$E$495,3,FALSE)</f>
        <v>800</v>
      </c>
      <c r="G1377" s="5">
        <f>VLOOKUP(C1377,[1]master_data!$A$2:$E$495,4,FALSE)</f>
        <v>2000</v>
      </c>
      <c r="H1377" s="5">
        <f t="shared" si="69"/>
        <v>20000</v>
      </c>
      <c r="I1377" s="5">
        <f t="shared" si="70"/>
        <v>50000</v>
      </c>
      <c r="J1377" s="5">
        <f t="shared" si="71"/>
        <v>30000</v>
      </c>
      <c r="K1377" s="5" t="str">
        <f>VLOOKUP(C1377,[1]master_data!$A$2:$E$495,5,FALSE)</f>
        <v>Ikan</v>
      </c>
      <c r="L1377" s="5" t="s">
        <v>471</v>
      </c>
    </row>
    <row r="1378" spans="1:12" ht="12" customHeight="1" x14ac:dyDescent="0.25">
      <c r="A1378" s="6">
        <v>44778</v>
      </c>
      <c r="B1378" s="1">
        <v>2203185</v>
      </c>
      <c r="C1378" s="5" t="s">
        <v>412</v>
      </c>
      <c r="D1378" s="5" t="str">
        <f>VLOOKUP(C1378,[1]master_data!$A$2:$E$495,2,FALSE)</f>
        <v>HIU TAWAR</v>
      </c>
      <c r="E1378" s="5">
        <v>30</v>
      </c>
      <c r="F1378" s="5">
        <f>VLOOKUP(C1378,[1]master_data!$A$2:$E$495,3,FALSE)</f>
        <v>600</v>
      </c>
      <c r="G1378" s="5">
        <f>VLOOKUP(C1378,[1]master_data!$A$2:$E$495,4,FALSE)</f>
        <v>2000</v>
      </c>
      <c r="H1378" s="5">
        <f t="shared" si="69"/>
        <v>18000</v>
      </c>
      <c r="I1378" s="5">
        <f t="shared" si="70"/>
        <v>60000</v>
      </c>
      <c r="J1378" s="5">
        <f t="shared" si="71"/>
        <v>42000</v>
      </c>
      <c r="K1378" s="5" t="str">
        <f>VLOOKUP(C1378,[1]master_data!$A$2:$E$495,5,FALSE)</f>
        <v>Ikan</v>
      </c>
      <c r="L1378" s="5" t="s">
        <v>471</v>
      </c>
    </row>
    <row r="1379" spans="1:12" ht="12" customHeight="1" x14ac:dyDescent="0.25">
      <c r="A1379" s="6">
        <v>44778</v>
      </c>
      <c r="B1379" s="1">
        <v>2203184</v>
      </c>
      <c r="C1379" s="5" t="s">
        <v>453</v>
      </c>
      <c r="D1379" s="5" t="str">
        <f>VLOOKUP(C1379,[1]master_data!$A$2:$E$495,2,FALSE)</f>
        <v>SYNODONTIS K</v>
      </c>
      <c r="E1379" s="5">
        <v>30</v>
      </c>
      <c r="F1379" s="5">
        <f>VLOOKUP(C1379,[1]master_data!$A$2:$E$495,3,FALSE)</f>
        <v>1500</v>
      </c>
      <c r="G1379" s="5">
        <f>VLOOKUP(C1379,[1]master_data!$A$2:$E$495,4,FALSE)</f>
        <v>5000</v>
      </c>
      <c r="H1379" s="5">
        <f t="shared" si="69"/>
        <v>45000</v>
      </c>
      <c r="I1379" s="5">
        <f t="shared" si="70"/>
        <v>150000</v>
      </c>
      <c r="J1379" s="5">
        <f t="shared" si="71"/>
        <v>105000</v>
      </c>
      <c r="K1379" s="5" t="str">
        <f>VLOOKUP(C1379,[1]master_data!$A$2:$E$495,5,FALSE)</f>
        <v>Ikan</v>
      </c>
      <c r="L1379" s="5" t="s">
        <v>471</v>
      </c>
    </row>
    <row r="1380" spans="1:12" ht="12" customHeight="1" x14ac:dyDescent="0.25">
      <c r="A1380" s="6">
        <v>44778</v>
      </c>
      <c r="B1380" s="1">
        <v>2203183</v>
      </c>
      <c r="C1380" s="5" t="s">
        <v>35</v>
      </c>
      <c r="D1380" s="5" t="str">
        <f>VLOOKUP(C1380,[1]master_data!$A$2:$E$495,2,FALSE)</f>
        <v>MESIN YAMANO 1800</v>
      </c>
      <c r="E1380" s="5">
        <v>1</v>
      </c>
      <c r="F1380" s="5">
        <f>VLOOKUP(C1380,[1]master_data!$A$2:$E$495,3,FALSE)</f>
        <v>64000</v>
      </c>
      <c r="G1380" s="5">
        <f>VLOOKUP(C1380,[1]master_data!$A$2:$E$495,4,FALSE)</f>
        <v>110000</v>
      </c>
      <c r="H1380" s="5">
        <f t="shared" si="69"/>
        <v>64000</v>
      </c>
      <c r="I1380" s="5">
        <f t="shared" si="70"/>
        <v>110000</v>
      </c>
      <c r="J1380" s="5">
        <f t="shared" si="71"/>
        <v>46000</v>
      </c>
      <c r="K1380" s="5" t="str">
        <f>VLOOKUP(C1380,[1]master_data!$A$2:$E$495,5,FALSE)</f>
        <v>Aksesoris</v>
      </c>
      <c r="L1380" s="5" t="s">
        <v>471</v>
      </c>
    </row>
    <row r="1381" spans="1:12" ht="12" customHeight="1" x14ac:dyDescent="0.25">
      <c r="A1381" s="6">
        <v>44778</v>
      </c>
      <c r="B1381" s="1">
        <v>2203182</v>
      </c>
      <c r="C1381" s="5" t="s">
        <v>391</v>
      </c>
      <c r="D1381" s="5" t="str">
        <f>VLOOKUP(C1381,[1]master_data!$A$2:$E$495,2,FALSE)</f>
        <v>CHANNA ANDRAO K</v>
      </c>
      <c r="E1381" s="5">
        <v>2</v>
      </c>
      <c r="F1381" s="5">
        <f>VLOOKUP(C1381,[1]master_data!$A$2:$E$495,3,FALSE)</f>
        <v>20000</v>
      </c>
      <c r="G1381" s="5">
        <f>VLOOKUP(C1381,[1]master_data!$A$2:$E$495,4,FALSE)</f>
        <v>50000</v>
      </c>
      <c r="H1381" s="5">
        <f t="shared" si="69"/>
        <v>40000</v>
      </c>
      <c r="I1381" s="5">
        <f t="shared" si="70"/>
        <v>100000</v>
      </c>
      <c r="J1381" s="5">
        <f t="shared" si="71"/>
        <v>60000</v>
      </c>
      <c r="K1381" s="5" t="str">
        <f>VLOOKUP(C1381,[1]master_data!$A$2:$E$495,5,FALSE)</f>
        <v>Ikan</v>
      </c>
      <c r="L1381" s="5" t="s">
        <v>471</v>
      </c>
    </row>
    <row r="1382" spans="1:12" ht="12" customHeight="1" x14ac:dyDescent="0.25">
      <c r="A1382" s="6">
        <v>44778</v>
      </c>
      <c r="B1382" s="1">
        <v>2203181</v>
      </c>
      <c r="C1382" s="5" t="s">
        <v>78</v>
      </c>
      <c r="D1382" s="5" t="str">
        <f>VLOOKUP(C1382,[1]master_data!$A$2:$E$495,2,FALSE)</f>
        <v>MESIN AQURA 1000L</v>
      </c>
      <c r="E1382" s="5">
        <v>1</v>
      </c>
      <c r="F1382" s="5">
        <f>VLOOKUP(C1382,[1]master_data!$A$2:$E$495,3,FALSE)</f>
        <v>38000</v>
      </c>
      <c r="G1382" s="5">
        <f>VLOOKUP(C1382,[1]master_data!$A$2:$E$495,4,FALSE)</f>
        <v>50000</v>
      </c>
      <c r="H1382" s="5">
        <f t="shared" si="69"/>
        <v>38000</v>
      </c>
      <c r="I1382" s="5">
        <f t="shared" si="70"/>
        <v>50000</v>
      </c>
      <c r="J1382" s="5">
        <f t="shared" si="71"/>
        <v>12000</v>
      </c>
      <c r="K1382" s="5" t="str">
        <f>VLOOKUP(C1382,[1]master_data!$A$2:$E$495,5,FALSE)</f>
        <v>Aksesoris</v>
      </c>
      <c r="L1382" s="5" t="s">
        <v>471</v>
      </c>
    </row>
    <row r="1383" spans="1:12" ht="12" customHeight="1" x14ac:dyDescent="0.25">
      <c r="A1383" s="6">
        <v>44778</v>
      </c>
      <c r="B1383" s="1">
        <v>2203180</v>
      </c>
      <c r="C1383" s="5" t="s">
        <v>404</v>
      </c>
      <c r="D1383" s="5" t="str">
        <f>VLOOKUP(C1383,[1]master_data!$A$2:$E$495,2,FALSE)</f>
        <v>CHANNA BLUE PULCHRA B</v>
      </c>
      <c r="E1383" s="5">
        <v>1</v>
      </c>
      <c r="F1383" s="5">
        <f>VLOOKUP(C1383,[1]master_data!$A$2:$E$495,3,FALSE)</f>
        <v>125000</v>
      </c>
      <c r="G1383" s="5">
        <f>VLOOKUP(C1383,[1]master_data!$A$2:$E$495,4,FALSE)</f>
        <v>200000</v>
      </c>
      <c r="H1383" s="5">
        <f t="shared" si="69"/>
        <v>125000</v>
      </c>
      <c r="I1383" s="5">
        <f t="shared" si="70"/>
        <v>200000</v>
      </c>
      <c r="J1383" s="5">
        <f t="shared" si="71"/>
        <v>75000</v>
      </c>
      <c r="K1383" s="5" t="str">
        <f>VLOOKUP(C1383,[1]master_data!$A$2:$E$495,5,FALSE)</f>
        <v>Ikan</v>
      </c>
      <c r="L1383" s="5" t="s">
        <v>471</v>
      </c>
    </row>
    <row r="1384" spans="1:12" ht="12" customHeight="1" x14ac:dyDescent="0.25">
      <c r="A1384" s="6">
        <v>44778</v>
      </c>
      <c r="B1384" s="1">
        <v>2203179</v>
      </c>
      <c r="C1384" s="5" t="s">
        <v>53</v>
      </c>
      <c r="D1384" s="5" t="str">
        <f>VLOOKUP(C1384,[1]master_data!$A$2:$E$495,2,FALSE)</f>
        <v>MESIN RECENT 203</v>
      </c>
      <c r="E1384" s="5">
        <v>2</v>
      </c>
      <c r="F1384" s="5">
        <f>VLOOKUP(C1384,[1]master_data!$A$2:$E$495,3,FALSE)</f>
        <v>43500</v>
      </c>
      <c r="G1384" s="5">
        <f>VLOOKUP(C1384,[1]master_data!$A$2:$E$495,4,FALSE)</f>
        <v>70000</v>
      </c>
      <c r="H1384" s="5">
        <f t="shared" si="69"/>
        <v>87000</v>
      </c>
      <c r="I1384" s="5">
        <f t="shared" si="70"/>
        <v>140000</v>
      </c>
      <c r="J1384" s="5">
        <f t="shared" si="71"/>
        <v>53000</v>
      </c>
      <c r="K1384" s="5" t="str">
        <f>VLOOKUP(C1384,[1]master_data!$A$2:$E$495,5,FALSE)</f>
        <v>Aksesoris</v>
      </c>
      <c r="L1384" s="5" t="s">
        <v>471</v>
      </c>
    </row>
    <row r="1385" spans="1:12" ht="12" customHeight="1" x14ac:dyDescent="0.25">
      <c r="A1385" s="6">
        <v>44778</v>
      </c>
      <c r="B1385" s="1">
        <v>2203178</v>
      </c>
      <c r="C1385" s="5" t="s">
        <v>459</v>
      </c>
      <c r="D1385" s="5" t="str">
        <f>VLOOKUP(C1385,[1]master_data!$A$2:$E$495,2,FALSE)</f>
        <v>ZEBRA UNGU</v>
      </c>
      <c r="E1385" s="5">
        <v>20</v>
      </c>
      <c r="F1385" s="5">
        <f>VLOOKUP(C1385,[1]master_data!$A$2:$E$495,3,FALSE)</f>
        <v>800</v>
      </c>
      <c r="G1385" s="5">
        <f>VLOOKUP(C1385,[1]master_data!$A$2:$E$495,4,FALSE)</f>
        <v>2000</v>
      </c>
      <c r="H1385" s="5">
        <f t="shared" si="69"/>
        <v>16000</v>
      </c>
      <c r="I1385" s="5">
        <f t="shared" si="70"/>
        <v>40000</v>
      </c>
      <c r="J1385" s="5">
        <f t="shared" si="71"/>
        <v>24000</v>
      </c>
      <c r="K1385" s="5" t="str">
        <f>VLOOKUP(C1385,[1]master_data!$A$2:$E$495,5,FALSE)</f>
        <v>Ikan</v>
      </c>
      <c r="L1385" s="5" t="s">
        <v>471</v>
      </c>
    </row>
    <row r="1386" spans="1:12" ht="12" customHeight="1" x14ac:dyDescent="0.25">
      <c r="A1386" s="6">
        <v>44778</v>
      </c>
      <c r="B1386" s="1">
        <v>2203177</v>
      </c>
      <c r="C1386" s="5" t="s">
        <v>386</v>
      </c>
      <c r="D1386" s="5" t="str">
        <f>VLOOKUP(C1386,[1]master_data!$A$2:$E$495,2,FALSE)</f>
        <v>BATU KARANG JAHE</v>
      </c>
      <c r="E1386" s="5">
        <v>2</v>
      </c>
      <c r="F1386" s="5">
        <f>VLOOKUP(C1386,[1]master_data!$A$2:$E$495,3,FALSE)</f>
        <v>15000</v>
      </c>
      <c r="G1386" s="5">
        <f>VLOOKUP(C1386,[1]master_data!$A$2:$E$495,4,FALSE)</f>
        <v>25000</v>
      </c>
      <c r="H1386" s="5">
        <f t="shared" si="69"/>
        <v>30000</v>
      </c>
      <c r="I1386" s="5">
        <f t="shared" si="70"/>
        <v>50000</v>
      </c>
      <c r="J1386" s="5">
        <f t="shared" si="71"/>
        <v>20000</v>
      </c>
      <c r="K1386" s="5" t="str">
        <f>VLOOKUP(C1386,[1]master_data!$A$2:$E$495,5,FALSE)</f>
        <v>Aksesoris</v>
      </c>
      <c r="L1386" s="5" t="s">
        <v>471</v>
      </c>
    </row>
    <row r="1387" spans="1:12" ht="12" customHeight="1" x14ac:dyDescent="0.25">
      <c r="A1387" s="6">
        <v>44778</v>
      </c>
      <c r="B1387" s="1">
        <v>2203176</v>
      </c>
      <c r="C1387" s="5" t="s">
        <v>7</v>
      </c>
      <c r="D1387" s="5" t="str">
        <f>VLOOKUP(C1387,[1]master_data!$A$2:$E$495,2,FALSE)</f>
        <v>MESIN YANG 1600</v>
      </c>
      <c r="E1387" s="5">
        <v>2</v>
      </c>
      <c r="F1387" s="5">
        <f>VLOOKUP(C1387,[1]master_data!$A$2:$E$495,3,FALSE)</f>
        <v>64000</v>
      </c>
      <c r="G1387" s="5">
        <f>VLOOKUP(C1387,[1]master_data!$A$2:$E$495,4,FALSE)</f>
        <v>90000</v>
      </c>
      <c r="H1387" s="5">
        <f t="shared" si="69"/>
        <v>128000</v>
      </c>
      <c r="I1387" s="5">
        <f t="shared" si="70"/>
        <v>180000</v>
      </c>
      <c r="J1387" s="5">
        <f t="shared" si="71"/>
        <v>52000</v>
      </c>
      <c r="K1387" s="5" t="str">
        <f>VLOOKUP(C1387,[1]master_data!$A$2:$E$495,5,FALSE)</f>
        <v>Aksesoris</v>
      </c>
      <c r="L1387" s="5" t="s">
        <v>471</v>
      </c>
    </row>
    <row r="1388" spans="1:12" ht="12" customHeight="1" x14ac:dyDescent="0.25">
      <c r="A1388" s="6">
        <v>44777</v>
      </c>
      <c r="B1388" s="1">
        <v>2203175</v>
      </c>
      <c r="C1388" s="5" t="s">
        <v>81</v>
      </c>
      <c r="D1388" s="5" t="str">
        <f>VLOOKUP(C1388,[1]master_data!$A$2:$E$495,2,FALSE)</f>
        <v>TOP FILTER ARMADA B</v>
      </c>
      <c r="E1388" s="5">
        <v>2</v>
      </c>
      <c r="F1388" s="5">
        <f>VLOOKUP(C1388,[1]master_data!$A$2:$E$495,3,FALSE)</f>
        <v>38000</v>
      </c>
      <c r="G1388" s="5">
        <f>VLOOKUP(C1388,[1]master_data!$A$2:$E$495,4,FALSE)</f>
        <v>60000</v>
      </c>
      <c r="H1388" s="5">
        <f t="shared" si="69"/>
        <v>76000</v>
      </c>
      <c r="I1388" s="5">
        <f t="shared" si="70"/>
        <v>120000</v>
      </c>
      <c r="J1388" s="5">
        <f t="shared" si="71"/>
        <v>44000</v>
      </c>
      <c r="K1388" s="5" t="str">
        <f>VLOOKUP(C1388,[1]master_data!$A$2:$E$495,5,FALSE)</f>
        <v>Aksesoris</v>
      </c>
      <c r="L1388" s="5" t="s">
        <v>471</v>
      </c>
    </row>
    <row r="1389" spans="1:12" ht="12" customHeight="1" x14ac:dyDescent="0.25">
      <c r="A1389" s="6">
        <v>44777</v>
      </c>
      <c r="B1389" s="1">
        <v>2203174</v>
      </c>
      <c r="C1389" s="5" t="s">
        <v>411</v>
      </c>
      <c r="D1389" s="5" t="str">
        <f>VLOOKUP(C1389,[1]master_data!$A$2:$E$495,2,FALSE)</f>
        <v>GOLDEN BLACK</v>
      </c>
      <c r="E1389" s="5">
        <v>20</v>
      </c>
      <c r="F1389" s="5">
        <f>VLOOKUP(C1389,[1]master_data!$A$2:$E$495,3,FALSE)</f>
        <v>800</v>
      </c>
      <c r="G1389" s="5">
        <f>VLOOKUP(C1389,[1]master_data!$A$2:$E$495,4,FALSE)</f>
        <v>2000</v>
      </c>
      <c r="H1389" s="5">
        <f t="shared" si="69"/>
        <v>16000</v>
      </c>
      <c r="I1389" s="5">
        <f t="shared" si="70"/>
        <v>40000</v>
      </c>
      <c r="J1389" s="5">
        <f t="shared" si="71"/>
        <v>24000</v>
      </c>
      <c r="K1389" s="5" t="str">
        <f>VLOOKUP(C1389,[1]master_data!$A$2:$E$495,5,FALSE)</f>
        <v>Ikan</v>
      </c>
      <c r="L1389" s="5" t="s">
        <v>471</v>
      </c>
    </row>
    <row r="1390" spans="1:12" ht="12" customHeight="1" x14ac:dyDescent="0.25">
      <c r="A1390" s="6">
        <v>44777</v>
      </c>
      <c r="B1390" s="1">
        <v>2203173</v>
      </c>
      <c r="C1390" s="5" t="s">
        <v>434</v>
      </c>
      <c r="D1390" s="5" t="str">
        <f>VLOOKUP(C1390,[1]master_data!$A$2:$E$495,2,FALSE)</f>
        <v>MOLI PAKAN</v>
      </c>
      <c r="E1390" s="5">
        <v>15</v>
      </c>
      <c r="F1390" s="5">
        <f>VLOOKUP(C1390,[1]master_data!$A$2:$E$495,3,FALSE)</f>
        <v>100</v>
      </c>
      <c r="G1390" s="5">
        <f>VLOOKUP(C1390,[1]master_data!$A$2:$E$495,4,FALSE)</f>
        <v>200</v>
      </c>
      <c r="H1390" s="5">
        <f t="shared" si="69"/>
        <v>1500</v>
      </c>
      <c r="I1390" s="5">
        <f t="shared" si="70"/>
        <v>3000</v>
      </c>
      <c r="J1390" s="5">
        <f t="shared" si="71"/>
        <v>1500</v>
      </c>
      <c r="K1390" s="5" t="str">
        <f>VLOOKUP(C1390,[1]master_data!$A$2:$E$495,5,FALSE)</f>
        <v>Ikan</v>
      </c>
      <c r="L1390" s="5" t="s">
        <v>471</v>
      </c>
    </row>
    <row r="1391" spans="1:12" ht="12" customHeight="1" x14ac:dyDescent="0.25">
      <c r="A1391" s="6">
        <v>44777</v>
      </c>
      <c r="B1391" s="1">
        <v>2203172</v>
      </c>
      <c r="C1391" s="5" t="s">
        <v>45</v>
      </c>
      <c r="D1391" s="5" t="str">
        <f>VLOOKUP(C1391,[1]master_data!$A$2:$E$495,2,FALSE)</f>
        <v>TOP FILTER NIKITA K</v>
      </c>
      <c r="E1391" s="5">
        <v>5</v>
      </c>
      <c r="F1391" s="5">
        <f>VLOOKUP(C1391,[1]master_data!$A$2:$E$495,3,FALSE)</f>
        <v>36000</v>
      </c>
      <c r="G1391" s="5">
        <f>VLOOKUP(C1391,[1]master_data!$A$2:$E$495,4,FALSE)</f>
        <v>55000</v>
      </c>
      <c r="H1391" s="5">
        <f t="shared" si="69"/>
        <v>180000</v>
      </c>
      <c r="I1391" s="5">
        <f t="shared" si="70"/>
        <v>275000</v>
      </c>
      <c r="J1391" s="5">
        <f t="shared" si="71"/>
        <v>95000</v>
      </c>
      <c r="K1391" s="5" t="str">
        <f>VLOOKUP(C1391,[1]master_data!$A$2:$E$495,5,FALSE)</f>
        <v>Aksesoris</v>
      </c>
      <c r="L1391" s="5" t="s">
        <v>471</v>
      </c>
    </row>
    <row r="1392" spans="1:12" ht="12" customHeight="1" x14ac:dyDescent="0.25">
      <c r="A1392" s="6">
        <v>44777</v>
      </c>
      <c r="B1392" s="1">
        <v>2203171</v>
      </c>
      <c r="C1392" s="5" t="s">
        <v>422</v>
      </c>
      <c r="D1392" s="5" t="str">
        <f>VLOOKUP(C1392,[1]master_data!$A$2:$E$495,2,FALSE)</f>
        <v>KOMET SLAYER</v>
      </c>
      <c r="E1392" s="5">
        <v>25</v>
      </c>
      <c r="F1392" s="5">
        <f>VLOOKUP(C1392,[1]master_data!$A$2:$E$495,3,FALSE)</f>
        <v>2000</v>
      </c>
      <c r="G1392" s="5">
        <f>VLOOKUP(C1392,[1]master_data!$A$2:$E$495,4,FALSE)</f>
        <v>5000</v>
      </c>
      <c r="H1392" s="5">
        <f t="shared" si="69"/>
        <v>50000</v>
      </c>
      <c r="I1392" s="5">
        <f t="shared" si="70"/>
        <v>125000</v>
      </c>
      <c r="J1392" s="5">
        <f t="shared" si="71"/>
        <v>75000</v>
      </c>
      <c r="K1392" s="5" t="str">
        <f>VLOOKUP(C1392,[1]master_data!$A$2:$E$495,5,FALSE)</f>
        <v>Ikan</v>
      </c>
      <c r="L1392" s="5" t="s">
        <v>471</v>
      </c>
    </row>
    <row r="1393" spans="1:12" ht="12" customHeight="1" x14ac:dyDescent="0.25">
      <c r="A1393" s="6">
        <v>44777</v>
      </c>
      <c r="B1393" s="1">
        <v>2203170</v>
      </c>
      <c r="C1393" s="5" t="s">
        <v>397</v>
      </c>
      <c r="D1393" s="5" t="str">
        <f>VLOOKUP(C1393,[1]master_data!$A$2:$E$495,2,FALSE)</f>
        <v>ALIGATOR</v>
      </c>
      <c r="E1393" s="5">
        <v>2</v>
      </c>
      <c r="F1393" s="5">
        <f>VLOOKUP(C1393,[1]master_data!$A$2:$E$495,3,FALSE)</f>
        <v>17000</v>
      </c>
      <c r="G1393" s="5">
        <f>VLOOKUP(C1393,[1]master_data!$A$2:$E$495,4,FALSE)</f>
        <v>35000</v>
      </c>
      <c r="H1393" s="5">
        <f t="shared" si="69"/>
        <v>34000</v>
      </c>
      <c r="I1393" s="5">
        <f t="shared" si="70"/>
        <v>70000</v>
      </c>
      <c r="J1393" s="5">
        <f t="shared" si="71"/>
        <v>36000</v>
      </c>
      <c r="K1393" s="5" t="str">
        <f>VLOOKUP(C1393,[1]master_data!$A$2:$E$495,5,FALSE)</f>
        <v>Ikan</v>
      </c>
      <c r="L1393" s="5" t="s">
        <v>471</v>
      </c>
    </row>
    <row r="1394" spans="1:12" ht="12" customHeight="1" x14ac:dyDescent="0.25">
      <c r="A1394" s="6">
        <v>44777</v>
      </c>
      <c r="B1394" s="1">
        <v>2203169</v>
      </c>
      <c r="C1394" s="5" t="s">
        <v>441</v>
      </c>
      <c r="D1394" s="5" t="str">
        <f>VLOOKUP(C1394,[1]master_data!$A$2:$E$495,2,FALSE)</f>
        <v>PEMBERSIH KACA BIASA</v>
      </c>
      <c r="E1394" s="5">
        <v>25</v>
      </c>
      <c r="F1394" s="5">
        <f>VLOOKUP(C1394,[1]master_data!$A$2:$E$495,3,FALSE)</f>
        <v>2000</v>
      </c>
      <c r="G1394" s="5">
        <f>VLOOKUP(C1394,[1]master_data!$A$2:$E$495,4,FALSE)</f>
        <v>5000</v>
      </c>
      <c r="H1394" s="5">
        <f t="shared" si="69"/>
        <v>50000</v>
      </c>
      <c r="I1394" s="5">
        <f t="shared" si="70"/>
        <v>125000</v>
      </c>
      <c r="J1394" s="5">
        <f t="shared" si="71"/>
        <v>75000</v>
      </c>
      <c r="K1394" s="5" t="str">
        <f>VLOOKUP(C1394,[1]master_data!$A$2:$E$495,5,FALSE)</f>
        <v>Ikan</v>
      </c>
      <c r="L1394" s="5" t="s">
        <v>471</v>
      </c>
    </row>
    <row r="1395" spans="1:12" ht="12" customHeight="1" x14ac:dyDescent="0.25">
      <c r="A1395" s="6">
        <v>44777</v>
      </c>
      <c r="B1395" s="1">
        <v>2203168</v>
      </c>
      <c r="C1395" s="5" t="s">
        <v>442</v>
      </c>
      <c r="D1395" s="5" t="str">
        <f>VLOOKUP(C1395,[1]master_data!$A$2:$E$495,2,FALSE)</f>
        <v>PEMBERSIH KACA ALBINO</v>
      </c>
      <c r="E1395" s="5">
        <v>10</v>
      </c>
      <c r="F1395" s="5">
        <f>VLOOKUP(C1395,[1]master_data!$A$2:$E$495,3,FALSE)</f>
        <v>2500</v>
      </c>
      <c r="G1395" s="5">
        <f>VLOOKUP(C1395,[1]master_data!$A$2:$E$495,4,FALSE)</f>
        <v>5000</v>
      </c>
      <c r="H1395" s="5">
        <f t="shared" si="69"/>
        <v>25000</v>
      </c>
      <c r="I1395" s="5">
        <f t="shared" si="70"/>
        <v>50000</v>
      </c>
      <c r="J1395" s="5">
        <f t="shared" si="71"/>
        <v>25000</v>
      </c>
      <c r="K1395" s="5" t="str">
        <f>VLOOKUP(C1395,[1]master_data!$A$2:$E$495,5,FALSE)</f>
        <v>Ikan</v>
      </c>
      <c r="L1395" s="5" t="s">
        <v>471</v>
      </c>
    </row>
    <row r="1396" spans="1:12" ht="12" customHeight="1" x14ac:dyDescent="0.25">
      <c r="A1396" s="6">
        <v>44777</v>
      </c>
      <c r="B1396" s="1">
        <v>2203167</v>
      </c>
      <c r="C1396" s="5" t="s">
        <v>436</v>
      </c>
      <c r="D1396" s="5" t="str">
        <f>VLOOKUP(C1396,[1]master_data!$A$2:$E$495,2,FALSE)</f>
        <v>NIASA</v>
      </c>
      <c r="E1396" s="5">
        <v>30</v>
      </c>
      <c r="F1396" s="5">
        <f>VLOOKUP(C1396,[1]master_data!$A$2:$E$495,3,FALSE)</f>
        <v>900</v>
      </c>
      <c r="G1396" s="5">
        <f>VLOOKUP(C1396,[1]master_data!$A$2:$E$495,4,FALSE)</f>
        <v>2000</v>
      </c>
      <c r="H1396" s="5">
        <f t="shared" si="69"/>
        <v>27000</v>
      </c>
      <c r="I1396" s="5">
        <f t="shared" si="70"/>
        <v>60000</v>
      </c>
      <c r="J1396" s="5">
        <f t="shared" si="71"/>
        <v>33000</v>
      </c>
      <c r="K1396" s="5" t="str">
        <f>VLOOKUP(C1396,[1]master_data!$A$2:$E$495,5,FALSE)</f>
        <v>Ikan</v>
      </c>
      <c r="L1396" s="5" t="s">
        <v>471</v>
      </c>
    </row>
    <row r="1397" spans="1:12" ht="12" customHeight="1" x14ac:dyDescent="0.25">
      <c r="A1397" s="6">
        <v>44777</v>
      </c>
      <c r="B1397" s="1">
        <v>2203166</v>
      </c>
      <c r="C1397" s="5" t="s">
        <v>408</v>
      </c>
      <c r="D1397" s="5" t="str">
        <f>VLOOKUP(C1397,[1]master_data!$A$2:$E$495,2,FALSE)</f>
        <v>CATFISH</v>
      </c>
      <c r="E1397" s="5">
        <v>5</v>
      </c>
      <c r="F1397" s="5">
        <f>VLOOKUP(C1397,[1]master_data!$A$2:$E$495,3,FALSE)</f>
        <v>20000</v>
      </c>
      <c r="G1397" s="5">
        <f>VLOOKUP(C1397,[1]master_data!$A$2:$E$495,4,FALSE)</f>
        <v>50000</v>
      </c>
      <c r="H1397" s="5">
        <f t="shared" si="69"/>
        <v>100000</v>
      </c>
      <c r="I1397" s="5">
        <f t="shared" si="70"/>
        <v>250000</v>
      </c>
      <c r="J1397" s="5">
        <f t="shared" si="71"/>
        <v>150000</v>
      </c>
      <c r="K1397" s="5" t="str">
        <f>VLOOKUP(C1397,[1]master_data!$A$2:$E$495,5,FALSE)</f>
        <v>Ikan</v>
      </c>
      <c r="L1397" s="5" t="s">
        <v>471</v>
      </c>
    </row>
    <row r="1398" spans="1:12" ht="12" customHeight="1" x14ac:dyDescent="0.25">
      <c r="A1398" s="6">
        <v>44777</v>
      </c>
      <c r="B1398" s="1">
        <v>2203165</v>
      </c>
      <c r="C1398" s="5" t="s">
        <v>462</v>
      </c>
      <c r="D1398" s="5" t="str">
        <f>VLOOKUP(C1398,[1]master_data!$A$2:$E$495,2,FALSE)</f>
        <v>SEPAT ALBINO</v>
      </c>
      <c r="E1398" s="5">
        <v>2</v>
      </c>
      <c r="F1398" s="5">
        <f>VLOOKUP(C1398,[1]master_data!$A$2:$E$495,3,FALSE)</f>
        <v>2000</v>
      </c>
      <c r="G1398" s="5">
        <f>VLOOKUP(C1398,[1]master_data!$A$2:$E$495,4,FALSE)</f>
        <v>5000</v>
      </c>
      <c r="H1398" s="5">
        <f t="shared" si="69"/>
        <v>4000</v>
      </c>
      <c r="I1398" s="5">
        <f t="shared" si="70"/>
        <v>10000</v>
      </c>
      <c r="J1398" s="5">
        <f t="shared" si="71"/>
        <v>6000</v>
      </c>
      <c r="K1398" s="5" t="str">
        <f>VLOOKUP(C1398,[1]master_data!$A$2:$E$495,5,FALSE)</f>
        <v>Ikan</v>
      </c>
      <c r="L1398" s="5" t="s">
        <v>471</v>
      </c>
    </row>
    <row r="1399" spans="1:12" ht="12" customHeight="1" x14ac:dyDescent="0.25">
      <c r="A1399" s="6">
        <v>44777</v>
      </c>
      <c r="B1399" s="1">
        <v>2203164</v>
      </c>
      <c r="C1399" s="5" t="s">
        <v>397</v>
      </c>
      <c r="D1399" s="5" t="str">
        <f>VLOOKUP(C1399,[1]master_data!$A$2:$E$495,2,FALSE)</f>
        <v>ALIGATOR</v>
      </c>
      <c r="E1399" s="5">
        <v>1</v>
      </c>
      <c r="F1399" s="5">
        <f>VLOOKUP(C1399,[1]master_data!$A$2:$E$495,3,FALSE)</f>
        <v>17000</v>
      </c>
      <c r="G1399" s="5">
        <f>VLOOKUP(C1399,[1]master_data!$A$2:$E$495,4,FALSE)</f>
        <v>35000</v>
      </c>
      <c r="H1399" s="5">
        <f t="shared" si="69"/>
        <v>17000</v>
      </c>
      <c r="I1399" s="5">
        <f t="shared" si="70"/>
        <v>35000</v>
      </c>
      <c r="J1399" s="5">
        <f t="shared" si="71"/>
        <v>18000</v>
      </c>
      <c r="K1399" s="5" t="str">
        <f>VLOOKUP(C1399,[1]master_data!$A$2:$E$495,5,FALSE)</f>
        <v>Ikan</v>
      </c>
      <c r="L1399" s="5" t="s">
        <v>471</v>
      </c>
    </row>
    <row r="1400" spans="1:12" ht="12" customHeight="1" x14ac:dyDescent="0.25">
      <c r="A1400" s="6">
        <v>44777</v>
      </c>
      <c r="B1400" s="1">
        <v>2203163</v>
      </c>
      <c r="C1400" s="5" t="s">
        <v>401</v>
      </c>
      <c r="D1400" s="5" t="str">
        <f>VLOOKUP(C1400,[1]master_data!$A$2:$E$495,2,FALSE)</f>
        <v>BALA BALA B</v>
      </c>
      <c r="E1400" s="5">
        <v>1</v>
      </c>
      <c r="F1400" s="5">
        <f>VLOOKUP(C1400,[1]master_data!$A$2:$E$495,3,FALSE)</f>
        <v>7000</v>
      </c>
      <c r="G1400" s="5">
        <f>VLOOKUP(C1400,[1]master_data!$A$2:$E$495,4,FALSE)</f>
        <v>15000</v>
      </c>
      <c r="H1400" s="5">
        <f t="shared" si="69"/>
        <v>7000</v>
      </c>
      <c r="I1400" s="5">
        <f t="shared" si="70"/>
        <v>15000</v>
      </c>
      <c r="J1400" s="5">
        <f t="shared" si="71"/>
        <v>8000</v>
      </c>
      <c r="K1400" s="5" t="str">
        <f>VLOOKUP(C1400,[1]master_data!$A$2:$E$495,5,FALSE)</f>
        <v>Ikan</v>
      </c>
      <c r="L1400" s="5" t="s">
        <v>471</v>
      </c>
    </row>
    <row r="1401" spans="1:12" ht="12" customHeight="1" x14ac:dyDescent="0.25">
      <c r="A1401" s="6">
        <v>44777</v>
      </c>
      <c r="B1401" s="1">
        <v>2203162</v>
      </c>
      <c r="C1401" s="5" t="s">
        <v>452</v>
      </c>
      <c r="D1401" s="5" t="str">
        <f>VLOOKUP(C1401,[1]master_data!$A$2:$E$495,2,FALSE)</f>
        <v>SNOW WHITE</v>
      </c>
      <c r="E1401" s="5">
        <v>15</v>
      </c>
      <c r="F1401" s="5">
        <f>VLOOKUP(C1401,[1]master_data!$A$2:$E$495,3,FALSE)</f>
        <v>1500</v>
      </c>
      <c r="G1401" s="5">
        <f>VLOOKUP(C1401,[1]master_data!$A$2:$E$495,4,FALSE)</f>
        <v>3000</v>
      </c>
      <c r="H1401" s="5">
        <f t="shared" si="69"/>
        <v>22500</v>
      </c>
      <c r="I1401" s="5">
        <f t="shared" si="70"/>
        <v>45000</v>
      </c>
      <c r="J1401" s="5">
        <f t="shared" si="71"/>
        <v>22500</v>
      </c>
      <c r="K1401" s="5" t="str">
        <f>VLOOKUP(C1401,[1]master_data!$A$2:$E$495,5,FALSE)</f>
        <v>Ikan</v>
      </c>
      <c r="L1401" s="5" t="s">
        <v>471</v>
      </c>
    </row>
    <row r="1402" spans="1:12" ht="12" customHeight="1" x14ac:dyDescent="0.25">
      <c r="A1402" s="6">
        <v>44776</v>
      </c>
      <c r="B1402" s="1">
        <v>2203161</v>
      </c>
      <c r="C1402" s="5" t="s">
        <v>113</v>
      </c>
      <c r="D1402" s="5" t="str">
        <f>VLOOKUP(C1402,[1]master_data!$A$2:$E$495,2,FALSE)</f>
        <v>LED VOSSO 20 CM</v>
      </c>
      <c r="E1402" s="5">
        <v>1</v>
      </c>
      <c r="F1402" s="5">
        <f>VLOOKUP(C1402,[1]master_data!$A$2:$E$495,3,FALSE)</f>
        <v>20000</v>
      </c>
      <c r="G1402" s="5">
        <f>VLOOKUP(C1402,[1]master_data!$A$2:$E$495,4,FALSE)</f>
        <v>30000</v>
      </c>
      <c r="H1402" s="5">
        <f t="shared" si="69"/>
        <v>20000</v>
      </c>
      <c r="I1402" s="5">
        <f t="shared" si="70"/>
        <v>30000</v>
      </c>
      <c r="J1402" s="5">
        <f t="shared" si="71"/>
        <v>10000</v>
      </c>
      <c r="K1402" s="5" t="str">
        <f>VLOOKUP(C1402,[1]master_data!$A$2:$E$495,5,FALSE)</f>
        <v>Aksesoris</v>
      </c>
      <c r="L1402" s="5" t="s">
        <v>471</v>
      </c>
    </row>
    <row r="1403" spans="1:12" ht="12" customHeight="1" x14ac:dyDescent="0.25">
      <c r="A1403" s="6">
        <v>44776</v>
      </c>
      <c r="B1403" s="1">
        <v>2203160</v>
      </c>
      <c r="C1403" s="5" t="s">
        <v>436</v>
      </c>
      <c r="D1403" s="5" t="str">
        <f>VLOOKUP(C1403,[1]master_data!$A$2:$E$495,2,FALSE)</f>
        <v>NIASA</v>
      </c>
      <c r="E1403" s="5">
        <v>20</v>
      </c>
      <c r="F1403" s="5">
        <f>VLOOKUP(C1403,[1]master_data!$A$2:$E$495,3,FALSE)</f>
        <v>900</v>
      </c>
      <c r="G1403" s="5">
        <f>VLOOKUP(C1403,[1]master_data!$A$2:$E$495,4,FALSE)</f>
        <v>2000</v>
      </c>
      <c r="H1403" s="5">
        <f t="shared" si="69"/>
        <v>18000</v>
      </c>
      <c r="I1403" s="5">
        <f t="shared" si="70"/>
        <v>40000</v>
      </c>
      <c r="J1403" s="5">
        <f t="shared" si="71"/>
        <v>22000</v>
      </c>
      <c r="K1403" s="5" t="str">
        <f>VLOOKUP(C1403,[1]master_data!$A$2:$E$495,5,FALSE)</f>
        <v>Ikan</v>
      </c>
      <c r="L1403" s="5" t="s">
        <v>471</v>
      </c>
    </row>
    <row r="1404" spans="1:12" ht="12" customHeight="1" x14ac:dyDescent="0.25">
      <c r="A1404" s="6">
        <v>44776</v>
      </c>
      <c r="B1404" s="1">
        <v>2203159</v>
      </c>
      <c r="C1404" s="5" t="s">
        <v>194</v>
      </c>
      <c r="D1404" s="5" t="str">
        <f>VLOOKUP(C1404,[1]master_data!$A$2:$E$495,2,FALSE)</f>
        <v>LED KANDILA DnN ECO 30 CM</v>
      </c>
      <c r="E1404" s="5">
        <v>1</v>
      </c>
      <c r="F1404" s="5">
        <f>VLOOKUP(C1404,[1]master_data!$A$2:$E$495,3,FALSE)</f>
        <v>48000</v>
      </c>
      <c r="G1404" s="5">
        <f>VLOOKUP(C1404,[1]master_data!$A$2:$E$495,4,FALSE)</f>
        <v>70000</v>
      </c>
      <c r="H1404" s="5">
        <f t="shared" si="69"/>
        <v>48000</v>
      </c>
      <c r="I1404" s="5">
        <f t="shared" si="70"/>
        <v>70000</v>
      </c>
      <c r="J1404" s="5">
        <f t="shared" si="71"/>
        <v>22000</v>
      </c>
      <c r="K1404" s="5" t="str">
        <f>VLOOKUP(C1404,[1]master_data!$A$2:$E$495,5,FALSE)</f>
        <v>Aksesoris</v>
      </c>
      <c r="L1404" s="5" t="s">
        <v>471</v>
      </c>
    </row>
    <row r="1405" spans="1:12" ht="12" customHeight="1" x14ac:dyDescent="0.25">
      <c r="A1405" s="6">
        <v>44776</v>
      </c>
      <c r="B1405" s="1">
        <v>2203158</v>
      </c>
      <c r="C1405" s="5" t="s">
        <v>397</v>
      </c>
      <c r="D1405" s="5" t="str">
        <f>VLOOKUP(C1405,[1]master_data!$A$2:$E$495,2,FALSE)</f>
        <v>ALIGATOR</v>
      </c>
      <c r="E1405" s="5">
        <v>10</v>
      </c>
      <c r="F1405" s="5">
        <f>VLOOKUP(C1405,[1]master_data!$A$2:$E$495,3,FALSE)</f>
        <v>17000</v>
      </c>
      <c r="G1405" s="5">
        <f>VLOOKUP(C1405,[1]master_data!$A$2:$E$495,4,FALSE)</f>
        <v>35000</v>
      </c>
      <c r="H1405" s="5">
        <f t="shared" si="69"/>
        <v>170000</v>
      </c>
      <c r="I1405" s="5">
        <f t="shared" si="70"/>
        <v>350000</v>
      </c>
      <c r="J1405" s="5">
        <f t="shared" si="71"/>
        <v>180000</v>
      </c>
      <c r="K1405" s="5" t="str">
        <f>VLOOKUP(C1405,[1]master_data!$A$2:$E$495,5,FALSE)</f>
        <v>Ikan</v>
      </c>
      <c r="L1405" s="5" t="s">
        <v>471</v>
      </c>
    </row>
    <row r="1406" spans="1:12" ht="12" customHeight="1" x14ac:dyDescent="0.25">
      <c r="A1406" s="6">
        <v>44776</v>
      </c>
      <c r="B1406" s="1">
        <v>2203157</v>
      </c>
      <c r="C1406" s="5" t="s">
        <v>452</v>
      </c>
      <c r="D1406" s="5" t="str">
        <f>VLOOKUP(C1406,[1]master_data!$A$2:$E$495,2,FALSE)</f>
        <v>SNOW WHITE</v>
      </c>
      <c r="E1406" s="5">
        <v>20</v>
      </c>
      <c r="F1406" s="5">
        <f>VLOOKUP(C1406,[1]master_data!$A$2:$E$495,3,FALSE)</f>
        <v>1500</v>
      </c>
      <c r="G1406" s="5">
        <f>VLOOKUP(C1406,[1]master_data!$A$2:$E$495,4,FALSE)</f>
        <v>3000</v>
      </c>
      <c r="H1406" s="5">
        <f t="shared" si="69"/>
        <v>30000</v>
      </c>
      <c r="I1406" s="5">
        <f t="shared" si="70"/>
        <v>60000</v>
      </c>
      <c r="J1406" s="5">
        <f t="shared" si="71"/>
        <v>30000</v>
      </c>
      <c r="K1406" s="5" t="str">
        <f>VLOOKUP(C1406,[1]master_data!$A$2:$E$495,5,FALSE)</f>
        <v>Ikan</v>
      </c>
      <c r="L1406" s="5" t="s">
        <v>471</v>
      </c>
    </row>
    <row r="1407" spans="1:12" ht="12" customHeight="1" x14ac:dyDescent="0.25">
      <c r="A1407" s="6">
        <v>44776</v>
      </c>
      <c r="B1407" s="1">
        <v>2203156</v>
      </c>
      <c r="C1407" s="5" t="s">
        <v>206</v>
      </c>
      <c r="D1407" s="5" t="str">
        <f>VLOOKUP(C1407,[1]master_data!$A$2:$E$495,2,FALSE)</f>
        <v>TAKARI K</v>
      </c>
      <c r="E1407" s="5">
        <v>15</v>
      </c>
      <c r="F1407" s="5">
        <f>VLOOKUP(C1407,[1]master_data!$A$2:$E$495,3,FALSE)</f>
        <v>3500</v>
      </c>
      <c r="G1407" s="5">
        <f>VLOOKUP(C1407,[1]master_data!$A$2:$E$495,4,FALSE)</f>
        <v>5000</v>
      </c>
      <c r="H1407" s="5">
        <f t="shared" si="69"/>
        <v>52500</v>
      </c>
      <c r="I1407" s="5">
        <f t="shared" si="70"/>
        <v>75000</v>
      </c>
      <c r="J1407" s="5">
        <f t="shared" si="71"/>
        <v>22500</v>
      </c>
      <c r="K1407" s="5" t="str">
        <f>VLOOKUP(C1407,[1]master_data!$A$2:$E$495,5,FALSE)</f>
        <v>Aksesoris</v>
      </c>
      <c r="L1407" s="5" t="s">
        <v>471</v>
      </c>
    </row>
    <row r="1408" spans="1:12" ht="12" customHeight="1" x14ac:dyDescent="0.25">
      <c r="A1408" s="6">
        <v>44776</v>
      </c>
      <c r="B1408" s="1">
        <v>2203155</v>
      </c>
      <c r="C1408" s="5" t="s">
        <v>100</v>
      </c>
      <c r="D1408" s="5" t="str">
        <f>VLOOKUP(C1408,[1]master_data!$A$2:$E$495,2,FALSE)</f>
        <v>AIRATOR AMARA LUB 1</v>
      </c>
      <c r="E1408" s="5">
        <v>5</v>
      </c>
      <c r="F1408" s="5">
        <f>VLOOKUP(C1408,[1]master_data!$A$2:$E$495,3,FALSE)</f>
        <v>17500</v>
      </c>
      <c r="G1408" s="5">
        <f>VLOOKUP(C1408,[1]master_data!$A$2:$E$495,4,FALSE)</f>
        <v>30000</v>
      </c>
      <c r="H1408" s="5">
        <f t="shared" si="69"/>
        <v>87500</v>
      </c>
      <c r="I1408" s="5">
        <f t="shared" si="70"/>
        <v>150000</v>
      </c>
      <c r="J1408" s="5">
        <f t="shared" si="71"/>
        <v>62500</v>
      </c>
      <c r="K1408" s="5" t="str">
        <f>VLOOKUP(C1408,[1]master_data!$A$2:$E$495,5,FALSE)</f>
        <v>Aksesoris</v>
      </c>
      <c r="L1408" s="5" t="s">
        <v>471</v>
      </c>
    </row>
    <row r="1409" spans="1:12" ht="12" customHeight="1" x14ac:dyDescent="0.25">
      <c r="A1409" s="6">
        <v>44776</v>
      </c>
      <c r="B1409" s="1">
        <v>2203154</v>
      </c>
      <c r="C1409" s="5" t="s">
        <v>400</v>
      </c>
      <c r="D1409" s="5" t="str">
        <f>VLOOKUP(C1409,[1]master_data!$A$2:$E$495,2,FALSE)</f>
        <v>BALA BALA K</v>
      </c>
      <c r="E1409" s="5">
        <v>10</v>
      </c>
      <c r="F1409" s="5">
        <f>VLOOKUP(C1409,[1]master_data!$A$2:$E$495,3,FALSE)</f>
        <v>4000</v>
      </c>
      <c r="G1409" s="5">
        <f>VLOOKUP(C1409,[1]master_data!$A$2:$E$495,4,FALSE)</f>
        <v>8000</v>
      </c>
      <c r="H1409" s="5">
        <f t="shared" si="69"/>
        <v>40000</v>
      </c>
      <c r="I1409" s="5">
        <f t="shared" si="70"/>
        <v>80000</v>
      </c>
      <c r="J1409" s="5">
        <f t="shared" si="71"/>
        <v>40000</v>
      </c>
      <c r="K1409" s="5" t="str">
        <f>VLOOKUP(C1409,[1]master_data!$A$2:$E$495,5,FALSE)</f>
        <v>Ikan</v>
      </c>
      <c r="L1409" s="5" t="s">
        <v>471</v>
      </c>
    </row>
    <row r="1410" spans="1:12" ht="12" customHeight="1" x14ac:dyDescent="0.25">
      <c r="A1410" s="6">
        <v>44776</v>
      </c>
      <c r="B1410" s="1">
        <v>2203153</v>
      </c>
      <c r="C1410" s="5" t="s">
        <v>274</v>
      </c>
      <c r="D1410" s="5" t="str">
        <f>VLOOKUP(C1410,[1]master_data!$A$2:$E$495,2,FALSE)</f>
        <v>JARING 15</v>
      </c>
      <c r="E1410" s="5">
        <v>15</v>
      </c>
      <c r="F1410" s="5">
        <f>VLOOKUP(C1410,[1]master_data!$A$2:$E$495,3,FALSE)</f>
        <v>3750</v>
      </c>
      <c r="G1410" s="5">
        <f>VLOOKUP(C1410,[1]master_data!$A$2:$E$495,4,FALSE)</f>
        <v>8000</v>
      </c>
      <c r="H1410" s="5">
        <f t="shared" si="69"/>
        <v>56250</v>
      </c>
      <c r="I1410" s="5">
        <f t="shared" si="70"/>
        <v>120000</v>
      </c>
      <c r="J1410" s="5">
        <f t="shared" si="71"/>
        <v>63750</v>
      </c>
      <c r="K1410" s="5" t="str">
        <f>VLOOKUP(C1410,[1]master_data!$A$2:$E$495,5,FALSE)</f>
        <v>Aksesoris</v>
      </c>
      <c r="L1410" s="5" t="s">
        <v>471</v>
      </c>
    </row>
    <row r="1411" spans="1:12" ht="12" customHeight="1" x14ac:dyDescent="0.25">
      <c r="A1411" s="6">
        <v>44776</v>
      </c>
      <c r="B1411" s="1">
        <v>2203152</v>
      </c>
      <c r="C1411" s="5" t="s">
        <v>394</v>
      </c>
      <c r="D1411" s="5" t="str">
        <f>VLOOKUP(C1411,[1]master_data!$A$2:$E$495,2,FALSE)</f>
        <v>ARWANA SILVER K</v>
      </c>
      <c r="E1411" s="5">
        <v>1</v>
      </c>
      <c r="F1411" s="5">
        <f>VLOOKUP(C1411,[1]master_data!$A$2:$E$495,3,FALSE)</f>
        <v>100000</v>
      </c>
      <c r="G1411" s="5">
        <f>VLOOKUP(C1411,[1]master_data!$A$2:$E$495,4,FALSE)</f>
        <v>200000</v>
      </c>
      <c r="H1411" s="5">
        <f t="shared" si="69"/>
        <v>100000</v>
      </c>
      <c r="I1411" s="5">
        <f t="shared" si="70"/>
        <v>200000</v>
      </c>
      <c r="J1411" s="5">
        <f t="shared" si="71"/>
        <v>100000</v>
      </c>
      <c r="K1411" s="5" t="str">
        <f>VLOOKUP(C1411,[1]master_data!$A$2:$E$495,5,FALSE)</f>
        <v>Ikan</v>
      </c>
      <c r="L1411" s="5" t="s">
        <v>471</v>
      </c>
    </row>
    <row r="1412" spans="1:12" ht="12" customHeight="1" x14ac:dyDescent="0.25">
      <c r="A1412" s="6">
        <v>44776</v>
      </c>
      <c r="B1412" s="1">
        <v>2203151</v>
      </c>
      <c r="C1412" s="5" t="s">
        <v>314</v>
      </c>
      <c r="D1412" s="5" t="str">
        <f>VLOOKUP(C1412,[1]master_data!$A$2:$E$495,2,FALSE)</f>
        <v>L SELANG</v>
      </c>
      <c r="E1412" s="5">
        <v>30</v>
      </c>
      <c r="F1412" s="5">
        <f>VLOOKUP(C1412,[1]master_data!$A$2:$E$495,3,FALSE)</f>
        <v>750</v>
      </c>
      <c r="G1412" s="5">
        <f>VLOOKUP(C1412,[1]master_data!$A$2:$E$495,4,FALSE)</f>
        <v>1500</v>
      </c>
      <c r="H1412" s="5">
        <f t="shared" si="69"/>
        <v>22500</v>
      </c>
      <c r="I1412" s="5">
        <f t="shared" si="70"/>
        <v>45000</v>
      </c>
      <c r="J1412" s="5">
        <f t="shared" si="71"/>
        <v>22500</v>
      </c>
      <c r="K1412" s="5" t="str">
        <f>VLOOKUP(C1412,[1]master_data!$A$2:$E$495,5,FALSE)</f>
        <v>Aksesoris</v>
      </c>
      <c r="L1412" s="5" t="s">
        <v>471</v>
      </c>
    </row>
    <row r="1413" spans="1:12" ht="12" customHeight="1" x14ac:dyDescent="0.25">
      <c r="A1413" s="6">
        <v>44776</v>
      </c>
      <c r="B1413" s="1">
        <v>2203150</v>
      </c>
      <c r="C1413" s="5" t="s">
        <v>368</v>
      </c>
      <c r="D1413" s="5" t="str">
        <f>VLOOKUP(C1413,[1]master_data!$A$2:$E$495,2,FALSE)</f>
        <v>KAKI TOPLES</v>
      </c>
      <c r="E1413" s="5">
        <v>1</v>
      </c>
      <c r="F1413" s="5">
        <f>VLOOKUP(C1413,[1]master_data!$A$2:$E$495,3,FALSE)</f>
        <v>19000</v>
      </c>
      <c r="G1413" s="5">
        <f>VLOOKUP(C1413,[1]master_data!$A$2:$E$495,4,FALSE)</f>
        <v>25000</v>
      </c>
      <c r="H1413" s="5">
        <f t="shared" ref="H1413:H1476" si="72">E1413*F1413</f>
        <v>19000</v>
      </c>
      <c r="I1413" s="5">
        <f t="shared" ref="I1413:I1476" si="73">E1413*G1413</f>
        <v>25000</v>
      </c>
      <c r="J1413" s="5">
        <f t="shared" ref="J1413:J1476" si="74">I1413-H1413</f>
        <v>6000</v>
      </c>
      <c r="K1413" s="5" t="str">
        <f>VLOOKUP(C1413,[1]master_data!$A$2:$E$495,5,FALSE)</f>
        <v>Aksesoris</v>
      </c>
      <c r="L1413" s="5" t="s">
        <v>471</v>
      </c>
    </row>
    <row r="1414" spans="1:12" ht="12" customHeight="1" x14ac:dyDescent="0.25">
      <c r="A1414" s="6">
        <v>44775</v>
      </c>
      <c r="B1414" s="1">
        <v>2203149</v>
      </c>
      <c r="C1414" s="5" t="s">
        <v>436</v>
      </c>
      <c r="D1414" s="5" t="str">
        <f>VLOOKUP(C1414,[1]master_data!$A$2:$E$495,2,FALSE)</f>
        <v>NIASA</v>
      </c>
      <c r="E1414" s="5">
        <v>15</v>
      </c>
      <c r="F1414" s="5">
        <f>VLOOKUP(C1414,[1]master_data!$A$2:$E$495,3,FALSE)</f>
        <v>900</v>
      </c>
      <c r="G1414" s="5">
        <f>VLOOKUP(C1414,[1]master_data!$A$2:$E$495,4,FALSE)</f>
        <v>2000</v>
      </c>
      <c r="H1414" s="5">
        <f t="shared" si="72"/>
        <v>13500</v>
      </c>
      <c r="I1414" s="5">
        <f t="shared" si="73"/>
        <v>30000</v>
      </c>
      <c r="J1414" s="5">
        <f t="shared" si="74"/>
        <v>16500</v>
      </c>
      <c r="K1414" s="5" t="str">
        <f>VLOOKUP(C1414,[1]master_data!$A$2:$E$495,5,FALSE)</f>
        <v>Ikan</v>
      </c>
      <c r="L1414" s="5" t="s">
        <v>471</v>
      </c>
    </row>
    <row r="1415" spans="1:12" ht="12" customHeight="1" x14ac:dyDescent="0.25">
      <c r="A1415" s="6">
        <v>44775</v>
      </c>
      <c r="B1415" s="1">
        <v>2203148</v>
      </c>
      <c r="C1415" s="5" t="s">
        <v>273</v>
      </c>
      <c r="D1415" s="5" t="str">
        <f>VLOOKUP(C1415,[1]master_data!$A$2:$E$495,2,FALSE)</f>
        <v>JARING 12</v>
      </c>
      <c r="E1415" s="5">
        <v>30</v>
      </c>
      <c r="F1415" s="5">
        <f>VLOOKUP(C1415,[1]master_data!$A$2:$E$495,3,FALSE)</f>
        <v>4000</v>
      </c>
      <c r="G1415" s="5">
        <f>VLOOKUP(C1415,[1]master_data!$A$2:$E$495,4,FALSE)</f>
        <v>7000</v>
      </c>
      <c r="H1415" s="5">
        <f t="shared" si="72"/>
        <v>120000</v>
      </c>
      <c r="I1415" s="5">
        <f t="shared" si="73"/>
        <v>210000</v>
      </c>
      <c r="J1415" s="5">
        <f t="shared" si="74"/>
        <v>90000</v>
      </c>
      <c r="K1415" s="5" t="str">
        <f>VLOOKUP(C1415,[1]master_data!$A$2:$E$495,5,FALSE)</f>
        <v>Aksesoris</v>
      </c>
      <c r="L1415" s="5" t="s">
        <v>471</v>
      </c>
    </row>
    <row r="1416" spans="1:12" ht="12" customHeight="1" x14ac:dyDescent="0.25">
      <c r="A1416" s="6">
        <v>44775</v>
      </c>
      <c r="B1416" s="1">
        <v>2203147</v>
      </c>
      <c r="C1416" s="5" t="s">
        <v>441</v>
      </c>
      <c r="D1416" s="5" t="str">
        <f>VLOOKUP(C1416,[1]master_data!$A$2:$E$495,2,FALSE)</f>
        <v>PEMBERSIH KACA BIASA</v>
      </c>
      <c r="E1416" s="5">
        <v>15</v>
      </c>
      <c r="F1416" s="5">
        <f>VLOOKUP(C1416,[1]master_data!$A$2:$E$495,3,FALSE)</f>
        <v>2000</v>
      </c>
      <c r="G1416" s="5">
        <f>VLOOKUP(C1416,[1]master_data!$A$2:$E$495,4,FALSE)</f>
        <v>5000</v>
      </c>
      <c r="H1416" s="5">
        <f t="shared" si="72"/>
        <v>30000</v>
      </c>
      <c r="I1416" s="5">
        <f t="shared" si="73"/>
        <v>75000</v>
      </c>
      <c r="J1416" s="5">
        <f t="shared" si="74"/>
        <v>45000</v>
      </c>
      <c r="K1416" s="5" t="str">
        <f>VLOOKUP(C1416,[1]master_data!$A$2:$E$495,5,FALSE)</f>
        <v>Ikan</v>
      </c>
      <c r="L1416" s="5" t="s">
        <v>471</v>
      </c>
    </row>
    <row r="1417" spans="1:12" ht="12" customHeight="1" x14ac:dyDescent="0.25">
      <c r="A1417" s="6">
        <v>44775</v>
      </c>
      <c r="B1417" s="1">
        <v>2203146</v>
      </c>
      <c r="C1417" s="5" t="s">
        <v>256</v>
      </c>
      <c r="D1417" s="5" t="str">
        <f>VLOOKUP(C1417,[1]master_data!$A$2:$E$495,2,FALSE)</f>
        <v>BACKGROUND</v>
      </c>
      <c r="E1417" s="5">
        <v>15</v>
      </c>
      <c r="F1417" s="5">
        <f>VLOOKUP(C1417,[1]master_data!$A$2:$E$495,3,FALSE)</f>
        <v>8000</v>
      </c>
      <c r="G1417" s="5">
        <f>VLOOKUP(C1417,[1]master_data!$A$2:$E$495,4,FALSE)</f>
        <v>15000</v>
      </c>
      <c r="H1417" s="5">
        <f t="shared" si="72"/>
        <v>120000</v>
      </c>
      <c r="I1417" s="5">
        <f t="shared" si="73"/>
        <v>225000</v>
      </c>
      <c r="J1417" s="5">
        <f t="shared" si="74"/>
        <v>105000</v>
      </c>
      <c r="K1417" s="5" t="str">
        <f>VLOOKUP(C1417,[1]master_data!$A$2:$E$495,5,FALSE)</f>
        <v>Aksesoris</v>
      </c>
      <c r="L1417" s="5" t="s">
        <v>471</v>
      </c>
    </row>
    <row r="1418" spans="1:12" ht="12" customHeight="1" x14ac:dyDescent="0.25">
      <c r="A1418" s="6">
        <v>44775</v>
      </c>
      <c r="B1418" s="1">
        <v>2203145</v>
      </c>
      <c r="C1418" s="5" t="s">
        <v>411</v>
      </c>
      <c r="D1418" s="5" t="str">
        <f>VLOOKUP(C1418,[1]master_data!$A$2:$E$495,2,FALSE)</f>
        <v>GOLDEN BLACK</v>
      </c>
      <c r="E1418" s="5">
        <v>15</v>
      </c>
      <c r="F1418" s="5">
        <f>VLOOKUP(C1418,[1]master_data!$A$2:$E$495,3,FALSE)</f>
        <v>800</v>
      </c>
      <c r="G1418" s="5">
        <f>VLOOKUP(C1418,[1]master_data!$A$2:$E$495,4,FALSE)</f>
        <v>2000</v>
      </c>
      <c r="H1418" s="5">
        <f t="shared" si="72"/>
        <v>12000</v>
      </c>
      <c r="I1418" s="5">
        <f t="shared" si="73"/>
        <v>30000</v>
      </c>
      <c r="J1418" s="5">
        <f t="shared" si="74"/>
        <v>18000</v>
      </c>
      <c r="K1418" s="5" t="str">
        <f>VLOOKUP(C1418,[1]master_data!$A$2:$E$495,5,FALSE)</f>
        <v>Ikan</v>
      </c>
      <c r="L1418" s="5" t="s">
        <v>471</v>
      </c>
    </row>
    <row r="1419" spans="1:12" ht="12" customHeight="1" x14ac:dyDescent="0.25">
      <c r="A1419" s="6">
        <v>44775</v>
      </c>
      <c r="B1419" s="1">
        <v>2203144</v>
      </c>
      <c r="C1419" s="5" t="s">
        <v>446</v>
      </c>
      <c r="D1419" s="5" t="str">
        <f>VLOOKUP(C1419,[1]master_data!$A$2:$E$495,2,FALSE)</f>
        <v>REDFIN HITAM</v>
      </c>
      <c r="E1419" s="5">
        <v>10</v>
      </c>
      <c r="F1419" s="5">
        <f>VLOOKUP(C1419,[1]master_data!$A$2:$E$495,3,FALSE)</f>
        <v>1500</v>
      </c>
      <c r="G1419" s="5">
        <f>VLOOKUP(C1419,[1]master_data!$A$2:$E$495,4,FALSE)</f>
        <v>4000</v>
      </c>
      <c r="H1419" s="5">
        <f t="shared" si="72"/>
        <v>15000</v>
      </c>
      <c r="I1419" s="5">
        <f t="shared" si="73"/>
        <v>40000</v>
      </c>
      <c r="J1419" s="5">
        <f t="shared" si="74"/>
        <v>25000</v>
      </c>
      <c r="K1419" s="5" t="str">
        <f>VLOOKUP(C1419,[1]master_data!$A$2:$E$495,5,FALSE)</f>
        <v>Ikan</v>
      </c>
      <c r="L1419" s="5" t="s">
        <v>471</v>
      </c>
    </row>
    <row r="1420" spans="1:12" ht="12" customHeight="1" x14ac:dyDescent="0.25">
      <c r="A1420" s="6">
        <v>44775</v>
      </c>
      <c r="B1420" s="1">
        <v>2203143</v>
      </c>
      <c r="C1420" s="5" t="s">
        <v>403</v>
      </c>
      <c r="D1420" s="5" t="str">
        <f>VLOOKUP(C1420,[1]master_data!$A$2:$E$495,2,FALSE)</f>
        <v>CHANNA BLUE PULCHRA K</v>
      </c>
      <c r="E1420" s="5">
        <v>2</v>
      </c>
      <c r="F1420" s="5">
        <f>VLOOKUP(C1420,[1]master_data!$A$2:$E$495,3,FALSE)</f>
        <v>25000</v>
      </c>
      <c r="G1420" s="5">
        <f>VLOOKUP(C1420,[1]master_data!$A$2:$E$495,4,FALSE)</f>
        <v>50000</v>
      </c>
      <c r="H1420" s="5">
        <f t="shared" si="72"/>
        <v>50000</v>
      </c>
      <c r="I1420" s="5">
        <f t="shared" si="73"/>
        <v>100000</v>
      </c>
      <c r="J1420" s="5">
        <f t="shared" si="74"/>
        <v>50000</v>
      </c>
      <c r="K1420" s="5" t="str">
        <f>VLOOKUP(C1420,[1]master_data!$A$2:$E$495,5,FALSE)</f>
        <v>Ikan</v>
      </c>
      <c r="L1420" s="5" t="s">
        <v>471</v>
      </c>
    </row>
    <row r="1421" spans="1:12" ht="12" customHeight="1" x14ac:dyDescent="0.25">
      <c r="A1421" s="6">
        <v>44775</v>
      </c>
      <c r="B1421" s="1">
        <v>2203142</v>
      </c>
      <c r="C1421" s="5" t="s">
        <v>322</v>
      </c>
      <c r="D1421" s="5" t="str">
        <f>VLOOKUP(C1421,[1]master_data!$A$2:$E$495,2,FALSE)</f>
        <v>AIRSTONE PANJANG 10</v>
      </c>
      <c r="E1421" s="5">
        <v>2</v>
      </c>
      <c r="F1421" s="5">
        <f>VLOOKUP(C1421,[1]master_data!$A$2:$E$495,3,FALSE)</f>
        <v>12000</v>
      </c>
      <c r="G1421" s="5">
        <f>VLOOKUP(C1421,[1]master_data!$A$2:$E$495,4,FALSE)</f>
        <v>20000</v>
      </c>
      <c r="H1421" s="5">
        <f t="shared" si="72"/>
        <v>24000</v>
      </c>
      <c r="I1421" s="5">
        <f t="shared" si="73"/>
        <v>40000</v>
      </c>
      <c r="J1421" s="5">
        <f t="shared" si="74"/>
        <v>16000</v>
      </c>
      <c r="K1421" s="5" t="str">
        <f>VLOOKUP(C1421,[1]master_data!$A$2:$E$495,5,FALSE)</f>
        <v>Aksesoris</v>
      </c>
      <c r="L1421" s="5" t="s">
        <v>471</v>
      </c>
    </row>
    <row r="1422" spans="1:12" ht="12" customHeight="1" x14ac:dyDescent="0.25">
      <c r="A1422" s="6">
        <v>44775</v>
      </c>
      <c r="B1422" s="1">
        <v>2203141</v>
      </c>
      <c r="C1422" s="5" t="s">
        <v>168</v>
      </c>
      <c r="D1422" s="5" t="str">
        <f>VLOOKUP(C1422,[1]master_data!$A$2:$E$495,2,FALSE)</f>
        <v>LED RECENT ATAS 3 MODE 80 CM</v>
      </c>
      <c r="E1422" s="5">
        <v>1</v>
      </c>
      <c r="F1422" s="5">
        <f>VLOOKUP(C1422,[1]master_data!$A$2:$E$495,3,FALSE)</f>
        <v>88000</v>
      </c>
      <c r="G1422" s="5">
        <f>VLOOKUP(C1422,[1]master_data!$A$2:$E$495,4,FALSE)</f>
        <v>130000</v>
      </c>
      <c r="H1422" s="5">
        <f t="shared" si="72"/>
        <v>88000</v>
      </c>
      <c r="I1422" s="5">
        <f t="shared" si="73"/>
        <v>130000</v>
      </c>
      <c r="J1422" s="5">
        <f t="shared" si="74"/>
        <v>42000</v>
      </c>
      <c r="K1422" s="5" t="str">
        <f>VLOOKUP(C1422,[1]master_data!$A$2:$E$495,5,FALSE)</f>
        <v>Aksesoris</v>
      </c>
      <c r="L1422" s="5" t="s">
        <v>471</v>
      </c>
    </row>
    <row r="1423" spans="1:12" ht="12" customHeight="1" x14ac:dyDescent="0.25">
      <c r="A1423" s="6">
        <v>44775</v>
      </c>
      <c r="B1423" s="1">
        <v>2203140</v>
      </c>
      <c r="C1423" s="5" t="s">
        <v>427</v>
      </c>
      <c r="D1423" s="5" t="str">
        <f>VLOOKUP(C1423,[1]master_data!$A$2:$E$495,2,FALSE)</f>
        <v>LEMON</v>
      </c>
      <c r="E1423" s="5">
        <v>30</v>
      </c>
      <c r="F1423" s="5">
        <f>VLOOKUP(C1423,[1]master_data!$A$2:$E$495,3,FALSE)</f>
        <v>1000</v>
      </c>
      <c r="G1423" s="5">
        <f>VLOOKUP(C1423,[1]master_data!$A$2:$E$495,4,FALSE)</f>
        <v>2000</v>
      </c>
      <c r="H1423" s="5">
        <f t="shared" si="72"/>
        <v>30000</v>
      </c>
      <c r="I1423" s="5">
        <f t="shared" si="73"/>
        <v>60000</v>
      </c>
      <c r="J1423" s="5">
        <f t="shared" si="74"/>
        <v>30000</v>
      </c>
      <c r="K1423" s="5" t="str">
        <f>VLOOKUP(C1423,[1]master_data!$A$2:$E$495,5,FALSE)</f>
        <v>Ikan</v>
      </c>
      <c r="L1423" s="5" t="s">
        <v>471</v>
      </c>
    </row>
    <row r="1424" spans="1:12" ht="12" customHeight="1" x14ac:dyDescent="0.25">
      <c r="A1424" s="6">
        <v>44775</v>
      </c>
      <c r="B1424" s="1">
        <v>2203139</v>
      </c>
      <c r="C1424" s="5" t="s">
        <v>418</v>
      </c>
      <c r="D1424" s="5" t="str">
        <f>VLOOKUP(C1424,[1]master_data!$A$2:$E$495,2,FALSE)</f>
        <v>KOI B</v>
      </c>
      <c r="E1424" s="5">
        <v>5</v>
      </c>
      <c r="F1424" s="5">
        <f>VLOOKUP(C1424,[1]master_data!$A$2:$E$495,3,FALSE)</f>
        <v>9000</v>
      </c>
      <c r="G1424" s="5">
        <f>VLOOKUP(C1424,[1]master_data!$A$2:$E$495,4,FALSE)</f>
        <v>30000</v>
      </c>
      <c r="H1424" s="5">
        <f t="shared" si="72"/>
        <v>45000</v>
      </c>
      <c r="I1424" s="5">
        <f t="shared" si="73"/>
        <v>150000</v>
      </c>
      <c r="J1424" s="5">
        <f t="shared" si="74"/>
        <v>105000</v>
      </c>
      <c r="K1424" s="5" t="str">
        <f>VLOOKUP(C1424,[1]master_data!$A$2:$E$495,5,FALSE)</f>
        <v>Ikan</v>
      </c>
      <c r="L1424" s="5" t="s">
        <v>471</v>
      </c>
    </row>
    <row r="1425" spans="1:12" ht="12" customHeight="1" x14ac:dyDescent="0.25">
      <c r="A1425" s="6">
        <v>44774</v>
      </c>
      <c r="B1425" s="1">
        <v>2203138</v>
      </c>
      <c r="C1425" s="5" t="s">
        <v>459</v>
      </c>
      <c r="D1425" s="5" t="str">
        <f>VLOOKUP(C1425,[1]master_data!$A$2:$E$495,2,FALSE)</f>
        <v>ZEBRA UNGU</v>
      </c>
      <c r="E1425" s="5">
        <v>15</v>
      </c>
      <c r="F1425" s="5">
        <f>VLOOKUP(C1425,[1]master_data!$A$2:$E$495,3,FALSE)</f>
        <v>800</v>
      </c>
      <c r="G1425" s="5">
        <f>VLOOKUP(C1425,[1]master_data!$A$2:$E$495,4,FALSE)</f>
        <v>2000</v>
      </c>
      <c r="H1425" s="5">
        <f t="shared" si="72"/>
        <v>12000</v>
      </c>
      <c r="I1425" s="5">
        <f t="shared" si="73"/>
        <v>30000</v>
      </c>
      <c r="J1425" s="5">
        <f t="shared" si="74"/>
        <v>18000</v>
      </c>
      <c r="K1425" s="5" t="str">
        <f>VLOOKUP(C1425,[1]master_data!$A$2:$E$495,5,FALSE)</f>
        <v>Ikan</v>
      </c>
      <c r="L1425" s="5" t="s">
        <v>471</v>
      </c>
    </row>
    <row r="1426" spans="1:12" ht="12" customHeight="1" x14ac:dyDescent="0.25">
      <c r="A1426" s="6">
        <v>44774</v>
      </c>
      <c r="B1426" s="1">
        <v>2203137</v>
      </c>
      <c r="C1426" s="5" t="s">
        <v>423</v>
      </c>
      <c r="D1426" s="5" t="str">
        <f>VLOOKUP(C1426,[1]master_data!$A$2:$E$495,2,FALSE)</f>
        <v>KOI SLAYER K</v>
      </c>
      <c r="E1426" s="5">
        <v>10</v>
      </c>
      <c r="F1426" s="5">
        <f>VLOOKUP(C1426,[1]master_data!$A$2:$E$495,3,FALSE)</f>
        <v>3500</v>
      </c>
      <c r="G1426" s="5">
        <f>VLOOKUP(C1426,[1]master_data!$A$2:$E$495,4,FALSE)</f>
        <v>10000</v>
      </c>
      <c r="H1426" s="5">
        <f t="shared" si="72"/>
        <v>35000</v>
      </c>
      <c r="I1426" s="5">
        <f t="shared" si="73"/>
        <v>100000</v>
      </c>
      <c r="J1426" s="5">
        <f t="shared" si="74"/>
        <v>65000</v>
      </c>
      <c r="K1426" s="5" t="str">
        <f>VLOOKUP(C1426,[1]master_data!$A$2:$E$495,5,FALSE)</f>
        <v>Ikan</v>
      </c>
      <c r="L1426" s="5" t="s">
        <v>471</v>
      </c>
    </row>
    <row r="1427" spans="1:12" ht="12" customHeight="1" x14ac:dyDescent="0.25">
      <c r="A1427" s="6">
        <v>44774</v>
      </c>
      <c r="B1427" s="1">
        <v>2203136</v>
      </c>
      <c r="C1427" s="5" t="s">
        <v>429</v>
      </c>
      <c r="D1427" s="5" t="str">
        <f>VLOOKUP(C1427,[1]master_data!$A$2:$E$495,2,FALSE)</f>
        <v>LOUHAN SUPER</v>
      </c>
      <c r="E1427" s="5">
        <v>1</v>
      </c>
      <c r="F1427" s="5">
        <f>VLOOKUP(C1427,[1]master_data!$A$2:$E$495,3,FALSE)</f>
        <v>300000</v>
      </c>
      <c r="G1427" s="5">
        <f>VLOOKUP(C1427,[1]master_data!$A$2:$E$495,4,FALSE)</f>
        <v>500000</v>
      </c>
      <c r="H1427" s="5">
        <f t="shared" si="72"/>
        <v>300000</v>
      </c>
      <c r="I1427" s="5">
        <f t="shared" si="73"/>
        <v>500000</v>
      </c>
      <c r="J1427" s="5">
        <f t="shared" si="74"/>
        <v>200000</v>
      </c>
      <c r="K1427" s="5" t="str">
        <f>VLOOKUP(C1427,[1]master_data!$A$2:$E$495,5,FALSE)</f>
        <v>Ikan</v>
      </c>
      <c r="L1427" s="5" t="s">
        <v>471</v>
      </c>
    </row>
    <row r="1428" spans="1:12" ht="12" customHeight="1" x14ac:dyDescent="0.25">
      <c r="A1428" s="6">
        <v>44774</v>
      </c>
      <c r="B1428" s="1">
        <v>2203135</v>
      </c>
      <c r="C1428" s="5" t="s">
        <v>419</v>
      </c>
      <c r="D1428" s="5" t="str">
        <f>VLOOKUP(C1428,[1]master_data!$A$2:$E$495,2,FALSE)</f>
        <v>KURA - KURA</v>
      </c>
      <c r="E1428" s="5">
        <v>10</v>
      </c>
      <c r="F1428" s="5">
        <f>VLOOKUP(C1428,[1]master_data!$A$2:$E$495,3,FALSE)</f>
        <v>25000</v>
      </c>
      <c r="G1428" s="5">
        <f>VLOOKUP(C1428,[1]master_data!$A$2:$E$495,4,FALSE)</f>
        <v>35000</v>
      </c>
      <c r="H1428" s="5">
        <f t="shared" si="72"/>
        <v>250000</v>
      </c>
      <c r="I1428" s="5">
        <f t="shared" si="73"/>
        <v>350000</v>
      </c>
      <c r="J1428" s="5">
        <f t="shared" si="74"/>
        <v>100000</v>
      </c>
      <c r="K1428" s="5" t="str">
        <f>VLOOKUP(C1428,[1]master_data!$A$2:$E$495,5,FALSE)</f>
        <v>Ikan</v>
      </c>
      <c r="L1428" s="5" t="s">
        <v>471</v>
      </c>
    </row>
    <row r="1429" spans="1:12" ht="12" customHeight="1" x14ac:dyDescent="0.25">
      <c r="A1429" s="6">
        <v>44774</v>
      </c>
      <c r="B1429" s="1">
        <v>2203134</v>
      </c>
      <c r="C1429" s="5" t="s">
        <v>400</v>
      </c>
      <c r="D1429" s="5" t="str">
        <f>VLOOKUP(C1429,[1]master_data!$A$2:$E$495,2,FALSE)</f>
        <v>BALA BALA K</v>
      </c>
      <c r="E1429" s="5">
        <v>20</v>
      </c>
      <c r="F1429" s="5">
        <f>VLOOKUP(C1429,[1]master_data!$A$2:$E$495,3,FALSE)</f>
        <v>4000</v>
      </c>
      <c r="G1429" s="5">
        <f>VLOOKUP(C1429,[1]master_data!$A$2:$E$495,4,FALSE)</f>
        <v>8000</v>
      </c>
      <c r="H1429" s="5">
        <f t="shared" si="72"/>
        <v>80000</v>
      </c>
      <c r="I1429" s="5">
        <f t="shared" si="73"/>
        <v>160000</v>
      </c>
      <c r="J1429" s="5">
        <f t="shared" si="74"/>
        <v>80000</v>
      </c>
      <c r="K1429" s="5" t="str">
        <f>VLOOKUP(C1429,[1]master_data!$A$2:$E$495,5,FALSE)</f>
        <v>Ikan</v>
      </c>
      <c r="L1429" s="5" t="s">
        <v>471</v>
      </c>
    </row>
    <row r="1430" spans="1:12" ht="12" customHeight="1" x14ac:dyDescent="0.25">
      <c r="A1430" s="6">
        <v>44774</v>
      </c>
      <c r="B1430" s="1">
        <v>2203133</v>
      </c>
      <c r="C1430" s="5" t="s">
        <v>219</v>
      </c>
      <c r="D1430" s="5" t="str">
        <f>VLOOKUP(C1430,[1]master_data!$A$2:$E$495,2,FALSE)</f>
        <v>HIRO GROWTH</v>
      </c>
      <c r="E1430" s="5">
        <v>10</v>
      </c>
      <c r="F1430" s="5">
        <f>VLOOKUP(C1430,[1]master_data!$A$2:$E$495,3,FALSE)</f>
        <v>72000</v>
      </c>
      <c r="G1430" s="5">
        <f>VLOOKUP(C1430,[1]master_data!$A$2:$E$495,4,FALSE)</f>
        <v>80000</v>
      </c>
      <c r="H1430" s="5">
        <f t="shared" si="72"/>
        <v>720000</v>
      </c>
      <c r="I1430" s="5">
        <f t="shared" si="73"/>
        <v>800000</v>
      </c>
      <c r="J1430" s="5">
        <f t="shared" si="74"/>
        <v>80000</v>
      </c>
      <c r="K1430" s="5" t="str">
        <f>VLOOKUP(C1430,[1]master_data!$A$2:$E$495,5,FALSE)</f>
        <v>Aksesoris</v>
      </c>
      <c r="L1430" s="5" t="s">
        <v>471</v>
      </c>
    </row>
    <row r="1431" spans="1:12" ht="12" customHeight="1" x14ac:dyDescent="0.25">
      <c r="A1431" s="6">
        <v>44774</v>
      </c>
      <c r="B1431" s="1">
        <v>2203132</v>
      </c>
      <c r="C1431" s="5" t="s">
        <v>406</v>
      </c>
      <c r="D1431" s="5" t="str">
        <f>VLOOKUP(C1431,[1]master_data!$A$2:$E$495,2,FALSE)</f>
        <v>BARBIR</v>
      </c>
      <c r="E1431" s="5">
        <v>15</v>
      </c>
      <c r="F1431" s="5">
        <f>VLOOKUP(C1431,[1]master_data!$A$2:$E$495,3,FALSE)</f>
        <v>800</v>
      </c>
      <c r="G1431" s="5">
        <f>VLOOKUP(C1431,[1]master_data!$A$2:$E$495,4,FALSE)</f>
        <v>2000</v>
      </c>
      <c r="H1431" s="5">
        <f t="shared" si="72"/>
        <v>12000</v>
      </c>
      <c r="I1431" s="5">
        <f t="shared" si="73"/>
        <v>30000</v>
      </c>
      <c r="J1431" s="5">
        <f t="shared" si="74"/>
        <v>18000</v>
      </c>
      <c r="K1431" s="5" t="str">
        <f>VLOOKUP(C1431,[1]master_data!$A$2:$E$495,5,FALSE)</f>
        <v>Ikan</v>
      </c>
      <c r="L1431" s="5" t="s">
        <v>471</v>
      </c>
    </row>
    <row r="1432" spans="1:12" ht="12" customHeight="1" x14ac:dyDescent="0.25">
      <c r="A1432" s="6">
        <v>44774</v>
      </c>
      <c r="B1432" s="1">
        <v>2203131</v>
      </c>
      <c r="C1432" s="5" t="s">
        <v>108</v>
      </c>
      <c r="D1432" s="5" t="str">
        <f>VLOOKUP(C1432,[1]master_data!$A$2:$E$495,2,FALSE)</f>
        <v>AIRATOR ARMADA BATERAI 001</v>
      </c>
      <c r="E1432" s="5">
        <v>2</v>
      </c>
      <c r="F1432" s="5">
        <f>VLOOKUP(C1432,[1]master_data!$A$2:$E$495,3,FALSE)</f>
        <v>27000</v>
      </c>
      <c r="G1432" s="5">
        <f>VLOOKUP(C1432,[1]master_data!$A$2:$E$495,4,FALSE)</f>
        <v>45000</v>
      </c>
      <c r="H1432" s="5">
        <f t="shared" si="72"/>
        <v>54000</v>
      </c>
      <c r="I1432" s="5">
        <f t="shared" si="73"/>
        <v>90000</v>
      </c>
      <c r="J1432" s="5">
        <f t="shared" si="74"/>
        <v>36000</v>
      </c>
      <c r="K1432" s="5" t="str">
        <f>VLOOKUP(C1432,[1]master_data!$A$2:$E$495,5,FALSE)</f>
        <v>Aksesoris</v>
      </c>
      <c r="L1432" s="5" t="s">
        <v>471</v>
      </c>
    </row>
    <row r="1433" spans="1:12" ht="12" customHeight="1" x14ac:dyDescent="0.25">
      <c r="A1433" s="6">
        <v>44774</v>
      </c>
      <c r="B1433" s="1">
        <v>2203130</v>
      </c>
      <c r="C1433" s="5" t="s">
        <v>320</v>
      </c>
      <c r="D1433" s="5" t="str">
        <f>VLOOKUP(C1433,[1]master_data!$A$2:$E$495,2,FALSE)</f>
        <v>PIPA LONJOR 1 M</v>
      </c>
      <c r="E1433" s="5">
        <v>30</v>
      </c>
      <c r="F1433" s="5">
        <f>VLOOKUP(C1433,[1]master_data!$A$2:$E$495,3,FALSE)</f>
        <v>2500</v>
      </c>
      <c r="G1433" s="5">
        <f>VLOOKUP(C1433,[1]master_data!$A$2:$E$495,4,FALSE)</f>
        <v>5000</v>
      </c>
      <c r="H1433" s="5">
        <f t="shared" si="72"/>
        <v>75000</v>
      </c>
      <c r="I1433" s="5">
        <f t="shared" si="73"/>
        <v>150000</v>
      </c>
      <c r="J1433" s="5">
        <f t="shared" si="74"/>
        <v>75000</v>
      </c>
      <c r="K1433" s="5" t="str">
        <f>VLOOKUP(C1433,[1]master_data!$A$2:$E$495,5,FALSE)</f>
        <v>Aksesoris</v>
      </c>
      <c r="L1433" s="5" t="s">
        <v>471</v>
      </c>
    </row>
    <row r="1434" spans="1:12" ht="12" customHeight="1" x14ac:dyDescent="0.25">
      <c r="A1434" s="6">
        <v>44774</v>
      </c>
      <c r="B1434" s="1">
        <v>2203129</v>
      </c>
      <c r="C1434" s="5" t="s">
        <v>51</v>
      </c>
      <c r="D1434" s="5" t="str">
        <f>VLOOKUP(C1434,[1]master_data!$A$2:$E$495,2,FALSE)</f>
        <v>MESIN  SWI 1200</v>
      </c>
      <c r="E1434" s="5">
        <v>2</v>
      </c>
      <c r="F1434" s="5">
        <f>VLOOKUP(C1434,[1]master_data!$A$2:$E$495,3,FALSE)</f>
        <v>22500</v>
      </c>
      <c r="G1434" s="5">
        <f>VLOOKUP(C1434,[1]master_data!$A$2:$E$495,4,FALSE)</f>
        <v>30000</v>
      </c>
      <c r="H1434" s="5">
        <f t="shared" si="72"/>
        <v>45000</v>
      </c>
      <c r="I1434" s="5">
        <f t="shared" si="73"/>
        <v>60000</v>
      </c>
      <c r="J1434" s="5">
        <f t="shared" si="74"/>
        <v>15000</v>
      </c>
      <c r="K1434" s="5" t="str">
        <f>VLOOKUP(C1434,[1]master_data!$A$2:$E$495,5,FALSE)</f>
        <v>Aksesoris</v>
      </c>
      <c r="L1434" s="5" t="s">
        <v>471</v>
      </c>
    </row>
    <row r="1435" spans="1:12" ht="12" customHeight="1" x14ac:dyDescent="0.25">
      <c r="A1435" s="6">
        <v>44773</v>
      </c>
      <c r="B1435" s="1">
        <v>2203128</v>
      </c>
      <c r="C1435" s="5" t="s">
        <v>430</v>
      </c>
      <c r="D1435" s="5" t="str">
        <f>VLOOKUP(C1435,[1]master_data!$A$2:$E$495,2,FALSE)</f>
        <v>MANFISH K</v>
      </c>
      <c r="E1435" s="5">
        <v>10</v>
      </c>
      <c r="F1435" s="5">
        <f>VLOOKUP(C1435,[1]master_data!$A$2:$E$495,3,FALSE)</f>
        <v>2000</v>
      </c>
      <c r="G1435" s="5">
        <f>VLOOKUP(C1435,[1]master_data!$A$2:$E$495,4,FALSE)</f>
        <v>5000</v>
      </c>
      <c r="H1435" s="5">
        <f t="shared" si="72"/>
        <v>20000</v>
      </c>
      <c r="I1435" s="5">
        <f t="shared" si="73"/>
        <v>50000</v>
      </c>
      <c r="J1435" s="5">
        <f t="shared" si="74"/>
        <v>30000</v>
      </c>
      <c r="K1435" s="5" t="str">
        <f>VLOOKUP(C1435,[1]master_data!$A$2:$E$495,5,FALSE)</f>
        <v>Ikan</v>
      </c>
      <c r="L1435" s="5" t="s">
        <v>471</v>
      </c>
    </row>
    <row r="1436" spans="1:12" ht="12" customHeight="1" x14ac:dyDescent="0.25">
      <c r="A1436" s="6">
        <v>44773</v>
      </c>
      <c r="B1436" s="1">
        <v>2203127</v>
      </c>
      <c r="C1436" s="5" t="s">
        <v>203</v>
      </c>
      <c r="D1436" s="5" t="str">
        <f>VLOOKUP(C1436,[1]master_data!$A$2:$E$495,2,FALSE)</f>
        <v>HOKKY 3 IN 1</v>
      </c>
      <c r="E1436" s="5">
        <v>5</v>
      </c>
      <c r="F1436" s="5">
        <f>VLOOKUP(C1436,[1]master_data!$A$2:$E$495,3,FALSE)</f>
        <v>20000</v>
      </c>
      <c r="G1436" s="5">
        <f>VLOOKUP(C1436,[1]master_data!$A$2:$E$495,4,FALSE)</f>
        <v>30000</v>
      </c>
      <c r="H1436" s="5">
        <f t="shared" si="72"/>
        <v>100000</v>
      </c>
      <c r="I1436" s="5">
        <f t="shared" si="73"/>
        <v>150000</v>
      </c>
      <c r="J1436" s="5">
        <f t="shared" si="74"/>
        <v>50000</v>
      </c>
      <c r="K1436" s="5" t="str">
        <f>VLOOKUP(C1436,[1]master_data!$A$2:$E$495,5,FALSE)</f>
        <v>Aksesoris</v>
      </c>
      <c r="L1436" s="5" t="s">
        <v>471</v>
      </c>
    </row>
    <row r="1437" spans="1:12" ht="12" customHeight="1" x14ac:dyDescent="0.25">
      <c r="A1437" s="6">
        <v>44773</v>
      </c>
      <c r="B1437" s="1">
        <v>2203126</v>
      </c>
      <c r="C1437" s="5" t="s">
        <v>448</v>
      </c>
      <c r="D1437" s="5" t="str">
        <f>VLOOKUP(C1437,[1]master_data!$A$2:$E$495,2,FALSE)</f>
        <v xml:space="preserve"> CHANNA RED BARITO K</v>
      </c>
      <c r="E1437" s="5">
        <v>5</v>
      </c>
      <c r="F1437" s="5">
        <f>VLOOKUP(C1437,[1]master_data!$A$2:$E$495,3,FALSE)</f>
        <v>45000</v>
      </c>
      <c r="G1437" s="5">
        <f>VLOOKUP(C1437,[1]master_data!$A$2:$E$495,4,FALSE)</f>
        <v>100000</v>
      </c>
      <c r="H1437" s="5">
        <f t="shared" si="72"/>
        <v>225000</v>
      </c>
      <c r="I1437" s="5">
        <f t="shared" si="73"/>
        <v>500000</v>
      </c>
      <c r="J1437" s="5">
        <f t="shared" si="74"/>
        <v>275000</v>
      </c>
      <c r="K1437" s="5" t="str">
        <f>VLOOKUP(C1437,[1]master_data!$A$2:$E$495,5,FALSE)</f>
        <v>Ikan</v>
      </c>
      <c r="L1437" s="5" t="s">
        <v>471</v>
      </c>
    </row>
    <row r="1438" spans="1:12" ht="12" customHeight="1" x14ac:dyDescent="0.25">
      <c r="A1438" s="6">
        <v>44773</v>
      </c>
      <c r="B1438" s="1">
        <v>2203125</v>
      </c>
      <c r="C1438" s="5" t="s">
        <v>448</v>
      </c>
      <c r="D1438" s="5" t="str">
        <f>VLOOKUP(C1438,[1]master_data!$A$2:$E$495,2,FALSE)</f>
        <v xml:space="preserve"> CHANNA RED BARITO K</v>
      </c>
      <c r="E1438" s="5">
        <v>1</v>
      </c>
      <c r="F1438" s="5">
        <f>VLOOKUP(C1438,[1]master_data!$A$2:$E$495,3,FALSE)</f>
        <v>45000</v>
      </c>
      <c r="G1438" s="5">
        <f>VLOOKUP(C1438,[1]master_data!$A$2:$E$495,4,FALSE)</f>
        <v>100000</v>
      </c>
      <c r="H1438" s="5">
        <f t="shared" si="72"/>
        <v>45000</v>
      </c>
      <c r="I1438" s="5">
        <f t="shared" si="73"/>
        <v>100000</v>
      </c>
      <c r="J1438" s="5">
        <f t="shared" si="74"/>
        <v>55000</v>
      </c>
      <c r="K1438" s="5" t="str">
        <f>VLOOKUP(C1438,[1]master_data!$A$2:$E$495,5,FALSE)</f>
        <v>Ikan</v>
      </c>
      <c r="L1438" s="5" t="s">
        <v>471</v>
      </c>
    </row>
    <row r="1439" spans="1:12" ht="12" customHeight="1" x14ac:dyDescent="0.25">
      <c r="A1439" s="6">
        <v>44773</v>
      </c>
      <c r="B1439" s="1">
        <v>2203124</v>
      </c>
      <c r="C1439" s="5" t="s">
        <v>209</v>
      </c>
      <c r="D1439" s="5" t="str">
        <f>VLOOKUP(C1439,[1]master_data!$A$2:$E$495,2,FALSE)</f>
        <v>TETRA BITS 50 GR</v>
      </c>
      <c r="E1439" s="5">
        <v>5</v>
      </c>
      <c r="F1439" s="5">
        <f>VLOOKUP(C1439,[1]master_data!$A$2:$E$495,3,FALSE)</f>
        <v>45000</v>
      </c>
      <c r="G1439" s="5">
        <f>VLOOKUP(C1439,[1]master_data!$A$2:$E$495,4,FALSE)</f>
        <v>55000</v>
      </c>
      <c r="H1439" s="5">
        <f t="shared" si="72"/>
        <v>225000</v>
      </c>
      <c r="I1439" s="5">
        <f t="shared" si="73"/>
        <v>275000</v>
      </c>
      <c r="J1439" s="5">
        <f t="shared" si="74"/>
        <v>50000</v>
      </c>
      <c r="K1439" s="5" t="str">
        <f>VLOOKUP(C1439,[1]master_data!$A$2:$E$495,5,FALSE)</f>
        <v>Aksesoris</v>
      </c>
      <c r="L1439" s="5" t="s">
        <v>471</v>
      </c>
    </row>
    <row r="1440" spans="1:12" ht="12" customHeight="1" x14ac:dyDescent="0.25">
      <c r="A1440" s="6">
        <v>44773</v>
      </c>
      <c r="B1440" s="1">
        <v>2203123</v>
      </c>
      <c r="C1440" s="5" t="s">
        <v>423</v>
      </c>
      <c r="D1440" s="5" t="str">
        <f>VLOOKUP(C1440,[1]master_data!$A$2:$E$495,2,FALSE)</f>
        <v>KOI SLAYER K</v>
      </c>
      <c r="E1440" s="5">
        <v>10</v>
      </c>
      <c r="F1440" s="5">
        <f>VLOOKUP(C1440,[1]master_data!$A$2:$E$495,3,FALSE)</f>
        <v>3500</v>
      </c>
      <c r="G1440" s="5">
        <f>VLOOKUP(C1440,[1]master_data!$A$2:$E$495,4,FALSE)</f>
        <v>10000</v>
      </c>
      <c r="H1440" s="5">
        <f t="shared" si="72"/>
        <v>35000</v>
      </c>
      <c r="I1440" s="5">
        <f t="shared" si="73"/>
        <v>100000</v>
      </c>
      <c r="J1440" s="5">
        <f t="shared" si="74"/>
        <v>65000</v>
      </c>
      <c r="K1440" s="5" t="str">
        <f>VLOOKUP(C1440,[1]master_data!$A$2:$E$495,5,FALSE)</f>
        <v>Ikan</v>
      </c>
      <c r="L1440" s="5" t="s">
        <v>471</v>
      </c>
    </row>
    <row r="1441" spans="1:12" ht="12" customHeight="1" x14ac:dyDescent="0.25">
      <c r="A1441" s="6">
        <v>44773</v>
      </c>
      <c r="B1441" s="1">
        <v>2203122</v>
      </c>
      <c r="C1441" s="5" t="s">
        <v>357</v>
      </c>
      <c r="D1441" s="5" t="str">
        <f>VLOOKUP(C1441,[1]master_data!$A$2:$E$495,2,FALSE)</f>
        <v>TOPLES 4,2 L</v>
      </c>
      <c r="E1441" s="5">
        <v>1</v>
      </c>
      <c r="F1441" s="5">
        <f>VLOOKUP(C1441,[1]master_data!$A$2:$E$495,3,FALSE)</f>
        <v>53000</v>
      </c>
      <c r="G1441" s="5">
        <f>VLOOKUP(C1441,[1]master_data!$A$2:$E$495,4,FALSE)</f>
        <v>85000</v>
      </c>
      <c r="H1441" s="5">
        <f t="shared" si="72"/>
        <v>53000</v>
      </c>
      <c r="I1441" s="5">
        <f t="shared" si="73"/>
        <v>85000</v>
      </c>
      <c r="J1441" s="5">
        <f t="shared" si="74"/>
        <v>32000</v>
      </c>
      <c r="K1441" s="5" t="str">
        <f>VLOOKUP(C1441,[1]master_data!$A$2:$E$495,5,FALSE)</f>
        <v>Aksesoris</v>
      </c>
      <c r="L1441" s="5" t="s">
        <v>471</v>
      </c>
    </row>
    <row r="1442" spans="1:12" ht="12" customHeight="1" x14ac:dyDescent="0.25">
      <c r="A1442" s="6">
        <v>44773</v>
      </c>
      <c r="B1442" s="1">
        <v>2203121</v>
      </c>
      <c r="C1442" s="5" t="s">
        <v>119</v>
      </c>
      <c r="D1442" s="5" t="str">
        <f>VLOOKUP(C1442,[1]master_data!$A$2:$E$495,2,FALSE)</f>
        <v>LED KIYOSAKI 3 MODE 40 CM</v>
      </c>
      <c r="E1442" s="5">
        <v>1</v>
      </c>
      <c r="F1442" s="5">
        <f>VLOOKUP(C1442,[1]master_data!$A$2:$E$495,3,FALSE)</f>
        <v>32000</v>
      </c>
      <c r="G1442" s="5">
        <f>VLOOKUP(C1442,[1]master_data!$A$2:$E$495,4,FALSE)</f>
        <v>55000</v>
      </c>
      <c r="H1442" s="5">
        <f t="shared" si="72"/>
        <v>32000</v>
      </c>
      <c r="I1442" s="5">
        <f t="shared" si="73"/>
        <v>55000</v>
      </c>
      <c r="J1442" s="5">
        <f t="shared" si="74"/>
        <v>23000</v>
      </c>
      <c r="K1442" s="5" t="str">
        <f>VLOOKUP(C1442,[1]master_data!$A$2:$E$495,5,FALSE)</f>
        <v>Aksesoris</v>
      </c>
      <c r="L1442" s="5" t="s">
        <v>471</v>
      </c>
    </row>
    <row r="1443" spans="1:12" ht="12" customHeight="1" x14ac:dyDescent="0.25">
      <c r="A1443" s="6">
        <v>44772</v>
      </c>
      <c r="B1443" s="1">
        <v>2203120</v>
      </c>
      <c r="C1443" s="5" t="s">
        <v>459</v>
      </c>
      <c r="D1443" s="5" t="str">
        <f>VLOOKUP(C1443,[1]master_data!$A$2:$E$495,2,FALSE)</f>
        <v>ZEBRA UNGU</v>
      </c>
      <c r="E1443" s="5">
        <v>15</v>
      </c>
      <c r="F1443" s="5">
        <f>VLOOKUP(C1443,[1]master_data!$A$2:$E$495,3,FALSE)</f>
        <v>800</v>
      </c>
      <c r="G1443" s="5">
        <f>VLOOKUP(C1443,[1]master_data!$A$2:$E$495,4,FALSE)</f>
        <v>2000</v>
      </c>
      <c r="H1443" s="5">
        <f t="shared" si="72"/>
        <v>12000</v>
      </c>
      <c r="I1443" s="5">
        <f t="shared" si="73"/>
        <v>30000</v>
      </c>
      <c r="J1443" s="5">
        <f t="shared" si="74"/>
        <v>18000</v>
      </c>
      <c r="K1443" s="5" t="str">
        <f>VLOOKUP(C1443,[1]master_data!$A$2:$E$495,5,FALSE)</f>
        <v>Ikan</v>
      </c>
      <c r="L1443" s="5" t="s">
        <v>471</v>
      </c>
    </row>
    <row r="1444" spans="1:12" ht="12" customHeight="1" x14ac:dyDescent="0.25">
      <c r="A1444" s="6">
        <v>44772</v>
      </c>
      <c r="B1444" s="1">
        <v>2203119</v>
      </c>
      <c r="C1444" s="5" t="s">
        <v>384</v>
      </c>
      <c r="D1444" s="5" t="str">
        <f>VLOOKUP(C1444,[1]master_data!$A$2:$E$495,2,FALSE)</f>
        <v>BATU GOMBONG B</v>
      </c>
      <c r="E1444" s="5">
        <v>5</v>
      </c>
      <c r="F1444" s="5">
        <f>VLOOKUP(C1444,[1]master_data!$A$2:$E$495,3,FALSE)</f>
        <v>60000</v>
      </c>
      <c r="G1444" s="5">
        <f>VLOOKUP(C1444,[1]master_data!$A$2:$E$495,4,FALSE)</f>
        <v>100000</v>
      </c>
      <c r="H1444" s="5">
        <f t="shared" si="72"/>
        <v>300000</v>
      </c>
      <c r="I1444" s="5">
        <f t="shared" si="73"/>
        <v>500000</v>
      </c>
      <c r="J1444" s="5">
        <f t="shared" si="74"/>
        <v>200000</v>
      </c>
      <c r="K1444" s="5" t="str">
        <f>VLOOKUP(C1444,[1]master_data!$A$2:$E$495,5,FALSE)</f>
        <v>Aksesoris</v>
      </c>
      <c r="L1444" s="5" t="s">
        <v>471</v>
      </c>
    </row>
    <row r="1445" spans="1:12" ht="12" customHeight="1" x14ac:dyDescent="0.25">
      <c r="A1445" s="6">
        <v>44772</v>
      </c>
      <c r="B1445" s="1">
        <v>2203118</v>
      </c>
      <c r="C1445" s="5" t="s">
        <v>444</v>
      </c>
      <c r="D1445" s="5" t="str">
        <f>VLOOKUP(C1445,[1]master_data!$A$2:$E$495,2,FALSE)</f>
        <v>PARROT</v>
      </c>
      <c r="E1445" s="5">
        <v>5</v>
      </c>
      <c r="F1445" s="5">
        <f>VLOOKUP(C1445,[1]master_data!$A$2:$E$495,3,FALSE)</f>
        <v>27000</v>
      </c>
      <c r="G1445" s="5">
        <f>VLOOKUP(C1445,[1]master_data!$A$2:$E$495,4,FALSE)</f>
        <v>60000</v>
      </c>
      <c r="H1445" s="5">
        <f t="shared" si="72"/>
        <v>135000</v>
      </c>
      <c r="I1445" s="5">
        <f t="shared" si="73"/>
        <v>300000</v>
      </c>
      <c r="J1445" s="5">
        <f t="shared" si="74"/>
        <v>165000</v>
      </c>
      <c r="K1445" s="5" t="str">
        <f>VLOOKUP(C1445,[1]master_data!$A$2:$E$495,5,FALSE)</f>
        <v>Ikan</v>
      </c>
      <c r="L1445" s="5" t="s">
        <v>471</v>
      </c>
    </row>
    <row r="1446" spans="1:12" ht="12" customHeight="1" x14ac:dyDescent="0.25">
      <c r="A1446" s="6">
        <v>44772</v>
      </c>
      <c r="B1446" s="1">
        <v>2203117</v>
      </c>
      <c r="C1446" s="5" t="s">
        <v>99</v>
      </c>
      <c r="D1446" s="5" t="str">
        <f>VLOOKUP(C1446,[1]master_data!$A$2:$E$495,2,FALSE)</f>
        <v>AIRATOR ROSTON LUB 4</v>
      </c>
      <c r="E1446" s="5">
        <v>1</v>
      </c>
      <c r="F1446" s="5">
        <f>VLOOKUP(C1446,[1]master_data!$A$2:$E$495,3,FALSE)</f>
        <v>85000</v>
      </c>
      <c r="G1446" s="5">
        <f>VLOOKUP(C1446,[1]master_data!$A$2:$E$495,4,FALSE)</f>
        <v>125000</v>
      </c>
      <c r="H1446" s="5">
        <f t="shared" si="72"/>
        <v>85000</v>
      </c>
      <c r="I1446" s="5">
        <f t="shared" si="73"/>
        <v>125000</v>
      </c>
      <c r="J1446" s="5">
        <f t="shared" si="74"/>
        <v>40000</v>
      </c>
      <c r="K1446" s="5" t="str">
        <f>VLOOKUP(C1446,[1]master_data!$A$2:$E$495,5,FALSE)</f>
        <v>Aksesoris</v>
      </c>
      <c r="L1446" s="5" t="s">
        <v>471</v>
      </c>
    </row>
    <row r="1447" spans="1:12" ht="12" customHeight="1" x14ac:dyDescent="0.25">
      <c r="A1447" s="6">
        <v>44772</v>
      </c>
      <c r="B1447" s="1">
        <v>2203116</v>
      </c>
      <c r="C1447" s="5" t="s">
        <v>397</v>
      </c>
      <c r="D1447" s="5" t="str">
        <f>VLOOKUP(C1447,[1]master_data!$A$2:$E$495,2,FALSE)</f>
        <v>ALIGATOR</v>
      </c>
      <c r="E1447" s="5">
        <v>1</v>
      </c>
      <c r="F1447" s="5">
        <f>VLOOKUP(C1447,[1]master_data!$A$2:$E$495,3,FALSE)</f>
        <v>17000</v>
      </c>
      <c r="G1447" s="5">
        <f>VLOOKUP(C1447,[1]master_data!$A$2:$E$495,4,FALSE)</f>
        <v>35000</v>
      </c>
      <c r="H1447" s="5">
        <f t="shared" si="72"/>
        <v>17000</v>
      </c>
      <c r="I1447" s="5">
        <f t="shared" si="73"/>
        <v>35000</v>
      </c>
      <c r="J1447" s="5">
        <f t="shared" si="74"/>
        <v>18000</v>
      </c>
      <c r="K1447" s="5" t="str">
        <f>VLOOKUP(C1447,[1]master_data!$A$2:$E$495,5,FALSE)</f>
        <v>Ikan</v>
      </c>
      <c r="L1447" s="5" t="s">
        <v>471</v>
      </c>
    </row>
    <row r="1448" spans="1:12" ht="12" customHeight="1" x14ac:dyDescent="0.25">
      <c r="A1448" s="6">
        <v>44772</v>
      </c>
      <c r="B1448" s="1">
        <v>2203115</v>
      </c>
      <c r="C1448" s="5" t="s">
        <v>399</v>
      </c>
      <c r="D1448" s="5" t="str">
        <f>VLOOKUP(C1448,[1]master_data!$A$2:$E$495,2,FALSE)</f>
        <v>BUENOS AIRES TETRA</v>
      </c>
      <c r="E1448" s="5">
        <v>1</v>
      </c>
      <c r="F1448" s="5">
        <f>VLOOKUP(C1448,[1]master_data!$A$2:$E$495,3,FALSE)</f>
        <v>800</v>
      </c>
      <c r="G1448" s="5">
        <f>VLOOKUP(C1448,[1]master_data!$A$2:$E$495,4,FALSE)</f>
        <v>2000</v>
      </c>
      <c r="H1448" s="5">
        <f t="shared" si="72"/>
        <v>800</v>
      </c>
      <c r="I1448" s="5">
        <f t="shared" si="73"/>
        <v>2000</v>
      </c>
      <c r="J1448" s="5">
        <f t="shared" si="74"/>
        <v>1200</v>
      </c>
      <c r="K1448" s="5" t="str">
        <f>VLOOKUP(C1448,[1]master_data!$A$2:$E$495,5,FALSE)</f>
        <v>Ikan</v>
      </c>
      <c r="L1448" s="5" t="s">
        <v>471</v>
      </c>
    </row>
    <row r="1449" spans="1:12" ht="12" customHeight="1" x14ac:dyDescent="0.25">
      <c r="A1449" s="6">
        <v>44772</v>
      </c>
      <c r="B1449" s="1">
        <v>2203114</v>
      </c>
      <c r="C1449" s="5" t="s">
        <v>12</v>
      </c>
      <c r="D1449" s="5" t="str">
        <f>VLOOKUP(C1449,[1]master_data!$A$2:$E$495,2,FALSE)</f>
        <v>MESIN YANG 104</v>
      </c>
      <c r="E1449" s="5">
        <v>1</v>
      </c>
      <c r="F1449" s="5">
        <f>VLOOKUP(C1449,[1]master_data!$A$2:$E$495,3,FALSE)</f>
        <v>98000</v>
      </c>
      <c r="G1449" s="5">
        <f>VLOOKUP(C1449,[1]master_data!$A$2:$E$495,4,FALSE)</f>
        <v>140000</v>
      </c>
      <c r="H1449" s="5">
        <f t="shared" si="72"/>
        <v>98000</v>
      </c>
      <c r="I1449" s="5">
        <f t="shared" si="73"/>
        <v>140000</v>
      </c>
      <c r="J1449" s="5">
        <f t="shared" si="74"/>
        <v>42000</v>
      </c>
      <c r="K1449" s="5" t="str">
        <f>VLOOKUP(C1449,[1]master_data!$A$2:$E$495,5,FALSE)</f>
        <v>Aksesoris</v>
      </c>
      <c r="L1449" s="5" t="s">
        <v>471</v>
      </c>
    </row>
    <row r="1450" spans="1:12" ht="12" customHeight="1" x14ac:dyDescent="0.25">
      <c r="A1450" s="6">
        <v>44772</v>
      </c>
      <c r="B1450" s="1">
        <v>2203113</v>
      </c>
      <c r="C1450" s="5" t="s">
        <v>214</v>
      </c>
      <c r="D1450" s="5" t="str">
        <f>VLOOKUP(C1450,[1]master_data!$A$2:$E$495,2,FALSE)</f>
        <v>ARTEMIA SUPREME PLUS</v>
      </c>
      <c r="E1450" s="5">
        <v>10</v>
      </c>
      <c r="F1450" s="5">
        <f>VLOOKUP(C1450,[1]master_data!$A$2:$E$495,3,FALSE)</f>
        <v>14500</v>
      </c>
      <c r="G1450" s="5">
        <f>VLOOKUP(C1450,[1]master_data!$A$2:$E$495,4,FALSE)</f>
        <v>25000</v>
      </c>
      <c r="H1450" s="5">
        <f t="shared" si="72"/>
        <v>145000</v>
      </c>
      <c r="I1450" s="5">
        <f t="shared" si="73"/>
        <v>250000</v>
      </c>
      <c r="J1450" s="5">
        <f t="shared" si="74"/>
        <v>105000</v>
      </c>
      <c r="K1450" s="5" t="str">
        <f>VLOOKUP(C1450,[1]master_data!$A$2:$E$495,5,FALSE)</f>
        <v>Aksesoris</v>
      </c>
      <c r="L1450" s="5" t="s">
        <v>471</v>
      </c>
    </row>
    <row r="1451" spans="1:12" ht="12" customHeight="1" x14ac:dyDescent="0.25">
      <c r="A1451" s="6">
        <v>44771</v>
      </c>
      <c r="B1451" s="1">
        <v>2203112</v>
      </c>
      <c r="C1451" s="5" t="s">
        <v>415</v>
      </c>
      <c r="D1451" s="5" t="str">
        <f>VLOOKUP(C1451,[1]master_data!$A$2:$E$495,2,FALSE)</f>
        <v>KOKI B</v>
      </c>
      <c r="E1451" s="5">
        <v>2</v>
      </c>
      <c r="F1451" s="5">
        <f>VLOOKUP(C1451,[1]master_data!$A$2:$E$495,3,FALSE)</f>
        <v>20000</v>
      </c>
      <c r="G1451" s="5">
        <f>VLOOKUP(C1451,[1]master_data!$A$2:$E$495,4,FALSE)</f>
        <v>50000</v>
      </c>
      <c r="H1451" s="5">
        <f t="shared" si="72"/>
        <v>40000</v>
      </c>
      <c r="I1451" s="5">
        <f t="shared" si="73"/>
        <v>100000</v>
      </c>
      <c r="J1451" s="5">
        <f t="shared" si="74"/>
        <v>60000</v>
      </c>
      <c r="K1451" s="5" t="str">
        <f>VLOOKUP(C1451,[1]master_data!$A$2:$E$495,5,FALSE)</f>
        <v>Ikan</v>
      </c>
      <c r="L1451" s="5" t="s">
        <v>471</v>
      </c>
    </row>
    <row r="1452" spans="1:12" ht="12" customHeight="1" x14ac:dyDescent="0.25">
      <c r="A1452" s="6">
        <v>44771</v>
      </c>
      <c r="B1452" s="1">
        <v>2203111</v>
      </c>
      <c r="C1452" s="5" t="s">
        <v>434</v>
      </c>
      <c r="D1452" s="5" t="str">
        <f>VLOOKUP(C1452,[1]master_data!$A$2:$E$495,2,FALSE)</f>
        <v>MOLI PAKAN</v>
      </c>
      <c r="E1452" s="5">
        <v>20</v>
      </c>
      <c r="F1452" s="5">
        <f>VLOOKUP(C1452,[1]master_data!$A$2:$E$495,3,FALSE)</f>
        <v>100</v>
      </c>
      <c r="G1452" s="5">
        <f>VLOOKUP(C1452,[1]master_data!$A$2:$E$495,4,FALSE)</f>
        <v>200</v>
      </c>
      <c r="H1452" s="5">
        <f t="shared" si="72"/>
        <v>2000</v>
      </c>
      <c r="I1452" s="5">
        <f t="shared" si="73"/>
        <v>4000</v>
      </c>
      <c r="J1452" s="5">
        <f t="shared" si="74"/>
        <v>2000</v>
      </c>
      <c r="K1452" s="5" t="str">
        <f>VLOOKUP(C1452,[1]master_data!$A$2:$E$495,5,FALSE)</f>
        <v>Ikan</v>
      </c>
      <c r="L1452" s="5" t="s">
        <v>471</v>
      </c>
    </row>
    <row r="1453" spans="1:12" ht="12" customHeight="1" x14ac:dyDescent="0.25">
      <c r="A1453" s="6">
        <v>44771</v>
      </c>
      <c r="B1453" s="1">
        <v>2203110</v>
      </c>
      <c r="C1453" s="5" t="s">
        <v>449</v>
      </c>
      <c r="D1453" s="5" t="str">
        <f>VLOOKUP(C1453,[1]master_data!$A$2:$E$495,2,FALSE)</f>
        <v>CHANNA RED BARITO B</v>
      </c>
      <c r="E1453" s="5">
        <v>1</v>
      </c>
      <c r="F1453" s="5">
        <f>VLOOKUP(C1453,[1]master_data!$A$2:$E$495,3,FALSE)</f>
        <v>120000</v>
      </c>
      <c r="G1453" s="5">
        <f>VLOOKUP(C1453,[1]master_data!$A$2:$E$495,4,FALSE)</f>
        <v>200000</v>
      </c>
      <c r="H1453" s="5">
        <f t="shared" si="72"/>
        <v>120000</v>
      </c>
      <c r="I1453" s="5">
        <f t="shared" si="73"/>
        <v>200000</v>
      </c>
      <c r="J1453" s="5">
        <f t="shared" si="74"/>
        <v>80000</v>
      </c>
      <c r="K1453" s="5" t="str">
        <f>VLOOKUP(C1453,[1]master_data!$A$2:$E$495,5,FALSE)</f>
        <v>Ikan</v>
      </c>
      <c r="L1453" s="5" t="s">
        <v>471</v>
      </c>
    </row>
    <row r="1454" spans="1:12" ht="12" customHeight="1" x14ac:dyDescent="0.25">
      <c r="A1454" s="6">
        <v>44771</v>
      </c>
      <c r="B1454" s="1">
        <v>2203109</v>
      </c>
      <c r="C1454" s="5" t="s">
        <v>446</v>
      </c>
      <c r="D1454" s="5" t="str">
        <f>VLOOKUP(C1454,[1]master_data!$A$2:$E$495,2,FALSE)</f>
        <v>REDFIN HITAM</v>
      </c>
      <c r="E1454" s="5">
        <v>6</v>
      </c>
      <c r="F1454" s="5">
        <f>VLOOKUP(C1454,[1]master_data!$A$2:$E$495,3,FALSE)</f>
        <v>1500</v>
      </c>
      <c r="G1454" s="5">
        <f>VLOOKUP(C1454,[1]master_data!$A$2:$E$495,4,FALSE)</f>
        <v>4000</v>
      </c>
      <c r="H1454" s="5">
        <f t="shared" si="72"/>
        <v>9000</v>
      </c>
      <c r="I1454" s="5">
        <f t="shared" si="73"/>
        <v>24000</v>
      </c>
      <c r="J1454" s="5">
        <f t="shared" si="74"/>
        <v>15000</v>
      </c>
      <c r="K1454" s="5" t="str">
        <f>VLOOKUP(C1454,[1]master_data!$A$2:$E$495,5,FALSE)</f>
        <v>Ikan</v>
      </c>
      <c r="L1454" s="5" t="s">
        <v>471</v>
      </c>
    </row>
    <row r="1455" spans="1:12" ht="12" customHeight="1" x14ac:dyDescent="0.25">
      <c r="A1455" s="6">
        <v>44771</v>
      </c>
      <c r="B1455" s="1">
        <v>2203108</v>
      </c>
      <c r="C1455" s="5" t="s">
        <v>444</v>
      </c>
      <c r="D1455" s="5" t="str">
        <f>VLOOKUP(C1455,[1]master_data!$A$2:$E$495,2,FALSE)</f>
        <v>PARROT</v>
      </c>
      <c r="E1455" s="5">
        <v>1</v>
      </c>
      <c r="F1455" s="5">
        <f>VLOOKUP(C1455,[1]master_data!$A$2:$E$495,3,FALSE)</f>
        <v>27000</v>
      </c>
      <c r="G1455" s="5">
        <f>VLOOKUP(C1455,[1]master_data!$A$2:$E$495,4,FALSE)</f>
        <v>60000</v>
      </c>
      <c r="H1455" s="5">
        <f t="shared" si="72"/>
        <v>27000</v>
      </c>
      <c r="I1455" s="5">
        <f t="shared" si="73"/>
        <v>60000</v>
      </c>
      <c r="J1455" s="5">
        <f t="shared" si="74"/>
        <v>33000</v>
      </c>
      <c r="K1455" s="5" t="str">
        <f>VLOOKUP(C1455,[1]master_data!$A$2:$E$495,5,FALSE)</f>
        <v>Ikan</v>
      </c>
      <c r="L1455" s="5" t="s">
        <v>471</v>
      </c>
    </row>
    <row r="1456" spans="1:12" ht="12" customHeight="1" x14ac:dyDescent="0.25">
      <c r="A1456" s="6">
        <v>44771</v>
      </c>
      <c r="B1456" s="1">
        <v>2203107</v>
      </c>
      <c r="C1456" s="5" t="s">
        <v>430</v>
      </c>
      <c r="D1456" s="5" t="str">
        <f>VLOOKUP(C1456,[1]master_data!$A$2:$E$495,2,FALSE)</f>
        <v>MANFISH K</v>
      </c>
      <c r="E1456" s="5">
        <v>30</v>
      </c>
      <c r="F1456" s="5">
        <f>VLOOKUP(C1456,[1]master_data!$A$2:$E$495,3,FALSE)</f>
        <v>2000</v>
      </c>
      <c r="G1456" s="5">
        <f>VLOOKUP(C1456,[1]master_data!$A$2:$E$495,4,FALSE)</f>
        <v>5000</v>
      </c>
      <c r="H1456" s="5">
        <f t="shared" si="72"/>
        <v>60000</v>
      </c>
      <c r="I1456" s="5">
        <f t="shared" si="73"/>
        <v>150000</v>
      </c>
      <c r="J1456" s="5">
        <f t="shared" si="74"/>
        <v>90000</v>
      </c>
      <c r="K1456" s="5" t="str">
        <f>VLOOKUP(C1456,[1]master_data!$A$2:$E$495,5,FALSE)</f>
        <v>Ikan</v>
      </c>
      <c r="L1456" s="5" t="s">
        <v>471</v>
      </c>
    </row>
    <row r="1457" spans="1:12" ht="12" customHeight="1" x14ac:dyDescent="0.25">
      <c r="A1457" s="6">
        <v>44771</v>
      </c>
      <c r="B1457" s="1">
        <v>2203106</v>
      </c>
      <c r="C1457" s="5" t="s">
        <v>447</v>
      </c>
      <c r="D1457" s="5" t="str">
        <f>VLOOKUP(C1457,[1]master_data!$A$2:$E$495,2,FALSE)</f>
        <v>REDFIN ALBINO</v>
      </c>
      <c r="E1457" s="5">
        <v>10</v>
      </c>
      <c r="F1457" s="5">
        <f>VLOOKUP(C1457,[1]master_data!$A$2:$E$495,3,FALSE)</f>
        <v>1500</v>
      </c>
      <c r="G1457" s="5">
        <f>VLOOKUP(C1457,[1]master_data!$A$2:$E$495,4,FALSE)</f>
        <v>4000</v>
      </c>
      <c r="H1457" s="5">
        <f t="shared" si="72"/>
        <v>15000</v>
      </c>
      <c r="I1457" s="5">
        <f t="shared" si="73"/>
        <v>40000</v>
      </c>
      <c r="J1457" s="5">
        <f t="shared" si="74"/>
        <v>25000</v>
      </c>
      <c r="K1457" s="5" t="str">
        <f>VLOOKUP(C1457,[1]master_data!$A$2:$E$495,5,FALSE)</f>
        <v>Ikan</v>
      </c>
      <c r="L1457" s="5" t="s">
        <v>471</v>
      </c>
    </row>
    <row r="1458" spans="1:12" ht="12" customHeight="1" x14ac:dyDescent="0.25">
      <c r="A1458" s="6">
        <v>44771</v>
      </c>
      <c r="B1458" s="1">
        <v>2203105</v>
      </c>
      <c r="C1458" s="5" t="s">
        <v>149</v>
      </c>
      <c r="D1458" s="5" t="str">
        <f>VLOOKUP(C1458,[1]master_data!$A$2:$E$495,2,FALSE)</f>
        <v>LED VOSSO 50-60 CM</v>
      </c>
      <c r="E1458" s="5">
        <v>1</v>
      </c>
      <c r="F1458" s="5">
        <f>VLOOKUP(C1458,[1]master_data!$A$2:$E$495,3,FALSE)</f>
        <v>50000</v>
      </c>
      <c r="G1458" s="5">
        <f>VLOOKUP(C1458,[1]master_data!$A$2:$E$495,4,FALSE)</f>
        <v>75000</v>
      </c>
      <c r="H1458" s="5">
        <f t="shared" si="72"/>
        <v>50000</v>
      </c>
      <c r="I1458" s="5">
        <f t="shared" si="73"/>
        <v>75000</v>
      </c>
      <c r="J1458" s="5">
        <f t="shared" si="74"/>
        <v>25000</v>
      </c>
      <c r="K1458" s="5" t="str">
        <f>VLOOKUP(C1458,[1]master_data!$A$2:$E$495,5,FALSE)</f>
        <v>Aksesoris</v>
      </c>
      <c r="L1458" s="5" t="s">
        <v>471</v>
      </c>
    </row>
    <row r="1459" spans="1:12" ht="12" customHeight="1" x14ac:dyDescent="0.25">
      <c r="A1459" s="6">
        <v>44771</v>
      </c>
      <c r="B1459" s="1">
        <v>2203104</v>
      </c>
      <c r="C1459" s="5" t="s">
        <v>376</v>
      </c>
      <c r="D1459" s="5" t="str">
        <f>VLOOKUP(C1459,[1]master_data!$A$2:$E$495,2,FALSE)</f>
        <v>PASIR MEARAH B</v>
      </c>
      <c r="E1459" s="5">
        <v>10</v>
      </c>
      <c r="F1459" s="5">
        <f>VLOOKUP(C1459,[1]master_data!$A$2:$E$495,3,FALSE)</f>
        <v>8000</v>
      </c>
      <c r="G1459" s="5">
        <f>VLOOKUP(C1459,[1]master_data!$A$2:$E$495,4,FALSE)</f>
        <v>25000</v>
      </c>
      <c r="H1459" s="5">
        <f t="shared" si="72"/>
        <v>80000</v>
      </c>
      <c r="I1459" s="5">
        <f t="shared" si="73"/>
        <v>250000</v>
      </c>
      <c r="J1459" s="5">
        <f t="shared" si="74"/>
        <v>170000</v>
      </c>
      <c r="K1459" s="5" t="str">
        <f>VLOOKUP(C1459,[1]master_data!$A$2:$E$495,5,FALSE)</f>
        <v>Aksesoris</v>
      </c>
      <c r="L1459" s="5" t="s">
        <v>471</v>
      </c>
    </row>
    <row r="1460" spans="1:12" ht="12" customHeight="1" x14ac:dyDescent="0.25">
      <c r="A1460" s="6">
        <v>44771</v>
      </c>
      <c r="B1460" s="1">
        <v>2203103</v>
      </c>
      <c r="C1460" s="5" t="s">
        <v>136</v>
      </c>
      <c r="D1460" s="5" t="str">
        <f>VLOOKUP(C1460,[1]master_data!$A$2:$E$495,2,FALSE)</f>
        <v>LED NIKITA NS 600</v>
      </c>
      <c r="E1460" s="5">
        <v>2</v>
      </c>
      <c r="F1460" s="5">
        <f>VLOOKUP(C1460,[1]master_data!$A$2:$E$495,3,FALSE)</f>
        <v>50000</v>
      </c>
      <c r="G1460" s="5">
        <f>VLOOKUP(C1460,[1]master_data!$A$2:$E$495,4,FALSE)</f>
        <v>75000</v>
      </c>
      <c r="H1460" s="5">
        <f t="shared" si="72"/>
        <v>100000</v>
      </c>
      <c r="I1460" s="5">
        <f t="shared" si="73"/>
        <v>150000</v>
      </c>
      <c r="J1460" s="5">
        <f t="shared" si="74"/>
        <v>50000</v>
      </c>
      <c r="K1460" s="5" t="str">
        <f>VLOOKUP(C1460,[1]master_data!$A$2:$E$495,5,FALSE)</f>
        <v>Aksesoris</v>
      </c>
      <c r="L1460" s="5" t="s">
        <v>471</v>
      </c>
    </row>
    <row r="1461" spans="1:12" ht="12" customHeight="1" x14ac:dyDescent="0.25">
      <c r="A1461" s="6">
        <v>44770</v>
      </c>
      <c r="B1461" s="1">
        <v>2203102</v>
      </c>
      <c r="C1461" s="5" t="s">
        <v>339</v>
      </c>
      <c r="D1461" s="5" t="str">
        <f>VLOOKUP(C1461,[1]master_data!$A$2:$E$495,2,FALSE)</f>
        <v>KARUNG JALA S</v>
      </c>
      <c r="E1461" s="5">
        <v>1</v>
      </c>
      <c r="F1461" s="5">
        <f>VLOOKUP(C1461,[1]master_data!$A$2:$E$495,3,FALSE)</f>
        <v>2500</v>
      </c>
      <c r="G1461" s="5">
        <f>VLOOKUP(C1461,[1]master_data!$A$2:$E$495,4,FALSE)</f>
        <v>5000</v>
      </c>
      <c r="H1461" s="5">
        <f t="shared" si="72"/>
        <v>2500</v>
      </c>
      <c r="I1461" s="5">
        <f t="shared" si="73"/>
        <v>5000</v>
      </c>
      <c r="J1461" s="5">
        <f t="shared" si="74"/>
        <v>2500</v>
      </c>
      <c r="K1461" s="5" t="str">
        <f>VLOOKUP(C1461,[1]master_data!$A$2:$E$495,5,FALSE)</f>
        <v>Aksesoris</v>
      </c>
      <c r="L1461" s="5" t="s">
        <v>471</v>
      </c>
    </row>
    <row r="1462" spans="1:12" ht="12" customHeight="1" x14ac:dyDescent="0.25">
      <c r="A1462" s="6">
        <v>44770</v>
      </c>
      <c r="B1462" s="1">
        <v>2203101</v>
      </c>
      <c r="C1462" s="5" t="s">
        <v>366</v>
      </c>
      <c r="D1462" s="5" t="str">
        <f>VLOOKUP(C1462,[1]master_data!$A$2:$E$495,2,FALSE)</f>
        <v>TUTUP AKUARIUM M</v>
      </c>
      <c r="E1462" s="5">
        <v>1</v>
      </c>
      <c r="F1462" s="5">
        <f>VLOOKUP(C1462,[1]master_data!$A$2:$E$495,3,FALSE)</f>
        <v>25000</v>
      </c>
      <c r="G1462" s="5">
        <f>VLOOKUP(C1462,[1]master_data!$A$2:$E$495,4,FALSE)</f>
        <v>35000</v>
      </c>
      <c r="H1462" s="5">
        <f t="shared" si="72"/>
        <v>25000</v>
      </c>
      <c r="I1462" s="5">
        <f t="shared" si="73"/>
        <v>35000</v>
      </c>
      <c r="J1462" s="5">
        <f t="shared" si="74"/>
        <v>10000</v>
      </c>
      <c r="K1462" s="5" t="str">
        <f>VLOOKUP(C1462,[1]master_data!$A$2:$E$495,5,FALSE)</f>
        <v>Aksesoris</v>
      </c>
      <c r="L1462" s="5" t="s">
        <v>471</v>
      </c>
    </row>
    <row r="1463" spans="1:12" ht="12" customHeight="1" x14ac:dyDescent="0.25">
      <c r="A1463" s="6">
        <v>44770</v>
      </c>
      <c r="B1463" s="1">
        <v>2203100</v>
      </c>
      <c r="C1463" s="5" t="s">
        <v>451</v>
      </c>
      <c r="D1463" s="5" t="str">
        <f>VLOOKUP(C1463,[1]master_data!$A$2:$E$495,2,FALSE)</f>
        <v>SUMATRA GOLD FISH</v>
      </c>
      <c r="E1463" s="5">
        <v>25</v>
      </c>
      <c r="F1463" s="5">
        <f>VLOOKUP(C1463,[1]master_data!$A$2:$E$495,3,FALSE)</f>
        <v>2500</v>
      </c>
      <c r="G1463" s="5">
        <f>VLOOKUP(C1463,[1]master_data!$A$2:$E$495,4,FALSE)</f>
        <v>4000</v>
      </c>
      <c r="H1463" s="5">
        <f t="shared" si="72"/>
        <v>62500</v>
      </c>
      <c r="I1463" s="5">
        <f t="shared" si="73"/>
        <v>100000</v>
      </c>
      <c r="J1463" s="5">
        <f t="shared" si="74"/>
        <v>37500</v>
      </c>
      <c r="K1463" s="5" t="str">
        <f>VLOOKUP(C1463,[1]master_data!$A$2:$E$495,5,FALSE)</f>
        <v>Ikan</v>
      </c>
      <c r="L1463" s="5" t="s">
        <v>471</v>
      </c>
    </row>
    <row r="1464" spans="1:12" ht="12" customHeight="1" x14ac:dyDescent="0.25">
      <c r="A1464" s="6">
        <v>44770</v>
      </c>
      <c r="B1464" s="1">
        <v>2203099</v>
      </c>
      <c r="C1464" s="5" t="s">
        <v>371</v>
      </c>
      <c r="D1464" s="5" t="str">
        <f>VLOOKUP(C1464,[1]master_data!$A$2:$E$495,2,FALSE)</f>
        <v>SOLITER C1</v>
      </c>
      <c r="E1464" s="5">
        <v>1</v>
      </c>
      <c r="F1464" s="5">
        <f>VLOOKUP(C1464,[1]master_data!$A$2:$E$495,3,FALSE)</f>
        <v>55000</v>
      </c>
      <c r="G1464" s="5">
        <f>VLOOKUP(C1464,[1]master_data!$A$2:$E$495,4,FALSE)</f>
        <v>75000</v>
      </c>
      <c r="H1464" s="5">
        <f t="shared" si="72"/>
        <v>55000</v>
      </c>
      <c r="I1464" s="5">
        <f t="shared" si="73"/>
        <v>75000</v>
      </c>
      <c r="J1464" s="5">
        <f t="shared" si="74"/>
        <v>20000</v>
      </c>
      <c r="K1464" s="5" t="str">
        <f>VLOOKUP(C1464,[1]master_data!$A$2:$E$495,5,FALSE)</f>
        <v>Aksesoris</v>
      </c>
      <c r="L1464" s="5" t="s">
        <v>471</v>
      </c>
    </row>
    <row r="1465" spans="1:12" ht="12" customHeight="1" x14ac:dyDescent="0.25">
      <c r="A1465" s="6">
        <v>44770</v>
      </c>
      <c r="B1465" s="1">
        <v>2203098</v>
      </c>
      <c r="C1465" s="5" t="s">
        <v>270</v>
      </c>
      <c r="D1465" s="5" t="str">
        <f>VLOOKUP(C1465,[1]master_data!$A$2:$E$495,2,FALSE)</f>
        <v>HEATER KACA 75 W</v>
      </c>
      <c r="E1465" s="5">
        <v>5</v>
      </c>
      <c r="F1465" s="5">
        <f>VLOOKUP(C1465,[1]master_data!$A$2:$E$495,3,FALSE)</f>
        <v>33000</v>
      </c>
      <c r="G1465" s="5">
        <f>VLOOKUP(C1465,[1]master_data!$A$2:$E$495,4,FALSE)</f>
        <v>50000</v>
      </c>
      <c r="H1465" s="5">
        <f t="shared" si="72"/>
        <v>165000</v>
      </c>
      <c r="I1465" s="5">
        <f t="shared" si="73"/>
        <v>250000</v>
      </c>
      <c r="J1465" s="5">
        <f t="shared" si="74"/>
        <v>85000</v>
      </c>
      <c r="K1465" s="5" t="str">
        <f>VLOOKUP(C1465,[1]master_data!$A$2:$E$495,5,FALSE)</f>
        <v>Aksesoris</v>
      </c>
      <c r="L1465" s="5" t="s">
        <v>471</v>
      </c>
    </row>
    <row r="1466" spans="1:12" ht="12" customHeight="1" x14ac:dyDescent="0.25">
      <c r="A1466" s="6">
        <v>44770</v>
      </c>
      <c r="B1466" s="1">
        <v>2203097</v>
      </c>
      <c r="C1466" s="5" t="s">
        <v>53</v>
      </c>
      <c r="D1466" s="5" t="str">
        <f>VLOOKUP(C1466,[1]master_data!$A$2:$E$495,2,FALSE)</f>
        <v>MESIN RECENT 203</v>
      </c>
      <c r="E1466" s="5">
        <v>2</v>
      </c>
      <c r="F1466" s="5">
        <f>VLOOKUP(C1466,[1]master_data!$A$2:$E$495,3,FALSE)</f>
        <v>43500</v>
      </c>
      <c r="G1466" s="5">
        <f>VLOOKUP(C1466,[1]master_data!$A$2:$E$495,4,FALSE)</f>
        <v>70000</v>
      </c>
      <c r="H1466" s="5">
        <f t="shared" si="72"/>
        <v>87000</v>
      </c>
      <c r="I1466" s="5">
        <f t="shared" si="73"/>
        <v>140000</v>
      </c>
      <c r="J1466" s="5">
        <f t="shared" si="74"/>
        <v>53000</v>
      </c>
      <c r="K1466" s="5" t="str">
        <f>VLOOKUP(C1466,[1]master_data!$A$2:$E$495,5,FALSE)</f>
        <v>Aksesoris</v>
      </c>
      <c r="L1466" s="5" t="s">
        <v>471</v>
      </c>
    </row>
    <row r="1467" spans="1:12" ht="12" customHeight="1" x14ac:dyDescent="0.25">
      <c r="A1467" s="6">
        <v>44770</v>
      </c>
      <c r="B1467" s="1">
        <v>2203096</v>
      </c>
      <c r="C1467" s="5" t="s">
        <v>6</v>
      </c>
      <c r="D1467" s="5" t="str">
        <f>VLOOKUP(C1467,[1]master_data!$A$2:$E$495,2,FALSE)</f>
        <v>MESIN YANG 1200</v>
      </c>
      <c r="E1467" s="5">
        <v>10</v>
      </c>
      <c r="F1467" s="5">
        <f>VLOOKUP(C1467,[1]master_data!$A$2:$E$495,3,FALSE)</f>
        <v>25000</v>
      </c>
      <c r="G1467" s="5">
        <f>VLOOKUP(C1467,[1]master_data!$A$2:$E$495,4,FALSE)</f>
        <v>40000</v>
      </c>
      <c r="H1467" s="5">
        <f t="shared" si="72"/>
        <v>250000</v>
      </c>
      <c r="I1467" s="5">
        <f t="shared" si="73"/>
        <v>400000</v>
      </c>
      <c r="J1467" s="5">
        <f t="shared" si="74"/>
        <v>150000</v>
      </c>
      <c r="K1467" s="5" t="str">
        <f>VLOOKUP(C1467,[1]master_data!$A$2:$E$495,5,FALSE)</f>
        <v>Aksesoris</v>
      </c>
      <c r="L1467" s="5" t="s">
        <v>471</v>
      </c>
    </row>
    <row r="1468" spans="1:12" ht="12" customHeight="1" x14ac:dyDescent="0.25">
      <c r="A1468" s="6">
        <v>44770</v>
      </c>
      <c r="B1468" s="1">
        <v>2203095</v>
      </c>
      <c r="C1468" s="5" t="s">
        <v>31</v>
      </c>
      <c r="D1468" s="5" t="str">
        <f>VLOOKUP(C1468,[1]master_data!$A$2:$E$495,2,FALSE)</f>
        <v>TOP FILTER ROSTON B</v>
      </c>
      <c r="E1468" s="5">
        <v>5</v>
      </c>
      <c r="F1468" s="5">
        <f>VLOOKUP(C1468,[1]master_data!$A$2:$E$495,3,FALSE)</f>
        <v>35000</v>
      </c>
      <c r="G1468" s="5">
        <f>VLOOKUP(C1468,[1]master_data!$A$2:$E$495,4,FALSE)</f>
        <v>65000</v>
      </c>
      <c r="H1468" s="5">
        <f t="shared" si="72"/>
        <v>175000</v>
      </c>
      <c r="I1468" s="5">
        <f t="shared" si="73"/>
        <v>325000</v>
      </c>
      <c r="J1468" s="5">
        <f t="shared" si="74"/>
        <v>150000</v>
      </c>
      <c r="K1468" s="5" t="str">
        <f>VLOOKUP(C1468,[1]master_data!$A$2:$E$495,5,FALSE)</f>
        <v>Aksesoris</v>
      </c>
      <c r="L1468" s="5" t="s">
        <v>471</v>
      </c>
    </row>
    <row r="1469" spans="1:12" ht="12" customHeight="1" x14ac:dyDescent="0.25">
      <c r="A1469" s="6">
        <v>44770</v>
      </c>
      <c r="B1469" s="1">
        <v>2203094</v>
      </c>
      <c r="C1469" s="5" t="s">
        <v>177</v>
      </c>
      <c r="D1469" s="5" t="str">
        <f>VLOOKUP(C1469,[1]master_data!$A$2:$E$495,2,FALSE)</f>
        <v>LED ARMADA 3 BRS AP 400</v>
      </c>
      <c r="E1469" s="5">
        <v>1</v>
      </c>
      <c r="F1469" s="5">
        <f>VLOOKUP(C1469,[1]master_data!$A$2:$E$495,3,FALSE)</f>
        <v>45000</v>
      </c>
      <c r="G1469" s="5">
        <f>VLOOKUP(C1469,[1]master_data!$A$2:$E$495,4,FALSE)</f>
        <v>70000</v>
      </c>
      <c r="H1469" s="5">
        <f t="shared" si="72"/>
        <v>45000</v>
      </c>
      <c r="I1469" s="5">
        <f t="shared" si="73"/>
        <v>70000</v>
      </c>
      <c r="J1469" s="5">
        <f t="shared" si="74"/>
        <v>25000</v>
      </c>
      <c r="K1469" s="5" t="str">
        <f>VLOOKUP(C1469,[1]master_data!$A$2:$E$495,5,FALSE)</f>
        <v>Aksesoris</v>
      </c>
      <c r="L1469" s="5" t="s">
        <v>471</v>
      </c>
    </row>
    <row r="1470" spans="1:12" ht="12" customHeight="1" x14ac:dyDescent="0.25">
      <c r="A1470" s="6">
        <v>44770</v>
      </c>
      <c r="B1470" s="1">
        <v>2203093</v>
      </c>
      <c r="C1470" s="5" t="s">
        <v>425</v>
      </c>
      <c r="D1470" s="5" t="str">
        <f>VLOOKUP(C1470,[1]master_data!$A$2:$E$495,2,FALSE)</f>
        <v>CAROLINE</v>
      </c>
      <c r="E1470" s="5">
        <v>1</v>
      </c>
      <c r="F1470" s="5">
        <f>VLOOKUP(C1470,[1]master_data!$A$2:$E$495,3,FALSE)</f>
        <v>900</v>
      </c>
      <c r="G1470" s="5">
        <f>VLOOKUP(C1470,[1]master_data!$A$2:$E$495,4,FALSE)</f>
        <v>2000</v>
      </c>
      <c r="H1470" s="5">
        <f t="shared" si="72"/>
        <v>900</v>
      </c>
      <c r="I1470" s="5">
        <f t="shared" si="73"/>
        <v>2000</v>
      </c>
      <c r="J1470" s="5">
        <f t="shared" si="74"/>
        <v>1100</v>
      </c>
      <c r="K1470" s="5" t="str">
        <f>VLOOKUP(C1470,[1]master_data!$A$2:$E$495,5,FALSE)</f>
        <v>Ikan</v>
      </c>
      <c r="L1470" s="5" t="s">
        <v>471</v>
      </c>
    </row>
    <row r="1471" spans="1:12" ht="12" customHeight="1" x14ac:dyDescent="0.25">
      <c r="A1471" s="6">
        <v>44770</v>
      </c>
      <c r="B1471" s="1">
        <v>2203092</v>
      </c>
      <c r="C1471" s="5" t="s">
        <v>306</v>
      </c>
      <c r="D1471" s="5" t="str">
        <f>VLOOKUP(C1471,[1]master_data!$A$2:$E$495,2,FALSE)</f>
        <v>SEDOTAN</v>
      </c>
      <c r="E1471" s="5">
        <v>1</v>
      </c>
      <c r="F1471" s="5">
        <f>VLOOKUP(C1471,[1]master_data!$A$2:$E$495,3,FALSE)</f>
        <v>10000</v>
      </c>
      <c r="G1471" s="5">
        <f>VLOOKUP(C1471,[1]master_data!$A$2:$E$495,4,FALSE)</f>
        <v>15000</v>
      </c>
      <c r="H1471" s="5">
        <f t="shared" si="72"/>
        <v>10000</v>
      </c>
      <c r="I1471" s="5">
        <f t="shared" si="73"/>
        <v>15000</v>
      </c>
      <c r="J1471" s="5">
        <f t="shared" si="74"/>
        <v>5000</v>
      </c>
      <c r="K1471" s="5" t="str">
        <f>VLOOKUP(C1471,[1]master_data!$A$2:$E$495,5,FALSE)</f>
        <v>Aksesoris</v>
      </c>
      <c r="L1471" s="5" t="s">
        <v>471</v>
      </c>
    </row>
    <row r="1472" spans="1:12" ht="12" customHeight="1" x14ac:dyDescent="0.25">
      <c r="A1472" s="6">
        <v>44770</v>
      </c>
      <c r="B1472" s="1">
        <v>2203091</v>
      </c>
      <c r="C1472" s="5" t="s">
        <v>372</v>
      </c>
      <c r="D1472" s="5" t="str">
        <f>VLOOKUP(C1472,[1]master_data!$A$2:$E$495,2,FALSE)</f>
        <v>SOLITER C2</v>
      </c>
      <c r="E1472" s="5">
        <v>1</v>
      </c>
      <c r="F1472" s="5">
        <f>VLOOKUP(C1472,[1]master_data!$A$2:$E$495,3,FALSE)</f>
        <v>60000</v>
      </c>
      <c r="G1472" s="5">
        <f>VLOOKUP(C1472,[1]master_data!$A$2:$E$495,4,FALSE)</f>
        <v>85000</v>
      </c>
      <c r="H1472" s="5">
        <f t="shared" si="72"/>
        <v>60000</v>
      </c>
      <c r="I1472" s="5">
        <f t="shared" si="73"/>
        <v>85000</v>
      </c>
      <c r="J1472" s="5">
        <f t="shared" si="74"/>
        <v>25000</v>
      </c>
      <c r="K1472" s="5" t="str">
        <f>VLOOKUP(C1472,[1]master_data!$A$2:$E$495,5,FALSE)</f>
        <v>Aksesoris</v>
      </c>
      <c r="L1472" s="5" t="s">
        <v>471</v>
      </c>
    </row>
    <row r="1473" spans="1:12" ht="12" customHeight="1" x14ac:dyDescent="0.25">
      <c r="A1473" s="6">
        <v>44769</v>
      </c>
      <c r="B1473" s="1">
        <v>2203090</v>
      </c>
      <c r="C1473" s="5" t="s">
        <v>433</v>
      </c>
      <c r="D1473" s="5" t="str">
        <f>VLOOKUP(C1473,[1]master_data!$A$2:$E$495,2,FALSE)</f>
        <v>MARU B</v>
      </c>
      <c r="E1473" s="5">
        <v>1</v>
      </c>
      <c r="F1473" s="5">
        <f>VLOOKUP(C1473,[1]master_data!$A$2:$E$495,3,FALSE)</f>
        <v>90000</v>
      </c>
      <c r="G1473" s="5">
        <f>VLOOKUP(C1473,[1]master_data!$A$2:$E$495,4,FALSE)</f>
        <v>150000</v>
      </c>
      <c r="H1473" s="5">
        <f t="shared" si="72"/>
        <v>90000</v>
      </c>
      <c r="I1473" s="5">
        <f t="shared" si="73"/>
        <v>150000</v>
      </c>
      <c r="J1473" s="5">
        <f t="shared" si="74"/>
        <v>60000</v>
      </c>
      <c r="K1473" s="5" t="str">
        <f>VLOOKUP(C1473,[1]master_data!$A$2:$E$495,5,FALSE)</f>
        <v>Ikan</v>
      </c>
      <c r="L1473" s="5" t="s">
        <v>471</v>
      </c>
    </row>
    <row r="1474" spans="1:12" ht="12" customHeight="1" x14ac:dyDescent="0.25">
      <c r="A1474" s="6">
        <v>44769</v>
      </c>
      <c r="B1474" s="1">
        <v>2203089</v>
      </c>
      <c r="C1474" s="5" t="s">
        <v>407</v>
      </c>
      <c r="D1474" s="5" t="str">
        <f>VLOOKUP(C1474,[1]master_data!$A$2:$E$495,2,FALSE)</f>
        <v>CUPANG</v>
      </c>
      <c r="E1474" s="5">
        <v>10</v>
      </c>
      <c r="F1474" s="5">
        <f>VLOOKUP(C1474,[1]master_data!$A$2:$E$495,3,FALSE)</f>
        <v>2000</v>
      </c>
      <c r="G1474" s="5">
        <f>VLOOKUP(C1474,[1]master_data!$A$2:$E$495,4,FALSE)</f>
        <v>5000</v>
      </c>
      <c r="H1474" s="5">
        <f t="shared" si="72"/>
        <v>20000</v>
      </c>
      <c r="I1474" s="5">
        <f t="shared" si="73"/>
        <v>50000</v>
      </c>
      <c r="J1474" s="5">
        <f t="shared" si="74"/>
        <v>30000</v>
      </c>
      <c r="K1474" s="5" t="str">
        <f>VLOOKUP(C1474,[1]master_data!$A$2:$E$495,5,FALSE)</f>
        <v>Ikan</v>
      </c>
      <c r="L1474" s="5" t="s">
        <v>471</v>
      </c>
    </row>
    <row r="1475" spans="1:12" ht="12" customHeight="1" x14ac:dyDescent="0.25">
      <c r="A1475" s="6">
        <v>44769</v>
      </c>
      <c r="B1475" s="1">
        <v>2203088</v>
      </c>
      <c r="C1475" s="5" t="s">
        <v>417</v>
      </c>
      <c r="D1475" s="5" t="str">
        <f>VLOOKUP(C1475,[1]master_data!$A$2:$E$495,2,FALSE)</f>
        <v>KOI T</v>
      </c>
      <c r="E1475" s="5">
        <v>2</v>
      </c>
      <c r="F1475" s="5">
        <f>VLOOKUP(C1475,[1]master_data!$A$2:$E$495,3,FALSE)</f>
        <v>7000</v>
      </c>
      <c r="G1475" s="5">
        <f>VLOOKUP(C1475,[1]master_data!$A$2:$E$495,4,FALSE)</f>
        <v>20000</v>
      </c>
      <c r="H1475" s="5">
        <f t="shared" si="72"/>
        <v>14000</v>
      </c>
      <c r="I1475" s="5">
        <f t="shared" si="73"/>
        <v>40000</v>
      </c>
      <c r="J1475" s="5">
        <f t="shared" si="74"/>
        <v>26000</v>
      </c>
      <c r="K1475" s="5" t="str">
        <f>VLOOKUP(C1475,[1]master_data!$A$2:$E$495,5,FALSE)</f>
        <v>Ikan</v>
      </c>
      <c r="L1475" s="5" t="s">
        <v>471</v>
      </c>
    </row>
    <row r="1476" spans="1:12" ht="12" customHeight="1" x14ac:dyDescent="0.25">
      <c r="A1476" s="6">
        <v>44769</v>
      </c>
      <c r="B1476" s="1">
        <v>2203087</v>
      </c>
      <c r="C1476" s="5" t="s">
        <v>440</v>
      </c>
      <c r="D1476" s="5" t="str">
        <f>VLOOKUP(C1476,[1]master_data!$A$2:$E$495,2,FALSE)</f>
        <v>OSCAR</v>
      </c>
      <c r="E1476" s="5">
        <v>1</v>
      </c>
      <c r="F1476" s="5">
        <f>VLOOKUP(C1476,[1]master_data!$A$2:$E$495,3,FALSE)</f>
        <v>25000</v>
      </c>
      <c r="G1476" s="5">
        <f>VLOOKUP(C1476,[1]master_data!$A$2:$E$495,4,FALSE)</f>
        <v>50000</v>
      </c>
      <c r="H1476" s="5">
        <f t="shared" si="72"/>
        <v>25000</v>
      </c>
      <c r="I1476" s="5">
        <f t="shared" si="73"/>
        <v>50000</v>
      </c>
      <c r="J1476" s="5">
        <f t="shared" si="74"/>
        <v>25000</v>
      </c>
      <c r="K1476" s="5" t="str">
        <f>VLOOKUP(C1476,[1]master_data!$A$2:$E$495,5,FALSE)</f>
        <v>Ikan</v>
      </c>
      <c r="L1476" s="5" t="s">
        <v>471</v>
      </c>
    </row>
    <row r="1477" spans="1:12" ht="12" customHeight="1" x14ac:dyDescent="0.25">
      <c r="A1477" s="6">
        <v>44769</v>
      </c>
      <c r="B1477" s="1">
        <v>2203086</v>
      </c>
      <c r="C1477" s="5" t="s">
        <v>73</v>
      </c>
      <c r="D1477" s="5" t="str">
        <f>VLOOKUP(C1477,[1]master_data!$A$2:$E$495,2,FALSE)</f>
        <v>MESIN IP MAN 1200</v>
      </c>
      <c r="E1477" s="5">
        <v>10</v>
      </c>
      <c r="F1477" s="5">
        <f>VLOOKUP(C1477,[1]master_data!$A$2:$E$495,3,FALSE)</f>
        <v>17000</v>
      </c>
      <c r="G1477" s="5">
        <f>VLOOKUP(C1477,[1]master_data!$A$2:$E$495,4,FALSE)</f>
        <v>30000</v>
      </c>
      <c r="H1477" s="5">
        <f t="shared" ref="H1477:H1540" si="75">E1477*F1477</f>
        <v>170000</v>
      </c>
      <c r="I1477" s="5">
        <f t="shared" ref="I1477:I1540" si="76">E1477*G1477</f>
        <v>300000</v>
      </c>
      <c r="J1477" s="5">
        <f t="shared" ref="J1477:J1540" si="77">I1477-H1477</f>
        <v>130000</v>
      </c>
      <c r="K1477" s="5" t="str">
        <f>VLOOKUP(C1477,[1]master_data!$A$2:$E$495,5,FALSE)</f>
        <v>Aksesoris</v>
      </c>
      <c r="L1477" s="5" t="s">
        <v>471</v>
      </c>
    </row>
    <row r="1478" spans="1:12" ht="12" customHeight="1" x14ac:dyDescent="0.25">
      <c r="A1478" s="6">
        <v>44769</v>
      </c>
      <c r="B1478" s="1">
        <v>2203085</v>
      </c>
      <c r="C1478" s="5" t="s">
        <v>418</v>
      </c>
      <c r="D1478" s="5" t="str">
        <f>VLOOKUP(C1478,[1]master_data!$A$2:$E$495,2,FALSE)</f>
        <v>KOI B</v>
      </c>
      <c r="E1478" s="5">
        <v>2</v>
      </c>
      <c r="F1478" s="5">
        <f>VLOOKUP(C1478,[1]master_data!$A$2:$E$495,3,FALSE)</f>
        <v>9000</v>
      </c>
      <c r="G1478" s="5">
        <f>VLOOKUP(C1478,[1]master_data!$A$2:$E$495,4,FALSE)</f>
        <v>30000</v>
      </c>
      <c r="H1478" s="5">
        <f t="shared" si="75"/>
        <v>18000</v>
      </c>
      <c r="I1478" s="5">
        <f t="shared" si="76"/>
        <v>60000</v>
      </c>
      <c r="J1478" s="5">
        <f t="shared" si="77"/>
        <v>42000</v>
      </c>
      <c r="K1478" s="5" t="str">
        <f>VLOOKUP(C1478,[1]master_data!$A$2:$E$495,5,FALSE)</f>
        <v>Ikan</v>
      </c>
      <c r="L1478" s="5" t="s">
        <v>471</v>
      </c>
    </row>
    <row r="1479" spans="1:12" ht="12" customHeight="1" x14ac:dyDescent="0.25">
      <c r="A1479" s="6">
        <v>44769</v>
      </c>
      <c r="B1479" s="1">
        <v>2203084</v>
      </c>
      <c r="C1479" s="5" t="s">
        <v>271</v>
      </c>
      <c r="D1479" s="5" t="str">
        <f>VLOOKUP(C1479,[1]master_data!$A$2:$E$495,2,FALSE)</f>
        <v>HEATER KACA 100 W</v>
      </c>
      <c r="E1479" s="5">
        <v>1</v>
      </c>
      <c r="F1479" s="5">
        <f>VLOOKUP(C1479,[1]master_data!$A$2:$E$495,3,FALSE)</f>
        <v>33000</v>
      </c>
      <c r="G1479" s="5">
        <f>VLOOKUP(C1479,[1]master_data!$A$2:$E$495,4,FALSE)</f>
        <v>50000</v>
      </c>
      <c r="H1479" s="5">
        <f t="shared" si="75"/>
        <v>33000</v>
      </c>
      <c r="I1479" s="5">
        <f t="shared" si="76"/>
        <v>50000</v>
      </c>
      <c r="J1479" s="5">
        <f t="shared" si="77"/>
        <v>17000</v>
      </c>
      <c r="K1479" s="5" t="str">
        <f>VLOOKUP(C1479,[1]master_data!$A$2:$E$495,5,FALSE)</f>
        <v>Aksesoris</v>
      </c>
      <c r="L1479" s="5" t="s">
        <v>471</v>
      </c>
    </row>
    <row r="1480" spans="1:12" ht="12" customHeight="1" x14ac:dyDescent="0.25">
      <c r="A1480" s="6">
        <v>44769</v>
      </c>
      <c r="B1480" s="1">
        <v>2203083</v>
      </c>
      <c r="C1480" s="5" t="s">
        <v>398</v>
      </c>
      <c r="D1480" s="5" t="str">
        <f>VLOOKUP(C1480,[1]master_data!$A$2:$E$495,2,FALSE)</f>
        <v>BIPOLAR</v>
      </c>
      <c r="E1480" s="5">
        <v>30</v>
      </c>
      <c r="F1480" s="5">
        <f>VLOOKUP(C1480,[1]master_data!$A$2:$E$495,3,FALSE)</f>
        <v>1000</v>
      </c>
      <c r="G1480" s="5">
        <f>VLOOKUP(C1480,[1]master_data!$A$2:$E$495,4,FALSE)</f>
        <v>2500</v>
      </c>
      <c r="H1480" s="5">
        <f t="shared" si="75"/>
        <v>30000</v>
      </c>
      <c r="I1480" s="5">
        <f t="shared" si="76"/>
        <v>75000</v>
      </c>
      <c r="J1480" s="5">
        <f t="shared" si="77"/>
        <v>45000</v>
      </c>
      <c r="K1480" s="5" t="str">
        <f>VLOOKUP(C1480,[1]master_data!$A$2:$E$495,5,FALSE)</f>
        <v>Ikan</v>
      </c>
      <c r="L1480" s="5" t="s">
        <v>471</v>
      </c>
    </row>
    <row r="1481" spans="1:12" ht="12" customHeight="1" x14ac:dyDescent="0.25">
      <c r="A1481" s="6">
        <v>44769</v>
      </c>
      <c r="B1481" s="1">
        <v>2203082</v>
      </c>
      <c r="C1481" s="5" t="s">
        <v>320</v>
      </c>
      <c r="D1481" s="5" t="str">
        <f>VLOOKUP(C1481,[1]master_data!$A$2:$E$495,2,FALSE)</f>
        <v>PIPA LONJOR 1 M</v>
      </c>
      <c r="E1481" s="5">
        <v>30</v>
      </c>
      <c r="F1481" s="5">
        <f>VLOOKUP(C1481,[1]master_data!$A$2:$E$495,3,FALSE)</f>
        <v>2500</v>
      </c>
      <c r="G1481" s="5">
        <f>VLOOKUP(C1481,[1]master_data!$A$2:$E$495,4,FALSE)</f>
        <v>5000</v>
      </c>
      <c r="H1481" s="5">
        <f t="shared" si="75"/>
        <v>75000</v>
      </c>
      <c r="I1481" s="5">
        <f t="shared" si="76"/>
        <v>150000</v>
      </c>
      <c r="J1481" s="5">
        <f t="shared" si="77"/>
        <v>75000</v>
      </c>
      <c r="K1481" s="5" t="str">
        <f>VLOOKUP(C1481,[1]master_data!$A$2:$E$495,5,FALSE)</f>
        <v>Aksesoris</v>
      </c>
      <c r="L1481" s="5" t="s">
        <v>471</v>
      </c>
    </row>
    <row r="1482" spans="1:12" ht="12" customHeight="1" x14ac:dyDescent="0.25">
      <c r="A1482" s="6">
        <v>44769</v>
      </c>
      <c r="B1482" s="1">
        <v>2203081</v>
      </c>
      <c r="C1482" s="5" t="s">
        <v>41</v>
      </c>
      <c r="D1482" s="5" t="str">
        <f>VLOOKUP(C1482,[1]master_data!$A$2:$E$495,2,FALSE)</f>
        <v>MESIN YAMANO ACO 004</v>
      </c>
      <c r="E1482" s="5">
        <v>1</v>
      </c>
      <c r="F1482" s="5">
        <f>VLOOKUP(C1482,[1]master_data!$A$2:$E$495,3,FALSE)</f>
        <v>505000</v>
      </c>
      <c r="G1482" s="5">
        <f>VLOOKUP(C1482,[1]master_data!$A$2:$E$495,4,FALSE)</f>
        <v>550000</v>
      </c>
      <c r="H1482" s="5">
        <f t="shared" si="75"/>
        <v>505000</v>
      </c>
      <c r="I1482" s="5">
        <f t="shared" si="76"/>
        <v>550000</v>
      </c>
      <c r="J1482" s="5">
        <f t="shared" si="77"/>
        <v>45000</v>
      </c>
      <c r="K1482" s="5" t="str">
        <f>VLOOKUP(C1482,[1]master_data!$A$2:$E$495,5,FALSE)</f>
        <v>Aksesoris</v>
      </c>
      <c r="L1482" s="5" t="s">
        <v>471</v>
      </c>
    </row>
    <row r="1483" spans="1:12" ht="12" customHeight="1" x14ac:dyDescent="0.25">
      <c r="A1483" s="6">
        <v>44769</v>
      </c>
      <c r="B1483" s="1">
        <v>2203080</v>
      </c>
      <c r="C1483" s="5" t="s">
        <v>229</v>
      </c>
      <c r="D1483" s="5" t="str">
        <f>VLOOKUP(C1483,[1]master_data!$A$2:$E$495,2,FALSE)</f>
        <v>MAGOT BESAR</v>
      </c>
      <c r="E1483" s="5">
        <v>10</v>
      </c>
      <c r="F1483" s="5">
        <f>VLOOKUP(C1483,[1]master_data!$A$2:$E$495,3,FALSE)</f>
        <v>7000</v>
      </c>
      <c r="G1483" s="5">
        <f>VLOOKUP(C1483,[1]master_data!$A$2:$E$495,4,FALSE)</f>
        <v>12000</v>
      </c>
      <c r="H1483" s="5">
        <f t="shared" si="75"/>
        <v>70000</v>
      </c>
      <c r="I1483" s="5">
        <f t="shared" si="76"/>
        <v>120000</v>
      </c>
      <c r="J1483" s="5">
        <f t="shared" si="77"/>
        <v>50000</v>
      </c>
      <c r="K1483" s="5" t="str">
        <f>VLOOKUP(C1483,[1]master_data!$A$2:$E$495,5,FALSE)</f>
        <v>Aksesoris</v>
      </c>
      <c r="L1483" s="5" t="s">
        <v>471</v>
      </c>
    </row>
    <row r="1484" spans="1:12" ht="12" customHeight="1" x14ac:dyDescent="0.25">
      <c r="A1484" s="6">
        <v>44769</v>
      </c>
      <c r="B1484" s="1">
        <v>2203079</v>
      </c>
      <c r="C1484" s="5" t="s">
        <v>437</v>
      </c>
      <c r="D1484" s="5" t="str">
        <f>VLOOKUP(C1484,[1]master_data!$A$2:$E$495,2,FALSE)</f>
        <v>RED EYE TETRA</v>
      </c>
      <c r="E1484" s="5">
        <v>15</v>
      </c>
      <c r="F1484" s="5">
        <f>VLOOKUP(C1484,[1]master_data!$A$2:$E$495,3,FALSE)</f>
        <v>900</v>
      </c>
      <c r="G1484" s="5">
        <f>VLOOKUP(C1484,[1]master_data!$A$2:$E$495,4,FALSE)</f>
        <v>2000</v>
      </c>
      <c r="H1484" s="5">
        <f t="shared" si="75"/>
        <v>13500</v>
      </c>
      <c r="I1484" s="5">
        <f t="shared" si="76"/>
        <v>30000</v>
      </c>
      <c r="J1484" s="5">
        <f t="shared" si="77"/>
        <v>16500</v>
      </c>
      <c r="K1484" s="5" t="str">
        <f>VLOOKUP(C1484,[1]master_data!$A$2:$E$495,5,FALSE)</f>
        <v>Ikan</v>
      </c>
      <c r="L1484" s="5" t="s">
        <v>471</v>
      </c>
    </row>
    <row r="1485" spans="1:12" ht="12" customHeight="1" x14ac:dyDescent="0.25">
      <c r="A1485" s="6">
        <v>44768</v>
      </c>
      <c r="B1485" s="1">
        <v>2203078</v>
      </c>
      <c r="C1485" s="5" t="s">
        <v>433</v>
      </c>
      <c r="D1485" s="5" t="str">
        <f>VLOOKUP(C1485,[1]master_data!$A$2:$E$495,2,FALSE)</f>
        <v>MARU B</v>
      </c>
      <c r="E1485" s="5">
        <v>1</v>
      </c>
      <c r="F1485" s="5">
        <f>VLOOKUP(C1485,[1]master_data!$A$2:$E$495,3,FALSE)</f>
        <v>90000</v>
      </c>
      <c r="G1485" s="5">
        <f>VLOOKUP(C1485,[1]master_data!$A$2:$E$495,4,FALSE)</f>
        <v>150000</v>
      </c>
      <c r="H1485" s="5">
        <f t="shared" si="75"/>
        <v>90000</v>
      </c>
      <c r="I1485" s="5">
        <f t="shared" si="76"/>
        <v>150000</v>
      </c>
      <c r="J1485" s="5">
        <f t="shared" si="77"/>
        <v>60000</v>
      </c>
      <c r="K1485" s="5" t="str">
        <f>VLOOKUP(C1485,[1]master_data!$A$2:$E$495,5,FALSE)</f>
        <v>Ikan</v>
      </c>
      <c r="L1485" s="5" t="s">
        <v>471</v>
      </c>
    </row>
    <row r="1486" spans="1:12" ht="12" customHeight="1" x14ac:dyDescent="0.25">
      <c r="A1486" s="6">
        <v>44768</v>
      </c>
      <c r="B1486" s="1">
        <v>2203077</v>
      </c>
      <c r="C1486" s="5" t="s">
        <v>413</v>
      </c>
      <c r="D1486" s="5" t="str">
        <f>VLOOKUP(C1486,[1]master_data!$A$2:$E$495,2,FALSE)</f>
        <v>KOKI K</v>
      </c>
      <c r="E1486" s="5">
        <v>15</v>
      </c>
      <c r="F1486" s="5">
        <f>VLOOKUP(C1486,[1]master_data!$A$2:$E$495,3,FALSE)</f>
        <v>3500</v>
      </c>
      <c r="G1486" s="5">
        <f>VLOOKUP(C1486,[1]master_data!$A$2:$E$495,4,FALSE)</f>
        <v>10000</v>
      </c>
      <c r="H1486" s="5">
        <f t="shared" si="75"/>
        <v>52500</v>
      </c>
      <c r="I1486" s="5">
        <f t="shared" si="76"/>
        <v>150000</v>
      </c>
      <c r="J1486" s="5">
        <f t="shared" si="77"/>
        <v>97500</v>
      </c>
      <c r="K1486" s="5" t="str">
        <f>VLOOKUP(C1486,[1]master_data!$A$2:$E$495,5,FALSE)</f>
        <v>Ikan</v>
      </c>
      <c r="L1486" s="5" t="s">
        <v>471</v>
      </c>
    </row>
    <row r="1487" spans="1:12" ht="12" customHeight="1" x14ac:dyDescent="0.25">
      <c r="A1487" s="6">
        <v>44768</v>
      </c>
      <c r="B1487" s="1">
        <v>2203076</v>
      </c>
      <c r="C1487" s="5" t="s">
        <v>453</v>
      </c>
      <c r="D1487" s="5" t="str">
        <f>VLOOKUP(C1487,[1]master_data!$A$2:$E$495,2,FALSE)</f>
        <v>SYNODONTIS K</v>
      </c>
      <c r="E1487" s="5">
        <v>10</v>
      </c>
      <c r="F1487" s="5">
        <f>VLOOKUP(C1487,[1]master_data!$A$2:$E$495,3,FALSE)</f>
        <v>1500</v>
      </c>
      <c r="G1487" s="5">
        <f>VLOOKUP(C1487,[1]master_data!$A$2:$E$495,4,FALSE)</f>
        <v>5000</v>
      </c>
      <c r="H1487" s="5">
        <f t="shared" si="75"/>
        <v>15000</v>
      </c>
      <c r="I1487" s="5">
        <f t="shared" si="76"/>
        <v>50000</v>
      </c>
      <c r="J1487" s="5">
        <f t="shared" si="77"/>
        <v>35000</v>
      </c>
      <c r="K1487" s="5" t="str">
        <f>VLOOKUP(C1487,[1]master_data!$A$2:$E$495,5,FALSE)</f>
        <v>Ikan</v>
      </c>
      <c r="L1487" s="5" t="s">
        <v>471</v>
      </c>
    </row>
    <row r="1488" spans="1:12" ht="12" customHeight="1" x14ac:dyDescent="0.25">
      <c r="A1488" s="6">
        <v>44768</v>
      </c>
      <c r="B1488" s="1">
        <v>2203075</v>
      </c>
      <c r="C1488" s="5" t="s">
        <v>141</v>
      </c>
      <c r="D1488" s="5" t="str">
        <f>VLOOKUP(C1488,[1]master_data!$A$2:$E$495,2,FALSE)</f>
        <v>LED YANG HW 30 CM</v>
      </c>
      <c r="E1488" s="5">
        <v>2</v>
      </c>
      <c r="F1488" s="5">
        <f>VLOOKUP(C1488,[1]master_data!$A$2:$E$495,3,FALSE)</f>
        <v>56000</v>
      </c>
      <c r="G1488" s="5">
        <f>VLOOKUP(C1488,[1]master_data!$A$2:$E$495,4,FALSE)</f>
        <v>75000</v>
      </c>
      <c r="H1488" s="5">
        <f t="shared" si="75"/>
        <v>112000</v>
      </c>
      <c r="I1488" s="5">
        <f t="shared" si="76"/>
        <v>150000</v>
      </c>
      <c r="J1488" s="5">
        <f t="shared" si="77"/>
        <v>38000</v>
      </c>
      <c r="K1488" s="5" t="str">
        <f>VLOOKUP(C1488,[1]master_data!$A$2:$E$495,5,FALSE)</f>
        <v>Aksesoris</v>
      </c>
      <c r="L1488" s="5" t="s">
        <v>471</v>
      </c>
    </row>
    <row r="1489" spans="1:12" ht="12" customHeight="1" x14ac:dyDescent="0.25">
      <c r="A1489" s="6">
        <v>44768</v>
      </c>
      <c r="B1489" s="1">
        <v>2203074</v>
      </c>
      <c r="C1489" s="5" t="s">
        <v>410</v>
      </c>
      <c r="D1489" s="5" t="str">
        <f>VLOOKUP(C1489,[1]master_data!$A$2:$E$495,2,FALSE)</f>
        <v>GUPY</v>
      </c>
      <c r="E1489" s="5">
        <v>15</v>
      </c>
      <c r="F1489" s="5">
        <f>VLOOKUP(C1489,[1]master_data!$A$2:$E$495,3,FALSE)</f>
        <v>1200</v>
      </c>
      <c r="G1489" s="5">
        <f>VLOOKUP(C1489,[1]master_data!$A$2:$E$495,4,FALSE)</f>
        <v>2500</v>
      </c>
      <c r="H1489" s="5">
        <f t="shared" si="75"/>
        <v>18000</v>
      </c>
      <c r="I1489" s="5">
        <f t="shared" si="76"/>
        <v>37500</v>
      </c>
      <c r="J1489" s="5">
        <f t="shared" si="77"/>
        <v>19500</v>
      </c>
      <c r="K1489" s="5" t="str">
        <f>VLOOKUP(C1489,[1]master_data!$A$2:$E$495,5,FALSE)</f>
        <v>Ikan</v>
      </c>
      <c r="L1489" s="5" t="s">
        <v>471</v>
      </c>
    </row>
    <row r="1490" spans="1:12" ht="12" customHeight="1" x14ac:dyDescent="0.25">
      <c r="A1490" s="6">
        <v>44768</v>
      </c>
      <c r="B1490" s="1">
        <v>2203073</v>
      </c>
      <c r="C1490" s="5" t="s">
        <v>415</v>
      </c>
      <c r="D1490" s="5" t="str">
        <f>VLOOKUP(C1490,[1]master_data!$A$2:$E$495,2,FALSE)</f>
        <v>KOKI B</v>
      </c>
      <c r="E1490" s="5">
        <v>2</v>
      </c>
      <c r="F1490" s="5">
        <f>VLOOKUP(C1490,[1]master_data!$A$2:$E$495,3,FALSE)</f>
        <v>20000</v>
      </c>
      <c r="G1490" s="5">
        <f>VLOOKUP(C1490,[1]master_data!$A$2:$E$495,4,FALSE)</f>
        <v>50000</v>
      </c>
      <c r="H1490" s="5">
        <f t="shared" si="75"/>
        <v>40000</v>
      </c>
      <c r="I1490" s="5">
        <f t="shared" si="76"/>
        <v>100000</v>
      </c>
      <c r="J1490" s="5">
        <f t="shared" si="77"/>
        <v>60000</v>
      </c>
      <c r="K1490" s="5" t="str">
        <f>VLOOKUP(C1490,[1]master_data!$A$2:$E$495,5,FALSE)</f>
        <v>Ikan</v>
      </c>
      <c r="L1490" s="5" t="s">
        <v>471</v>
      </c>
    </row>
    <row r="1491" spans="1:12" ht="12" customHeight="1" x14ac:dyDescent="0.25">
      <c r="A1491" s="6">
        <v>44768</v>
      </c>
      <c r="B1491" s="1">
        <v>2203072</v>
      </c>
      <c r="C1491" s="5" t="s">
        <v>423</v>
      </c>
      <c r="D1491" s="5" t="str">
        <f>VLOOKUP(C1491,[1]master_data!$A$2:$E$495,2,FALSE)</f>
        <v>KOI SLAYER K</v>
      </c>
      <c r="E1491" s="5">
        <v>30</v>
      </c>
      <c r="F1491" s="5">
        <f>VLOOKUP(C1491,[1]master_data!$A$2:$E$495,3,FALSE)</f>
        <v>3500</v>
      </c>
      <c r="G1491" s="5">
        <f>VLOOKUP(C1491,[1]master_data!$A$2:$E$495,4,FALSE)</f>
        <v>10000</v>
      </c>
      <c r="H1491" s="5">
        <f t="shared" si="75"/>
        <v>105000</v>
      </c>
      <c r="I1491" s="5">
        <f t="shared" si="76"/>
        <v>300000</v>
      </c>
      <c r="J1491" s="5">
        <f t="shared" si="77"/>
        <v>195000</v>
      </c>
      <c r="K1491" s="5" t="str">
        <f>VLOOKUP(C1491,[1]master_data!$A$2:$E$495,5,FALSE)</f>
        <v>Ikan</v>
      </c>
      <c r="L1491" s="5" t="s">
        <v>471</v>
      </c>
    </row>
    <row r="1492" spans="1:12" ht="12" customHeight="1" x14ac:dyDescent="0.25">
      <c r="A1492" s="6">
        <v>44768</v>
      </c>
      <c r="B1492" s="1">
        <v>2203071</v>
      </c>
      <c r="C1492" s="5" t="s">
        <v>87</v>
      </c>
      <c r="D1492" s="5" t="str">
        <f>VLOOKUP(C1492,[1]master_data!$A$2:$E$495,2,FALSE)</f>
        <v>MESIN KANDILA MAGURA 1200</v>
      </c>
      <c r="E1492" s="5">
        <v>2</v>
      </c>
      <c r="F1492" s="5">
        <f>VLOOKUP(C1492,[1]master_data!$A$2:$E$495,3,FALSE)</f>
        <v>52500</v>
      </c>
      <c r="G1492" s="5">
        <f>VLOOKUP(C1492,[1]master_data!$A$2:$E$495,4,FALSE)</f>
        <v>75000</v>
      </c>
      <c r="H1492" s="5">
        <f t="shared" si="75"/>
        <v>105000</v>
      </c>
      <c r="I1492" s="5">
        <f t="shared" si="76"/>
        <v>150000</v>
      </c>
      <c r="J1492" s="5">
        <f t="shared" si="77"/>
        <v>45000</v>
      </c>
      <c r="K1492" s="5" t="str">
        <f>VLOOKUP(C1492,[1]master_data!$A$2:$E$495,5,FALSE)</f>
        <v>Aksesoris</v>
      </c>
      <c r="L1492" s="5" t="s">
        <v>471</v>
      </c>
    </row>
    <row r="1493" spans="1:12" ht="12" customHeight="1" x14ac:dyDescent="0.25">
      <c r="A1493" s="6">
        <v>44767</v>
      </c>
      <c r="B1493" s="1">
        <v>2203070</v>
      </c>
      <c r="C1493" s="5" t="s">
        <v>404</v>
      </c>
      <c r="D1493" s="5" t="str">
        <f>VLOOKUP(C1493,[1]master_data!$A$2:$E$495,2,FALSE)</f>
        <v>CHANNA BLUE PULCHRA B</v>
      </c>
      <c r="E1493" s="5">
        <v>1</v>
      </c>
      <c r="F1493" s="5">
        <f>VLOOKUP(C1493,[1]master_data!$A$2:$E$495,3,FALSE)</f>
        <v>125000</v>
      </c>
      <c r="G1493" s="5">
        <f>VLOOKUP(C1493,[1]master_data!$A$2:$E$495,4,FALSE)</f>
        <v>200000</v>
      </c>
      <c r="H1493" s="5">
        <f t="shared" si="75"/>
        <v>125000</v>
      </c>
      <c r="I1493" s="5">
        <f t="shared" si="76"/>
        <v>200000</v>
      </c>
      <c r="J1493" s="5">
        <f t="shared" si="77"/>
        <v>75000</v>
      </c>
      <c r="K1493" s="5" t="str">
        <f>VLOOKUP(C1493,[1]master_data!$A$2:$E$495,5,FALSE)</f>
        <v>Ikan</v>
      </c>
      <c r="L1493" s="5" t="s">
        <v>471</v>
      </c>
    </row>
    <row r="1494" spans="1:12" ht="12" customHeight="1" x14ac:dyDescent="0.25">
      <c r="A1494" s="6">
        <v>44767</v>
      </c>
      <c r="B1494" s="1">
        <v>2203069</v>
      </c>
      <c r="C1494" s="5" t="s">
        <v>352</v>
      </c>
      <c r="D1494" s="5" t="str">
        <f>VLOOKUP(C1494,[1]master_data!$A$2:$E$495,2,FALSE)</f>
        <v>AKUARIUM BAHARI M</v>
      </c>
      <c r="E1494" s="5">
        <v>2</v>
      </c>
      <c r="F1494" s="5">
        <f>VLOOKUP(C1494,[1]master_data!$A$2:$E$495,3,FALSE)</f>
        <v>82000</v>
      </c>
      <c r="G1494" s="5">
        <f>VLOOKUP(C1494,[1]master_data!$A$2:$E$495,4,FALSE)</f>
        <v>130000</v>
      </c>
      <c r="H1494" s="5">
        <f t="shared" si="75"/>
        <v>164000</v>
      </c>
      <c r="I1494" s="5">
        <f t="shared" si="76"/>
        <v>260000</v>
      </c>
      <c r="J1494" s="5">
        <f t="shared" si="77"/>
        <v>96000</v>
      </c>
      <c r="K1494" s="5" t="str">
        <f>VLOOKUP(C1494,[1]master_data!$A$2:$E$495,5,FALSE)</f>
        <v>Aksesoris</v>
      </c>
      <c r="L1494" s="5" t="s">
        <v>471</v>
      </c>
    </row>
    <row r="1495" spans="1:12" ht="12" customHeight="1" x14ac:dyDescent="0.25">
      <c r="A1495" s="6">
        <v>44767</v>
      </c>
      <c r="B1495" s="1">
        <v>2203068</v>
      </c>
      <c r="C1495" s="5" t="s">
        <v>6</v>
      </c>
      <c r="D1495" s="5" t="str">
        <f>VLOOKUP(C1495,[1]master_data!$A$2:$E$495,2,FALSE)</f>
        <v>MESIN YANG 1200</v>
      </c>
      <c r="E1495" s="5">
        <v>10</v>
      </c>
      <c r="F1495" s="5">
        <f>VLOOKUP(C1495,[1]master_data!$A$2:$E$495,3,FALSE)</f>
        <v>25000</v>
      </c>
      <c r="G1495" s="5">
        <f>VLOOKUP(C1495,[1]master_data!$A$2:$E$495,4,FALSE)</f>
        <v>40000</v>
      </c>
      <c r="H1495" s="5">
        <f t="shared" si="75"/>
        <v>250000</v>
      </c>
      <c r="I1495" s="5">
        <f t="shared" si="76"/>
        <v>400000</v>
      </c>
      <c r="J1495" s="5">
        <f t="shared" si="77"/>
        <v>150000</v>
      </c>
      <c r="K1495" s="5" t="str">
        <f>VLOOKUP(C1495,[1]master_data!$A$2:$E$495,5,FALSE)</f>
        <v>Aksesoris</v>
      </c>
      <c r="L1495" s="5" t="s">
        <v>471</v>
      </c>
    </row>
    <row r="1496" spans="1:12" ht="12" customHeight="1" x14ac:dyDescent="0.25">
      <c r="A1496" s="6">
        <v>44767</v>
      </c>
      <c r="B1496" s="1">
        <v>2203067</v>
      </c>
      <c r="C1496" s="5" t="s">
        <v>357</v>
      </c>
      <c r="D1496" s="5" t="str">
        <f>VLOOKUP(C1496,[1]master_data!$A$2:$E$495,2,FALSE)</f>
        <v>TOPLES 4,2 L</v>
      </c>
      <c r="E1496" s="5">
        <v>1</v>
      </c>
      <c r="F1496" s="5">
        <f>VLOOKUP(C1496,[1]master_data!$A$2:$E$495,3,FALSE)</f>
        <v>53000</v>
      </c>
      <c r="G1496" s="5">
        <f>VLOOKUP(C1496,[1]master_data!$A$2:$E$495,4,FALSE)</f>
        <v>85000</v>
      </c>
      <c r="H1496" s="5">
        <f t="shared" si="75"/>
        <v>53000</v>
      </c>
      <c r="I1496" s="5">
        <f t="shared" si="76"/>
        <v>85000</v>
      </c>
      <c r="J1496" s="5">
        <f t="shared" si="77"/>
        <v>32000</v>
      </c>
      <c r="K1496" s="5" t="str">
        <f>VLOOKUP(C1496,[1]master_data!$A$2:$E$495,5,FALSE)</f>
        <v>Aksesoris</v>
      </c>
      <c r="L1496" s="5" t="s">
        <v>471</v>
      </c>
    </row>
    <row r="1497" spans="1:12" ht="12" customHeight="1" x14ac:dyDescent="0.25">
      <c r="A1497" s="6">
        <v>44767</v>
      </c>
      <c r="B1497" s="1">
        <v>2203066</v>
      </c>
      <c r="C1497" s="5" t="s">
        <v>445</v>
      </c>
      <c r="D1497" s="5" t="str">
        <f>VLOOKUP(C1497,[1]master_data!$A$2:$E$495,2,FALSE)</f>
        <v>PESO</v>
      </c>
      <c r="E1497" s="5">
        <v>10</v>
      </c>
      <c r="F1497" s="5">
        <f>VLOOKUP(C1497,[1]master_data!$A$2:$E$495,3,FALSE)</f>
        <v>19000</v>
      </c>
      <c r="G1497" s="5">
        <f>VLOOKUP(C1497,[1]master_data!$A$2:$E$495,4,FALSE)</f>
        <v>40000</v>
      </c>
      <c r="H1497" s="5">
        <f t="shared" si="75"/>
        <v>190000</v>
      </c>
      <c r="I1497" s="5">
        <f t="shared" si="76"/>
        <v>400000</v>
      </c>
      <c r="J1497" s="5">
        <f t="shared" si="77"/>
        <v>210000</v>
      </c>
      <c r="K1497" s="5" t="str">
        <f>VLOOKUP(C1497,[1]master_data!$A$2:$E$495,5,FALSE)</f>
        <v>Ikan</v>
      </c>
      <c r="L1497" s="5" t="s">
        <v>471</v>
      </c>
    </row>
    <row r="1498" spans="1:12" ht="12" customHeight="1" x14ac:dyDescent="0.25">
      <c r="A1498" s="6">
        <v>44767</v>
      </c>
      <c r="B1498" s="1">
        <v>2203065</v>
      </c>
      <c r="C1498" s="5" t="s">
        <v>434</v>
      </c>
      <c r="D1498" s="5" t="str">
        <f>VLOOKUP(C1498,[1]master_data!$A$2:$E$495,2,FALSE)</f>
        <v>MOLI PAKAN</v>
      </c>
      <c r="E1498" s="5">
        <v>20</v>
      </c>
      <c r="F1498" s="5">
        <f>VLOOKUP(C1498,[1]master_data!$A$2:$E$495,3,FALSE)</f>
        <v>100</v>
      </c>
      <c r="G1498" s="5">
        <f>VLOOKUP(C1498,[1]master_data!$A$2:$E$495,4,FALSE)</f>
        <v>200</v>
      </c>
      <c r="H1498" s="5">
        <f t="shared" si="75"/>
        <v>2000</v>
      </c>
      <c r="I1498" s="5">
        <f t="shared" si="76"/>
        <v>4000</v>
      </c>
      <c r="J1498" s="5">
        <f t="shared" si="77"/>
        <v>2000</v>
      </c>
      <c r="K1498" s="5" t="str">
        <f>VLOOKUP(C1498,[1]master_data!$A$2:$E$495,5,FALSE)</f>
        <v>Ikan</v>
      </c>
      <c r="L1498" s="5" t="s">
        <v>471</v>
      </c>
    </row>
    <row r="1499" spans="1:12" ht="12" customHeight="1" x14ac:dyDescent="0.25">
      <c r="A1499" s="6">
        <v>44766</v>
      </c>
      <c r="B1499" s="1">
        <v>2203064</v>
      </c>
      <c r="C1499" s="5" t="s">
        <v>45</v>
      </c>
      <c r="D1499" s="5" t="str">
        <f>VLOOKUP(C1499,[1]master_data!$A$2:$E$495,2,FALSE)</f>
        <v>TOP FILTER NIKITA K</v>
      </c>
      <c r="E1499" s="5">
        <v>10</v>
      </c>
      <c r="F1499" s="5">
        <f>VLOOKUP(C1499,[1]master_data!$A$2:$E$495,3,FALSE)</f>
        <v>36000</v>
      </c>
      <c r="G1499" s="5">
        <f>VLOOKUP(C1499,[1]master_data!$A$2:$E$495,4,FALSE)</f>
        <v>55000</v>
      </c>
      <c r="H1499" s="5">
        <f t="shared" si="75"/>
        <v>360000</v>
      </c>
      <c r="I1499" s="5">
        <f t="shared" si="76"/>
        <v>550000</v>
      </c>
      <c r="J1499" s="5">
        <f t="shared" si="77"/>
        <v>190000</v>
      </c>
      <c r="K1499" s="5" t="str">
        <f>VLOOKUP(C1499,[1]master_data!$A$2:$E$495,5,FALSE)</f>
        <v>Aksesoris</v>
      </c>
      <c r="L1499" s="5" t="s">
        <v>471</v>
      </c>
    </row>
    <row r="1500" spans="1:12" ht="12" customHeight="1" x14ac:dyDescent="0.25">
      <c r="A1500" s="6">
        <v>44766</v>
      </c>
      <c r="B1500" s="1">
        <v>2203063</v>
      </c>
      <c r="C1500" s="5" t="s">
        <v>377</v>
      </c>
      <c r="D1500" s="5" t="str">
        <f>VLOOKUP(C1500,[1]master_data!$A$2:$E$495,2,FALSE)</f>
        <v>PASIR BALI</v>
      </c>
      <c r="E1500" s="5">
        <v>25</v>
      </c>
      <c r="F1500" s="5">
        <f>VLOOKUP(C1500,[1]master_data!$A$2:$E$495,3,FALSE)</f>
        <v>5000</v>
      </c>
      <c r="G1500" s="5">
        <f>VLOOKUP(C1500,[1]master_data!$A$2:$E$495,4,FALSE)</f>
        <v>10000</v>
      </c>
      <c r="H1500" s="5">
        <f t="shared" si="75"/>
        <v>125000</v>
      </c>
      <c r="I1500" s="5">
        <f t="shared" si="76"/>
        <v>250000</v>
      </c>
      <c r="J1500" s="5">
        <f t="shared" si="77"/>
        <v>125000</v>
      </c>
      <c r="K1500" s="5" t="str">
        <f>VLOOKUP(C1500,[1]master_data!$A$2:$E$495,5,FALSE)</f>
        <v>Aksesoris</v>
      </c>
      <c r="L1500" s="5" t="s">
        <v>471</v>
      </c>
    </row>
    <row r="1501" spans="1:12" ht="12" customHeight="1" x14ac:dyDescent="0.25">
      <c r="A1501" s="6">
        <v>44766</v>
      </c>
      <c r="B1501" s="1">
        <v>2203062</v>
      </c>
      <c r="C1501" s="5" t="s">
        <v>53</v>
      </c>
      <c r="D1501" s="5" t="str">
        <f>VLOOKUP(C1501,[1]master_data!$A$2:$E$495,2,FALSE)</f>
        <v>MESIN RECENT 203</v>
      </c>
      <c r="E1501" s="5">
        <v>1</v>
      </c>
      <c r="F1501" s="5">
        <f>VLOOKUP(C1501,[1]master_data!$A$2:$E$495,3,FALSE)</f>
        <v>43500</v>
      </c>
      <c r="G1501" s="5">
        <f>VLOOKUP(C1501,[1]master_data!$A$2:$E$495,4,FALSE)</f>
        <v>70000</v>
      </c>
      <c r="H1501" s="5">
        <f t="shared" si="75"/>
        <v>43500</v>
      </c>
      <c r="I1501" s="5">
        <f t="shared" si="76"/>
        <v>70000</v>
      </c>
      <c r="J1501" s="5">
        <f t="shared" si="77"/>
        <v>26500</v>
      </c>
      <c r="K1501" s="5" t="str">
        <f>VLOOKUP(C1501,[1]master_data!$A$2:$E$495,5,FALSE)</f>
        <v>Aksesoris</v>
      </c>
      <c r="L1501" s="5" t="s">
        <v>471</v>
      </c>
    </row>
    <row r="1502" spans="1:12" ht="12" customHeight="1" x14ac:dyDescent="0.25">
      <c r="A1502" s="6">
        <v>44766</v>
      </c>
      <c r="B1502" s="1">
        <v>2203061</v>
      </c>
      <c r="C1502" s="5" t="s">
        <v>314</v>
      </c>
      <c r="D1502" s="5" t="str">
        <f>VLOOKUP(C1502,[1]master_data!$A$2:$E$495,2,FALSE)</f>
        <v>L SELANG</v>
      </c>
      <c r="E1502" s="5">
        <v>30</v>
      </c>
      <c r="F1502" s="5">
        <f>VLOOKUP(C1502,[1]master_data!$A$2:$E$495,3,FALSE)</f>
        <v>750</v>
      </c>
      <c r="G1502" s="5">
        <f>VLOOKUP(C1502,[1]master_data!$A$2:$E$495,4,FALSE)</f>
        <v>1500</v>
      </c>
      <c r="H1502" s="5">
        <f t="shared" si="75"/>
        <v>22500</v>
      </c>
      <c r="I1502" s="5">
        <f t="shared" si="76"/>
        <v>45000</v>
      </c>
      <c r="J1502" s="5">
        <f t="shared" si="77"/>
        <v>22500</v>
      </c>
      <c r="K1502" s="5" t="str">
        <f>VLOOKUP(C1502,[1]master_data!$A$2:$E$495,5,FALSE)</f>
        <v>Aksesoris</v>
      </c>
      <c r="L1502" s="5" t="s">
        <v>471</v>
      </c>
    </row>
    <row r="1503" spans="1:12" ht="12" customHeight="1" x14ac:dyDescent="0.25">
      <c r="A1503" s="6">
        <v>44766</v>
      </c>
      <c r="B1503" s="1">
        <v>2203060</v>
      </c>
      <c r="C1503" s="5" t="s">
        <v>55</v>
      </c>
      <c r="D1503" s="5" t="str">
        <f>VLOOKUP(C1503,[1]master_data!$A$2:$E$495,2,FALSE)</f>
        <v>MESIN  ARMDA 1200</v>
      </c>
      <c r="E1503" s="5">
        <v>1</v>
      </c>
      <c r="F1503" s="5">
        <f>VLOOKUP(C1503,[1]master_data!$A$2:$E$495,3,FALSE)</f>
        <v>20000</v>
      </c>
      <c r="G1503" s="5">
        <f>VLOOKUP(C1503,[1]master_data!$A$2:$E$495,4,FALSE)</f>
        <v>30000</v>
      </c>
      <c r="H1503" s="5">
        <f t="shared" si="75"/>
        <v>20000</v>
      </c>
      <c r="I1503" s="5">
        <f t="shared" si="76"/>
        <v>30000</v>
      </c>
      <c r="J1503" s="5">
        <f t="shared" si="77"/>
        <v>10000</v>
      </c>
      <c r="K1503" s="5" t="str">
        <f>VLOOKUP(C1503,[1]master_data!$A$2:$E$495,5,FALSE)</f>
        <v>Aksesoris</v>
      </c>
      <c r="L1503" s="5" t="s">
        <v>471</v>
      </c>
    </row>
    <row r="1504" spans="1:12" ht="12" customHeight="1" x14ac:dyDescent="0.25">
      <c r="A1504" s="6">
        <v>44766</v>
      </c>
      <c r="B1504" s="1">
        <v>2203059</v>
      </c>
      <c r="C1504" s="5" t="s">
        <v>459</v>
      </c>
      <c r="D1504" s="5" t="str">
        <f>VLOOKUP(C1504,[1]master_data!$A$2:$E$495,2,FALSE)</f>
        <v>ZEBRA UNGU</v>
      </c>
      <c r="E1504" s="5">
        <v>25</v>
      </c>
      <c r="F1504" s="5">
        <f>VLOOKUP(C1504,[1]master_data!$A$2:$E$495,3,FALSE)</f>
        <v>800</v>
      </c>
      <c r="G1504" s="5">
        <f>VLOOKUP(C1504,[1]master_data!$A$2:$E$495,4,FALSE)</f>
        <v>2000</v>
      </c>
      <c r="H1504" s="5">
        <f t="shared" si="75"/>
        <v>20000</v>
      </c>
      <c r="I1504" s="5">
        <f t="shared" si="76"/>
        <v>50000</v>
      </c>
      <c r="J1504" s="5">
        <f t="shared" si="77"/>
        <v>30000</v>
      </c>
      <c r="K1504" s="5" t="str">
        <f>VLOOKUP(C1504,[1]master_data!$A$2:$E$495,5,FALSE)</f>
        <v>Ikan</v>
      </c>
      <c r="L1504" s="5" t="s">
        <v>471</v>
      </c>
    </row>
    <row r="1505" spans="1:12" ht="12" customHeight="1" x14ac:dyDescent="0.25">
      <c r="A1505" s="6">
        <v>44766</v>
      </c>
      <c r="B1505" s="1">
        <v>2203058</v>
      </c>
      <c r="C1505" s="5" t="s">
        <v>220</v>
      </c>
      <c r="D1505" s="5" t="str">
        <f>VLOOKUP(C1505,[1]master_data!$A$2:$E$495,2,FALSE)</f>
        <v>HIRO COLOUR</v>
      </c>
      <c r="E1505" s="5">
        <v>5</v>
      </c>
      <c r="F1505" s="5">
        <f>VLOOKUP(C1505,[1]master_data!$A$2:$E$495,3,FALSE)</f>
        <v>72000</v>
      </c>
      <c r="G1505" s="5">
        <f>VLOOKUP(C1505,[1]master_data!$A$2:$E$495,4,FALSE)</f>
        <v>80000</v>
      </c>
      <c r="H1505" s="5">
        <f t="shared" si="75"/>
        <v>360000</v>
      </c>
      <c r="I1505" s="5">
        <f t="shared" si="76"/>
        <v>400000</v>
      </c>
      <c r="J1505" s="5">
        <f t="shared" si="77"/>
        <v>40000</v>
      </c>
      <c r="K1505" s="5" t="str">
        <f>VLOOKUP(C1505,[1]master_data!$A$2:$E$495,5,FALSE)</f>
        <v>Aksesoris</v>
      </c>
      <c r="L1505" s="5" t="s">
        <v>471</v>
      </c>
    </row>
    <row r="1506" spans="1:12" ht="12" customHeight="1" x14ac:dyDescent="0.25">
      <c r="A1506" s="6">
        <v>44766</v>
      </c>
      <c r="B1506" s="1">
        <v>2203057</v>
      </c>
      <c r="C1506" s="5" t="s">
        <v>442</v>
      </c>
      <c r="D1506" s="5" t="str">
        <f>VLOOKUP(C1506,[1]master_data!$A$2:$E$495,2,FALSE)</f>
        <v>PEMBERSIH KACA ALBINO</v>
      </c>
      <c r="E1506" s="5">
        <v>20</v>
      </c>
      <c r="F1506" s="5">
        <f>VLOOKUP(C1506,[1]master_data!$A$2:$E$495,3,FALSE)</f>
        <v>2500</v>
      </c>
      <c r="G1506" s="5">
        <f>VLOOKUP(C1506,[1]master_data!$A$2:$E$495,4,FALSE)</f>
        <v>5000</v>
      </c>
      <c r="H1506" s="5">
        <f t="shared" si="75"/>
        <v>50000</v>
      </c>
      <c r="I1506" s="5">
        <f t="shared" si="76"/>
        <v>100000</v>
      </c>
      <c r="J1506" s="5">
        <f t="shared" si="77"/>
        <v>50000</v>
      </c>
      <c r="K1506" s="5" t="str">
        <f>VLOOKUP(C1506,[1]master_data!$A$2:$E$495,5,FALSE)</f>
        <v>Ikan</v>
      </c>
      <c r="L1506" s="5" t="s">
        <v>471</v>
      </c>
    </row>
    <row r="1507" spans="1:12" ht="12" customHeight="1" x14ac:dyDescent="0.25">
      <c r="A1507" s="6">
        <v>44766</v>
      </c>
      <c r="B1507" s="1">
        <v>2203056</v>
      </c>
      <c r="C1507" s="5" t="s">
        <v>305</v>
      </c>
      <c r="D1507" s="5" t="str">
        <f>VLOOKUP(C1507,[1]master_data!$A$2:$E$495,2,FALSE)</f>
        <v>POMATE</v>
      </c>
      <c r="E1507" s="5">
        <v>1</v>
      </c>
      <c r="F1507" s="5">
        <f>VLOOKUP(C1507,[1]master_data!$A$2:$E$495,3,FALSE)</f>
        <v>25000</v>
      </c>
      <c r="G1507" s="5">
        <f>VLOOKUP(C1507,[1]master_data!$A$2:$E$495,4,FALSE)</f>
        <v>40000</v>
      </c>
      <c r="H1507" s="5">
        <f t="shared" si="75"/>
        <v>25000</v>
      </c>
      <c r="I1507" s="5">
        <f t="shared" si="76"/>
        <v>40000</v>
      </c>
      <c r="J1507" s="5">
        <f t="shared" si="77"/>
        <v>15000</v>
      </c>
      <c r="K1507" s="5" t="str">
        <f>VLOOKUP(C1507,[1]master_data!$A$2:$E$495,5,FALSE)</f>
        <v>Aksesoris</v>
      </c>
      <c r="L1507" s="5" t="s">
        <v>471</v>
      </c>
    </row>
    <row r="1508" spans="1:12" ht="12" customHeight="1" x14ac:dyDescent="0.25">
      <c r="A1508" s="6">
        <v>44766</v>
      </c>
      <c r="B1508" s="1">
        <v>2203055</v>
      </c>
      <c r="C1508" s="5" t="s">
        <v>310</v>
      </c>
      <c r="D1508" s="5" t="str">
        <f>VLOOKUP(C1508,[1]master_data!$A$2:$E$495,2,FALSE)</f>
        <v>SELANG FUSO</v>
      </c>
      <c r="E1508" s="5">
        <v>10</v>
      </c>
      <c r="F1508" s="5">
        <f>VLOOKUP(C1508,[1]master_data!$A$2:$E$495,3,FALSE)</f>
        <v>800</v>
      </c>
      <c r="G1508" s="5">
        <f>VLOOKUP(C1508,[1]master_data!$A$2:$E$495,4,FALSE)</f>
        <v>2000</v>
      </c>
      <c r="H1508" s="5">
        <f t="shared" si="75"/>
        <v>8000</v>
      </c>
      <c r="I1508" s="5">
        <f t="shared" si="76"/>
        <v>20000</v>
      </c>
      <c r="J1508" s="5">
        <f t="shared" si="77"/>
        <v>12000</v>
      </c>
      <c r="K1508" s="5" t="str">
        <f>VLOOKUP(C1508,[1]master_data!$A$2:$E$495,5,FALSE)</f>
        <v>Aksesoris</v>
      </c>
      <c r="L1508" s="5" t="s">
        <v>471</v>
      </c>
    </row>
    <row r="1509" spans="1:12" ht="12" customHeight="1" x14ac:dyDescent="0.25">
      <c r="A1509" s="6">
        <v>44766</v>
      </c>
      <c r="B1509" s="1">
        <v>2203054</v>
      </c>
      <c r="C1509" s="5" t="s">
        <v>430</v>
      </c>
      <c r="D1509" s="5" t="str">
        <f>VLOOKUP(C1509,[1]master_data!$A$2:$E$495,2,FALSE)</f>
        <v>MANFISH K</v>
      </c>
      <c r="E1509" s="5">
        <v>10</v>
      </c>
      <c r="F1509" s="5">
        <f>VLOOKUP(C1509,[1]master_data!$A$2:$E$495,3,FALSE)</f>
        <v>2000</v>
      </c>
      <c r="G1509" s="5">
        <f>VLOOKUP(C1509,[1]master_data!$A$2:$E$495,4,FALSE)</f>
        <v>5000</v>
      </c>
      <c r="H1509" s="5">
        <f t="shared" si="75"/>
        <v>20000</v>
      </c>
      <c r="I1509" s="5">
        <f t="shared" si="76"/>
        <v>50000</v>
      </c>
      <c r="J1509" s="5">
        <f t="shared" si="77"/>
        <v>30000</v>
      </c>
      <c r="K1509" s="5" t="str">
        <f>VLOOKUP(C1509,[1]master_data!$A$2:$E$495,5,FALSE)</f>
        <v>Ikan</v>
      </c>
      <c r="L1509" s="5" t="s">
        <v>471</v>
      </c>
    </row>
    <row r="1510" spans="1:12" ht="12" customHeight="1" x14ac:dyDescent="0.25">
      <c r="A1510" s="6">
        <v>44766</v>
      </c>
      <c r="B1510" s="1">
        <v>2203053</v>
      </c>
      <c r="C1510" s="5" t="s">
        <v>403</v>
      </c>
      <c r="D1510" s="5" t="str">
        <f>VLOOKUP(C1510,[1]master_data!$A$2:$E$495,2,FALSE)</f>
        <v>CHANNA BLUE PULCHRA K</v>
      </c>
      <c r="E1510" s="5">
        <v>1</v>
      </c>
      <c r="F1510" s="5">
        <f>VLOOKUP(C1510,[1]master_data!$A$2:$E$495,3,FALSE)</f>
        <v>25000</v>
      </c>
      <c r="G1510" s="5">
        <f>VLOOKUP(C1510,[1]master_data!$A$2:$E$495,4,FALSE)</f>
        <v>50000</v>
      </c>
      <c r="H1510" s="5">
        <f t="shared" si="75"/>
        <v>25000</v>
      </c>
      <c r="I1510" s="5">
        <f t="shared" si="76"/>
        <v>50000</v>
      </c>
      <c r="J1510" s="5">
        <f t="shared" si="77"/>
        <v>25000</v>
      </c>
      <c r="K1510" s="5" t="str">
        <f>VLOOKUP(C1510,[1]master_data!$A$2:$E$495,5,FALSE)</f>
        <v>Ikan</v>
      </c>
      <c r="L1510" s="5" t="s">
        <v>471</v>
      </c>
    </row>
    <row r="1511" spans="1:12" ht="12" customHeight="1" x14ac:dyDescent="0.25">
      <c r="A1511" s="6">
        <v>44765</v>
      </c>
      <c r="B1511" s="1">
        <v>2203052</v>
      </c>
      <c r="C1511" s="5" t="s">
        <v>367</v>
      </c>
      <c r="D1511" s="5" t="str">
        <f>VLOOKUP(C1511,[1]master_data!$A$2:$E$495,2,FALSE)</f>
        <v>TUTUP AKUARIUM L</v>
      </c>
      <c r="E1511" s="5">
        <v>2</v>
      </c>
      <c r="F1511" s="5">
        <f>VLOOKUP(C1511,[1]master_data!$A$2:$E$495,3,FALSE)</f>
        <v>28000</v>
      </c>
      <c r="G1511" s="5">
        <f>VLOOKUP(C1511,[1]master_data!$A$2:$E$495,4,FALSE)</f>
        <v>40000</v>
      </c>
      <c r="H1511" s="5">
        <f t="shared" si="75"/>
        <v>56000</v>
      </c>
      <c r="I1511" s="5">
        <f t="shared" si="76"/>
        <v>80000</v>
      </c>
      <c r="J1511" s="5">
        <f t="shared" si="77"/>
        <v>24000</v>
      </c>
      <c r="K1511" s="5" t="str">
        <f>VLOOKUP(C1511,[1]master_data!$A$2:$E$495,5,FALSE)</f>
        <v>Aksesoris</v>
      </c>
      <c r="L1511" s="5" t="s">
        <v>471</v>
      </c>
    </row>
    <row r="1512" spans="1:12" ht="12" customHeight="1" x14ac:dyDescent="0.25">
      <c r="A1512" s="6">
        <v>44765</v>
      </c>
      <c r="B1512" s="1">
        <v>2203051</v>
      </c>
      <c r="C1512" s="5" t="s">
        <v>423</v>
      </c>
      <c r="D1512" s="5" t="str">
        <f>VLOOKUP(C1512,[1]master_data!$A$2:$E$495,2,FALSE)</f>
        <v>KOI SLAYER K</v>
      </c>
      <c r="E1512" s="5">
        <v>30</v>
      </c>
      <c r="F1512" s="5">
        <f>VLOOKUP(C1512,[1]master_data!$A$2:$E$495,3,FALSE)</f>
        <v>3500</v>
      </c>
      <c r="G1512" s="5">
        <f>VLOOKUP(C1512,[1]master_data!$A$2:$E$495,4,FALSE)</f>
        <v>10000</v>
      </c>
      <c r="H1512" s="5">
        <f t="shared" si="75"/>
        <v>105000</v>
      </c>
      <c r="I1512" s="5">
        <f t="shared" si="76"/>
        <v>300000</v>
      </c>
      <c r="J1512" s="5">
        <f t="shared" si="77"/>
        <v>195000</v>
      </c>
      <c r="K1512" s="5" t="str">
        <f>VLOOKUP(C1512,[1]master_data!$A$2:$E$495,5,FALSE)</f>
        <v>Ikan</v>
      </c>
      <c r="L1512" s="5" t="s">
        <v>471</v>
      </c>
    </row>
    <row r="1513" spans="1:12" ht="12" customHeight="1" x14ac:dyDescent="0.25">
      <c r="A1513" s="6">
        <v>44765</v>
      </c>
      <c r="B1513" s="1">
        <v>2203050</v>
      </c>
      <c r="C1513" s="5" t="s">
        <v>422</v>
      </c>
      <c r="D1513" s="5" t="str">
        <f>VLOOKUP(C1513,[1]master_data!$A$2:$E$495,2,FALSE)</f>
        <v>KOMET SLAYER</v>
      </c>
      <c r="E1513" s="5">
        <v>12</v>
      </c>
      <c r="F1513" s="5">
        <f>VLOOKUP(C1513,[1]master_data!$A$2:$E$495,3,FALSE)</f>
        <v>2000</v>
      </c>
      <c r="G1513" s="5">
        <f>VLOOKUP(C1513,[1]master_data!$A$2:$E$495,4,FALSE)</f>
        <v>5000</v>
      </c>
      <c r="H1513" s="5">
        <f t="shared" si="75"/>
        <v>24000</v>
      </c>
      <c r="I1513" s="5">
        <f t="shared" si="76"/>
        <v>60000</v>
      </c>
      <c r="J1513" s="5">
        <f t="shared" si="77"/>
        <v>36000</v>
      </c>
      <c r="K1513" s="5" t="str">
        <f>VLOOKUP(C1513,[1]master_data!$A$2:$E$495,5,FALSE)</f>
        <v>Ikan</v>
      </c>
      <c r="L1513" s="5" t="s">
        <v>471</v>
      </c>
    </row>
    <row r="1514" spans="1:12" ht="12" customHeight="1" x14ac:dyDescent="0.25">
      <c r="A1514" s="6">
        <v>44765</v>
      </c>
      <c r="B1514" s="1">
        <v>2203049</v>
      </c>
      <c r="C1514" s="5" t="s">
        <v>391</v>
      </c>
      <c r="D1514" s="5" t="str">
        <f>VLOOKUP(C1514,[1]master_data!$A$2:$E$495,2,FALSE)</f>
        <v>CHANNA ANDRAO K</v>
      </c>
      <c r="E1514" s="5">
        <v>5</v>
      </c>
      <c r="F1514" s="5">
        <f>VLOOKUP(C1514,[1]master_data!$A$2:$E$495,3,FALSE)</f>
        <v>20000</v>
      </c>
      <c r="G1514" s="5">
        <f>VLOOKUP(C1514,[1]master_data!$A$2:$E$495,4,FALSE)</f>
        <v>50000</v>
      </c>
      <c r="H1514" s="5">
        <f t="shared" si="75"/>
        <v>100000</v>
      </c>
      <c r="I1514" s="5">
        <f t="shared" si="76"/>
        <v>250000</v>
      </c>
      <c r="J1514" s="5">
        <f t="shared" si="77"/>
        <v>150000</v>
      </c>
      <c r="K1514" s="5" t="str">
        <f>VLOOKUP(C1514,[1]master_data!$A$2:$E$495,5,FALSE)</f>
        <v>Ikan</v>
      </c>
      <c r="L1514" s="5" t="s">
        <v>471</v>
      </c>
    </row>
    <row r="1515" spans="1:12" ht="12" customHeight="1" x14ac:dyDescent="0.25">
      <c r="A1515" s="6">
        <v>44765</v>
      </c>
      <c r="B1515" s="1">
        <v>2203048</v>
      </c>
      <c r="C1515" s="5" t="s">
        <v>424</v>
      </c>
      <c r="D1515" s="5" t="str">
        <f>VLOOKUP(C1515,[1]master_data!$A$2:$E$495,2,FALSE)</f>
        <v>KOI SLAYER B</v>
      </c>
      <c r="E1515" s="5">
        <v>10</v>
      </c>
      <c r="F1515" s="5">
        <f>VLOOKUP(C1515,[1]master_data!$A$2:$E$495,3,FALSE)</f>
        <v>8000</v>
      </c>
      <c r="G1515" s="5">
        <f>VLOOKUP(C1515,[1]master_data!$A$2:$E$495,4,FALSE)</f>
        <v>20000</v>
      </c>
      <c r="H1515" s="5">
        <f t="shared" si="75"/>
        <v>80000</v>
      </c>
      <c r="I1515" s="5">
        <f t="shared" si="76"/>
        <v>200000</v>
      </c>
      <c r="J1515" s="5">
        <f t="shared" si="77"/>
        <v>120000</v>
      </c>
      <c r="K1515" s="5" t="str">
        <f>VLOOKUP(C1515,[1]master_data!$A$2:$E$495,5,FALSE)</f>
        <v>Ikan</v>
      </c>
      <c r="L1515" s="5" t="s">
        <v>471</v>
      </c>
    </row>
    <row r="1516" spans="1:12" ht="12" customHeight="1" x14ac:dyDescent="0.25">
      <c r="A1516" s="6">
        <v>44765</v>
      </c>
      <c r="B1516" s="1">
        <v>2203047</v>
      </c>
      <c r="C1516" s="5" t="s">
        <v>456</v>
      </c>
      <c r="D1516" s="5" t="str">
        <f>VLOOKUP(C1516,[1]master_data!$A$2:$E$495,2,FALSE)</f>
        <v>TOMAN</v>
      </c>
      <c r="E1516" s="5">
        <v>1</v>
      </c>
      <c r="F1516" s="5">
        <f>VLOOKUP(C1516,[1]master_data!$A$2:$E$495,3,FALSE)</f>
        <v>10000</v>
      </c>
      <c r="G1516" s="5">
        <f>VLOOKUP(C1516,[1]master_data!$A$2:$E$495,4,FALSE)</f>
        <v>25000</v>
      </c>
      <c r="H1516" s="5">
        <f t="shared" si="75"/>
        <v>10000</v>
      </c>
      <c r="I1516" s="5">
        <f t="shared" si="76"/>
        <v>25000</v>
      </c>
      <c r="J1516" s="5">
        <f t="shared" si="77"/>
        <v>15000</v>
      </c>
      <c r="K1516" s="5" t="str">
        <f>VLOOKUP(C1516,[1]master_data!$A$2:$E$495,5,FALSE)</f>
        <v>Ikan</v>
      </c>
      <c r="L1516" s="5" t="s">
        <v>471</v>
      </c>
    </row>
    <row r="1517" spans="1:12" ht="12" customHeight="1" x14ac:dyDescent="0.25">
      <c r="A1517" s="6">
        <v>44765</v>
      </c>
      <c r="B1517" s="1">
        <v>2203046</v>
      </c>
      <c r="C1517" s="5" t="s">
        <v>458</v>
      </c>
      <c r="D1517" s="5" t="str">
        <f>VLOOKUP(C1517,[1]master_data!$A$2:$E$495,2,FALSE)</f>
        <v>ZEBRA HIJAU</v>
      </c>
      <c r="E1517" s="5">
        <v>20</v>
      </c>
      <c r="F1517" s="5">
        <f>VLOOKUP(C1517,[1]master_data!$A$2:$E$495,3,FALSE)</f>
        <v>800</v>
      </c>
      <c r="G1517" s="5">
        <f>VLOOKUP(C1517,[1]master_data!$A$2:$E$495,4,FALSE)</f>
        <v>2000</v>
      </c>
      <c r="H1517" s="5">
        <f t="shared" si="75"/>
        <v>16000</v>
      </c>
      <c r="I1517" s="5">
        <f t="shared" si="76"/>
        <v>40000</v>
      </c>
      <c r="J1517" s="5">
        <f t="shared" si="77"/>
        <v>24000</v>
      </c>
      <c r="K1517" s="5" t="str">
        <f>VLOOKUP(C1517,[1]master_data!$A$2:$E$495,5,FALSE)</f>
        <v>Ikan</v>
      </c>
      <c r="L1517" s="5" t="s">
        <v>471</v>
      </c>
    </row>
    <row r="1518" spans="1:12" ht="12" customHeight="1" x14ac:dyDescent="0.25">
      <c r="A1518" s="6">
        <v>44764</v>
      </c>
      <c r="B1518" s="1">
        <v>2203045</v>
      </c>
      <c r="C1518" s="5" t="s">
        <v>451</v>
      </c>
      <c r="D1518" s="5" t="str">
        <f>VLOOKUP(C1518,[1]master_data!$A$2:$E$495,2,FALSE)</f>
        <v>SUMATRA GOLD FISH</v>
      </c>
      <c r="E1518" s="5">
        <v>1</v>
      </c>
      <c r="F1518" s="5">
        <f>VLOOKUP(C1518,[1]master_data!$A$2:$E$495,3,FALSE)</f>
        <v>2500</v>
      </c>
      <c r="G1518" s="5">
        <f>VLOOKUP(C1518,[1]master_data!$A$2:$E$495,4,FALSE)</f>
        <v>4000</v>
      </c>
      <c r="H1518" s="5">
        <f t="shared" si="75"/>
        <v>2500</v>
      </c>
      <c r="I1518" s="5">
        <f t="shared" si="76"/>
        <v>4000</v>
      </c>
      <c r="J1518" s="5">
        <f t="shared" si="77"/>
        <v>1500</v>
      </c>
      <c r="K1518" s="5" t="str">
        <f>VLOOKUP(C1518,[1]master_data!$A$2:$E$495,5,FALSE)</f>
        <v>Ikan</v>
      </c>
      <c r="L1518" s="5" t="s">
        <v>471</v>
      </c>
    </row>
    <row r="1519" spans="1:12" ht="12" customHeight="1" x14ac:dyDescent="0.25">
      <c r="A1519" s="6">
        <v>44764</v>
      </c>
      <c r="B1519" s="1">
        <v>2203044</v>
      </c>
      <c r="C1519" s="5" t="s">
        <v>412</v>
      </c>
      <c r="D1519" s="5" t="str">
        <f>VLOOKUP(C1519,[1]master_data!$A$2:$E$495,2,FALSE)</f>
        <v>HIU TAWAR</v>
      </c>
      <c r="E1519" s="5">
        <v>15</v>
      </c>
      <c r="F1519" s="5">
        <f>VLOOKUP(C1519,[1]master_data!$A$2:$E$495,3,FALSE)</f>
        <v>600</v>
      </c>
      <c r="G1519" s="5">
        <f>VLOOKUP(C1519,[1]master_data!$A$2:$E$495,4,FALSE)</f>
        <v>2000</v>
      </c>
      <c r="H1519" s="5">
        <f t="shared" si="75"/>
        <v>9000</v>
      </c>
      <c r="I1519" s="5">
        <f t="shared" si="76"/>
        <v>30000</v>
      </c>
      <c r="J1519" s="5">
        <f t="shared" si="77"/>
        <v>21000</v>
      </c>
      <c r="K1519" s="5" t="str">
        <f>VLOOKUP(C1519,[1]master_data!$A$2:$E$495,5,FALSE)</f>
        <v>Ikan</v>
      </c>
      <c r="L1519" s="5" t="s">
        <v>471</v>
      </c>
    </row>
    <row r="1520" spans="1:12" ht="12" customHeight="1" x14ac:dyDescent="0.25">
      <c r="A1520" s="6">
        <v>44764</v>
      </c>
      <c r="B1520" s="1">
        <v>2203043</v>
      </c>
      <c r="C1520" s="5" t="s">
        <v>380</v>
      </c>
      <c r="D1520" s="5" t="str">
        <f>VLOOKUP(C1520,[1]master_data!$A$2:$E$495,2,FALSE)</f>
        <v>BATU WARNA BIASA</v>
      </c>
      <c r="E1520" s="5">
        <v>1</v>
      </c>
      <c r="F1520" s="5">
        <f>VLOOKUP(C1520,[1]master_data!$A$2:$E$495,3,FALSE)</f>
        <v>3500</v>
      </c>
      <c r="G1520" s="5">
        <f>VLOOKUP(C1520,[1]master_data!$A$2:$E$495,4,FALSE)</f>
        <v>8000</v>
      </c>
      <c r="H1520" s="5">
        <f t="shared" si="75"/>
        <v>3500</v>
      </c>
      <c r="I1520" s="5">
        <f t="shared" si="76"/>
        <v>8000</v>
      </c>
      <c r="J1520" s="5">
        <f t="shared" si="77"/>
        <v>4500</v>
      </c>
      <c r="K1520" s="5" t="str">
        <f>VLOOKUP(C1520,[1]master_data!$A$2:$E$495,5,FALSE)</f>
        <v>Aksesoris</v>
      </c>
      <c r="L1520" s="5" t="s">
        <v>471</v>
      </c>
    </row>
    <row r="1521" spans="1:12" ht="12" customHeight="1" x14ac:dyDescent="0.25">
      <c r="A1521" s="6">
        <v>44764</v>
      </c>
      <c r="B1521" s="1">
        <v>2203042</v>
      </c>
      <c r="C1521" s="5" t="s">
        <v>413</v>
      </c>
      <c r="D1521" s="5" t="str">
        <f>VLOOKUP(C1521,[1]master_data!$A$2:$E$495,2,FALSE)</f>
        <v>KOKI K</v>
      </c>
      <c r="E1521" s="5">
        <v>15</v>
      </c>
      <c r="F1521" s="5">
        <f>VLOOKUP(C1521,[1]master_data!$A$2:$E$495,3,FALSE)</f>
        <v>3500</v>
      </c>
      <c r="G1521" s="5">
        <f>VLOOKUP(C1521,[1]master_data!$A$2:$E$495,4,FALSE)</f>
        <v>10000</v>
      </c>
      <c r="H1521" s="5">
        <f t="shared" si="75"/>
        <v>52500</v>
      </c>
      <c r="I1521" s="5">
        <f t="shared" si="76"/>
        <v>150000</v>
      </c>
      <c r="J1521" s="5">
        <f t="shared" si="77"/>
        <v>97500</v>
      </c>
      <c r="K1521" s="5" t="str">
        <f>VLOOKUP(C1521,[1]master_data!$A$2:$E$495,5,FALSE)</f>
        <v>Ikan</v>
      </c>
      <c r="L1521" s="5" t="s">
        <v>471</v>
      </c>
    </row>
    <row r="1522" spans="1:12" ht="12" customHeight="1" x14ac:dyDescent="0.25">
      <c r="A1522" s="6">
        <v>44764</v>
      </c>
      <c r="B1522" s="1">
        <v>2203041</v>
      </c>
      <c r="C1522" s="5" t="s">
        <v>275</v>
      </c>
      <c r="D1522" s="5" t="str">
        <f>VLOOKUP(C1522,[1]master_data!$A$2:$E$495,2,FALSE)</f>
        <v>JARING 20</v>
      </c>
      <c r="E1522" s="5">
        <v>1</v>
      </c>
      <c r="F1522" s="5">
        <f>VLOOKUP(C1522,[1]master_data!$A$2:$E$495,3,FALSE)</f>
        <v>5600</v>
      </c>
      <c r="G1522" s="5">
        <f>VLOOKUP(C1522,[1]master_data!$A$2:$E$495,4,FALSE)</f>
        <v>10000</v>
      </c>
      <c r="H1522" s="5">
        <f t="shared" si="75"/>
        <v>5600</v>
      </c>
      <c r="I1522" s="5">
        <f t="shared" si="76"/>
        <v>10000</v>
      </c>
      <c r="J1522" s="5">
        <f t="shared" si="77"/>
        <v>4400</v>
      </c>
      <c r="K1522" s="5" t="str">
        <f>VLOOKUP(C1522,[1]master_data!$A$2:$E$495,5,FALSE)</f>
        <v>Aksesoris</v>
      </c>
      <c r="L1522" s="5" t="s">
        <v>471</v>
      </c>
    </row>
    <row r="1523" spans="1:12" ht="12" customHeight="1" x14ac:dyDescent="0.25">
      <c r="A1523" s="6">
        <v>44764</v>
      </c>
      <c r="B1523" s="1">
        <v>2203040</v>
      </c>
      <c r="C1523" s="5" t="s">
        <v>391</v>
      </c>
      <c r="D1523" s="5" t="str">
        <f>VLOOKUP(C1523,[1]master_data!$A$2:$E$495,2,FALSE)</f>
        <v>CHANNA ANDRAO K</v>
      </c>
      <c r="E1523" s="5">
        <v>10</v>
      </c>
      <c r="F1523" s="5">
        <f>VLOOKUP(C1523,[1]master_data!$A$2:$E$495,3,FALSE)</f>
        <v>20000</v>
      </c>
      <c r="G1523" s="5">
        <f>VLOOKUP(C1523,[1]master_data!$A$2:$E$495,4,FALSE)</f>
        <v>50000</v>
      </c>
      <c r="H1523" s="5">
        <f t="shared" si="75"/>
        <v>200000</v>
      </c>
      <c r="I1523" s="5">
        <f t="shared" si="76"/>
        <v>500000</v>
      </c>
      <c r="J1523" s="5">
        <f t="shared" si="77"/>
        <v>300000</v>
      </c>
      <c r="K1523" s="5" t="str">
        <f>VLOOKUP(C1523,[1]master_data!$A$2:$E$495,5,FALSE)</f>
        <v>Ikan</v>
      </c>
      <c r="L1523" s="5" t="s">
        <v>471</v>
      </c>
    </row>
    <row r="1524" spans="1:12" ht="12" customHeight="1" x14ac:dyDescent="0.25">
      <c r="A1524" s="6">
        <v>44764</v>
      </c>
      <c r="B1524" s="1">
        <v>2203039</v>
      </c>
      <c r="C1524" s="5" t="s">
        <v>390</v>
      </c>
      <c r="D1524" s="5" t="str">
        <f>VLOOKUP(C1524,[1]master_data!$A$2:$E$495,2,FALSE)</f>
        <v>CHANNA ASIATICA K</v>
      </c>
      <c r="E1524" s="5">
        <v>1</v>
      </c>
      <c r="F1524" s="5">
        <f>VLOOKUP(C1524,[1]master_data!$A$2:$E$495,3,FALSE)</f>
        <v>10000</v>
      </c>
      <c r="G1524" s="5">
        <f>VLOOKUP(C1524,[1]master_data!$A$2:$E$495,4,FALSE)</f>
        <v>40000</v>
      </c>
      <c r="H1524" s="5">
        <f t="shared" si="75"/>
        <v>10000</v>
      </c>
      <c r="I1524" s="5">
        <f t="shared" si="76"/>
        <v>40000</v>
      </c>
      <c r="J1524" s="5">
        <f t="shared" si="77"/>
        <v>30000</v>
      </c>
      <c r="K1524" s="5" t="str">
        <f>VLOOKUP(C1524,[1]master_data!$A$2:$E$495,5,FALSE)</f>
        <v>Ikan</v>
      </c>
      <c r="L1524" s="5" t="s">
        <v>471</v>
      </c>
    </row>
    <row r="1525" spans="1:12" ht="12" customHeight="1" x14ac:dyDescent="0.25">
      <c r="A1525" s="6">
        <v>44764</v>
      </c>
      <c r="B1525" s="1">
        <v>2203038</v>
      </c>
      <c r="C1525" s="5" t="s">
        <v>403</v>
      </c>
      <c r="D1525" s="5" t="str">
        <f>VLOOKUP(C1525,[1]master_data!$A$2:$E$495,2,FALSE)</f>
        <v>CHANNA BLUE PULCHRA K</v>
      </c>
      <c r="E1525" s="5">
        <v>5</v>
      </c>
      <c r="F1525" s="5">
        <f>VLOOKUP(C1525,[1]master_data!$A$2:$E$495,3,FALSE)</f>
        <v>25000</v>
      </c>
      <c r="G1525" s="5">
        <f>VLOOKUP(C1525,[1]master_data!$A$2:$E$495,4,FALSE)</f>
        <v>50000</v>
      </c>
      <c r="H1525" s="5">
        <f t="shared" si="75"/>
        <v>125000</v>
      </c>
      <c r="I1525" s="5">
        <f t="shared" si="76"/>
        <v>250000</v>
      </c>
      <c r="J1525" s="5">
        <f t="shared" si="77"/>
        <v>125000</v>
      </c>
      <c r="K1525" s="5" t="str">
        <f>VLOOKUP(C1525,[1]master_data!$A$2:$E$495,5,FALSE)</f>
        <v>Ikan</v>
      </c>
      <c r="L1525" s="5" t="s">
        <v>471</v>
      </c>
    </row>
    <row r="1526" spans="1:12" ht="12" customHeight="1" x14ac:dyDescent="0.25">
      <c r="A1526" s="6">
        <v>44763</v>
      </c>
      <c r="B1526" s="1">
        <v>2203037</v>
      </c>
      <c r="C1526" s="5" t="s">
        <v>165</v>
      </c>
      <c r="D1526" s="5" t="str">
        <f>VLOOKUP(C1526,[1]master_data!$A$2:$E$495,2,FALSE)</f>
        <v>LED KANDILA VIBRANT 100 CM</v>
      </c>
      <c r="E1526" s="5">
        <v>4</v>
      </c>
      <c r="F1526" s="5">
        <f>VLOOKUP(C1526,[1]master_data!$A$2:$E$495,3,FALSE)</f>
        <v>152500</v>
      </c>
      <c r="G1526" s="5">
        <f>VLOOKUP(C1526,[1]master_data!$A$2:$E$495,4,FALSE)</f>
        <v>200000</v>
      </c>
      <c r="H1526" s="5">
        <f t="shared" si="75"/>
        <v>610000</v>
      </c>
      <c r="I1526" s="5">
        <f t="shared" si="76"/>
        <v>800000</v>
      </c>
      <c r="J1526" s="5">
        <f t="shared" si="77"/>
        <v>190000</v>
      </c>
      <c r="K1526" s="5" t="str">
        <f>VLOOKUP(C1526,[1]master_data!$A$2:$E$495,5,FALSE)</f>
        <v>Aksesoris</v>
      </c>
      <c r="L1526" s="5" t="s">
        <v>471</v>
      </c>
    </row>
    <row r="1527" spans="1:12" ht="12" customHeight="1" x14ac:dyDescent="0.25">
      <c r="A1527" s="6">
        <v>44763</v>
      </c>
      <c r="B1527" s="1">
        <v>2203036</v>
      </c>
      <c r="C1527" s="5" t="s">
        <v>79</v>
      </c>
      <c r="D1527" s="5" t="str">
        <f>VLOOKUP(C1527,[1]master_data!$A$2:$E$495,2,FALSE)</f>
        <v>MESIN KIYOSAKI 107A</v>
      </c>
      <c r="E1527" s="5">
        <v>2</v>
      </c>
      <c r="F1527" s="5">
        <f>VLOOKUP(C1527,[1]master_data!$A$2:$E$495,3,FALSE)</f>
        <v>250000</v>
      </c>
      <c r="G1527" s="5">
        <f>VLOOKUP(C1527,[1]master_data!$A$2:$E$495,4,FALSE)</f>
        <v>300000</v>
      </c>
      <c r="H1527" s="5">
        <f t="shared" si="75"/>
        <v>500000</v>
      </c>
      <c r="I1527" s="5">
        <f t="shared" si="76"/>
        <v>600000</v>
      </c>
      <c r="J1527" s="5">
        <f t="shared" si="77"/>
        <v>100000</v>
      </c>
      <c r="K1527" s="5" t="str">
        <f>VLOOKUP(C1527,[1]master_data!$A$2:$E$495,5,FALSE)</f>
        <v>Aksesoris</v>
      </c>
      <c r="L1527" s="5" t="s">
        <v>471</v>
      </c>
    </row>
    <row r="1528" spans="1:12" ht="12" customHeight="1" x14ac:dyDescent="0.25">
      <c r="A1528" s="6">
        <v>44763</v>
      </c>
      <c r="B1528" s="1">
        <v>2203035</v>
      </c>
      <c r="C1528" s="5" t="s">
        <v>330</v>
      </c>
      <c r="D1528" s="5" t="str">
        <f>VLOOKUP(C1528,[1]master_data!$A$2:$E$495,2,FALSE)</f>
        <v>AIRSTONE D2L3</v>
      </c>
      <c r="E1528" s="5">
        <v>20</v>
      </c>
      <c r="F1528" s="5">
        <f>VLOOKUP(C1528,[1]master_data!$A$2:$E$495,3,FALSE)</f>
        <v>1100</v>
      </c>
      <c r="G1528" s="5">
        <f>VLOOKUP(C1528,[1]master_data!$A$2:$E$495,4,FALSE)</f>
        <v>4000</v>
      </c>
      <c r="H1528" s="5">
        <f t="shared" si="75"/>
        <v>22000</v>
      </c>
      <c r="I1528" s="5">
        <f t="shared" si="76"/>
        <v>80000</v>
      </c>
      <c r="J1528" s="5">
        <f t="shared" si="77"/>
        <v>58000</v>
      </c>
      <c r="K1528" s="5" t="str">
        <f>VLOOKUP(C1528,[1]master_data!$A$2:$E$495,5,FALSE)</f>
        <v>Aksesoris</v>
      </c>
      <c r="L1528" s="5" t="s">
        <v>471</v>
      </c>
    </row>
    <row r="1529" spans="1:12" ht="12" customHeight="1" x14ac:dyDescent="0.25">
      <c r="A1529" s="6">
        <v>44763</v>
      </c>
      <c r="B1529" s="1">
        <v>2203034</v>
      </c>
      <c r="C1529" s="5" t="s">
        <v>435</v>
      </c>
      <c r="D1529" s="5" t="str">
        <f>VLOOKUP(C1529,[1]master_data!$A$2:$E$495,2,FALSE)</f>
        <v>MOLI BALON</v>
      </c>
      <c r="E1529" s="5">
        <v>25</v>
      </c>
      <c r="F1529" s="5">
        <f>VLOOKUP(C1529,[1]master_data!$A$2:$E$495,3,FALSE)</f>
        <v>800</v>
      </c>
      <c r="G1529" s="5">
        <f>VLOOKUP(C1529,[1]master_data!$A$2:$E$495,4,FALSE)</f>
        <v>2000</v>
      </c>
      <c r="H1529" s="5">
        <f t="shared" si="75"/>
        <v>20000</v>
      </c>
      <c r="I1529" s="5">
        <f t="shared" si="76"/>
        <v>50000</v>
      </c>
      <c r="J1529" s="5">
        <f t="shared" si="77"/>
        <v>30000</v>
      </c>
      <c r="K1529" s="5" t="str">
        <f>VLOOKUP(C1529,[1]master_data!$A$2:$E$495,5,FALSE)</f>
        <v>Ikan</v>
      </c>
      <c r="L1529" s="5" t="s">
        <v>471</v>
      </c>
    </row>
    <row r="1530" spans="1:12" ht="12" customHeight="1" x14ac:dyDescent="0.25">
      <c r="A1530" s="6">
        <v>44763</v>
      </c>
      <c r="B1530" s="1">
        <v>2203033</v>
      </c>
      <c r="C1530" s="5" t="s">
        <v>23</v>
      </c>
      <c r="D1530" s="5" t="str">
        <f>VLOOKUP(C1530,[1]master_data!$A$2:$E$495,2,FALSE)</f>
        <v>MESIN ROSTON 3900</v>
      </c>
      <c r="E1530" s="5">
        <v>2</v>
      </c>
      <c r="F1530" s="5">
        <f>VLOOKUP(C1530,[1]master_data!$A$2:$E$495,3,FALSE)</f>
        <v>90000</v>
      </c>
      <c r="G1530" s="5">
        <f>VLOOKUP(C1530,[1]master_data!$A$2:$E$495,4,FALSE)</f>
        <v>150000</v>
      </c>
      <c r="H1530" s="5">
        <f t="shared" si="75"/>
        <v>180000</v>
      </c>
      <c r="I1530" s="5">
        <f t="shared" si="76"/>
        <v>300000</v>
      </c>
      <c r="J1530" s="5">
        <f t="shared" si="77"/>
        <v>120000</v>
      </c>
      <c r="K1530" s="5" t="str">
        <f>VLOOKUP(C1530,[1]master_data!$A$2:$E$495,5,FALSE)</f>
        <v>Aksesoris</v>
      </c>
      <c r="L1530" s="5" t="s">
        <v>471</v>
      </c>
    </row>
    <row r="1531" spans="1:12" ht="12" customHeight="1" x14ac:dyDescent="0.25">
      <c r="A1531" s="6">
        <v>44763</v>
      </c>
      <c r="B1531" s="1">
        <v>2203032</v>
      </c>
      <c r="C1531" s="5" t="s">
        <v>148</v>
      </c>
      <c r="D1531" s="5" t="str">
        <f>VLOOKUP(C1531,[1]master_data!$A$2:$E$495,2,FALSE)</f>
        <v>LED HIKARI 3 MODE 80 CM</v>
      </c>
      <c r="E1531" s="5">
        <v>1</v>
      </c>
      <c r="F1531" s="5">
        <f>VLOOKUP(C1531,[1]master_data!$A$2:$E$495,3,FALSE)</f>
        <v>89000</v>
      </c>
      <c r="G1531" s="5">
        <f>VLOOKUP(C1531,[1]master_data!$A$2:$E$495,4,FALSE)</f>
        <v>140000</v>
      </c>
      <c r="H1531" s="5">
        <f t="shared" si="75"/>
        <v>89000</v>
      </c>
      <c r="I1531" s="5">
        <f t="shared" si="76"/>
        <v>140000</v>
      </c>
      <c r="J1531" s="5">
        <f t="shared" si="77"/>
        <v>51000</v>
      </c>
      <c r="K1531" s="5" t="str">
        <f>VLOOKUP(C1531,[1]master_data!$A$2:$E$495,5,FALSE)</f>
        <v>Aksesoris</v>
      </c>
      <c r="L1531" s="5" t="s">
        <v>471</v>
      </c>
    </row>
    <row r="1532" spans="1:12" ht="12" customHeight="1" x14ac:dyDescent="0.25">
      <c r="A1532" s="6">
        <v>44762</v>
      </c>
      <c r="B1532" s="1">
        <v>2203031</v>
      </c>
      <c r="C1532" s="5" t="s">
        <v>449</v>
      </c>
      <c r="D1532" s="5" t="str">
        <f>VLOOKUP(C1532,[1]master_data!$A$2:$E$495,2,FALSE)</f>
        <v>CHANNA RED BARITO B</v>
      </c>
      <c r="E1532" s="5">
        <v>2</v>
      </c>
      <c r="F1532" s="5">
        <f>VLOOKUP(C1532,[1]master_data!$A$2:$E$495,3,FALSE)</f>
        <v>120000</v>
      </c>
      <c r="G1532" s="5">
        <f>VLOOKUP(C1532,[1]master_data!$A$2:$E$495,4,FALSE)</f>
        <v>200000</v>
      </c>
      <c r="H1532" s="5">
        <f t="shared" si="75"/>
        <v>240000</v>
      </c>
      <c r="I1532" s="5">
        <f t="shared" si="76"/>
        <v>400000</v>
      </c>
      <c r="J1532" s="5">
        <f t="shared" si="77"/>
        <v>160000</v>
      </c>
      <c r="K1532" s="5" t="str">
        <f>VLOOKUP(C1532,[1]master_data!$A$2:$E$495,5,FALSE)</f>
        <v>Ikan</v>
      </c>
      <c r="L1532" s="5" t="s">
        <v>471</v>
      </c>
    </row>
    <row r="1533" spans="1:12" ht="12" customHeight="1" x14ac:dyDescent="0.25">
      <c r="A1533" s="6">
        <v>44762</v>
      </c>
      <c r="B1533" s="1">
        <v>2203030</v>
      </c>
      <c r="C1533" s="5" t="s">
        <v>404</v>
      </c>
      <c r="D1533" s="5" t="str">
        <f>VLOOKUP(C1533,[1]master_data!$A$2:$E$495,2,FALSE)</f>
        <v>CHANNA BLUE PULCHRA B</v>
      </c>
      <c r="E1533" s="5">
        <v>1</v>
      </c>
      <c r="F1533" s="5">
        <f>VLOOKUP(C1533,[1]master_data!$A$2:$E$495,3,FALSE)</f>
        <v>125000</v>
      </c>
      <c r="G1533" s="5">
        <f>VLOOKUP(C1533,[1]master_data!$A$2:$E$495,4,FALSE)</f>
        <v>200000</v>
      </c>
      <c r="H1533" s="5">
        <f t="shared" si="75"/>
        <v>125000</v>
      </c>
      <c r="I1533" s="5">
        <f t="shared" si="76"/>
        <v>200000</v>
      </c>
      <c r="J1533" s="5">
        <f t="shared" si="77"/>
        <v>75000</v>
      </c>
      <c r="K1533" s="5" t="str">
        <f>VLOOKUP(C1533,[1]master_data!$A$2:$E$495,5,FALSE)</f>
        <v>Ikan</v>
      </c>
      <c r="L1533" s="5" t="s">
        <v>471</v>
      </c>
    </row>
    <row r="1534" spans="1:12" ht="12" customHeight="1" x14ac:dyDescent="0.25">
      <c r="A1534" s="6">
        <v>44762</v>
      </c>
      <c r="B1534" s="1">
        <v>2203029</v>
      </c>
      <c r="C1534" s="5" t="s">
        <v>182</v>
      </c>
      <c r="D1534" s="5" t="str">
        <f>VLOOKUP(C1534,[1]master_data!$A$2:$E$495,2,FALSE)</f>
        <v>LED ARMADA 3 MODE M60</v>
      </c>
      <c r="E1534" s="5">
        <v>5</v>
      </c>
      <c r="F1534" s="5">
        <f>VLOOKUP(C1534,[1]master_data!$A$2:$E$495,3,FALSE)</f>
        <v>29000</v>
      </c>
      <c r="G1534" s="5">
        <f>VLOOKUP(C1534,[1]master_data!$A$2:$E$495,4,FALSE)</f>
        <v>60000</v>
      </c>
      <c r="H1534" s="5">
        <f t="shared" si="75"/>
        <v>145000</v>
      </c>
      <c r="I1534" s="5">
        <f t="shared" si="76"/>
        <v>300000</v>
      </c>
      <c r="J1534" s="5">
        <f t="shared" si="77"/>
        <v>155000</v>
      </c>
      <c r="K1534" s="5" t="str">
        <f>VLOOKUP(C1534,[1]master_data!$A$2:$E$495,5,FALSE)</f>
        <v>Aksesoris</v>
      </c>
      <c r="L1534" s="5" t="s">
        <v>471</v>
      </c>
    </row>
    <row r="1535" spans="1:12" ht="12" customHeight="1" x14ac:dyDescent="0.25">
      <c r="A1535" s="6">
        <v>44762</v>
      </c>
      <c r="B1535" s="1">
        <v>2203028</v>
      </c>
      <c r="C1535" s="5" t="s">
        <v>393</v>
      </c>
      <c r="D1535" s="5" t="str">
        <f>VLOOKUP(C1535,[1]master_data!$A$2:$E$495,2,FALSE)</f>
        <v>CHANNA ANDRAO B</v>
      </c>
      <c r="E1535" s="5">
        <v>1</v>
      </c>
      <c r="F1535" s="5">
        <f>VLOOKUP(C1535,[1]master_data!$A$2:$E$495,3,FALSE)</f>
        <v>100000</v>
      </c>
      <c r="G1535" s="5">
        <f>VLOOKUP(C1535,[1]master_data!$A$2:$E$495,4,FALSE)</f>
        <v>200000</v>
      </c>
      <c r="H1535" s="5">
        <f t="shared" si="75"/>
        <v>100000</v>
      </c>
      <c r="I1535" s="5">
        <f t="shared" si="76"/>
        <v>200000</v>
      </c>
      <c r="J1535" s="5">
        <f t="shared" si="77"/>
        <v>100000</v>
      </c>
      <c r="K1535" s="5" t="str">
        <f>VLOOKUP(C1535,[1]master_data!$A$2:$E$495,5,FALSE)</f>
        <v>Ikan</v>
      </c>
      <c r="L1535" s="5" t="s">
        <v>471</v>
      </c>
    </row>
    <row r="1536" spans="1:12" ht="12" customHeight="1" x14ac:dyDescent="0.25">
      <c r="A1536" s="6">
        <v>44762</v>
      </c>
      <c r="B1536" s="1">
        <v>2203027</v>
      </c>
      <c r="C1536" s="5" t="s">
        <v>406</v>
      </c>
      <c r="D1536" s="5" t="str">
        <f>VLOOKUP(C1536,[1]master_data!$A$2:$E$495,2,FALSE)</f>
        <v>BARBIR</v>
      </c>
      <c r="E1536" s="5">
        <v>10</v>
      </c>
      <c r="F1536" s="5">
        <f>VLOOKUP(C1536,[1]master_data!$A$2:$E$495,3,FALSE)</f>
        <v>800</v>
      </c>
      <c r="G1536" s="5">
        <f>VLOOKUP(C1536,[1]master_data!$A$2:$E$495,4,FALSE)</f>
        <v>2000</v>
      </c>
      <c r="H1536" s="5">
        <f t="shared" si="75"/>
        <v>8000</v>
      </c>
      <c r="I1536" s="5">
        <f t="shared" si="76"/>
        <v>20000</v>
      </c>
      <c r="J1536" s="5">
        <f t="shared" si="77"/>
        <v>12000</v>
      </c>
      <c r="K1536" s="5" t="str">
        <f>VLOOKUP(C1536,[1]master_data!$A$2:$E$495,5,FALSE)</f>
        <v>Ikan</v>
      </c>
      <c r="L1536" s="5" t="s">
        <v>471</v>
      </c>
    </row>
    <row r="1537" spans="1:12" ht="12" customHeight="1" x14ac:dyDescent="0.25">
      <c r="A1537" s="6">
        <v>44762</v>
      </c>
      <c r="B1537" s="1">
        <v>2203026</v>
      </c>
      <c r="C1537" s="5" t="s">
        <v>325</v>
      </c>
      <c r="D1537" s="5" t="str">
        <f>VLOOKUP(C1537,[1]master_data!$A$2:$E$495,2,FALSE)</f>
        <v>JARING PENDEK BULAT</v>
      </c>
      <c r="E1537" s="5">
        <v>2</v>
      </c>
      <c r="F1537" s="5">
        <f>VLOOKUP(C1537,[1]master_data!$A$2:$E$495,3,FALSE)</f>
        <v>15000</v>
      </c>
      <c r="G1537" s="5">
        <f>VLOOKUP(C1537,[1]master_data!$A$2:$E$495,4,FALSE)</f>
        <v>30000</v>
      </c>
      <c r="H1537" s="5">
        <f t="shared" si="75"/>
        <v>30000</v>
      </c>
      <c r="I1537" s="5">
        <f t="shared" si="76"/>
        <v>60000</v>
      </c>
      <c r="J1537" s="5">
        <f t="shared" si="77"/>
        <v>30000</v>
      </c>
      <c r="K1537" s="5" t="str">
        <f>VLOOKUP(C1537,[1]master_data!$A$2:$E$495,5,FALSE)</f>
        <v>Aksesoris</v>
      </c>
      <c r="L1537" s="5" t="s">
        <v>471</v>
      </c>
    </row>
    <row r="1538" spans="1:12" ht="12" customHeight="1" x14ac:dyDescent="0.25">
      <c r="A1538" s="6">
        <v>44762</v>
      </c>
      <c r="B1538" s="1">
        <v>2203025</v>
      </c>
      <c r="C1538" s="5" t="s">
        <v>385</v>
      </c>
      <c r="D1538" s="5" t="str">
        <f>VLOOKUP(C1538,[1]master_data!$A$2:$E$495,2,FALSE)</f>
        <v>BATU ZELOID</v>
      </c>
      <c r="E1538" s="5">
        <v>1</v>
      </c>
      <c r="F1538" s="5">
        <f>VLOOKUP(C1538,[1]master_data!$A$2:$E$495,3,FALSE)</f>
        <v>25000</v>
      </c>
      <c r="G1538" s="5">
        <f>VLOOKUP(C1538,[1]master_data!$A$2:$E$495,4,FALSE)</f>
        <v>35000</v>
      </c>
      <c r="H1538" s="5">
        <f t="shared" si="75"/>
        <v>25000</v>
      </c>
      <c r="I1538" s="5">
        <f t="shared" si="76"/>
        <v>35000</v>
      </c>
      <c r="J1538" s="5">
        <f t="shared" si="77"/>
        <v>10000</v>
      </c>
      <c r="K1538" s="5" t="str">
        <f>VLOOKUP(C1538,[1]master_data!$A$2:$E$495,5,FALSE)</f>
        <v>Aksesoris</v>
      </c>
      <c r="L1538" s="5" t="s">
        <v>471</v>
      </c>
    </row>
    <row r="1539" spans="1:12" ht="12" customHeight="1" x14ac:dyDescent="0.25">
      <c r="A1539" s="6">
        <v>44762</v>
      </c>
      <c r="B1539" s="1">
        <v>2203024</v>
      </c>
      <c r="C1539" s="5" t="s">
        <v>362</v>
      </c>
      <c r="D1539" s="5" t="str">
        <f>VLOOKUP(C1539,[1]master_data!$A$2:$E$495,2,FALSE)</f>
        <v>AKUARIUM 50 POLOS</v>
      </c>
      <c r="E1539" s="5">
        <v>1</v>
      </c>
      <c r="F1539" s="5">
        <f>VLOOKUP(C1539,[1]master_data!$A$2:$E$495,3,FALSE)</f>
        <v>100000</v>
      </c>
      <c r="G1539" s="5">
        <f>VLOOKUP(C1539,[1]master_data!$A$2:$E$495,4,FALSE)</f>
        <v>130000</v>
      </c>
      <c r="H1539" s="5">
        <f t="shared" si="75"/>
        <v>100000</v>
      </c>
      <c r="I1539" s="5">
        <f t="shared" si="76"/>
        <v>130000</v>
      </c>
      <c r="J1539" s="5">
        <f t="shared" si="77"/>
        <v>30000</v>
      </c>
      <c r="K1539" s="5" t="str">
        <f>VLOOKUP(C1539,[1]master_data!$A$2:$E$495,5,FALSE)</f>
        <v>Aksesoris</v>
      </c>
      <c r="L1539" s="5" t="s">
        <v>471</v>
      </c>
    </row>
    <row r="1540" spans="1:12" ht="12" customHeight="1" x14ac:dyDescent="0.25">
      <c r="A1540" s="6">
        <v>44761</v>
      </c>
      <c r="B1540" s="1">
        <v>2203023</v>
      </c>
      <c r="C1540" s="5" t="s">
        <v>251</v>
      </c>
      <c r="D1540" s="5" t="str">
        <f>VLOOKUP(C1540,[1]master_data!$A$2:$E$495,2,FALSE)</f>
        <v>AIRSTONE 60</v>
      </c>
      <c r="E1540" s="5">
        <v>5</v>
      </c>
      <c r="F1540" s="5">
        <f>VLOOKUP(C1540,[1]master_data!$A$2:$E$495,3,FALSE)</f>
        <v>8000</v>
      </c>
      <c r="G1540" s="5">
        <f>VLOOKUP(C1540,[1]master_data!$A$2:$E$495,4,FALSE)</f>
        <v>17000</v>
      </c>
      <c r="H1540" s="5">
        <f t="shared" si="75"/>
        <v>40000</v>
      </c>
      <c r="I1540" s="5">
        <f t="shared" si="76"/>
        <v>85000</v>
      </c>
      <c r="J1540" s="5">
        <f t="shared" si="77"/>
        <v>45000</v>
      </c>
      <c r="K1540" s="5" t="str">
        <f>VLOOKUP(C1540,[1]master_data!$A$2:$E$495,5,FALSE)</f>
        <v>Aksesoris</v>
      </c>
      <c r="L1540" s="5" t="s">
        <v>471</v>
      </c>
    </row>
    <row r="1541" spans="1:12" ht="12" customHeight="1" x14ac:dyDescent="0.25">
      <c r="A1541" s="6">
        <v>44761</v>
      </c>
      <c r="B1541" s="1">
        <v>2203022</v>
      </c>
      <c r="C1541" s="5" t="s">
        <v>261</v>
      </c>
      <c r="D1541" s="5" t="str">
        <f>VLOOKUP(C1541,[1]master_data!$A$2:$E$495,2,FALSE)</f>
        <v>BONSAI</v>
      </c>
      <c r="E1541" s="5">
        <v>10</v>
      </c>
      <c r="F1541" s="5">
        <f>VLOOKUP(C1541,[1]master_data!$A$2:$E$495,3,FALSE)</f>
        <v>15000</v>
      </c>
      <c r="G1541" s="5">
        <f>VLOOKUP(C1541,[1]master_data!$A$2:$E$495,4,FALSE)</f>
        <v>20000</v>
      </c>
      <c r="H1541" s="5">
        <f t="shared" ref="H1541:H1604" si="78">E1541*F1541</f>
        <v>150000</v>
      </c>
      <c r="I1541" s="5">
        <f t="shared" ref="I1541:I1604" si="79">E1541*G1541</f>
        <v>200000</v>
      </c>
      <c r="J1541" s="5">
        <f t="shared" ref="J1541:J1604" si="80">I1541-H1541</f>
        <v>50000</v>
      </c>
      <c r="K1541" s="5" t="str">
        <f>VLOOKUP(C1541,[1]master_data!$A$2:$E$495,5,FALSE)</f>
        <v>Aksesoris</v>
      </c>
      <c r="L1541" s="5" t="s">
        <v>471</v>
      </c>
    </row>
    <row r="1542" spans="1:12" ht="12" customHeight="1" x14ac:dyDescent="0.25">
      <c r="A1542" s="6">
        <v>44761</v>
      </c>
      <c r="B1542" s="1">
        <v>2203021</v>
      </c>
      <c r="C1542" s="5" t="s">
        <v>222</v>
      </c>
      <c r="D1542" s="5" t="str">
        <f>VLOOKUP(C1542,[1]master_data!$A$2:$E$495,2,FALSE)</f>
        <v>CP KOI COLOUR</v>
      </c>
      <c r="E1542" s="5">
        <v>10</v>
      </c>
      <c r="F1542" s="5">
        <f>VLOOKUP(C1542,[1]master_data!$A$2:$E$495,3,FALSE)</f>
        <v>38000</v>
      </c>
      <c r="G1542" s="5">
        <f>VLOOKUP(C1542,[1]master_data!$A$2:$E$495,4,FALSE)</f>
        <v>50000</v>
      </c>
      <c r="H1542" s="5">
        <f t="shared" si="78"/>
        <v>380000</v>
      </c>
      <c r="I1542" s="5">
        <f t="shared" si="79"/>
        <v>500000</v>
      </c>
      <c r="J1542" s="5">
        <f t="shared" si="80"/>
        <v>120000</v>
      </c>
      <c r="K1542" s="5" t="str">
        <f>VLOOKUP(C1542,[1]master_data!$A$2:$E$495,5,FALSE)</f>
        <v>Aksesoris</v>
      </c>
      <c r="L1542" s="5" t="s">
        <v>471</v>
      </c>
    </row>
    <row r="1543" spans="1:12" ht="12" customHeight="1" x14ac:dyDescent="0.25">
      <c r="A1543" s="6">
        <v>44761</v>
      </c>
      <c r="B1543" s="1">
        <v>2203020</v>
      </c>
      <c r="C1543" s="5" t="s">
        <v>46</v>
      </c>
      <c r="D1543" s="5" t="str">
        <f>VLOOKUP(C1543,[1]master_data!$A$2:$E$495,2,FALSE)</f>
        <v>MESIN NIKITA 104</v>
      </c>
      <c r="E1543" s="5">
        <v>1</v>
      </c>
      <c r="F1543" s="5">
        <f>VLOOKUP(C1543,[1]master_data!$A$2:$E$495,3,FALSE)</f>
        <v>70000</v>
      </c>
      <c r="G1543" s="5">
        <f>VLOOKUP(C1543,[1]master_data!$A$2:$E$495,4,FALSE)</f>
        <v>120000</v>
      </c>
      <c r="H1543" s="5">
        <f t="shared" si="78"/>
        <v>70000</v>
      </c>
      <c r="I1543" s="5">
        <f t="shared" si="79"/>
        <v>120000</v>
      </c>
      <c r="J1543" s="5">
        <f t="shared" si="80"/>
        <v>50000</v>
      </c>
      <c r="K1543" s="5" t="str">
        <f>VLOOKUP(C1543,[1]master_data!$A$2:$E$495,5,FALSE)</f>
        <v>Aksesoris</v>
      </c>
      <c r="L1543" s="5" t="s">
        <v>471</v>
      </c>
    </row>
    <row r="1544" spans="1:12" ht="12" customHeight="1" x14ac:dyDescent="0.25">
      <c r="A1544" s="6">
        <v>44761</v>
      </c>
      <c r="B1544" s="1">
        <v>2203019</v>
      </c>
      <c r="C1544" s="5" t="s">
        <v>369</v>
      </c>
      <c r="D1544" s="5" t="str">
        <f>VLOOKUP(C1544,[1]master_data!$A$2:$E$495,2,FALSE)</f>
        <v>TEMPAT CUPANG</v>
      </c>
      <c r="E1544" s="5">
        <v>20</v>
      </c>
      <c r="F1544" s="5">
        <f>VLOOKUP(C1544,[1]master_data!$A$2:$E$495,3,FALSE)</f>
        <v>2500</v>
      </c>
      <c r="G1544" s="5">
        <f>VLOOKUP(C1544,[1]master_data!$A$2:$E$495,4,FALSE)</f>
        <v>5000</v>
      </c>
      <c r="H1544" s="5">
        <f t="shared" si="78"/>
        <v>50000</v>
      </c>
      <c r="I1544" s="5">
        <f t="shared" si="79"/>
        <v>100000</v>
      </c>
      <c r="J1544" s="5">
        <f t="shared" si="80"/>
        <v>50000</v>
      </c>
      <c r="K1544" s="5" t="str">
        <f>VLOOKUP(C1544,[1]master_data!$A$2:$E$495,5,FALSE)</f>
        <v>Aksesoris</v>
      </c>
      <c r="L1544" s="5" t="s">
        <v>471</v>
      </c>
    </row>
    <row r="1545" spans="1:12" ht="12" customHeight="1" x14ac:dyDescent="0.25">
      <c r="A1545" s="6">
        <v>44761</v>
      </c>
      <c r="B1545" s="1">
        <v>2203018</v>
      </c>
      <c r="C1545" s="5" t="s">
        <v>216</v>
      </c>
      <c r="D1545" s="5" t="str">
        <f>VLOOKUP(C1545,[1]master_data!$A$2:$E$495,2,FALSE)</f>
        <v>HOKKY LOUHAN COLOUR</v>
      </c>
      <c r="E1545" s="5">
        <v>1</v>
      </c>
      <c r="F1545" s="5">
        <f>VLOOKUP(C1545,[1]master_data!$A$2:$E$495,3,FALSE)</f>
        <v>18000</v>
      </c>
      <c r="G1545" s="5">
        <f>VLOOKUP(C1545,[1]master_data!$A$2:$E$495,4,FALSE)</f>
        <v>25000</v>
      </c>
      <c r="H1545" s="5">
        <f t="shared" si="78"/>
        <v>18000</v>
      </c>
      <c r="I1545" s="5">
        <f t="shared" si="79"/>
        <v>25000</v>
      </c>
      <c r="J1545" s="5">
        <f t="shared" si="80"/>
        <v>7000</v>
      </c>
      <c r="K1545" s="5" t="str">
        <f>VLOOKUP(C1545,[1]master_data!$A$2:$E$495,5,FALSE)</f>
        <v>Aksesoris</v>
      </c>
      <c r="L1545" s="5" t="s">
        <v>471</v>
      </c>
    </row>
    <row r="1546" spans="1:12" ht="12" customHeight="1" x14ac:dyDescent="0.25">
      <c r="A1546" s="6">
        <v>44761</v>
      </c>
      <c r="B1546" s="1">
        <v>2203017</v>
      </c>
      <c r="C1546" s="5" t="s">
        <v>455</v>
      </c>
      <c r="D1546" s="5" t="str">
        <f>VLOOKUP(C1546,[1]master_data!$A$2:$E$495,2,FALSE)</f>
        <v>TETRA</v>
      </c>
      <c r="E1546" s="5">
        <v>25</v>
      </c>
      <c r="F1546" s="5">
        <f>VLOOKUP(C1546,[1]master_data!$A$2:$E$495,3,FALSE)</f>
        <v>800</v>
      </c>
      <c r="G1546" s="5">
        <f>VLOOKUP(C1546,[1]master_data!$A$2:$E$495,4,FALSE)</f>
        <v>2000</v>
      </c>
      <c r="H1546" s="5">
        <f t="shared" si="78"/>
        <v>20000</v>
      </c>
      <c r="I1546" s="5">
        <f t="shared" si="79"/>
        <v>50000</v>
      </c>
      <c r="J1546" s="5">
        <f t="shared" si="80"/>
        <v>30000</v>
      </c>
      <c r="K1546" s="5" t="str">
        <f>VLOOKUP(C1546,[1]master_data!$A$2:$E$495,5,FALSE)</f>
        <v>Ikan</v>
      </c>
      <c r="L1546" s="5" t="s">
        <v>471</v>
      </c>
    </row>
    <row r="1547" spans="1:12" ht="12" customHeight="1" x14ac:dyDescent="0.25">
      <c r="A1547" s="6">
        <v>44761</v>
      </c>
      <c r="B1547" s="1">
        <v>2203016</v>
      </c>
      <c r="C1547" s="5" t="s">
        <v>162</v>
      </c>
      <c r="D1547" s="5" t="str">
        <f>VLOOKUP(C1547,[1]master_data!$A$2:$E$495,2,FALSE)</f>
        <v>LED KANDILA PRO RED 100 CM</v>
      </c>
      <c r="E1547" s="5">
        <v>2</v>
      </c>
      <c r="F1547" s="5">
        <f>VLOOKUP(C1547,[1]master_data!$A$2:$E$495,3,FALSE)</f>
        <v>225000</v>
      </c>
      <c r="G1547" s="5">
        <f>VLOOKUP(C1547,[1]master_data!$A$2:$E$495,4,FALSE)</f>
        <v>270000</v>
      </c>
      <c r="H1547" s="5">
        <f t="shared" si="78"/>
        <v>450000</v>
      </c>
      <c r="I1547" s="5">
        <f t="shared" si="79"/>
        <v>540000</v>
      </c>
      <c r="J1547" s="5">
        <f t="shared" si="80"/>
        <v>90000</v>
      </c>
      <c r="K1547" s="5" t="str">
        <f>VLOOKUP(C1547,[1]master_data!$A$2:$E$495,5,FALSE)</f>
        <v>Aksesoris</v>
      </c>
      <c r="L1547" s="5" t="s">
        <v>471</v>
      </c>
    </row>
    <row r="1548" spans="1:12" ht="12" customHeight="1" x14ac:dyDescent="0.25">
      <c r="A1548" s="6">
        <v>44761</v>
      </c>
      <c r="B1548" s="1">
        <v>2203015</v>
      </c>
      <c r="C1548" s="5" t="s">
        <v>453</v>
      </c>
      <c r="D1548" s="5" t="str">
        <f>VLOOKUP(C1548,[1]master_data!$A$2:$E$495,2,FALSE)</f>
        <v>SYNODONTIS K</v>
      </c>
      <c r="E1548" s="5">
        <v>30</v>
      </c>
      <c r="F1548" s="5">
        <f>VLOOKUP(C1548,[1]master_data!$A$2:$E$495,3,FALSE)</f>
        <v>1500</v>
      </c>
      <c r="G1548" s="5">
        <f>VLOOKUP(C1548,[1]master_data!$A$2:$E$495,4,FALSE)</f>
        <v>5000</v>
      </c>
      <c r="H1548" s="5">
        <f t="shared" si="78"/>
        <v>45000</v>
      </c>
      <c r="I1548" s="5">
        <f t="shared" si="79"/>
        <v>150000</v>
      </c>
      <c r="J1548" s="5">
        <f t="shared" si="80"/>
        <v>105000</v>
      </c>
      <c r="K1548" s="5" t="str">
        <f>VLOOKUP(C1548,[1]master_data!$A$2:$E$495,5,FALSE)</f>
        <v>Ikan</v>
      </c>
      <c r="L1548" s="5" t="s">
        <v>471</v>
      </c>
    </row>
    <row r="1549" spans="1:12" ht="12" customHeight="1" x14ac:dyDescent="0.25">
      <c r="A1549" s="6">
        <v>44761</v>
      </c>
      <c r="B1549" s="1">
        <v>2203014</v>
      </c>
      <c r="C1549" s="5" t="s">
        <v>390</v>
      </c>
      <c r="D1549" s="5" t="str">
        <f>VLOOKUP(C1549,[1]master_data!$A$2:$E$495,2,FALSE)</f>
        <v>CHANNA ASIATICA K</v>
      </c>
      <c r="E1549" s="5">
        <v>1</v>
      </c>
      <c r="F1549" s="5">
        <f>VLOOKUP(C1549,[1]master_data!$A$2:$E$495,3,FALSE)</f>
        <v>10000</v>
      </c>
      <c r="G1549" s="5">
        <f>VLOOKUP(C1549,[1]master_data!$A$2:$E$495,4,FALSE)</f>
        <v>40000</v>
      </c>
      <c r="H1549" s="5">
        <f t="shared" si="78"/>
        <v>10000</v>
      </c>
      <c r="I1549" s="5">
        <f t="shared" si="79"/>
        <v>40000</v>
      </c>
      <c r="J1549" s="5">
        <f t="shared" si="80"/>
        <v>30000</v>
      </c>
      <c r="K1549" s="5" t="str">
        <f>VLOOKUP(C1549,[1]master_data!$A$2:$E$495,5,FALSE)</f>
        <v>Ikan</v>
      </c>
      <c r="L1549" s="5" t="s">
        <v>471</v>
      </c>
    </row>
    <row r="1550" spans="1:12" ht="12" customHeight="1" x14ac:dyDescent="0.25">
      <c r="A1550" s="6">
        <v>44761</v>
      </c>
      <c r="B1550" s="1">
        <v>2203013</v>
      </c>
      <c r="C1550" s="5" t="s">
        <v>315</v>
      </c>
      <c r="D1550" s="5" t="str">
        <f>VLOOKUP(C1550,[1]master_data!$A$2:$E$495,2,FALSE)</f>
        <v>T SELANG</v>
      </c>
      <c r="E1550" s="5">
        <v>20</v>
      </c>
      <c r="F1550" s="5">
        <f>VLOOKUP(C1550,[1]master_data!$A$2:$E$495,3,FALSE)</f>
        <v>750</v>
      </c>
      <c r="G1550" s="5">
        <f>VLOOKUP(C1550,[1]master_data!$A$2:$E$495,4,FALSE)</f>
        <v>1500</v>
      </c>
      <c r="H1550" s="5">
        <f t="shared" si="78"/>
        <v>15000</v>
      </c>
      <c r="I1550" s="5">
        <f t="shared" si="79"/>
        <v>30000</v>
      </c>
      <c r="J1550" s="5">
        <f t="shared" si="80"/>
        <v>15000</v>
      </c>
      <c r="K1550" s="5" t="str">
        <f>VLOOKUP(C1550,[1]master_data!$A$2:$E$495,5,FALSE)</f>
        <v>Aksesoris</v>
      </c>
      <c r="L1550" s="5" t="s">
        <v>471</v>
      </c>
    </row>
    <row r="1551" spans="1:12" ht="12" customHeight="1" x14ac:dyDescent="0.25">
      <c r="A1551" s="6">
        <v>44760</v>
      </c>
      <c r="B1551" s="1">
        <v>2203012</v>
      </c>
      <c r="C1551" s="5" t="s">
        <v>430</v>
      </c>
      <c r="D1551" s="5" t="str">
        <f>VLOOKUP(C1551,[1]master_data!$A$2:$E$495,2,FALSE)</f>
        <v>MANFISH K</v>
      </c>
      <c r="E1551" s="5">
        <v>14</v>
      </c>
      <c r="F1551" s="5">
        <f>VLOOKUP(C1551,[1]master_data!$A$2:$E$495,3,FALSE)</f>
        <v>2000</v>
      </c>
      <c r="G1551" s="5">
        <f>VLOOKUP(C1551,[1]master_data!$A$2:$E$495,4,FALSE)</f>
        <v>5000</v>
      </c>
      <c r="H1551" s="5">
        <f t="shared" si="78"/>
        <v>28000</v>
      </c>
      <c r="I1551" s="5">
        <f t="shared" si="79"/>
        <v>70000</v>
      </c>
      <c r="J1551" s="5">
        <f t="shared" si="80"/>
        <v>42000</v>
      </c>
      <c r="K1551" s="5" t="str">
        <f>VLOOKUP(C1551,[1]master_data!$A$2:$E$495,5,FALSE)</f>
        <v>Ikan</v>
      </c>
      <c r="L1551" s="5" t="s">
        <v>471</v>
      </c>
    </row>
    <row r="1552" spans="1:12" ht="12" customHeight="1" x14ac:dyDescent="0.25">
      <c r="A1552" s="6">
        <v>44760</v>
      </c>
      <c r="B1552" s="1">
        <v>2203011</v>
      </c>
      <c r="C1552" s="5" t="s">
        <v>361</v>
      </c>
      <c r="D1552" s="5" t="str">
        <f>VLOOKUP(C1552,[1]master_data!$A$2:$E$495,2,FALSE)</f>
        <v>AKUARIUM 60 POLOS</v>
      </c>
      <c r="E1552" s="5">
        <v>1</v>
      </c>
      <c r="F1552" s="5">
        <f>VLOOKUP(C1552,[1]master_data!$A$2:$E$495,3,FALSE)</f>
        <v>120000</v>
      </c>
      <c r="G1552" s="5">
        <f>VLOOKUP(C1552,[1]master_data!$A$2:$E$495,4,FALSE)</f>
        <v>175000</v>
      </c>
      <c r="H1552" s="5">
        <f t="shared" si="78"/>
        <v>120000</v>
      </c>
      <c r="I1552" s="5">
        <f t="shared" si="79"/>
        <v>175000</v>
      </c>
      <c r="J1552" s="5">
        <f t="shared" si="80"/>
        <v>55000</v>
      </c>
      <c r="K1552" s="5" t="str">
        <f>VLOOKUP(C1552,[1]master_data!$A$2:$E$495,5,FALSE)</f>
        <v>Aksesoris</v>
      </c>
      <c r="L1552" s="5" t="s">
        <v>471</v>
      </c>
    </row>
    <row r="1553" spans="1:12" ht="12" customHeight="1" x14ac:dyDescent="0.25">
      <c r="A1553" s="6">
        <v>44760</v>
      </c>
      <c r="B1553" s="1">
        <v>2203010</v>
      </c>
      <c r="C1553" s="5" t="s">
        <v>281</v>
      </c>
      <c r="D1553" s="5" t="str">
        <f>VLOOKUP(C1553,[1]master_data!$A$2:$E$495,2,FALSE)</f>
        <v>KRAN 3 W</v>
      </c>
      <c r="E1553" s="5">
        <v>20</v>
      </c>
      <c r="F1553" s="5">
        <f>VLOOKUP(C1553,[1]master_data!$A$2:$E$495,3,FALSE)</f>
        <v>5500</v>
      </c>
      <c r="G1553" s="5">
        <f>VLOOKUP(C1553,[1]master_data!$A$2:$E$495,4,FALSE)</f>
        <v>8000</v>
      </c>
      <c r="H1553" s="5">
        <f t="shared" si="78"/>
        <v>110000</v>
      </c>
      <c r="I1553" s="5">
        <f t="shared" si="79"/>
        <v>160000</v>
      </c>
      <c r="J1553" s="5">
        <f t="shared" si="80"/>
        <v>50000</v>
      </c>
      <c r="K1553" s="5" t="str">
        <f>VLOOKUP(C1553,[1]master_data!$A$2:$E$495,5,FALSE)</f>
        <v>Aksesoris</v>
      </c>
      <c r="L1553" s="5" t="s">
        <v>471</v>
      </c>
    </row>
    <row r="1554" spans="1:12" ht="12" customHeight="1" x14ac:dyDescent="0.25">
      <c r="A1554" s="6">
        <v>44760</v>
      </c>
      <c r="B1554" s="1">
        <v>2203009</v>
      </c>
      <c r="C1554" s="5" t="s">
        <v>442</v>
      </c>
      <c r="D1554" s="5" t="str">
        <f>VLOOKUP(C1554,[1]master_data!$A$2:$E$495,2,FALSE)</f>
        <v>PEMBERSIH KACA ALBINO</v>
      </c>
      <c r="E1554" s="5">
        <v>30</v>
      </c>
      <c r="F1554" s="5">
        <f>VLOOKUP(C1554,[1]master_data!$A$2:$E$495,3,FALSE)</f>
        <v>2500</v>
      </c>
      <c r="G1554" s="5">
        <f>VLOOKUP(C1554,[1]master_data!$A$2:$E$495,4,FALSE)</f>
        <v>5000</v>
      </c>
      <c r="H1554" s="5">
        <f t="shared" si="78"/>
        <v>75000</v>
      </c>
      <c r="I1554" s="5">
        <f t="shared" si="79"/>
        <v>150000</v>
      </c>
      <c r="J1554" s="5">
        <f t="shared" si="80"/>
        <v>75000</v>
      </c>
      <c r="K1554" s="5" t="str">
        <f>VLOOKUP(C1554,[1]master_data!$A$2:$E$495,5,FALSE)</f>
        <v>Ikan</v>
      </c>
      <c r="L1554" s="5" t="s">
        <v>471</v>
      </c>
    </row>
    <row r="1555" spans="1:12" ht="12" customHeight="1" x14ac:dyDescent="0.25">
      <c r="A1555" s="6">
        <v>44760</v>
      </c>
      <c r="B1555" s="1">
        <v>2203008</v>
      </c>
      <c r="C1555" s="5" t="s">
        <v>327</v>
      </c>
      <c r="D1555" s="5" t="str">
        <f>VLOOKUP(C1555,[1]master_data!$A$2:$E$495,2,FALSE)</f>
        <v>AIRSTONE K</v>
      </c>
      <c r="E1555" s="5">
        <v>1</v>
      </c>
      <c r="F1555" s="5">
        <f>VLOOKUP(C1555,[1]master_data!$A$2:$E$495,3,FALSE)</f>
        <v>850</v>
      </c>
      <c r="G1555" s="5">
        <f>VLOOKUP(C1555,[1]master_data!$A$2:$E$495,4,FALSE)</f>
        <v>3000</v>
      </c>
      <c r="H1555" s="5">
        <f t="shared" si="78"/>
        <v>850</v>
      </c>
      <c r="I1555" s="5">
        <f t="shared" si="79"/>
        <v>3000</v>
      </c>
      <c r="J1555" s="5">
        <f t="shared" si="80"/>
        <v>2150</v>
      </c>
      <c r="K1555" s="5" t="str">
        <f>VLOOKUP(C1555,[1]master_data!$A$2:$E$495,5,FALSE)</f>
        <v>Aksesoris</v>
      </c>
      <c r="L1555" s="5" t="s">
        <v>471</v>
      </c>
    </row>
    <row r="1556" spans="1:12" ht="12" customHeight="1" x14ac:dyDescent="0.25">
      <c r="A1556" s="6">
        <v>44760</v>
      </c>
      <c r="B1556" s="1">
        <v>2203007</v>
      </c>
      <c r="C1556" s="5" t="s">
        <v>20</v>
      </c>
      <c r="D1556" s="5" t="str">
        <f>VLOOKUP(C1556,[1]master_data!$A$2:$E$495,2,FALSE)</f>
        <v>MESIN ROSTON 1200</v>
      </c>
      <c r="E1556" s="5">
        <v>1</v>
      </c>
      <c r="F1556" s="5">
        <f>VLOOKUP(C1556,[1]master_data!$A$2:$E$495,3,FALSE)</f>
        <v>23000</v>
      </c>
      <c r="G1556" s="5">
        <f>VLOOKUP(C1556,[1]master_data!$A$2:$E$495,4,FALSE)</f>
        <v>35000</v>
      </c>
      <c r="H1556" s="5">
        <f t="shared" si="78"/>
        <v>23000</v>
      </c>
      <c r="I1556" s="5">
        <f t="shared" si="79"/>
        <v>35000</v>
      </c>
      <c r="J1556" s="5">
        <f t="shared" si="80"/>
        <v>12000</v>
      </c>
      <c r="K1556" s="5" t="str">
        <f>VLOOKUP(C1556,[1]master_data!$A$2:$E$495,5,FALSE)</f>
        <v>Aksesoris</v>
      </c>
      <c r="L1556" s="5" t="s">
        <v>471</v>
      </c>
    </row>
    <row r="1557" spans="1:12" ht="12" customHeight="1" x14ac:dyDescent="0.25">
      <c r="A1557" s="6">
        <v>44760</v>
      </c>
      <c r="B1557" s="1">
        <v>2203006</v>
      </c>
      <c r="C1557" s="5" t="s">
        <v>328</v>
      </c>
      <c r="D1557" s="5" t="str">
        <f>VLOOKUP(C1557,[1]master_data!$A$2:$E$495,2,FALSE)</f>
        <v>AIRSONE PUTIH</v>
      </c>
      <c r="E1557" s="5">
        <v>1</v>
      </c>
      <c r="F1557" s="5">
        <f>VLOOKUP(C1557,[1]master_data!$A$2:$E$495,3,FALSE)</f>
        <v>3000</v>
      </c>
      <c r="G1557" s="5">
        <f>VLOOKUP(C1557,[1]master_data!$A$2:$E$495,4,FALSE)</f>
        <v>5000</v>
      </c>
      <c r="H1557" s="5">
        <f t="shared" si="78"/>
        <v>3000</v>
      </c>
      <c r="I1557" s="5">
        <f t="shared" si="79"/>
        <v>5000</v>
      </c>
      <c r="J1557" s="5">
        <f t="shared" si="80"/>
        <v>2000</v>
      </c>
      <c r="K1557" s="5" t="str">
        <f>VLOOKUP(C1557,[1]master_data!$A$2:$E$495,5,FALSE)</f>
        <v>Aksesoris</v>
      </c>
      <c r="L1557" s="5" t="s">
        <v>471</v>
      </c>
    </row>
    <row r="1558" spans="1:12" ht="12" customHeight="1" x14ac:dyDescent="0.25">
      <c r="A1558" s="6">
        <v>44760</v>
      </c>
      <c r="B1558" s="1">
        <v>2203005</v>
      </c>
      <c r="C1558" s="5" t="s">
        <v>392</v>
      </c>
      <c r="D1558" s="5" t="str">
        <f>VLOOKUP(C1558,[1]master_data!$A$2:$E$495,2,FALSE)</f>
        <v>CHANNA ASIATICA B</v>
      </c>
      <c r="E1558" s="5">
        <v>5</v>
      </c>
      <c r="F1558" s="5">
        <f>VLOOKUP(C1558,[1]master_data!$A$2:$E$495,3,FALSE)</f>
        <v>40000</v>
      </c>
      <c r="G1558" s="5">
        <f>VLOOKUP(C1558,[1]master_data!$A$2:$E$495,4,FALSE)</f>
        <v>100000</v>
      </c>
      <c r="H1558" s="5">
        <f t="shared" si="78"/>
        <v>200000</v>
      </c>
      <c r="I1558" s="5">
        <f t="shared" si="79"/>
        <v>500000</v>
      </c>
      <c r="J1558" s="5">
        <f t="shared" si="80"/>
        <v>300000</v>
      </c>
      <c r="K1558" s="5" t="str">
        <f>VLOOKUP(C1558,[1]master_data!$A$2:$E$495,5,FALSE)</f>
        <v>Ikan</v>
      </c>
      <c r="L1558" s="5" t="s">
        <v>471</v>
      </c>
    </row>
    <row r="1559" spans="1:12" ht="12" customHeight="1" x14ac:dyDescent="0.25">
      <c r="A1559" s="6">
        <v>44760</v>
      </c>
      <c r="B1559" s="1">
        <v>2203004</v>
      </c>
      <c r="C1559" s="5" t="s">
        <v>27</v>
      </c>
      <c r="D1559" s="5" t="str">
        <f>VLOOKUP(C1559,[1]master_data!$A$2:$E$495,2,FALSE)</f>
        <v>MESIN ROSTON 106</v>
      </c>
      <c r="E1559" s="5">
        <v>1</v>
      </c>
      <c r="F1559" s="5">
        <f>VLOOKUP(C1559,[1]master_data!$A$2:$E$495,3,FALSE)</f>
        <v>100000</v>
      </c>
      <c r="G1559" s="5">
        <f>VLOOKUP(C1559,[1]master_data!$A$2:$E$495,4,FALSE)</f>
        <v>150000</v>
      </c>
      <c r="H1559" s="5">
        <f t="shared" si="78"/>
        <v>100000</v>
      </c>
      <c r="I1559" s="5">
        <f t="shared" si="79"/>
        <v>150000</v>
      </c>
      <c r="J1559" s="5">
        <f t="shared" si="80"/>
        <v>50000</v>
      </c>
      <c r="K1559" s="5" t="str">
        <f>VLOOKUP(C1559,[1]master_data!$A$2:$E$495,5,FALSE)</f>
        <v>Aksesoris</v>
      </c>
      <c r="L1559" s="5" t="s">
        <v>471</v>
      </c>
    </row>
    <row r="1560" spans="1:12" ht="12" customHeight="1" x14ac:dyDescent="0.25">
      <c r="A1560" s="6">
        <v>44759</v>
      </c>
      <c r="B1560" s="1">
        <v>2203003</v>
      </c>
      <c r="C1560" s="5" t="s">
        <v>409</v>
      </c>
      <c r="D1560" s="5" t="str">
        <f>VLOOKUP(C1560,[1]master_data!$A$2:$E$495,2,FALSE)</f>
        <v>GOLD FISH</v>
      </c>
      <c r="E1560" s="5">
        <v>10</v>
      </c>
      <c r="F1560" s="5">
        <f>VLOOKUP(C1560,[1]master_data!$A$2:$E$495,3,FALSE)</f>
        <v>800</v>
      </c>
      <c r="G1560" s="5">
        <f>VLOOKUP(C1560,[1]master_data!$A$2:$E$495,4,FALSE)</f>
        <v>2000</v>
      </c>
      <c r="H1560" s="5">
        <f t="shared" si="78"/>
        <v>8000</v>
      </c>
      <c r="I1560" s="5">
        <f t="shared" si="79"/>
        <v>20000</v>
      </c>
      <c r="J1560" s="5">
        <f t="shared" si="80"/>
        <v>12000</v>
      </c>
      <c r="K1560" s="5" t="str">
        <f>VLOOKUP(C1560,[1]master_data!$A$2:$E$495,5,FALSE)</f>
        <v>Ikan</v>
      </c>
      <c r="L1560" s="5" t="s">
        <v>471</v>
      </c>
    </row>
    <row r="1561" spans="1:12" ht="12" customHeight="1" x14ac:dyDescent="0.25">
      <c r="A1561" s="6">
        <v>44759</v>
      </c>
      <c r="B1561" s="1">
        <v>2203002</v>
      </c>
      <c r="C1561" s="5" t="s">
        <v>400</v>
      </c>
      <c r="D1561" s="5" t="str">
        <f>VLOOKUP(C1561,[1]master_data!$A$2:$E$495,2,FALSE)</f>
        <v>BALA BALA K</v>
      </c>
      <c r="E1561" s="5">
        <v>30</v>
      </c>
      <c r="F1561" s="5">
        <f>VLOOKUP(C1561,[1]master_data!$A$2:$E$495,3,FALSE)</f>
        <v>4000</v>
      </c>
      <c r="G1561" s="5">
        <f>VLOOKUP(C1561,[1]master_data!$A$2:$E$495,4,FALSE)</f>
        <v>8000</v>
      </c>
      <c r="H1561" s="5">
        <f t="shared" si="78"/>
        <v>120000</v>
      </c>
      <c r="I1561" s="5">
        <f t="shared" si="79"/>
        <v>240000</v>
      </c>
      <c r="J1561" s="5">
        <f t="shared" si="80"/>
        <v>120000</v>
      </c>
      <c r="K1561" s="5" t="str">
        <f>VLOOKUP(C1561,[1]master_data!$A$2:$E$495,5,FALSE)</f>
        <v>Ikan</v>
      </c>
      <c r="L1561" s="5" t="s">
        <v>471</v>
      </c>
    </row>
    <row r="1562" spans="1:12" ht="12" customHeight="1" x14ac:dyDescent="0.25">
      <c r="A1562" s="6">
        <v>44759</v>
      </c>
      <c r="B1562" s="1">
        <v>2203001</v>
      </c>
      <c r="C1562" s="5" t="s">
        <v>455</v>
      </c>
      <c r="D1562" s="5" t="str">
        <f>VLOOKUP(C1562,[1]master_data!$A$2:$E$495,2,FALSE)</f>
        <v>TETRA</v>
      </c>
      <c r="E1562" s="5">
        <v>15</v>
      </c>
      <c r="F1562" s="5">
        <f>VLOOKUP(C1562,[1]master_data!$A$2:$E$495,3,FALSE)</f>
        <v>800</v>
      </c>
      <c r="G1562" s="5">
        <f>VLOOKUP(C1562,[1]master_data!$A$2:$E$495,4,FALSE)</f>
        <v>2000</v>
      </c>
      <c r="H1562" s="5">
        <f t="shared" si="78"/>
        <v>12000</v>
      </c>
      <c r="I1562" s="5">
        <f t="shared" si="79"/>
        <v>30000</v>
      </c>
      <c r="J1562" s="5">
        <f t="shared" si="80"/>
        <v>18000</v>
      </c>
      <c r="K1562" s="5" t="str">
        <f>VLOOKUP(C1562,[1]master_data!$A$2:$E$495,5,FALSE)</f>
        <v>Ikan</v>
      </c>
      <c r="L1562" s="5" t="s">
        <v>471</v>
      </c>
    </row>
    <row r="1563" spans="1:12" ht="12" customHeight="1" x14ac:dyDescent="0.25">
      <c r="A1563" s="6">
        <v>44759</v>
      </c>
      <c r="B1563" s="1">
        <v>2203000</v>
      </c>
      <c r="C1563" s="5" t="s">
        <v>448</v>
      </c>
      <c r="D1563" s="5" t="str">
        <f>VLOOKUP(C1563,[1]master_data!$A$2:$E$495,2,FALSE)</f>
        <v xml:space="preserve"> CHANNA RED BARITO K</v>
      </c>
      <c r="E1563" s="5">
        <v>1</v>
      </c>
      <c r="F1563" s="5">
        <f>VLOOKUP(C1563,[1]master_data!$A$2:$E$495,3,FALSE)</f>
        <v>45000</v>
      </c>
      <c r="G1563" s="5">
        <f>VLOOKUP(C1563,[1]master_data!$A$2:$E$495,4,FALSE)</f>
        <v>100000</v>
      </c>
      <c r="H1563" s="5">
        <f t="shared" si="78"/>
        <v>45000</v>
      </c>
      <c r="I1563" s="5">
        <f t="shared" si="79"/>
        <v>100000</v>
      </c>
      <c r="J1563" s="5">
        <f t="shared" si="80"/>
        <v>55000</v>
      </c>
      <c r="K1563" s="5" t="str">
        <f>VLOOKUP(C1563,[1]master_data!$A$2:$E$495,5,FALSE)</f>
        <v>Ikan</v>
      </c>
      <c r="L1563" s="5" t="s">
        <v>471</v>
      </c>
    </row>
    <row r="1564" spans="1:12" ht="12" customHeight="1" x14ac:dyDescent="0.25">
      <c r="A1564" s="6">
        <v>44759</v>
      </c>
      <c r="B1564" s="1">
        <v>2202999</v>
      </c>
      <c r="C1564" s="5" t="s">
        <v>397</v>
      </c>
      <c r="D1564" s="5" t="str">
        <f>VLOOKUP(C1564,[1]master_data!$A$2:$E$495,2,FALSE)</f>
        <v>ALIGATOR</v>
      </c>
      <c r="E1564" s="5">
        <v>10</v>
      </c>
      <c r="F1564" s="5">
        <f>VLOOKUP(C1564,[1]master_data!$A$2:$E$495,3,FALSE)</f>
        <v>17000</v>
      </c>
      <c r="G1564" s="5">
        <f>VLOOKUP(C1564,[1]master_data!$A$2:$E$495,4,FALSE)</f>
        <v>35000</v>
      </c>
      <c r="H1564" s="5">
        <f t="shared" si="78"/>
        <v>170000</v>
      </c>
      <c r="I1564" s="5">
        <f t="shared" si="79"/>
        <v>350000</v>
      </c>
      <c r="J1564" s="5">
        <f t="shared" si="80"/>
        <v>180000</v>
      </c>
      <c r="K1564" s="5" t="str">
        <f>VLOOKUP(C1564,[1]master_data!$A$2:$E$495,5,FALSE)</f>
        <v>Ikan</v>
      </c>
      <c r="L1564" s="5" t="s">
        <v>471</v>
      </c>
    </row>
    <row r="1565" spans="1:12" ht="12" customHeight="1" x14ac:dyDescent="0.25">
      <c r="A1565" s="6">
        <v>44759</v>
      </c>
      <c r="B1565" s="1">
        <v>2202998</v>
      </c>
      <c r="C1565" s="5" t="s">
        <v>451</v>
      </c>
      <c r="D1565" s="5" t="str">
        <f>VLOOKUP(C1565,[1]master_data!$A$2:$E$495,2,FALSE)</f>
        <v>SUMATRA GOLD FISH</v>
      </c>
      <c r="E1565" s="5">
        <v>25</v>
      </c>
      <c r="F1565" s="5">
        <f>VLOOKUP(C1565,[1]master_data!$A$2:$E$495,3,FALSE)</f>
        <v>2500</v>
      </c>
      <c r="G1565" s="5">
        <f>VLOOKUP(C1565,[1]master_data!$A$2:$E$495,4,FALSE)</f>
        <v>4000</v>
      </c>
      <c r="H1565" s="5">
        <f t="shared" si="78"/>
        <v>62500</v>
      </c>
      <c r="I1565" s="5">
        <f t="shared" si="79"/>
        <v>100000</v>
      </c>
      <c r="J1565" s="5">
        <f t="shared" si="80"/>
        <v>37500</v>
      </c>
      <c r="K1565" s="5" t="str">
        <f>VLOOKUP(C1565,[1]master_data!$A$2:$E$495,5,FALSE)</f>
        <v>Ikan</v>
      </c>
      <c r="L1565" s="5" t="s">
        <v>471</v>
      </c>
    </row>
    <row r="1566" spans="1:12" ht="12" customHeight="1" x14ac:dyDescent="0.25">
      <c r="A1566" s="6">
        <v>44759</v>
      </c>
      <c r="B1566" s="1">
        <v>2202997</v>
      </c>
      <c r="C1566" s="5" t="s">
        <v>434</v>
      </c>
      <c r="D1566" s="5" t="str">
        <f>VLOOKUP(C1566,[1]master_data!$A$2:$E$495,2,FALSE)</f>
        <v>MOLI PAKAN</v>
      </c>
      <c r="E1566" s="5">
        <v>10</v>
      </c>
      <c r="F1566" s="5">
        <f>VLOOKUP(C1566,[1]master_data!$A$2:$E$495,3,FALSE)</f>
        <v>100</v>
      </c>
      <c r="G1566" s="5">
        <f>VLOOKUP(C1566,[1]master_data!$A$2:$E$495,4,FALSE)</f>
        <v>200</v>
      </c>
      <c r="H1566" s="5">
        <f t="shared" si="78"/>
        <v>1000</v>
      </c>
      <c r="I1566" s="5">
        <f t="shared" si="79"/>
        <v>2000</v>
      </c>
      <c r="J1566" s="5">
        <f t="shared" si="80"/>
        <v>1000</v>
      </c>
      <c r="K1566" s="5" t="str">
        <f>VLOOKUP(C1566,[1]master_data!$A$2:$E$495,5,FALSE)</f>
        <v>Ikan</v>
      </c>
      <c r="L1566" s="5" t="s">
        <v>471</v>
      </c>
    </row>
    <row r="1567" spans="1:12" ht="12" customHeight="1" x14ac:dyDescent="0.25">
      <c r="A1567" s="6">
        <v>44759</v>
      </c>
      <c r="B1567" s="1">
        <v>2202996</v>
      </c>
      <c r="C1567" s="5" t="s">
        <v>447</v>
      </c>
      <c r="D1567" s="5" t="str">
        <f>VLOOKUP(C1567,[1]master_data!$A$2:$E$495,2,FALSE)</f>
        <v>REDFIN ALBINO</v>
      </c>
      <c r="E1567" s="5">
        <v>15</v>
      </c>
      <c r="F1567" s="5">
        <f>VLOOKUP(C1567,[1]master_data!$A$2:$E$495,3,FALSE)</f>
        <v>1500</v>
      </c>
      <c r="G1567" s="5">
        <f>VLOOKUP(C1567,[1]master_data!$A$2:$E$495,4,FALSE)</f>
        <v>4000</v>
      </c>
      <c r="H1567" s="5">
        <f t="shared" si="78"/>
        <v>22500</v>
      </c>
      <c r="I1567" s="5">
        <f t="shared" si="79"/>
        <v>60000</v>
      </c>
      <c r="J1567" s="5">
        <f t="shared" si="80"/>
        <v>37500</v>
      </c>
      <c r="K1567" s="5" t="str">
        <f>VLOOKUP(C1567,[1]master_data!$A$2:$E$495,5,FALSE)</f>
        <v>Ikan</v>
      </c>
      <c r="L1567" s="5" t="s">
        <v>471</v>
      </c>
    </row>
    <row r="1568" spans="1:12" ht="12" customHeight="1" x14ac:dyDescent="0.25">
      <c r="A1568" s="6">
        <v>44759</v>
      </c>
      <c r="B1568" s="1">
        <v>2202995</v>
      </c>
      <c r="C1568" s="5" t="s">
        <v>443</v>
      </c>
      <c r="D1568" s="5" t="str">
        <f>VLOOKUP(C1568,[1]master_data!$A$2:$E$495,2,FALSE)</f>
        <v>PALMAS</v>
      </c>
      <c r="E1568" s="5">
        <v>5</v>
      </c>
      <c r="F1568" s="5">
        <f>VLOOKUP(C1568,[1]master_data!$A$2:$E$495,3,FALSE)</f>
        <v>10000</v>
      </c>
      <c r="G1568" s="5">
        <f>VLOOKUP(C1568,[1]master_data!$A$2:$E$495,4,FALSE)</f>
        <v>25000</v>
      </c>
      <c r="H1568" s="5">
        <f t="shared" si="78"/>
        <v>50000</v>
      </c>
      <c r="I1568" s="5">
        <f t="shared" si="79"/>
        <v>125000</v>
      </c>
      <c r="J1568" s="5">
        <f t="shared" si="80"/>
        <v>75000</v>
      </c>
      <c r="K1568" s="5" t="str">
        <f>VLOOKUP(C1568,[1]master_data!$A$2:$E$495,5,FALSE)</f>
        <v>Ikan</v>
      </c>
      <c r="L1568" s="5" t="s">
        <v>471</v>
      </c>
    </row>
    <row r="1569" spans="1:12" ht="12" customHeight="1" x14ac:dyDescent="0.25">
      <c r="A1569" s="6">
        <v>44759</v>
      </c>
      <c r="B1569" s="1">
        <v>2202994</v>
      </c>
      <c r="C1569" s="5" t="s">
        <v>432</v>
      </c>
      <c r="D1569" s="5" t="str">
        <f>VLOOKUP(C1569,[1]master_data!$A$2:$E$495,2,FALSE)</f>
        <v>MARU K</v>
      </c>
      <c r="E1569" s="5">
        <v>2</v>
      </c>
      <c r="F1569" s="5">
        <f>VLOOKUP(C1569,[1]master_data!$A$2:$E$495,3,FALSE)</f>
        <v>23000</v>
      </c>
      <c r="G1569" s="5">
        <f>VLOOKUP(C1569,[1]master_data!$A$2:$E$495,4,FALSE)</f>
        <v>50000</v>
      </c>
      <c r="H1569" s="5">
        <f t="shared" si="78"/>
        <v>46000</v>
      </c>
      <c r="I1569" s="5">
        <f t="shared" si="79"/>
        <v>100000</v>
      </c>
      <c r="J1569" s="5">
        <f t="shared" si="80"/>
        <v>54000</v>
      </c>
      <c r="K1569" s="5" t="str">
        <f>VLOOKUP(C1569,[1]master_data!$A$2:$E$495,5,FALSE)</f>
        <v>Ikan</v>
      </c>
      <c r="L1569" s="5" t="s">
        <v>471</v>
      </c>
    </row>
    <row r="1570" spans="1:12" ht="12" customHeight="1" x14ac:dyDescent="0.25">
      <c r="A1570" s="6">
        <v>44759</v>
      </c>
      <c r="B1570" s="1">
        <v>2202993</v>
      </c>
      <c r="C1570" s="5" t="s">
        <v>209</v>
      </c>
      <c r="D1570" s="5" t="str">
        <f>VLOOKUP(C1570,[1]master_data!$A$2:$E$495,2,FALSE)</f>
        <v>TETRA BITS 50 GR</v>
      </c>
      <c r="E1570" s="5">
        <v>1</v>
      </c>
      <c r="F1570" s="5">
        <f>VLOOKUP(C1570,[1]master_data!$A$2:$E$495,3,FALSE)</f>
        <v>45000</v>
      </c>
      <c r="G1570" s="5">
        <f>VLOOKUP(C1570,[1]master_data!$A$2:$E$495,4,FALSE)</f>
        <v>55000</v>
      </c>
      <c r="H1570" s="5">
        <f t="shared" si="78"/>
        <v>45000</v>
      </c>
      <c r="I1570" s="5">
        <f t="shared" si="79"/>
        <v>55000</v>
      </c>
      <c r="J1570" s="5">
        <f t="shared" si="80"/>
        <v>10000</v>
      </c>
      <c r="K1570" s="5" t="str">
        <f>VLOOKUP(C1570,[1]master_data!$A$2:$E$495,5,FALSE)</f>
        <v>Aksesoris</v>
      </c>
      <c r="L1570" s="5" t="s">
        <v>471</v>
      </c>
    </row>
    <row r="1571" spans="1:12" ht="12" customHeight="1" x14ac:dyDescent="0.25">
      <c r="A1571" s="6">
        <v>44758</v>
      </c>
      <c r="B1571" s="1">
        <v>2202992</v>
      </c>
      <c r="C1571" s="5" t="s">
        <v>462</v>
      </c>
      <c r="D1571" s="5" t="str">
        <f>VLOOKUP(C1571,[1]master_data!$A$2:$E$495,2,FALSE)</f>
        <v>SEPAT ALBINO</v>
      </c>
      <c r="E1571" s="5">
        <v>15</v>
      </c>
      <c r="F1571" s="5">
        <f>VLOOKUP(C1571,[1]master_data!$A$2:$E$495,3,FALSE)</f>
        <v>2000</v>
      </c>
      <c r="G1571" s="5">
        <f>VLOOKUP(C1571,[1]master_data!$A$2:$E$495,4,FALSE)</f>
        <v>5000</v>
      </c>
      <c r="H1571" s="5">
        <f t="shared" si="78"/>
        <v>30000</v>
      </c>
      <c r="I1571" s="5">
        <f t="shared" si="79"/>
        <v>75000</v>
      </c>
      <c r="J1571" s="5">
        <f t="shared" si="80"/>
        <v>45000</v>
      </c>
      <c r="K1571" s="5" t="str">
        <f>VLOOKUP(C1571,[1]master_data!$A$2:$E$495,5,FALSE)</f>
        <v>Ikan</v>
      </c>
      <c r="L1571" s="5" t="s">
        <v>471</v>
      </c>
    </row>
    <row r="1572" spans="1:12" ht="12" customHeight="1" x14ac:dyDescent="0.25">
      <c r="A1572" s="6">
        <v>44758</v>
      </c>
      <c r="B1572" s="1">
        <v>2202991</v>
      </c>
      <c r="C1572" s="5" t="s">
        <v>423</v>
      </c>
      <c r="D1572" s="5" t="str">
        <f>VLOOKUP(C1572,[1]master_data!$A$2:$E$495,2,FALSE)</f>
        <v>KOI SLAYER K</v>
      </c>
      <c r="E1572" s="5">
        <v>14</v>
      </c>
      <c r="F1572" s="5">
        <f>VLOOKUP(C1572,[1]master_data!$A$2:$E$495,3,FALSE)</f>
        <v>3500</v>
      </c>
      <c r="G1572" s="5">
        <f>VLOOKUP(C1572,[1]master_data!$A$2:$E$495,4,FALSE)</f>
        <v>10000</v>
      </c>
      <c r="H1572" s="5">
        <f t="shared" si="78"/>
        <v>49000</v>
      </c>
      <c r="I1572" s="5">
        <f t="shared" si="79"/>
        <v>140000</v>
      </c>
      <c r="J1572" s="5">
        <f t="shared" si="80"/>
        <v>91000</v>
      </c>
      <c r="K1572" s="5" t="str">
        <f>VLOOKUP(C1572,[1]master_data!$A$2:$E$495,5,FALSE)</f>
        <v>Ikan</v>
      </c>
      <c r="L1572" s="5" t="s">
        <v>471</v>
      </c>
    </row>
    <row r="1573" spans="1:12" ht="12" customHeight="1" x14ac:dyDescent="0.25">
      <c r="A1573" s="6">
        <v>44758</v>
      </c>
      <c r="B1573" s="1">
        <v>2202990</v>
      </c>
      <c r="C1573" s="5" t="s">
        <v>415</v>
      </c>
      <c r="D1573" s="5" t="str">
        <f>VLOOKUP(C1573,[1]master_data!$A$2:$E$495,2,FALSE)</f>
        <v>KOKI B</v>
      </c>
      <c r="E1573" s="5">
        <v>10</v>
      </c>
      <c r="F1573" s="5">
        <f>VLOOKUP(C1573,[1]master_data!$A$2:$E$495,3,FALSE)</f>
        <v>20000</v>
      </c>
      <c r="G1573" s="5">
        <f>VLOOKUP(C1573,[1]master_data!$A$2:$E$495,4,FALSE)</f>
        <v>50000</v>
      </c>
      <c r="H1573" s="5">
        <f t="shared" si="78"/>
        <v>200000</v>
      </c>
      <c r="I1573" s="5">
        <f t="shared" si="79"/>
        <v>500000</v>
      </c>
      <c r="J1573" s="5">
        <f t="shared" si="80"/>
        <v>300000</v>
      </c>
      <c r="K1573" s="5" t="str">
        <f>VLOOKUP(C1573,[1]master_data!$A$2:$E$495,5,FALSE)</f>
        <v>Ikan</v>
      </c>
      <c r="L1573" s="5" t="s">
        <v>471</v>
      </c>
    </row>
    <row r="1574" spans="1:12" ht="12" customHeight="1" x14ac:dyDescent="0.25">
      <c r="A1574" s="6">
        <v>44758</v>
      </c>
      <c r="B1574" s="1">
        <v>2202989</v>
      </c>
      <c r="C1574" s="5" t="s">
        <v>189</v>
      </c>
      <c r="D1574" s="5" t="str">
        <f>VLOOKUP(C1574,[1]master_data!$A$2:$E$495,2,FALSE)</f>
        <v>LED KANDILA PRO RED ECO 40 CM</v>
      </c>
      <c r="E1574" s="5">
        <v>2</v>
      </c>
      <c r="F1574" s="5">
        <f>VLOOKUP(C1574,[1]master_data!$A$2:$E$495,3,FALSE)</f>
        <v>45000</v>
      </c>
      <c r="G1574" s="5">
        <f>VLOOKUP(C1574,[1]master_data!$A$2:$E$495,4,FALSE)</f>
        <v>65000</v>
      </c>
      <c r="H1574" s="5">
        <f t="shared" si="78"/>
        <v>90000</v>
      </c>
      <c r="I1574" s="5">
        <f t="shared" si="79"/>
        <v>130000</v>
      </c>
      <c r="J1574" s="5">
        <f t="shared" si="80"/>
        <v>40000</v>
      </c>
      <c r="K1574" s="5" t="str">
        <f>VLOOKUP(C1574,[1]master_data!$A$2:$E$495,5,FALSE)</f>
        <v>Aksesoris</v>
      </c>
      <c r="L1574" s="5" t="s">
        <v>471</v>
      </c>
    </row>
    <row r="1575" spans="1:12" ht="12" customHeight="1" x14ac:dyDescent="0.25">
      <c r="A1575" s="6">
        <v>44758</v>
      </c>
      <c r="B1575" s="1">
        <v>2202988</v>
      </c>
      <c r="C1575" s="5" t="s">
        <v>82</v>
      </c>
      <c r="D1575" s="5" t="str">
        <f>VLOOKUP(C1575,[1]master_data!$A$2:$E$495,2,FALSE)</f>
        <v>MESIN ARMADA 1150L</v>
      </c>
      <c r="E1575" s="5">
        <v>2</v>
      </c>
      <c r="F1575" s="5">
        <f>VLOOKUP(C1575,[1]master_data!$A$2:$E$495,3,FALSE)</f>
        <v>42000</v>
      </c>
      <c r="G1575" s="5">
        <f>VLOOKUP(C1575,[1]master_data!$A$2:$E$495,4,FALSE)</f>
        <v>55000</v>
      </c>
      <c r="H1575" s="5">
        <f t="shared" si="78"/>
        <v>84000</v>
      </c>
      <c r="I1575" s="5">
        <f t="shared" si="79"/>
        <v>110000</v>
      </c>
      <c r="J1575" s="5">
        <f t="shared" si="80"/>
        <v>26000</v>
      </c>
      <c r="K1575" s="5" t="str">
        <f>VLOOKUP(C1575,[1]master_data!$A$2:$E$495,5,FALSE)</f>
        <v>Aksesoris</v>
      </c>
      <c r="L1575" s="5" t="s">
        <v>471</v>
      </c>
    </row>
    <row r="1576" spans="1:12" ht="12" customHeight="1" x14ac:dyDescent="0.25">
      <c r="A1576" s="6">
        <v>44758</v>
      </c>
      <c r="B1576" s="1">
        <v>2202987</v>
      </c>
      <c r="C1576" s="5" t="s">
        <v>426</v>
      </c>
      <c r="D1576" s="5" t="str">
        <f>VLOOKUP(C1576,[1]master_data!$A$2:$E$495,2,FALSE)</f>
        <v>DISCUS</v>
      </c>
      <c r="E1576" s="5">
        <v>1</v>
      </c>
      <c r="F1576" s="5">
        <f>VLOOKUP(C1576,[1]master_data!$A$2:$E$495,3,FALSE)</f>
        <v>50000</v>
      </c>
      <c r="G1576" s="5">
        <f>VLOOKUP(C1576,[1]master_data!$A$2:$E$495,4,FALSE)</f>
        <v>150000</v>
      </c>
      <c r="H1576" s="5">
        <f t="shared" si="78"/>
        <v>50000</v>
      </c>
      <c r="I1576" s="5">
        <f t="shared" si="79"/>
        <v>150000</v>
      </c>
      <c r="J1576" s="5">
        <f t="shared" si="80"/>
        <v>100000</v>
      </c>
      <c r="K1576" s="5" t="str">
        <f>VLOOKUP(C1576,[1]master_data!$A$2:$E$495,5,FALSE)</f>
        <v>Ikan</v>
      </c>
      <c r="L1576" s="5" t="s">
        <v>471</v>
      </c>
    </row>
    <row r="1577" spans="1:12" ht="12" customHeight="1" x14ac:dyDescent="0.25">
      <c r="A1577" s="6">
        <v>44758</v>
      </c>
      <c r="B1577" s="1">
        <v>2202986</v>
      </c>
      <c r="C1577" s="5" t="s">
        <v>439</v>
      </c>
      <c r="D1577" s="5" t="str">
        <f>VLOOKUP(C1577,[1]master_data!$A$2:$E$495,2,FALSE)</f>
        <v>NEON</v>
      </c>
      <c r="E1577" s="5">
        <v>25</v>
      </c>
      <c r="F1577" s="5">
        <f>VLOOKUP(C1577,[1]master_data!$A$2:$E$495,3,FALSE)</f>
        <v>1250</v>
      </c>
      <c r="G1577" s="5">
        <f>VLOOKUP(C1577,[1]master_data!$A$2:$E$495,4,FALSE)</f>
        <v>5000</v>
      </c>
      <c r="H1577" s="5">
        <f t="shared" si="78"/>
        <v>31250</v>
      </c>
      <c r="I1577" s="5">
        <f t="shared" si="79"/>
        <v>125000</v>
      </c>
      <c r="J1577" s="5">
        <f t="shared" si="80"/>
        <v>93750</v>
      </c>
      <c r="K1577" s="5" t="str">
        <f>VLOOKUP(C1577,[1]master_data!$A$2:$E$495,5,FALSE)</f>
        <v>Ikan</v>
      </c>
      <c r="L1577" s="5" t="s">
        <v>471</v>
      </c>
    </row>
    <row r="1578" spans="1:12" ht="12" customHeight="1" x14ac:dyDescent="0.25">
      <c r="A1578" s="6">
        <v>44757</v>
      </c>
      <c r="B1578" s="1">
        <v>2202985</v>
      </c>
      <c r="C1578" s="5" t="s">
        <v>450</v>
      </c>
      <c r="D1578" s="5" t="str">
        <f>VLOOKUP(C1578,[1]master_data!$A$2:$E$495,2,FALSE)</f>
        <v>SUMATRA BIASA</v>
      </c>
      <c r="E1578" s="5">
        <v>15</v>
      </c>
      <c r="F1578" s="5">
        <f>VLOOKUP(C1578,[1]master_data!$A$2:$E$495,3,FALSE)</f>
        <v>800</v>
      </c>
      <c r="G1578" s="5">
        <f>VLOOKUP(C1578,[1]master_data!$A$2:$E$495,4,FALSE)</f>
        <v>2000</v>
      </c>
      <c r="H1578" s="5">
        <f t="shared" si="78"/>
        <v>12000</v>
      </c>
      <c r="I1578" s="5">
        <f t="shared" si="79"/>
        <v>30000</v>
      </c>
      <c r="J1578" s="5">
        <f t="shared" si="80"/>
        <v>18000</v>
      </c>
      <c r="K1578" s="5" t="str">
        <f>VLOOKUP(C1578,[1]master_data!$A$2:$E$495,5,FALSE)</f>
        <v>Ikan</v>
      </c>
      <c r="L1578" s="5" t="s">
        <v>471</v>
      </c>
    </row>
    <row r="1579" spans="1:12" ht="12" customHeight="1" x14ac:dyDescent="0.25">
      <c r="A1579" s="6">
        <v>44757</v>
      </c>
      <c r="B1579" s="1">
        <v>2202984</v>
      </c>
      <c r="C1579" s="5" t="s">
        <v>207</v>
      </c>
      <c r="D1579" s="5" t="str">
        <f>VLOOKUP(C1579,[1]master_data!$A$2:$E$495,2,FALSE)</f>
        <v>TAKARI TANGGUNG</v>
      </c>
      <c r="E1579" s="5">
        <v>15</v>
      </c>
      <c r="F1579" s="5">
        <f>VLOOKUP(C1579,[1]master_data!$A$2:$E$495,3,FALSE)</f>
        <v>8500</v>
      </c>
      <c r="G1579" s="5">
        <f>VLOOKUP(C1579,[1]master_data!$A$2:$E$495,4,FALSE)</f>
        <v>10000</v>
      </c>
      <c r="H1579" s="5">
        <f t="shared" si="78"/>
        <v>127500</v>
      </c>
      <c r="I1579" s="5">
        <f t="shared" si="79"/>
        <v>150000</v>
      </c>
      <c r="J1579" s="5">
        <f t="shared" si="80"/>
        <v>22500</v>
      </c>
      <c r="K1579" s="5" t="str">
        <f>VLOOKUP(C1579,[1]master_data!$A$2:$E$495,5,FALSE)</f>
        <v>Aksesoris</v>
      </c>
      <c r="L1579" s="5" t="s">
        <v>471</v>
      </c>
    </row>
    <row r="1580" spans="1:12" ht="12" customHeight="1" x14ac:dyDescent="0.25">
      <c r="A1580" s="6">
        <v>44757</v>
      </c>
      <c r="B1580" s="1">
        <v>2202983</v>
      </c>
      <c r="C1580" s="5" t="s">
        <v>422</v>
      </c>
      <c r="D1580" s="5" t="str">
        <f>VLOOKUP(C1580,[1]master_data!$A$2:$E$495,2,FALSE)</f>
        <v>KOMET SLAYER</v>
      </c>
      <c r="E1580" s="5">
        <v>1</v>
      </c>
      <c r="F1580" s="5">
        <f>VLOOKUP(C1580,[1]master_data!$A$2:$E$495,3,FALSE)</f>
        <v>2000</v>
      </c>
      <c r="G1580" s="5">
        <f>VLOOKUP(C1580,[1]master_data!$A$2:$E$495,4,FALSE)</f>
        <v>5000</v>
      </c>
      <c r="H1580" s="5">
        <f t="shared" si="78"/>
        <v>2000</v>
      </c>
      <c r="I1580" s="5">
        <f t="shared" si="79"/>
        <v>5000</v>
      </c>
      <c r="J1580" s="5">
        <f t="shared" si="80"/>
        <v>3000</v>
      </c>
      <c r="K1580" s="5" t="str">
        <f>VLOOKUP(C1580,[1]master_data!$A$2:$E$495,5,FALSE)</f>
        <v>Ikan</v>
      </c>
      <c r="L1580" s="5" t="s">
        <v>471</v>
      </c>
    </row>
    <row r="1581" spans="1:12" ht="12" customHeight="1" x14ac:dyDescent="0.25">
      <c r="A1581" s="6">
        <v>44757</v>
      </c>
      <c r="B1581" s="1">
        <v>2202982</v>
      </c>
      <c r="C1581" s="5" t="s">
        <v>402</v>
      </c>
      <c r="D1581" s="5" t="str">
        <f>VLOOKUP(C1581,[1]master_data!$A$2:$E$495,2,FALSE)</f>
        <v>BLACK GHOST</v>
      </c>
      <c r="E1581" s="5">
        <v>20</v>
      </c>
      <c r="F1581" s="5">
        <f>VLOOKUP(C1581,[1]master_data!$A$2:$E$495,3,FALSE)</f>
        <v>4000</v>
      </c>
      <c r="G1581" s="5">
        <f>VLOOKUP(C1581,[1]master_data!$A$2:$E$495,4,FALSE)</f>
        <v>10000</v>
      </c>
      <c r="H1581" s="5">
        <f t="shared" si="78"/>
        <v>80000</v>
      </c>
      <c r="I1581" s="5">
        <f t="shared" si="79"/>
        <v>200000</v>
      </c>
      <c r="J1581" s="5">
        <f t="shared" si="80"/>
        <v>120000</v>
      </c>
      <c r="K1581" s="5" t="str">
        <f>VLOOKUP(C1581,[1]master_data!$A$2:$E$495,5,FALSE)</f>
        <v>Ikan</v>
      </c>
      <c r="L1581" s="5" t="s">
        <v>471</v>
      </c>
    </row>
    <row r="1582" spans="1:12" ht="12" customHeight="1" x14ac:dyDescent="0.25">
      <c r="A1582" s="6">
        <v>44757</v>
      </c>
      <c r="B1582" s="1">
        <v>2202981</v>
      </c>
      <c r="C1582" s="5" t="s">
        <v>41</v>
      </c>
      <c r="D1582" s="5" t="str">
        <f>VLOOKUP(C1582,[1]master_data!$A$2:$E$495,2,FALSE)</f>
        <v>MESIN YAMANO ACO 004</v>
      </c>
      <c r="E1582" s="5">
        <v>2</v>
      </c>
      <c r="F1582" s="5">
        <f>VLOOKUP(C1582,[1]master_data!$A$2:$E$495,3,FALSE)</f>
        <v>505000</v>
      </c>
      <c r="G1582" s="5">
        <f>VLOOKUP(C1582,[1]master_data!$A$2:$E$495,4,FALSE)</f>
        <v>550000</v>
      </c>
      <c r="H1582" s="5">
        <f t="shared" si="78"/>
        <v>1010000</v>
      </c>
      <c r="I1582" s="5">
        <f t="shared" si="79"/>
        <v>1100000</v>
      </c>
      <c r="J1582" s="5">
        <f t="shared" si="80"/>
        <v>90000</v>
      </c>
      <c r="K1582" s="5" t="str">
        <f>VLOOKUP(C1582,[1]master_data!$A$2:$E$495,5,FALSE)</f>
        <v>Aksesoris</v>
      </c>
      <c r="L1582" s="5" t="s">
        <v>471</v>
      </c>
    </row>
    <row r="1583" spans="1:12" ht="12" customHeight="1" x14ac:dyDescent="0.25">
      <c r="A1583" s="6">
        <v>44757</v>
      </c>
      <c r="B1583" s="1">
        <v>2202980</v>
      </c>
      <c r="C1583" s="5" t="s">
        <v>404</v>
      </c>
      <c r="D1583" s="5" t="str">
        <f>VLOOKUP(C1583,[1]master_data!$A$2:$E$495,2,FALSE)</f>
        <v>CHANNA BLUE PULCHRA B</v>
      </c>
      <c r="E1583" s="5">
        <v>1</v>
      </c>
      <c r="F1583" s="5">
        <f>VLOOKUP(C1583,[1]master_data!$A$2:$E$495,3,FALSE)</f>
        <v>125000</v>
      </c>
      <c r="G1583" s="5">
        <f>VLOOKUP(C1583,[1]master_data!$A$2:$E$495,4,FALSE)</f>
        <v>200000</v>
      </c>
      <c r="H1583" s="5">
        <f t="shared" si="78"/>
        <v>125000</v>
      </c>
      <c r="I1583" s="5">
        <f t="shared" si="79"/>
        <v>200000</v>
      </c>
      <c r="J1583" s="5">
        <f t="shared" si="80"/>
        <v>75000</v>
      </c>
      <c r="K1583" s="5" t="str">
        <f>VLOOKUP(C1583,[1]master_data!$A$2:$E$495,5,FALSE)</f>
        <v>Ikan</v>
      </c>
      <c r="L1583" s="5" t="s">
        <v>471</v>
      </c>
    </row>
    <row r="1584" spans="1:12" ht="12" customHeight="1" x14ac:dyDescent="0.25">
      <c r="A1584" s="6">
        <v>44757</v>
      </c>
      <c r="B1584" s="1">
        <v>2202979</v>
      </c>
      <c r="C1584" s="5" t="s">
        <v>77</v>
      </c>
      <c r="D1584" s="5" t="str">
        <f>VLOOKUP(C1584,[1]master_data!$A$2:$E$495,2,FALSE)</f>
        <v>TOP FILTER ARMADA K</v>
      </c>
      <c r="E1584" s="5">
        <v>2</v>
      </c>
      <c r="F1584" s="5">
        <f>VLOOKUP(C1584,[1]master_data!$A$2:$E$495,3,FALSE)</f>
        <v>33000</v>
      </c>
      <c r="G1584" s="5">
        <f>VLOOKUP(C1584,[1]master_data!$A$2:$E$495,4,FALSE)</f>
        <v>55000</v>
      </c>
      <c r="H1584" s="5">
        <f t="shared" si="78"/>
        <v>66000</v>
      </c>
      <c r="I1584" s="5">
        <f t="shared" si="79"/>
        <v>110000</v>
      </c>
      <c r="J1584" s="5">
        <f t="shared" si="80"/>
        <v>44000</v>
      </c>
      <c r="K1584" s="5" t="str">
        <f>VLOOKUP(C1584,[1]master_data!$A$2:$E$495,5,FALSE)</f>
        <v>Aksesoris</v>
      </c>
      <c r="L1584" s="5" t="s">
        <v>471</v>
      </c>
    </row>
    <row r="1585" spans="1:12" ht="12" customHeight="1" x14ac:dyDescent="0.25">
      <c r="A1585" s="6">
        <v>44757</v>
      </c>
      <c r="B1585" s="1">
        <v>2202978</v>
      </c>
      <c r="C1585" s="5" t="s">
        <v>169</v>
      </c>
      <c r="D1585" s="5" t="str">
        <f>VLOOKUP(C1585,[1]master_data!$A$2:$E$495,2,FALSE)</f>
        <v>LED KANDILA DnN 80 CM</v>
      </c>
      <c r="E1585" s="5">
        <v>5</v>
      </c>
      <c r="F1585" s="5">
        <f>VLOOKUP(C1585,[1]master_data!$A$2:$E$495,3,FALSE)</f>
        <v>50000</v>
      </c>
      <c r="G1585" s="5">
        <f>VLOOKUP(C1585,[1]master_data!$A$2:$E$495,4,FALSE)</f>
        <v>90000</v>
      </c>
      <c r="H1585" s="5">
        <f t="shared" si="78"/>
        <v>250000</v>
      </c>
      <c r="I1585" s="5">
        <f t="shared" si="79"/>
        <v>450000</v>
      </c>
      <c r="J1585" s="5">
        <f t="shared" si="80"/>
        <v>200000</v>
      </c>
      <c r="K1585" s="5" t="str">
        <f>VLOOKUP(C1585,[1]master_data!$A$2:$E$495,5,FALSE)</f>
        <v>Aksesoris</v>
      </c>
      <c r="L1585" s="5" t="s">
        <v>471</v>
      </c>
    </row>
    <row r="1586" spans="1:12" ht="12" customHeight="1" x14ac:dyDescent="0.25">
      <c r="A1586" s="6">
        <v>44757</v>
      </c>
      <c r="B1586" s="1">
        <v>2202977</v>
      </c>
      <c r="C1586" s="5" t="s">
        <v>398</v>
      </c>
      <c r="D1586" s="5" t="str">
        <f>VLOOKUP(C1586,[1]master_data!$A$2:$E$495,2,FALSE)</f>
        <v>BIPOLAR</v>
      </c>
      <c r="E1586" s="5">
        <v>15</v>
      </c>
      <c r="F1586" s="5">
        <f>VLOOKUP(C1586,[1]master_data!$A$2:$E$495,3,FALSE)</f>
        <v>1000</v>
      </c>
      <c r="G1586" s="5">
        <f>VLOOKUP(C1586,[1]master_data!$A$2:$E$495,4,FALSE)</f>
        <v>2500</v>
      </c>
      <c r="H1586" s="5">
        <f t="shared" si="78"/>
        <v>15000</v>
      </c>
      <c r="I1586" s="5">
        <f t="shared" si="79"/>
        <v>37500</v>
      </c>
      <c r="J1586" s="5">
        <f t="shared" si="80"/>
        <v>22500</v>
      </c>
      <c r="K1586" s="5" t="str">
        <f>VLOOKUP(C1586,[1]master_data!$A$2:$E$495,5,FALSE)</f>
        <v>Ikan</v>
      </c>
      <c r="L1586" s="5" t="s">
        <v>471</v>
      </c>
    </row>
    <row r="1587" spans="1:12" ht="12" customHeight="1" x14ac:dyDescent="0.25">
      <c r="A1587" s="6">
        <v>44756</v>
      </c>
      <c r="B1587" s="1">
        <v>2202976</v>
      </c>
      <c r="C1587" s="5" t="s">
        <v>355</v>
      </c>
      <c r="D1587" s="5" t="str">
        <f>VLOOKUP(C1587,[1]master_data!$A$2:$E$495,2,FALSE)</f>
        <v>TOPLES  1,5 L</v>
      </c>
      <c r="E1587" s="5">
        <v>10</v>
      </c>
      <c r="F1587" s="5">
        <f>VLOOKUP(C1587,[1]master_data!$A$2:$E$495,3,FALSE)</f>
        <v>38500</v>
      </c>
      <c r="G1587" s="5">
        <f>VLOOKUP(C1587,[1]master_data!$A$2:$E$495,4,FALSE)</f>
        <v>55000</v>
      </c>
      <c r="H1587" s="5">
        <f t="shared" si="78"/>
        <v>385000</v>
      </c>
      <c r="I1587" s="5">
        <f t="shared" si="79"/>
        <v>550000</v>
      </c>
      <c r="J1587" s="5">
        <f t="shared" si="80"/>
        <v>165000</v>
      </c>
      <c r="K1587" s="5" t="str">
        <f>VLOOKUP(C1587,[1]master_data!$A$2:$E$495,5,FALSE)</f>
        <v>Aksesoris</v>
      </c>
      <c r="L1587" s="5" t="s">
        <v>471</v>
      </c>
    </row>
    <row r="1588" spans="1:12" ht="12" customHeight="1" x14ac:dyDescent="0.25">
      <c r="A1588" s="6">
        <v>44756</v>
      </c>
      <c r="B1588" s="1">
        <v>2202975</v>
      </c>
      <c r="C1588" s="5" t="s">
        <v>408</v>
      </c>
      <c r="D1588" s="5" t="str">
        <f>VLOOKUP(C1588,[1]master_data!$A$2:$E$495,2,FALSE)</f>
        <v>CATFISH</v>
      </c>
      <c r="E1588" s="5">
        <v>3</v>
      </c>
      <c r="F1588" s="5">
        <f>VLOOKUP(C1588,[1]master_data!$A$2:$E$495,3,FALSE)</f>
        <v>20000</v>
      </c>
      <c r="G1588" s="5">
        <f>VLOOKUP(C1588,[1]master_data!$A$2:$E$495,4,FALSE)</f>
        <v>50000</v>
      </c>
      <c r="H1588" s="5">
        <f t="shared" si="78"/>
        <v>60000</v>
      </c>
      <c r="I1588" s="5">
        <f t="shared" si="79"/>
        <v>150000</v>
      </c>
      <c r="J1588" s="5">
        <f t="shared" si="80"/>
        <v>90000</v>
      </c>
      <c r="K1588" s="5" t="str">
        <f>VLOOKUP(C1588,[1]master_data!$A$2:$E$495,5,FALSE)</f>
        <v>Ikan</v>
      </c>
      <c r="L1588" s="5" t="s">
        <v>471</v>
      </c>
    </row>
    <row r="1589" spans="1:12" ht="12" customHeight="1" x14ac:dyDescent="0.25">
      <c r="A1589" s="6">
        <v>44756</v>
      </c>
      <c r="B1589" s="1">
        <v>2202974</v>
      </c>
      <c r="C1589" s="5" t="s">
        <v>79</v>
      </c>
      <c r="D1589" s="5" t="str">
        <f>VLOOKUP(C1589,[1]master_data!$A$2:$E$495,2,FALSE)</f>
        <v>MESIN KIYOSAKI 107A</v>
      </c>
      <c r="E1589" s="5">
        <v>1</v>
      </c>
      <c r="F1589" s="5">
        <f>VLOOKUP(C1589,[1]master_data!$A$2:$E$495,3,FALSE)</f>
        <v>250000</v>
      </c>
      <c r="G1589" s="5">
        <f>VLOOKUP(C1589,[1]master_data!$A$2:$E$495,4,FALSE)</f>
        <v>300000</v>
      </c>
      <c r="H1589" s="5">
        <f t="shared" si="78"/>
        <v>250000</v>
      </c>
      <c r="I1589" s="5">
        <f t="shared" si="79"/>
        <v>300000</v>
      </c>
      <c r="J1589" s="5">
        <f t="shared" si="80"/>
        <v>50000</v>
      </c>
      <c r="K1589" s="5" t="str">
        <f>VLOOKUP(C1589,[1]master_data!$A$2:$E$495,5,FALSE)</f>
        <v>Aksesoris</v>
      </c>
      <c r="L1589" s="5" t="s">
        <v>471</v>
      </c>
    </row>
    <row r="1590" spans="1:12" ht="12" customHeight="1" x14ac:dyDescent="0.25">
      <c r="A1590" s="6">
        <v>44756</v>
      </c>
      <c r="B1590" s="1">
        <v>2202973</v>
      </c>
      <c r="C1590" s="5" t="s">
        <v>121</v>
      </c>
      <c r="D1590" s="5" t="str">
        <f>VLOOKUP(C1590,[1]master_data!$A$2:$E$495,2,FALSE)</f>
        <v>LED KIYOSAKI 3 MODE 50 CM</v>
      </c>
      <c r="E1590" s="5">
        <v>10</v>
      </c>
      <c r="F1590" s="5">
        <f>VLOOKUP(C1590,[1]master_data!$A$2:$E$495,3,FALSE)</f>
        <v>37000</v>
      </c>
      <c r="G1590" s="5">
        <f>VLOOKUP(C1590,[1]master_data!$A$2:$E$495,4,FALSE)</f>
        <v>60000</v>
      </c>
      <c r="H1590" s="5">
        <f t="shared" si="78"/>
        <v>370000</v>
      </c>
      <c r="I1590" s="5">
        <f t="shared" si="79"/>
        <v>600000</v>
      </c>
      <c r="J1590" s="5">
        <f t="shared" si="80"/>
        <v>230000</v>
      </c>
      <c r="K1590" s="5" t="str">
        <f>VLOOKUP(C1590,[1]master_data!$A$2:$E$495,5,FALSE)</f>
        <v>Aksesoris</v>
      </c>
      <c r="L1590" s="5" t="s">
        <v>471</v>
      </c>
    </row>
    <row r="1591" spans="1:12" ht="12" customHeight="1" x14ac:dyDescent="0.25">
      <c r="A1591" s="6">
        <v>44756</v>
      </c>
      <c r="B1591" s="1">
        <v>2202972</v>
      </c>
      <c r="C1591" s="5" t="s">
        <v>453</v>
      </c>
      <c r="D1591" s="5" t="str">
        <f>VLOOKUP(C1591,[1]master_data!$A$2:$E$495,2,FALSE)</f>
        <v>SYNODONTIS K</v>
      </c>
      <c r="E1591" s="5">
        <v>20</v>
      </c>
      <c r="F1591" s="5">
        <f>VLOOKUP(C1591,[1]master_data!$A$2:$E$495,3,FALSE)</f>
        <v>1500</v>
      </c>
      <c r="G1591" s="5">
        <f>VLOOKUP(C1591,[1]master_data!$A$2:$E$495,4,FALSE)</f>
        <v>5000</v>
      </c>
      <c r="H1591" s="5">
        <f t="shared" si="78"/>
        <v>30000</v>
      </c>
      <c r="I1591" s="5">
        <f t="shared" si="79"/>
        <v>100000</v>
      </c>
      <c r="J1591" s="5">
        <f t="shared" si="80"/>
        <v>70000</v>
      </c>
      <c r="K1591" s="5" t="str">
        <f>VLOOKUP(C1591,[1]master_data!$A$2:$E$495,5,FALSE)</f>
        <v>Ikan</v>
      </c>
      <c r="L1591" s="5" t="s">
        <v>471</v>
      </c>
    </row>
    <row r="1592" spans="1:12" ht="12" customHeight="1" x14ac:dyDescent="0.25">
      <c r="A1592" s="6">
        <v>44755</v>
      </c>
      <c r="B1592" s="1">
        <v>2202971</v>
      </c>
      <c r="C1592" s="5" t="s">
        <v>435</v>
      </c>
      <c r="D1592" s="5" t="str">
        <f>VLOOKUP(C1592,[1]master_data!$A$2:$E$495,2,FALSE)</f>
        <v>MOLI BALON</v>
      </c>
      <c r="E1592" s="5">
        <v>10</v>
      </c>
      <c r="F1592" s="5">
        <f>VLOOKUP(C1592,[1]master_data!$A$2:$E$495,3,FALSE)</f>
        <v>800</v>
      </c>
      <c r="G1592" s="5">
        <f>VLOOKUP(C1592,[1]master_data!$A$2:$E$495,4,FALSE)</f>
        <v>2000</v>
      </c>
      <c r="H1592" s="5">
        <f t="shared" si="78"/>
        <v>8000</v>
      </c>
      <c r="I1592" s="5">
        <f t="shared" si="79"/>
        <v>20000</v>
      </c>
      <c r="J1592" s="5">
        <f t="shared" si="80"/>
        <v>12000</v>
      </c>
      <c r="K1592" s="5" t="str">
        <f>VLOOKUP(C1592,[1]master_data!$A$2:$E$495,5,FALSE)</f>
        <v>Ikan</v>
      </c>
      <c r="L1592" s="5" t="s">
        <v>471</v>
      </c>
    </row>
    <row r="1593" spans="1:12" ht="12" customHeight="1" x14ac:dyDescent="0.25">
      <c r="A1593" s="6">
        <v>44755</v>
      </c>
      <c r="B1593" s="1">
        <v>2202970</v>
      </c>
      <c r="C1593" s="5" t="s">
        <v>84</v>
      </c>
      <c r="D1593" s="5" t="str">
        <f>VLOOKUP(C1593,[1]master_data!$A$2:$E$495,2,FALSE)</f>
        <v>MESIN RECENT WV 3000</v>
      </c>
      <c r="E1593" s="5">
        <v>2</v>
      </c>
      <c r="F1593" s="5">
        <f>VLOOKUP(C1593,[1]master_data!$A$2:$E$495,3,FALSE)</f>
        <v>59000</v>
      </c>
      <c r="G1593" s="5">
        <f>VLOOKUP(C1593,[1]master_data!$A$2:$E$495,4,FALSE)</f>
        <v>85000</v>
      </c>
      <c r="H1593" s="5">
        <f t="shared" si="78"/>
        <v>118000</v>
      </c>
      <c r="I1593" s="5">
        <f t="shared" si="79"/>
        <v>170000</v>
      </c>
      <c r="J1593" s="5">
        <f t="shared" si="80"/>
        <v>52000</v>
      </c>
      <c r="K1593" s="5" t="str">
        <f>VLOOKUP(C1593,[1]master_data!$A$2:$E$495,5,FALSE)</f>
        <v>Aksesoris</v>
      </c>
      <c r="L1593" s="5" t="s">
        <v>471</v>
      </c>
    </row>
    <row r="1594" spans="1:12" ht="12" customHeight="1" x14ac:dyDescent="0.25">
      <c r="A1594" s="6">
        <v>44755</v>
      </c>
      <c r="B1594" s="1">
        <v>2202969</v>
      </c>
      <c r="C1594" s="5" t="s">
        <v>272</v>
      </c>
      <c r="D1594" s="5" t="str">
        <f>VLOOKUP(C1594,[1]master_data!$A$2:$E$495,2,FALSE)</f>
        <v>JARING 10</v>
      </c>
      <c r="E1594" s="5">
        <v>1</v>
      </c>
      <c r="F1594" s="5">
        <f>VLOOKUP(C1594,[1]master_data!$A$2:$E$495,3,FALSE)</f>
        <v>2900</v>
      </c>
      <c r="G1594" s="5">
        <f>VLOOKUP(C1594,[1]master_data!$A$2:$E$495,4,FALSE)</f>
        <v>6000</v>
      </c>
      <c r="H1594" s="5">
        <f t="shared" si="78"/>
        <v>2900</v>
      </c>
      <c r="I1594" s="5">
        <f t="shared" si="79"/>
        <v>6000</v>
      </c>
      <c r="J1594" s="5">
        <f t="shared" si="80"/>
        <v>3100</v>
      </c>
      <c r="K1594" s="5" t="str">
        <f>VLOOKUP(C1594,[1]master_data!$A$2:$E$495,5,FALSE)</f>
        <v>Aksesoris</v>
      </c>
      <c r="L1594" s="5" t="s">
        <v>471</v>
      </c>
    </row>
    <row r="1595" spans="1:12" ht="12" customHeight="1" x14ac:dyDescent="0.25">
      <c r="A1595" s="6">
        <v>44755</v>
      </c>
      <c r="B1595" s="1">
        <v>2202968</v>
      </c>
      <c r="C1595" s="5" t="s">
        <v>463</v>
      </c>
      <c r="D1595" s="5" t="str">
        <f>VLOOKUP(C1595,[1]master_data!$A$2:$E$495,2,FALSE)</f>
        <v>CHANNA STEWARTI</v>
      </c>
      <c r="E1595" s="5">
        <v>2</v>
      </c>
      <c r="F1595" s="5">
        <f>VLOOKUP(C1595,[1]master_data!$A$2:$E$495,3,FALSE)</f>
        <v>15000</v>
      </c>
      <c r="G1595" s="5">
        <f>VLOOKUP(C1595,[1]master_data!$A$2:$E$495,4,FALSE)</f>
        <v>40000</v>
      </c>
      <c r="H1595" s="5">
        <f t="shared" si="78"/>
        <v>30000</v>
      </c>
      <c r="I1595" s="5">
        <f t="shared" si="79"/>
        <v>80000</v>
      </c>
      <c r="J1595" s="5">
        <f t="shared" si="80"/>
        <v>50000</v>
      </c>
      <c r="K1595" s="5" t="str">
        <f>VLOOKUP(C1595,[1]master_data!$A$2:$E$495,5,FALSE)</f>
        <v>Ikan</v>
      </c>
      <c r="L1595" s="5" t="s">
        <v>471</v>
      </c>
    </row>
    <row r="1596" spans="1:12" ht="12" customHeight="1" x14ac:dyDescent="0.25">
      <c r="A1596" s="6">
        <v>44755</v>
      </c>
      <c r="B1596" s="1">
        <v>2202967</v>
      </c>
      <c r="C1596" s="5" t="s">
        <v>422</v>
      </c>
      <c r="D1596" s="5" t="str">
        <f>VLOOKUP(C1596,[1]master_data!$A$2:$E$495,2,FALSE)</f>
        <v>KOMET SLAYER</v>
      </c>
      <c r="E1596" s="5">
        <v>20</v>
      </c>
      <c r="F1596" s="5">
        <f>VLOOKUP(C1596,[1]master_data!$A$2:$E$495,3,FALSE)</f>
        <v>2000</v>
      </c>
      <c r="G1596" s="5">
        <f>VLOOKUP(C1596,[1]master_data!$A$2:$E$495,4,FALSE)</f>
        <v>5000</v>
      </c>
      <c r="H1596" s="5">
        <f t="shared" si="78"/>
        <v>40000</v>
      </c>
      <c r="I1596" s="5">
        <f t="shared" si="79"/>
        <v>100000</v>
      </c>
      <c r="J1596" s="5">
        <f t="shared" si="80"/>
        <v>60000</v>
      </c>
      <c r="K1596" s="5" t="str">
        <f>VLOOKUP(C1596,[1]master_data!$A$2:$E$495,5,FALSE)</f>
        <v>Ikan</v>
      </c>
      <c r="L1596" s="5" t="s">
        <v>471</v>
      </c>
    </row>
    <row r="1597" spans="1:12" ht="12" customHeight="1" x14ac:dyDescent="0.25">
      <c r="A1597" s="6">
        <v>44755</v>
      </c>
      <c r="B1597" s="1">
        <v>2202966</v>
      </c>
      <c r="C1597" s="5" t="s">
        <v>405</v>
      </c>
      <c r="D1597" s="5" t="str">
        <f>VLOOKUP(C1597,[1]master_data!$A$2:$E$495,2,FALSE)</f>
        <v>KOMET BOKIM</v>
      </c>
      <c r="E1597" s="5">
        <v>25</v>
      </c>
      <c r="F1597" s="5">
        <f>VLOOKUP(C1597,[1]master_data!$A$2:$E$495,3,FALSE)</f>
        <v>1500</v>
      </c>
      <c r="G1597" s="5">
        <f>VLOOKUP(C1597,[1]master_data!$A$2:$E$495,4,FALSE)</f>
        <v>5000</v>
      </c>
      <c r="H1597" s="5">
        <f t="shared" si="78"/>
        <v>37500</v>
      </c>
      <c r="I1597" s="5">
        <f t="shared" si="79"/>
        <v>125000</v>
      </c>
      <c r="J1597" s="5">
        <f t="shared" si="80"/>
        <v>87500</v>
      </c>
      <c r="K1597" s="5" t="str">
        <f>VLOOKUP(C1597,[1]master_data!$A$2:$E$495,5,FALSE)</f>
        <v>Ikan</v>
      </c>
      <c r="L1597" s="5" t="s">
        <v>471</v>
      </c>
    </row>
    <row r="1598" spans="1:12" ht="12" customHeight="1" x14ac:dyDescent="0.25">
      <c r="A1598" s="6">
        <v>44755</v>
      </c>
      <c r="B1598" s="1">
        <v>2202965</v>
      </c>
      <c r="C1598" s="5" t="s">
        <v>269</v>
      </c>
      <c r="D1598" s="5" t="str">
        <f>VLOOKUP(C1598,[1]master_data!$A$2:$E$495,2,FALSE)</f>
        <v>HEATER KACA 50 W</v>
      </c>
      <c r="E1598" s="5">
        <v>4</v>
      </c>
      <c r="F1598" s="5">
        <f>VLOOKUP(C1598,[1]master_data!$A$2:$E$495,3,FALSE)</f>
        <v>33000</v>
      </c>
      <c r="G1598" s="5">
        <f>VLOOKUP(C1598,[1]master_data!$A$2:$E$495,4,FALSE)</f>
        <v>50000</v>
      </c>
      <c r="H1598" s="5">
        <f t="shared" si="78"/>
        <v>132000</v>
      </c>
      <c r="I1598" s="5">
        <f t="shared" si="79"/>
        <v>200000</v>
      </c>
      <c r="J1598" s="5">
        <f t="shared" si="80"/>
        <v>68000</v>
      </c>
      <c r="K1598" s="5" t="str">
        <f>VLOOKUP(C1598,[1]master_data!$A$2:$E$495,5,FALSE)</f>
        <v>Aksesoris</v>
      </c>
      <c r="L1598" s="5" t="s">
        <v>471</v>
      </c>
    </row>
    <row r="1599" spans="1:12" ht="12" customHeight="1" x14ac:dyDescent="0.25">
      <c r="A1599" s="6">
        <v>44755</v>
      </c>
      <c r="B1599" s="1">
        <v>2202964</v>
      </c>
      <c r="C1599" s="5" t="s">
        <v>436</v>
      </c>
      <c r="D1599" s="5" t="str">
        <f>VLOOKUP(C1599,[1]master_data!$A$2:$E$495,2,FALSE)</f>
        <v>NIASA</v>
      </c>
      <c r="E1599" s="5">
        <v>30</v>
      </c>
      <c r="F1599" s="5">
        <f>VLOOKUP(C1599,[1]master_data!$A$2:$E$495,3,FALSE)</f>
        <v>900</v>
      </c>
      <c r="G1599" s="5">
        <f>VLOOKUP(C1599,[1]master_data!$A$2:$E$495,4,FALSE)</f>
        <v>2000</v>
      </c>
      <c r="H1599" s="5">
        <f t="shared" si="78"/>
        <v>27000</v>
      </c>
      <c r="I1599" s="5">
        <f t="shared" si="79"/>
        <v>60000</v>
      </c>
      <c r="J1599" s="5">
        <f t="shared" si="80"/>
        <v>33000</v>
      </c>
      <c r="K1599" s="5" t="str">
        <f>VLOOKUP(C1599,[1]master_data!$A$2:$E$495,5,FALSE)</f>
        <v>Ikan</v>
      </c>
      <c r="L1599" s="5" t="s">
        <v>471</v>
      </c>
    </row>
    <row r="1600" spans="1:12" ht="12" customHeight="1" x14ac:dyDescent="0.25">
      <c r="A1600" s="6">
        <v>44755</v>
      </c>
      <c r="B1600" s="1">
        <v>2202963</v>
      </c>
      <c r="C1600" s="5" t="s">
        <v>420</v>
      </c>
      <c r="D1600" s="5" t="str">
        <f>VLOOKUP(C1600,[1]master_data!$A$2:$E$495,2,FALSE)</f>
        <v>KAVIAT</v>
      </c>
      <c r="E1600" s="5">
        <v>15</v>
      </c>
      <c r="F1600" s="5">
        <f>VLOOKUP(C1600,[1]master_data!$A$2:$E$495,3,FALSE)</f>
        <v>3500</v>
      </c>
      <c r="G1600" s="5">
        <f>VLOOKUP(C1600,[1]master_data!$A$2:$E$495,4,FALSE)</f>
        <v>8000</v>
      </c>
      <c r="H1600" s="5">
        <f t="shared" si="78"/>
        <v>52500</v>
      </c>
      <c r="I1600" s="5">
        <f t="shared" si="79"/>
        <v>120000</v>
      </c>
      <c r="J1600" s="5">
        <f t="shared" si="80"/>
        <v>67500</v>
      </c>
      <c r="K1600" s="5" t="str">
        <f>VLOOKUP(C1600,[1]master_data!$A$2:$E$495,5,FALSE)</f>
        <v>Ikan</v>
      </c>
      <c r="L1600" s="5" t="s">
        <v>471</v>
      </c>
    </row>
    <row r="1601" spans="1:12" ht="12" customHeight="1" x14ac:dyDescent="0.25">
      <c r="A1601" s="6">
        <v>44755</v>
      </c>
      <c r="B1601" s="1">
        <v>2202962</v>
      </c>
      <c r="C1601" s="5" t="s">
        <v>239</v>
      </c>
      <c r="D1601" s="5" t="str">
        <f>VLOOKUP(C1601,[1]master_data!$A$2:$E$495,2,FALSE)</f>
        <v>BLUE BG</v>
      </c>
      <c r="E1601" s="5">
        <v>10</v>
      </c>
      <c r="F1601" s="5">
        <f>VLOOKUP(C1601,[1]master_data!$A$2:$E$495,3,FALSE)</f>
        <v>12500</v>
      </c>
      <c r="G1601" s="5">
        <f>VLOOKUP(C1601,[1]master_data!$A$2:$E$495,4,FALSE)</f>
        <v>25000</v>
      </c>
      <c r="H1601" s="5">
        <f t="shared" si="78"/>
        <v>125000</v>
      </c>
      <c r="I1601" s="5">
        <f t="shared" si="79"/>
        <v>250000</v>
      </c>
      <c r="J1601" s="5">
        <f t="shared" si="80"/>
        <v>125000</v>
      </c>
      <c r="K1601" s="5" t="str">
        <f>VLOOKUP(C1601,[1]master_data!$A$2:$E$495,5,FALSE)</f>
        <v>Aksesoris</v>
      </c>
      <c r="L1601" s="5" t="s">
        <v>471</v>
      </c>
    </row>
    <row r="1602" spans="1:12" ht="12" customHeight="1" x14ac:dyDescent="0.25">
      <c r="A1602" s="6">
        <v>44754</v>
      </c>
      <c r="B1602" s="1">
        <v>2202961</v>
      </c>
      <c r="C1602" s="5" t="s">
        <v>174</v>
      </c>
      <c r="D1602" s="5" t="str">
        <f>VLOOKUP(C1602,[1]master_data!$A$2:$E$495,2,FALSE)</f>
        <v>LED AQURA 40 CM</v>
      </c>
      <c r="E1602" s="5">
        <v>2</v>
      </c>
      <c r="F1602" s="5">
        <f>VLOOKUP(C1602,[1]master_data!$A$2:$E$495,3,FALSE)</f>
        <v>21000</v>
      </c>
      <c r="G1602" s="5">
        <f>VLOOKUP(C1602,[1]master_data!$A$2:$E$495,4,FALSE)</f>
        <v>40000</v>
      </c>
      <c r="H1602" s="5">
        <f t="shared" si="78"/>
        <v>42000</v>
      </c>
      <c r="I1602" s="5">
        <f t="shared" si="79"/>
        <v>80000</v>
      </c>
      <c r="J1602" s="5">
        <f t="shared" si="80"/>
        <v>38000</v>
      </c>
      <c r="K1602" s="5" t="str">
        <f>VLOOKUP(C1602,[1]master_data!$A$2:$E$495,5,FALSE)</f>
        <v>Aksesoris</v>
      </c>
      <c r="L1602" s="5" t="s">
        <v>471</v>
      </c>
    </row>
    <row r="1603" spans="1:12" ht="12" customHeight="1" x14ac:dyDescent="0.25">
      <c r="A1603" s="6">
        <v>44754</v>
      </c>
      <c r="B1603" s="1">
        <v>2202960</v>
      </c>
      <c r="C1603" s="5" t="s">
        <v>400</v>
      </c>
      <c r="D1603" s="5" t="str">
        <f>VLOOKUP(C1603,[1]master_data!$A$2:$E$495,2,FALSE)</f>
        <v>BALA BALA K</v>
      </c>
      <c r="E1603" s="5">
        <v>15</v>
      </c>
      <c r="F1603" s="5">
        <f>VLOOKUP(C1603,[1]master_data!$A$2:$E$495,3,FALSE)</f>
        <v>4000</v>
      </c>
      <c r="G1603" s="5">
        <f>VLOOKUP(C1603,[1]master_data!$A$2:$E$495,4,FALSE)</f>
        <v>8000</v>
      </c>
      <c r="H1603" s="5">
        <f t="shared" si="78"/>
        <v>60000</v>
      </c>
      <c r="I1603" s="5">
        <f t="shared" si="79"/>
        <v>120000</v>
      </c>
      <c r="J1603" s="5">
        <f t="shared" si="80"/>
        <v>60000</v>
      </c>
      <c r="K1603" s="5" t="str">
        <f>VLOOKUP(C1603,[1]master_data!$A$2:$E$495,5,FALSE)</f>
        <v>Ikan</v>
      </c>
      <c r="L1603" s="5" t="s">
        <v>471</v>
      </c>
    </row>
    <row r="1604" spans="1:12" ht="12" customHeight="1" x14ac:dyDescent="0.25">
      <c r="A1604" s="6">
        <v>44754</v>
      </c>
      <c r="B1604" s="1">
        <v>2202959</v>
      </c>
      <c r="C1604" s="5" t="s">
        <v>461</v>
      </c>
      <c r="D1604" s="5" t="str">
        <f>VLOOKUP(C1604,[1]master_data!$A$2:$E$495,2,FALSE)</f>
        <v>SEPAT</v>
      </c>
      <c r="E1604" s="5">
        <v>20</v>
      </c>
      <c r="F1604" s="5">
        <f>VLOOKUP(C1604,[1]master_data!$A$2:$E$495,3,FALSE)</f>
        <v>600</v>
      </c>
      <c r="G1604" s="5">
        <f>VLOOKUP(C1604,[1]master_data!$A$2:$E$495,4,FALSE)</f>
        <v>2000</v>
      </c>
      <c r="H1604" s="5">
        <f t="shared" si="78"/>
        <v>12000</v>
      </c>
      <c r="I1604" s="5">
        <f t="shared" si="79"/>
        <v>40000</v>
      </c>
      <c r="J1604" s="5">
        <f t="shared" si="80"/>
        <v>28000</v>
      </c>
      <c r="K1604" s="5" t="str">
        <f>VLOOKUP(C1604,[1]master_data!$A$2:$E$495,5,FALSE)</f>
        <v>Ikan</v>
      </c>
      <c r="L1604" s="5" t="s">
        <v>471</v>
      </c>
    </row>
    <row r="1605" spans="1:12" ht="12" customHeight="1" x14ac:dyDescent="0.25">
      <c r="A1605" s="6">
        <v>44754</v>
      </c>
      <c r="B1605" s="1">
        <v>2202958</v>
      </c>
      <c r="C1605" s="5" t="s">
        <v>365</v>
      </c>
      <c r="D1605" s="5" t="str">
        <f>VLOOKUP(C1605,[1]master_data!$A$2:$E$495,2,FALSE)</f>
        <v>TUTUP AKUARIUM S</v>
      </c>
      <c r="E1605" s="5">
        <v>1</v>
      </c>
      <c r="F1605" s="5">
        <f>VLOOKUP(C1605,[1]master_data!$A$2:$E$495,3,FALSE)</f>
        <v>20000</v>
      </c>
      <c r="G1605" s="5">
        <f>VLOOKUP(C1605,[1]master_data!$A$2:$E$495,4,FALSE)</f>
        <v>30000</v>
      </c>
      <c r="H1605" s="5">
        <f t="shared" ref="H1605:H1668" si="81">E1605*F1605</f>
        <v>20000</v>
      </c>
      <c r="I1605" s="5">
        <f t="shared" ref="I1605:I1668" si="82">E1605*G1605</f>
        <v>30000</v>
      </c>
      <c r="J1605" s="5">
        <f t="shared" ref="J1605:J1668" si="83">I1605-H1605</f>
        <v>10000</v>
      </c>
      <c r="K1605" s="5" t="str">
        <f>VLOOKUP(C1605,[1]master_data!$A$2:$E$495,5,FALSE)</f>
        <v>Aksesoris</v>
      </c>
      <c r="L1605" s="5" t="s">
        <v>471</v>
      </c>
    </row>
    <row r="1606" spans="1:12" ht="12" customHeight="1" x14ac:dyDescent="0.25">
      <c r="A1606" s="6">
        <v>44754</v>
      </c>
      <c r="B1606" s="1">
        <v>2202957</v>
      </c>
      <c r="C1606" s="5" t="s">
        <v>432</v>
      </c>
      <c r="D1606" s="5" t="str">
        <f>VLOOKUP(C1606,[1]master_data!$A$2:$E$495,2,FALSE)</f>
        <v>MARU K</v>
      </c>
      <c r="E1606" s="5">
        <v>2</v>
      </c>
      <c r="F1606" s="5">
        <f>VLOOKUP(C1606,[1]master_data!$A$2:$E$495,3,FALSE)</f>
        <v>23000</v>
      </c>
      <c r="G1606" s="5">
        <f>VLOOKUP(C1606,[1]master_data!$A$2:$E$495,4,FALSE)</f>
        <v>50000</v>
      </c>
      <c r="H1606" s="5">
        <f t="shared" si="81"/>
        <v>46000</v>
      </c>
      <c r="I1606" s="5">
        <f t="shared" si="82"/>
        <v>100000</v>
      </c>
      <c r="J1606" s="5">
        <f t="shared" si="83"/>
        <v>54000</v>
      </c>
      <c r="K1606" s="5" t="str">
        <f>VLOOKUP(C1606,[1]master_data!$A$2:$E$495,5,FALSE)</f>
        <v>Ikan</v>
      </c>
      <c r="L1606" s="5" t="s">
        <v>471</v>
      </c>
    </row>
    <row r="1607" spans="1:12" ht="12" customHeight="1" x14ac:dyDescent="0.25">
      <c r="A1607" s="6">
        <v>44754</v>
      </c>
      <c r="B1607" s="1">
        <v>2202956</v>
      </c>
      <c r="C1607" s="5" t="s">
        <v>428</v>
      </c>
      <c r="D1607" s="5" t="str">
        <f>VLOOKUP(C1607,[1]master_data!$A$2:$E$495,2,FALSE)</f>
        <v>LOUHAN</v>
      </c>
      <c r="E1607" s="5">
        <v>1</v>
      </c>
      <c r="F1607" s="5">
        <f>VLOOKUP(C1607,[1]master_data!$A$2:$E$495,3,FALSE)</f>
        <v>85000</v>
      </c>
      <c r="G1607" s="5">
        <f>VLOOKUP(C1607,[1]master_data!$A$2:$E$495,4,FALSE)</f>
        <v>200000</v>
      </c>
      <c r="H1607" s="5">
        <f t="shared" si="81"/>
        <v>85000</v>
      </c>
      <c r="I1607" s="5">
        <f t="shared" si="82"/>
        <v>200000</v>
      </c>
      <c r="J1607" s="5">
        <f t="shared" si="83"/>
        <v>115000</v>
      </c>
      <c r="K1607" s="5" t="str">
        <f>VLOOKUP(C1607,[1]master_data!$A$2:$E$495,5,FALSE)</f>
        <v>Ikan</v>
      </c>
      <c r="L1607" s="5" t="s">
        <v>471</v>
      </c>
    </row>
    <row r="1608" spans="1:12" ht="12" customHeight="1" x14ac:dyDescent="0.25">
      <c r="A1608" s="6">
        <v>44754</v>
      </c>
      <c r="B1608" s="1">
        <v>2202955</v>
      </c>
      <c r="C1608" s="5" t="s">
        <v>411</v>
      </c>
      <c r="D1608" s="5" t="str">
        <f>VLOOKUP(C1608,[1]master_data!$A$2:$E$495,2,FALSE)</f>
        <v>GOLDEN BLACK</v>
      </c>
      <c r="E1608" s="5">
        <v>15</v>
      </c>
      <c r="F1608" s="5">
        <f>VLOOKUP(C1608,[1]master_data!$A$2:$E$495,3,FALSE)</f>
        <v>800</v>
      </c>
      <c r="G1608" s="5">
        <f>VLOOKUP(C1608,[1]master_data!$A$2:$E$495,4,FALSE)</f>
        <v>2000</v>
      </c>
      <c r="H1608" s="5">
        <f t="shared" si="81"/>
        <v>12000</v>
      </c>
      <c r="I1608" s="5">
        <f t="shared" si="82"/>
        <v>30000</v>
      </c>
      <c r="J1608" s="5">
        <f t="shared" si="83"/>
        <v>18000</v>
      </c>
      <c r="K1608" s="5" t="str">
        <f>VLOOKUP(C1608,[1]master_data!$A$2:$E$495,5,FALSE)</f>
        <v>Ikan</v>
      </c>
      <c r="L1608" s="5" t="s">
        <v>471</v>
      </c>
    </row>
    <row r="1609" spans="1:12" ht="12" customHeight="1" x14ac:dyDescent="0.25">
      <c r="A1609" s="6">
        <v>44754</v>
      </c>
      <c r="B1609" s="1">
        <v>2202954</v>
      </c>
      <c r="C1609" s="5" t="s">
        <v>429</v>
      </c>
      <c r="D1609" s="5" t="str">
        <f>VLOOKUP(C1609,[1]master_data!$A$2:$E$495,2,FALSE)</f>
        <v>LOUHAN SUPER</v>
      </c>
      <c r="E1609" s="5">
        <v>1</v>
      </c>
      <c r="F1609" s="5">
        <f>VLOOKUP(C1609,[1]master_data!$A$2:$E$495,3,FALSE)</f>
        <v>300000</v>
      </c>
      <c r="G1609" s="5">
        <f>VLOOKUP(C1609,[1]master_data!$A$2:$E$495,4,FALSE)</f>
        <v>500000</v>
      </c>
      <c r="H1609" s="5">
        <f t="shared" si="81"/>
        <v>300000</v>
      </c>
      <c r="I1609" s="5">
        <f t="shared" si="82"/>
        <v>500000</v>
      </c>
      <c r="J1609" s="5">
        <f t="shared" si="83"/>
        <v>200000</v>
      </c>
      <c r="K1609" s="5" t="str">
        <f>VLOOKUP(C1609,[1]master_data!$A$2:$E$495,5,FALSE)</f>
        <v>Ikan</v>
      </c>
      <c r="L1609" s="5" t="s">
        <v>471</v>
      </c>
    </row>
    <row r="1610" spans="1:12" ht="12" customHeight="1" x14ac:dyDescent="0.25">
      <c r="A1610" s="6">
        <v>44754</v>
      </c>
      <c r="B1610" s="1">
        <v>2202953</v>
      </c>
      <c r="C1610" s="5" t="s">
        <v>392</v>
      </c>
      <c r="D1610" s="5" t="str">
        <f>VLOOKUP(C1610,[1]master_data!$A$2:$E$495,2,FALSE)</f>
        <v>CHANNA ASIATICA B</v>
      </c>
      <c r="E1610" s="5">
        <v>1</v>
      </c>
      <c r="F1610" s="5">
        <f>VLOOKUP(C1610,[1]master_data!$A$2:$E$495,3,FALSE)</f>
        <v>40000</v>
      </c>
      <c r="G1610" s="5">
        <f>VLOOKUP(C1610,[1]master_data!$A$2:$E$495,4,FALSE)</f>
        <v>100000</v>
      </c>
      <c r="H1610" s="5">
        <f t="shared" si="81"/>
        <v>40000</v>
      </c>
      <c r="I1610" s="5">
        <f t="shared" si="82"/>
        <v>100000</v>
      </c>
      <c r="J1610" s="5">
        <f t="shared" si="83"/>
        <v>60000</v>
      </c>
      <c r="K1610" s="5" t="str">
        <f>VLOOKUP(C1610,[1]master_data!$A$2:$E$495,5,FALSE)</f>
        <v>Ikan</v>
      </c>
      <c r="L1610" s="5" t="s">
        <v>471</v>
      </c>
    </row>
    <row r="1611" spans="1:12" ht="12" customHeight="1" x14ac:dyDescent="0.25">
      <c r="A1611" s="6">
        <v>44754</v>
      </c>
      <c r="B1611" s="1">
        <v>2202952</v>
      </c>
      <c r="C1611" s="5" t="s">
        <v>98</v>
      </c>
      <c r="D1611" s="5" t="str">
        <f>VLOOKUP(C1611,[1]master_data!$A$2:$E$495,2,FALSE)</f>
        <v>AIRATOR ROSTON LUB 2</v>
      </c>
      <c r="E1611" s="5">
        <v>5</v>
      </c>
      <c r="F1611" s="5">
        <f>VLOOKUP(C1611,[1]master_data!$A$2:$E$495,3,FALSE)</f>
        <v>31000</v>
      </c>
      <c r="G1611" s="5">
        <f>VLOOKUP(C1611,[1]master_data!$A$2:$E$495,4,FALSE)</f>
        <v>50000</v>
      </c>
      <c r="H1611" s="5">
        <f t="shared" si="81"/>
        <v>155000</v>
      </c>
      <c r="I1611" s="5">
        <f t="shared" si="82"/>
        <v>250000</v>
      </c>
      <c r="J1611" s="5">
        <f t="shared" si="83"/>
        <v>95000</v>
      </c>
      <c r="K1611" s="5" t="str">
        <f>VLOOKUP(C1611,[1]master_data!$A$2:$E$495,5,FALSE)</f>
        <v>Aksesoris</v>
      </c>
      <c r="L1611" s="5" t="s">
        <v>471</v>
      </c>
    </row>
    <row r="1612" spans="1:12" ht="12" customHeight="1" x14ac:dyDescent="0.25">
      <c r="A1612" s="6">
        <v>44753</v>
      </c>
      <c r="B1612" s="1">
        <v>2202951</v>
      </c>
      <c r="C1612" s="5" t="s">
        <v>428</v>
      </c>
      <c r="D1612" s="5" t="str">
        <f>VLOOKUP(C1612,[1]master_data!$A$2:$E$495,2,FALSE)</f>
        <v>LOUHAN</v>
      </c>
      <c r="E1612" s="5">
        <v>1</v>
      </c>
      <c r="F1612" s="5">
        <f>VLOOKUP(C1612,[1]master_data!$A$2:$E$495,3,FALSE)</f>
        <v>85000</v>
      </c>
      <c r="G1612" s="5">
        <f>VLOOKUP(C1612,[1]master_data!$A$2:$E$495,4,FALSE)</f>
        <v>200000</v>
      </c>
      <c r="H1612" s="5">
        <f t="shared" si="81"/>
        <v>85000</v>
      </c>
      <c r="I1612" s="5">
        <f t="shared" si="82"/>
        <v>200000</v>
      </c>
      <c r="J1612" s="5">
        <f t="shared" si="83"/>
        <v>115000</v>
      </c>
      <c r="K1612" s="5" t="str">
        <f>VLOOKUP(C1612,[1]master_data!$A$2:$E$495,5,FALSE)</f>
        <v>Ikan</v>
      </c>
      <c r="L1612" s="5" t="s">
        <v>471</v>
      </c>
    </row>
    <row r="1613" spans="1:12" ht="12" customHeight="1" x14ac:dyDescent="0.25">
      <c r="A1613" s="6">
        <v>44753</v>
      </c>
      <c r="B1613" s="1">
        <v>2202950</v>
      </c>
      <c r="C1613" s="5" t="s">
        <v>419</v>
      </c>
      <c r="D1613" s="5" t="str">
        <f>VLOOKUP(C1613,[1]master_data!$A$2:$E$495,2,FALSE)</f>
        <v>KURA - KURA</v>
      </c>
      <c r="E1613" s="5">
        <v>10</v>
      </c>
      <c r="F1613" s="5">
        <f>VLOOKUP(C1613,[1]master_data!$A$2:$E$495,3,FALSE)</f>
        <v>25000</v>
      </c>
      <c r="G1613" s="5">
        <f>VLOOKUP(C1613,[1]master_data!$A$2:$E$495,4,FALSE)</f>
        <v>35000</v>
      </c>
      <c r="H1613" s="5">
        <f t="shared" si="81"/>
        <v>250000</v>
      </c>
      <c r="I1613" s="5">
        <f t="shared" si="82"/>
        <v>350000</v>
      </c>
      <c r="J1613" s="5">
        <f t="shared" si="83"/>
        <v>100000</v>
      </c>
      <c r="K1613" s="5" t="str">
        <f>VLOOKUP(C1613,[1]master_data!$A$2:$E$495,5,FALSE)</f>
        <v>Ikan</v>
      </c>
      <c r="L1613" s="5" t="s">
        <v>471</v>
      </c>
    </row>
    <row r="1614" spans="1:12" ht="12" customHeight="1" x14ac:dyDescent="0.25">
      <c r="A1614" s="6">
        <v>44753</v>
      </c>
      <c r="B1614" s="1">
        <v>2202949</v>
      </c>
      <c r="C1614" s="5" t="s">
        <v>392</v>
      </c>
      <c r="D1614" s="5" t="str">
        <f>VLOOKUP(C1614,[1]master_data!$A$2:$E$495,2,FALSE)</f>
        <v>CHANNA ASIATICA B</v>
      </c>
      <c r="E1614" s="5">
        <v>4</v>
      </c>
      <c r="F1614" s="5">
        <f>VLOOKUP(C1614,[1]master_data!$A$2:$E$495,3,FALSE)</f>
        <v>40000</v>
      </c>
      <c r="G1614" s="5">
        <f>VLOOKUP(C1614,[1]master_data!$A$2:$E$495,4,FALSE)</f>
        <v>100000</v>
      </c>
      <c r="H1614" s="5">
        <f t="shared" si="81"/>
        <v>160000</v>
      </c>
      <c r="I1614" s="5">
        <f t="shared" si="82"/>
        <v>400000</v>
      </c>
      <c r="J1614" s="5">
        <f t="shared" si="83"/>
        <v>240000</v>
      </c>
      <c r="K1614" s="5" t="str">
        <f>VLOOKUP(C1614,[1]master_data!$A$2:$E$495,5,FALSE)</f>
        <v>Ikan</v>
      </c>
      <c r="L1614" s="5" t="s">
        <v>471</v>
      </c>
    </row>
    <row r="1615" spans="1:12" ht="12" customHeight="1" x14ac:dyDescent="0.25">
      <c r="A1615" s="6">
        <v>44753</v>
      </c>
      <c r="B1615" s="1">
        <v>2202948</v>
      </c>
      <c r="C1615" s="5" t="s">
        <v>432</v>
      </c>
      <c r="D1615" s="5" t="str">
        <f>VLOOKUP(C1615,[1]master_data!$A$2:$E$495,2,FALSE)</f>
        <v>MARU K</v>
      </c>
      <c r="E1615" s="5">
        <v>1</v>
      </c>
      <c r="F1615" s="5">
        <f>VLOOKUP(C1615,[1]master_data!$A$2:$E$495,3,FALSE)</f>
        <v>23000</v>
      </c>
      <c r="G1615" s="5">
        <f>VLOOKUP(C1615,[1]master_data!$A$2:$E$495,4,FALSE)</f>
        <v>50000</v>
      </c>
      <c r="H1615" s="5">
        <f t="shared" si="81"/>
        <v>23000</v>
      </c>
      <c r="I1615" s="5">
        <f t="shared" si="82"/>
        <v>50000</v>
      </c>
      <c r="J1615" s="5">
        <f t="shared" si="83"/>
        <v>27000</v>
      </c>
      <c r="K1615" s="5" t="str">
        <f>VLOOKUP(C1615,[1]master_data!$A$2:$E$495,5,FALSE)</f>
        <v>Ikan</v>
      </c>
      <c r="L1615" s="5" t="s">
        <v>471</v>
      </c>
    </row>
    <row r="1616" spans="1:12" ht="12" customHeight="1" x14ac:dyDescent="0.25">
      <c r="A1616" s="6">
        <v>44753</v>
      </c>
      <c r="B1616" s="1">
        <v>2202947</v>
      </c>
      <c r="C1616" s="5" t="s">
        <v>328</v>
      </c>
      <c r="D1616" s="5" t="str">
        <f>VLOOKUP(C1616,[1]master_data!$A$2:$E$495,2,FALSE)</f>
        <v>AIRSONE PUTIH</v>
      </c>
      <c r="E1616" s="5">
        <v>16</v>
      </c>
      <c r="F1616" s="5">
        <f>VLOOKUP(C1616,[1]master_data!$A$2:$E$495,3,FALSE)</f>
        <v>3000</v>
      </c>
      <c r="G1616" s="5">
        <f>VLOOKUP(C1616,[1]master_data!$A$2:$E$495,4,FALSE)</f>
        <v>5000</v>
      </c>
      <c r="H1616" s="5">
        <f t="shared" si="81"/>
        <v>48000</v>
      </c>
      <c r="I1616" s="5">
        <f t="shared" si="82"/>
        <v>80000</v>
      </c>
      <c r="J1616" s="5">
        <f t="shared" si="83"/>
        <v>32000</v>
      </c>
      <c r="K1616" s="5" t="str">
        <f>VLOOKUP(C1616,[1]master_data!$A$2:$E$495,5,FALSE)</f>
        <v>Aksesoris</v>
      </c>
      <c r="L1616" s="5" t="s">
        <v>471</v>
      </c>
    </row>
    <row r="1617" spans="1:12" ht="12" customHeight="1" x14ac:dyDescent="0.25">
      <c r="A1617" s="6">
        <v>44753</v>
      </c>
      <c r="B1617" s="1">
        <v>2202946</v>
      </c>
      <c r="C1617" s="5" t="s">
        <v>406</v>
      </c>
      <c r="D1617" s="5" t="str">
        <f>VLOOKUP(C1617,[1]master_data!$A$2:$E$495,2,FALSE)</f>
        <v>BARBIR</v>
      </c>
      <c r="E1617" s="5">
        <v>30</v>
      </c>
      <c r="F1617" s="5">
        <f>VLOOKUP(C1617,[1]master_data!$A$2:$E$495,3,FALSE)</f>
        <v>800</v>
      </c>
      <c r="G1617" s="5">
        <f>VLOOKUP(C1617,[1]master_data!$A$2:$E$495,4,FALSE)</f>
        <v>2000</v>
      </c>
      <c r="H1617" s="5">
        <f t="shared" si="81"/>
        <v>24000</v>
      </c>
      <c r="I1617" s="5">
        <f t="shared" si="82"/>
        <v>60000</v>
      </c>
      <c r="J1617" s="5">
        <f t="shared" si="83"/>
        <v>36000</v>
      </c>
      <c r="K1617" s="5" t="str">
        <f>VLOOKUP(C1617,[1]master_data!$A$2:$E$495,5,FALSE)</f>
        <v>Ikan</v>
      </c>
      <c r="L1617" s="5" t="s">
        <v>471</v>
      </c>
    </row>
    <row r="1618" spans="1:12" ht="12" customHeight="1" x14ac:dyDescent="0.25">
      <c r="A1618" s="6">
        <v>44752</v>
      </c>
      <c r="B1618" s="1">
        <v>2202945</v>
      </c>
      <c r="C1618" s="5" t="s">
        <v>146</v>
      </c>
      <c r="D1618" s="5" t="str">
        <f>VLOOKUP(C1618,[1]master_data!$A$2:$E$495,2,FALSE)</f>
        <v>LED KANDILA 2 BRS 20 CM</v>
      </c>
      <c r="E1618" s="5">
        <v>1</v>
      </c>
      <c r="F1618" s="5">
        <f>VLOOKUP(C1618,[1]master_data!$A$2:$E$495,3,FALSE)</f>
        <v>21000</v>
      </c>
      <c r="G1618" s="5">
        <f>VLOOKUP(C1618,[1]master_data!$A$2:$E$495,4,FALSE)</f>
        <v>35000</v>
      </c>
      <c r="H1618" s="5">
        <f t="shared" si="81"/>
        <v>21000</v>
      </c>
      <c r="I1618" s="5">
        <f t="shared" si="82"/>
        <v>35000</v>
      </c>
      <c r="J1618" s="5">
        <f t="shared" si="83"/>
        <v>14000</v>
      </c>
      <c r="K1618" s="5" t="str">
        <f>VLOOKUP(C1618,[1]master_data!$A$2:$E$495,5,FALSE)</f>
        <v>Aksesoris</v>
      </c>
      <c r="L1618" s="5" t="s">
        <v>471</v>
      </c>
    </row>
    <row r="1619" spans="1:12" ht="12" customHeight="1" x14ac:dyDescent="0.25">
      <c r="A1619" s="6">
        <v>44752</v>
      </c>
      <c r="B1619" s="1">
        <v>2202944</v>
      </c>
      <c r="C1619" s="5" t="s">
        <v>79</v>
      </c>
      <c r="D1619" s="5" t="str">
        <f>VLOOKUP(C1619,[1]master_data!$A$2:$E$495,2,FALSE)</f>
        <v>MESIN KIYOSAKI 107A</v>
      </c>
      <c r="E1619" s="5">
        <v>1</v>
      </c>
      <c r="F1619" s="5">
        <f>VLOOKUP(C1619,[1]master_data!$A$2:$E$495,3,FALSE)</f>
        <v>250000</v>
      </c>
      <c r="G1619" s="5">
        <f>VLOOKUP(C1619,[1]master_data!$A$2:$E$495,4,FALSE)</f>
        <v>300000</v>
      </c>
      <c r="H1619" s="5">
        <f t="shared" si="81"/>
        <v>250000</v>
      </c>
      <c r="I1619" s="5">
        <f t="shared" si="82"/>
        <v>300000</v>
      </c>
      <c r="J1619" s="5">
        <f t="shared" si="83"/>
        <v>50000</v>
      </c>
      <c r="K1619" s="5" t="str">
        <f>VLOOKUP(C1619,[1]master_data!$A$2:$E$495,5,FALSE)</f>
        <v>Aksesoris</v>
      </c>
      <c r="L1619" s="5" t="s">
        <v>471</v>
      </c>
    </row>
    <row r="1620" spans="1:12" ht="12" customHeight="1" x14ac:dyDescent="0.25">
      <c r="A1620" s="6">
        <v>44752</v>
      </c>
      <c r="B1620" s="1">
        <v>2202943</v>
      </c>
      <c r="C1620" s="5" t="s">
        <v>318</v>
      </c>
      <c r="D1620" s="5" t="str">
        <f>VLOOKUP(C1620,[1]master_data!$A$2:$E$495,2,FALSE)</f>
        <v>TEMPAT CACING</v>
      </c>
      <c r="E1620" s="5">
        <v>20</v>
      </c>
      <c r="F1620" s="5">
        <f>VLOOKUP(C1620,[1]master_data!$A$2:$E$495,3,FALSE)</f>
        <v>1500</v>
      </c>
      <c r="G1620" s="5">
        <f>VLOOKUP(C1620,[1]master_data!$A$2:$E$495,4,FALSE)</f>
        <v>5000</v>
      </c>
      <c r="H1620" s="5">
        <f t="shared" si="81"/>
        <v>30000</v>
      </c>
      <c r="I1620" s="5">
        <f t="shared" si="82"/>
        <v>100000</v>
      </c>
      <c r="J1620" s="5">
        <f t="shared" si="83"/>
        <v>70000</v>
      </c>
      <c r="K1620" s="5" t="str">
        <f>VLOOKUP(C1620,[1]master_data!$A$2:$E$495,5,FALSE)</f>
        <v>Aksesoris</v>
      </c>
      <c r="L1620" s="5" t="s">
        <v>471</v>
      </c>
    </row>
    <row r="1621" spans="1:12" ht="12" customHeight="1" x14ac:dyDescent="0.25">
      <c r="A1621" s="6">
        <v>44752</v>
      </c>
      <c r="B1621" s="1">
        <v>2202942</v>
      </c>
      <c r="C1621" s="5" t="s">
        <v>421</v>
      </c>
      <c r="D1621" s="5" t="str">
        <f>VLOOKUP(C1621,[1]master_data!$A$2:$E$495,2,FALSE)</f>
        <v>KOMET PAKAN</v>
      </c>
      <c r="E1621" s="5">
        <v>7</v>
      </c>
      <c r="F1621" s="5">
        <f>VLOOKUP(C1621,[1]master_data!$A$2:$E$495,3,FALSE)</f>
        <v>300</v>
      </c>
      <c r="G1621" s="5">
        <f>VLOOKUP(C1621,[1]master_data!$A$2:$E$495,4,FALSE)</f>
        <v>1000</v>
      </c>
      <c r="H1621" s="5">
        <f t="shared" si="81"/>
        <v>2100</v>
      </c>
      <c r="I1621" s="5">
        <f t="shared" si="82"/>
        <v>7000</v>
      </c>
      <c r="J1621" s="5">
        <f t="shared" si="83"/>
        <v>4900</v>
      </c>
      <c r="K1621" s="5" t="str">
        <f>VLOOKUP(C1621,[1]master_data!$A$2:$E$495,5,FALSE)</f>
        <v>Ikan</v>
      </c>
      <c r="L1621" s="5" t="s">
        <v>471</v>
      </c>
    </row>
    <row r="1622" spans="1:12" ht="12" customHeight="1" x14ac:dyDescent="0.25">
      <c r="A1622" s="6">
        <v>44752</v>
      </c>
      <c r="B1622" s="1">
        <v>2202941</v>
      </c>
      <c r="C1622" s="5" t="s">
        <v>10</v>
      </c>
      <c r="D1622" s="5" t="str">
        <f>VLOOKUP(C1622,[1]master_data!$A$2:$E$495,2,FALSE)</f>
        <v>MESIN YANG 2600</v>
      </c>
      <c r="E1622" s="5">
        <v>2</v>
      </c>
      <c r="F1622" s="5">
        <f>VLOOKUP(C1622,[1]master_data!$A$2:$E$495,3,FALSE)</f>
        <v>82000</v>
      </c>
      <c r="G1622" s="5">
        <f>VLOOKUP(C1622,[1]master_data!$A$2:$E$495,4,FALSE)</f>
        <v>115000</v>
      </c>
      <c r="H1622" s="5">
        <f t="shared" si="81"/>
        <v>164000</v>
      </c>
      <c r="I1622" s="5">
        <f t="shared" si="82"/>
        <v>230000</v>
      </c>
      <c r="J1622" s="5">
        <f t="shared" si="83"/>
        <v>66000</v>
      </c>
      <c r="K1622" s="5" t="str">
        <f>VLOOKUP(C1622,[1]master_data!$A$2:$E$495,5,FALSE)</f>
        <v>Aksesoris</v>
      </c>
      <c r="L1622" s="5" t="s">
        <v>471</v>
      </c>
    </row>
    <row r="1623" spans="1:12" ht="12" customHeight="1" x14ac:dyDescent="0.25">
      <c r="A1623" s="6">
        <v>44752</v>
      </c>
      <c r="B1623" s="1">
        <v>2202940</v>
      </c>
      <c r="C1623" s="5" t="s">
        <v>440</v>
      </c>
      <c r="D1623" s="5" t="str">
        <f>VLOOKUP(C1623,[1]master_data!$A$2:$E$495,2,FALSE)</f>
        <v>OSCAR</v>
      </c>
      <c r="E1623" s="5">
        <v>2</v>
      </c>
      <c r="F1623" s="5">
        <f>VLOOKUP(C1623,[1]master_data!$A$2:$E$495,3,FALSE)</f>
        <v>25000</v>
      </c>
      <c r="G1623" s="5">
        <f>VLOOKUP(C1623,[1]master_data!$A$2:$E$495,4,FALSE)</f>
        <v>50000</v>
      </c>
      <c r="H1623" s="5">
        <f t="shared" si="81"/>
        <v>50000</v>
      </c>
      <c r="I1623" s="5">
        <f t="shared" si="82"/>
        <v>100000</v>
      </c>
      <c r="J1623" s="5">
        <f t="shared" si="83"/>
        <v>50000</v>
      </c>
      <c r="K1623" s="5" t="str">
        <f>VLOOKUP(C1623,[1]master_data!$A$2:$E$495,5,FALSE)</f>
        <v>Ikan</v>
      </c>
      <c r="L1623" s="5" t="s">
        <v>471</v>
      </c>
    </row>
    <row r="1624" spans="1:12" ht="12" customHeight="1" x14ac:dyDescent="0.25">
      <c r="A1624" s="6">
        <v>44752</v>
      </c>
      <c r="B1624" s="1">
        <v>2202939</v>
      </c>
      <c r="C1624" s="5" t="s">
        <v>174</v>
      </c>
      <c r="D1624" s="5" t="str">
        <f>VLOOKUP(C1624,[1]master_data!$A$2:$E$495,2,FALSE)</f>
        <v>LED AQURA 40 CM</v>
      </c>
      <c r="E1624" s="5">
        <v>5</v>
      </c>
      <c r="F1624" s="5">
        <f>VLOOKUP(C1624,[1]master_data!$A$2:$E$495,3,FALSE)</f>
        <v>21000</v>
      </c>
      <c r="G1624" s="5">
        <f>VLOOKUP(C1624,[1]master_data!$A$2:$E$495,4,FALSE)</f>
        <v>40000</v>
      </c>
      <c r="H1624" s="5">
        <f t="shared" si="81"/>
        <v>105000</v>
      </c>
      <c r="I1624" s="5">
        <f t="shared" si="82"/>
        <v>200000</v>
      </c>
      <c r="J1624" s="5">
        <f t="shared" si="83"/>
        <v>95000</v>
      </c>
      <c r="K1624" s="5" t="str">
        <f>VLOOKUP(C1624,[1]master_data!$A$2:$E$495,5,FALSE)</f>
        <v>Aksesoris</v>
      </c>
      <c r="L1624" s="5" t="s">
        <v>471</v>
      </c>
    </row>
    <row r="1625" spans="1:12" ht="12" customHeight="1" x14ac:dyDescent="0.25">
      <c r="A1625" s="6">
        <v>44752</v>
      </c>
      <c r="B1625" s="1">
        <v>2202938</v>
      </c>
      <c r="C1625" s="5" t="s">
        <v>134</v>
      </c>
      <c r="D1625" s="5" t="str">
        <f>VLOOKUP(C1625,[1]master_data!$A$2:$E$495,2,FALSE)</f>
        <v>LED NIKITA NS 300</v>
      </c>
      <c r="E1625" s="5">
        <v>10</v>
      </c>
      <c r="F1625" s="5">
        <f>VLOOKUP(C1625,[1]master_data!$A$2:$E$495,3,FALSE)</f>
        <v>36000</v>
      </c>
      <c r="G1625" s="5">
        <f>VLOOKUP(C1625,[1]master_data!$A$2:$E$495,4,FALSE)</f>
        <v>55000</v>
      </c>
      <c r="H1625" s="5">
        <f t="shared" si="81"/>
        <v>360000</v>
      </c>
      <c r="I1625" s="5">
        <f t="shared" si="82"/>
        <v>550000</v>
      </c>
      <c r="J1625" s="5">
        <f t="shared" si="83"/>
        <v>190000</v>
      </c>
      <c r="K1625" s="5" t="str">
        <f>VLOOKUP(C1625,[1]master_data!$A$2:$E$495,5,FALSE)</f>
        <v>Aksesoris</v>
      </c>
      <c r="L1625" s="5" t="s">
        <v>471</v>
      </c>
    </row>
    <row r="1626" spans="1:12" ht="12" customHeight="1" x14ac:dyDescent="0.25">
      <c r="A1626" s="6">
        <v>44752</v>
      </c>
      <c r="B1626" s="1">
        <v>2202937</v>
      </c>
      <c r="C1626" s="5" t="s">
        <v>411</v>
      </c>
      <c r="D1626" s="5" t="str">
        <f>VLOOKUP(C1626,[1]master_data!$A$2:$E$495,2,FALSE)</f>
        <v>GOLDEN BLACK</v>
      </c>
      <c r="E1626" s="5">
        <v>20</v>
      </c>
      <c r="F1626" s="5">
        <f>VLOOKUP(C1626,[1]master_data!$A$2:$E$495,3,FALSE)</f>
        <v>800</v>
      </c>
      <c r="G1626" s="5">
        <f>VLOOKUP(C1626,[1]master_data!$A$2:$E$495,4,FALSE)</f>
        <v>2000</v>
      </c>
      <c r="H1626" s="5">
        <f t="shared" si="81"/>
        <v>16000</v>
      </c>
      <c r="I1626" s="5">
        <f t="shared" si="82"/>
        <v>40000</v>
      </c>
      <c r="J1626" s="5">
        <f t="shared" si="83"/>
        <v>24000</v>
      </c>
      <c r="K1626" s="5" t="str">
        <f>VLOOKUP(C1626,[1]master_data!$A$2:$E$495,5,FALSE)</f>
        <v>Ikan</v>
      </c>
      <c r="L1626" s="5" t="s">
        <v>471</v>
      </c>
    </row>
    <row r="1627" spans="1:12" ht="12" customHeight="1" x14ac:dyDescent="0.25">
      <c r="A1627" s="6">
        <v>44752</v>
      </c>
      <c r="B1627" s="1">
        <v>2202936</v>
      </c>
      <c r="C1627" s="5" t="s">
        <v>461</v>
      </c>
      <c r="D1627" s="5" t="str">
        <f>VLOOKUP(C1627,[1]master_data!$A$2:$E$495,2,FALSE)</f>
        <v>SEPAT</v>
      </c>
      <c r="E1627" s="5">
        <v>1</v>
      </c>
      <c r="F1627" s="5">
        <f>VLOOKUP(C1627,[1]master_data!$A$2:$E$495,3,FALSE)</f>
        <v>600</v>
      </c>
      <c r="G1627" s="5">
        <f>VLOOKUP(C1627,[1]master_data!$A$2:$E$495,4,FALSE)</f>
        <v>2000</v>
      </c>
      <c r="H1627" s="5">
        <f t="shared" si="81"/>
        <v>600</v>
      </c>
      <c r="I1627" s="5">
        <f t="shared" si="82"/>
        <v>2000</v>
      </c>
      <c r="J1627" s="5">
        <f t="shared" si="83"/>
        <v>1400</v>
      </c>
      <c r="K1627" s="5" t="str">
        <f>VLOOKUP(C1627,[1]master_data!$A$2:$E$495,5,FALSE)</f>
        <v>Ikan</v>
      </c>
      <c r="L1627" s="5" t="s">
        <v>471</v>
      </c>
    </row>
    <row r="1628" spans="1:12" ht="12" customHeight="1" x14ac:dyDescent="0.25">
      <c r="A1628" s="6">
        <v>44752</v>
      </c>
      <c r="B1628" s="1">
        <v>2202935</v>
      </c>
      <c r="C1628" s="5" t="s">
        <v>425</v>
      </c>
      <c r="D1628" s="5" t="str">
        <f>VLOOKUP(C1628,[1]master_data!$A$2:$E$495,2,FALSE)</f>
        <v>CAROLINE</v>
      </c>
      <c r="E1628" s="5">
        <v>8</v>
      </c>
      <c r="F1628" s="5">
        <f>VLOOKUP(C1628,[1]master_data!$A$2:$E$495,3,FALSE)</f>
        <v>900</v>
      </c>
      <c r="G1628" s="5">
        <f>VLOOKUP(C1628,[1]master_data!$A$2:$E$495,4,FALSE)</f>
        <v>2000</v>
      </c>
      <c r="H1628" s="5">
        <f t="shared" si="81"/>
        <v>7200</v>
      </c>
      <c r="I1628" s="5">
        <f t="shared" si="82"/>
        <v>16000</v>
      </c>
      <c r="J1628" s="5">
        <f t="shared" si="83"/>
        <v>8800</v>
      </c>
      <c r="K1628" s="5" t="str">
        <f>VLOOKUP(C1628,[1]master_data!$A$2:$E$495,5,FALSE)</f>
        <v>Ikan</v>
      </c>
      <c r="L1628" s="5" t="s">
        <v>471</v>
      </c>
    </row>
    <row r="1629" spans="1:12" ht="12" customHeight="1" x14ac:dyDescent="0.25">
      <c r="A1629" s="6">
        <v>44751</v>
      </c>
      <c r="B1629" s="1">
        <v>2202934</v>
      </c>
      <c r="C1629" s="5" t="s">
        <v>400</v>
      </c>
      <c r="D1629" s="5" t="str">
        <f>VLOOKUP(C1629,[1]master_data!$A$2:$E$495,2,FALSE)</f>
        <v>BALA BALA K</v>
      </c>
      <c r="E1629" s="5">
        <v>30</v>
      </c>
      <c r="F1629" s="5">
        <f>VLOOKUP(C1629,[1]master_data!$A$2:$E$495,3,FALSE)</f>
        <v>4000</v>
      </c>
      <c r="G1629" s="5">
        <f>VLOOKUP(C1629,[1]master_data!$A$2:$E$495,4,FALSE)</f>
        <v>8000</v>
      </c>
      <c r="H1629" s="5">
        <f t="shared" si="81"/>
        <v>120000</v>
      </c>
      <c r="I1629" s="5">
        <f t="shared" si="82"/>
        <v>240000</v>
      </c>
      <c r="J1629" s="5">
        <f t="shared" si="83"/>
        <v>120000</v>
      </c>
      <c r="K1629" s="5" t="str">
        <f>VLOOKUP(C1629,[1]master_data!$A$2:$E$495,5,FALSE)</f>
        <v>Ikan</v>
      </c>
      <c r="L1629" s="5" t="s">
        <v>471</v>
      </c>
    </row>
    <row r="1630" spans="1:12" ht="12" customHeight="1" x14ac:dyDescent="0.25">
      <c r="A1630" s="6">
        <v>44751</v>
      </c>
      <c r="B1630" s="1">
        <v>2202933</v>
      </c>
      <c r="C1630" s="5" t="s">
        <v>448</v>
      </c>
      <c r="D1630" s="5" t="str">
        <f>VLOOKUP(C1630,[1]master_data!$A$2:$E$495,2,FALSE)</f>
        <v xml:space="preserve"> CHANNA RED BARITO K</v>
      </c>
      <c r="E1630" s="5">
        <v>5</v>
      </c>
      <c r="F1630" s="5">
        <f>VLOOKUP(C1630,[1]master_data!$A$2:$E$495,3,FALSE)</f>
        <v>45000</v>
      </c>
      <c r="G1630" s="5">
        <f>VLOOKUP(C1630,[1]master_data!$A$2:$E$495,4,FALSE)</f>
        <v>100000</v>
      </c>
      <c r="H1630" s="5">
        <f t="shared" si="81"/>
        <v>225000</v>
      </c>
      <c r="I1630" s="5">
        <f t="shared" si="82"/>
        <v>500000</v>
      </c>
      <c r="J1630" s="5">
        <f t="shared" si="83"/>
        <v>275000</v>
      </c>
      <c r="K1630" s="5" t="str">
        <f>VLOOKUP(C1630,[1]master_data!$A$2:$E$495,5,FALSE)</f>
        <v>Ikan</v>
      </c>
      <c r="L1630" s="5" t="s">
        <v>471</v>
      </c>
    </row>
    <row r="1631" spans="1:12" ht="12" customHeight="1" x14ac:dyDescent="0.25">
      <c r="A1631" s="6">
        <v>44751</v>
      </c>
      <c r="B1631" s="1">
        <v>2202932</v>
      </c>
      <c r="C1631" s="5" t="s">
        <v>225</v>
      </c>
      <c r="D1631" s="5" t="str">
        <f>VLOOKUP(C1631,[1]master_data!$A$2:$E$495,2,FALSE)</f>
        <v>HOKKY KOI GROWTH</v>
      </c>
      <c r="E1631" s="5">
        <v>10</v>
      </c>
      <c r="F1631" s="5">
        <f>VLOOKUP(C1631,[1]master_data!$A$2:$E$495,3,FALSE)</f>
        <v>49000</v>
      </c>
      <c r="G1631" s="5">
        <f>VLOOKUP(C1631,[1]master_data!$A$2:$E$495,4,FALSE)</f>
        <v>55000</v>
      </c>
      <c r="H1631" s="5">
        <f t="shared" si="81"/>
        <v>490000</v>
      </c>
      <c r="I1631" s="5">
        <f t="shared" si="82"/>
        <v>550000</v>
      </c>
      <c r="J1631" s="5">
        <f t="shared" si="83"/>
        <v>60000</v>
      </c>
      <c r="K1631" s="5" t="str">
        <f>VLOOKUP(C1631,[1]master_data!$A$2:$E$495,5,FALSE)</f>
        <v>Aksesoris</v>
      </c>
      <c r="L1631" s="5" t="s">
        <v>471</v>
      </c>
    </row>
    <row r="1632" spans="1:12" ht="12" customHeight="1" x14ac:dyDescent="0.25">
      <c r="A1632" s="6">
        <v>44751</v>
      </c>
      <c r="B1632" s="1">
        <v>2202931</v>
      </c>
      <c r="C1632" s="5" t="s">
        <v>433</v>
      </c>
      <c r="D1632" s="5" t="str">
        <f>VLOOKUP(C1632,[1]master_data!$A$2:$E$495,2,FALSE)</f>
        <v>MARU B</v>
      </c>
      <c r="E1632" s="5">
        <v>1</v>
      </c>
      <c r="F1632" s="5">
        <f>VLOOKUP(C1632,[1]master_data!$A$2:$E$495,3,FALSE)</f>
        <v>90000</v>
      </c>
      <c r="G1632" s="5">
        <f>VLOOKUP(C1632,[1]master_data!$A$2:$E$495,4,FALSE)</f>
        <v>150000</v>
      </c>
      <c r="H1632" s="5">
        <f t="shared" si="81"/>
        <v>90000</v>
      </c>
      <c r="I1632" s="5">
        <f t="shared" si="82"/>
        <v>150000</v>
      </c>
      <c r="J1632" s="5">
        <f t="shared" si="83"/>
        <v>60000</v>
      </c>
      <c r="K1632" s="5" t="str">
        <f>VLOOKUP(C1632,[1]master_data!$A$2:$E$495,5,FALSE)</f>
        <v>Ikan</v>
      </c>
      <c r="L1632" s="5" t="s">
        <v>471</v>
      </c>
    </row>
    <row r="1633" spans="1:12" ht="12" customHeight="1" x14ac:dyDescent="0.25">
      <c r="A1633" s="6">
        <v>44751</v>
      </c>
      <c r="B1633" s="1">
        <v>2202930</v>
      </c>
      <c r="C1633" s="5" t="s">
        <v>285</v>
      </c>
      <c r="D1633" s="5" t="str">
        <f>VLOOKUP(C1633,[1]master_data!$A$2:$E$495,2,FALSE)</f>
        <v>KAPAS 4 LAPIS</v>
      </c>
      <c r="E1633" s="5">
        <v>10</v>
      </c>
      <c r="F1633" s="5">
        <f>VLOOKUP(C1633,[1]master_data!$A$2:$E$495,3,FALSE)</f>
        <v>6500</v>
      </c>
      <c r="G1633" s="5">
        <f>VLOOKUP(C1633,[1]master_data!$A$2:$E$495,4,FALSE)</f>
        <v>10000</v>
      </c>
      <c r="H1633" s="5">
        <f t="shared" si="81"/>
        <v>65000</v>
      </c>
      <c r="I1633" s="5">
        <f t="shared" si="82"/>
        <v>100000</v>
      </c>
      <c r="J1633" s="5">
        <f t="shared" si="83"/>
        <v>35000</v>
      </c>
      <c r="K1633" s="5" t="str">
        <f>VLOOKUP(C1633,[1]master_data!$A$2:$E$495,5,FALSE)</f>
        <v>Aksesoris</v>
      </c>
      <c r="L1633" s="5" t="s">
        <v>471</v>
      </c>
    </row>
    <row r="1634" spans="1:12" ht="12" customHeight="1" x14ac:dyDescent="0.25">
      <c r="A1634" s="6">
        <v>44751</v>
      </c>
      <c r="B1634" s="1">
        <v>2202929</v>
      </c>
      <c r="C1634" s="5" t="s">
        <v>393</v>
      </c>
      <c r="D1634" s="5" t="str">
        <f>VLOOKUP(C1634,[1]master_data!$A$2:$E$495,2,FALSE)</f>
        <v>CHANNA ANDRAO B</v>
      </c>
      <c r="E1634" s="5">
        <v>1</v>
      </c>
      <c r="F1634" s="5">
        <f>VLOOKUP(C1634,[1]master_data!$A$2:$E$495,3,FALSE)</f>
        <v>100000</v>
      </c>
      <c r="G1634" s="5">
        <f>VLOOKUP(C1634,[1]master_data!$A$2:$E$495,4,FALSE)</f>
        <v>200000</v>
      </c>
      <c r="H1634" s="5">
        <f t="shared" si="81"/>
        <v>100000</v>
      </c>
      <c r="I1634" s="5">
        <f t="shared" si="82"/>
        <v>200000</v>
      </c>
      <c r="J1634" s="5">
        <f t="shared" si="83"/>
        <v>100000</v>
      </c>
      <c r="K1634" s="5" t="str">
        <f>VLOOKUP(C1634,[1]master_data!$A$2:$E$495,5,FALSE)</f>
        <v>Ikan</v>
      </c>
      <c r="L1634" s="5" t="s">
        <v>471</v>
      </c>
    </row>
    <row r="1635" spans="1:12" ht="12" customHeight="1" x14ac:dyDescent="0.25">
      <c r="A1635" s="6">
        <v>44750</v>
      </c>
      <c r="B1635" s="1">
        <v>2202928</v>
      </c>
      <c r="C1635" s="5" t="s">
        <v>463</v>
      </c>
      <c r="D1635" s="5" t="str">
        <f>VLOOKUP(C1635,[1]master_data!$A$2:$E$495,2,FALSE)</f>
        <v>CHANNA STEWARTI</v>
      </c>
      <c r="E1635" s="5">
        <v>2</v>
      </c>
      <c r="F1635" s="5">
        <f>VLOOKUP(C1635,[1]master_data!$A$2:$E$495,3,FALSE)</f>
        <v>15000</v>
      </c>
      <c r="G1635" s="5">
        <f>VLOOKUP(C1635,[1]master_data!$A$2:$E$495,4,FALSE)</f>
        <v>40000</v>
      </c>
      <c r="H1635" s="5">
        <f t="shared" si="81"/>
        <v>30000</v>
      </c>
      <c r="I1635" s="5">
        <f t="shared" si="82"/>
        <v>80000</v>
      </c>
      <c r="J1635" s="5">
        <f t="shared" si="83"/>
        <v>50000</v>
      </c>
      <c r="K1635" s="5" t="str">
        <f>VLOOKUP(C1635,[1]master_data!$A$2:$E$495,5,FALSE)</f>
        <v>Ikan</v>
      </c>
      <c r="L1635" s="5" t="s">
        <v>471</v>
      </c>
    </row>
    <row r="1636" spans="1:12" ht="12" customHeight="1" x14ac:dyDescent="0.25">
      <c r="A1636" s="6">
        <v>44750</v>
      </c>
      <c r="B1636" s="1">
        <v>2202927</v>
      </c>
      <c r="C1636" s="5" t="s">
        <v>248</v>
      </c>
      <c r="D1636" s="5" t="str">
        <f>VLOOKUP(C1636,[1]master_data!$A$2:$E$495,2,FALSE)</f>
        <v>MATLINE BLUE</v>
      </c>
      <c r="E1636" s="5">
        <v>16</v>
      </c>
      <c r="F1636" s="5">
        <f>VLOOKUP(C1636,[1]master_data!$A$2:$E$495,3,FALSE)</f>
        <v>7000</v>
      </c>
      <c r="G1636" s="5">
        <f>VLOOKUP(C1636,[1]master_data!$A$2:$E$495,4,FALSE)</f>
        <v>10000</v>
      </c>
      <c r="H1636" s="5">
        <f t="shared" si="81"/>
        <v>112000</v>
      </c>
      <c r="I1636" s="5">
        <f t="shared" si="82"/>
        <v>160000</v>
      </c>
      <c r="J1636" s="5">
        <f t="shared" si="83"/>
        <v>48000</v>
      </c>
      <c r="K1636" s="5" t="str">
        <f>VLOOKUP(C1636,[1]master_data!$A$2:$E$495,5,FALSE)</f>
        <v>Aksesoris</v>
      </c>
      <c r="L1636" s="5" t="s">
        <v>471</v>
      </c>
    </row>
    <row r="1637" spans="1:12" ht="12" customHeight="1" x14ac:dyDescent="0.25">
      <c r="A1637" s="6">
        <v>44750</v>
      </c>
      <c r="B1637" s="1">
        <v>2202926</v>
      </c>
      <c r="C1637" s="5" t="s">
        <v>437</v>
      </c>
      <c r="D1637" s="5" t="str">
        <f>VLOOKUP(C1637,[1]master_data!$A$2:$E$495,2,FALSE)</f>
        <v>RED EYE TETRA</v>
      </c>
      <c r="E1637" s="5">
        <v>20</v>
      </c>
      <c r="F1637" s="5">
        <f>VLOOKUP(C1637,[1]master_data!$A$2:$E$495,3,FALSE)</f>
        <v>900</v>
      </c>
      <c r="G1637" s="5">
        <f>VLOOKUP(C1637,[1]master_data!$A$2:$E$495,4,FALSE)</f>
        <v>2000</v>
      </c>
      <c r="H1637" s="5">
        <f t="shared" si="81"/>
        <v>18000</v>
      </c>
      <c r="I1637" s="5">
        <f t="shared" si="82"/>
        <v>40000</v>
      </c>
      <c r="J1637" s="5">
        <f t="shared" si="83"/>
        <v>22000</v>
      </c>
      <c r="K1637" s="5" t="str">
        <f>VLOOKUP(C1637,[1]master_data!$A$2:$E$495,5,FALSE)</f>
        <v>Ikan</v>
      </c>
      <c r="L1637" s="5" t="s">
        <v>471</v>
      </c>
    </row>
    <row r="1638" spans="1:12" ht="12" customHeight="1" x14ac:dyDescent="0.25">
      <c r="A1638" s="6">
        <v>44750</v>
      </c>
      <c r="B1638" s="1">
        <v>2202925</v>
      </c>
      <c r="C1638" s="5" t="s">
        <v>32</v>
      </c>
      <c r="D1638" s="5" t="str">
        <f>VLOOKUP(C1638,[1]master_data!$A$2:$E$495,2,FALSE)</f>
        <v>MESIN YAMANO 1000L</v>
      </c>
      <c r="E1638" s="5">
        <v>10</v>
      </c>
      <c r="F1638" s="5">
        <f>VLOOKUP(C1638,[1]master_data!$A$2:$E$495,3,FALSE)</f>
        <v>40000</v>
      </c>
      <c r="G1638" s="5">
        <f>VLOOKUP(C1638,[1]master_data!$A$2:$E$495,4,FALSE)</f>
        <v>60000</v>
      </c>
      <c r="H1638" s="5">
        <f t="shared" si="81"/>
        <v>400000</v>
      </c>
      <c r="I1638" s="5">
        <f t="shared" si="82"/>
        <v>600000</v>
      </c>
      <c r="J1638" s="5">
        <f t="shared" si="83"/>
        <v>200000</v>
      </c>
      <c r="K1638" s="5" t="str">
        <f>VLOOKUP(C1638,[1]master_data!$A$2:$E$495,5,FALSE)</f>
        <v>Aksesoris</v>
      </c>
      <c r="L1638" s="5" t="s">
        <v>471</v>
      </c>
    </row>
    <row r="1639" spans="1:12" ht="12" customHeight="1" x14ac:dyDescent="0.25">
      <c r="A1639" s="6">
        <v>44750</v>
      </c>
      <c r="B1639" s="1">
        <v>2202924</v>
      </c>
      <c r="C1639" s="5" t="s">
        <v>432</v>
      </c>
      <c r="D1639" s="5" t="str">
        <f>VLOOKUP(C1639,[1]master_data!$A$2:$E$495,2,FALSE)</f>
        <v>MARU K</v>
      </c>
      <c r="E1639" s="5">
        <v>2</v>
      </c>
      <c r="F1639" s="5">
        <f>VLOOKUP(C1639,[1]master_data!$A$2:$E$495,3,FALSE)</f>
        <v>23000</v>
      </c>
      <c r="G1639" s="5">
        <f>VLOOKUP(C1639,[1]master_data!$A$2:$E$495,4,FALSE)</f>
        <v>50000</v>
      </c>
      <c r="H1639" s="5">
        <f t="shared" si="81"/>
        <v>46000</v>
      </c>
      <c r="I1639" s="5">
        <f t="shared" si="82"/>
        <v>100000</v>
      </c>
      <c r="J1639" s="5">
        <f t="shared" si="83"/>
        <v>54000</v>
      </c>
      <c r="K1639" s="5" t="str">
        <f>VLOOKUP(C1639,[1]master_data!$A$2:$E$495,5,FALSE)</f>
        <v>Ikan</v>
      </c>
      <c r="L1639" s="5" t="s">
        <v>471</v>
      </c>
    </row>
    <row r="1640" spans="1:12" ht="12" customHeight="1" x14ac:dyDescent="0.25">
      <c r="A1640" s="6">
        <v>44750</v>
      </c>
      <c r="B1640" s="1">
        <v>2202923</v>
      </c>
      <c r="C1640" s="5" t="s">
        <v>242</v>
      </c>
      <c r="D1640" s="5" t="str">
        <f>VLOOKUP(C1640,[1]master_data!$A$2:$E$495,2,FALSE)</f>
        <v>PAKAN GOLD FISH HITAM</v>
      </c>
      <c r="E1640" s="5">
        <v>1</v>
      </c>
      <c r="F1640" s="5">
        <f>VLOOKUP(C1640,[1]master_data!$A$2:$E$495,3,FALSE)</f>
        <v>7000</v>
      </c>
      <c r="G1640" s="5">
        <f>VLOOKUP(C1640,[1]master_data!$A$2:$E$495,4,FALSE)</f>
        <v>12000</v>
      </c>
      <c r="H1640" s="5">
        <f t="shared" si="81"/>
        <v>7000</v>
      </c>
      <c r="I1640" s="5">
        <f t="shared" si="82"/>
        <v>12000</v>
      </c>
      <c r="J1640" s="5">
        <f t="shared" si="83"/>
        <v>5000</v>
      </c>
      <c r="K1640" s="5" t="str">
        <f>VLOOKUP(C1640,[1]master_data!$A$2:$E$495,5,FALSE)</f>
        <v>Aksesoris</v>
      </c>
      <c r="L1640" s="5" t="s">
        <v>471</v>
      </c>
    </row>
    <row r="1641" spans="1:12" ht="12" customHeight="1" x14ac:dyDescent="0.25">
      <c r="A1641" s="6">
        <v>44750</v>
      </c>
      <c r="B1641" s="1">
        <v>2202922</v>
      </c>
      <c r="C1641" s="5" t="s">
        <v>402</v>
      </c>
      <c r="D1641" s="5" t="str">
        <f>VLOOKUP(C1641,[1]master_data!$A$2:$E$495,2,FALSE)</f>
        <v>BLACK GHOST</v>
      </c>
      <c r="E1641" s="5">
        <v>15</v>
      </c>
      <c r="F1641" s="5">
        <f>VLOOKUP(C1641,[1]master_data!$A$2:$E$495,3,FALSE)</f>
        <v>4000</v>
      </c>
      <c r="G1641" s="5">
        <f>VLOOKUP(C1641,[1]master_data!$A$2:$E$495,4,FALSE)</f>
        <v>10000</v>
      </c>
      <c r="H1641" s="5">
        <f t="shared" si="81"/>
        <v>60000</v>
      </c>
      <c r="I1641" s="5">
        <f t="shared" si="82"/>
        <v>150000</v>
      </c>
      <c r="J1641" s="5">
        <f t="shared" si="83"/>
        <v>90000</v>
      </c>
      <c r="K1641" s="5" t="str">
        <f>VLOOKUP(C1641,[1]master_data!$A$2:$E$495,5,FALSE)</f>
        <v>Ikan</v>
      </c>
      <c r="L1641" s="5" t="s">
        <v>471</v>
      </c>
    </row>
    <row r="1642" spans="1:12" ht="12" customHeight="1" x14ac:dyDescent="0.25">
      <c r="A1642" s="6">
        <v>44750</v>
      </c>
      <c r="B1642" s="1">
        <v>2202921</v>
      </c>
      <c r="C1642" s="5" t="s">
        <v>224</v>
      </c>
      <c r="D1642" s="5" t="str">
        <f>VLOOKUP(C1642,[1]master_data!$A$2:$E$495,2,FALSE)</f>
        <v>HOKKY KOI COLOUR</v>
      </c>
      <c r="E1642" s="5">
        <v>1</v>
      </c>
      <c r="F1642" s="5">
        <f>VLOOKUP(C1642,[1]master_data!$A$2:$E$495,3,FALSE)</f>
        <v>55000</v>
      </c>
      <c r="G1642" s="5">
        <f>VLOOKUP(C1642,[1]master_data!$A$2:$E$495,4,FALSE)</f>
        <v>60000</v>
      </c>
      <c r="H1642" s="5">
        <f t="shared" si="81"/>
        <v>55000</v>
      </c>
      <c r="I1642" s="5">
        <f t="shared" si="82"/>
        <v>60000</v>
      </c>
      <c r="J1642" s="5">
        <f t="shared" si="83"/>
        <v>5000</v>
      </c>
      <c r="K1642" s="5" t="str">
        <f>VLOOKUP(C1642,[1]master_data!$A$2:$E$495,5,FALSE)</f>
        <v>Aksesoris</v>
      </c>
      <c r="L1642" s="5" t="s">
        <v>471</v>
      </c>
    </row>
    <row r="1643" spans="1:12" ht="12" customHeight="1" x14ac:dyDescent="0.25">
      <c r="A1643" s="6">
        <v>44750</v>
      </c>
      <c r="B1643" s="1">
        <v>2202920</v>
      </c>
      <c r="C1643" s="5" t="s">
        <v>417</v>
      </c>
      <c r="D1643" s="5" t="str">
        <f>VLOOKUP(C1643,[1]master_data!$A$2:$E$495,2,FALSE)</f>
        <v>KOI T</v>
      </c>
      <c r="E1643" s="5">
        <v>10</v>
      </c>
      <c r="F1643" s="5">
        <f>VLOOKUP(C1643,[1]master_data!$A$2:$E$495,3,FALSE)</f>
        <v>7000</v>
      </c>
      <c r="G1643" s="5">
        <f>VLOOKUP(C1643,[1]master_data!$A$2:$E$495,4,FALSE)</f>
        <v>20000</v>
      </c>
      <c r="H1643" s="5">
        <f t="shared" si="81"/>
        <v>70000</v>
      </c>
      <c r="I1643" s="5">
        <f t="shared" si="82"/>
        <v>200000</v>
      </c>
      <c r="J1643" s="5">
        <f t="shared" si="83"/>
        <v>130000</v>
      </c>
      <c r="K1643" s="5" t="str">
        <f>VLOOKUP(C1643,[1]master_data!$A$2:$E$495,5,FALSE)</f>
        <v>Ikan</v>
      </c>
      <c r="L1643" s="5" t="s">
        <v>471</v>
      </c>
    </row>
    <row r="1644" spans="1:12" ht="12" customHeight="1" x14ac:dyDescent="0.25">
      <c r="A1644" s="6">
        <v>44749</v>
      </c>
      <c r="B1644" s="1">
        <v>2202919</v>
      </c>
      <c r="C1644" s="5" t="s">
        <v>448</v>
      </c>
      <c r="D1644" s="5" t="str">
        <f>VLOOKUP(C1644,[1]master_data!$A$2:$E$495,2,FALSE)</f>
        <v xml:space="preserve"> CHANNA RED BARITO K</v>
      </c>
      <c r="E1644" s="5">
        <v>9</v>
      </c>
      <c r="F1644" s="5">
        <f>VLOOKUP(C1644,[1]master_data!$A$2:$E$495,3,FALSE)</f>
        <v>45000</v>
      </c>
      <c r="G1644" s="5">
        <f>VLOOKUP(C1644,[1]master_data!$A$2:$E$495,4,FALSE)</f>
        <v>100000</v>
      </c>
      <c r="H1644" s="5">
        <f t="shared" si="81"/>
        <v>405000</v>
      </c>
      <c r="I1644" s="5">
        <f t="shared" si="82"/>
        <v>900000</v>
      </c>
      <c r="J1644" s="5">
        <f t="shared" si="83"/>
        <v>495000</v>
      </c>
      <c r="K1644" s="5" t="str">
        <f>VLOOKUP(C1644,[1]master_data!$A$2:$E$495,5,FALSE)</f>
        <v>Ikan</v>
      </c>
      <c r="L1644" s="5" t="s">
        <v>471</v>
      </c>
    </row>
    <row r="1645" spans="1:12" ht="12" customHeight="1" x14ac:dyDescent="0.25">
      <c r="A1645" s="6">
        <v>44749</v>
      </c>
      <c r="B1645" s="1">
        <v>2202918</v>
      </c>
      <c r="C1645" s="5" t="s">
        <v>442</v>
      </c>
      <c r="D1645" s="5" t="str">
        <f>VLOOKUP(C1645,[1]master_data!$A$2:$E$495,2,FALSE)</f>
        <v>PEMBERSIH KACA ALBINO</v>
      </c>
      <c r="E1645" s="5">
        <v>18</v>
      </c>
      <c r="F1645" s="5">
        <f>VLOOKUP(C1645,[1]master_data!$A$2:$E$495,3,FALSE)</f>
        <v>2500</v>
      </c>
      <c r="G1645" s="5">
        <f>VLOOKUP(C1645,[1]master_data!$A$2:$E$495,4,FALSE)</f>
        <v>5000</v>
      </c>
      <c r="H1645" s="5">
        <f t="shared" si="81"/>
        <v>45000</v>
      </c>
      <c r="I1645" s="5">
        <f t="shared" si="82"/>
        <v>90000</v>
      </c>
      <c r="J1645" s="5">
        <f t="shared" si="83"/>
        <v>45000</v>
      </c>
      <c r="K1645" s="5" t="str">
        <f>VLOOKUP(C1645,[1]master_data!$A$2:$E$495,5,FALSE)</f>
        <v>Ikan</v>
      </c>
      <c r="L1645" s="5" t="s">
        <v>471</v>
      </c>
    </row>
    <row r="1646" spans="1:12" ht="12" customHeight="1" x14ac:dyDescent="0.25">
      <c r="A1646" s="6">
        <v>44749</v>
      </c>
      <c r="B1646" s="1">
        <v>2202917</v>
      </c>
      <c r="C1646" s="5" t="s">
        <v>408</v>
      </c>
      <c r="D1646" s="5" t="str">
        <f>VLOOKUP(C1646,[1]master_data!$A$2:$E$495,2,FALSE)</f>
        <v>CATFISH</v>
      </c>
      <c r="E1646" s="5">
        <v>2</v>
      </c>
      <c r="F1646" s="5">
        <f>VLOOKUP(C1646,[1]master_data!$A$2:$E$495,3,FALSE)</f>
        <v>20000</v>
      </c>
      <c r="G1646" s="5">
        <f>VLOOKUP(C1646,[1]master_data!$A$2:$E$495,4,FALSE)</f>
        <v>50000</v>
      </c>
      <c r="H1646" s="5">
        <f t="shared" si="81"/>
        <v>40000</v>
      </c>
      <c r="I1646" s="5">
        <f t="shared" si="82"/>
        <v>100000</v>
      </c>
      <c r="J1646" s="5">
        <f t="shared" si="83"/>
        <v>60000</v>
      </c>
      <c r="K1646" s="5" t="str">
        <f>VLOOKUP(C1646,[1]master_data!$A$2:$E$495,5,FALSE)</f>
        <v>Ikan</v>
      </c>
      <c r="L1646" s="5" t="s">
        <v>471</v>
      </c>
    </row>
    <row r="1647" spans="1:12" ht="12" customHeight="1" x14ac:dyDescent="0.25">
      <c r="A1647" s="6">
        <v>44748</v>
      </c>
      <c r="B1647" s="1">
        <v>2202916</v>
      </c>
      <c r="C1647" s="5" t="s">
        <v>413</v>
      </c>
      <c r="D1647" s="5" t="str">
        <f>VLOOKUP(C1647,[1]master_data!$A$2:$E$495,2,FALSE)</f>
        <v>KOKI K</v>
      </c>
      <c r="E1647" s="5">
        <v>14</v>
      </c>
      <c r="F1647" s="5">
        <f>VLOOKUP(C1647,[1]master_data!$A$2:$E$495,3,FALSE)</f>
        <v>3500</v>
      </c>
      <c r="G1647" s="5">
        <f>VLOOKUP(C1647,[1]master_data!$A$2:$E$495,4,FALSE)</f>
        <v>10000</v>
      </c>
      <c r="H1647" s="5">
        <f t="shared" si="81"/>
        <v>49000</v>
      </c>
      <c r="I1647" s="5">
        <f t="shared" si="82"/>
        <v>140000</v>
      </c>
      <c r="J1647" s="5">
        <f t="shared" si="83"/>
        <v>91000</v>
      </c>
      <c r="K1647" s="5" t="str">
        <f>VLOOKUP(C1647,[1]master_data!$A$2:$E$495,5,FALSE)</f>
        <v>Ikan</v>
      </c>
      <c r="L1647" s="5" t="s">
        <v>471</v>
      </c>
    </row>
    <row r="1648" spans="1:12" ht="12" customHeight="1" x14ac:dyDescent="0.25">
      <c r="A1648" s="6">
        <v>44748</v>
      </c>
      <c r="B1648" s="1">
        <v>2202915</v>
      </c>
      <c r="C1648" s="5" t="s">
        <v>118</v>
      </c>
      <c r="D1648" s="5" t="str">
        <f>VLOOKUP(C1648,[1]master_data!$A$2:$E$495,2,FALSE)</f>
        <v>LED ROSTON 40 CM</v>
      </c>
      <c r="E1648" s="5">
        <v>2</v>
      </c>
      <c r="F1648" s="5">
        <f>VLOOKUP(C1648,[1]master_data!$A$2:$E$495,3,FALSE)</f>
        <v>23000</v>
      </c>
      <c r="G1648" s="5">
        <f>VLOOKUP(C1648,[1]master_data!$A$2:$E$495,4,FALSE)</f>
        <v>40000</v>
      </c>
      <c r="H1648" s="5">
        <f t="shared" si="81"/>
        <v>46000</v>
      </c>
      <c r="I1648" s="5">
        <f t="shared" si="82"/>
        <v>80000</v>
      </c>
      <c r="J1648" s="5">
        <f t="shared" si="83"/>
        <v>34000</v>
      </c>
      <c r="K1648" s="5" t="str">
        <f>VLOOKUP(C1648,[1]master_data!$A$2:$E$495,5,FALSE)</f>
        <v>Aksesoris</v>
      </c>
      <c r="L1648" s="5" t="s">
        <v>471</v>
      </c>
    </row>
    <row r="1649" spans="1:12" ht="12" customHeight="1" x14ac:dyDescent="0.25">
      <c r="A1649" s="6">
        <v>44748</v>
      </c>
      <c r="B1649" s="1">
        <v>2202914</v>
      </c>
      <c r="C1649" s="5" t="s">
        <v>328</v>
      </c>
      <c r="D1649" s="5" t="str">
        <f>VLOOKUP(C1649,[1]master_data!$A$2:$E$495,2,FALSE)</f>
        <v>AIRSONE PUTIH</v>
      </c>
      <c r="E1649" s="5">
        <v>30</v>
      </c>
      <c r="F1649" s="5">
        <f>VLOOKUP(C1649,[1]master_data!$A$2:$E$495,3,FALSE)</f>
        <v>3000</v>
      </c>
      <c r="G1649" s="5">
        <f>VLOOKUP(C1649,[1]master_data!$A$2:$E$495,4,FALSE)</f>
        <v>5000</v>
      </c>
      <c r="H1649" s="5">
        <f t="shared" si="81"/>
        <v>90000</v>
      </c>
      <c r="I1649" s="5">
        <f t="shared" si="82"/>
        <v>150000</v>
      </c>
      <c r="J1649" s="5">
        <f t="shared" si="83"/>
        <v>60000</v>
      </c>
      <c r="K1649" s="5" t="str">
        <f>VLOOKUP(C1649,[1]master_data!$A$2:$E$495,5,FALSE)</f>
        <v>Aksesoris</v>
      </c>
      <c r="L1649" s="5" t="s">
        <v>471</v>
      </c>
    </row>
    <row r="1650" spans="1:12" ht="12" customHeight="1" x14ac:dyDescent="0.25">
      <c r="A1650" s="6">
        <v>44748</v>
      </c>
      <c r="B1650" s="1">
        <v>2202913</v>
      </c>
      <c r="C1650" s="5" t="s">
        <v>256</v>
      </c>
      <c r="D1650" s="5" t="str">
        <f>VLOOKUP(C1650,[1]master_data!$A$2:$E$495,2,FALSE)</f>
        <v>BACKGROUND</v>
      </c>
      <c r="E1650" s="5">
        <v>30</v>
      </c>
      <c r="F1650" s="5">
        <f>VLOOKUP(C1650,[1]master_data!$A$2:$E$495,3,FALSE)</f>
        <v>8000</v>
      </c>
      <c r="G1650" s="5">
        <f>VLOOKUP(C1650,[1]master_data!$A$2:$E$495,4,FALSE)</f>
        <v>15000</v>
      </c>
      <c r="H1650" s="5">
        <f t="shared" si="81"/>
        <v>240000</v>
      </c>
      <c r="I1650" s="5">
        <f t="shared" si="82"/>
        <v>450000</v>
      </c>
      <c r="J1650" s="5">
        <f t="shared" si="83"/>
        <v>210000</v>
      </c>
      <c r="K1650" s="5" t="str">
        <f>VLOOKUP(C1650,[1]master_data!$A$2:$E$495,5,FALSE)</f>
        <v>Aksesoris</v>
      </c>
      <c r="L1650" s="5" t="s">
        <v>471</v>
      </c>
    </row>
    <row r="1651" spans="1:12" ht="12" customHeight="1" x14ac:dyDescent="0.25">
      <c r="A1651" s="6">
        <v>44748</v>
      </c>
      <c r="B1651" s="1">
        <v>2202912</v>
      </c>
      <c r="C1651" s="5" t="s">
        <v>256</v>
      </c>
      <c r="D1651" s="5" t="str">
        <f>VLOOKUP(C1651,[1]master_data!$A$2:$E$495,2,FALSE)</f>
        <v>BACKGROUND</v>
      </c>
      <c r="E1651" s="5">
        <v>10</v>
      </c>
      <c r="F1651" s="5">
        <f>VLOOKUP(C1651,[1]master_data!$A$2:$E$495,3,FALSE)</f>
        <v>8000</v>
      </c>
      <c r="G1651" s="5">
        <f>VLOOKUP(C1651,[1]master_data!$A$2:$E$495,4,FALSE)</f>
        <v>15000</v>
      </c>
      <c r="H1651" s="5">
        <f t="shared" si="81"/>
        <v>80000</v>
      </c>
      <c r="I1651" s="5">
        <f t="shared" si="82"/>
        <v>150000</v>
      </c>
      <c r="J1651" s="5">
        <f t="shared" si="83"/>
        <v>70000</v>
      </c>
      <c r="K1651" s="5" t="str">
        <f>VLOOKUP(C1651,[1]master_data!$A$2:$E$495,5,FALSE)</f>
        <v>Aksesoris</v>
      </c>
      <c r="L1651" s="5" t="s">
        <v>471</v>
      </c>
    </row>
    <row r="1652" spans="1:12" ht="12" customHeight="1" x14ac:dyDescent="0.25">
      <c r="A1652" s="6">
        <v>44748</v>
      </c>
      <c r="B1652" s="1">
        <v>2202911</v>
      </c>
      <c r="C1652" s="5" t="s">
        <v>405</v>
      </c>
      <c r="D1652" s="5" t="str">
        <f>VLOOKUP(C1652,[1]master_data!$A$2:$E$495,2,FALSE)</f>
        <v>KOMET BOKIM</v>
      </c>
      <c r="E1652" s="5">
        <v>20</v>
      </c>
      <c r="F1652" s="5">
        <f>VLOOKUP(C1652,[1]master_data!$A$2:$E$495,3,FALSE)</f>
        <v>1500</v>
      </c>
      <c r="G1652" s="5">
        <f>VLOOKUP(C1652,[1]master_data!$A$2:$E$495,4,FALSE)</f>
        <v>5000</v>
      </c>
      <c r="H1652" s="5">
        <f t="shared" si="81"/>
        <v>30000</v>
      </c>
      <c r="I1652" s="5">
        <f t="shared" si="82"/>
        <v>100000</v>
      </c>
      <c r="J1652" s="5">
        <f t="shared" si="83"/>
        <v>70000</v>
      </c>
      <c r="K1652" s="5" t="str">
        <f>VLOOKUP(C1652,[1]master_data!$A$2:$E$495,5,FALSE)</f>
        <v>Ikan</v>
      </c>
      <c r="L1652" s="5" t="s">
        <v>471</v>
      </c>
    </row>
    <row r="1653" spans="1:12" ht="12" customHeight="1" x14ac:dyDescent="0.25">
      <c r="A1653" s="6">
        <v>44748</v>
      </c>
      <c r="B1653" s="1">
        <v>2202910</v>
      </c>
      <c r="C1653" s="5" t="s">
        <v>264</v>
      </c>
      <c r="D1653" s="5" t="str">
        <f>VLOOKUP(C1653,[1]master_data!$A$2:$E$495,2,FALSE)</f>
        <v>CORNER FILTER MULTI NAVIGATOR</v>
      </c>
      <c r="E1653" s="5">
        <v>5</v>
      </c>
      <c r="F1653" s="5">
        <f>VLOOKUP(C1653,[1]master_data!$A$2:$E$495,3,FALSE)</f>
        <v>21000</v>
      </c>
      <c r="G1653" s="5">
        <f>VLOOKUP(C1653,[1]master_data!$A$2:$E$495,4,FALSE)</f>
        <v>30000</v>
      </c>
      <c r="H1653" s="5">
        <f t="shared" si="81"/>
        <v>105000</v>
      </c>
      <c r="I1653" s="5">
        <f t="shared" si="82"/>
        <v>150000</v>
      </c>
      <c r="J1653" s="5">
        <f t="shared" si="83"/>
        <v>45000</v>
      </c>
      <c r="K1653" s="5" t="str">
        <f>VLOOKUP(C1653,[1]master_data!$A$2:$E$495,5,FALSE)</f>
        <v>Aksesoris</v>
      </c>
      <c r="L1653" s="5" t="s">
        <v>471</v>
      </c>
    </row>
    <row r="1654" spans="1:12" ht="12" customHeight="1" x14ac:dyDescent="0.25">
      <c r="A1654" s="6">
        <v>44747</v>
      </c>
      <c r="B1654" s="1">
        <v>2202909</v>
      </c>
      <c r="C1654" s="5" t="s">
        <v>177</v>
      </c>
      <c r="D1654" s="5" t="str">
        <f>VLOOKUP(C1654,[1]master_data!$A$2:$E$495,2,FALSE)</f>
        <v>LED ARMADA 3 BRS AP 400</v>
      </c>
      <c r="E1654" s="5">
        <v>10</v>
      </c>
      <c r="F1654" s="5">
        <f>VLOOKUP(C1654,[1]master_data!$A$2:$E$495,3,FALSE)</f>
        <v>45000</v>
      </c>
      <c r="G1654" s="5">
        <f>VLOOKUP(C1654,[1]master_data!$A$2:$E$495,4,FALSE)</f>
        <v>70000</v>
      </c>
      <c r="H1654" s="5">
        <f t="shared" si="81"/>
        <v>450000</v>
      </c>
      <c r="I1654" s="5">
        <f t="shared" si="82"/>
        <v>700000</v>
      </c>
      <c r="J1654" s="5">
        <f t="shared" si="83"/>
        <v>250000</v>
      </c>
      <c r="K1654" s="5" t="str">
        <f>VLOOKUP(C1654,[1]master_data!$A$2:$E$495,5,FALSE)</f>
        <v>Aksesoris</v>
      </c>
      <c r="L1654" s="5" t="s">
        <v>471</v>
      </c>
    </row>
    <row r="1655" spans="1:12" ht="12" customHeight="1" x14ac:dyDescent="0.25">
      <c r="A1655" s="6">
        <v>44747</v>
      </c>
      <c r="B1655" s="1">
        <v>2202908</v>
      </c>
      <c r="C1655" s="5" t="s">
        <v>461</v>
      </c>
      <c r="D1655" s="5" t="str">
        <f>VLOOKUP(C1655,[1]master_data!$A$2:$E$495,2,FALSE)</f>
        <v>SEPAT</v>
      </c>
      <c r="E1655" s="5">
        <v>10</v>
      </c>
      <c r="F1655" s="5">
        <f>VLOOKUP(C1655,[1]master_data!$A$2:$E$495,3,FALSE)</f>
        <v>600</v>
      </c>
      <c r="G1655" s="5">
        <f>VLOOKUP(C1655,[1]master_data!$A$2:$E$495,4,FALSE)</f>
        <v>2000</v>
      </c>
      <c r="H1655" s="5">
        <f t="shared" si="81"/>
        <v>6000</v>
      </c>
      <c r="I1655" s="5">
        <f t="shared" si="82"/>
        <v>20000</v>
      </c>
      <c r="J1655" s="5">
        <f t="shared" si="83"/>
        <v>14000</v>
      </c>
      <c r="K1655" s="5" t="str">
        <f>VLOOKUP(C1655,[1]master_data!$A$2:$E$495,5,FALSE)</f>
        <v>Ikan</v>
      </c>
      <c r="L1655" s="5" t="s">
        <v>471</v>
      </c>
    </row>
    <row r="1656" spans="1:12" ht="12" customHeight="1" x14ac:dyDescent="0.25">
      <c r="A1656" s="6">
        <v>44747</v>
      </c>
      <c r="B1656" s="1">
        <v>2202907</v>
      </c>
      <c r="C1656" s="5" t="s">
        <v>97</v>
      </c>
      <c r="D1656" s="5" t="str">
        <f>VLOOKUP(C1656,[1]master_data!$A$2:$E$495,2,FALSE)</f>
        <v>AIRATOR ROSTON BATERAI  101</v>
      </c>
      <c r="E1656" s="5">
        <v>10</v>
      </c>
      <c r="F1656" s="5">
        <f>VLOOKUP(C1656,[1]master_data!$A$2:$E$495,3,FALSE)</f>
        <v>35000</v>
      </c>
      <c r="G1656" s="5">
        <f>VLOOKUP(C1656,[1]master_data!$A$2:$E$495,4,FALSE)</f>
        <v>50000</v>
      </c>
      <c r="H1656" s="5">
        <f t="shared" si="81"/>
        <v>350000</v>
      </c>
      <c r="I1656" s="5">
        <f t="shared" si="82"/>
        <v>500000</v>
      </c>
      <c r="J1656" s="5">
        <f t="shared" si="83"/>
        <v>150000</v>
      </c>
      <c r="K1656" s="5" t="str">
        <f>VLOOKUP(C1656,[1]master_data!$A$2:$E$495,5,FALSE)</f>
        <v>Aksesoris</v>
      </c>
      <c r="L1656" s="5" t="s">
        <v>471</v>
      </c>
    </row>
    <row r="1657" spans="1:12" ht="12" customHeight="1" x14ac:dyDescent="0.25">
      <c r="A1657" s="6">
        <v>44747</v>
      </c>
      <c r="B1657" s="1">
        <v>2202906</v>
      </c>
      <c r="C1657" s="5" t="s">
        <v>119</v>
      </c>
      <c r="D1657" s="5" t="str">
        <f>VLOOKUP(C1657,[1]master_data!$A$2:$E$495,2,FALSE)</f>
        <v>LED KIYOSAKI 3 MODE 40 CM</v>
      </c>
      <c r="E1657" s="5">
        <v>1</v>
      </c>
      <c r="F1657" s="5">
        <f>VLOOKUP(C1657,[1]master_data!$A$2:$E$495,3,FALSE)</f>
        <v>32000</v>
      </c>
      <c r="G1657" s="5">
        <f>VLOOKUP(C1657,[1]master_data!$A$2:$E$495,4,FALSE)</f>
        <v>55000</v>
      </c>
      <c r="H1657" s="5">
        <f t="shared" si="81"/>
        <v>32000</v>
      </c>
      <c r="I1657" s="5">
        <f t="shared" si="82"/>
        <v>55000</v>
      </c>
      <c r="J1657" s="5">
        <f t="shared" si="83"/>
        <v>23000</v>
      </c>
      <c r="K1657" s="5" t="str">
        <f>VLOOKUP(C1657,[1]master_data!$A$2:$E$495,5,FALSE)</f>
        <v>Aksesoris</v>
      </c>
      <c r="L1657" s="5" t="s">
        <v>471</v>
      </c>
    </row>
    <row r="1658" spans="1:12" ht="12" customHeight="1" x14ac:dyDescent="0.25">
      <c r="A1658" s="6">
        <v>44747</v>
      </c>
      <c r="B1658" s="1">
        <v>2202905</v>
      </c>
      <c r="C1658" s="5" t="s">
        <v>391</v>
      </c>
      <c r="D1658" s="5" t="str">
        <f>VLOOKUP(C1658,[1]master_data!$A$2:$E$495,2,FALSE)</f>
        <v>CHANNA ANDRAO K</v>
      </c>
      <c r="E1658" s="5">
        <v>1</v>
      </c>
      <c r="F1658" s="5">
        <f>VLOOKUP(C1658,[1]master_data!$A$2:$E$495,3,FALSE)</f>
        <v>20000</v>
      </c>
      <c r="G1658" s="5">
        <f>VLOOKUP(C1658,[1]master_data!$A$2:$E$495,4,FALSE)</f>
        <v>50000</v>
      </c>
      <c r="H1658" s="5">
        <f t="shared" si="81"/>
        <v>20000</v>
      </c>
      <c r="I1658" s="5">
        <f t="shared" si="82"/>
        <v>50000</v>
      </c>
      <c r="J1658" s="5">
        <f t="shared" si="83"/>
        <v>30000</v>
      </c>
      <c r="K1658" s="5" t="str">
        <f>VLOOKUP(C1658,[1]master_data!$A$2:$E$495,5,FALSE)</f>
        <v>Ikan</v>
      </c>
      <c r="L1658" s="5" t="s">
        <v>471</v>
      </c>
    </row>
    <row r="1659" spans="1:12" ht="12" customHeight="1" x14ac:dyDescent="0.25">
      <c r="A1659" s="6">
        <v>44747</v>
      </c>
      <c r="B1659" s="1">
        <v>2202904</v>
      </c>
      <c r="C1659" s="5" t="s">
        <v>359</v>
      </c>
      <c r="D1659" s="5" t="str">
        <f>VLOOKUP(C1659,[1]master_data!$A$2:$E$495,2,FALSE)</f>
        <v>TOPLES 12,3 L</v>
      </c>
      <c r="E1659" s="5">
        <v>1</v>
      </c>
      <c r="F1659" s="5">
        <f>VLOOKUP(C1659,[1]master_data!$A$2:$E$495,3,FALSE)</f>
        <v>52000</v>
      </c>
      <c r="G1659" s="5">
        <f>VLOOKUP(C1659,[1]master_data!$A$2:$E$495,4,FALSE)</f>
        <v>110000</v>
      </c>
      <c r="H1659" s="5">
        <f t="shared" si="81"/>
        <v>52000</v>
      </c>
      <c r="I1659" s="5">
        <f t="shared" si="82"/>
        <v>110000</v>
      </c>
      <c r="J1659" s="5">
        <f t="shared" si="83"/>
        <v>58000</v>
      </c>
      <c r="K1659" s="5" t="str">
        <f>VLOOKUP(C1659,[1]master_data!$A$2:$E$495,5,FALSE)</f>
        <v>Aksesoris</v>
      </c>
      <c r="L1659" s="5" t="s">
        <v>471</v>
      </c>
    </row>
    <row r="1660" spans="1:12" ht="12" customHeight="1" x14ac:dyDescent="0.25">
      <c r="A1660" s="6">
        <v>44747</v>
      </c>
      <c r="B1660" s="1">
        <v>2202903</v>
      </c>
      <c r="C1660" s="5" t="s">
        <v>74</v>
      </c>
      <c r="D1660" s="5" t="str">
        <f>VLOOKUP(C1660,[1]master_data!$A$2:$E$495,2,FALSE)</f>
        <v>MESIN KIYOSAKI 1200</v>
      </c>
      <c r="E1660" s="5">
        <v>2</v>
      </c>
      <c r="F1660" s="5">
        <f>VLOOKUP(C1660,[1]master_data!$A$2:$E$495,3,FALSE)</f>
        <v>21500</v>
      </c>
      <c r="G1660" s="5">
        <f>VLOOKUP(C1660,[1]master_data!$A$2:$E$495,4,FALSE)</f>
        <v>35000</v>
      </c>
      <c r="H1660" s="5">
        <f t="shared" si="81"/>
        <v>43000</v>
      </c>
      <c r="I1660" s="5">
        <f t="shared" si="82"/>
        <v>70000</v>
      </c>
      <c r="J1660" s="5">
        <f t="shared" si="83"/>
        <v>27000</v>
      </c>
      <c r="K1660" s="5" t="str">
        <f>VLOOKUP(C1660,[1]master_data!$A$2:$E$495,5,FALSE)</f>
        <v>Aksesoris</v>
      </c>
      <c r="L1660" s="5" t="s">
        <v>471</v>
      </c>
    </row>
    <row r="1661" spans="1:12" ht="12" customHeight="1" x14ac:dyDescent="0.25">
      <c r="A1661" s="6">
        <v>44747</v>
      </c>
      <c r="B1661" s="1">
        <v>2202902</v>
      </c>
      <c r="C1661" s="5" t="s">
        <v>425</v>
      </c>
      <c r="D1661" s="5" t="str">
        <f>VLOOKUP(C1661,[1]master_data!$A$2:$E$495,2,FALSE)</f>
        <v>CAROLINE</v>
      </c>
      <c r="E1661" s="5">
        <v>30</v>
      </c>
      <c r="F1661" s="5">
        <f>VLOOKUP(C1661,[1]master_data!$A$2:$E$495,3,FALSE)</f>
        <v>900</v>
      </c>
      <c r="G1661" s="5">
        <f>VLOOKUP(C1661,[1]master_data!$A$2:$E$495,4,FALSE)</f>
        <v>2000</v>
      </c>
      <c r="H1661" s="5">
        <f t="shared" si="81"/>
        <v>27000</v>
      </c>
      <c r="I1661" s="5">
        <f t="shared" si="82"/>
        <v>60000</v>
      </c>
      <c r="J1661" s="5">
        <f t="shared" si="83"/>
        <v>33000</v>
      </c>
      <c r="K1661" s="5" t="str">
        <f>VLOOKUP(C1661,[1]master_data!$A$2:$E$495,5,FALSE)</f>
        <v>Ikan</v>
      </c>
      <c r="L1661" s="5" t="s">
        <v>471</v>
      </c>
    </row>
    <row r="1662" spans="1:12" ht="12" customHeight="1" x14ac:dyDescent="0.25">
      <c r="A1662" s="6">
        <v>44747</v>
      </c>
      <c r="B1662" s="1">
        <v>2202901</v>
      </c>
      <c r="C1662" s="5" t="s">
        <v>211</v>
      </c>
      <c r="D1662" s="5" t="str">
        <f>VLOOKUP(C1662,[1]master_data!$A$2:$E$495,2,FALSE)</f>
        <v>CRISTAL PAKAN CUPANG</v>
      </c>
      <c r="E1662" s="5">
        <v>10</v>
      </c>
      <c r="F1662" s="5">
        <f>VLOOKUP(C1662,[1]master_data!$A$2:$E$495,3,FALSE)</f>
        <v>1500</v>
      </c>
      <c r="G1662" s="5">
        <f>VLOOKUP(C1662,[1]master_data!$A$2:$E$495,4,FALSE)</f>
        <v>3000</v>
      </c>
      <c r="H1662" s="5">
        <f t="shared" si="81"/>
        <v>15000</v>
      </c>
      <c r="I1662" s="5">
        <f t="shared" si="82"/>
        <v>30000</v>
      </c>
      <c r="J1662" s="5">
        <f t="shared" si="83"/>
        <v>15000</v>
      </c>
      <c r="K1662" s="5" t="str">
        <f>VLOOKUP(C1662,[1]master_data!$A$2:$E$495,5,FALSE)</f>
        <v>Aksesoris</v>
      </c>
      <c r="L1662" s="5" t="s">
        <v>471</v>
      </c>
    </row>
    <row r="1663" spans="1:12" ht="12" customHeight="1" x14ac:dyDescent="0.25">
      <c r="A1663" s="6">
        <v>44746</v>
      </c>
      <c r="B1663" s="1">
        <v>2202900</v>
      </c>
      <c r="C1663" s="5" t="s">
        <v>76</v>
      </c>
      <c r="D1663" s="5" t="str">
        <f>VLOOKUP(C1663,[1]master_data!$A$2:$E$495,2,FALSE)</f>
        <v>MESIN KIYOSAKI 1800</v>
      </c>
      <c r="E1663" s="5">
        <v>5</v>
      </c>
      <c r="F1663" s="5">
        <f>VLOOKUP(C1663,[1]master_data!$A$2:$E$495,3,FALSE)</f>
        <v>45000</v>
      </c>
      <c r="G1663" s="5">
        <f>VLOOKUP(C1663,[1]master_data!$A$2:$E$495,4,FALSE)</f>
        <v>100000</v>
      </c>
      <c r="H1663" s="5">
        <f t="shared" si="81"/>
        <v>225000</v>
      </c>
      <c r="I1663" s="5">
        <f t="shared" si="82"/>
        <v>500000</v>
      </c>
      <c r="J1663" s="5">
        <f t="shared" si="83"/>
        <v>275000</v>
      </c>
      <c r="K1663" s="5" t="str">
        <f>VLOOKUP(C1663,[1]master_data!$A$2:$E$495,5,FALSE)</f>
        <v>Aksesoris</v>
      </c>
      <c r="L1663" s="5" t="s">
        <v>471</v>
      </c>
    </row>
    <row r="1664" spans="1:12" ht="12" customHeight="1" x14ac:dyDescent="0.25">
      <c r="A1664" s="6">
        <v>44746</v>
      </c>
      <c r="B1664" s="1">
        <v>2202899</v>
      </c>
      <c r="C1664" s="5" t="s">
        <v>429</v>
      </c>
      <c r="D1664" s="5" t="str">
        <f>VLOOKUP(C1664,[1]master_data!$A$2:$E$495,2,FALSE)</f>
        <v>LOUHAN SUPER</v>
      </c>
      <c r="E1664" s="5">
        <v>1</v>
      </c>
      <c r="F1664" s="5">
        <f>VLOOKUP(C1664,[1]master_data!$A$2:$E$495,3,FALSE)</f>
        <v>300000</v>
      </c>
      <c r="G1664" s="5">
        <f>VLOOKUP(C1664,[1]master_data!$A$2:$E$495,4,FALSE)</f>
        <v>500000</v>
      </c>
      <c r="H1664" s="5">
        <f t="shared" si="81"/>
        <v>300000</v>
      </c>
      <c r="I1664" s="5">
        <f t="shared" si="82"/>
        <v>500000</v>
      </c>
      <c r="J1664" s="5">
        <f t="shared" si="83"/>
        <v>200000</v>
      </c>
      <c r="K1664" s="5" t="str">
        <f>VLOOKUP(C1664,[1]master_data!$A$2:$E$495,5,FALSE)</f>
        <v>Ikan</v>
      </c>
      <c r="L1664" s="5" t="s">
        <v>471</v>
      </c>
    </row>
    <row r="1665" spans="1:12" ht="12" customHeight="1" x14ac:dyDescent="0.25">
      <c r="A1665" s="6">
        <v>44746</v>
      </c>
      <c r="B1665" s="1">
        <v>2202898</v>
      </c>
      <c r="C1665" s="5" t="s">
        <v>452</v>
      </c>
      <c r="D1665" s="5" t="str">
        <f>VLOOKUP(C1665,[1]master_data!$A$2:$E$495,2,FALSE)</f>
        <v>SNOW WHITE</v>
      </c>
      <c r="E1665" s="5">
        <v>10</v>
      </c>
      <c r="F1665" s="5">
        <f>VLOOKUP(C1665,[1]master_data!$A$2:$E$495,3,FALSE)</f>
        <v>1500</v>
      </c>
      <c r="G1665" s="5">
        <f>VLOOKUP(C1665,[1]master_data!$A$2:$E$495,4,FALSE)</f>
        <v>3000</v>
      </c>
      <c r="H1665" s="5">
        <f t="shared" si="81"/>
        <v>15000</v>
      </c>
      <c r="I1665" s="5">
        <f t="shared" si="82"/>
        <v>30000</v>
      </c>
      <c r="J1665" s="5">
        <f t="shared" si="83"/>
        <v>15000</v>
      </c>
      <c r="K1665" s="5" t="str">
        <f>VLOOKUP(C1665,[1]master_data!$A$2:$E$495,5,FALSE)</f>
        <v>Ikan</v>
      </c>
      <c r="L1665" s="5" t="s">
        <v>471</v>
      </c>
    </row>
    <row r="1666" spans="1:12" ht="12" customHeight="1" x14ac:dyDescent="0.25">
      <c r="A1666" s="6">
        <v>44746</v>
      </c>
      <c r="B1666" s="1">
        <v>2202897</v>
      </c>
      <c r="C1666" s="5" t="s">
        <v>392</v>
      </c>
      <c r="D1666" s="5" t="str">
        <f>VLOOKUP(C1666,[1]master_data!$A$2:$E$495,2,FALSE)</f>
        <v>CHANNA ASIATICA B</v>
      </c>
      <c r="E1666" s="5">
        <v>2</v>
      </c>
      <c r="F1666" s="5">
        <f>VLOOKUP(C1666,[1]master_data!$A$2:$E$495,3,FALSE)</f>
        <v>40000</v>
      </c>
      <c r="G1666" s="5">
        <f>VLOOKUP(C1666,[1]master_data!$A$2:$E$495,4,FALSE)</f>
        <v>100000</v>
      </c>
      <c r="H1666" s="5">
        <f t="shared" si="81"/>
        <v>80000</v>
      </c>
      <c r="I1666" s="5">
        <f t="shared" si="82"/>
        <v>200000</v>
      </c>
      <c r="J1666" s="5">
        <f t="shared" si="83"/>
        <v>120000</v>
      </c>
      <c r="K1666" s="5" t="str">
        <f>VLOOKUP(C1666,[1]master_data!$A$2:$E$495,5,FALSE)</f>
        <v>Ikan</v>
      </c>
      <c r="L1666" s="5" t="s">
        <v>471</v>
      </c>
    </row>
    <row r="1667" spans="1:12" ht="12" customHeight="1" x14ac:dyDescent="0.25">
      <c r="A1667" s="6">
        <v>44745</v>
      </c>
      <c r="B1667" s="1">
        <v>2202896</v>
      </c>
      <c r="C1667" s="5" t="s">
        <v>313</v>
      </c>
      <c r="D1667" s="5" t="str">
        <f>VLOOKUP(C1667,[1]master_data!$A$2:$E$495,2,FALSE)</f>
        <v>LURUS PIPA</v>
      </c>
      <c r="E1667" s="5">
        <v>30</v>
      </c>
      <c r="F1667" s="5">
        <f>VLOOKUP(C1667,[1]master_data!$A$2:$E$495,3,FALSE)</f>
        <v>800</v>
      </c>
      <c r="G1667" s="5">
        <f>VLOOKUP(C1667,[1]master_data!$A$2:$E$495,4,FALSE)</f>
        <v>2000</v>
      </c>
      <c r="H1667" s="5">
        <f t="shared" si="81"/>
        <v>24000</v>
      </c>
      <c r="I1667" s="5">
        <f t="shared" si="82"/>
        <v>60000</v>
      </c>
      <c r="J1667" s="5">
        <f t="shared" si="83"/>
        <v>36000</v>
      </c>
      <c r="K1667" s="5" t="str">
        <f>VLOOKUP(C1667,[1]master_data!$A$2:$E$495,5,FALSE)</f>
        <v>Aksesoris</v>
      </c>
      <c r="L1667" s="5" t="s">
        <v>471</v>
      </c>
    </row>
    <row r="1668" spans="1:12" ht="12" customHeight="1" x14ac:dyDescent="0.25">
      <c r="A1668" s="6">
        <v>44745</v>
      </c>
      <c r="B1668" s="1">
        <v>2202895</v>
      </c>
      <c r="C1668" s="5" t="s">
        <v>256</v>
      </c>
      <c r="D1668" s="5" t="str">
        <f>VLOOKUP(C1668,[1]master_data!$A$2:$E$495,2,FALSE)</f>
        <v>BACKGROUND</v>
      </c>
      <c r="E1668" s="5">
        <v>15</v>
      </c>
      <c r="F1668" s="5">
        <f>VLOOKUP(C1668,[1]master_data!$A$2:$E$495,3,FALSE)</f>
        <v>8000</v>
      </c>
      <c r="G1668" s="5">
        <f>VLOOKUP(C1668,[1]master_data!$A$2:$E$495,4,FALSE)</f>
        <v>15000</v>
      </c>
      <c r="H1668" s="5">
        <f t="shared" si="81"/>
        <v>120000</v>
      </c>
      <c r="I1668" s="5">
        <f t="shared" si="82"/>
        <v>225000</v>
      </c>
      <c r="J1668" s="5">
        <f t="shared" si="83"/>
        <v>105000</v>
      </c>
      <c r="K1668" s="5" t="str">
        <f>VLOOKUP(C1668,[1]master_data!$A$2:$E$495,5,FALSE)</f>
        <v>Aksesoris</v>
      </c>
      <c r="L1668" s="5" t="s">
        <v>471</v>
      </c>
    </row>
    <row r="1669" spans="1:12" ht="12" customHeight="1" x14ac:dyDescent="0.25">
      <c r="A1669" s="6">
        <v>44745</v>
      </c>
      <c r="B1669" s="1">
        <v>2202894</v>
      </c>
      <c r="C1669" s="5" t="s">
        <v>407</v>
      </c>
      <c r="D1669" s="5" t="str">
        <f>VLOOKUP(C1669,[1]master_data!$A$2:$E$495,2,FALSE)</f>
        <v>CUPANG</v>
      </c>
      <c r="E1669" s="5">
        <v>30</v>
      </c>
      <c r="F1669" s="5">
        <f>VLOOKUP(C1669,[1]master_data!$A$2:$E$495,3,FALSE)</f>
        <v>2000</v>
      </c>
      <c r="G1669" s="5">
        <f>VLOOKUP(C1669,[1]master_data!$A$2:$E$495,4,FALSE)</f>
        <v>5000</v>
      </c>
      <c r="H1669" s="5">
        <f t="shared" ref="H1669:H1732" si="84">E1669*F1669</f>
        <v>60000</v>
      </c>
      <c r="I1669" s="5">
        <f t="shared" ref="I1669:I1732" si="85">E1669*G1669</f>
        <v>150000</v>
      </c>
      <c r="J1669" s="5">
        <f t="shared" ref="J1669:J1732" si="86">I1669-H1669</f>
        <v>90000</v>
      </c>
      <c r="K1669" s="5" t="str">
        <f>VLOOKUP(C1669,[1]master_data!$A$2:$E$495,5,FALSE)</f>
        <v>Ikan</v>
      </c>
      <c r="L1669" s="5" t="s">
        <v>471</v>
      </c>
    </row>
    <row r="1670" spans="1:12" ht="12" customHeight="1" x14ac:dyDescent="0.25">
      <c r="A1670" s="6">
        <v>44745</v>
      </c>
      <c r="B1670" s="1">
        <v>2202893</v>
      </c>
      <c r="C1670" s="5" t="s">
        <v>137</v>
      </c>
      <c r="D1670" s="5" t="str">
        <f>VLOOKUP(C1670,[1]master_data!$A$2:$E$495,2,FALSE)</f>
        <v>LAMPU YAMANO UV 20W</v>
      </c>
      <c r="E1670" s="5">
        <v>2</v>
      </c>
      <c r="F1670" s="5">
        <f>VLOOKUP(C1670,[1]master_data!$A$2:$E$495,3,FALSE)</f>
        <v>184000</v>
      </c>
      <c r="G1670" s="5">
        <f>VLOOKUP(C1670,[1]master_data!$A$2:$E$495,4,FALSE)</f>
        <v>225000</v>
      </c>
      <c r="H1670" s="5">
        <f t="shared" si="84"/>
        <v>368000</v>
      </c>
      <c r="I1670" s="5">
        <f t="shared" si="85"/>
        <v>450000</v>
      </c>
      <c r="J1670" s="5">
        <f t="shared" si="86"/>
        <v>82000</v>
      </c>
      <c r="K1670" s="5" t="str">
        <f>VLOOKUP(C1670,[1]master_data!$A$2:$E$495,5,FALSE)</f>
        <v>Aksesoris</v>
      </c>
      <c r="L1670" s="5" t="s">
        <v>471</v>
      </c>
    </row>
    <row r="1671" spans="1:12" ht="12" customHeight="1" x14ac:dyDescent="0.25">
      <c r="A1671" s="6">
        <v>44745</v>
      </c>
      <c r="B1671" s="1">
        <v>2202892</v>
      </c>
      <c r="C1671" s="5" t="s">
        <v>79</v>
      </c>
      <c r="D1671" s="5" t="str">
        <f>VLOOKUP(C1671,[1]master_data!$A$2:$E$495,2,FALSE)</f>
        <v>MESIN KIYOSAKI 107A</v>
      </c>
      <c r="E1671" s="5">
        <v>1</v>
      </c>
      <c r="F1671" s="5">
        <f>VLOOKUP(C1671,[1]master_data!$A$2:$E$495,3,FALSE)</f>
        <v>250000</v>
      </c>
      <c r="G1671" s="5">
        <f>VLOOKUP(C1671,[1]master_data!$A$2:$E$495,4,FALSE)</f>
        <v>300000</v>
      </c>
      <c r="H1671" s="5">
        <f t="shared" si="84"/>
        <v>250000</v>
      </c>
      <c r="I1671" s="5">
        <f t="shared" si="85"/>
        <v>300000</v>
      </c>
      <c r="J1671" s="5">
        <f t="shared" si="86"/>
        <v>50000</v>
      </c>
      <c r="K1671" s="5" t="str">
        <f>VLOOKUP(C1671,[1]master_data!$A$2:$E$495,5,FALSE)</f>
        <v>Aksesoris</v>
      </c>
      <c r="L1671" s="5" t="s">
        <v>471</v>
      </c>
    </row>
    <row r="1672" spans="1:12" ht="12" customHeight="1" x14ac:dyDescent="0.25">
      <c r="A1672" s="6">
        <v>44745</v>
      </c>
      <c r="B1672" s="1">
        <v>2202891</v>
      </c>
      <c r="C1672" s="5" t="s">
        <v>460</v>
      </c>
      <c r="D1672" s="5" t="str">
        <f>VLOOKUP(C1672,[1]master_data!$A$2:$E$495,2,FALSE)</f>
        <v>ZEBRA KUNING</v>
      </c>
      <c r="E1672" s="5">
        <v>20</v>
      </c>
      <c r="F1672" s="5">
        <f>VLOOKUP(C1672,[1]master_data!$A$2:$E$495,3,FALSE)</f>
        <v>800</v>
      </c>
      <c r="G1672" s="5">
        <f>VLOOKUP(C1672,[1]master_data!$A$2:$E$495,4,FALSE)</f>
        <v>2000</v>
      </c>
      <c r="H1672" s="5">
        <f t="shared" si="84"/>
        <v>16000</v>
      </c>
      <c r="I1672" s="5">
        <f t="shared" si="85"/>
        <v>40000</v>
      </c>
      <c r="J1672" s="5">
        <f t="shared" si="86"/>
        <v>24000</v>
      </c>
      <c r="K1672" s="5" t="str">
        <f>VLOOKUP(C1672,[1]master_data!$A$2:$E$495,5,FALSE)</f>
        <v>Ikan</v>
      </c>
      <c r="L1672" s="5" t="s">
        <v>471</v>
      </c>
    </row>
    <row r="1673" spans="1:12" ht="12" customHeight="1" x14ac:dyDescent="0.25">
      <c r="A1673" s="6">
        <v>44745</v>
      </c>
      <c r="B1673" s="1">
        <v>2202890</v>
      </c>
      <c r="C1673" s="5" t="s">
        <v>451</v>
      </c>
      <c r="D1673" s="5" t="str">
        <f>VLOOKUP(C1673,[1]master_data!$A$2:$E$495,2,FALSE)</f>
        <v>SUMATRA GOLD FISH</v>
      </c>
      <c r="E1673" s="5">
        <v>10</v>
      </c>
      <c r="F1673" s="5">
        <f>VLOOKUP(C1673,[1]master_data!$A$2:$E$495,3,FALSE)</f>
        <v>2500</v>
      </c>
      <c r="G1673" s="5">
        <f>VLOOKUP(C1673,[1]master_data!$A$2:$E$495,4,FALSE)</f>
        <v>4000</v>
      </c>
      <c r="H1673" s="5">
        <f t="shared" si="84"/>
        <v>25000</v>
      </c>
      <c r="I1673" s="5">
        <f t="shared" si="85"/>
        <v>40000</v>
      </c>
      <c r="J1673" s="5">
        <f t="shared" si="86"/>
        <v>15000</v>
      </c>
      <c r="K1673" s="5" t="str">
        <f>VLOOKUP(C1673,[1]master_data!$A$2:$E$495,5,FALSE)</f>
        <v>Ikan</v>
      </c>
      <c r="L1673" s="5" t="s">
        <v>471</v>
      </c>
    </row>
    <row r="1674" spans="1:12" ht="12" customHeight="1" x14ac:dyDescent="0.25">
      <c r="A1674" s="6">
        <v>44745</v>
      </c>
      <c r="B1674" s="1">
        <v>2202889</v>
      </c>
      <c r="C1674" s="5" t="s">
        <v>455</v>
      </c>
      <c r="D1674" s="5" t="str">
        <f>VLOOKUP(C1674,[1]master_data!$A$2:$E$495,2,FALSE)</f>
        <v>TETRA</v>
      </c>
      <c r="E1674" s="5">
        <v>30</v>
      </c>
      <c r="F1674" s="5">
        <f>VLOOKUP(C1674,[1]master_data!$A$2:$E$495,3,FALSE)</f>
        <v>800</v>
      </c>
      <c r="G1674" s="5">
        <f>VLOOKUP(C1674,[1]master_data!$A$2:$E$495,4,FALSE)</f>
        <v>2000</v>
      </c>
      <c r="H1674" s="5">
        <f t="shared" si="84"/>
        <v>24000</v>
      </c>
      <c r="I1674" s="5">
        <f t="shared" si="85"/>
        <v>60000</v>
      </c>
      <c r="J1674" s="5">
        <f t="shared" si="86"/>
        <v>36000</v>
      </c>
      <c r="K1674" s="5" t="str">
        <f>VLOOKUP(C1674,[1]master_data!$A$2:$E$495,5,FALSE)</f>
        <v>Ikan</v>
      </c>
      <c r="L1674" s="5" t="s">
        <v>471</v>
      </c>
    </row>
    <row r="1675" spans="1:12" ht="12" customHeight="1" x14ac:dyDescent="0.25">
      <c r="A1675" s="6">
        <v>44745</v>
      </c>
      <c r="B1675" s="1">
        <v>2202888</v>
      </c>
      <c r="C1675" s="5" t="s">
        <v>416</v>
      </c>
      <c r="D1675" s="5" t="str">
        <f>VLOOKUP(C1675,[1]master_data!$A$2:$E$495,2,FALSE)</f>
        <v>KOI K</v>
      </c>
      <c r="E1675" s="5">
        <v>15</v>
      </c>
      <c r="F1675" s="5">
        <f>VLOOKUP(C1675,[1]master_data!$A$2:$E$495,3,FALSE)</f>
        <v>2500</v>
      </c>
      <c r="G1675" s="5">
        <f>VLOOKUP(C1675,[1]master_data!$A$2:$E$495,4,FALSE)</f>
        <v>10000</v>
      </c>
      <c r="H1675" s="5">
        <f t="shared" si="84"/>
        <v>37500</v>
      </c>
      <c r="I1675" s="5">
        <f t="shared" si="85"/>
        <v>150000</v>
      </c>
      <c r="J1675" s="5">
        <f t="shared" si="86"/>
        <v>112500</v>
      </c>
      <c r="K1675" s="5" t="str">
        <f>VLOOKUP(C1675,[1]master_data!$A$2:$E$495,5,FALSE)</f>
        <v>Ikan</v>
      </c>
      <c r="L1675" s="5" t="s">
        <v>471</v>
      </c>
    </row>
    <row r="1676" spans="1:12" ht="12" customHeight="1" x14ac:dyDescent="0.25">
      <c r="A1676" s="6">
        <v>44744</v>
      </c>
      <c r="B1676" s="1">
        <v>2202887</v>
      </c>
      <c r="C1676" s="5" t="s">
        <v>397</v>
      </c>
      <c r="D1676" s="5" t="str">
        <f>VLOOKUP(C1676,[1]master_data!$A$2:$E$495,2,FALSE)</f>
        <v>ALIGATOR</v>
      </c>
      <c r="E1676" s="5">
        <v>1</v>
      </c>
      <c r="F1676" s="5">
        <f>VLOOKUP(C1676,[1]master_data!$A$2:$E$495,3,FALSE)</f>
        <v>17000</v>
      </c>
      <c r="G1676" s="5">
        <f>VLOOKUP(C1676,[1]master_data!$A$2:$E$495,4,FALSE)</f>
        <v>35000</v>
      </c>
      <c r="H1676" s="5">
        <f t="shared" si="84"/>
        <v>17000</v>
      </c>
      <c r="I1676" s="5">
        <f t="shared" si="85"/>
        <v>35000</v>
      </c>
      <c r="J1676" s="5">
        <f t="shared" si="86"/>
        <v>18000</v>
      </c>
      <c r="K1676" s="5" t="str">
        <f>VLOOKUP(C1676,[1]master_data!$A$2:$E$495,5,FALSE)</f>
        <v>Ikan</v>
      </c>
      <c r="L1676" s="5" t="s">
        <v>471</v>
      </c>
    </row>
    <row r="1677" spans="1:12" ht="12" customHeight="1" x14ac:dyDescent="0.25">
      <c r="A1677" s="6">
        <v>44744</v>
      </c>
      <c r="B1677" s="1">
        <v>2202886</v>
      </c>
      <c r="C1677" s="5" t="s">
        <v>141</v>
      </c>
      <c r="D1677" s="5" t="str">
        <f>VLOOKUP(C1677,[1]master_data!$A$2:$E$495,2,FALSE)</f>
        <v>LED YANG HW 30 CM</v>
      </c>
      <c r="E1677" s="5">
        <v>5</v>
      </c>
      <c r="F1677" s="5">
        <f>VLOOKUP(C1677,[1]master_data!$A$2:$E$495,3,FALSE)</f>
        <v>56000</v>
      </c>
      <c r="G1677" s="5">
        <f>VLOOKUP(C1677,[1]master_data!$A$2:$E$495,4,FALSE)</f>
        <v>75000</v>
      </c>
      <c r="H1677" s="5">
        <f t="shared" si="84"/>
        <v>280000</v>
      </c>
      <c r="I1677" s="5">
        <f t="shared" si="85"/>
        <v>375000</v>
      </c>
      <c r="J1677" s="5">
        <f t="shared" si="86"/>
        <v>95000</v>
      </c>
      <c r="K1677" s="5" t="str">
        <f>VLOOKUP(C1677,[1]master_data!$A$2:$E$495,5,FALSE)</f>
        <v>Aksesoris</v>
      </c>
      <c r="L1677" s="5" t="s">
        <v>471</v>
      </c>
    </row>
    <row r="1678" spans="1:12" ht="12" customHeight="1" x14ac:dyDescent="0.25">
      <c r="A1678" s="6">
        <v>44744</v>
      </c>
      <c r="B1678" s="1">
        <v>2202885</v>
      </c>
      <c r="C1678" s="5" t="s">
        <v>371</v>
      </c>
      <c r="D1678" s="5" t="str">
        <f>VLOOKUP(C1678,[1]master_data!$A$2:$E$495,2,FALSE)</f>
        <v>SOLITER C1</v>
      </c>
      <c r="E1678" s="5">
        <v>2</v>
      </c>
      <c r="F1678" s="5">
        <f>VLOOKUP(C1678,[1]master_data!$A$2:$E$495,3,FALSE)</f>
        <v>55000</v>
      </c>
      <c r="G1678" s="5">
        <f>VLOOKUP(C1678,[1]master_data!$A$2:$E$495,4,FALSE)</f>
        <v>75000</v>
      </c>
      <c r="H1678" s="5">
        <f t="shared" si="84"/>
        <v>110000</v>
      </c>
      <c r="I1678" s="5">
        <f t="shared" si="85"/>
        <v>150000</v>
      </c>
      <c r="J1678" s="5">
        <f t="shared" si="86"/>
        <v>40000</v>
      </c>
      <c r="K1678" s="5" t="str">
        <f>VLOOKUP(C1678,[1]master_data!$A$2:$E$495,5,FALSE)</f>
        <v>Aksesoris</v>
      </c>
      <c r="L1678" s="5" t="s">
        <v>471</v>
      </c>
    </row>
    <row r="1679" spans="1:12" ht="12" customHeight="1" x14ac:dyDescent="0.25">
      <c r="A1679" s="6">
        <v>44744</v>
      </c>
      <c r="B1679" s="1">
        <v>2202884</v>
      </c>
      <c r="C1679" s="5" t="s">
        <v>47</v>
      </c>
      <c r="D1679" s="5" t="str">
        <f>VLOOKUP(C1679,[1]master_data!$A$2:$E$495,2,FALSE)</f>
        <v>MESIN NIKITA 1200</v>
      </c>
      <c r="E1679" s="5">
        <v>2</v>
      </c>
      <c r="F1679" s="5">
        <f>VLOOKUP(C1679,[1]master_data!$A$2:$E$495,3,FALSE)</f>
        <v>24000</v>
      </c>
      <c r="G1679" s="5">
        <f>VLOOKUP(C1679,[1]master_data!$A$2:$E$495,4,FALSE)</f>
        <v>35000</v>
      </c>
      <c r="H1679" s="5">
        <f t="shared" si="84"/>
        <v>48000</v>
      </c>
      <c r="I1679" s="5">
        <f t="shared" si="85"/>
        <v>70000</v>
      </c>
      <c r="J1679" s="5">
        <f t="shared" si="86"/>
        <v>22000</v>
      </c>
      <c r="K1679" s="5" t="str">
        <f>VLOOKUP(C1679,[1]master_data!$A$2:$E$495,5,FALSE)</f>
        <v>Aksesoris</v>
      </c>
      <c r="L1679" s="5" t="s">
        <v>471</v>
      </c>
    </row>
    <row r="1680" spans="1:12" ht="12" customHeight="1" x14ac:dyDescent="0.25">
      <c r="A1680" s="6">
        <v>44744</v>
      </c>
      <c r="B1680" s="1">
        <v>2202883</v>
      </c>
      <c r="C1680" s="5" t="s">
        <v>311</v>
      </c>
      <c r="D1680" s="5" t="str">
        <f>VLOOKUP(C1680,[1]master_data!$A$2:$E$495,2,FALSE)</f>
        <v>L PIPA</v>
      </c>
      <c r="E1680" s="5">
        <v>15</v>
      </c>
      <c r="F1680" s="5">
        <f>VLOOKUP(C1680,[1]master_data!$A$2:$E$495,3,FALSE)</f>
        <v>800</v>
      </c>
      <c r="G1680" s="5">
        <f>VLOOKUP(C1680,[1]master_data!$A$2:$E$495,4,FALSE)</f>
        <v>2000</v>
      </c>
      <c r="H1680" s="5">
        <f t="shared" si="84"/>
        <v>12000</v>
      </c>
      <c r="I1680" s="5">
        <f t="shared" si="85"/>
        <v>30000</v>
      </c>
      <c r="J1680" s="5">
        <f t="shared" si="86"/>
        <v>18000</v>
      </c>
      <c r="K1680" s="5" t="str">
        <f>VLOOKUP(C1680,[1]master_data!$A$2:$E$495,5,FALSE)</f>
        <v>Aksesoris</v>
      </c>
      <c r="L1680" s="5" t="s">
        <v>471</v>
      </c>
    </row>
    <row r="1681" spans="1:12" ht="12" customHeight="1" x14ac:dyDescent="0.25">
      <c r="A1681" s="6">
        <v>44744</v>
      </c>
      <c r="B1681" s="1">
        <v>2202882</v>
      </c>
      <c r="C1681" s="5" t="s">
        <v>448</v>
      </c>
      <c r="D1681" s="5" t="str">
        <f>VLOOKUP(C1681,[1]master_data!$A$2:$E$495,2,FALSE)</f>
        <v xml:space="preserve"> CHANNA RED BARITO K</v>
      </c>
      <c r="E1681" s="5">
        <v>4</v>
      </c>
      <c r="F1681" s="5">
        <f>VLOOKUP(C1681,[1]master_data!$A$2:$E$495,3,FALSE)</f>
        <v>45000</v>
      </c>
      <c r="G1681" s="5">
        <f>VLOOKUP(C1681,[1]master_data!$A$2:$E$495,4,FALSE)</f>
        <v>100000</v>
      </c>
      <c r="H1681" s="5">
        <f t="shared" si="84"/>
        <v>180000</v>
      </c>
      <c r="I1681" s="5">
        <f t="shared" si="85"/>
        <v>400000</v>
      </c>
      <c r="J1681" s="5">
        <f t="shared" si="86"/>
        <v>220000</v>
      </c>
      <c r="K1681" s="5" t="str">
        <f>VLOOKUP(C1681,[1]master_data!$A$2:$E$495,5,FALSE)</f>
        <v>Ikan</v>
      </c>
      <c r="L1681" s="5" t="s">
        <v>471</v>
      </c>
    </row>
    <row r="1682" spans="1:12" ht="12" customHeight="1" x14ac:dyDescent="0.25">
      <c r="A1682" s="6">
        <v>44744</v>
      </c>
      <c r="B1682" s="1">
        <v>2202881</v>
      </c>
      <c r="C1682" s="5" t="s">
        <v>396</v>
      </c>
      <c r="D1682" s="5" t="str">
        <f>VLOOKUP(C1682,[1]master_data!$A$2:$E$495,2,FALSE)</f>
        <v>ALGA EATER</v>
      </c>
      <c r="E1682" s="5">
        <v>30</v>
      </c>
      <c r="F1682" s="5">
        <f>VLOOKUP(C1682,[1]master_data!$A$2:$E$495,3,FALSE)</f>
        <v>1750</v>
      </c>
      <c r="G1682" s="5">
        <f>VLOOKUP(C1682,[1]master_data!$A$2:$E$495,4,FALSE)</f>
        <v>5000</v>
      </c>
      <c r="H1682" s="5">
        <f t="shared" si="84"/>
        <v>52500</v>
      </c>
      <c r="I1682" s="5">
        <f t="shared" si="85"/>
        <v>150000</v>
      </c>
      <c r="J1682" s="5">
        <f t="shared" si="86"/>
        <v>97500</v>
      </c>
      <c r="K1682" s="5" t="str">
        <f>VLOOKUP(C1682,[1]master_data!$A$2:$E$495,5,FALSE)</f>
        <v>Ikan</v>
      </c>
      <c r="L1682" s="5" t="s">
        <v>471</v>
      </c>
    </row>
    <row r="1683" spans="1:12" ht="12" customHeight="1" x14ac:dyDescent="0.25">
      <c r="A1683" s="6">
        <v>44744</v>
      </c>
      <c r="B1683" s="1">
        <v>2202880</v>
      </c>
      <c r="C1683" s="5" t="s">
        <v>447</v>
      </c>
      <c r="D1683" s="5" t="str">
        <f>VLOOKUP(C1683,[1]master_data!$A$2:$E$495,2,FALSE)</f>
        <v>REDFIN ALBINO</v>
      </c>
      <c r="E1683" s="5">
        <v>10</v>
      </c>
      <c r="F1683" s="5">
        <f>VLOOKUP(C1683,[1]master_data!$A$2:$E$495,3,FALSE)</f>
        <v>1500</v>
      </c>
      <c r="G1683" s="5">
        <f>VLOOKUP(C1683,[1]master_data!$A$2:$E$495,4,FALSE)</f>
        <v>4000</v>
      </c>
      <c r="H1683" s="5">
        <f t="shared" si="84"/>
        <v>15000</v>
      </c>
      <c r="I1683" s="5">
        <f t="shared" si="85"/>
        <v>40000</v>
      </c>
      <c r="J1683" s="5">
        <f t="shared" si="86"/>
        <v>25000</v>
      </c>
      <c r="K1683" s="5" t="str">
        <f>VLOOKUP(C1683,[1]master_data!$A$2:$E$495,5,FALSE)</f>
        <v>Ikan</v>
      </c>
      <c r="L1683" s="5" t="s">
        <v>471</v>
      </c>
    </row>
    <row r="1684" spans="1:12" ht="12" customHeight="1" x14ac:dyDescent="0.25">
      <c r="A1684" s="6">
        <v>44744</v>
      </c>
      <c r="B1684" s="1">
        <v>2202879</v>
      </c>
      <c r="C1684" s="5" t="s">
        <v>453</v>
      </c>
      <c r="D1684" s="5" t="str">
        <f>VLOOKUP(C1684,[1]master_data!$A$2:$E$495,2,FALSE)</f>
        <v>SYNODONTIS K</v>
      </c>
      <c r="E1684" s="5">
        <v>15</v>
      </c>
      <c r="F1684" s="5">
        <f>VLOOKUP(C1684,[1]master_data!$A$2:$E$495,3,FALSE)</f>
        <v>1500</v>
      </c>
      <c r="G1684" s="5">
        <f>VLOOKUP(C1684,[1]master_data!$A$2:$E$495,4,FALSE)</f>
        <v>5000</v>
      </c>
      <c r="H1684" s="5">
        <f t="shared" si="84"/>
        <v>22500</v>
      </c>
      <c r="I1684" s="5">
        <f t="shared" si="85"/>
        <v>75000</v>
      </c>
      <c r="J1684" s="5">
        <f t="shared" si="86"/>
        <v>52500</v>
      </c>
      <c r="K1684" s="5" t="str">
        <f>VLOOKUP(C1684,[1]master_data!$A$2:$E$495,5,FALSE)</f>
        <v>Ikan</v>
      </c>
      <c r="L1684" s="5" t="s">
        <v>471</v>
      </c>
    </row>
    <row r="1685" spans="1:12" ht="12" customHeight="1" x14ac:dyDescent="0.25">
      <c r="A1685" s="6">
        <v>44744</v>
      </c>
      <c r="B1685" s="1">
        <v>2202878</v>
      </c>
      <c r="C1685" s="5" t="s">
        <v>457</v>
      </c>
      <c r="D1685" s="5" t="str">
        <f>VLOOKUP(C1685,[1]master_data!$A$2:$E$495,2,FALSE)</f>
        <v>ZEBRA PINK</v>
      </c>
      <c r="E1685" s="5">
        <v>10</v>
      </c>
      <c r="F1685" s="5">
        <f>VLOOKUP(C1685,[1]master_data!$A$2:$E$495,3,FALSE)</f>
        <v>800</v>
      </c>
      <c r="G1685" s="5">
        <f>VLOOKUP(C1685,[1]master_data!$A$2:$E$495,4,FALSE)</f>
        <v>2000</v>
      </c>
      <c r="H1685" s="5">
        <f t="shared" si="84"/>
        <v>8000</v>
      </c>
      <c r="I1685" s="5">
        <f t="shared" si="85"/>
        <v>20000</v>
      </c>
      <c r="J1685" s="5">
        <f t="shared" si="86"/>
        <v>12000</v>
      </c>
      <c r="K1685" s="5" t="str">
        <f>VLOOKUP(C1685,[1]master_data!$A$2:$E$495,5,FALSE)</f>
        <v>Ikan</v>
      </c>
      <c r="L1685" s="5" t="s">
        <v>471</v>
      </c>
    </row>
    <row r="1686" spans="1:12" ht="12" customHeight="1" x14ac:dyDescent="0.25">
      <c r="A1686" s="6">
        <v>44743</v>
      </c>
      <c r="B1686" s="1">
        <v>2202877</v>
      </c>
      <c r="C1686" s="5" t="s">
        <v>462</v>
      </c>
      <c r="D1686" s="5" t="str">
        <f>VLOOKUP(C1686,[1]master_data!$A$2:$E$495,2,FALSE)</f>
        <v>SEPAT ALBINO</v>
      </c>
      <c r="E1686" s="5">
        <v>20</v>
      </c>
      <c r="F1686" s="5">
        <f>VLOOKUP(C1686,[1]master_data!$A$2:$E$495,3,FALSE)</f>
        <v>2000</v>
      </c>
      <c r="G1686" s="5">
        <f>VLOOKUP(C1686,[1]master_data!$A$2:$E$495,4,FALSE)</f>
        <v>5000</v>
      </c>
      <c r="H1686" s="5">
        <f t="shared" si="84"/>
        <v>40000</v>
      </c>
      <c r="I1686" s="5">
        <f t="shared" si="85"/>
        <v>100000</v>
      </c>
      <c r="J1686" s="5">
        <f t="shared" si="86"/>
        <v>60000</v>
      </c>
      <c r="K1686" s="5" t="str">
        <f>VLOOKUP(C1686,[1]master_data!$A$2:$E$495,5,FALSE)</f>
        <v>Ikan</v>
      </c>
      <c r="L1686" s="5" t="s">
        <v>471</v>
      </c>
    </row>
    <row r="1687" spans="1:12" ht="12" customHeight="1" x14ac:dyDescent="0.25">
      <c r="A1687" s="6">
        <v>44743</v>
      </c>
      <c r="B1687" s="1">
        <v>2202876</v>
      </c>
      <c r="C1687" s="5" t="s">
        <v>248</v>
      </c>
      <c r="D1687" s="5" t="str">
        <f>VLOOKUP(C1687,[1]master_data!$A$2:$E$495,2,FALSE)</f>
        <v>MATLINE BLUE</v>
      </c>
      <c r="E1687" s="5">
        <v>25</v>
      </c>
      <c r="F1687" s="5">
        <f>VLOOKUP(C1687,[1]master_data!$A$2:$E$495,3,FALSE)</f>
        <v>7000</v>
      </c>
      <c r="G1687" s="5">
        <f>VLOOKUP(C1687,[1]master_data!$A$2:$E$495,4,FALSE)</f>
        <v>10000</v>
      </c>
      <c r="H1687" s="5">
        <f t="shared" si="84"/>
        <v>175000</v>
      </c>
      <c r="I1687" s="5">
        <f t="shared" si="85"/>
        <v>250000</v>
      </c>
      <c r="J1687" s="5">
        <f t="shared" si="86"/>
        <v>75000</v>
      </c>
      <c r="K1687" s="5" t="str">
        <f>VLOOKUP(C1687,[1]master_data!$A$2:$E$495,5,FALSE)</f>
        <v>Aksesoris</v>
      </c>
      <c r="L1687" s="5" t="s">
        <v>471</v>
      </c>
    </row>
    <row r="1688" spans="1:12" ht="12" customHeight="1" x14ac:dyDescent="0.25">
      <c r="A1688" s="6">
        <v>44743</v>
      </c>
      <c r="B1688" s="1">
        <v>2202875</v>
      </c>
      <c r="C1688" s="5" t="s">
        <v>79</v>
      </c>
      <c r="D1688" s="5" t="str">
        <f>VLOOKUP(C1688,[1]master_data!$A$2:$E$495,2,FALSE)</f>
        <v>MESIN KIYOSAKI 107A</v>
      </c>
      <c r="E1688" s="5">
        <v>1</v>
      </c>
      <c r="F1688" s="5">
        <f>VLOOKUP(C1688,[1]master_data!$A$2:$E$495,3,FALSE)</f>
        <v>250000</v>
      </c>
      <c r="G1688" s="5">
        <f>VLOOKUP(C1688,[1]master_data!$A$2:$E$495,4,FALSE)</f>
        <v>300000</v>
      </c>
      <c r="H1688" s="5">
        <f t="shared" si="84"/>
        <v>250000</v>
      </c>
      <c r="I1688" s="5">
        <f t="shared" si="85"/>
        <v>300000</v>
      </c>
      <c r="J1688" s="5">
        <f t="shared" si="86"/>
        <v>50000</v>
      </c>
      <c r="K1688" s="5" t="str">
        <f>VLOOKUP(C1688,[1]master_data!$A$2:$E$495,5,FALSE)</f>
        <v>Aksesoris</v>
      </c>
      <c r="L1688" s="5" t="s">
        <v>471</v>
      </c>
    </row>
    <row r="1689" spans="1:12" ht="12" customHeight="1" x14ac:dyDescent="0.25">
      <c r="A1689" s="6">
        <v>44743</v>
      </c>
      <c r="B1689" s="1">
        <v>2202874</v>
      </c>
      <c r="C1689" s="5" t="s">
        <v>187</v>
      </c>
      <c r="D1689" s="5" t="str">
        <f>VLOOKUP(C1689,[1]master_data!$A$2:$E$495,2,FALSE)</f>
        <v>LED KANDILA PRO RED ECO 20 CM</v>
      </c>
      <c r="E1689" s="5">
        <v>10</v>
      </c>
      <c r="F1689" s="5">
        <f>VLOOKUP(C1689,[1]master_data!$A$2:$E$495,3,FALSE)</f>
        <v>35000</v>
      </c>
      <c r="G1689" s="5">
        <f>VLOOKUP(C1689,[1]master_data!$A$2:$E$495,4,FALSE)</f>
        <v>55000</v>
      </c>
      <c r="H1689" s="5">
        <f t="shared" si="84"/>
        <v>350000</v>
      </c>
      <c r="I1689" s="5">
        <f t="shared" si="85"/>
        <v>550000</v>
      </c>
      <c r="J1689" s="5">
        <f t="shared" si="86"/>
        <v>200000</v>
      </c>
      <c r="K1689" s="5" t="str">
        <f>VLOOKUP(C1689,[1]master_data!$A$2:$E$495,5,FALSE)</f>
        <v>Aksesoris</v>
      </c>
      <c r="L1689" s="5" t="s">
        <v>471</v>
      </c>
    </row>
    <row r="1690" spans="1:12" ht="12" customHeight="1" x14ac:dyDescent="0.25">
      <c r="A1690" s="6">
        <v>44743</v>
      </c>
      <c r="B1690" s="1">
        <v>2202873</v>
      </c>
      <c r="C1690" s="5" t="s">
        <v>449</v>
      </c>
      <c r="D1690" s="5" t="str">
        <f>VLOOKUP(C1690,[1]master_data!$A$2:$E$495,2,FALSE)</f>
        <v>CHANNA RED BARITO B</v>
      </c>
      <c r="E1690" s="5">
        <v>2</v>
      </c>
      <c r="F1690" s="5">
        <f>VLOOKUP(C1690,[1]master_data!$A$2:$E$495,3,FALSE)</f>
        <v>120000</v>
      </c>
      <c r="G1690" s="5">
        <f>VLOOKUP(C1690,[1]master_data!$A$2:$E$495,4,FALSE)</f>
        <v>200000</v>
      </c>
      <c r="H1690" s="5">
        <f t="shared" si="84"/>
        <v>240000</v>
      </c>
      <c r="I1690" s="5">
        <f t="shared" si="85"/>
        <v>400000</v>
      </c>
      <c r="J1690" s="5">
        <f t="shared" si="86"/>
        <v>160000</v>
      </c>
      <c r="K1690" s="5" t="str">
        <f>VLOOKUP(C1690,[1]master_data!$A$2:$E$495,5,FALSE)</f>
        <v>Ikan</v>
      </c>
      <c r="L1690" s="5" t="s">
        <v>471</v>
      </c>
    </row>
    <row r="1691" spans="1:12" ht="12" customHeight="1" x14ac:dyDescent="0.25">
      <c r="A1691" s="6">
        <v>44742</v>
      </c>
      <c r="B1691" s="1">
        <v>2202872</v>
      </c>
      <c r="C1691" s="5" t="s">
        <v>453</v>
      </c>
      <c r="D1691" s="5" t="str">
        <f>VLOOKUP(C1691,[1]master_data!$A$2:$E$495,2,FALSE)</f>
        <v>SYNODONTIS K</v>
      </c>
      <c r="E1691" s="5">
        <v>30</v>
      </c>
      <c r="F1691" s="5">
        <f>VLOOKUP(C1691,[1]master_data!$A$2:$E$495,3,FALSE)</f>
        <v>1500</v>
      </c>
      <c r="G1691" s="5">
        <f>VLOOKUP(C1691,[1]master_data!$A$2:$E$495,4,FALSE)</f>
        <v>5000</v>
      </c>
      <c r="H1691" s="5">
        <f t="shared" si="84"/>
        <v>45000</v>
      </c>
      <c r="I1691" s="5">
        <f t="shared" si="85"/>
        <v>150000</v>
      </c>
      <c r="J1691" s="5">
        <f t="shared" si="86"/>
        <v>105000</v>
      </c>
      <c r="K1691" s="5" t="str">
        <f>VLOOKUP(C1691,[1]master_data!$A$2:$E$495,5,FALSE)</f>
        <v>Ikan</v>
      </c>
      <c r="L1691" s="5" t="s">
        <v>471</v>
      </c>
    </row>
    <row r="1692" spans="1:12" ht="12" customHeight="1" x14ac:dyDescent="0.25">
      <c r="A1692" s="6">
        <v>44742</v>
      </c>
      <c r="B1692" s="1">
        <v>2202871</v>
      </c>
      <c r="C1692" s="5" t="s">
        <v>130</v>
      </c>
      <c r="D1692" s="5" t="str">
        <f>VLOOKUP(C1692,[1]master_data!$A$2:$E$495,2,FALSE)</f>
        <v>LED YAMANO S600</v>
      </c>
      <c r="E1692" s="5">
        <v>10</v>
      </c>
      <c r="F1692" s="5">
        <f>VLOOKUP(C1692,[1]master_data!$A$2:$E$495,3,FALSE)</f>
        <v>60000</v>
      </c>
      <c r="G1692" s="5">
        <f>VLOOKUP(C1692,[1]master_data!$A$2:$E$495,4,FALSE)</f>
        <v>85000</v>
      </c>
      <c r="H1692" s="5">
        <f t="shared" si="84"/>
        <v>600000</v>
      </c>
      <c r="I1692" s="5">
        <f t="shared" si="85"/>
        <v>850000</v>
      </c>
      <c r="J1692" s="5">
        <f t="shared" si="86"/>
        <v>250000</v>
      </c>
      <c r="K1692" s="5" t="str">
        <f>VLOOKUP(C1692,[1]master_data!$A$2:$E$495,5,FALSE)</f>
        <v>Aksesoris</v>
      </c>
      <c r="L1692" s="5" t="s">
        <v>471</v>
      </c>
    </row>
    <row r="1693" spans="1:12" ht="12" customHeight="1" x14ac:dyDescent="0.25">
      <c r="A1693" s="6">
        <v>44742</v>
      </c>
      <c r="B1693" s="1">
        <v>2202870</v>
      </c>
      <c r="C1693" s="5" t="s">
        <v>446</v>
      </c>
      <c r="D1693" s="5" t="str">
        <f>VLOOKUP(C1693,[1]master_data!$A$2:$E$495,2,FALSE)</f>
        <v>REDFIN HITAM</v>
      </c>
      <c r="E1693" s="5">
        <v>30</v>
      </c>
      <c r="F1693" s="5">
        <f>VLOOKUP(C1693,[1]master_data!$A$2:$E$495,3,FALSE)</f>
        <v>1500</v>
      </c>
      <c r="G1693" s="5">
        <f>VLOOKUP(C1693,[1]master_data!$A$2:$E$495,4,FALSE)</f>
        <v>4000</v>
      </c>
      <c r="H1693" s="5">
        <f t="shared" si="84"/>
        <v>45000</v>
      </c>
      <c r="I1693" s="5">
        <f t="shared" si="85"/>
        <v>120000</v>
      </c>
      <c r="J1693" s="5">
        <f t="shared" si="86"/>
        <v>75000</v>
      </c>
      <c r="K1693" s="5" t="str">
        <f>VLOOKUP(C1693,[1]master_data!$A$2:$E$495,5,FALSE)</f>
        <v>Ikan</v>
      </c>
      <c r="L1693" s="5" t="s">
        <v>471</v>
      </c>
    </row>
    <row r="1694" spans="1:12" ht="12" customHeight="1" x14ac:dyDescent="0.25">
      <c r="A1694" s="6">
        <v>44742</v>
      </c>
      <c r="B1694" s="1">
        <v>2202869</v>
      </c>
      <c r="C1694" s="5" t="s">
        <v>424</v>
      </c>
      <c r="D1694" s="5" t="str">
        <f>VLOOKUP(C1694,[1]master_data!$A$2:$E$495,2,FALSE)</f>
        <v>KOI SLAYER B</v>
      </c>
      <c r="E1694" s="5">
        <v>2</v>
      </c>
      <c r="F1694" s="5">
        <f>VLOOKUP(C1694,[1]master_data!$A$2:$E$495,3,FALSE)</f>
        <v>8000</v>
      </c>
      <c r="G1694" s="5">
        <f>VLOOKUP(C1694,[1]master_data!$A$2:$E$495,4,FALSE)</f>
        <v>20000</v>
      </c>
      <c r="H1694" s="5">
        <f t="shared" si="84"/>
        <v>16000</v>
      </c>
      <c r="I1694" s="5">
        <f t="shared" si="85"/>
        <v>40000</v>
      </c>
      <c r="J1694" s="5">
        <f t="shared" si="86"/>
        <v>24000</v>
      </c>
      <c r="K1694" s="5" t="str">
        <f>VLOOKUP(C1694,[1]master_data!$A$2:$E$495,5,FALSE)</f>
        <v>Ikan</v>
      </c>
      <c r="L1694" s="5" t="s">
        <v>471</v>
      </c>
    </row>
    <row r="1695" spans="1:12" ht="12" customHeight="1" x14ac:dyDescent="0.25">
      <c r="A1695" s="6">
        <v>44742</v>
      </c>
      <c r="B1695" s="1">
        <v>2202868</v>
      </c>
      <c r="C1695" s="5" t="s">
        <v>174</v>
      </c>
      <c r="D1695" s="5" t="str">
        <f>VLOOKUP(C1695,[1]master_data!$A$2:$E$495,2,FALSE)</f>
        <v>LED AQURA 40 CM</v>
      </c>
      <c r="E1695" s="5">
        <v>1</v>
      </c>
      <c r="F1695" s="5">
        <f>VLOOKUP(C1695,[1]master_data!$A$2:$E$495,3,FALSE)</f>
        <v>21000</v>
      </c>
      <c r="G1695" s="5">
        <f>VLOOKUP(C1695,[1]master_data!$A$2:$E$495,4,FALSE)</f>
        <v>40000</v>
      </c>
      <c r="H1695" s="5">
        <f t="shared" si="84"/>
        <v>21000</v>
      </c>
      <c r="I1695" s="5">
        <f t="shared" si="85"/>
        <v>40000</v>
      </c>
      <c r="J1695" s="5">
        <f t="shared" si="86"/>
        <v>19000</v>
      </c>
      <c r="K1695" s="5" t="str">
        <f>VLOOKUP(C1695,[1]master_data!$A$2:$E$495,5,FALSE)</f>
        <v>Aksesoris</v>
      </c>
      <c r="L1695" s="5" t="s">
        <v>471</v>
      </c>
    </row>
    <row r="1696" spans="1:12" ht="12" customHeight="1" x14ac:dyDescent="0.25">
      <c r="A1696" s="6">
        <v>44742</v>
      </c>
      <c r="B1696" s="1">
        <v>2202867</v>
      </c>
      <c r="C1696" s="5" t="s">
        <v>228</v>
      </c>
      <c r="D1696" s="5" t="str">
        <f>VLOOKUP(C1696,[1]master_data!$A$2:$E$495,2,FALSE)</f>
        <v>HOKKY KOI WHITE</v>
      </c>
      <c r="E1696" s="5">
        <v>1</v>
      </c>
      <c r="F1696" s="5">
        <f>VLOOKUP(C1696,[1]master_data!$A$2:$E$495,3,FALSE)</f>
        <v>48000</v>
      </c>
      <c r="G1696" s="5">
        <f>VLOOKUP(C1696,[1]master_data!$A$2:$E$495,4,FALSE)</f>
        <v>60000</v>
      </c>
      <c r="H1696" s="5">
        <f t="shared" si="84"/>
        <v>48000</v>
      </c>
      <c r="I1696" s="5">
        <f t="shared" si="85"/>
        <v>60000</v>
      </c>
      <c r="J1696" s="5">
        <f t="shared" si="86"/>
        <v>12000</v>
      </c>
      <c r="K1696" s="5" t="str">
        <f>VLOOKUP(C1696,[1]master_data!$A$2:$E$495,5,FALSE)</f>
        <v>Aksesoris</v>
      </c>
      <c r="L1696" s="5" t="s">
        <v>471</v>
      </c>
    </row>
    <row r="1697" spans="1:12" ht="12" customHeight="1" x14ac:dyDescent="0.25">
      <c r="A1697" s="6">
        <v>44741</v>
      </c>
      <c r="B1697" s="1">
        <v>2202866</v>
      </c>
      <c r="C1697" s="5" t="s">
        <v>450</v>
      </c>
      <c r="D1697" s="5" t="str">
        <f>VLOOKUP(C1697,[1]master_data!$A$2:$E$495,2,FALSE)</f>
        <v>SUMATRA BIASA</v>
      </c>
      <c r="E1697" s="5">
        <v>3</v>
      </c>
      <c r="F1697" s="5">
        <f>VLOOKUP(C1697,[1]master_data!$A$2:$E$495,3,FALSE)</f>
        <v>800</v>
      </c>
      <c r="G1697" s="5">
        <f>VLOOKUP(C1697,[1]master_data!$A$2:$E$495,4,FALSE)</f>
        <v>2000</v>
      </c>
      <c r="H1697" s="5">
        <f t="shared" si="84"/>
        <v>2400</v>
      </c>
      <c r="I1697" s="5">
        <f t="shared" si="85"/>
        <v>6000</v>
      </c>
      <c r="J1697" s="5">
        <f t="shared" si="86"/>
        <v>3600</v>
      </c>
      <c r="K1697" s="5" t="str">
        <f>VLOOKUP(C1697,[1]master_data!$A$2:$E$495,5,FALSE)</f>
        <v>Ikan</v>
      </c>
      <c r="L1697" s="5" t="s">
        <v>471</v>
      </c>
    </row>
    <row r="1698" spans="1:12" ht="12" customHeight="1" x14ac:dyDescent="0.25">
      <c r="A1698" s="6">
        <v>44741</v>
      </c>
      <c r="B1698" s="1">
        <v>2202865</v>
      </c>
      <c r="C1698" s="5" t="s">
        <v>165</v>
      </c>
      <c r="D1698" s="5" t="str">
        <f>VLOOKUP(C1698,[1]master_data!$A$2:$E$495,2,FALSE)</f>
        <v>LED KANDILA VIBRANT 100 CM</v>
      </c>
      <c r="E1698" s="5">
        <v>1</v>
      </c>
      <c r="F1698" s="5">
        <f>VLOOKUP(C1698,[1]master_data!$A$2:$E$495,3,FALSE)</f>
        <v>152500</v>
      </c>
      <c r="G1698" s="5">
        <f>VLOOKUP(C1698,[1]master_data!$A$2:$E$495,4,FALSE)</f>
        <v>200000</v>
      </c>
      <c r="H1698" s="5">
        <f t="shared" si="84"/>
        <v>152500</v>
      </c>
      <c r="I1698" s="5">
        <f t="shared" si="85"/>
        <v>200000</v>
      </c>
      <c r="J1698" s="5">
        <f t="shared" si="86"/>
        <v>47500</v>
      </c>
      <c r="K1698" s="5" t="str">
        <f>VLOOKUP(C1698,[1]master_data!$A$2:$E$495,5,FALSE)</f>
        <v>Aksesoris</v>
      </c>
      <c r="L1698" s="5" t="s">
        <v>471</v>
      </c>
    </row>
    <row r="1699" spans="1:12" ht="12" customHeight="1" x14ac:dyDescent="0.25">
      <c r="A1699" s="6">
        <v>44741</v>
      </c>
      <c r="B1699" s="1">
        <v>2202864</v>
      </c>
      <c r="C1699" s="5" t="s">
        <v>427</v>
      </c>
      <c r="D1699" s="5" t="str">
        <f>VLOOKUP(C1699,[1]master_data!$A$2:$E$495,2,FALSE)</f>
        <v>LEMON</v>
      </c>
      <c r="E1699" s="5">
        <v>25</v>
      </c>
      <c r="F1699" s="5">
        <f>VLOOKUP(C1699,[1]master_data!$A$2:$E$495,3,FALSE)</f>
        <v>1000</v>
      </c>
      <c r="G1699" s="5">
        <f>VLOOKUP(C1699,[1]master_data!$A$2:$E$495,4,FALSE)</f>
        <v>2000</v>
      </c>
      <c r="H1699" s="5">
        <f t="shared" si="84"/>
        <v>25000</v>
      </c>
      <c r="I1699" s="5">
        <f t="shared" si="85"/>
        <v>50000</v>
      </c>
      <c r="J1699" s="5">
        <f t="shared" si="86"/>
        <v>25000</v>
      </c>
      <c r="K1699" s="5" t="str">
        <f>VLOOKUP(C1699,[1]master_data!$A$2:$E$495,5,FALSE)</f>
        <v>Ikan</v>
      </c>
      <c r="L1699" s="5" t="s">
        <v>471</v>
      </c>
    </row>
    <row r="1700" spans="1:12" ht="12" customHeight="1" x14ac:dyDescent="0.25">
      <c r="A1700" s="6">
        <v>44741</v>
      </c>
      <c r="B1700" s="1">
        <v>2202863</v>
      </c>
      <c r="C1700" s="5" t="s">
        <v>137</v>
      </c>
      <c r="D1700" s="5" t="str">
        <f>VLOOKUP(C1700,[1]master_data!$A$2:$E$495,2,FALSE)</f>
        <v>LAMPU YAMANO UV 20W</v>
      </c>
      <c r="E1700" s="5">
        <v>1</v>
      </c>
      <c r="F1700" s="5">
        <f>VLOOKUP(C1700,[1]master_data!$A$2:$E$495,3,FALSE)</f>
        <v>184000</v>
      </c>
      <c r="G1700" s="5">
        <f>VLOOKUP(C1700,[1]master_data!$A$2:$E$495,4,FALSE)</f>
        <v>225000</v>
      </c>
      <c r="H1700" s="5">
        <f t="shared" si="84"/>
        <v>184000</v>
      </c>
      <c r="I1700" s="5">
        <f t="shared" si="85"/>
        <v>225000</v>
      </c>
      <c r="J1700" s="5">
        <f t="shared" si="86"/>
        <v>41000</v>
      </c>
      <c r="K1700" s="5" t="str">
        <f>VLOOKUP(C1700,[1]master_data!$A$2:$E$495,5,FALSE)</f>
        <v>Aksesoris</v>
      </c>
      <c r="L1700" s="5" t="s">
        <v>471</v>
      </c>
    </row>
    <row r="1701" spans="1:12" ht="12" customHeight="1" x14ac:dyDescent="0.25">
      <c r="A1701" s="6">
        <v>44741</v>
      </c>
      <c r="B1701" s="1">
        <v>2202862</v>
      </c>
      <c r="C1701" s="5" t="s">
        <v>390</v>
      </c>
      <c r="D1701" s="5" t="str">
        <f>VLOOKUP(C1701,[1]master_data!$A$2:$E$495,2,FALSE)</f>
        <v>CHANNA ASIATICA K</v>
      </c>
      <c r="E1701" s="5">
        <v>10</v>
      </c>
      <c r="F1701" s="5">
        <f>VLOOKUP(C1701,[1]master_data!$A$2:$E$495,3,FALSE)</f>
        <v>10000</v>
      </c>
      <c r="G1701" s="5">
        <f>VLOOKUP(C1701,[1]master_data!$A$2:$E$495,4,FALSE)</f>
        <v>40000</v>
      </c>
      <c r="H1701" s="5">
        <f t="shared" si="84"/>
        <v>100000</v>
      </c>
      <c r="I1701" s="5">
        <f t="shared" si="85"/>
        <v>400000</v>
      </c>
      <c r="J1701" s="5">
        <f t="shared" si="86"/>
        <v>300000</v>
      </c>
      <c r="K1701" s="5" t="str">
        <f>VLOOKUP(C1701,[1]master_data!$A$2:$E$495,5,FALSE)</f>
        <v>Ikan</v>
      </c>
      <c r="L1701" s="5" t="s">
        <v>471</v>
      </c>
    </row>
    <row r="1702" spans="1:12" ht="12" customHeight="1" x14ac:dyDescent="0.25">
      <c r="A1702" s="6">
        <v>44741</v>
      </c>
      <c r="B1702" s="1">
        <v>2202861</v>
      </c>
      <c r="C1702" s="5" t="s">
        <v>75</v>
      </c>
      <c r="D1702" s="5" t="str">
        <f>VLOOKUP(C1702,[1]master_data!$A$2:$E$495,2,FALSE)</f>
        <v>MESIN KIYOSAKI 1600</v>
      </c>
      <c r="E1702" s="5">
        <v>1</v>
      </c>
      <c r="F1702" s="5">
        <f>VLOOKUP(C1702,[1]master_data!$A$2:$E$495,3,FALSE)</f>
        <v>35000</v>
      </c>
      <c r="G1702" s="5">
        <f>VLOOKUP(C1702,[1]master_data!$A$2:$E$495,4,FALSE)</f>
        <v>65000</v>
      </c>
      <c r="H1702" s="5">
        <f t="shared" si="84"/>
        <v>35000</v>
      </c>
      <c r="I1702" s="5">
        <f t="shared" si="85"/>
        <v>65000</v>
      </c>
      <c r="J1702" s="5">
        <f t="shared" si="86"/>
        <v>30000</v>
      </c>
      <c r="K1702" s="5" t="str">
        <f>VLOOKUP(C1702,[1]master_data!$A$2:$E$495,5,FALSE)</f>
        <v>Aksesoris</v>
      </c>
      <c r="L1702" s="5" t="s">
        <v>471</v>
      </c>
    </row>
    <row r="1703" spans="1:12" ht="12" customHeight="1" x14ac:dyDescent="0.25">
      <c r="A1703" s="6">
        <v>44740</v>
      </c>
      <c r="B1703" s="1">
        <v>2202860</v>
      </c>
      <c r="C1703" s="5" t="s">
        <v>461</v>
      </c>
      <c r="D1703" s="5" t="str">
        <f>VLOOKUP(C1703,[1]master_data!$A$2:$E$495,2,FALSE)</f>
        <v>SEPAT</v>
      </c>
      <c r="E1703" s="5">
        <v>15</v>
      </c>
      <c r="F1703" s="5">
        <f>VLOOKUP(C1703,[1]master_data!$A$2:$E$495,3,FALSE)</f>
        <v>600</v>
      </c>
      <c r="G1703" s="5">
        <f>VLOOKUP(C1703,[1]master_data!$A$2:$E$495,4,FALSE)</f>
        <v>2000</v>
      </c>
      <c r="H1703" s="5">
        <f t="shared" si="84"/>
        <v>9000</v>
      </c>
      <c r="I1703" s="5">
        <f t="shared" si="85"/>
        <v>30000</v>
      </c>
      <c r="J1703" s="5">
        <f t="shared" si="86"/>
        <v>21000</v>
      </c>
      <c r="K1703" s="5" t="str">
        <f>VLOOKUP(C1703,[1]master_data!$A$2:$E$495,5,FALSE)</f>
        <v>Ikan</v>
      </c>
      <c r="L1703" s="5" t="s">
        <v>471</v>
      </c>
    </row>
    <row r="1704" spans="1:12" ht="12" customHeight="1" x14ac:dyDescent="0.25">
      <c r="A1704" s="6">
        <v>44740</v>
      </c>
      <c r="B1704" s="1">
        <v>2202859</v>
      </c>
      <c r="C1704" s="5" t="s">
        <v>390</v>
      </c>
      <c r="D1704" s="5" t="str">
        <f>VLOOKUP(C1704,[1]master_data!$A$2:$E$495,2,FALSE)</f>
        <v>CHANNA ASIATICA K</v>
      </c>
      <c r="E1704" s="5">
        <v>1</v>
      </c>
      <c r="F1704" s="5">
        <f>VLOOKUP(C1704,[1]master_data!$A$2:$E$495,3,FALSE)</f>
        <v>10000</v>
      </c>
      <c r="G1704" s="5">
        <f>VLOOKUP(C1704,[1]master_data!$A$2:$E$495,4,FALSE)</f>
        <v>40000</v>
      </c>
      <c r="H1704" s="5">
        <f t="shared" si="84"/>
        <v>10000</v>
      </c>
      <c r="I1704" s="5">
        <f t="shared" si="85"/>
        <v>40000</v>
      </c>
      <c r="J1704" s="5">
        <f t="shared" si="86"/>
        <v>30000</v>
      </c>
      <c r="K1704" s="5" t="str">
        <f>VLOOKUP(C1704,[1]master_data!$A$2:$E$495,5,FALSE)</f>
        <v>Ikan</v>
      </c>
      <c r="L1704" s="5" t="s">
        <v>471</v>
      </c>
    </row>
    <row r="1705" spans="1:12" ht="12" customHeight="1" x14ac:dyDescent="0.25">
      <c r="A1705" s="6">
        <v>44740</v>
      </c>
      <c r="B1705" s="1">
        <v>2202858</v>
      </c>
      <c r="C1705" s="5" t="s">
        <v>438</v>
      </c>
      <c r="D1705" s="5" t="str">
        <f>VLOOKUP(C1705,[1]master_data!$A$2:$E$495,2,FALSE)</f>
        <v>NENTINEN</v>
      </c>
      <c r="E1705" s="5">
        <v>30</v>
      </c>
      <c r="F1705" s="5">
        <f>VLOOKUP(C1705,[1]master_data!$A$2:$E$495,3,FALSE)</f>
        <v>1000</v>
      </c>
      <c r="G1705" s="5">
        <f>VLOOKUP(C1705,[1]master_data!$A$2:$E$495,4,FALSE)</f>
        <v>2500</v>
      </c>
      <c r="H1705" s="5">
        <f t="shared" si="84"/>
        <v>30000</v>
      </c>
      <c r="I1705" s="5">
        <f t="shared" si="85"/>
        <v>75000</v>
      </c>
      <c r="J1705" s="5">
        <f t="shared" si="86"/>
        <v>45000</v>
      </c>
      <c r="K1705" s="5" t="str">
        <f>VLOOKUP(C1705,[1]master_data!$A$2:$E$495,5,FALSE)</f>
        <v>Ikan</v>
      </c>
      <c r="L1705" s="5" t="s">
        <v>471</v>
      </c>
    </row>
    <row r="1706" spans="1:12" ht="12" customHeight="1" x14ac:dyDescent="0.25">
      <c r="A1706" s="6">
        <v>44740</v>
      </c>
      <c r="B1706" s="1">
        <v>2202857</v>
      </c>
      <c r="C1706" s="5" t="s">
        <v>396</v>
      </c>
      <c r="D1706" s="5" t="str">
        <f>VLOOKUP(C1706,[1]master_data!$A$2:$E$495,2,FALSE)</f>
        <v>ALGA EATER</v>
      </c>
      <c r="E1706" s="5">
        <v>30</v>
      </c>
      <c r="F1706" s="5">
        <f>VLOOKUP(C1706,[1]master_data!$A$2:$E$495,3,FALSE)</f>
        <v>1750</v>
      </c>
      <c r="G1706" s="5">
        <f>VLOOKUP(C1706,[1]master_data!$A$2:$E$495,4,FALSE)</f>
        <v>5000</v>
      </c>
      <c r="H1706" s="5">
        <f t="shared" si="84"/>
        <v>52500</v>
      </c>
      <c r="I1706" s="5">
        <f t="shared" si="85"/>
        <v>150000</v>
      </c>
      <c r="J1706" s="5">
        <f t="shared" si="86"/>
        <v>97500</v>
      </c>
      <c r="K1706" s="5" t="str">
        <f>VLOOKUP(C1706,[1]master_data!$A$2:$E$495,5,FALSE)</f>
        <v>Ikan</v>
      </c>
      <c r="L1706" s="5" t="s">
        <v>471</v>
      </c>
    </row>
    <row r="1707" spans="1:12" ht="12" customHeight="1" x14ac:dyDescent="0.25">
      <c r="A1707" s="6">
        <v>44740</v>
      </c>
      <c r="B1707" s="1">
        <v>2202856</v>
      </c>
      <c r="C1707" s="5" t="s">
        <v>362</v>
      </c>
      <c r="D1707" s="5" t="str">
        <f>VLOOKUP(C1707,[1]master_data!$A$2:$E$495,2,FALSE)</f>
        <v>AKUARIUM 50 POLOS</v>
      </c>
      <c r="E1707" s="5">
        <v>1</v>
      </c>
      <c r="F1707" s="5">
        <f>VLOOKUP(C1707,[1]master_data!$A$2:$E$495,3,FALSE)</f>
        <v>100000</v>
      </c>
      <c r="G1707" s="5">
        <f>VLOOKUP(C1707,[1]master_data!$A$2:$E$495,4,FALSE)</f>
        <v>130000</v>
      </c>
      <c r="H1707" s="5">
        <f t="shared" si="84"/>
        <v>100000</v>
      </c>
      <c r="I1707" s="5">
        <f t="shared" si="85"/>
        <v>130000</v>
      </c>
      <c r="J1707" s="5">
        <f t="shared" si="86"/>
        <v>30000</v>
      </c>
      <c r="K1707" s="5" t="str">
        <f>VLOOKUP(C1707,[1]master_data!$A$2:$E$495,5,FALSE)</f>
        <v>Aksesoris</v>
      </c>
      <c r="L1707" s="5" t="s">
        <v>471</v>
      </c>
    </row>
    <row r="1708" spans="1:12" ht="12" customHeight="1" x14ac:dyDescent="0.25">
      <c r="A1708" s="6">
        <v>44740</v>
      </c>
      <c r="B1708" s="1">
        <v>2202855</v>
      </c>
      <c r="C1708" s="5" t="s">
        <v>238</v>
      </c>
      <c r="D1708" s="5" t="str">
        <f>VLOOKUP(C1708,[1]master_data!$A$2:$E$495,2,FALSE)</f>
        <v>MAXI BG</v>
      </c>
      <c r="E1708" s="5">
        <v>5</v>
      </c>
      <c r="F1708" s="5">
        <f>VLOOKUP(C1708,[1]master_data!$A$2:$E$495,3,FALSE)</f>
        <v>12500</v>
      </c>
      <c r="G1708" s="5">
        <f>VLOOKUP(C1708,[1]master_data!$A$2:$E$495,4,FALSE)</f>
        <v>25000</v>
      </c>
      <c r="H1708" s="5">
        <f t="shared" si="84"/>
        <v>62500</v>
      </c>
      <c r="I1708" s="5">
        <f t="shared" si="85"/>
        <v>125000</v>
      </c>
      <c r="J1708" s="5">
        <f t="shared" si="86"/>
        <v>62500</v>
      </c>
      <c r="K1708" s="5" t="str">
        <f>VLOOKUP(C1708,[1]master_data!$A$2:$E$495,5,FALSE)</f>
        <v>Aksesoris</v>
      </c>
      <c r="L1708" s="5" t="s">
        <v>471</v>
      </c>
    </row>
    <row r="1709" spans="1:12" ht="12" customHeight="1" x14ac:dyDescent="0.25">
      <c r="A1709" s="6">
        <v>44740</v>
      </c>
      <c r="B1709" s="1">
        <v>2202854</v>
      </c>
      <c r="C1709" s="5" t="s">
        <v>450</v>
      </c>
      <c r="D1709" s="5" t="str">
        <f>VLOOKUP(C1709,[1]master_data!$A$2:$E$495,2,FALSE)</f>
        <v>SUMATRA BIASA</v>
      </c>
      <c r="E1709" s="5">
        <v>20</v>
      </c>
      <c r="F1709" s="5">
        <f>VLOOKUP(C1709,[1]master_data!$A$2:$E$495,3,FALSE)</f>
        <v>800</v>
      </c>
      <c r="G1709" s="5">
        <f>VLOOKUP(C1709,[1]master_data!$A$2:$E$495,4,FALSE)</f>
        <v>2000</v>
      </c>
      <c r="H1709" s="5">
        <f t="shared" si="84"/>
        <v>16000</v>
      </c>
      <c r="I1709" s="5">
        <f t="shared" si="85"/>
        <v>40000</v>
      </c>
      <c r="J1709" s="5">
        <f t="shared" si="86"/>
        <v>24000</v>
      </c>
      <c r="K1709" s="5" t="str">
        <f>VLOOKUP(C1709,[1]master_data!$A$2:$E$495,5,FALSE)</f>
        <v>Ikan</v>
      </c>
      <c r="L1709" s="5" t="s">
        <v>471</v>
      </c>
    </row>
    <row r="1710" spans="1:12" ht="12" customHeight="1" x14ac:dyDescent="0.25">
      <c r="A1710" s="6">
        <v>44740</v>
      </c>
      <c r="B1710" s="1">
        <v>2202853</v>
      </c>
      <c r="C1710" s="5" t="s">
        <v>460</v>
      </c>
      <c r="D1710" s="5" t="str">
        <f>VLOOKUP(C1710,[1]master_data!$A$2:$E$495,2,FALSE)</f>
        <v>ZEBRA KUNING</v>
      </c>
      <c r="E1710" s="5">
        <v>30</v>
      </c>
      <c r="F1710" s="5">
        <f>VLOOKUP(C1710,[1]master_data!$A$2:$E$495,3,FALSE)</f>
        <v>800</v>
      </c>
      <c r="G1710" s="5">
        <f>VLOOKUP(C1710,[1]master_data!$A$2:$E$495,4,FALSE)</f>
        <v>2000</v>
      </c>
      <c r="H1710" s="5">
        <f t="shared" si="84"/>
        <v>24000</v>
      </c>
      <c r="I1710" s="5">
        <f t="shared" si="85"/>
        <v>60000</v>
      </c>
      <c r="J1710" s="5">
        <f t="shared" si="86"/>
        <v>36000</v>
      </c>
      <c r="K1710" s="5" t="str">
        <f>VLOOKUP(C1710,[1]master_data!$A$2:$E$495,5,FALSE)</f>
        <v>Ikan</v>
      </c>
      <c r="L1710" s="5" t="s">
        <v>471</v>
      </c>
    </row>
    <row r="1711" spans="1:12" ht="12" customHeight="1" x14ac:dyDescent="0.25">
      <c r="A1711" s="6">
        <v>44740</v>
      </c>
      <c r="B1711" s="1">
        <v>2202852</v>
      </c>
      <c r="C1711" s="5" t="s">
        <v>79</v>
      </c>
      <c r="D1711" s="5" t="str">
        <f>VLOOKUP(C1711,[1]master_data!$A$2:$E$495,2,FALSE)</f>
        <v>MESIN KIYOSAKI 107A</v>
      </c>
      <c r="E1711" s="5">
        <v>1</v>
      </c>
      <c r="F1711" s="5">
        <f>VLOOKUP(C1711,[1]master_data!$A$2:$E$495,3,FALSE)</f>
        <v>250000</v>
      </c>
      <c r="G1711" s="5">
        <f>VLOOKUP(C1711,[1]master_data!$A$2:$E$495,4,FALSE)</f>
        <v>300000</v>
      </c>
      <c r="H1711" s="5">
        <f t="shared" si="84"/>
        <v>250000</v>
      </c>
      <c r="I1711" s="5">
        <f t="shared" si="85"/>
        <v>300000</v>
      </c>
      <c r="J1711" s="5">
        <f t="shared" si="86"/>
        <v>50000</v>
      </c>
      <c r="K1711" s="5" t="str">
        <f>VLOOKUP(C1711,[1]master_data!$A$2:$E$495,5,FALSE)</f>
        <v>Aksesoris</v>
      </c>
      <c r="L1711" s="5" t="s">
        <v>471</v>
      </c>
    </row>
    <row r="1712" spans="1:12" ht="12" customHeight="1" x14ac:dyDescent="0.25">
      <c r="A1712" s="6">
        <v>44740</v>
      </c>
      <c r="B1712" s="1">
        <v>2202851</v>
      </c>
      <c r="C1712" s="5" t="s">
        <v>225</v>
      </c>
      <c r="D1712" s="5" t="str">
        <f>VLOOKUP(C1712,[1]master_data!$A$2:$E$495,2,FALSE)</f>
        <v>HOKKY KOI GROWTH</v>
      </c>
      <c r="E1712" s="5">
        <v>2</v>
      </c>
      <c r="F1712" s="5">
        <f>VLOOKUP(C1712,[1]master_data!$A$2:$E$495,3,FALSE)</f>
        <v>49000</v>
      </c>
      <c r="G1712" s="5">
        <f>VLOOKUP(C1712,[1]master_data!$A$2:$E$495,4,FALSE)</f>
        <v>55000</v>
      </c>
      <c r="H1712" s="5">
        <f t="shared" si="84"/>
        <v>98000</v>
      </c>
      <c r="I1712" s="5">
        <f t="shared" si="85"/>
        <v>110000</v>
      </c>
      <c r="J1712" s="5">
        <f t="shared" si="86"/>
        <v>12000</v>
      </c>
      <c r="K1712" s="5" t="str">
        <f>VLOOKUP(C1712,[1]master_data!$A$2:$E$495,5,FALSE)</f>
        <v>Aksesoris</v>
      </c>
      <c r="L1712" s="5" t="s">
        <v>471</v>
      </c>
    </row>
    <row r="1713" spans="1:12" ht="12" customHeight="1" x14ac:dyDescent="0.25">
      <c r="A1713" s="6">
        <v>44739</v>
      </c>
      <c r="B1713" s="1">
        <v>2202850</v>
      </c>
      <c r="C1713" s="5" t="s">
        <v>411</v>
      </c>
      <c r="D1713" s="5" t="str">
        <f>VLOOKUP(C1713,[1]master_data!$A$2:$E$495,2,FALSE)</f>
        <v>GOLDEN BLACK</v>
      </c>
      <c r="E1713" s="5">
        <v>25</v>
      </c>
      <c r="F1713" s="5">
        <f>VLOOKUP(C1713,[1]master_data!$A$2:$E$495,3,FALSE)</f>
        <v>800</v>
      </c>
      <c r="G1713" s="5">
        <f>VLOOKUP(C1713,[1]master_data!$A$2:$E$495,4,FALSE)</f>
        <v>2000</v>
      </c>
      <c r="H1713" s="5">
        <f t="shared" si="84"/>
        <v>20000</v>
      </c>
      <c r="I1713" s="5">
        <f t="shared" si="85"/>
        <v>50000</v>
      </c>
      <c r="J1713" s="5">
        <f t="shared" si="86"/>
        <v>30000</v>
      </c>
      <c r="K1713" s="5" t="str">
        <f>VLOOKUP(C1713,[1]master_data!$A$2:$E$495,5,FALSE)</f>
        <v>Ikan</v>
      </c>
      <c r="L1713" s="5" t="s">
        <v>471</v>
      </c>
    </row>
    <row r="1714" spans="1:12" ht="12" customHeight="1" x14ac:dyDescent="0.25">
      <c r="A1714" s="6">
        <v>44739</v>
      </c>
      <c r="B1714" s="1">
        <v>2202849</v>
      </c>
      <c r="C1714" s="5" t="s">
        <v>365</v>
      </c>
      <c r="D1714" s="5" t="str">
        <f>VLOOKUP(C1714,[1]master_data!$A$2:$E$495,2,FALSE)</f>
        <v>TUTUP AKUARIUM S</v>
      </c>
      <c r="E1714" s="5">
        <v>5</v>
      </c>
      <c r="F1714" s="5">
        <f>VLOOKUP(C1714,[1]master_data!$A$2:$E$495,3,FALSE)</f>
        <v>20000</v>
      </c>
      <c r="G1714" s="5">
        <f>VLOOKUP(C1714,[1]master_data!$A$2:$E$495,4,FALSE)</f>
        <v>30000</v>
      </c>
      <c r="H1714" s="5">
        <f t="shared" si="84"/>
        <v>100000</v>
      </c>
      <c r="I1714" s="5">
        <f t="shared" si="85"/>
        <v>150000</v>
      </c>
      <c r="J1714" s="5">
        <f t="shared" si="86"/>
        <v>50000</v>
      </c>
      <c r="K1714" s="5" t="str">
        <f>VLOOKUP(C1714,[1]master_data!$A$2:$E$495,5,FALSE)</f>
        <v>Aksesoris</v>
      </c>
      <c r="L1714" s="5" t="s">
        <v>471</v>
      </c>
    </row>
    <row r="1715" spans="1:12" ht="12" customHeight="1" x14ac:dyDescent="0.25">
      <c r="A1715" s="6">
        <v>44739</v>
      </c>
      <c r="B1715" s="1">
        <v>2202848</v>
      </c>
      <c r="C1715" s="5" t="s">
        <v>397</v>
      </c>
      <c r="D1715" s="5" t="str">
        <f>VLOOKUP(C1715,[1]master_data!$A$2:$E$495,2,FALSE)</f>
        <v>ALIGATOR</v>
      </c>
      <c r="E1715" s="5">
        <v>2</v>
      </c>
      <c r="F1715" s="5">
        <f>VLOOKUP(C1715,[1]master_data!$A$2:$E$495,3,FALSE)</f>
        <v>17000</v>
      </c>
      <c r="G1715" s="5">
        <f>VLOOKUP(C1715,[1]master_data!$A$2:$E$495,4,FALSE)</f>
        <v>35000</v>
      </c>
      <c r="H1715" s="5">
        <f t="shared" si="84"/>
        <v>34000</v>
      </c>
      <c r="I1715" s="5">
        <f t="shared" si="85"/>
        <v>70000</v>
      </c>
      <c r="J1715" s="5">
        <f t="shared" si="86"/>
        <v>36000</v>
      </c>
      <c r="K1715" s="5" t="str">
        <f>VLOOKUP(C1715,[1]master_data!$A$2:$E$495,5,FALSE)</f>
        <v>Ikan</v>
      </c>
      <c r="L1715" s="5" t="s">
        <v>471</v>
      </c>
    </row>
    <row r="1716" spans="1:12" ht="12" customHeight="1" x14ac:dyDescent="0.25">
      <c r="A1716" s="6">
        <v>44739</v>
      </c>
      <c r="B1716" s="1">
        <v>2202847</v>
      </c>
      <c r="C1716" s="5" t="s">
        <v>280</v>
      </c>
      <c r="D1716" s="5" t="str">
        <f>VLOOKUP(C1716,[1]master_data!$A$2:$E$495,2,FALSE)</f>
        <v>KRAN 2 W</v>
      </c>
      <c r="E1716" s="5">
        <v>20</v>
      </c>
      <c r="F1716" s="5">
        <f>VLOOKUP(C1716,[1]master_data!$A$2:$E$495,3,FALSE)</f>
        <v>4000</v>
      </c>
      <c r="G1716" s="5">
        <f>VLOOKUP(C1716,[1]master_data!$A$2:$E$495,4,FALSE)</f>
        <v>6000</v>
      </c>
      <c r="H1716" s="5">
        <f t="shared" si="84"/>
        <v>80000</v>
      </c>
      <c r="I1716" s="5">
        <f t="shared" si="85"/>
        <v>120000</v>
      </c>
      <c r="J1716" s="5">
        <f t="shared" si="86"/>
        <v>40000</v>
      </c>
      <c r="K1716" s="5" t="str">
        <f>VLOOKUP(C1716,[1]master_data!$A$2:$E$495,5,FALSE)</f>
        <v>Aksesoris</v>
      </c>
      <c r="L1716" s="5" t="s">
        <v>471</v>
      </c>
    </row>
    <row r="1717" spans="1:12" ht="12" customHeight="1" x14ac:dyDescent="0.25">
      <c r="A1717" s="6">
        <v>44739</v>
      </c>
      <c r="B1717" s="1">
        <v>2202846</v>
      </c>
      <c r="C1717" s="5" t="s">
        <v>404</v>
      </c>
      <c r="D1717" s="5" t="str">
        <f>VLOOKUP(C1717,[1]master_data!$A$2:$E$495,2,FALSE)</f>
        <v>CHANNA BLUE PULCHRA B</v>
      </c>
      <c r="E1717" s="5">
        <v>1</v>
      </c>
      <c r="F1717" s="5">
        <f>VLOOKUP(C1717,[1]master_data!$A$2:$E$495,3,FALSE)</f>
        <v>125000</v>
      </c>
      <c r="G1717" s="5">
        <f>VLOOKUP(C1717,[1]master_data!$A$2:$E$495,4,FALSE)</f>
        <v>200000</v>
      </c>
      <c r="H1717" s="5">
        <f t="shared" si="84"/>
        <v>125000</v>
      </c>
      <c r="I1717" s="5">
        <f t="shared" si="85"/>
        <v>200000</v>
      </c>
      <c r="J1717" s="5">
        <f t="shared" si="86"/>
        <v>75000</v>
      </c>
      <c r="K1717" s="5" t="str">
        <f>VLOOKUP(C1717,[1]master_data!$A$2:$E$495,5,FALSE)</f>
        <v>Ikan</v>
      </c>
      <c r="L1717" s="5" t="s">
        <v>471</v>
      </c>
    </row>
    <row r="1718" spans="1:12" ht="12" customHeight="1" x14ac:dyDescent="0.25">
      <c r="A1718" s="6">
        <v>44739</v>
      </c>
      <c r="B1718" s="1">
        <v>2202845</v>
      </c>
      <c r="C1718" s="5" t="s">
        <v>129</v>
      </c>
      <c r="D1718" s="5" t="str">
        <f>VLOOKUP(C1718,[1]master_data!$A$2:$E$495,2,FALSE)</f>
        <v>LED YAMANO S400</v>
      </c>
      <c r="E1718" s="5">
        <v>2</v>
      </c>
      <c r="F1718" s="5">
        <f>VLOOKUP(C1718,[1]master_data!$A$2:$E$495,3,FALSE)</f>
        <v>50000</v>
      </c>
      <c r="G1718" s="5">
        <f>VLOOKUP(C1718,[1]master_data!$A$2:$E$495,4,FALSE)</f>
        <v>75000</v>
      </c>
      <c r="H1718" s="5">
        <f t="shared" si="84"/>
        <v>100000</v>
      </c>
      <c r="I1718" s="5">
        <f t="shared" si="85"/>
        <v>150000</v>
      </c>
      <c r="J1718" s="5">
        <f t="shared" si="86"/>
        <v>50000</v>
      </c>
      <c r="K1718" s="5" t="str">
        <f>VLOOKUP(C1718,[1]master_data!$A$2:$E$495,5,FALSE)</f>
        <v>Aksesoris</v>
      </c>
      <c r="L1718" s="5" t="s">
        <v>471</v>
      </c>
    </row>
    <row r="1719" spans="1:12" ht="12" customHeight="1" x14ac:dyDescent="0.25">
      <c r="A1719" s="6">
        <v>44739</v>
      </c>
      <c r="B1719" s="1">
        <v>2202844</v>
      </c>
      <c r="C1719" s="5" t="s">
        <v>413</v>
      </c>
      <c r="D1719" s="5" t="str">
        <f>VLOOKUP(C1719,[1]master_data!$A$2:$E$495,2,FALSE)</f>
        <v>KOKI K</v>
      </c>
      <c r="E1719" s="5">
        <v>25</v>
      </c>
      <c r="F1719" s="5">
        <f>VLOOKUP(C1719,[1]master_data!$A$2:$E$495,3,FALSE)</f>
        <v>3500</v>
      </c>
      <c r="G1719" s="5">
        <f>VLOOKUP(C1719,[1]master_data!$A$2:$E$495,4,FALSE)</f>
        <v>10000</v>
      </c>
      <c r="H1719" s="5">
        <f t="shared" si="84"/>
        <v>87500</v>
      </c>
      <c r="I1719" s="5">
        <f t="shared" si="85"/>
        <v>250000</v>
      </c>
      <c r="J1719" s="5">
        <f t="shared" si="86"/>
        <v>162500</v>
      </c>
      <c r="K1719" s="5" t="str">
        <f>VLOOKUP(C1719,[1]master_data!$A$2:$E$495,5,FALSE)</f>
        <v>Ikan</v>
      </c>
      <c r="L1719" s="5" t="s">
        <v>471</v>
      </c>
    </row>
    <row r="1720" spans="1:12" ht="12" customHeight="1" x14ac:dyDescent="0.25">
      <c r="A1720" s="6">
        <v>44738</v>
      </c>
      <c r="B1720" s="1">
        <v>2202843</v>
      </c>
      <c r="C1720" s="5" t="s">
        <v>352</v>
      </c>
      <c r="D1720" s="5" t="str">
        <f>VLOOKUP(C1720,[1]master_data!$A$2:$E$495,2,FALSE)</f>
        <v>AKUARIUM BAHARI M</v>
      </c>
      <c r="E1720" s="5">
        <v>2</v>
      </c>
      <c r="F1720" s="5">
        <f>VLOOKUP(C1720,[1]master_data!$A$2:$E$495,3,FALSE)</f>
        <v>82000</v>
      </c>
      <c r="G1720" s="5">
        <f>VLOOKUP(C1720,[1]master_data!$A$2:$E$495,4,FALSE)</f>
        <v>130000</v>
      </c>
      <c r="H1720" s="5">
        <f t="shared" si="84"/>
        <v>164000</v>
      </c>
      <c r="I1720" s="5">
        <f t="shared" si="85"/>
        <v>260000</v>
      </c>
      <c r="J1720" s="5">
        <f t="shared" si="86"/>
        <v>96000</v>
      </c>
      <c r="K1720" s="5" t="str">
        <f>VLOOKUP(C1720,[1]master_data!$A$2:$E$495,5,FALSE)</f>
        <v>Aksesoris</v>
      </c>
      <c r="L1720" s="5" t="s">
        <v>471</v>
      </c>
    </row>
    <row r="1721" spans="1:12" ht="12" customHeight="1" x14ac:dyDescent="0.25">
      <c r="A1721" s="6">
        <v>44738</v>
      </c>
      <c r="B1721" s="1">
        <v>2202842</v>
      </c>
      <c r="C1721" s="5" t="s">
        <v>150</v>
      </c>
      <c r="D1721" s="5" t="str">
        <f>VLOOKUP(C1721,[1]master_data!$A$2:$E$495,2,FALSE)</f>
        <v>LED KANDILA 2 BRS 100 CM</v>
      </c>
      <c r="E1721" s="5">
        <v>2</v>
      </c>
      <c r="F1721" s="5">
        <f>VLOOKUP(C1721,[1]master_data!$A$2:$E$495,3,FALSE)</f>
        <v>50000</v>
      </c>
      <c r="G1721" s="5">
        <f>VLOOKUP(C1721,[1]master_data!$A$2:$E$495,4,FALSE)</f>
        <v>100000</v>
      </c>
      <c r="H1721" s="5">
        <f t="shared" si="84"/>
        <v>100000</v>
      </c>
      <c r="I1721" s="5">
        <f t="shared" si="85"/>
        <v>200000</v>
      </c>
      <c r="J1721" s="5">
        <f t="shared" si="86"/>
        <v>100000</v>
      </c>
      <c r="K1721" s="5" t="str">
        <f>VLOOKUP(C1721,[1]master_data!$A$2:$E$495,5,FALSE)</f>
        <v>Aksesoris</v>
      </c>
      <c r="L1721" s="5" t="s">
        <v>471</v>
      </c>
    </row>
    <row r="1722" spans="1:12" ht="12" customHeight="1" x14ac:dyDescent="0.25">
      <c r="A1722" s="6">
        <v>44738</v>
      </c>
      <c r="B1722" s="1">
        <v>2202841</v>
      </c>
      <c r="C1722" s="5" t="s">
        <v>85</v>
      </c>
      <c r="D1722" s="5" t="str">
        <f>VLOOKUP(C1722,[1]master_data!$A$2:$E$495,2,FALSE)</f>
        <v>MESIN REENT WV 8000</v>
      </c>
      <c r="E1722" s="5">
        <v>1</v>
      </c>
      <c r="F1722" s="5">
        <f>VLOOKUP(C1722,[1]master_data!$A$2:$E$495,3,FALSE)</f>
        <v>79000</v>
      </c>
      <c r="G1722" s="5">
        <f>VLOOKUP(C1722,[1]master_data!$A$2:$E$495,4,FALSE)</f>
        <v>100000</v>
      </c>
      <c r="H1722" s="5">
        <f t="shared" si="84"/>
        <v>79000</v>
      </c>
      <c r="I1722" s="5">
        <f t="shared" si="85"/>
        <v>100000</v>
      </c>
      <c r="J1722" s="5">
        <f t="shared" si="86"/>
        <v>21000</v>
      </c>
      <c r="K1722" s="5" t="str">
        <f>VLOOKUP(C1722,[1]master_data!$A$2:$E$495,5,FALSE)</f>
        <v>Aksesoris</v>
      </c>
      <c r="L1722" s="5" t="s">
        <v>471</v>
      </c>
    </row>
    <row r="1723" spans="1:12" ht="12" customHeight="1" x14ac:dyDescent="0.25">
      <c r="A1723" s="6">
        <v>44738</v>
      </c>
      <c r="B1723" s="1">
        <v>2202840</v>
      </c>
      <c r="C1723" s="5" t="s">
        <v>168</v>
      </c>
      <c r="D1723" s="5" t="str">
        <f>VLOOKUP(C1723,[1]master_data!$A$2:$E$495,2,FALSE)</f>
        <v>LED RECENT ATAS 3 MODE 80 CM</v>
      </c>
      <c r="E1723" s="5">
        <v>2</v>
      </c>
      <c r="F1723" s="5">
        <f>VLOOKUP(C1723,[1]master_data!$A$2:$E$495,3,FALSE)</f>
        <v>88000</v>
      </c>
      <c r="G1723" s="5">
        <f>VLOOKUP(C1723,[1]master_data!$A$2:$E$495,4,FALSE)</f>
        <v>130000</v>
      </c>
      <c r="H1723" s="5">
        <f t="shared" si="84"/>
        <v>176000</v>
      </c>
      <c r="I1723" s="5">
        <f t="shared" si="85"/>
        <v>260000</v>
      </c>
      <c r="J1723" s="5">
        <f t="shared" si="86"/>
        <v>84000</v>
      </c>
      <c r="K1723" s="5" t="str">
        <f>VLOOKUP(C1723,[1]master_data!$A$2:$E$495,5,FALSE)</f>
        <v>Aksesoris</v>
      </c>
      <c r="L1723" s="5" t="s">
        <v>471</v>
      </c>
    </row>
    <row r="1724" spans="1:12" ht="12" customHeight="1" x14ac:dyDescent="0.25">
      <c r="A1724" s="6">
        <v>44738</v>
      </c>
      <c r="B1724" s="1">
        <v>2202839</v>
      </c>
      <c r="C1724" s="5" t="s">
        <v>66</v>
      </c>
      <c r="D1724" s="5" t="str">
        <f>VLOOKUP(C1724,[1]master_data!$A$2:$E$495,2,FALSE)</f>
        <v>BIO FOAM L</v>
      </c>
      <c r="E1724" s="5">
        <v>1</v>
      </c>
      <c r="F1724" s="5">
        <f>VLOOKUP(C1724,[1]master_data!$A$2:$E$495,3,FALSE)</f>
        <v>22000</v>
      </c>
      <c r="G1724" s="5">
        <f>VLOOKUP(C1724,[1]master_data!$A$2:$E$495,4,FALSE)</f>
        <v>35000</v>
      </c>
      <c r="H1724" s="5">
        <f t="shared" si="84"/>
        <v>22000</v>
      </c>
      <c r="I1724" s="5">
        <f t="shared" si="85"/>
        <v>35000</v>
      </c>
      <c r="J1724" s="5">
        <f t="shared" si="86"/>
        <v>13000</v>
      </c>
      <c r="K1724" s="5" t="str">
        <f>VLOOKUP(C1724,[1]master_data!$A$2:$E$495,5,FALSE)</f>
        <v>Aksesoris</v>
      </c>
      <c r="L1724" s="5" t="s">
        <v>471</v>
      </c>
    </row>
    <row r="1725" spans="1:12" ht="12" customHeight="1" x14ac:dyDescent="0.25">
      <c r="A1725" s="6">
        <v>44738</v>
      </c>
      <c r="B1725" s="1">
        <v>2202838</v>
      </c>
      <c r="C1725" s="5" t="s">
        <v>47</v>
      </c>
      <c r="D1725" s="5" t="str">
        <f>VLOOKUP(C1725,[1]master_data!$A$2:$E$495,2,FALSE)</f>
        <v>MESIN NIKITA 1200</v>
      </c>
      <c r="E1725" s="5">
        <v>5</v>
      </c>
      <c r="F1725" s="5">
        <f>VLOOKUP(C1725,[1]master_data!$A$2:$E$495,3,FALSE)</f>
        <v>24000</v>
      </c>
      <c r="G1725" s="5">
        <f>VLOOKUP(C1725,[1]master_data!$A$2:$E$495,4,FALSE)</f>
        <v>35000</v>
      </c>
      <c r="H1725" s="5">
        <f t="shared" si="84"/>
        <v>120000</v>
      </c>
      <c r="I1725" s="5">
        <f t="shared" si="85"/>
        <v>175000</v>
      </c>
      <c r="J1725" s="5">
        <f t="shared" si="86"/>
        <v>55000</v>
      </c>
      <c r="K1725" s="5" t="str">
        <f>VLOOKUP(C1725,[1]master_data!$A$2:$E$495,5,FALSE)</f>
        <v>Aksesoris</v>
      </c>
      <c r="L1725" s="5" t="s">
        <v>471</v>
      </c>
    </row>
    <row r="1726" spans="1:12" ht="12" customHeight="1" x14ac:dyDescent="0.25">
      <c r="A1726" s="6">
        <v>44738</v>
      </c>
      <c r="B1726" s="1">
        <v>2202837</v>
      </c>
      <c r="C1726" s="5" t="s">
        <v>28</v>
      </c>
      <c r="D1726" s="5" t="str">
        <f>VLOOKUP(C1726,[1]master_data!$A$2:$E$495,2,FALSE)</f>
        <v>MESIN ROSTON 107</v>
      </c>
      <c r="E1726" s="5">
        <v>1</v>
      </c>
      <c r="F1726" s="5">
        <f>VLOOKUP(C1726,[1]master_data!$A$2:$E$495,3,FALSE)</f>
        <v>185000</v>
      </c>
      <c r="G1726" s="5">
        <f>VLOOKUP(C1726,[1]master_data!$A$2:$E$495,4,FALSE)</f>
        <v>260000</v>
      </c>
      <c r="H1726" s="5">
        <f t="shared" si="84"/>
        <v>185000</v>
      </c>
      <c r="I1726" s="5">
        <f t="shared" si="85"/>
        <v>260000</v>
      </c>
      <c r="J1726" s="5">
        <f t="shared" si="86"/>
        <v>75000</v>
      </c>
      <c r="K1726" s="5" t="str">
        <f>VLOOKUP(C1726,[1]master_data!$A$2:$E$495,5,FALSE)</f>
        <v>Aksesoris</v>
      </c>
      <c r="L1726" s="5" t="s">
        <v>471</v>
      </c>
    </row>
    <row r="1727" spans="1:12" ht="12" customHeight="1" x14ac:dyDescent="0.25">
      <c r="A1727" s="6">
        <v>44737</v>
      </c>
      <c r="B1727" s="1">
        <v>2202836</v>
      </c>
      <c r="C1727" s="5" t="s">
        <v>297</v>
      </c>
      <c r="D1727" s="5" t="str">
        <f>VLOOKUP(C1727,[1]master_data!$A$2:$E$495,2,FALSE)</f>
        <v>MAGNET M</v>
      </c>
      <c r="E1727" s="5">
        <v>1</v>
      </c>
      <c r="F1727" s="5">
        <f>VLOOKUP(C1727,[1]master_data!$A$2:$E$495,3,FALSE)</f>
        <v>36000</v>
      </c>
      <c r="G1727" s="5">
        <f>VLOOKUP(C1727,[1]master_data!$A$2:$E$495,4,FALSE)</f>
        <v>50000</v>
      </c>
      <c r="H1727" s="5">
        <f t="shared" si="84"/>
        <v>36000</v>
      </c>
      <c r="I1727" s="5">
        <f t="shared" si="85"/>
        <v>50000</v>
      </c>
      <c r="J1727" s="5">
        <f t="shared" si="86"/>
        <v>14000</v>
      </c>
      <c r="K1727" s="5" t="str">
        <f>VLOOKUP(C1727,[1]master_data!$A$2:$E$495,5,FALSE)</f>
        <v>Aksesoris</v>
      </c>
      <c r="L1727" s="5" t="s">
        <v>471</v>
      </c>
    </row>
    <row r="1728" spans="1:12" ht="12" customHeight="1" x14ac:dyDescent="0.25">
      <c r="A1728" s="6">
        <v>44737</v>
      </c>
      <c r="B1728" s="1">
        <v>2202835</v>
      </c>
      <c r="C1728" s="5" t="s">
        <v>457</v>
      </c>
      <c r="D1728" s="5" t="str">
        <f>VLOOKUP(C1728,[1]master_data!$A$2:$E$495,2,FALSE)</f>
        <v>ZEBRA PINK</v>
      </c>
      <c r="E1728" s="5">
        <v>10</v>
      </c>
      <c r="F1728" s="5">
        <f>VLOOKUP(C1728,[1]master_data!$A$2:$E$495,3,FALSE)</f>
        <v>800</v>
      </c>
      <c r="G1728" s="5">
        <f>VLOOKUP(C1728,[1]master_data!$A$2:$E$495,4,FALSE)</f>
        <v>2000</v>
      </c>
      <c r="H1728" s="5">
        <f t="shared" si="84"/>
        <v>8000</v>
      </c>
      <c r="I1728" s="5">
        <f t="shared" si="85"/>
        <v>20000</v>
      </c>
      <c r="J1728" s="5">
        <f t="shared" si="86"/>
        <v>12000</v>
      </c>
      <c r="K1728" s="5" t="str">
        <f>VLOOKUP(C1728,[1]master_data!$A$2:$E$495,5,FALSE)</f>
        <v>Ikan</v>
      </c>
      <c r="L1728" s="5" t="s">
        <v>471</v>
      </c>
    </row>
    <row r="1729" spans="1:12" ht="12" customHeight="1" x14ac:dyDescent="0.25">
      <c r="A1729" s="6">
        <v>44737</v>
      </c>
      <c r="B1729" s="1">
        <v>2202834</v>
      </c>
      <c r="C1729" s="5" t="s">
        <v>429</v>
      </c>
      <c r="D1729" s="5" t="str">
        <f>VLOOKUP(C1729,[1]master_data!$A$2:$E$495,2,FALSE)</f>
        <v>LOUHAN SUPER</v>
      </c>
      <c r="E1729" s="5">
        <v>1</v>
      </c>
      <c r="F1729" s="5">
        <f>VLOOKUP(C1729,[1]master_data!$A$2:$E$495,3,FALSE)</f>
        <v>300000</v>
      </c>
      <c r="G1729" s="5">
        <f>VLOOKUP(C1729,[1]master_data!$A$2:$E$495,4,FALSE)</f>
        <v>500000</v>
      </c>
      <c r="H1729" s="5">
        <f t="shared" si="84"/>
        <v>300000</v>
      </c>
      <c r="I1729" s="5">
        <f t="shared" si="85"/>
        <v>500000</v>
      </c>
      <c r="J1729" s="5">
        <f t="shared" si="86"/>
        <v>200000</v>
      </c>
      <c r="K1729" s="5" t="str">
        <f>VLOOKUP(C1729,[1]master_data!$A$2:$E$495,5,FALSE)</f>
        <v>Ikan</v>
      </c>
      <c r="L1729" s="5" t="s">
        <v>471</v>
      </c>
    </row>
    <row r="1730" spans="1:12" ht="12" customHeight="1" x14ac:dyDescent="0.25">
      <c r="A1730" s="6">
        <v>44737</v>
      </c>
      <c r="B1730" s="1">
        <v>2202833</v>
      </c>
      <c r="C1730" s="5" t="s">
        <v>426</v>
      </c>
      <c r="D1730" s="5" t="str">
        <f>VLOOKUP(C1730,[1]master_data!$A$2:$E$495,2,FALSE)</f>
        <v>DISCUS</v>
      </c>
      <c r="E1730" s="5">
        <v>1</v>
      </c>
      <c r="F1730" s="5">
        <f>VLOOKUP(C1730,[1]master_data!$A$2:$E$495,3,FALSE)</f>
        <v>50000</v>
      </c>
      <c r="G1730" s="5">
        <f>VLOOKUP(C1730,[1]master_data!$A$2:$E$495,4,FALSE)</f>
        <v>150000</v>
      </c>
      <c r="H1730" s="5">
        <f t="shared" si="84"/>
        <v>50000</v>
      </c>
      <c r="I1730" s="5">
        <f t="shared" si="85"/>
        <v>150000</v>
      </c>
      <c r="J1730" s="5">
        <f t="shared" si="86"/>
        <v>100000</v>
      </c>
      <c r="K1730" s="5" t="str">
        <f>VLOOKUP(C1730,[1]master_data!$A$2:$E$495,5,FALSE)</f>
        <v>Ikan</v>
      </c>
      <c r="L1730" s="5" t="s">
        <v>471</v>
      </c>
    </row>
    <row r="1731" spans="1:12" ht="12" customHeight="1" x14ac:dyDescent="0.25">
      <c r="A1731" s="6">
        <v>44737</v>
      </c>
      <c r="B1731" s="1">
        <v>2202832</v>
      </c>
      <c r="C1731" s="5" t="s">
        <v>276</v>
      </c>
      <c r="D1731" s="5" t="str">
        <f>VLOOKUP(C1731,[1]master_data!$A$2:$E$495,2,FALSE)</f>
        <v>JARING 30</v>
      </c>
      <c r="E1731" s="5">
        <v>10</v>
      </c>
      <c r="F1731" s="5">
        <f>VLOOKUP(C1731,[1]master_data!$A$2:$E$495,3,FALSE)</f>
        <v>7100</v>
      </c>
      <c r="G1731" s="5">
        <f>VLOOKUP(C1731,[1]master_data!$A$2:$E$495,4,FALSE)</f>
        <v>12000</v>
      </c>
      <c r="H1731" s="5">
        <f t="shared" si="84"/>
        <v>71000</v>
      </c>
      <c r="I1731" s="5">
        <f t="shared" si="85"/>
        <v>120000</v>
      </c>
      <c r="J1731" s="5">
        <f t="shared" si="86"/>
        <v>49000</v>
      </c>
      <c r="K1731" s="5" t="str">
        <f>VLOOKUP(C1731,[1]master_data!$A$2:$E$495,5,FALSE)</f>
        <v>Aksesoris</v>
      </c>
      <c r="L1731" s="5" t="s">
        <v>471</v>
      </c>
    </row>
    <row r="1732" spans="1:12" ht="12" customHeight="1" x14ac:dyDescent="0.25">
      <c r="A1732" s="6">
        <v>44737</v>
      </c>
      <c r="B1732" s="1">
        <v>2202831</v>
      </c>
      <c r="C1732" s="5" t="s">
        <v>429</v>
      </c>
      <c r="D1732" s="5" t="str">
        <f>VLOOKUP(C1732,[1]master_data!$A$2:$E$495,2,FALSE)</f>
        <v>LOUHAN SUPER</v>
      </c>
      <c r="E1732" s="5">
        <v>1</v>
      </c>
      <c r="F1732" s="5">
        <f>VLOOKUP(C1732,[1]master_data!$A$2:$E$495,3,FALSE)</f>
        <v>300000</v>
      </c>
      <c r="G1732" s="5">
        <f>VLOOKUP(C1732,[1]master_data!$A$2:$E$495,4,FALSE)</f>
        <v>500000</v>
      </c>
      <c r="H1732" s="5">
        <f t="shared" si="84"/>
        <v>300000</v>
      </c>
      <c r="I1732" s="5">
        <f t="shared" si="85"/>
        <v>500000</v>
      </c>
      <c r="J1732" s="5">
        <f t="shared" si="86"/>
        <v>200000</v>
      </c>
      <c r="K1732" s="5" t="str">
        <f>VLOOKUP(C1732,[1]master_data!$A$2:$E$495,5,FALSE)</f>
        <v>Ikan</v>
      </c>
      <c r="L1732" s="5" t="s">
        <v>471</v>
      </c>
    </row>
    <row r="1733" spans="1:12" ht="12" customHeight="1" x14ac:dyDescent="0.25">
      <c r="A1733" s="6">
        <v>44736</v>
      </c>
      <c r="B1733" s="1">
        <v>2202830</v>
      </c>
      <c r="C1733" s="5" t="s">
        <v>411</v>
      </c>
      <c r="D1733" s="5" t="str">
        <f>VLOOKUP(C1733,[1]master_data!$A$2:$E$495,2,FALSE)</f>
        <v>GOLDEN BLACK</v>
      </c>
      <c r="E1733" s="5">
        <v>25</v>
      </c>
      <c r="F1733" s="5">
        <f>VLOOKUP(C1733,[1]master_data!$A$2:$E$495,3,FALSE)</f>
        <v>800</v>
      </c>
      <c r="G1733" s="5">
        <f>VLOOKUP(C1733,[1]master_data!$A$2:$E$495,4,FALSE)</f>
        <v>2000</v>
      </c>
      <c r="H1733" s="5">
        <f t="shared" ref="H1733:H1796" si="87">E1733*F1733</f>
        <v>20000</v>
      </c>
      <c r="I1733" s="5">
        <f t="shared" ref="I1733:I1796" si="88">E1733*G1733</f>
        <v>50000</v>
      </c>
      <c r="J1733" s="5">
        <f t="shared" ref="J1733:J1796" si="89">I1733-H1733</f>
        <v>30000</v>
      </c>
      <c r="K1733" s="5" t="str">
        <f>VLOOKUP(C1733,[1]master_data!$A$2:$E$495,5,FALSE)</f>
        <v>Ikan</v>
      </c>
      <c r="L1733" s="5" t="s">
        <v>471</v>
      </c>
    </row>
    <row r="1734" spans="1:12" ht="12" customHeight="1" x14ac:dyDescent="0.25">
      <c r="A1734" s="6">
        <v>44736</v>
      </c>
      <c r="B1734" s="1">
        <v>2202829</v>
      </c>
      <c r="C1734" s="5" t="s">
        <v>445</v>
      </c>
      <c r="D1734" s="5" t="str">
        <f>VLOOKUP(C1734,[1]master_data!$A$2:$E$495,2,FALSE)</f>
        <v>PESO</v>
      </c>
      <c r="E1734" s="5">
        <v>2</v>
      </c>
      <c r="F1734" s="5">
        <f>VLOOKUP(C1734,[1]master_data!$A$2:$E$495,3,FALSE)</f>
        <v>19000</v>
      </c>
      <c r="G1734" s="5">
        <f>VLOOKUP(C1734,[1]master_data!$A$2:$E$495,4,FALSE)</f>
        <v>40000</v>
      </c>
      <c r="H1734" s="5">
        <f t="shared" si="87"/>
        <v>38000</v>
      </c>
      <c r="I1734" s="5">
        <f t="shared" si="88"/>
        <v>80000</v>
      </c>
      <c r="J1734" s="5">
        <f t="shared" si="89"/>
        <v>42000</v>
      </c>
      <c r="K1734" s="5" t="str">
        <f>VLOOKUP(C1734,[1]master_data!$A$2:$E$495,5,FALSE)</f>
        <v>Ikan</v>
      </c>
      <c r="L1734" s="5" t="s">
        <v>471</v>
      </c>
    </row>
    <row r="1735" spans="1:12" ht="12" customHeight="1" x14ac:dyDescent="0.25">
      <c r="A1735" s="6">
        <v>44736</v>
      </c>
      <c r="B1735" s="1">
        <v>2202828</v>
      </c>
      <c r="C1735" s="5" t="s">
        <v>447</v>
      </c>
      <c r="D1735" s="5" t="str">
        <f>VLOOKUP(C1735,[1]master_data!$A$2:$E$495,2,FALSE)</f>
        <v>REDFIN ALBINO</v>
      </c>
      <c r="E1735" s="5">
        <v>10</v>
      </c>
      <c r="F1735" s="5">
        <f>VLOOKUP(C1735,[1]master_data!$A$2:$E$495,3,FALSE)</f>
        <v>1500</v>
      </c>
      <c r="G1735" s="5">
        <f>VLOOKUP(C1735,[1]master_data!$A$2:$E$495,4,FALSE)</f>
        <v>4000</v>
      </c>
      <c r="H1735" s="5">
        <f t="shared" si="87"/>
        <v>15000</v>
      </c>
      <c r="I1735" s="5">
        <f t="shared" si="88"/>
        <v>40000</v>
      </c>
      <c r="J1735" s="5">
        <f t="shared" si="89"/>
        <v>25000</v>
      </c>
      <c r="K1735" s="5" t="str">
        <f>VLOOKUP(C1735,[1]master_data!$A$2:$E$495,5,FALSE)</f>
        <v>Ikan</v>
      </c>
      <c r="L1735" s="5" t="s">
        <v>471</v>
      </c>
    </row>
    <row r="1736" spans="1:12" ht="12" customHeight="1" x14ac:dyDescent="0.25">
      <c r="A1736" s="6">
        <v>44736</v>
      </c>
      <c r="B1736" s="1">
        <v>2202827</v>
      </c>
      <c r="C1736" s="5" t="s">
        <v>434</v>
      </c>
      <c r="D1736" s="5" t="str">
        <f>VLOOKUP(C1736,[1]master_data!$A$2:$E$495,2,FALSE)</f>
        <v>MOLI PAKAN</v>
      </c>
      <c r="E1736" s="5">
        <v>25</v>
      </c>
      <c r="F1736" s="5">
        <f>VLOOKUP(C1736,[1]master_data!$A$2:$E$495,3,FALSE)</f>
        <v>100</v>
      </c>
      <c r="G1736" s="5">
        <f>VLOOKUP(C1736,[1]master_data!$A$2:$E$495,4,FALSE)</f>
        <v>200</v>
      </c>
      <c r="H1736" s="5">
        <f t="shared" si="87"/>
        <v>2500</v>
      </c>
      <c r="I1736" s="5">
        <f t="shared" si="88"/>
        <v>5000</v>
      </c>
      <c r="J1736" s="5">
        <f t="shared" si="89"/>
        <v>2500</v>
      </c>
      <c r="K1736" s="5" t="str">
        <f>VLOOKUP(C1736,[1]master_data!$A$2:$E$495,5,FALSE)</f>
        <v>Ikan</v>
      </c>
      <c r="L1736" s="5" t="s">
        <v>471</v>
      </c>
    </row>
    <row r="1737" spans="1:12" ht="12" customHeight="1" x14ac:dyDescent="0.25">
      <c r="A1737" s="6">
        <v>44736</v>
      </c>
      <c r="B1737" s="1">
        <v>2202826</v>
      </c>
      <c r="C1737" s="5" t="s">
        <v>413</v>
      </c>
      <c r="D1737" s="5" t="str">
        <f>VLOOKUP(C1737,[1]master_data!$A$2:$E$495,2,FALSE)</f>
        <v>KOKI K</v>
      </c>
      <c r="E1737" s="5">
        <v>10</v>
      </c>
      <c r="F1737" s="5">
        <f>VLOOKUP(C1737,[1]master_data!$A$2:$E$495,3,FALSE)</f>
        <v>3500</v>
      </c>
      <c r="G1737" s="5">
        <f>VLOOKUP(C1737,[1]master_data!$A$2:$E$495,4,FALSE)</f>
        <v>10000</v>
      </c>
      <c r="H1737" s="5">
        <f t="shared" si="87"/>
        <v>35000</v>
      </c>
      <c r="I1737" s="5">
        <f t="shared" si="88"/>
        <v>100000</v>
      </c>
      <c r="J1737" s="5">
        <f t="shared" si="89"/>
        <v>65000</v>
      </c>
      <c r="K1737" s="5" t="str">
        <f>VLOOKUP(C1737,[1]master_data!$A$2:$E$495,5,FALSE)</f>
        <v>Ikan</v>
      </c>
      <c r="L1737" s="5" t="s">
        <v>471</v>
      </c>
    </row>
    <row r="1738" spans="1:12" ht="12" customHeight="1" x14ac:dyDescent="0.25">
      <c r="A1738" s="6">
        <v>44736</v>
      </c>
      <c r="B1738" s="1">
        <v>2202825</v>
      </c>
      <c r="C1738" s="5" t="s">
        <v>337</v>
      </c>
      <c r="D1738" s="5" t="str">
        <f>VLOOKUP(C1738,[1]master_data!$A$2:$E$495,2,FALSE)</f>
        <v>MAGNET 09</v>
      </c>
      <c r="E1738" s="5">
        <v>1</v>
      </c>
      <c r="F1738" s="5">
        <f>VLOOKUP(C1738,[1]master_data!$A$2:$E$495,3,FALSE)</f>
        <v>58000</v>
      </c>
      <c r="G1738" s="5">
        <f>VLOOKUP(C1738,[1]master_data!$A$2:$E$495,4,FALSE)</f>
        <v>80000</v>
      </c>
      <c r="H1738" s="5">
        <f t="shared" si="87"/>
        <v>58000</v>
      </c>
      <c r="I1738" s="5">
        <f t="shared" si="88"/>
        <v>80000</v>
      </c>
      <c r="J1738" s="5">
        <f t="shared" si="89"/>
        <v>22000</v>
      </c>
      <c r="K1738" s="5" t="str">
        <f>VLOOKUP(C1738,[1]master_data!$A$2:$E$495,5,FALSE)</f>
        <v>Aksesoris</v>
      </c>
      <c r="L1738" s="5" t="s">
        <v>471</v>
      </c>
    </row>
    <row r="1739" spans="1:12" ht="12" customHeight="1" x14ac:dyDescent="0.25">
      <c r="A1739" s="6">
        <v>44736</v>
      </c>
      <c r="B1739" s="1">
        <v>2202824</v>
      </c>
      <c r="C1739" s="5" t="s">
        <v>434</v>
      </c>
      <c r="D1739" s="5" t="str">
        <f>VLOOKUP(C1739,[1]master_data!$A$2:$E$495,2,FALSE)</f>
        <v>MOLI PAKAN</v>
      </c>
      <c r="E1739" s="5">
        <v>10</v>
      </c>
      <c r="F1739" s="5">
        <f>VLOOKUP(C1739,[1]master_data!$A$2:$E$495,3,FALSE)</f>
        <v>100</v>
      </c>
      <c r="G1739" s="5">
        <f>VLOOKUP(C1739,[1]master_data!$A$2:$E$495,4,FALSE)</f>
        <v>200</v>
      </c>
      <c r="H1739" s="5">
        <f t="shared" si="87"/>
        <v>1000</v>
      </c>
      <c r="I1739" s="5">
        <f t="shared" si="88"/>
        <v>2000</v>
      </c>
      <c r="J1739" s="5">
        <f t="shared" si="89"/>
        <v>1000</v>
      </c>
      <c r="K1739" s="5" t="str">
        <f>VLOOKUP(C1739,[1]master_data!$A$2:$E$495,5,FALSE)</f>
        <v>Ikan</v>
      </c>
      <c r="L1739" s="5" t="s">
        <v>471</v>
      </c>
    </row>
    <row r="1740" spans="1:12" ht="12" customHeight="1" x14ac:dyDescent="0.25">
      <c r="A1740" s="6">
        <v>44736</v>
      </c>
      <c r="B1740" s="1">
        <v>2202823</v>
      </c>
      <c r="C1740" s="5" t="s">
        <v>450</v>
      </c>
      <c r="D1740" s="5" t="str">
        <f>VLOOKUP(C1740,[1]master_data!$A$2:$E$495,2,FALSE)</f>
        <v>SUMATRA BIASA</v>
      </c>
      <c r="E1740" s="5">
        <v>25</v>
      </c>
      <c r="F1740" s="5">
        <f>VLOOKUP(C1740,[1]master_data!$A$2:$E$495,3,FALSE)</f>
        <v>800</v>
      </c>
      <c r="G1740" s="5">
        <f>VLOOKUP(C1740,[1]master_data!$A$2:$E$495,4,FALSE)</f>
        <v>2000</v>
      </c>
      <c r="H1740" s="5">
        <f t="shared" si="87"/>
        <v>20000</v>
      </c>
      <c r="I1740" s="5">
        <f t="shared" si="88"/>
        <v>50000</v>
      </c>
      <c r="J1740" s="5">
        <f t="shared" si="89"/>
        <v>30000</v>
      </c>
      <c r="K1740" s="5" t="str">
        <f>VLOOKUP(C1740,[1]master_data!$A$2:$E$495,5,FALSE)</f>
        <v>Ikan</v>
      </c>
      <c r="L1740" s="5" t="s">
        <v>471</v>
      </c>
    </row>
    <row r="1741" spans="1:12" ht="12" customHeight="1" x14ac:dyDescent="0.25">
      <c r="A1741" s="6">
        <v>44736</v>
      </c>
      <c r="B1741" s="1">
        <v>2202822</v>
      </c>
      <c r="C1741" s="5" t="s">
        <v>408</v>
      </c>
      <c r="D1741" s="5" t="str">
        <f>VLOOKUP(C1741,[1]master_data!$A$2:$E$495,2,FALSE)</f>
        <v>CATFISH</v>
      </c>
      <c r="E1741" s="5">
        <v>1</v>
      </c>
      <c r="F1741" s="5">
        <f>VLOOKUP(C1741,[1]master_data!$A$2:$E$495,3,FALSE)</f>
        <v>20000</v>
      </c>
      <c r="G1741" s="5">
        <f>VLOOKUP(C1741,[1]master_data!$A$2:$E$495,4,FALSE)</f>
        <v>50000</v>
      </c>
      <c r="H1741" s="5">
        <f t="shared" si="87"/>
        <v>20000</v>
      </c>
      <c r="I1741" s="5">
        <f t="shared" si="88"/>
        <v>50000</v>
      </c>
      <c r="J1741" s="5">
        <f t="shared" si="89"/>
        <v>30000</v>
      </c>
      <c r="K1741" s="5" t="str">
        <f>VLOOKUP(C1741,[1]master_data!$A$2:$E$495,5,FALSE)</f>
        <v>Ikan</v>
      </c>
      <c r="L1741" s="5" t="s">
        <v>471</v>
      </c>
    </row>
    <row r="1742" spans="1:12" ht="12" customHeight="1" x14ac:dyDescent="0.25">
      <c r="A1742" s="6">
        <v>44736</v>
      </c>
      <c r="B1742" s="1">
        <v>2202821</v>
      </c>
      <c r="C1742" s="5" t="s">
        <v>449</v>
      </c>
      <c r="D1742" s="5" t="str">
        <f>VLOOKUP(C1742,[1]master_data!$A$2:$E$495,2,FALSE)</f>
        <v>CHANNA RED BARITO B</v>
      </c>
      <c r="E1742" s="5">
        <v>2</v>
      </c>
      <c r="F1742" s="5">
        <f>VLOOKUP(C1742,[1]master_data!$A$2:$E$495,3,FALSE)</f>
        <v>120000</v>
      </c>
      <c r="G1742" s="5">
        <f>VLOOKUP(C1742,[1]master_data!$A$2:$E$495,4,FALSE)</f>
        <v>200000</v>
      </c>
      <c r="H1742" s="5">
        <f t="shared" si="87"/>
        <v>240000</v>
      </c>
      <c r="I1742" s="5">
        <f t="shared" si="88"/>
        <v>400000</v>
      </c>
      <c r="J1742" s="5">
        <f t="shared" si="89"/>
        <v>160000</v>
      </c>
      <c r="K1742" s="5" t="str">
        <f>VLOOKUP(C1742,[1]master_data!$A$2:$E$495,5,FALSE)</f>
        <v>Ikan</v>
      </c>
      <c r="L1742" s="5" t="s">
        <v>471</v>
      </c>
    </row>
    <row r="1743" spans="1:12" ht="12" customHeight="1" x14ac:dyDescent="0.25">
      <c r="A1743" s="6">
        <v>44735</v>
      </c>
      <c r="B1743" s="1">
        <v>2202820</v>
      </c>
      <c r="C1743" s="5" t="s">
        <v>397</v>
      </c>
      <c r="D1743" s="5" t="str">
        <f>VLOOKUP(C1743,[1]master_data!$A$2:$E$495,2,FALSE)</f>
        <v>ALIGATOR</v>
      </c>
      <c r="E1743" s="5">
        <v>10</v>
      </c>
      <c r="F1743" s="5">
        <f>VLOOKUP(C1743,[1]master_data!$A$2:$E$495,3,FALSE)</f>
        <v>17000</v>
      </c>
      <c r="G1743" s="5">
        <f>VLOOKUP(C1743,[1]master_data!$A$2:$E$495,4,FALSE)</f>
        <v>35000</v>
      </c>
      <c r="H1743" s="5">
        <f t="shared" si="87"/>
        <v>170000</v>
      </c>
      <c r="I1743" s="5">
        <f t="shared" si="88"/>
        <v>350000</v>
      </c>
      <c r="J1743" s="5">
        <f t="shared" si="89"/>
        <v>180000</v>
      </c>
      <c r="K1743" s="5" t="str">
        <f>VLOOKUP(C1743,[1]master_data!$A$2:$E$495,5,FALSE)</f>
        <v>Ikan</v>
      </c>
      <c r="L1743" s="5" t="s">
        <v>471</v>
      </c>
    </row>
    <row r="1744" spans="1:12" ht="12" customHeight="1" x14ac:dyDescent="0.25">
      <c r="A1744" s="6">
        <v>44735</v>
      </c>
      <c r="B1744" s="1">
        <v>2202819</v>
      </c>
      <c r="C1744" s="5" t="s">
        <v>49</v>
      </c>
      <c r="D1744" s="5" t="str">
        <f>VLOOKUP(C1744,[1]master_data!$A$2:$E$495,2,FALSE)</f>
        <v>MESIN NIKITA WAVE MAKER M6</v>
      </c>
      <c r="E1744" s="5">
        <v>1</v>
      </c>
      <c r="F1744" s="5">
        <f>VLOOKUP(C1744,[1]master_data!$A$2:$E$495,3,FALSE)</f>
        <v>86000</v>
      </c>
      <c r="G1744" s="5">
        <f>VLOOKUP(C1744,[1]master_data!$A$2:$E$495,4,FALSE)</f>
        <v>120000</v>
      </c>
      <c r="H1744" s="5">
        <f t="shared" si="87"/>
        <v>86000</v>
      </c>
      <c r="I1744" s="5">
        <f t="shared" si="88"/>
        <v>120000</v>
      </c>
      <c r="J1744" s="5">
        <f t="shared" si="89"/>
        <v>34000</v>
      </c>
      <c r="K1744" s="5" t="str">
        <f>VLOOKUP(C1744,[1]master_data!$A$2:$E$495,5,FALSE)</f>
        <v>Aksesoris</v>
      </c>
      <c r="L1744" s="5" t="s">
        <v>471</v>
      </c>
    </row>
    <row r="1745" spans="1:12" ht="12" customHeight="1" x14ac:dyDescent="0.25">
      <c r="A1745" s="6">
        <v>44735</v>
      </c>
      <c r="B1745" s="1">
        <v>2202818</v>
      </c>
      <c r="C1745" s="5" t="s">
        <v>9</v>
      </c>
      <c r="D1745" s="5" t="str">
        <f>VLOOKUP(C1745,[1]master_data!$A$2:$E$495,2,FALSE)</f>
        <v>TOP FILTER YANG 910</v>
      </c>
      <c r="E1745" s="5">
        <v>1</v>
      </c>
      <c r="F1745" s="5">
        <f>VLOOKUP(C1745,[1]master_data!$A$2:$E$495,3,FALSE)</f>
        <v>41000</v>
      </c>
      <c r="G1745" s="5">
        <f>VLOOKUP(C1745,[1]master_data!$A$2:$E$495,4,FALSE)</f>
        <v>65000</v>
      </c>
      <c r="H1745" s="5">
        <f t="shared" si="87"/>
        <v>41000</v>
      </c>
      <c r="I1745" s="5">
        <f t="shared" si="88"/>
        <v>65000</v>
      </c>
      <c r="J1745" s="5">
        <f t="shared" si="89"/>
        <v>24000</v>
      </c>
      <c r="K1745" s="5" t="str">
        <f>VLOOKUP(C1745,[1]master_data!$A$2:$E$495,5,FALSE)</f>
        <v>Aksesoris</v>
      </c>
      <c r="L1745" s="5" t="s">
        <v>471</v>
      </c>
    </row>
    <row r="1746" spans="1:12" ht="12" customHeight="1" x14ac:dyDescent="0.25">
      <c r="A1746" s="6">
        <v>44735</v>
      </c>
      <c r="B1746" s="1">
        <v>2202817</v>
      </c>
      <c r="C1746" s="5" t="s">
        <v>444</v>
      </c>
      <c r="D1746" s="5" t="str">
        <f>VLOOKUP(C1746,[1]master_data!$A$2:$E$495,2,FALSE)</f>
        <v>PARROT</v>
      </c>
      <c r="E1746" s="5">
        <v>5</v>
      </c>
      <c r="F1746" s="5">
        <f>VLOOKUP(C1746,[1]master_data!$A$2:$E$495,3,FALSE)</f>
        <v>27000</v>
      </c>
      <c r="G1746" s="5">
        <f>VLOOKUP(C1746,[1]master_data!$A$2:$E$495,4,FALSE)</f>
        <v>60000</v>
      </c>
      <c r="H1746" s="5">
        <f t="shared" si="87"/>
        <v>135000</v>
      </c>
      <c r="I1746" s="5">
        <f t="shared" si="88"/>
        <v>300000</v>
      </c>
      <c r="J1746" s="5">
        <f t="shared" si="89"/>
        <v>165000</v>
      </c>
      <c r="K1746" s="5" t="str">
        <f>VLOOKUP(C1746,[1]master_data!$A$2:$E$495,5,FALSE)</f>
        <v>Ikan</v>
      </c>
      <c r="L1746" s="5" t="s">
        <v>471</v>
      </c>
    </row>
    <row r="1747" spans="1:12" ht="12" customHeight="1" x14ac:dyDescent="0.25">
      <c r="A1747" s="6">
        <v>44734</v>
      </c>
      <c r="B1747" s="1">
        <v>2202816</v>
      </c>
      <c r="C1747" s="5" t="s">
        <v>313</v>
      </c>
      <c r="D1747" s="5" t="str">
        <f>VLOOKUP(C1747,[1]master_data!$A$2:$E$495,2,FALSE)</f>
        <v>LURUS PIPA</v>
      </c>
      <c r="E1747" s="5">
        <v>20</v>
      </c>
      <c r="F1747" s="5">
        <f>VLOOKUP(C1747,[1]master_data!$A$2:$E$495,3,FALSE)</f>
        <v>800</v>
      </c>
      <c r="G1747" s="5">
        <f>VLOOKUP(C1747,[1]master_data!$A$2:$E$495,4,FALSE)</f>
        <v>2000</v>
      </c>
      <c r="H1747" s="5">
        <f t="shared" si="87"/>
        <v>16000</v>
      </c>
      <c r="I1747" s="5">
        <f t="shared" si="88"/>
        <v>40000</v>
      </c>
      <c r="J1747" s="5">
        <f t="shared" si="89"/>
        <v>24000</v>
      </c>
      <c r="K1747" s="5" t="str">
        <f>VLOOKUP(C1747,[1]master_data!$A$2:$E$495,5,FALSE)</f>
        <v>Aksesoris</v>
      </c>
      <c r="L1747" s="5" t="s">
        <v>471</v>
      </c>
    </row>
    <row r="1748" spans="1:12" ht="12" customHeight="1" x14ac:dyDescent="0.25">
      <c r="A1748" s="6">
        <v>44734</v>
      </c>
      <c r="B1748" s="1">
        <v>2202815</v>
      </c>
      <c r="C1748" s="5" t="s">
        <v>435</v>
      </c>
      <c r="D1748" s="5" t="str">
        <f>VLOOKUP(C1748,[1]master_data!$A$2:$E$495,2,FALSE)</f>
        <v>MOLI BALON</v>
      </c>
      <c r="E1748" s="5">
        <v>2</v>
      </c>
      <c r="F1748" s="5">
        <f>VLOOKUP(C1748,[1]master_data!$A$2:$E$495,3,FALSE)</f>
        <v>800</v>
      </c>
      <c r="G1748" s="5">
        <f>VLOOKUP(C1748,[1]master_data!$A$2:$E$495,4,FALSE)</f>
        <v>2000</v>
      </c>
      <c r="H1748" s="5">
        <f t="shared" si="87"/>
        <v>1600</v>
      </c>
      <c r="I1748" s="5">
        <f t="shared" si="88"/>
        <v>4000</v>
      </c>
      <c r="J1748" s="5">
        <f t="shared" si="89"/>
        <v>2400</v>
      </c>
      <c r="K1748" s="5" t="str">
        <f>VLOOKUP(C1748,[1]master_data!$A$2:$E$495,5,FALSE)</f>
        <v>Ikan</v>
      </c>
      <c r="L1748" s="5" t="s">
        <v>471</v>
      </c>
    </row>
    <row r="1749" spans="1:12" ht="12" customHeight="1" x14ac:dyDescent="0.25">
      <c r="A1749" s="6">
        <v>44734</v>
      </c>
      <c r="B1749" s="1">
        <v>2202814</v>
      </c>
      <c r="C1749" s="5" t="s">
        <v>418</v>
      </c>
      <c r="D1749" s="5" t="str">
        <f>VLOOKUP(C1749,[1]master_data!$A$2:$E$495,2,FALSE)</f>
        <v>KOI B</v>
      </c>
      <c r="E1749" s="5">
        <v>1</v>
      </c>
      <c r="F1749" s="5">
        <f>VLOOKUP(C1749,[1]master_data!$A$2:$E$495,3,FALSE)</f>
        <v>9000</v>
      </c>
      <c r="G1749" s="5">
        <f>VLOOKUP(C1749,[1]master_data!$A$2:$E$495,4,FALSE)</f>
        <v>30000</v>
      </c>
      <c r="H1749" s="5">
        <f t="shared" si="87"/>
        <v>9000</v>
      </c>
      <c r="I1749" s="5">
        <f t="shared" si="88"/>
        <v>30000</v>
      </c>
      <c r="J1749" s="5">
        <f t="shared" si="89"/>
        <v>21000</v>
      </c>
      <c r="K1749" s="5" t="str">
        <f>VLOOKUP(C1749,[1]master_data!$A$2:$E$495,5,FALSE)</f>
        <v>Ikan</v>
      </c>
      <c r="L1749" s="5" t="s">
        <v>471</v>
      </c>
    </row>
    <row r="1750" spans="1:12" ht="12" customHeight="1" x14ac:dyDescent="0.25">
      <c r="A1750" s="6">
        <v>44734</v>
      </c>
      <c r="B1750" s="1">
        <v>2202813</v>
      </c>
      <c r="C1750" s="5" t="s">
        <v>453</v>
      </c>
      <c r="D1750" s="5" t="str">
        <f>VLOOKUP(C1750,[1]master_data!$A$2:$E$495,2,FALSE)</f>
        <v>SYNODONTIS K</v>
      </c>
      <c r="E1750" s="5">
        <v>17</v>
      </c>
      <c r="F1750" s="5">
        <f>VLOOKUP(C1750,[1]master_data!$A$2:$E$495,3,FALSE)</f>
        <v>1500</v>
      </c>
      <c r="G1750" s="5">
        <f>VLOOKUP(C1750,[1]master_data!$A$2:$E$495,4,FALSE)</f>
        <v>5000</v>
      </c>
      <c r="H1750" s="5">
        <f t="shared" si="87"/>
        <v>25500</v>
      </c>
      <c r="I1750" s="5">
        <f t="shared" si="88"/>
        <v>85000</v>
      </c>
      <c r="J1750" s="5">
        <f t="shared" si="89"/>
        <v>59500</v>
      </c>
      <c r="K1750" s="5" t="str">
        <f>VLOOKUP(C1750,[1]master_data!$A$2:$E$495,5,FALSE)</f>
        <v>Ikan</v>
      </c>
      <c r="L1750" s="5" t="s">
        <v>471</v>
      </c>
    </row>
    <row r="1751" spans="1:12" ht="12" customHeight="1" x14ac:dyDescent="0.25">
      <c r="A1751" s="6">
        <v>44734</v>
      </c>
      <c r="B1751" s="1">
        <v>2202812</v>
      </c>
      <c r="C1751" s="5" t="s">
        <v>456</v>
      </c>
      <c r="D1751" s="5" t="str">
        <f>VLOOKUP(C1751,[1]master_data!$A$2:$E$495,2,FALSE)</f>
        <v>TOMAN</v>
      </c>
      <c r="E1751" s="5">
        <v>5</v>
      </c>
      <c r="F1751" s="5">
        <f>VLOOKUP(C1751,[1]master_data!$A$2:$E$495,3,FALSE)</f>
        <v>10000</v>
      </c>
      <c r="G1751" s="5">
        <f>VLOOKUP(C1751,[1]master_data!$A$2:$E$495,4,FALSE)</f>
        <v>25000</v>
      </c>
      <c r="H1751" s="5">
        <f t="shared" si="87"/>
        <v>50000</v>
      </c>
      <c r="I1751" s="5">
        <f t="shared" si="88"/>
        <v>125000</v>
      </c>
      <c r="J1751" s="5">
        <f t="shared" si="89"/>
        <v>75000</v>
      </c>
      <c r="K1751" s="5" t="str">
        <f>VLOOKUP(C1751,[1]master_data!$A$2:$E$495,5,FALSE)</f>
        <v>Ikan</v>
      </c>
      <c r="L1751" s="5" t="s">
        <v>471</v>
      </c>
    </row>
    <row r="1752" spans="1:12" ht="12" customHeight="1" x14ac:dyDescent="0.25">
      <c r="A1752" s="6">
        <v>44734</v>
      </c>
      <c r="B1752" s="1">
        <v>2202811</v>
      </c>
      <c r="C1752" s="5" t="s">
        <v>319</v>
      </c>
      <c r="D1752" s="5" t="str">
        <f>VLOOKUP(C1752,[1]master_data!$A$2:$E$495,2,FALSE)</f>
        <v>KAPAS HIJAU HITAM</v>
      </c>
      <c r="E1752" s="5">
        <v>5</v>
      </c>
      <c r="F1752" s="5">
        <f>VLOOKUP(C1752,[1]master_data!$A$2:$E$495,3,FALSE)</f>
        <v>11000</v>
      </c>
      <c r="G1752" s="5">
        <f>VLOOKUP(C1752,[1]master_data!$A$2:$E$495,4,FALSE)</f>
        <v>15000</v>
      </c>
      <c r="H1752" s="5">
        <f t="shared" si="87"/>
        <v>55000</v>
      </c>
      <c r="I1752" s="5">
        <f t="shared" si="88"/>
        <v>75000</v>
      </c>
      <c r="J1752" s="5">
        <f t="shared" si="89"/>
        <v>20000</v>
      </c>
      <c r="K1752" s="5" t="str">
        <f>VLOOKUP(C1752,[1]master_data!$A$2:$E$495,5,FALSE)</f>
        <v>Aksesoris</v>
      </c>
      <c r="L1752" s="5" t="s">
        <v>471</v>
      </c>
    </row>
    <row r="1753" spans="1:12" ht="12" customHeight="1" x14ac:dyDescent="0.25">
      <c r="A1753" s="6">
        <v>44734</v>
      </c>
      <c r="B1753" s="1">
        <v>2202810</v>
      </c>
      <c r="C1753" s="5" t="s">
        <v>406</v>
      </c>
      <c r="D1753" s="5" t="str">
        <f>VLOOKUP(C1753,[1]master_data!$A$2:$E$495,2,FALSE)</f>
        <v>BARBIR</v>
      </c>
      <c r="E1753" s="5">
        <v>30</v>
      </c>
      <c r="F1753" s="5">
        <f>VLOOKUP(C1753,[1]master_data!$A$2:$E$495,3,FALSE)</f>
        <v>800</v>
      </c>
      <c r="G1753" s="5">
        <f>VLOOKUP(C1753,[1]master_data!$A$2:$E$495,4,FALSE)</f>
        <v>2000</v>
      </c>
      <c r="H1753" s="5">
        <f t="shared" si="87"/>
        <v>24000</v>
      </c>
      <c r="I1753" s="5">
        <f t="shared" si="88"/>
        <v>60000</v>
      </c>
      <c r="J1753" s="5">
        <f t="shared" si="89"/>
        <v>36000</v>
      </c>
      <c r="K1753" s="5" t="str">
        <f>VLOOKUP(C1753,[1]master_data!$A$2:$E$495,5,FALSE)</f>
        <v>Ikan</v>
      </c>
      <c r="L1753" s="5" t="s">
        <v>471</v>
      </c>
    </row>
    <row r="1754" spans="1:12" ht="12" customHeight="1" x14ac:dyDescent="0.25">
      <c r="A1754" s="6">
        <v>44734</v>
      </c>
      <c r="B1754" s="1">
        <v>2202809</v>
      </c>
      <c r="C1754" s="5" t="s">
        <v>333</v>
      </c>
      <c r="D1754" s="5" t="str">
        <f>VLOOKUP(C1754,[1]master_data!$A$2:$E$495,2,FALSE)</f>
        <v>KAPAS 2 LAPIS</v>
      </c>
      <c r="E1754" s="5">
        <v>25</v>
      </c>
      <c r="F1754" s="5">
        <f>VLOOKUP(C1754,[1]master_data!$A$2:$E$495,3,FALSE)</f>
        <v>2000</v>
      </c>
      <c r="G1754" s="5">
        <f>VLOOKUP(C1754,[1]master_data!$A$2:$E$495,4,FALSE)</f>
        <v>4000</v>
      </c>
      <c r="H1754" s="5">
        <f t="shared" si="87"/>
        <v>50000</v>
      </c>
      <c r="I1754" s="5">
        <f t="shared" si="88"/>
        <v>100000</v>
      </c>
      <c r="J1754" s="5">
        <f t="shared" si="89"/>
        <v>50000</v>
      </c>
      <c r="K1754" s="5" t="str">
        <f>VLOOKUP(C1754,[1]master_data!$A$2:$E$495,5,FALSE)</f>
        <v>Aksesoris</v>
      </c>
      <c r="L1754" s="5" t="s">
        <v>471</v>
      </c>
    </row>
    <row r="1755" spans="1:12" ht="12" customHeight="1" x14ac:dyDescent="0.25">
      <c r="A1755" s="6">
        <v>44734</v>
      </c>
      <c r="B1755" s="1">
        <v>2202808</v>
      </c>
      <c r="C1755" s="5" t="s">
        <v>66</v>
      </c>
      <c r="D1755" s="5" t="str">
        <f>VLOOKUP(C1755,[1]master_data!$A$2:$E$495,2,FALSE)</f>
        <v>BIO FOAM L</v>
      </c>
      <c r="E1755" s="5">
        <v>2</v>
      </c>
      <c r="F1755" s="5">
        <f>VLOOKUP(C1755,[1]master_data!$A$2:$E$495,3,FALSE)</f>
        <v>22000</v>
      </c>
      <c r="G1755" s="5">
        <f>VLOOKUP(C1755,[1]master_data!$A$2:$E$495,4,FALSE)</f>
        <v>35000</v>
      </c>
      <c r="H1755" s="5">
        <f t="shared" si="87"/>
        <v>44000</v>
      </c>
      <c r="I1755" s="5">
        <f t="shared" si="88"/>
        <v>70000</v>
      </c>
      <c r="J1755" s="5">
        <f t="shared" si="89"/>
        <v>26000</v>
      </c>
      <c r="K1755" s="5" t="str">
        <f>VLOOKUP(C1755,[1]master_data!$A$2:$E$495,5,FALSE)</f>
        <v>Aksesoris</v>
      </c>
      <c r="L1755" s="5" t="s">
        <v>471</v>
      </c>
    </row>
    <row r="1756" spans="1:12" ht="12" customHeight="1" x14ac:dyDescent="0.25">
      <c r="A1756" s="6">
        <v>44734</v>
      </c>
      <c r="B1756" s="1">
        <v>2202807</v>
      </c>
      <c r="C1756" s="5" t="s">
        <v>345</v>
      </c>
      <c r="D1756" s="5" t="str">
        <f>VLOOKUP(C1756,[1]master_data!$A$2:$E$495,2,FALSE)</f>
        <v>AKUARIUM NIKITA S</v>
      </c>
      <c r="E1756" s="5">
        <v>1</v>
      </c>
      <c r="F1756" s="5">
        <f>VLOOKUP(C1756,[1]master_data!$A$2:$E$495,3,FALSE)</f>
        <v>60000</v>
      </c>
      <c r="G1756" s="5">
        <f>VLOOKUP(C1756,[1]master_data!$A$2:$E$495,4,FALSE)</f>
        <v>90000</v>
      </c>
      <c r="H1756" s="5">
        <f t="shared" si="87"/>
        <v>60000</v>
      </c>
      <c r="I1756" s="5">
        <f t="shared" si="88"/>
        <v>90000</v>
      </c>
      <c r="J1756" s="5">
        <f t="shared" si="89"/>
        <v>30000</v>
      </c>
      <c r="K1756" s="5" t="str">
        <f>VLOOKUP(C1756,[1]master_data!$A$2:$E$495,5,FALSE)</f>
        <v>Aksesoris</v>
      </c>
      <c r="L1756" s="5" t="s">
        <v>471</v>
      </c>
    </row>
    <row r="1757" spans="1:12" ht="12" customHeight="1" x14ac:dyDescent="0.25">
      <c r="A1757" s="6">
        <v>44734</v>
      </c>
      <c r="B1757" s="1">
        <v>2202806</v>
      </c>
      <c r="C1757" s="5" t="s">
        <v>396</v>
      </c>
      <c r="D1757" s="5" t="str">
        <f>VLOOKUP(C1757,[1]master_data!$A$2:$E$495,2,FALSE)</f>
        <v>ALGA EATER</v>
      </c>
      <c r="E1757" s="5">
        <v>25</v>
      </c>
      <c r="F1757" s="5">
        <f>VLOOKUP(C1757,[1]master_data!$A$2:$E$495,3,FALSE)</f>
        <v>1750</v>
      </c>
      <c r="G1757" s="5">
        <f>VLOOKUP(C1757,[1]master_data!$A$2:$E$495,4,FALSE)</f>
        <v>5000</v>
      </c>
      <c r="H1757" s="5">
        <f t="shared" si="87"/>
        <v>43750</v>
      </c>
      <c r="I1757" s="5">
        <f t="shared" si="88"/>
        <v>125000</v>
      </c>
      <c r="J1757" s="5">
        <f t="shared" si="89"/>
        <v>81250</v>
      </c>
      <c r="K1757" s="5" t="str">
        <f>VLOOKUP(C1757,[1]master_data!$A$2:$E$495,5,FALSE)</f>
        <v>Ikan</v>
      </c>
      <c r="L1757" s="5" t="s">
        <v>471</v>
      </c>
    </row>
    <row r="1758" spans="1:12" ht="12" customHeight="1" x14ac:dyDescent="0.25">
      <c r="A1758" s="6">
        <v>44733</v>
      </c>
      <c r="B1758" s="1">
        <v>2202805</v>
      </c>
      <c r="C1758" s="5" t="s">
        <v>435</v>
      </c>
      <c r="D1758" s="5" t="str">
        <f>VLOOKUP(C1758,[1]master_data!$A$2:$E$495,2,FALSE)</f>
        <v>MOLI BALON</v>
      </c>
      <c r="E1758" s="5">
        <v>10</v>
      </c>
      <c r="F1758" s="5">
        <f>VLOOKUP(C1758,[1]master_data!$A$2:$E$495,3,FALSE)</f>
        <v>800</v>
      </c>
      <c r="G1758" s="5">
        <f>VLOOKUP(C1758,[1]master_data!$A$2:$E$495,4,FALSE)</f>
        <v>2000</v>
      </c>
      <c r="H1758" s="5">
        <f t="shared" si="87"/>
        <v>8000</v>
      </c>
      <c r="I1758" s="5">
        <f t="shared" si="88"/>
        <v>20000</v>
      </c>
      <c r="J1758" s="5">
        <f t="shared" si="89"/>
        <v>12000</v>
      </c>
      <c r="K1758" s="5" t="str">
        <f>VLOOKUP(C1758,[1]master_data!$A$2:$E$495,5,FALSE)</f>
        <v>Ikan</v>
      </c>
      <c r="L1758" s="5" t="s">
        <v>471</v>
      </c>
    </row>
    <row r="1759" spans="1:12" ht="12" customHeight="1" x14ac:dyDescent="0.25">
      <c r="A1759" s="6">
        <v>44733</v>
      </c>
      <c r="B1759" s="1">
        <v>2202804</v>
      </c>
      <c r="C1759" s="5" t="s">
        <v>304</v>
      </c>
      <c r="D1759" s="5" t="str">
        <f>VLOOKUP(C1759,[1]master_data!$A$2:$E$495,2,FALSE)</f>
        <v>PINSET KANDILA</v>
      </c>
      <c r="E1759" s="5">
        <v>1</v>
      </c>
      <c r="F1759" s="5">
        <f>VLOOKUP(C1759,[1]master_data!$A$2:$E$495,3,FALSE)</f>
        <v>18000</v>
      </c>
      <c r="G1759" s="5">
        <f>VLOOKUP(C1759,[1]master_data!$A$2:$E$495,4,FALSE)</f>
        <v>35000</v>
      </c>
      <c r="H1759" s="5">
        <f t="shared" si="87"/>
        <v>18000</v>
      </c>
      <c r="I1759" s="5">
        <f t="shared" si="88"/>
        <v>35000</v>
      </c>
      <c r="J1759" s="5">
        <f t="shared" si="89"/>
        <v>17000</v>
      </c>
      <c r="K1759" s="5" t="str">
        <f>VLOOKUP(C1759,[1]master_data!$A$2:$E$495,5,FALSE)</f>
        <v>Aksesoris</v>
      </c>
      <c r="L1759" s="5" t="s">
        <v>471</v>
      </c>
    </row>
    <row r="1760" spans="1:12" ht="12" customHeight="1" x14ac:dyDescent="0.25">
      <c r="A1760" s="6">
        <v>44733</v>
      </c>
      <c r="B1760" s="1">
        <v>2202803</v>
      </c>
      <c r="C1760" s="5" t="s">
        <v>414</v>
      </c>
      <c r="D1760" s="5" t="str">
        <f>VLOOKUP(C1760,[1]master_data!$A$2:$E$495,2,FALSE)</f>
        <v>KOKI T</v>
      </c>
      <c r="E1760" s="5">
        <v>2</v>
      </c>
      <c r="F1760" s="5">
        <f>VLOOKUP(C1760,[1]master_data!$A$2:$E$495,3,FALSE)</f>
        <v>8000</v>
      </c>
      <c r="G1760" s="5">
        <f>VLOOKUP(C1760,[1]master_data!$A$2:$E$495,4,FALSE)</f>
        <v>15000</v>
      </c>
      <c r="H1760" s="5">
        <f t="shared" si="87"/>
        <v>16000</v>
      </c>
      <c r="I1760" s="5">
        <f t="shared" si="88"/>
        <v>30000</v>
      </c>
      <c r="J1760" s="5">
        <f t="shared" si="89"/>
        <v>14000</v>
      </c>
      <c r="K1760" s="5" t="str">
        <f>VLOOKUP(C1760,[1]master_data!$A$2:$E$495,5,FALSE)</f>
        <v>Ikan</v>
      </c>
      <c r="L1760" s="5" t="s">
        <v>471</v>
      </c>
    </row>
    <row r="1761" spans="1:12" ht="12" customHeight="1" x14ac:dyDescent="0.25">
      <c r="A1761" s="6">
        <v>44733</v>
      </c>
      <c r="B1761" s="1">
        <v>2202802</v>
      </c>
      <c r="C1761" s="5" t="s">
        <v>388</v>
      </c>
      <c r="D1761" s="5" t="str">
        <f>VLOOKUP(C1761,[1]master_data!$A$2:$E$495,2,FALSE)</f>
        <v>BATU ALAM K</v>
      </c>
      <c r="E1761" s="5">
        <v>25</v>
      </c>
      <c r="F1761" s="5">
        <f>VLOOKUP(C1761,[1]master_data!$A$2:$E$495,3,FALSE)</f>
        <v>5000</v>
      </c>
      <c r="G1761" s="5">
        <f>VLOOKUP(C1761,[1]master_data!$A$2:$E$495,4,FALSE)</f>
        <v>10000</v>
      </c>
      <c r="H1761" s="5">
        <f t="shared" si="87"/>
        <v>125000</v>
      </c>
      <c r="I1761" s="5">
        <f t="shared" si="88"/>
        <v>250000</v>
      </c>
      <c r="J1761" s="5">
        <f t="shared" si="89"/>
        <v>125000</v>
      </c>
      <c r="K1761" s="5" t="str">
        <f>VLOOKUP(C1761,[1]master_data!$A$2:$E$495,5,FALSE)</f>
        <v>Aksesoris</v>
      </c>
      <c r="L1761" s="5" t="s">
        <v>471</v>
      </c>
    </row>
    <row r="1762" spans="1:12" ht="12" customHeight="1" x14ac:dyDescent="0.25">
      <c r="A1762" s="6">
        <v>44733</v>
      </c>
      <c r="B1762" s="1">
        <v>2202801</v>
      </c>
      <c r="C1762" s="5" t="s">
        <v>410</v>
      </c>
      <c r="D1762" s="5" t="str">
        <f>VLOOKUP(C1762,[1]master_data!$A$2:$E$495,2,FALSE)</f>
        <v>GUPY</v>
      </c>
      <c r="E1762" s="5">
        <v>30</v>
      </c>
      <c r="F1762" s="5">
        <f>VLOOKUP(C1762,[1]master_data!$A$2:$E$495,3,FALSE)</f>
        <v>1200</v>
      </c>
      <c r="G1762" s="5">
        <f>VLOOKUP(C1762,[1]master_data!$A$2:$E$495,4,FALSE)</f>
        <v>2500</v>
      </c>
      <c r="H1762" s="5">
        <f t="shared" si="87"/>
        <v>36000</v>
      </c>
      <c r="I1762" s="5">
        <f t="shared" si="88"/>
        <v>75000</v>
      </c>
      <c r="J1762" s="5">
        <f t="shared" si="89"/>
        <v>39000</v>
      </c>
      <c r="K1762" s="5" t="str">
        <f>VLOOKUP(C1762,[1]master_data!$A$2:$E$495,5,FALSE)</f>
        <v>Ikan</v>
      </c>
      <c r="L1762" s="5" t="s">
        <v>471</v>
      </c>
    </row>
    <row r="1763" spans="1:12" ht="12" customHeight="1" x14ac:dyDescent="0.25">
      <c r="A1763" s="6">
        <v>44733</v>
      </c>
      <c r="B1763" s="1">
        <v>2202800</v>
      </c>
      <c r="C1763" s="5" t="s">
        <v>459</v>
      </c>
      <c r="D1763" s="5" t="str">
        <f>VLOOKUP(C1763,[1]master_data!$A$2:$E$495,2,FALSE)</f>
        <v>ZEBRA UNGU</v>
      </c>
      <c r="E1763" s="5">
        <v>20</v>
      </c>
      <c r="F1763" s="5">
        <f>VLOOKUP(C1763,[1]master_data!$A$2:$E$495,3,FALSE)</f>
        <v>800</v>
      </c>
      <c r="G1763" s="5">
        <f>VLOOKUP(C1763,[1]master_data!$A$2:$E$495,4,FALSE)</f>
        <v>2000</v>
      </c>
      <c r="H1763" s="5">
        <f t="shared" si="87"/>
        <v>16000</v>
      </c>
      <c r="I1763" s="5">
        <f t="shared" si="88"/>
        <v>40000</v>
      </c>
      <c r="J1763" s="5">
        <f t="shared" si="89"/>
        <v>24000</v>
      </c>
      <c r="K1763" s="5" t="str">
        <f>VLOOKUP(C1763,[1]master_data!$A$2:$E$495,5,FALSE)</f>
        <v>Ikan</v>
      </c>
      <c r="L1763" s="5" t="s">
        <v>471</v>
      </c>
    </row>
    <row r="1764" spans="1:12" ht="12" customHeight="1" x14ac:dyDescent="0.25">
      <c r="A1764" s="6">
        <v>44733</v>
      </c>
      <c r="B1764" s="1">
        <v>2202799</v>
      </c>
      <c r="C1764" s="5" t="s">
        <v>241</v>
      </c>
      <c r="D1764" s="5" t="str">
        <f>VLOOKUP(C1764,[1]master_data!$A$2:$E$495,2,FALSE)</f>
        <v>PAKAN KURA WARNA</v>
      </c>
      <c r="E1764" s="5">
        <v>1</v>
      </c>
      <c r="F1764" s="5">
        <f>VLOOKUP(C1764,[1]master_data!$A$2:$E$495,3,FALSE)</f>
        <v>7000</v>
      </c>
      <c r="G1764" s="5">
        <f>VLOOKUP(C1764,[1]master_data!$A$2:$E$495,4,FALSE)</f>
        <v>12000</v>
      </c>
      <c r="H1764" s="5">
        <f t="shared" si="87"/>
        <v>7000</v>
      </c>
      <c r="I1764" s="5">
        <f t="shared" si="88"/>
        <v>12000</v>
      </c>
      <c r="J1764" s="5">
        <f t="shared" si="89"/>
        <v>5000</v>
      </c>
      <c r="K1764" s="5" t="str">
        <f>VLOOKUP(C1764,[1]master_data!$A$2:$E$495,5,FALSE)</f>
        <v>Aksesoris</v>
      </c>
      <c r="L1764" s="5" t="s">
        <v>471</v>
      </c>
    </row>
    <row r="1765" spans="1:12" ht="12" customHeight="1" x14ac:dyDescent="0.25">
      <c r="A1765" s="6">
        <v>44733</v>
      </c>
      <c r="B1765" s="1">
        <v>2202798</v>
      </c>
      <c r="C1765" s="5" t="s">
        <v>390</v>
      </c>
      <c r="D1765" s="5" t="str">
        <f>VLOOKUP(C1765,[1]master_data!$A$2:$E$495,2,FALSE)</f>
        <v>CHANNA ASIATICA K</v>
      </c>
      <c r="E1765" s="5">
        <v>1</v>
      </c>
      <c r="F1765" s="5">
        <f>VLOOKUP(C1765,[1]master_data!$A$2:$E$495,3,FALSE)</f>
        <v>10000</v>
      </c>
      <c r="G1765" s="5">
        <f>VLOOKUP(C1765,[1]master_data!$A$2:$E$495,4,FALSE)</f>
        <v>40000</v>
      </c>
      <c r="H1765" s="5">
        <f t="shared" si="87"/>
        <v>10000</v>
      </c>
      <c r="I1765" s="5">
        <f t="shared" si="88"/>
        <v>40000</v>
      </c>
      <c r="J1765" s="5">
        <f t="shared" si="89"/>
        <v>30000</v>
      </c>
      <c r="K1765" s="5" t="str">
        <f>VLOOKUP(C1765,[1]master_data!$A$2:$E$495,5,FALSE)</f>
        <v>Ikan</v>
      </c>
      <c r="L1765" s="5" t="s">
        <v>471</v>
      </c>
    </row>
    <row r="1766" spans="1:12" ht="12" customHeight="1" x14ac:dyDescent="0.25">
      <c r="A1766" s="6">
        <v>44733</v>
      </c>
      <c r="B1766" s="1">
        <v>2202797</v>
      </c>
      <c r="C1766" s="5" t="s">
        <v>136</v>
      </c>
      <c r="D1766" s="5" t="str">
        <f>VLOOKUP(C1766,[1]master_data!$A$2:$E$495,2,FALSE)</f>
        <v>LED NIKITA NS 600</v>
      </c>
      <c r="E1766" s="5">
        <v>3</v>
      </c>
      <c r="F1766" s="5">
        <f>VLOOKUP(C1766,[1]master_data!$A$2:$E$495,3,FALSE)</f>
        <v>50000</v>
      </c>
      <c r="G1766" s="5">
        <f>VLOOKUP(C1766,[1]master_data!$A$2:$E$495,4,FALSE)</f>
        <v>75000</v>
      </c>
      <c r="H1766" s="5">
        <f t="shared" si="87"/>
        <v>150000</v>
      </c>
      <c r="I1766" s="5">
        <f t="shared" si="88"/>
        <v>225000</v>
      </c>
      <c r="J1766" s="5">
        <f t="shared" si="89"/>
        <v>75000</v>
      </c>
      <c r="K1766" s="5" t="str">
        <f>VLOOKUP(C1766,[1]master_data!$A$2:$E$495,5,FALSE)</f>
        <v>Aksesoris</v>
      </c>
      <c r="L1766" s="5" t="s">
        <v>471</v>
      </c>
    </row>
    <row r="1767" spans="1:12" ht="12" customHeight="1" x14ac:dyDescent="0.25">
      <c r="A1767" s="6">
        <v>44733</v>
      </c>
      <c r="B1767" s="1">
        <v>2202796</v>
      </c>
      <c r="C1767" s="5" t="s">
        <v>438</v>
      </c>
      <c r="D1767" s="5" t="str">
        <f>VLOOKUP(C1767,[1]master_data!$A$2:$E$495,2,FALSE)</f>
        <v>NENTINEN</v>
      </c>
      <c r="E1767" s="5">
        <v>20</v>
      </c>
      <c r="F1767" s="5">
        <f>VLOOKUP(C1767,[1]master_data!$A$2:$E$495,3,FALSE)</f>
        <v>1000</v>
      </c>
      <c r="G1767" s="5">
        <f>VLOOKUP(C1767,[1]master_data!$A$2:$E$495,4,FALSE)</f>
        <v>2500</v>
      </c>
      <c r="H1767" s="5">
        <f t="shared" si="87"/>
        <v>20000</v>
      </c>
      <c r="I1767" s="5">
        <f t="shared" si="88"/>
        <v>50000</v>
      </c>
      <c r="J1767" s="5">
        <f t="shared" si="89"/>
        <v>30000</v>
      </c>
      <c r="K1767" s="5" t="str">
        <f>VLOOKUP(C1767,[1]master_data!$A$2:$E$495,5,FALSE)</f>
        <v>Ikan</v>
      </c>
      <c r="L1767" s="5" t="s">
        <v>471</v>
      </c>
    </row>
    <row r="1768" spans="1:12" ht="12" customHeight="1" x14ac:dyDescent="0.25">
      <c r="A1768" s="6">
        <v>44733</v>
      </c>
      <c r="B1768" s="1">
        <v>2202795</v>
      </c>
      <c r="C1768" s="5" t="s">
        <v>421</v>
      </c>
      <c r="D1768" s="5" t="str">
        <f>VLOOKUP(C1768,[1]master_data!$A$2:$E$495,2,FALSE)</f>
        <v>KOMET PAKAN</v>
      </c>
      <c r="E1768" s="5">
        <v>15</v>
      </c>
      <c r="F1768" s="5">
        <f>VLOOKUP(C1768,[1]master_data!$A$2:$E$495,3,FALSE)</f>
        <v>300</v>
      </c>
      <c r="G1768" s="5">
        <f>VLOOKUP(C1768,[1]master_data!$A$2:$E$495,4,FALSE)</f>
        <v>1000</v>
      </c>
      <c r="H1768" s="5">
        <f t="shared" si="87"/>
        <v>4500</v>
      </c>
      <c r="I1768" s="5">
        <f t="shared" si="88"/>
        <v>15000</v>
      </c>
      <c r="J1768" s="5">
        <f t="shared" si="89"/>
        <v>10500</v>
      </c>
      <c r="K1768" s="5" t="str">
        <f>VLOOKUP(C1768,[1]master_data!$A$2:$E$495,5,FALSE)</f>
        <v>Ikan</v>
      </c>
      <c r="L1768" s="5" t="s">
        <v>471</v>
      </c>
    </row>
    <row r="1769" spans="1:12" ht="12" customHeight="1" x14ac:dyDescent="0.25">
      <c r="A1769" s="6">
        <v>44733</v>
      </c>
      <c r="B1769" s="1">
        <v>2202794</v>
      </c>
      <c r="C1769" s="5" t="s">
        <v>272</v>
      </c>
      <c r="D1769" s="5" t="str">
        <f>VLOOKUP(C1769,[1]master_data!$A$2:$E$495,2,FALSE)</f>
        <v>JARING 10</v>
      </c>
      <c r="E1769" s="5">
        <v>2</v>
      </c>
      <c r="F1769" s="5">
        <f>VLOOKUP(C1769,[1]master_data!$A$2:$E$495,3,FALSE)</f>
        <v>2900</v>
      </c>
      <c r="G1769" s="5">
        <f>VLOOKUP(C1769,[1]master_data!$A$2:$E$495,4,FALSE)</f>
        <v>6000</v>
      </c>
      <c r="H1769" s="5">
        <f t="shared" si="87"/>
        <v>5800</v>
      </c>
      <c r="I1769" s="5">
        <f t="shared" si="88"/>
        <v>12000</v>
      </c>
      <c r="J1769" s="5">
        <f t="shared" si="89"/>
        <v>6200</v>
      </c>
      <c r="K1769" s="5" t="str">
        <f>VLOOKUP(C1769,[1]master_data!$A$2:$E$495,5,FALSE)</f>
        <v>Aksesoris</v>
      </c>
      <c r="L1769" s="5" t="s">
        <v>471</v>
      </c>
    </row>
    <row r="1770" spans="1:12" ht="12" customHeight="1" x14ac:dyDescent="0.25">
      <c r="A1770" s="6">
        <v>44733</v>
      </c>
      <c r="B1770" s="1">
        <v>2202793</v>
      </c>
      <c r="C1770" s="5" t="s">
        <v>417</v>
      </c>
      <c r="D1770" s="5" t="str">
        <f>VLOOKUP(C1770,[1]master_data!$A$2:$E$495,2,FALSE)</f>
        <v>KOI T</v>
      </c>
      <c r="E1770" s="5">
        <v>2</v>
      </c>
      <c r="F1770" s="5">
        <f>VLOOKUP(C1770,[1]master_data!$A$2:$E$495,3,FALSE)</f>
        <v>7000</v>
      </c>
      <c r="G1770" s="5">
        <f>VLOOKUP(C1770,[1]master_data!$A$2:$E$495,4,FALSE)</f>
        <v>20000</v>
      </c>
      <c r="H1770" s="5">
        <f t="shared" si="87"/>
        <v>14000</v>
      </c>
      <c r="I1770" s="5">
        <f t="shared" si="88"/>
        <v>40000</v>
      </c>
      <c r="J1770" s="5">
        <f t="shared" si="89"/>
        <v>26000</v>
      </c>
      <c r="K1770" s="5" t="str">
        <f>VLOOKUP(C1770,[1]master_data!$A$2:$E$495,5,FALSE)</f>
        <v>Ikan</v>
      </c>
      <c r="L1770" s="5" t="s">
        <v>471</v>
      </c>
    </row>
    <row r="1771" spans="1:12" ht="12" customHeight="1" x14ac:dyDescent="0.25">
      <c r="A1771" s="6">
        <v>44733</v>
      </c>
      <c r="B1771" s="1">
        <v>2202792</v>
      </c>
      <c r="C1771" s="5" t="s">
        <v>425</v>
      </c>
      <c r="D1771" s="5" t="str">
        <f>VLOOKUP(C1771,[1]master_data!$A$2:$E$495,2,FALSE)</f>
        <v>CAROLINE</v>
      </c>
      <c r="E1771" s="5">
        <v>15</v>
      </c>
      <c r="F1771" s="5">
        <f>VLOOKUP(C1771,[1]master_data!$A$2:$E$495,3,FALSE)</f>
        <v>900</v>
      </c>
      <c r="G1771" s="5">
        <f>VLOOKUP(C1771,[1]master_data!$A$2:$E$495,4,FALSE)</f>
        <v>2000</v>
      </c>
      <c r="H1771" s="5">
        <f t="shared" si="87"/>
        <v>13500</v>
      </c>
      <c r="I1771" s="5">
        <f t="shared" si="88"/>
        <v>30000</v>
      </c>
      <c r="J1771" s="5">
        <f t="shared" si="89"/>
        <v>16500</v>
      </c>
      <c r="K1771" s="5" t="str">
        <f>VLOOKUP(C1771,[1]master_data!$A$2:$E$495,5,FALSE)</f>
        <v>Ikan</v>
      </c>
      <c r="L1771" s="5" t="s">
        <v>471</v>
      </c>
    </row>
    <row r="1772" spans="1:12" ht="12" customHeight="1" x14ac:dyDescent="0.25">
      <c r="A1772" s="6">
        <v>44733</v>
      </c>
      <c r="B1772" s="1">
        <v>2202791</v>
      </c>
      <c r="C1772" s="5" t="s">
        <v>390</v>
      </c>
      <c r="D1772" s="5" t="str">
        <f>VLOOKUP(C1772,[1]master_data!$A$2:$E$495,2,FALSE)</f>
        <v>CHANNA ASIATICA K</v>
      </c>
      <c r="E1772" s="5">
        <v>1</v>
      </c>
      <c r="F1772" s="5">
        <f>VLOOKUP(C1772,[1]master_data!$A$2:$E$495,3,FALSE)</f>
        <v>10000</v>
      </c>
      <c r="G1772" s="5">
        <f>VLOOKUP(C1772,[1]master_data!$A$2:$E$495,4,FALSE)</f>
        <v>40000</v>
      </c>
      <c r="H1772" s="5">
        <f t="shared" si="87"/>
        <v>10000</v>
      </c>
      <c r="I1772" s="5">
        <f t="shared" si="88"/>
        <v>40000</v>
      </c>
      <c r="J1772" s="5">
        <f t="shared" si="89"/>
        <v>30000</v>
      </c>
      <c r="K1772" s="5" t="str">
        <f>VLOOKUP(C1772,[1]master_data!$A$2:$E$495,5,FALSE)</f>
        <v>Ikan</v>
      </c>
      <c r="L1772" s="5" t="s">
        <v>471</v>
      </c>
    </row>
    <row r="1773" spans="1:12" ht="12" customHeight="1" x14ac:dyDescent="0.25">
      <c r="A1773" s="6">
        <v>44732</v>
      </c>
      <c r="B1773" s="1">
        <v>2202790</v>
      </c>
      <c r="C1773" s="5" t="s">
        <v>431</v>
      </c>
      <c r="D1773" s="5" t="str">
        <f>VLOOKUP(C1773,[1]master_data!$A$2:$E$495,2,FALSE)</f>
        <v>MANFISH B</v>
      </c>
      <c r="E1773" s="5">
        <v>1</v>
      </c>
      <c r="F1773" s="5">
        <f>VLOOKUP(C1773,[1]master_data!$A$2:$E$495,3,FALSE)</f>
        <v>4000</v>
      </c>
      <c r="G1773" s="5">
        <f>VLOOKUP(C1773,[1]master_data!$A$2:$E$495,4,FALSE)</f>
        <v>10000</v>
      </c>
      <c r="H1773" s="5">
        <f t="shared" si="87"/>
        <v>4000</v>
      </c>
      <c r="I1773" s="5">
        <f t="shared" si="88"/>
        <v>10000</v>
      </c>
      <c r="J1773" s="5">
        <f t="shared" si="89"/>
        <v>6000</v>
      </c>
      <c r="K1773" s="5" t="str">
        <f>VLOOKUP(C1773,[1]master_data!$A$2:$E$495,5,FALSE)</f>
        <v>Ikan</v>
      </c>
      <c r="L1773" s="5" t="s">
        <v>471</v>
      </c>
    </row>
    <row r="1774" spans="1:12" ht="12" customHeight="1" x14ac:dyDescent="0.25">
      <c r="A1774" s="6">
        <v>44732</v>
      </c>
      <c r="B1774" s="1">
        <v>2202789</v>
      </c>
      <c r="C1774" s="5" t="s">
        <v>433</v>
      </c>
      <c r="D1774" s="5" t="str">
        <f>VLOOKUP(C1774,[1]master_data!$A$2:$E$495,2,FALSE)</f>
        <v>MARU B</v>
      </c>
      <c r="E1774" s="5">
        <v>1</v>
      </c>
      <c r="F1774" s="5">
        <f>VLOOKUP(C1774,[1]master_data!$A$2:$E$495,3,FALSE)</f>
        <v>90000</v>
      </c>
      <c r="G1774" s="5">
        <f>VLOOKUP(C1774,[1]master_data!$A$2:$E$495,4,FALSE)</f>
        <v>150000</v>
      </c>
      <c r="H1774" s="5">
        <f t="shared" si="87"/>
        <v>90000</v>
      </c>
      <c r="I1774" s="5">
        <f t="shared" si="88"/>
        <v>150000</v>
      </c>
      <c r="J1774" s="5">
        <f t="shared" si="89"/>
        <v>60000</v>
      </c>
      <c r="K1774" s="5" t="str">
        <f>VLOOKUP(C1774,[1]master_data!$A$2:$E$495,5,FALSE)</f>
        <v>Ikan</v>
      </c>
      <c r="L1774" s="5" t="s">
        <v>471</v>
      </c>
    </row>
    <row r="1775" spans="1:12" ht="12" customHeight="1" x14ac:dyDescent="0.25">
      <c r="A1775" s="6">
        <v>44732</v>
      </c>
      <c r="B1775" s="1">
        <v>2202788</v>
      </c>
      <c r="C1775" s="5" t="s">
        <v>408</v>
      </c>
      <c r="D1775" s="5" t="str">
        <f>VLOOKUP(C1775,[1]master_data!$A$2:$E$495,2,FALSE)</f>
        <v>CATFISH</v>
      </c>
      <c r="E1775" s="5">
        <v>1</v>
      </c>
      <c r="F1775" s="5">
        <f>VLOOKUP(C1775,[1]master_data!$A$2:$E$495,3,FALSE)</f>
        <v>20000</v>
      </c>
      <c r="G1775" s="5">
        <f>VLOOKUP(C1775,[1]master_data!$A$2:$E$495,4,FALSE)</f>
        <v>50000</v>
      </c>
      <c r="H1775" s="5">
        <f t="shared" si="87"/>
        <v>20000</v>
      </c>
      <c r="I1775" s="5">
        <f t="shared" si="88"/>
        <v>50000</v>
      </c>
      <c r="J1775" s="5">
        <f t="shared" si="89"/>
        <v>30000</v>
      </c>
      <c r="K1775" s="5" t="str">
        <f>VLOOKUP(C1775,[1]master_data!$A$2:$E$495,5,FALSE)</f>
        <v>Ikan</v>
      </c>
      <c r="L1775" s="5" t="s">
        <v>471</v>
      </c>
    </row>
    <row r="1776" spans="1:12" ht="12" customHeight="1" x14ac:dyDescent="0.25">
      <c r="A1776" s="6">
        <v>44732</v>
      </c>
      <c r="B1776" s="1">
        <v>2202787</v>
      </c>
      <c r="C1776" s="5" t="s">
        <v>154</v>
      </c>
      <c r="D1776" s="5" t="str">
        <f>VLOOKUP(C1776,[1]master_data!$A$2:$E$495,2,FALSE)</f>
        <v>LED VOSSO A 600</v>
      </c>
      <c r="E1776" s="5">
        <v>5</v>
      </c>
      <c r="F1776" s="5">
        <f>VLOOKUP(C1776,[1]master_data!$A$2:$E$495,3,FALSE)</f>
        <v>55000</v>
      </c>
      <c r="G1776" s="5">
        <f>VLOOKUP(C1776,[1]master_data!$A$2:$E$495,4,FALSE)</f>
        <v>75000</v>
      </c>
      <c r="H1776" s="5">
        <f t="shared" si="87"/>
        <v>275000</v>
      </c>
      <c r="I1776" s="5">
        <f t="shared" si="88"/>
        <v>375000</v>
      </c>
      <c r="J1776" s="5">
        <f t="shared" si="89"/>
        <v>100000</v>
      </c>
      <c r="K1776" s="5" t="str">
        <f>VLOOKUP(C1776,[1]master_data!$A$2:$E$495,5,FALSE)</f>
        <v>Aksesoris</v>
      </c>
      <c r="L1776" s="5" t="s">
        <v>471</v>
      </c>
    </row>
    <row r="1777" spans="1:12" ht="12" customHeight="1" x14ac:dyDescent="0.25">
      <c r="A1777" s="6">
        <v>44732</v>
      </c>
      <c r="B1777" s="1">
        <v>2202786</v>
      </c>
      <c r="C1777" s="5" t="s">
        <v>109</v>
      </c>
      <c r="D1777" s="5" t="str">
        <f>VLOOKUP(C1777,[1]master_data!$A$2:$E$495,2,FALSE)</f>
        <v>AIRATOR KANDILA LUB 2</v>
      </c>
      <c r="E1777" s="5">
        <v>10</v>
      </c>
      <c r="F1777" s="5">
        <f>VLOOKUP(C1777,[1]master_data!$A$2:$E$495,3,FALSE)</f>
        <v>26000</v>
      </c>
      <c r="G1777" s="5">
        <f>VLOOKUP(C1777,[1]master_data!$A$2:$E$495,4,FALSE)</f>
        <v>50000</v>
      </c>
      <c r="H1777" s="5">
        <f t="shared" si="87"/>
        <v>260000</v>
      </c>
      <c r="I1777" s="5">
        <f t="shared" si="88"/>
        <v>500000</v>
      </c>
      <c r="J1777" s="5">
        <f t="shared" si="89"/>
        <v>240000</v>
      </c>
      <c r="K1777" s="5" t="str">
        <f>VLOOKUP(C1777,[1]master_data!$A$2:$E$495,5,FALSE)</f>
        <v>Aksesoris</v>
      </c>
      <c r="L1777" s="5" t="s">
        <v>471</v>
      </c>
    </row>
    <row r="1778" spans="1:12" ht="12" customHeight="1" x14ac:dyDescent="0.25">
      <c r="A1778" s="6">
        <v>44732</v>
      </c>
      <c r="B1778" s="1">
        <v>2202785</v>
      </c>
      <c r="C1778" s="5" t="s">
        <v>399</v>
      </c>
      <c r="D1778" s="5" t="str">
        <f>VLOOKUP(C1778,[1]master_data!$A$2:$E$495,2,FALSE)</f>
        <v>BUENOS AIRES TETRA</v>
      </c>
      <c r="E1778" s="5">
        <v>15</v>
      </c>
      <c r="F1778" s="5">
        <f>VLOOKUP(C1778,[1]master_data!$A$2:$E$495,3,FALSE)</f>
        <v>800</v>
      </c>
      <c r="G1778" s="5">
        <f>VLOOKUP(C1778,[1]master_data!$A$2:$E$495,4,FALSE)</f>
        <v>2000</v>
      </c>
      <c r="H1778" s="5">
        <f t="shared" si="87"/>
        <v>12000</v>
      </c>
      <c r="I1778" s="5">
        <f t="shared" si="88"/>
        <v>30000</v>
      </c>
      <c r="J1778" s="5">
        <f t="shared" si="89"/>
        <v>18000</v>
      </c>
      <c r="K1778" s="5" t="str">
        <f>VLOOKUP(C1778,[1]master_data!$A$2:$E$495,5,FALSE)</f>
        <v>Ikan</v>
      </c>
      <c r="L1778" s="5" t="s">
        <v>471</v>
      </c>
    </row>
    <row r="1779" spans="1:12" ht="12" customHeight="1" x14ac:dyDescent="0.25">
      <c r="A1779" s="6">
        <v>44731</v>
      </c>
      <c r="B1779" s="1">
        <v>2202784</v>
      </c>
      <c r="C1779" s="5" t="s">
        <v>390</v>
      </c>
      <c r="D1779" s="5" t="str">
        <f>VLOOKUP(C1779,[1]master_data!$A$2:$E$495,2,FALSE)</f>
        <v>CHANNA ASIATICA K</v>
      </c>
      <c r="E1779" s="5">
        <v>1</v>
      </c>
      <c r="F1779" s="5">
        <f>VLOOKUP(C1779,[1]master_data!$A$2:$E$495,3,FALSE)</f>
        <v>10000</v>
      </c>
      <c r="G1779" s="5">
        <f>VLOOKUP(C1779,[1]master_data!$A$2:$E$495,4,FALSE)</f>
        <v>40000</v>
      </c>
      <c r="H1779" s="5">
        <f t="shared" si="87"/>
        <v>10000</v>
      </c>
      <c r="I1779" s="5">
        <f t="shared" si="88"/>
        <v>40000</v>
      </c>
      <c r="J1779" s="5">
        <f t="shared" si="89"/>
        <v>30000</v>
      </c>
      <c r="K1779" s="5" t="str">
        <f>VLOOKUP(C1779,[1]master_data!$A$2:$E$495,5,FALSE)</f>
        <v>Ikan</v>
      </c>
      <c r="L1779" s="5" t="s">
        <v>471</v>
      </c>
    </row>
    <row r="1780" spans="1:12" ht="12" customHeight="1" x14ac:dyDescent="0.25">
      <c r="A1780" s="6">
        <v>44731</v>
      </c>
      <c r="B1780" s="1">
        <v>2202783</v>
      </c>
      <c r="C1780" s="5" t="s">
        <v>147</v>
      </c>
      <c r="D1780" s="5" t="str">
        <f>VLOOKUP(C1780,[1]master_data!$A$2:$E$495,2,FALSE)</f>
        <v>LED KANDILA 3 BRS 30 CM</v>
      </c>
      <c r="E1780" s="5">
        <v>2</v>
      </c>
      <c r="F1780" s="5">
        <f>VLOOKUP(C1780,[1]master_data!$A$2:$E$495,3,FALSE)</f>
        <v>22000</v>
      </c>
      <c r="G1780" s="5">
        <f>VLOOKUP(C1780,[1]master_data!$A$2:$E$495,4,FALSE)</f>
        <v>40000</v>
      </c>
      <c r="H1780" s="5">
        <f t="shared" si="87"/>
        <v>44000</v>
      </c>
      <c r="I1780" s="5">
        <f t="shared" si="88"/>
        <v>80000</v>
      </c>
      <c r="J1780" s="5">
        <f t="shared" si="89"/>
        <v>36000</v>
      </c>
      <c r="K1780" s="5" t="str">
        <f>VLOOKUP(C1780,[1]master_data!$A$2:$E$495,5,FALSE)</f>
        <v>Aksesoris</v>
      </c>
      <c r="L1780" s="5" t="s">
        <v>471</v>
      </c>
    </row>
    <row r="1781" spans="1:12" ht="12" customHeight="1" x14ac:dyDescent="0.25">
      <c r="A1781" s="6">
        <v>44731</v>
      </c>
      <c r="B1781" s="1">
        <v>2202782</v>
      </c>
      <c r="C1781" s="5" t="s">
        <v>400</v>
      </c>
      <c r="D1781" s="5" t="str">
        <f>VLOOKUP(C1781,[1]master_data!$A$2:$E$495,2,FALSE)</f>
        <v>BALA BALA K</v>
      </c>
      <c r="E1781" s="5">
        <v>30</v>
      </c>
      <c r="F1781" s="5">
        <f>VLOOKUP(C1781,[1]master_data!$A$2:$E$495,3,FALSE)</f>
        <v>4000</v>
      </c>
      <c r="G1781" s="5">
        <f>VLOOKUP(C1781,[1]master_data!$A$2:$E$495,4,FALSE)</f>
        <v>8000</v>
      </c>
      <c r="H1781" s="5">
        <f t="shared" si="87"/>
        <v>120000</v>
      </c>
      <c r="I1781" s="5">
        <f t="shared" si="88"/>
        <v>240000</v>
      </c>
      <c r="J1781" s="5">
        <f t="shared" si="89"/>
        <v>120000</v>
      </c>
      <c r="K1781" s="5" t="str">
        <f>VLOOKUP(C1781,[1]master_data!$A$2:$E$495,5,FALSE)</f>
        <v>Ikan</v>
      </c>
      <c r="L1781" s="5" t="s">
        <v>471</v>
      </c>
    </row>
    <row r="1782" spans="1:12" ht="12" customHeight="1" x14ac:dyDescent="0.25">
      <c r="A1782" s="6">
        <v>44731</v>
      </c>
      <c r="B1782" s="1">
        <v>2202781</v>
      </c>
      <c r="C1782" s="5" t="s">
        <v>336</v>
      </c>
      <c r="D1782" s="5" t="str">
        <f>VLOOKUP(C1782,[1]master_data!$A$2:$E$495,2,FALSE)</f>
        <v xml:space="preserve">PK </v>
      </c>
      <c r="E1782" s="5">
        <v>10</v>
      </c>
      <c r="F1782" s="5">
        <f>VLOOKUP(C1782,[1]master_data!$A$2:$E$495,3,FALSE)</f>
        <v>15000</v>
      </c>
      <c r="G1782" s="5">
        <f>VLOOKUP(C1782,[1]master_data!$A$2:$E$495,4,FALSE)</f>
        <v>25000</v>
      </c>
      <c r="H1782" s="5">
        <f t="shared" si="87"/>
        <v>150000</v>
      </c>
      <c r="I1782" s="5">
        <f t="shared" si="88"/>
        <v>250000</v>
      </c>
      <c r="J1782" s="5">
        <f t="shared" si="89"/>
        <v>100000</v>
      </c>
      <c r="K1782" s="5" t="str">
        <f>VLOOKUP(C1782,[1]master_data!$A$2:$E$495,5,FALSE)</f>
        <v>Aksesoris</v>
      </c>
      <c r="L1782" s="5" t="s">
        <v>471</v>
      </c>
    </row>
    <row r="1783" spans="1:12" ht="12" customHeight="1" x14ac:dyDescent="0.25">
      <c r="A1783" s="6">
        <v>44731</v>
      </c>
      <c r="B1783" s="1">
        <v>2202780</v>
      </c>
      <c r="C1783" s="5" t="s">
        <v>462</v>
      </c>
      <c r="D1783" s="5" t="str">
        <f>VLOOKUP(C1783,[1]master_data!$A$2:$E$495,2,FALSE)</f>
        <v>SEPAT ALBINO</v>
      </c>
      <c r="E1783" s="5">
        <v>15</v>
      </c>
      <c r="F1783" s="5">
        <f>VLOOKUP(C1783,[1]master_data!$A$2:$E$495,3,FALSE)</f>
        <v>2000</v>
      </c>
      <c r="G1783" s="5">
        <f>VLOOKUP(C1783,[1]master_data!$A$2:$E$495,4,FALSE)</f>
        <v>5000</v>
      </c>
      <c r="H1783" s="5">
        <f t="shared" si="87"/>
        <v>30000</v>
      </c>
      <c r="I1783" s="5">
        <f t="shared" si="88"/>
        <v>75000</v>
      </c>
      <c r="J1783" s="5">
        <f t="shared" si="89"/>
        <v>45000</v>
      </c>
      <c r="K1783" s="5" t="str">
        <f>VLOOKUP(C1783,[1]master_data!$A$2:$E$495,5,FALSE)</f>
        <v>Ikan</v>
      </c>
      <c r="L1783" s="5" t="s">
        <v>471</v>
      </c>
    </row>
    <row r="1784" spans="1:12" ht="12" customHeight="1" x14ac:dyDescent="0.25">
      <c r="A1784" s="6">
        <v>44731</v>
      </c>
      <c r="B1784" s="1">
        <v>2202779</v>
      </c>
      <c r="C1784" s="5" t="s">
        <v>428</v>
      </c>
      <c r="D1784" s="5" t="str">
        <f>VLOOKUP(C1784,[1]master_data!$A$2:$E$495,2,FALSE)</f>
        <v>LOUHAN</v>
      </c>
      <c r="E1784" s="5">
        <v>1</v>
      </c>
      <c r="F1784" s="5">
        <f>VLOOKUP(C1784,[1]master_data!$A$2:$E$495,3,FALSE)</f>
        <v>85000</v>
      </c>
      <c r="G1784" s="5">
        <f>VLOOKUP(C1784,[1]master_data!$A$2:$E$495,4,FALSE)</f>
        <v>200000</v>
      </c>
      <c r="H1784" s="5">
        <f t="shared" si="87"/>
        <v>85000</v>
      </c>
      <c r="I1784" s="5">
        <f t="shared" si="88"/>
        <v>200000</v>
      </c>
      <c r="J1784" s="5">
        <f t="shared" si="89"/>
        <v>115000</v>
      </c>
      <c r="K1784" s="5" t="str">
        <f>VLOOKUP(C1784,[1]master_data!$A$2:$E$495,5,FALSE)</f>
        <v>Ikan</v>
      </c>
      <c r="L1784" s="5" t="s">
        <v>471</v>
      </c>
    </row>
    <row r="1785" spans="1:12" ht="12" customHeight="1" x14ac:dyDescent="0.25">
      <c r="A1785" s="6">
        <v>44731</v>
      </c>
      <c r="B1785" s="1">
        <v>2202778</v>
      </c>
      <c r="C1785" s="5" t="s">
        <v>427</v>
      </c>
      <c r="D1785" s="5" t="str">
        <f>VLOOKUP(C1785,[1]master_data!$A$2:$E$495,2,FALSE)</f>
        <v>LEMON</v>
      </c>
      <c r="E1785" s="5">
        <v>20</v>
      </c>
      <c r="F1785" s="5">
        <f>VLOOKUP(C1785,[1]master_data!$A$2:$E$495,3,FALSE)</f>
        <v>1000</v>
      </c>
      <c r="G1785" s="5">
        <f>VLOOKUP(C1785,[1]master_data!$A$2:$E$495,4,FALSE)</f>
        <v>2000</v>
      </c>
      <c r="H1785" s="5">
        <f t="shared" si="87"/>
        <v>20000</v>
      </c>
      <c r="I1785" s="5">
        <f t="shared" si="88"/>
        <v>40000</v>
      </c>
      <c r="J1785" s="5">
        <f t="shared" si="89"/>
        <v>20000</v>
      </c>
      <c r="K1785" s="5" t="str">
        <f>VLOOKUP(C1785,[1]master_data!$A$2:$E$495,5,FALSE)</f>
        <v>Ikan</v>
      </c>
      <c r="L1785" s="5" t="s">
        <v>471</v>
      </c>
    </row>
    <row r="1786" spans="1:12" ht="12" customHeight="1" x14ac:dyDescent="0.25">
      <c r="A1786" s="6">
        <v>44730</v>
      </c>
      <c r="B1786" s="1">
        <v>2202777</v>
      </c>
      <c r="C1786" s="5" t="s">
        <v>180</v>
      </c>
      <c r="D1786" s="5" t="str">
        <f>VLOOKUP(C1786,[1]master_data!$A$2:$E$495,2,FALSE)</f>
        <v>LED ARMADA 3 MODE M40</v>
      </c>
      <c r="E1786" s="5">
        <v>2</v>
      </c>
      <c r="F1786" s="5">
        <f>VLOOKUP(C1786,[1]master_data!$A$2:$E$495,3,FALSE)</f>
        <v>24000</v>
      </c>
      <c r="G1786" s="5">
        <f>VLOOKUP(C1786,[1]master_data!$A$2:$E$495,4,FALSE)</f>
        <v>50000</v>
      </c>
      <c r="H1786" s="5">
        <f t="shared" si="87"/>
        <v>48000</v>
      </c>
      <c r="I1786" s="5">
        <f t="shared" si="88"/>
        <v>100000</v>
      </c>
      <c r="J1786" s="5">
        <f t="shared" si="89"/>
        <v>52000</v>
      </c>
      <c r="K1786" s="5" t="str">
        <f>VLOOKUP(C1786,[1]master_data!$A$2:$E$495,5,FALSE)</f>
        <v>Aksesoris</v>
      </c>
      <c r="L1786" s="5" t="s">
        <v>471</v>
      </c>
    </row>
    <row r="1787" spans="1:12" ht="12" customHeight="1" x14ac:dyDescent="0.25">
      <c r="A1787" s="6">
        <v>44730</v>
      </c>
      <c r="B1787" s="1">
        <v>2202776</v>
      </c>
      <c r="C1787" s="5" t="s">
        <v>393</v>
      </c>
      <c r="D1787" s="5" t="str">
        <f>VLOOKUP(C1787,[1]master_data!$A$2:$E$495,2,FALSE)</f>
        <v>CHANNA ANDRAO B</v>
      </c>
      <c r="E1787" s="5">
        <v>1</v>
      </c>
      <c r="F1787" s="5">
        <f>VLOOKUP(C1787,[1]master_data!$A$2:$E$495,3,FALSE)</f>
        <v>100000</v>
      </c>
      <c r="G1787" s="5">
        <f>VLOOKUP(C1787,[1]master_data!$A$2:$E$495,4,FALSE)</f>
        <v>200000</v>
      </c>
      <c r="H1787" s="5">
        <f t="shared" si="87"/>
        <v>100000</v>
      </c>
      <c r="I1787" s="5">
        <f t="shared" si="88"/>
        <v>200000</v>
      </c>
      <c r="J1787" s="5">
        <f t="shared" si="89"/>
        <v>100000</v>
      </c>
      <c r="K1787" s="5" t="str">
        <f>VLOOKUP(C1787,[1]master_data!$A$2:$E$495,5,FALSE)</f>
        <v>Ikan</v>
      </c>
      <c r="L1787" s="5" t="s">
        <v>471</v>
      </c>
    </row>
    <row r="1788" spans="1:12" ht="12" customHeight="1" x14ac:dyDescent="0.25">
      <c r="A1788" s="6">
        <v>44730</v>
      </c>
      <c r="B1788" s="1">
        <v>2202775</v>
      </c>
      <c r="C1788" s="5" t="s">
        <v>450</v>
      </c>
      <c r="D1788" s="5" t="str">
        <f>VLOOKUP(C1788,[1]master_data!$A$2:$E$495,2,FALSE)</f>
        <v>SUMATRA BIASA</v>
      </c>
      <c r="E1788" s="5">
        <v>10</v>
      </c>
      <c r="F1788" s="5">
        <f>VLOOKUP(C1788,[1]master_data!$A$2:$E$495,3,FALSE)</f>
        <v>800</v>
      </c>
      <c r="G1788" s="5">
        <f>VLOOKUP(C1788,[1]master_data!$A$2:$E$495,4,FALSE)</f>
        <v>2000</v>
      </c>
      <c r="H1788" s="5">
        <f t="shared" si="87"/>
        <v>8000</v>
      </c>
      <c r="I1788" s="5">
        <f t="shared" si="88"/>
        <v>20000</v>
      </c>
      <c r="J1788" s="5">
        <f t="shared" si="89"/>
        <v>12000</v>
      </c>
      <c r="K1788" s="5" t="str">
        <f>VLOOKUP(C1788,[1]master_data!$A$2:$E$495,5,FALSE)</f>
        <v>Ikan</v>
      </c>
      <c r="L1788" s="5" t="s">
        <v>471</v>
      </c>
    </row>
    <row r="1789" spans="1:12" ht="12" customHeight="1" x14ac:dyDescent="0.25">
      <c r="A1789" s="6">
        <v>44730</v>
      </c>
      <c r="B1789" s="1">
        <v>2202774</v>
      </c>
      <c r="C1789" s="5" t="s">
        <v>39</v>
      </c>
      <c r="D1789" s="5" t="str">
        <f>VLOOKUP(C1789,[1]master_data!$A$2:$E$495,2,FALSE)</f>
        <v>MESIN YAMANO 107</v>
      </c>
      <c r="E1789" s="5">
        <v>1</v>
      </c>
      <c r="F1789" s="5">
        <f>VLOOKUP(C1789,[1]master_data!$A$2:$E$495,3,FALSE)</f>
        <v>280000</v>
      </c>
      <c r="G1789" s="5">
        <f>VLOOKUP(C1789,[1]master_data!$A$2:$E$495,4,FALSE)</f>
        <v>321000</v>
      </c>
      <c r="H1789" s="5">
        <f t="shared" si="87"/>
        <v>280000</v>
      </c>
      <c r="I1789" s="5">
        <f t="shared" si="88"/>
        <v>321000</v>
      </c>
      <c r="J1789" s="5">
        <f t="shared" si="89"/>
        <v>41000</v>
      </c>
      <c r="K1789" s="5" t="str">
        <f>VLOOKUP(C1789,[1]master_data!$A$2:$E$495,5,FALSE)</f>
        <v>Aksesoris</v>
      </c>
      <c r="L1789" s="5" t="s">
        <v>471</v>
      </c>
    </row>
    <row r="1790" spans="1:12" ht="12" customHeight="1" x14ac:dyDescent="0.25">
      <c r="A1790" s="6">
        <v>44730</v>
      </c>
      <c r="B1790" s="1">
        <v>2202773</v>
      </c>
      <c r="C1790" s="5" t="s">
        <v>93</v>
      </c>
      <c r="D1790" s="5" t="str">
        <f>VLOOKUP(C1790,[1]master_data!$A$2:$E$495,2,FALSE)</f>
        <v>MESIN AMARA 104</v>
      </c>
      <c r="E1790" s="5">
        <v>1</v>
      </c>
      <c r="F1790" s="5">
        <f>VLOOKUP(C1790,[1]master_data!$A$2:$E$495,3,FALSE)</f>
        <v>120000</v>
      </c>
      <c r="G1790" s="5">
        <f>VLOOKUP(C1790,[1]master_data!$A$2:$E$495,4,FALSE)</f>
        <v>160000</v>
      </c>
      <c r="H1790" s="5">
        <f t="shared" si="87"/>
        <v>120000</v>
      </c>
      <c r="I1790" s="5">
        <f t="shared" si="88"/>
        <v>160000</v>
      </c>
      <c r="J1790" s="5">
        <f t="shared" si="89"/>
        <v>40000</v>
      </c>
      <c r="K1790" s="5" t="str">
        <f>VLOOKUP(C1790,[1]master_data!$A$2:$E$495,5,FALSE)</f>
        <v>Aksesoris</v>
      </c>
      <c r="L1790" s="5" t="s">
        <v>471</v>
      </c>
    </row>
    <row r="1791" spans="1:12" ht="12" customHeight="1" x14ac:dyDescent="0.25">
      <c r="A1791" s="6">
        <v>44730</v>
      </c>
      <c r="B1791" s="1">
        <v>2202772</v>
      </c>
      <c r="C1791" s="5" t="s">
        <v>390</v>
      </c>
      <c r="D1791" s="5" t="str">
        <f>VLOOKUP(C1791,[1]master_data!$A$2:$E$495,2,FALSE)</f>
        <v>CHANNA ASIATICA K</v>
      </c>
      <c r="E1791" s="5">
        <v>1</v>
      </c>
      <c r="F1791" s="5">
        <f>VLOOKUP(C1791,[1]master_data!$A$2:$E$495,3,FALSE)</f>
        <v>10000</v>
      </c>
      <c r="G1791" s="5">
        <f>VLOOKUP(C1791,[1]master_data!$A$2:$E$495,4,FALSE)</f>
        <v>40000</v>
      </c>
      <c r="H1791" s="5">
        <f t="shared" si="87"/>
        <v>10000</v>
      </c>
      <c r="I1791" s="5">
        <f t="shared" si="88"/>
        <v>40000</v>
      </c>
      <c r="J1791" s="5">
        <f t="shared" si="89"/>
        <v>30000</v>
      </c>
      <c r="K1791" s="5" t="str">
        <f>VLOOKUP(C1791,[1]master_data!$A$2:$E$495,5,FALSE)</f>
        <v>Ikan</v>
      </c>
      <c r="L1791" s="5" t="s">
        <v>471</v>
      </c>
    </row>
    <row r="1792" spans="1:12" ht="12" customHeight="1" x14ac:dyDescent="0.25">
      <c r="A1792" s="6">
        <v>44730</v>
      </c>
      <c r="B1792" s="1">
        <v>2202771</v>
      </c>
      <c r="C1792" s="5" t="s">
        <v>414</v>
      </c>
      <c r="D1792" s="5" t="str">
        <f>VLOOKUP(C1792,[1]master_data!$A$2:$E$495,2,FALSE)</f>
        <v>KOKI T</v>
      </c>
      <c r="E1792" s="5">
        <v>2</v>
      </c>
      <c r="F1792" s="5">
        <f>VLOOKUP(C1792,[1]master_data!$A$2:$E$495,3,FALSE)</f>
        <v>8000</v>
      </c>
      <c r="G1792" s="5">
        <f>VLOOKUP(C1792,[1]master_data!$A$2:$E$495,4,FALSE)</f>
        <v>15000</v>
      </c>
      <c r="H1792" s="5">
        <f t="shared" si="87"/>
        <v>16000</v>
      </c>
      <c r="I1792" s="5">
        <f t="shared" si="88"/>
        <v>30000</v>
      </c>
      <c r="J1792" s="5">
        <f t="shared" si="89"/>
        <v>14000</v>
      </c>
      <c r="K1792" s="5" t="str">
        <f>VLOOKUP(C1792,[1]master_data!$A$2:$E$495,5,FALSE)</f>
        <v>Ikan</v>
      </c>
      <c r="L1792" s="5" t="s">
        <v>471</v>
      </c>
    </row>
    <row r="1793" spans="1:12" ht="12" customHeight="1" x14ac:dyDescent="0.25">
      <c r="A1793" s="6">
        <v>44730</v>
      </c>
      <c r="B1793" s="1">
        <v>2202770</v>
      </c>
      <c r="C1793" s="5" t="s">
        <v>46</v>
      </c>
      <c r="D1793" s="5" t="str">
        <f>VLOOKUP(C1793,[1]master_data!$A$2:$E$495,2,FALSE)</f>
        <v>MESIN NIKITA 104</v>
      </c>
      <c r="E1793" s="5">
        <v>1</v>
      </c>
      <c r="F1793" s="5">
        <f>VLOOKUP(C1793,[1]master_data!$A$2:$E$495,3,FALSE)</f>
        <v>70000</v>
      </c>
      <c r="G1793" s="5">
        <f>VLOOKUP(C1793,[1]master_data!$A$2:$E$495,4,FALSE)</f>
        <v>120000</v>
      </c>
      <c r="H1793" s="5">
        <f t="shared" si="87"/>
        <v>70000</v>
      </c>
      <c r="I1793" s="5">
        <f t="shared" si="88"/>
        <v>120000</v>
      </c>
      <c r="J1793" s="5">
        <f t="shared" si="89"/>
        <v>50000</v>
      </c>
      <c r="K1793" s="5" t="str">
        <f>VLOOKUP(C1793,[1]master_data!$A$2:$E$495,5,FALSE)</f>
        <v>Aksesoris</v>
      </c>
      <c r="L1793" s="5" t="s">
        <v>471</v>
      </c>
    </row>
    <row r="1794" spans="1:12" ht="12" customHeight="1" x14ac:dyDescent="0.25">
      <c r="A1794" s="6">
        <v>44730</v>
      </c>
      <c r="B1794" s="1">
        <v>2202769</v>
      </c>
      <c r="C1794" s="5" t="s">
        <v>382</v>
      </c>
      <c r="D1794" s="5" t="str">
        <f>VLOOKUP(C1794,[1]master_data!$A$2:$E$495,2,FALSE)</f>
        <v>BATU WARNA FOSFOR B</v>
      </c>
      <c r="E1794" s="5">
        <v>1</v>
      </c>
      <c r="F1794" s="5">
        <f>VLOOKUP(C1794,[1]master_data!$A$2:$E$495,3,FALSE)</f>
        <v>8000</v>
      </c>
      <c r="G1794" s="5">
        <f>VLOOKUP(C1794,[1]master_data!$A$2:$E$495,4,FALSE)</f>
        <v>15000</v>
      </c>
      <c r="H1794" s="5">
        <f t="shared" si="87"/>
        <v>8000</v>
      </c>
      <c r="I1794" s="5">
        <f t="shared" si="88"/>
        <v>15000</v>
      </c>
      <c r="J1794" s="5">
        <f t="shared" si="89"/>
        <v>7000</v>
      </c>
      <c r="K1794" s="5" t="str">
        <f>VLOOKUP(C1794,[1]master_data!$A$2:$E$495,5,FALSE)</f>
        <v>Aksesoris</v>
      </c>
      <c r="L1794" s="5" t="s">
        <v>471</v>
      </c>
    </row>
    <row r="1795" spans="1:12" ht="12" customHeight="1" x14ac:dyDescent="0.25">
      <c r="A1795" s="6">
        <v>44730</v>
      </c>
      <c r="B1795" s="1">
        <v>2202768</v>
      </c>
      <c r="C1795" s="5" t="s">
        <v>416</v>
      </c>
      <c r="D1795" s="5" t="str">
        <f>VLOOKUP(C1795,[1]master_data!$A$2:$E$495,2,FALSE)</f>
        <v>KOI K</v>
      </c>
      <c r="E1795" s="5">
        <v>10</v>
      </c>
      <c r="F1795" s="5">
        <f>VLOOKUP(C1795,[1]master_data!$A$2:$E$495,3,FALSE)</f>
        <v>2500</v>
      </c>
      <c r="G1795" s="5">
        <f>VLOOKUP(C1795,[1]master_data!$A$2:$E$495,4,FALSE)</f>
        <v>10000</v>
      </c>
      <c r="H1795" s="5">
        <f t="shared" si="87"/>
        <v>25000</v>
      </c>
      <c r="I1795" s="5">
        <f t="shared" si="88"/>
        <v>100000</v>
      </c>
      <c r="J1795" s="5">
        <f t="shared" si="89"/>
        <v>75000</v>
      </c>
      <c r="K1795" s="5" t="str">
        <f>VLOOKUP(C1795,[1]master_data!$A$2:$E$495,5,FALSE)</f>
        <v>Ikan</v>
      </c>
      <c r="L1795" s="5" t="s">
        <v>471</v>
      </c>
    </row>
    <row r="1796" spans="1:12" ht="12" customHeight="1" x14ac:dyDescent="0.25">
      <c r="A1796" s="6">
        <v>44730</v>
      </c>
      <c r="B1796" s="1">
        <v>2202767</v>
      </c>
      <c r="C1796" s="5" t="s">
        <v>437</v>
      </c>
      <c r="D1796" s="5" t="str">
        <f>VLOOKUP(C1796,[1]master_data!$A$2:$E$495,2,FALSE)</f>
        <v>RED EYE TETRA</v>
      </c>
      <c r="E1796" s="5">
        <v>15</v>
      </c>
      <c r="F1796" s="5">
        <f>VLOOKUP(C1796,[1]master_data!$A$2:$E$495,3,FALSE)</f>
        <v>900</v>
      </c>
      <c r="G1796" s="5">
        <f>VLOOKUP(C1796,[1]master_data!$A$2:$E$495,4,FALSE)</f>
        <v>2000</v>
      </c>
      <c r="H1796" s="5">
        <f t="shared" si="87"/>
        <v>13500</v>
      </c>
      <c r="I1796" s="5">
        <f t="shared" si="88"/>
        <v>30000</v>
      </c>
      <c r="J1796" s="5">
        <f t="shared" si="89"/>
        <v>16500</v>
      </c>
      <c r="K1796" s="5" t="str">
        <f>VLOOKUP(C1796,[1]master_data!$A$2:$E$495,5,FALSE)</f>
        <v>Ikan</v>
      </c>
      <c r="L1796" s="5" t="s">
        <v>471</v>
      </c>
    </row>
    <row r="1797" spans="1:12" ht="12" customHeight="1" x14ac:dyDescent="0.25">
      <c r="A1797" s="6">
        <v>44730</v>
      </c>
      <c r="B1797" s="1">
        <v>2202766</v>
      </c>
      <c r="C1797" s="5" t="s">
        <v>274</v>
      </c>
      <c r="D1797" s="5" t="str">
        <f>VLOOKUP(C1797,[1]master_data!$A$2:$E$495,2,FALSE)</f>
        <v>JARING 15</v>
      </c>
      <c r="E1797" s="5">
        <v>15</v>
      </c>
      <c r="F1797" s="5">
        <f>VLOOKUP(C1797,[1]master_data!$A$2:$E$495,3,FALSE)</f>
        <v>3750</v>
      </c>
      <c r="G1797" s="5">
        <f>VLOOKUP(C1797,[1]master_data!$A$2:$E$495,4,FALSE)</f>
        <v>8000</v>
      </c>
      <c r="H1797" s="5">
        <f t="shared" ref="H1797:H1860" si="90">E1797*F1797</f>
        <v>56250</v>
      </c>
      <c r="I1797" s="5">
        <f t="shared" ref="I1797:I1860" si="91">E1797*G1797</f>
        <v>120000</v>
      </c>
      <c r="J1797" s="5">
        <f t="shared" ref="J1797:J1860" si="92">I1797-H1797</f>
        <v>63750</v>
      </c>
      <c r="K1797" s="5" t="str">
        <f>VLOOKUP(C1797,[1]master_data!$A$2:$E$495,5,FALSE)</f>
        <v>Aksesoris</v>
      </c>
      <c r="L1797" s="5" t="s">
        <v>471</v>
      </c>
    </row>
    <row r="1798" spans="1:12" ht="12" customHeight="1" x14ac:dyDescent="0.25">
      <c r="A1798" s="6">
        <v>44730</v>
      </c>
      <c r="B1798" s="1">
        <v>2202765</v>
      </c>
      <c r="C1798" s="5" t="s">
        <v>337</v>
      </c>
      <c r="D1798" s="5" t="str">
        <f>VLOOKUP(C1798,[1]master_data!$A$2:$E$495,2,FALSE)</f>
        <v>MAGNET 09</v>
      </c>
      <c r="E1798" s="5">
        <v>1</v>
      </c>
      <c r="F1798" s="5">
        <f>VLOOKUP(C1798,[1]master_data!$A$2:$E$495,3,FALSE)</f>
        <v>58000</v>
      </c>
      <c r="G1798" s="5">
        <f>VLOOKUP(C1798,[1]master_data!$A$2:$E$495,4,FALSE)</f>
        <v>80000</v>
      </c>
      <c r="H1798" s="5">
        <f t="shared" si="90"/>
        <v>58000</v>
      </c>
      <c r="I1798" s="5">
        <f t="shared" si="91"/>
        <v>80000</v>
      </c>
      <c r="J1798" s="5">
        <f t="shared" si="92"/>
        <v>22000</v>
      </c>
      <c r="K1798" s="5" t="str">
        <f>VLOOKUP(C1798,[1]master_data!$A$2:$E$495,5,FALSE)</f>
        <v>Aksesoris</v>
      </c>
      <c r="L1798" s="5" t="s">
        <v>471</v>
      </c>
    </row>
    <row r="1799" spans="1:12" ht="12" customHeight="1" x14ac:dyDescent="0.25">
      <c r="A1799" s="6">
        <v>44729</v>
      </c>
      <c r="B1799" s="1">
        <v>2202764</v>
      </c>
      <c r="C1799" s="5" t="s">
        <v>191</v>
      </c>
      <c r="D1799" s="5" t="str">
        <f>VLOOKUP(C1799,[1]master_data!$A$2:$E$495,2,FALSE)</f>
        <v>LED KANDILA PRO RED ECO 60 CM</v>
      </c>
      <c r="E1799" s="5">
        <v>2</v>
      </c>
      <c r="F1799" s="5">
        <f>VLOOKUP(C1799,[1]master_data!$A$2:$E$495,3,FALSE)</f>
        <v>60000</v>
      </c>
      <c r="G1799" s="5">
        <f>VLOOKUP(C1799,[1]master_data!$A$2:$E$495,4,FALSE)</f>
        <v>80000</v>
      </c>
      <c r="H1799" s="5">
        <f t="shared" si="90"/>
        <v>120000</v>
      </c>
      <c r="I1799" s="5">
        <f t="shared" si="91"/>
        <v>160000</v>
      </c>
      <c r="J1799" s="5">
        <f t="shared" si="92"/>
        <v>40000</v>
      </c>
      <c r="K1799" s="5" t="str">
        <f>VLOOKUP(C1799,[1]master_data!$A$2:$E$495,5,FALSE)</f>
        <v>Aksesoris</v>
      </c>
      <c r="L1799" s="5" t="s">
        <v>471</v>
      </c>
    </row>
    <row r="1800" spans="1:12" ht="12" customHeight="1" x14ac:dyDescent="0.25">
      <c r="A1800" s="6">
        <v>44729</v>
      </c>
      <c r="B1800" s="1">
        <v>2202763</v>
      </c>
      <c r="C1800" s="5" t="s">
        <v>439</v>
      </c>
      <c r="D1800" s="5" t="str">
        <f>VLOOKUP(C1800,[1]master_data!$A$2:$E$495,2,FALSE)</f>
        <v>NEON</v>
      </c>
      <c r="E1800" s="5">
        <v>1</v>
      </c>
      <c r="F1800" s="5">
        <f>VLOOKUP(C1800,[1]master_data!$A$2:$E$495,3,FALSE)</f>
        <v>1250</v>
      </c>
      <c r="G1800" s="5">
        <f>VLOOKUP(C1800,[1]master_data!$A$2:$E$495,4,FALSE)</f>
        <v>5000</v>
      </c>
      <c r="H1800" s="5">
        <f t="shared" si="90"/>
        <v>1250</v>
      </c>
      <c r="I1800" s="5">
        <f t="shared" si="91"/>
        <v>5000</v>
      </c>
      <c r="J1800" s="5">
        <f t="shared" si="92"/>
        <v>3750</v>
      </c>
      <c r="K1800" s="5" t="str">
        <f>VLOOKUP(C1800,[1]master_data!$A$2:$E$495,5,FALSE)</f>
        <v>Ikan</v>
      </c>
      <c r="L1800" s="5" t="s">
        <v>471</v>
      </c>
    </row>
    <row r="1801" spans="1:12" ht="12" customHeight="1" x14ac:dyDescent="0.25">
      <c r="A1801" s="6">
        <v>44729</v>
      </c>
      <c r="B1801" s="1">
        <v>2202762</v>
      </c>
      <c r="C1801" s="5" t="s">
        <v>432</v>
      </c>
      <c r="D1801" s="5" t="str">
        <f>VLOOKUP(C1801,[1]master_data!$A$2:$E$495,2,FALSE)</f>
        <v>MARU K</v>
      </c>
      <c r="E1801" s="5">
        <v>1</v>
      </c>
      <c r="F1801" s="5">
        <f>VLOOKUP(C1801,[1]master_data!$A$2:$E$495,3,FALSE)</f>
        <v>23000</v>
      </c>
      <c r="G1801" s="5">
        <f>VLOOKUP(C1801,[1]master_data!$A$2:$E$495,4,FALSE)</f>
        <v>50000</v>
      </c>
      <c r="H1801" s="5">
        <f t="shared" si="90"/>
        <v>23000</v>
      </c>
      <c r="I1801" s="5">
        <f t="shared" si="91"/>
        <v>50000</v>
      </c>
      <c r="J1801" s="5">
        <f t="shared" si="92"/>
        <v>27000</v>
      </c>
      <c r="K1801" s="5" t="str">
        <f>VLOOKUP(C1801,[1]master_data!$A$2:$E$495,5,FALSE)</f>
        <v>Ikan</v>
      </c>
      <c r="L1801" s="5" t="s">
        <v>471</v>
      </c>
    </row>
    <row r="1802" spans="1:12" ht="12" customHeight="1" x14ac:dyDescent="0.25">
      <c r="A1802" s="6">
        <v>44729</v>
      </c>
      <c r="B1802" s="1">
        <v>2202761</v>
      </c>
      <c r="C1802" s="5" t="s">
        <v>444</v>
      </c>
      <c r="D1802" s="5" t="str">
        <f>VLOOKUP(C1802,[1]master_data!$A$2:$E$495,2,FALSE)</f>
        <v>PARROT</v>
      </c>
      <c r="E1802" s="5">
        <v>10</v>
      </c>
      <c r="F1802" s="5">
        <f>VLOOKUP(C1802,[1]master_data!$A$2:$E$495,3,FALSE)</f>
        <v>27000</v>
      </c>
      <c r="G1802" s="5">
        <f>VLOOKUP(C1802,[1]master_data!$A$2:$E$495,4,FALSE)</f>
        <v>60000</v>
      </c>
      <c r="H1802" s="5">
        <f t="shared" si="90"/>
        <v>270000</v>
      </c>
      <c r="I1802" s="5">
        <f t="shared" si="91"/>
        <v>600000</v>
      </c>
      <c r="J1802" s="5">
        <f t="shared" si="92"/>
        <v>330000</v>
      </c>
      <c r="K1802" s="5" t="str">
        <f>VLOOKUP(C1802,[1]master_data!$A$2:$E$495,5,FALSE)</f>
        <v>Ikan</v>
      </c>
      <c r="L1802" s="5" t="s">
        <v>471</v>
      </c>
    </row>
    <row r="1803" spans="1:12" ht="12" customHeight="1" x14ac:dyDescent="0.25">
      <c r="A1803" s="6">
        <v>44729</v>
      </c>
      <c r="B1803" s="1">
        <v>2202760</v>
      </c>
      <c r="C1803" s="5" t="s">
        <v>102</v>
      </c>
      <c r="D1803" s="5" t="str">
        <f>VLOOKUP(C1803,[1]master_data!$A$2:$E$495,2,FALSE)</f>
        <v>AIRATOR NIKITA LUB 1</v>
      </c>
      <c r="E1803" s="5">
        <v>5</v>
      </c>
      <c r="F1803" s="5">
        <f>VLOOKUP(C1803,[1]master_data!$A$2:$E$495,3,FALSE)</f>
        <v>20500</v>
      </c>
      <c r="G1803" s="5">
        <f>VLOOKUP(C1803,[1]master_data!$A$2:$E$495,4,FALSE)</f>
        <v>30000</v>
      </c>
      <c r="H1803" s="5">
        <f t="shared" si="90"/>
        <v>102500</v>
      </c>
      <c r="I1803" s="5">
        <f t="shared" si="91"/>
        <v>150000</v>
      </c>
      <c r="J1803" s="5">
        <f t="shared" si="92"/>
        <v>47500</v>
      </c>
      <c r="K1803" s="5" t="str">
        <f>VLOOKUP(C1803,[1]master_data!$A$2:$E$495,5,FALSE)</f>
        <v>Aksesoris</v>
      </c>
      <c r="L1803" s="5" t="s">
        <v>471</v>
      </c>
    </row>
    <row r="1804" spans="1:12" ht="12" customHeight="1" x14ac:dyDescent="0.25">
      <c r="A1804" s="6">
        <v>44729</v>
      </c>
      <c r="B1804" s="1">
        <v>2202759</v>
      </c>
      <c r="C1804" s="5" t="s">
        <v>422</v>
      </c>
      <c r="D1804" s="5" t="str">
        <f>VLOOKUP(C1804,[1]master_data!$A$2:$E$495,2,FALSE)</f>
        <v>KOMET SLAYER</v>
      </c>
      <c r="E1804" s="5">
        <v>11</v>
      </c>
      <c r="F1804" s="5">
        <f>VLOOKUP(C1804,[1]master_data!$A$2:$E$495,3,FALSE)</f>
        <v>2000</v>
      </c>
      <c r="G1804" s="5">
        <f>VLOOKUP(C1804,[1]master_data!$A$2:$E$495,4,FALSE)</f>
        <v>5000</v>
      </c>
      <c r="H1804" s="5">
        <f t="shared" si="90"/>
        <v>22000</v>
      </c>
      <c r="I1804" s="5">
        <f t="shared" si="91"/>
        <v>55000</v>
      </c>
      <c r="J1804" s="5">
        <f t="shared" si="92"/>
        <v>33000</v>
      </c>
      <c r="K1804" s="5" t="str">
        <f>VLOOKUP(C1804,[1]master_data!$A$2:$E$495,5,FALSE)</f>
        <v>Ikan</v>
      </c>
      <c r="L1804" s="5" t="s">
        <v>471</v>
      </c>
    </row>
    <row r="1805" spans="1:12" ht="12" customHeight="1" x14ac:dyDescent="0.25">
      <c r="A1805" s="6">
        <v>44728</v>
      </c>
      <c r="B1805" s="1">
        <v>2202758</v>
      </c>
      <c r="C1805" s="5" t="s">
        <v>399</v>
      </c>
      <c r="D1805" s="5" t="str">
        <f>VLOOKUP(C1805,[1]master_data!$A$2:$E$495,2,FALSE)</f>
        <v>BUENOS AIRES TETRA</v>
      </c>
      <c r="E1805" s="5">
        <v>1</v>
      </c>
      <c r="F1805" s="5">
        <f>VLOOKUP(C1805,[1]master_data!$A$2:$E$495,3,FALSE)</f>
        <v>800</v>
      </c>
      <c r="G1805" s="5">
        <f>VLOOKUP(C1805,[1]master_data!$A$2:$E$495,4,FALSE)</f>
        <v>2000</v>
      </c>
      <c r="H1805" s="5">
        <f t="shared" si="90"/>
        <v>800</v>
      </c>
      <c r="I1805" s="5">
        <f t="shared" si="91"/>
        <v>2000</v>
      </c>
      <c r="J1805" s="5">
        <f t="shared" si="92"/>
        <v>1200</v>
      </c>
      <c r="K1805" s="5" t="str">
        <f>VLOOKUP(C1805,[1]master_data!$A$2:$E$495,5,FALSE)</f>
        <v>Ikan</v>
      </c>
      <c r="L1805" s="5" t="s">
        <v>471</v>
      </c>
    </row>
    <row r="1806" spans="1:12" ht="12" customHeight="1" x14ac:dyDescent="0.25">
      <c r="A1806" s="6">
        <v>44728</v>
      </c>
      <c r="B1806" s="1">
        <v>2202757</v>
      </c>
      <c r="C1806" s="5" t="s">
        <v>165</v>
      </c>
      <c r="D1806" s="5" t="str">
        <f>VLOOKUP(C1806,[1]master_data!$A$2:$E$495,2,FALSE)</f>
        <v>LED KANDILA VIBRANT 100 CM</v>
      </c>
      <c r="E1806" s="5">
        <v>2</v>
      </c>
      <c r="F1806" s="5">
        <f>VLOOKUP(C1806,[1]master_data!$A$2:$E$495,3,FALSE)</f>
        <v>152500</v>
      </c>
      <c r="G1806" s="5">
        <f>VLOOKUP(C1806,[1]master_data!$A$2:$E$495,4,FALSE)</f>
        <v>200000</v>
      </c>
      <c r="H1806" s="5">
        <f t="shared" si="90"/>
        <v>305000</v>
      </c>
      <c r="I1806" s="5">
        <f t="shared" si="91"/>
        <v>400000</v>
      </c>
      <c r="J1806" s="5">
        <f t="shared" si="92"/>
        <v>95000</v>
      </c>
      <c r="K1806" s="5" t="str">
        <f>VLOOKUP(C1806,[1]master_data!$A$2:$E$495,5,FALSE)</f>
        <v>Aksesoris</v>
      </c>
      <c r="L1806" s="5" t="s">
        <v>471</v>
      </c>
    </row>
    <row r="1807" spans="1:12" ht="12" customHeight="1" x14ac:dyDescent="0.25">
      <c r="A1807" s="6">
        <v>44728</v>
      </c>
      <c r="B1807" s="1">
        <v>2202756</v>
      </c>
      <c r="C1807" s="5" t="s">
        <v>390</v>
      </c>
      <c r="D1807" s="5" t="str">
        <f>VLOOKUP(C1807,[1]master_data!$A$2:$E$495,2,FALSE)</f>
        <v>CHANNA ASIATICA K</v>
      </c>
      <c r="E1807" s="5">
        <v>1</v>
      </c>
      <c r="F1807" s="5">
        <f>VLOOKUP(C1807,[1]master_data!$A$2:$E$495,3,FALSE)</f>
        <v>10000</v>
      </c>
      <c r="G1807" s="5">
        <f>VLOOKUP(C1807,[1]master_data!$A$2:$E$495,4,FALSE)</f>
        <v>40000</v>
      </c>
      <c r="H1807" s="5">
        <f t="shared" si="90"/>
        <v>10000</v>
      </c>
      <c r="I1807" s="5">
        <f t="shared" si="91"/>
        <v>40000</v>
      </c>
      <c r="J1807" s="5">
        <f t="shared" si="92"/>
        <v>30000</v>
      </c>
      <c r="K1807" s="5" t="str">
        <f>VLOOKUP(C1807,[1]master_data!$A$2:$E$495,5,FALSE)</f>
        <v>Ikan</v>
      </c>
      <c r="L1807" s="5" t="s">
        <v>471</v>
      </c>
    </row>
    <row r="1808" spans="1:12" ht="12" customHeight="1" x14ac:dyDescent="0.25">
      <c r="A1808" s="6">
        <v>44728</v>
      </c>
      <c r="B1808" s="1">
        <v>2202755</v>
      </c>
      <c r="C1808" s="5" t="s">
        <v>176</v>
      </c>
      <c r="D1808" s="5" t="str">
        <f>VLOOKUP(C1808,[1]master_data!$A$2:$E$495,2,FALSE)</f>
        <v>LED ARMADA 3 BRS AP 600</v>
      </c>
      <c r="E1808" s="5">
        <v>1</v>
      </c>
      <c r="F1808" s="5">
        <f>VLOOKUP(C1808,[1]master_data!$A$2:$E$495,3,FALSE)</f>
        <v>55000</v>
      </c>
      <c r="G1808" s="5">
        <f>VLOOKUP(C1808,[1]master_data!$A$2:$E$495,4,FALSE)</f>
        <v>80000</v>
      </c>
      <c r="H1808" s="5">
        <f t="shared" si="90"/>
        <v>55000</v>
      </c>
      <c r="I1808" s="5">
        <f t="shared" si="91"/>
        <v>80000</v>
      </c>
      <c r="J1808" s="5">
        <f t="shared" si="92"/>
        <v>25000</v>
      </c>
      <c r="K1808" s="5" t="str">
        <f>VLOOKUP(C1808,[1]master_data!$A$2:$E$495,5,FALSE)</f>
        <v>Aksesoris</v>
      </c>
      <c r="L1808" s="5" t="s">
        <v>471</v>
      </c>
    </row>
    <row r="1809" spans="1:12" ht="12" customHeight="1" x14ac:dyDescent="0.25">
      <c r="A1809" s="6">
        <v>44728</v>
      </c>
      <c r="B1809" s="1">
        <v>2202754</v>
      </c>
      <c r="C1809" s="5" t="s">
        <v>439</v>
      </c>
      <c r="D1809" s="5" t="str">
        <f>VLOOKUP(C1809,[1]master_data!$A$2:$E$495,2,FALSE)</f>
        <v>NEON</v>
      </c>
      <c r="E1809" s="5">
        <v>10</v>
      </c>
      <c r="F1809" s="5">
        <f>VLOOKUP(C1809,[1]master_data!$A$2:$E$495,3,FALSE)</f>
        <v>1250</v>
      </c>
      <c r="G1809" s="5">
        <f>VLOOKUP(C1809,[1]master_data!$A$2:$E$495,4,FALSE)</f>
        <v>5000</v>
      </c>
      <c r="H1809" s="5">
        <f t="shared" si="90"/>
        <v>12500</v>
      </c>
      <c r="I1809" s="5">
        <f t="shared" si="91"/>
        <v>50000</v>
      </c>
      <c r="J1809" s="5">
        <f t="shared" si="92"/>
        <v>37500</v>
      </c>
      <c r="K1809" s="5" t="str">
        <f>VLOOKUP(C1809,[1]master_data!$A$2:$E$495,5,FALSE)</f>
        <v>Ikan</v>
      </c>
      <c r="L1809" s="5" t="s">
        <v>471</v>
      </c>
    </row>
    <row r="1810" spans="1:12" ht="12" customHeight="1" x14ac:dyDescent="0.25">
      <c r="A1810" s="6">
        <v>44728</v>
      </c>
      <c r="B1810" s="1">
        <v>2202753</v>
      </c>
      <c r="C1810" s="5" t="s">
        <v>284</v>
      </c>
      <c r="D1810" s="5" t="str">
        <f>VLOOKUP(C1810,[1]master_data!$A$2:$E$495,2,FALSE)</f>
        <v>KAPAS 3 LAPIS</v>
      </c>
      <c r="E1810" s="5">
        <v>20</v>
      </c>
      <c r="F1810" s="5">
        <f>VLOOKUP(C1810,[1]master_data!$A$2:$E$495,3,FALSE)</f>
        <v>3200</v>
      </c>
      <c r="G1810" s="5">
        <f>VLOOKUP(C1810,[1]master_data!$A$2:$E$495,4,FALSE)</f>
        <v>5000</v>
      </c>
      <c r="H1810" s="5">
        <f t="shared" si="90"/>
        <v>64000</v>
      </c>
      <c r="I1810" s="5">
        <f t="shared" si="91"/>
        <v>100000</v>
      </c>
      <c r="J1810" s="5">
        <f t="shared" si="92"/>
        <v>36000</v>
      </c>
      <c r="K1810" s="5" t="str">
        <f>VLOOKUP(C1810,[1]master_data!$A$2:$E$495,5,FALSE)</f>
        <v>Aksesoris</v>
      </c>
      <c r="L1810" s="5" t="s">
        <v>471</v>
      </c>
    </row>
    <row r="1811" spans="1:12" ht="12" customHeight="1" x14ac:dyDescent="0.25">
      <c r="A1811" s="6">
        <v>44728</v>
      </c>
      <c r="B1811" s="1">
        <v>2202752</v>
      </c>
      <c r="C1811" s="5" t="s">
        <v>454</v>
      </c>
      <c r="D1811" s="5" t="str">
        <f>VLOOKUP(C1811,[1]master_data!$A$2:$E$495,2,FALSE)</f>
        <v>SYNODONTI B</v>
      </c>
      <c r="E1811" s="5">
        <v>3</v>
      </c>
      <c r="F1811" s="5">
        <f>VLOOKUP(C1811,[1]master_data!$A$2:$E$495,3,FALSE)</f>
        <v>4000</v>
      </c>
      <c r="G1811" s="5">
        <f>VLOOKUP(C1811,[1]master_data!$A$2:$E$495,4,FALSE)</f>
        <v>10000</v>
      </c>
      <c r="H1811" s="5">
        <f t="shared" si="90"/>
        <v>12000</v>
      </c>
      <c r="I1811" s="5">
        <f t="shared" si="91"/>
        <v>30000</v>
      </c>
      <c r="J1811" s="5">
        <f t="shared" si="92"/>
        <v>18000</v>
      </c>
      <c r="K1811" s="5" t="str">
        <f>VLOOKUP(C1811,[1]master_data!$A$2:$E$495,5,FALSE)</f>
        <v>Ikan</v>
      </c>
      <c r="L1811" s="5" t="s">
        <v>471</v>
      </c>
    </row>
    <row r="1812" spans="1:12" ht="12" customHeight="1" x14ac:dyDescent="0.25">
      <c r="A1812" s="6">
        <v>44728</v>
      </c>
      <c r="B1812" s="1">
        <v>2202751</v>
      </c>
      <c r="C1812" s="5" t="s">
        <v>444</v>
      </c>
      <c r="D1812" s="5" t="str">
        <f>VLOOKUP(C1812,[1]master_data!$A$2:$E$495,2,FALSE)</f>
        <v>PARROT</v>
      </c>
      <c r="E1812" s="5">
        <v>1</v>
      </c>
      <c r="F1812" s="5">
        <f>VLOOKUP(C1812,[1]master_data!$A$2:$E$495,3,FALSE)</f>
        <v>27000</v>
      </c>
      <c r="G1812" s="5">
        <f>VLOOKUP(C1812,[1]master_data!$A$2:$E$495,4,FALSE)</f>
        <v>60000</v>
      </c>
      <c r="H1812" s="5">
        <f t="shared" si="90"/>
        <v>27000</v>
      </c>
      <c r="I1812" s="5">
        <f t="shared" si="91"/>
        <v>60000</v>
      </c>
      <c r="J1812" s="5">
        <f t="shared" si="92"/>
        <v>33000</v>
      </c>
      <c r="K1812" s="5" t="str">
        <f>VLOOKUP(C1812,[1]master_data!$A$2:$E$495,5,FALSE)</f>
        <v>Ikan</v>
      </c>
      <c r="L1812" s="5" t="s">
        <v>471</v>
      </c>
    </row>
    <row r="1813" spans="1:12" ht="12" customHeight="1" x14ac:dyDescent="0.25">
      <c r="A1813" s="6">
        <v>44728</v>
      </c>
      <c r="B1813" s="1">
        <v>2202750</v>
      </c>
      <c r="C1813" s="5" t="s">
        <v>408</v>
      </c>
      <c r="D1813" s="5" t="str">
        <f>VLOOKUP(C1813,[1]master_data!$A$2:$E$495,2,FALSE)</f>
        <v>CATFISH</v>
      </c>
      <c r="E1813" s="5">
        <v>2</v>
      </c>
      <c r="F1813" s="5">
        <f>VLOOKUP(C1813,[1]master_data!$A$2:$E$495,3,FALSE)</f>
        <v>20000</v>
      </c>
      <c r="G1813" s="5">
        <f>VLOOKUP(C1813,[1]master_data!$A$2:$E$495,4,FALSE)</f>
        <v>50000</v>
      </c>
      <c r="H1813" s="5">
        <f t="shared" si="90"/>
        <v>40000</v>
      </c>
      <c r="I1813" s="5">
        <f t="shared" si="91"/>
        <v>100000</v>
      </c>
      <c r="J1813" s="5">
        <f t="shared" si="92"/>
        <v>60000</v>
      </c>
      <c r="K1813" s="5" t="str">
        <f>VLOOKUP(C1813,[1]master_data!$A$2:$E$495,5,FALSE)</f>
        <v>Ikan</v>
      </c>
      <c r="L1813" s="5" t="s">
        <v>471</v>
      </c>
    </row>
    <row r="1814" spans="1:12" ht="12" customHeight="1" x14ac:dyDescent="0.25">
      <c r="A1814" s="6">
        <v>44728</v>
      </c>
      <c r="B1814" s="1">
        <v>2202749</v>
      </c>
      <c r="C1814" s="5" t="s">
        <v>39</v>
      </c>
      <c r="D1814" s="5" t="str">
        <f>VLOOKUP(C1814,[1]master_data!$A$2:$E$495,2,FALSE)</f>
        <v>MESIN YAMANO 107</v>
      </c>
      <c r="E1814" s="5">
        <v>2</v>
      </c>
      <c r="F1814" s="5">
        <f>VLOOKUP(C1814,[1]master_data!$A$2:$E$495,3,FALSE)</f>
        <v>280000</v>
      </c>
      <c r="G1814" s="5">
        <f>VLOOKUP(C1814,[1]master_data!$A$2:$E$495,4,FALSE)</f>
        <v>321000</v>
      </c>
      <c r="H1814" s="5">
        <f t="shared" si="90"/>
        <v>560000</v>
      </c>
      <c r="I1814" s="5">
        <f t="shared" si="91"/>
        <v>642000</v>
      </c>
      <c r="J1814" s="5">
        <f t="shared" si="92"/>
        <v>82000</v>
      </c>
      <c r="K1814" s="5" t="str">
        <f>VLOOKUP(C1814,[1]master_data!$A$2:$E$495,5,FALSE)</f>
        <v>Aksesoris</v>
      </c>
      <c r="L1814" s="5" t="s">
        <v>471</v>
      </c>
    </row>
    <row r="1815" spans="1:12" ht="12" customHeight="1" x14ac:dyDescent="0.25">
      <c r="A1815" s="6">
        <v>44728</v>
      </c>
      <c r="B1815" s="1">
        <v>2202748</v>
      </c>
      <c r="C1815" s="5" t="s">
        <v>288</v>
      </c>
      <c r="D1815" s="5" t="str">
        <f>VLOOKUP(C1815,[1]master_data!$A$2:$E$495,2,FALSE)</f>
        <v>JARING 8</v>
      </c>
      <c r="E1815" s="5">
        <v>30</v>
      </c>
      <c r="F1815" s="5">
        <f>VLOOKUP(C1815,[1]master_data!$A$2:$E$495,3,FALSE)</f>
        <v>3000</v>
      </c>
      <c r="G1815" s="5">
        <f>VLOOKUP(C1815,[1]master_data!$A$2:$E$495,4,FALSE)</f>
        <v>5000</v>
      </c>
      <c r="H1815" s="5">
        <f t="shared" si="90"/>
        <v>90000</v>
      </c>
      <c r="I1815" s="5">
        <f t="shared" si="91"/>
        <v>150000</v>
      </c>
      <c r="J1815" s="5">
        <f t="shared" si="92"/>
        <v>60000</v>
      </c>
      <c r="K1815" s="5" t="str">
        <f>VLOOKUP(C1815,[1]master_data!$A$2:$E$495,5,FALSE)</f>
        <v>Aksesoris</v>
      </c>
      <c r="L1815" s="5" t="s">
        <v>471</v>
      </c>
    </row>
    <row r="1816" spans="1:12" ht="12" customHeight="1" x14ac:dyDescent="0.25">
      <c r="A1816" s="6">
        <v>44728</v>
      </c>
      <c r="B1816" s="1">
        <v>2202747</v>
      </c>
      <c r="C1816" s="5" t="s">
        <v>321</v>
      </c>
      <c r="D1816" s="5" t="str">
        <f>VLOOKUP(C1816,[1]master_data!$A$2:$E$495,2,FALSE)</f>
        <v>AIRSTONE PANJANG 8</v>
      </c>
      <c r="E1816" s="5">
        <v>1</v>
      </c>
      <c r="F1816" s="5">
        <f>VLOOKUP(C1816,[1]master_data!$A$2:$E$495,3,FALSE)</f>
        <v>9000</v>
      </c>
      <c r="G1816" s="5">
        <f>VLOOKUP(C1816,[1]master_data!$A$2:$E$495,4,FALSE)</f>
        <v>17000</v>
      </c>
      <c r="H1816" s="5">
        <f t="shared" si="90"/>
        <v>9000</v>
      </c>
      <c r="I1816" s="5">
        <f t="shared" si="91"/>
        <v>17000</v>
      </c>
      <c r="J1816" s="5">
        <f t="shared" si="92"/>
        <v>8000</v>
      </c>
      <c r="K1816" s="5" t="str">
        <f>VLOOKUP(C1816,[1]master_data!$A$2:$E$495,5,FALSE)</f>
        <v>Aksesoris</v>
      </c>
      <c r="L1816" s="5" t="s">
        <v>471</v>
      </c>
    </row>
    <row r="1817" spans="1:12" ht="12" customHeight="1" x14ac:dyDescent="0.25">
      <c r="A1817" s="6">
        <v>44728</v>
      </c>
      <c r="B1817" s="1">
        <v>2202746</v>
      </c>
      <c r="C1817" s="5" t="s">
        <v>451</v>
      </c>
      <c r="D1817" s="5" t="str">
        <f>VLOOKUP(C1817,[1]master_data!$A$2:$E$495,2,FALSE)</f>
        <v>SUMATRA GOLD FISH</v>
      </c>
      <c r="E1817" s="5">
        <v>30</v>
      </c>
      <c r="F1817" s="5">
        <f>VLOOKUP(C1817,[1]master_data!$A$2:$E$495,3,FALSE)</f>
        <v>2500</v>
      </c>
      <c r="G1817" s="5">
        <f>VLOOKUP(C1817,[1]master_data!$A$2:$E$495,4,FALSE)</f>
        <v>4000</v>
      </c>
      <c r="H1817" s="5">
        <f t="shared" si="90"/>
        <v>75000</v>
      </c>
      <c r="I1817" s="5">
        <f t="shared" si="91"/>
        <v>120000</v>
      </c>
      <c r="J1817" s="5">
        <f t="shared" si="92"/>
        <v>45000</v>
      </c>
      <c r="K1817" s="5" t="str">
        <f>VLOOKUP(C1817,[1]master_data!$A$2:$E$495,5,FALSE)</f>
        <v>Ikan</v>
      </c>
      <c r="L1817" s="5" t="s">
        <v>471</v>
      </c>
    </row>
    <row r="1818" spans="1:12" ht="12" customHeight="1" x14ac:dyDescent="0.25">
      <c r="A1818" s="6">
        <v>44727</v>
      </c>
      <c r="B1818" s="1">
        <v>2202745</v>
      </c>
      <c r="C1818" s="5" t="s">
        <v>283</v>
      </c>
      <c r="D1818" s="5" t="str">
        <f>VLOOKUP(C1818,[1]master_data!$A$2:$E$495,2,FALSE)</f>
        <v>KAPAS HITAM OXY</v>
      </c>
      <c r="E1818" s="5">
        <v>10</v>
      </c>
      <c r="F1818" s="5">
        <f>VLOOKUP(C1818,[1]master_data!$A$2:$E$495,3,FALSE)</f>
        <v>7000</v>
      </c>
      <c r="G1818" s="5">
        <f>VLOOKUP(C1818,[1]master_data!$A$2:$E$495,4,FALSE)</f>
        <v>10000</v>
      </c>
      <c r="H1818" s="5">
        <f t="shared" si="90"/>
        <v>70000</v>
      </c>
      <c r="I1818" s="5">
        <f t="shared" si="91"/>
        <v>100000</v>
      </c>
      <c r="J1818" s="5">
        <f t="shared" si="92"/>
        <v>30000</v>
      </c>
      <c r="K1818" s="5" t="str">
        <f>VLOOKUP(C1818,[1]master_data!$A$2:$E$495,5,FALSE)</f>
        <v>Aksesoris</v>
      </c>
      <c r="L1818" s="5" t="s">
        <v>471</v>
      </c>
    </row>
    <row r="1819" spans="1:12" ht="12" customHeight="1" x14ac:dyDescent="0.25">
      <c r="A1819" s="6">
        <v>44727</v>
      </c>
      <c r="B1819" s="1">
        <v>2202744</v>
      </c>
      <c r="C1819" s="5" t="s">
        <v>46</v>
      </c>
      <c r="D1819" s="5" t="str">
        <f>VLOOKUP(C1819,[1]master_data!$A$2:$E$495,2,FALSE)</f>
        <v>MESIN NIKITA 104</v>
      </c>
      <c r="E1819" s="5">
        <v>2</v>
      </c>
      <c r="F1819" s="5">
        <f>VLOOKUP(C1819,[1]master_data!$A$2:$E$495,3,FALSE)</f>
        <v>70000</v>
      </c>
      <c r="G1819" s="5">
        <f>VLOOKUP(C1819,[1]master_data!$A$2:$E$495,4,FALSE)</f>
        <v>120000</v>
      </c>
      <c r="H1819" s="5">
        <f t="shared" si="90"/>
        <v>140000</v>
      </c>
      <c r="I1819" s="5">
        <f t="shared" si="91"/>
        <v>240000</v>
      </c>
      <c r="J1819" s="5">
        <f t="shared" si="92"/>
        <v>100000</v>
      </c>
      <c r="K1819" s="5" t="str">
        <f>VLOOKUP(C1819,[1]master_data!$A$2:$E$495,5,FALSE)</f>
        <v>Aksesoris</v>
      </c>
      <c r="L1819" s="5" t="s">
        <v>471</v>
      </c>
    </row>
    <row r="1820" spans="1:12" ht="12" customHeight="1" x14ac:dyDescent="0.25">
      <c r="A1820" s="6">
        <v>44727</v>
      </c>
      <c r="B1820" s="1">
        <v>2202743</v>
      </c>
      <c r="C1820" s="5" t="s">
        <v>454</v>
      </c>
      <c r="D1820" s="5" t="str">
        <f>VLOOKUP(C1820,[1]master_data!$A$2:$E$495,2,FALSE)</f>
        <v>SYNODONTI B</v>
      </c>
      <c r="E1820" s="5">
        <v>25</v>
      </c>
      <c r="F1820" s="5">
        <f>VLOOKUP(C1820,[1]master_data!$A$2:$E$495,3,FALSE)</f>
        <v>4000</v>
      </c>
      <c r="G1820" s="5">
        <f>VLOOKUP(C1820,[1]master_data!$A$2:$E$495,4,FALSE)</f>
        <v>10000</v>
      </c>
      <c r="H1820" s="5">
        <f t="shared" si="90"/>
        <v>100000</v>
      </c>
      <c r="I1820" s="5">
        <f t="shared" si="91"/>
        <v>250000</v>
      </c>
      <c r="J1820" s="5">
        <f t="shared" si="92"/>
        <v>150000</v>
      </c>
      <c r="K1820" s="5" t="str">
        <f>VLOOKUP(C1820,[1]master_data!$A$2:$E$495,5,FALSE)</f>
        <v>Ikan</v>
      </c>
      <c r="L1820" s="5" t="s">
        <v>471</v>
      </c>
    </row>
    <row r="1821" spans="1:12" ht="12" customHeight="1" x14ac:dyDescent="0.25">
      <c r="A1821" s="6">
        <v>44727</v>
      </c>
      <c r="B1821" s="1">
        <v>2202742</v>
      </c>
      <c r="C1821" s="5" t="s">
        <v>379</v>
      </c>
      <c r="D1821" s="5" t="str">
        <f>VLOOKUP(C1821,[1]master_data!$A$2:$E$495,2,FALSE)</f>
        <v>PASIR SILICA</v>
      </c>
      <c r="E1821" s="5">
        <v>1</v>
      </c>
      <c r="F1821" s="5">
        <f>VLOOKUP(C1821,[1]master_data!$A$2:$E$495,3,FALSE)</f>
        <v>5000</v>
      </c>
      <c r="G1821" s="5">
        <f>VLOOKUP(C1821,[1]master_data!$A$2:$E$495,4,FALSE)</f>
        <v>10000</v>
      </c>
      <c r="H1821" s="5">
        <f t="shared" si="90"/>
        <v>5000</v>
      </c>
      <c r="I1821" s="5">
        <f t="shared" si="91"/>
        <v>10000</v>
      </c>
      <c r="J1821" s="5">
        <f t="shared" si="92"/>
        <v>5000</v>
      </c>
      <c r="K1821" s="5" t="str">
        <f>VLOOKUP(C1821,[1]master_data!$A$2:$E$495,5,FALSE)</f>
        <v>Aksesoris</v>
      </c>
      <c r="L1821" s="5" t="s">
        <v>471</v>
      </c>
    </row>
    <row r="1822" spans="1:12" ht="12" customHeight="1" x14ac:dyDescent="0.25">
      <c r="A1822" s="6">
        <v>44727</v>
      </c>
      <c r="B1822" s="1">
        <v>2202741</v>
      </c>
      <c r="C1822" s="5" t="s">
        <v>23</v>
      </c>
      <c r="D1822" s="5" t="str">
        <f>VLOOKUP(C1822,[1]master_data!$A$2:$E$495,2,FALSE)</f>
        <v>MESIN ROSTON 3900</v>
      </c>
      <c r="E1822" s="5">
        <v>1</v>
      </c>
      <c r="F1822" s="5">
        <f>VLOOKUP(C1822,[1]master_data!$A$2:$E$495,3,FALSE)</f>
        <v>90000</v>
      </c>
      <c r="G1822" s="5">
        <f>VLOOKUP(C1822,[1]master_data!$A$2:$E$495,4,FALSE)</f>
        <v>150000</v>
      </c>
      <c r="H1822" s="5">
        <f t="shared" si="90"/>
        <v>90000</v>
      </c>
      <c r="I1822" s="5">
        <f t="shared" si="91"/>
        <v>150000</v>
      </c>
      <c r="J1822" s="5">
        <f t="shared" si="92"/>
        <v>60000</v>
      </c>
      <c r="K1822" s="5" t="str">
        <f>VLOOKUP(C1822,[1]master_data!$A$2:$E$495,5,FALSE)</f>
        <v>Aksesoris</v>
      </c>
      <c r="L1822" s="5" t="s">
        <v>471</v>
      </c>
    </row>
    <row r="1823" spans="1:12" ht="12" customHeight="1" x14ac:dyDescent="0.25">
      <c r="A1823" s="6">
        <v>44727</v>
      </c>
      <c r="B1823" s="1">
        <v>2202740</v>
      </c>
      <c r="C1823" s="5" t="s">
        <v>431</v>
      </c>
      <c r="D1823" s="5" t="str">
        <f>VLOOKUP(C1823,[1]master_data!$A$2:$E$495,2,FALSE)</f>
        <v>MANFISH B</v>
      </c>
      <c r="E1823" s="5">
        <v>30</v>
      </c>
      <c r="F1823" s="5">
        <f>VLOOKUP(C1823,[1]master_data!$A$2:$E$495,3,FALSE)</f>
        <v>4000</v>
      </c>
      <c r="G1823" s="5">
        <f>VLOOKUP(C1823,[1]master_data!$A$2:$E$495,4,FALSE)</f>
        <v>10000</v>
      </c>
      <c r="H1823" s="5">
        <f t="shared" si="90"/>
        <v>120000</v>
      </c>
      <c r="I1823" s="5">
        <f t="shared" si="91"/>
        <v>300000</v>
      </c>
      <c r="J1823" s="5">
        <f t="shared" si="92"/>
        <v>180000</v>
      </c>
      <c r="K1823" s="5" t="str">
        <f>VLOOKUP(C1823,[1]master_data!$A$2:$E$495,5,FALSE)</f>
        <v>Ikan</v>
      </c>
      <c r="L1823" s="5" t="s">
        <v>471</v>
      </c>
    </row>
    <row r="1824" spans="1:12" ht="12" customHeight="1" x14ac:dyDescent="0.25">
      <c r="A1824" s="6">
        <v>44726</v>
      </c>
      <c r="B1824" s="1">
        <v>2202739</v>
      </c>
      <c r="C1824" s="5" t="s">
        <v>127</v>
      </c>
      <c r="D1824" s="5" t="str">
        <f>VLOOKUP(C1824,[1]master_data!$A$2:$E$495,2,FALSE)</f>
        <v>LED YAMANO 3W</v>
      </c>
      <c r="E1824" s="5">
        <v>1</v>
      </c>
      <c r="F1824" s="5">
        <f>VLOOKUP(C1824,[1]master_data!$A$2:$E$495,3,FALSE)</f>
        <v>37000</v>
      </c>
      <c r="G1824" s="5">
        <f>VLOOKUP(C1824,[1]master_data!$A$2:$E$495,4,FALSE)</f>
        <v>60000</v>
      </c>
      <c r="H1824" s="5">
        <f t="shared" si="90"/>
        <v>37000</v>
      </c>
      <c r="I1824" s="5">
        <f t="shared" si="91"/>
        <v>60000</v>
      </c>
      <c r="J1824" s="5">
        <f t="shared" si="92"/>
        <v>23000</v>
      </c>
      <c r="K1824" s="5" t="str">
        <f>VLOOKUP(C1824,[1]master_data!$A$2:$E$495,5,FALSE)</f>
        <v>Aksesoris</v>
      </c>
      <c r="L1824" s="5" t="s">
        <v>471</v>
      </c>
    </row>
    <row r="1825" spans="1:12" ht="12" customHeight="1" x14ac:dyDescent="0.25">
      <c r="A1825" s="6">
        <v>44726</v>
      </c>
      <c r="B1825" s="1">
        <v>2202738</v>
      </c>
      <c r="C1825" s="5" t="s">
        <v>326</v>
      </c>
      <c r="D1825" s="5" t="str">
        <f>VLOOKUP(C1825,[1]master_data!$A$2:$E$495,2,FALSE)</f>
        <v>BLITS B</v>
      </c>
      <c r="E1825" s="5">
        <v>25</v>
      </c>
      <c r="F1825" s="5">
        <f>VLOOKUP(C1825,[1]master_data!$A$2:$E$495,3,FALSE)</f>
        <v>6500</v>
      </c>
      <c r="G1825" s="5">
        <f>VLOOKUP(C1825,[1]master_data!$A$2:$E$495,4,FALSE)</f>
        <v>10000</v>
      </c>
      <c r="H1825" s="5">
        <f t="shared" si="90"/>
        <v>162500</v>
      </c>
      <c r="I1825" s="5">
        <f t="shared" si="91"/>
        <v>250000</v>
      </c>
      <c r="J1825" s="5">
        <f t="shared" si="92"/>
        <v>87500</v>
      </c>
      <c r="K1825" s="5" t="str">
        <f>VLOOKUP(C1825,[1]master_data!$A$2:$E$495,5,FALSE)</f>
        <v>Aksesoris</v>
      </c>
      <c r="L1825" s="5" t="s">
        <v>471</v>
      </c>
    </row>
    <row r="1826" spans="1:12" ht="12" customHeight="1" x14ac:dyDescent="0.25">
      <c r="A1826" s="6">
        <v>44726</v>
      </c>
      <c r="B1826" s="1">
        <v>2202737</v>
      </c>
      <c r="C1826" s="5" t="s">
        <v>82</v>
      </c>
      <c r="D1826" s="5" t="str">
        <f>VLOOKUP(C1826,[1]master_data!$A$2:$E$495,2,FALSE)</f>
        <v>MESIN ARMADA 1150L</v>
      </c>
      <c r="E1826" s="5">
        <v>1</v>
      </c>
      <c r="F1826" s="5">
        <f>VLOOKUP(C1826,[1]master_data!$A$2:$E$495,3,FALSE)</f>
        <v>42000</v>
      </c>
      <c r="G1826" s="5">
        <f>VLOOKUP(C1826,[1]master_data!$A$2:$E$495,4,FALSE)</f>
        <v>55000</v>
      </c>
      <c r="H1826" s="5">
        <f t="shared" si="90"/>
        <v>42000</v>
      </c>
      <c r="I1826" s="5">
        <f t="shared" si="91"/>
        <v>55000</v>
      </c>
      <c r="J1826" s="5">
        <f t="shared" si="92"/>
        <v>13000</v>
      </c>
      <c r="K1826" s="5" t="str">
        <f>VLOOKUP(C1826,[1]master_data!$A$2:$E$495,5,FALSE)</f>
        <v>Aksesoris</v>
      </c>
      <c r="L1826" s="5" t="s">
        <v>471</v>
      </c>
    </row>
    <row r="1827" spans="1:12" ht="12" customHeight="1" x14ac:dyDescent="0.25">
      <c r="A1827" s="6">
        <v>44726</v>
      </c>
      <c r="B1827" s="1">
        <v>2202736</v>
      </c>
      <c r="C1827" s="5" t="s">
        <v>346</v>
      </c>
      <c r="D1827" s="5" t="str">
        <f>VLOOKUP(C1827,[1]master_data!$A$2:$E$495,2,FALSE)</f>
        <v>AKUARIUM NIKITA M</v>
      </c>
      <c r="E1827" s="5">
        <v>1</v>
      </c>
      <c r="F1827" s="5">
        <f>VLOOKUP(C1827,[1]master_data!$A$2:$E$495,3,FALSE)</f>
        <v>60000</v>
      </c>
      <c r="G1827" s="5">
        <f>VLOOKUP(C1827,[1]master_data!$A$2:$E$495,4,FALSE)</f>
        <v>110000</v>
      </c>
      <c r="H1827" s="5">
        <f t="shared" si="90"/>
        <v>60000</v>
      </c>
      <c r="I1827" s="5">
        <f t="shared" si="91"/>
        <v>110000</v>
      </c>
      <c r="J1827" s="5">
        <f t="shared" si="92"/>
        <v>50000</v>
      </c>
      <c r="K1827" s="5" t="str">
        <f>VLOOKUP(C1827,[1]master_data!$A$2:$E$495,5,FALSE)</f>
        <v>Aksesoris</v>
      </c>
      <c r="L1827" s="5" t="s">
        <v>471</v>
      </c>
    </row>
    <row r="1828" spans="1:12" ht="12" customHeight="1" x14ac:dyDescent="0.25">
      <c r="A1828" s="6">
        <v>44726</v>
      </c>
      <c r="B1828" s="1">
        <v>2202735</v>
      </c>
      <c r="C1828" s="5" t="s">
        <v>457</v>
      </c>
      <c r="D1828" s="5" t="str">
        <f>VLOOKUP(C1828,[1]master_data!$A$2:$E$495,2,FALSE)</f>
        <v>ZEBRA PINK</v>
      </c>
      <c r="E1828" s="5">
        <v>20</v>
      </c>
      <c r="F1828" s="5">
        <f>VLOOKUP(C1828,[1]master_data!$A$2:$E$495,3,FALSE)</f>
        <v>800</v>
      </c>
      <c r="G1828" s="5">
        <f>VLOOKUP(C1828,[1]master_data!$A$2:$E$495,4,FALSE)</f>
        <v>2000</v>
      </c>
      <c r="H1828" s="5">
        <f t="shared" si="90"/>
        <v>16000</v>
      </c>
      <c r="I1828" s="5">
        <f t="shared" si="91"/>
        <v>40000</v>
      </c>
      <c r="J1828" s="5">
        <f t="shared" si="92"/>
        <v>24000</v>
      </c>
      <c r="K1828" s="5" t="str">
        <f>VLOOKUP(C1828,[1]master_data!$A$2:$E$495,5,FALSE)</f>
        <v>Ikan</v>
      </c>
      <c r="L1828" s="5" t="s">
        <v>471</v>
      </c>
    </row>
    <row r="1829" spans="1:12" ht="12" customHeight="1" x14ac:dyDescent="0.25">
      <c r="A1829" s="6">
        <v>44726</v>
      </c>
      <c r="B1829" s="1">
        <v>2202734</v>
      </c>
      <c r="C1829" s="5" t="s">
        <v>87</v>
      </c>
      <c r="D1829" s="5" t="str">
        <f>VLOOKUP(C1829,[1]master_data!$A$2:$E$495,2,FALSE)</f>
        <v>MESIN KANDILA MAGURA 1200</v>
      </c>
      <c r="E1829" s="5">
        <v>5</v>
      </c>
      <c r="F1829" s="5">
        <f>VLOOKUP(C1829,[1]master_data!$A$2:$E$495,3,FALSE)</f>
        <v>52500</v>
      </c>
      <c r="G1829" s="5">
        <f>VLOOKUP(C1829,[1]master_data!$A$2:$E$495,4,FALSE)</f>
        <v>75000</v>
      </c>
      <c r="H1829" s="5">
        <f t="shared" si="90"/>
        <v>262500</v>
      </c>
      <c r="I1829" s="5">
        <f t="shared" si="91"/>
        <v>375000</v>
      </c>
      <c r="J1829" s="5">
        <f t="shared" si="92"/>
        <v>112500</v>
      </c>
      <c r="K1829" s="5" t="str">
        <f>VLOOKUP(C1829,[1]master_data!$A$2:$E$495,5,FALSE)</f>
        <v>Aksesoris</v>
      </c>
      <c r="L1829" s="5" t="s">
        <v>471</v>
      </c>
    </row>
    <row r="1830" spans="1:12" ht="12" customHeight="1" x14ac:dyDescent="0.25">
      <c r="A1830" s="6">
        <v>44726</v>
      </c>
      <c r="B1830" s="1">
        <v>2202733</v>
      </c>
      <c r="C1830" s="5" t="s">
        <v>431</v>
      </c>
      <c r="D1830" s="5" t="str">
        <f>VLOOKUP(C1830,[1]master_data!$A$2:$E$495,2,FALSE)</f>
        <v>MANFISH B</v>
      </c>
      <c r="E1830" s="5">
        <v>7</v>
      </c>
      <c r="F1830" s="5">
        <f>VLOOKUP(C1830,[1]master_data!$A$2:$E$495,3,FALSE)</f>
        <v>4000</v>
      </c>
      <c r="G1830" s="5">
        <f>VLOOKUP(C1830,[1]master_data!$A$2:$E$495,4,FALSE)</f>
        <v>10000</v>
      </c>
      <c r="H1830" s="5">
        <f t="shared" si="90"/>
        <v>28000</v>
      </c>
      <c r="I1830" s="5">
        <f t="shared" si="91"/>
        <v>70000</v>
      </c>
      <c r="J1830" s="5">
        <f t="shared" si="92"/>
        <v>42000</v>
      </c>
      <c r="K1830" s="5" t="str">
        <f>VLOOKUP(C1830,[1]master_data!$A$2:$E$495,5,FALSE)</f>
        <v>Ikan</v>
      </c>
      <c r="L1830" s="5" t="s">
        <v>471</v>
      </c>
    </row>
    <row r="1831" spans="1:12" ht="12" customHeight="1" x14ac:dyDescent="0.25">
      <c r="A1831" s="6">
        <v>44726</v>
      </c>
      <c r="B1831" s="1">
        <v>2202732</v>
      </c>
      <c r="C1831" s="5" t="s">
        <v>390</v>
      </c>
      <c r="D1831" s="5" t="str">
        <f>VLOOKUP(C1831,[1]master_data!$A$2:$E$495,2,FALSE)</f>
        <v>CHANNA ASIATICA K</v>
      </c>
      <c r="E1831" s="5">
        <v>1</v>
      </c>
      <c r="F1831" s="5">
        <f>VLOOKUP(C1831,[1]master_data!$A$2:$E$495,3,FALSE)</f>
        <v>10000</v>
      </c>
      <c r="G1831" s="5">
        <f>VLOOKUP(C1831,[1]master_data!$A$2:$E$495,4,FALSE)</f>
        <v>40000</v>
      </c>
      <c r="H1831" s="5">
        <f t="shared" si="90"/>
        <v>10000</v>
      </c>
      <c r="I1831" s="5">
        <f t="shared" si="91"/>
        <v>40000</v>
      </c>
      <c r="J1831" s="5">
        <f t="shared" si="92"/>
        <v>30000</v>
      </c>
      <c r="K1831" s="5" t="str">
        <f>VLOOKUP(C1831,[1]master_data!$A$2:$E$495,5,FALSE)</f>
        <v>Ikan</v>
      </c>
      <c r="L1831" s="5" t="s">
        <v>471</v>
      </c>
    </row>
    <row r="1832" spans="1:12" ht="12" customHeight="1" x14ac:dyDescent="0.25">
      <c r="A1832" s="6">
        <v>44726</v>
      </c>
      <c r="B1832" s="1">
        <v>2202731</v>
      </c>
      <c r="C1832" s="5" t="s">
        <v>422</v>
      </c>
      <c r="D1832" s="5" t="str">
        <f>VLOOKUP(C1832,[1]master_data!$A$2:$E$495,2,FALSE)</f>
        <v>KOMET SLAYER</v>
      </c>
      <c r="E1832" s="5">
        <v>10</v>
      </c>
      <c r="F1832" s="5">
        <f>VLOOKUP(C1832,[1]master_data!$A$2:$E$495,3,FALSE)</f>
        <v>2000</v>
      </c>
      <c r="G1832" s="5">
        <f>VLOOKUP(C1832,[1]master_data!$A$2:$E$495,4,FALSE)</f>
        <v>5000</v>
      </c>
      <c r="H1832" s="5">
        <f t="shared" si="90"/>
        <v>20000</v>
      </c>
      <c r="I1832" s="5">
        <f t="shared" si="91"/>
        <v>50000</v>
      </c>
      <c r="J1832" s="5">
        <f t="shared" si="92"/>
        <v>30000</v>
      </c>
      <c r="K1832" s="5" t="str">
        <f>VLOOKUP(C1832,[1]master_data!$A$2:$E$495,5,FALSE)</f>
        <v>Ikan</v>
      </c>
      <c r="L1832" s="5" t="s">
        <v>471</v>
      </c>
    </row>
    <row r="1833" spans="1:12" ht="12" customHeight="1" x14ac:dyDescent="0.25">
      <c r="A1833" s="6">
        <v>44726</v>
      </c>
      <c r="B1833" s="1">
        <v>2202730</v>
      </c>
      <c r="C1833" s="5" t="s">
        <v>60</v>
      </c>
      <c r="D1833" s="5" t="str">
        <f>VLOOKUP(C1833,[1]master_data!$A$2:$E$495,2,FALSE)</f>
        <v>MESIN SUSUN 4800</v>
      </c>
      <c r="E1833" s="5">
        <v>2</v>
      </c>
      <c r="F1833" s="5">
        <f>VLOOKUP(C1833,[1]master_data!$A$2:$E$495,3,FALSE)</f>
        <v>542000</v>
      </c>
      <c r="G1833" s="5">
        <f>VLOOKUP(C1833,[1]master_data!$A$2:$E$495,4,FALSE)</f>
        <v>630000</v>
      </c>
      <c r="H1833" s="5">
        <f t="shared" si="90"/>
        <v>1084000</v>
      </c>
      <c r="I1833" s="5">
        <f t="shared" si="91"/>
        <v>1260000</v>
      </c>
      <c r="J1833" s="5">
        <f t="shared" si="92"/>
        <v>176000</v>
      </c>
      <c r="K1833" s="5" t="str">
        <f>VLOOKUP(C1833,[1]master_data!$A$2:$E$495,5,FALSE)</f>
        <v>Aksesoris</v>
      </c>
      <c r="L1833" s="5" t="s">
        <v>471</v>
      </c>
    </row>
    <row r="1834" spans="1:12" ht="12" customHeight="1" x14ac:dyDescent="0.25">
      <c r="A1834" s="6">
        <v>44725</v>
      </c>
      <c r="B1834" s="1">
        <v>2202729</v>
      </c>
      <c r="C1834" s="5" t="s">
        <v>336</v>
      </c>
      <c r="D1834" s="5" t="str">
        <f>VLOOKUP(C1834,[1]master_data!$A$2:$E$495,2,FALSE)</f>
        <v xml:space="preserve">PK </v>
      </c>
      <c r="E1834" s="5">
        <v>2</v>
      </c>
      <c r="F1834" s="5">
        <f>VLOOKUP(C1834,[1]master_data!$A$2:$E$495,3,FALSE)</f>
        <v>15000</v>
      </c>
      <c r="G1834" s="5">
        <f>VLOOKUP(C1834,[1]master_data!$A$2:$E$495,4,FALSE)</f>
        <v>25000</v>
      </c>
      <c r="H1834" s="5">
        <f t="shared" si="90"/>
        <v>30000</v>
      </c>
      <c r="I1834" s="5">
        <f t="shared" si="91"/>
        <v>50000</v>
      </c>
      <c r="J1834" s="5">
        <f t="shared" si="92"/>
        <v>20000</v>
      </c>
      <c r="K1834" s="5" t="str">
        <f>VLOOKUP(C1834,[1]master_data!$A$2:$E$495,5,FALSE)</f>
        <v>Aksesoris</v>
      </c>
      <c r="L1834" s="5" t="s">
        <v>471</v>
      </c>
    </row>
    <row r="1835" spans="1:12" ht="12" customHeight="1" x14ac:dyDescent="0.25">
      <c r="A1835" s="6">
        <v>44725</v>
      </c>
      <c r="B1835" s="1">
        <v>2202728</v>
      </c>
      <c r="C1835" s="5" t="s">
        <v>196</v>
      </c>
      <c r="D1835" s="5" t="str">
        <f>VLOOKUP(C1835,[1]master_data!$A$2:$E$495,2,FALSE)</f>
        <v>AKARI PREMIUM RED</v>
      </c>
      <c r="E1835" s="5">
        <v>1</v>
      </c>
      <c r="F1835" s="5">
        <f>VLOOKUP(C1835,[1]master_data!$A$2:$E$495,3,FALSE)</f>
        <v>37000</v>
      </c>
      <c r="G1835" s="5">
        <f>VLOOKUP(C1835,[1]master_data!$A$2:$E$495,4,FALSE)</f>
        <v>50000</v>
      </c>
      <c r="H1835" s="5">
        <f t="shared" si="90"/>
        <v>37000</v>
      </c>
      <c r="I1835" s="5">
        <f t="shared" si="91"/>
        <v>50000</v>
      </c>
      <c r="J1835" s="5">
        <f t="shared" si="92"/>
        <v>13000</v>
      </c>
      <c r="K1835" s="5" t="str">
        <f>VLOOKUP(C1835,[1]master_data!$A$2:$E$495,5,FALSE)</f>
        <v>Aksesoris</v>
      </c>
      <c r="L1835" s="5" t="s">
        <v>471</v>
      </c>
    </row>
    <row r="1836" spans="1:12" ht="12" customHeight="1" x14ac:dyDescent="0.25">
      <c r="A1836" s="6">
        <v>44725</v>
      </c>
      <c r="B1836" s="1">
        <v>2202727</v>
      </c>
      <c r="C1836" s="5" t="s">
        <v>42</v>
      </c>
      <c r="D1836" s="5" t="str">
        <f>VLOOKUP(C1836,[1]master_data!$A$2:$E$495,2,FALSE)</f>
        <v>MESIN YAMANO MP 44</v>
      </c>
      <c r="E1836" s="5">
        <v>10</v>
      </c>
      <c r="F1836" s="5">
        <f>VLOOKUP(C1836,[1]master_data!$A$2:$E$495,3,FALSE)</f>
        <v>40000</v>
      </c>
      <c r="G1836" s="5">
        <f>VLOOKUP(C1836,[1]master_data!$A$2:$E$495,4,FALSE)</f>
        <v>60000</v>
      </c>
      <c r="H1836" s="5">
        <f t="shared" si="90"/>
        <v>400000</v>
      </c>
      <c r="I1836" s="5">
        <f t="shared" si="91"/>
        <v>600000</v>
      </c>
      <c r="J1836" s="5">
        <f t="shared" si="92"/>
        <v>200000</v>
      </c>
      <c r="K1836" s="5" t="str">
        <f>VLOOKUP(C1836,[1]master_data!$A$2:$E$495,5,FALSE)</f>
        <v>Aksesoris</v>
      </c>
      <c r="L1836" s="5" t="s">
        <v>471</v>
      </c>
    </row>
    <row r="1837" spans="1:12" ht="12" customHeight="1" x14ac:dyDescent="0.25">
      <c r="A1837" s="6">
        <v>44725</v>
      </c>
      <c r="B1837" s="1">
        <v>2202726</v>
      </c>
      <c r="C1837" s="5" t="s">
        <v>450</v>
      </c>
      <c r="D1837" s="5" t="str">
        <f>VLOOKUP(C1837,[1]master_data!$A$2:$E$495,2,FALSE)</f>
        <v>SUMATRA BIASA</v>
      </c>
      <c r="E1837" s="5">
        <v>30</v>
      </c>
      <c r="F1837" s="5">
        <f>VLOOKUP(C1837,[1]master_data!$A$2:$E$495,3,FALSE)</f>
        <v>800</v>
      </c>
      <c r="G1837" s="5">
        <f>VLOOKUP(C1837,[1]master_data!$A$2:$E$495,4,FALSE)</f>
        <v>2000</v>
      </c>
      <c r="H1837" s="5">
        <f t="shared" si="90"/>
        <v>24000</v>
      </c>
      <c r="I1837" s="5">
        <f t="shared" si="91"/>
        <v>60000</v>
      </c>
      <c r="J1837" s="5">
        <f t="shared" si="92"/>
        <v>36000</v>
      </c>
      <c r="K1837" s="5" t="str">
        <f>VLOOKUP(C1837,[1]master_data!$A$2:$E$495,5,FALSE)</f>
        <v>Ikan</v>
      </c>
      <c r="L1837" s="5" t="s">
        <v>471</v>
      </c>
    </row>
    <row r="1838" spans="1:12" ht="12" customHeight="1" x14ac:dyDescent="0.25">
      <c r="A1838" s="6">
        <v>44725</v>
      </c>
      <c r="B1838" s="1">
        <v>2202725</v>
      </c>
      <c r="C1838" s="5" t="s">
        <v>49</v>
      </c>
      <c r="D1838" s="5" t="str">
        <f>VLOOKUP(C1838,[1]master_data!$A$2:$E$495,2,FALSE)</f>
        <v>MESIN NIKITA WAVE MAKER M6</v>
      </c>
      <c r="E1838" s="5">
        <v>1</v>
      </c>
      <c r="F1838" s="5">
        <f>VLOOKUP(C1838,[1]master_data!$A$2:$E$495,3,FALSE)</f>
        <v>86000</v>
      </c>
      <c r="G1838" s="5">
        <f>VLOOKUP(C1838,[1]master_data!$A$2:$E$495,4,FALSE)</f>
        <v>120000</v>
      </c>
      <c r="H1838" s="5">
        <f t="shared" si="90"/>
        <v>86000</v>
      </c>
      <c r="I1838" s="5">
        <f t="shared" si="91"/>
        <v>120000</v>
      </c>
      <c r="J1838" s="5">
        <f t="shared" si="92"/>
        <v>34000</v>
      </c>
      <c r="K1838" s="5" t="str">
        <f>VLOOKUP(C1838,[1]master_data!$A$2:$E$495,5,FALSE)</f>
        <v>Aksesoris</v>
      </c>
      <c r="L1838" s="5" t="s">
        <v>471</v>
      </c>
    </row>
    <row r="1839" spans="1:12" ht="12" customHeight="1" x14ac:dyDescent="0.25">
      <c r="A1839" s="6">
        <v>44725</v>
      </c>
      <c r="B1839" s="1">
        <v>2202724</v>
      </c>
      <c r="C1839" s="5" t="s">
        <v>66</v>
      </c>
      <c r="D1839" s="5" t="str">
        <f>VLOOKUP(C1839,[1]master_data!$A$2:$E$495,2,FALSE)</f>
        <v>BIO FOAM L</v>
      </c>
      <c r="E1839" s="5">
        <v>5</v>
      </c>
      <c r="F1839" s="5">
        <f>VLOOKUP(C1839,[1]master_data!$A$2:$E$495,3,FALSE)</f>
        <v>22000</v>
      </c>
      <c r="G1839" s="5">
        <f>VLOOKUP(C1839,[1]master_data!$A$2:$E$495,4,FALSE)</f>
        <v>35000</v>
      </c>
      <c r="H1839" s="5">
        <f t="shared" si="90"/>
        <v>110000</v>
      </c>
      <c r="I1839" s="5">
        <f t="shared" si="91"/>
        <v>175000</v>
      </c>
      <c r="J1839" s="5">
        <f t="shared" si="92"/>
        <v>65000</v>
      </c>
      <c r="K1839" s="5" t="str">
        <f>VLOOKUP(C1839,[1]master_data!$A$2:$E$495,5,FALSE)</f>
        <v>Aksesoris</v>
      </c>
      <c r="L1839" s="5" t="s">
        <v>471</v>
      </c>
    </row>
    <row r="1840" spans="1:12" ht="12" customHeight="1" x14ac:dyDescent="0.25">
      <c r="A1840" s="6">
        <v>44725</v>
      </c>
      <c r="B1840" s="1">
        <v>2202723</v>
      </c>
      <c r="C1840" s="5" t="s">
        <v>293</v>
      </c>
      <c r="D1840" s="5" t="str">
        <f>VLOOKUP(C1840,[1]master_data!$A$2:$E$495,2,FALSE)</f>
        <v>JARING NELAYAN</v>
      </c>
      <c r="E1840" s="5">
        <v>1</v>
      </c>
      <c r="F1840" s="5">
        <f>VLOOKUP(C1840,[1]master_data!$A$2:$E$495,3,FALSE)</f>
        <v>15000</v>
      </c>
      <c r="G1840" s="5">
        <f>VLOOKUP(C1840,[1]master_data!$A$2:$E$495,4,FALSE)</f>
        <v>25000</v>
      </c>
      <c r="H1840" s="5">
        <f t="shared" si="90"/>
        <v>15000</v>
      </c>
      <c r="I1840" s="5">
        <f t="shared" si="91"/>
        <v>25000</v>
      </c>
      <c r="J1840" s="5">
        <f t="shared" si="92"/>
        <v>10000</v>
      </c>
      <c r="K1840" s="5" t="str">
        <f>VLOOKUP(C1840,[1]master_data!$A$2:$E$495,5,FALSE)</f>
        <v>Aksesoris</v>
      </c>
      <c r="L1840" s="5" t="s">
        <v>471</v>
      </c>
    </row>
    <row r="1841" spans="1:12" ht="12" customHeight="1" x14ac:dyDescent="0.25">
      <c r="A1841" s="6">
        <v>44725</v>
      </c>
      <c r="B1841" s="1">
        <v>2202722</v>
      </c>
      <c r="C1841" s="5" t="s">
        <v>107</v>
      </c>
      <c r="D1841" s="5" t="str">
        <f>VLOOKUP(C1841,[1]master_data!$A$2:$E$495,2,FALSE)</f>
        <v>AIRATOR VOSSO LUB 1</v>
      </c>
      <c r="E1841" s="5">
        <v>2</v>
      </c>
      <c r="F1841" s="5">
        <f>VLOOKUP(C1841,[1]master_data!$A$2:$E$495,3,FALSE)</f>
        <v>16000</v>
      </c>
      <c r="G1841" s="5">
        <f>VLOOKUP(C1841,[1]master_data!$A$2:$E$495,4,FALSE)</f>
        <v>25000</v>
      </c>
      <c r="H1841" s="5">
        <f t="shared" si="90"/>
        <v>32000</v>
      </c>
      <c r="I1841" s="5">
        <f t="shared" si="91"/>
        <v>50000</v>
      </c>
      <c r="J1841" s="5">
        <f t="shared" si="92"/>
        <v>18000</v>
      </c>
      <c r="K1841" s="5" t="str">
        <f>VLOOKUP(C1841,[1]master_data!$A$2:$E$495,5,FALSE)</f>
        <v>Aksesoris</v>
      </c>
      <c r="L1841" s="5" t="s">
        <v>471</v>
      </c>
    </row>
    <row r="1842" spans="1:12" ht="12" customHeight="1" x14ac:dyDescent="0.25">
      <c r="A1842" s="6">
        <v>44725</v>
      </c>
      <c r="B1842" s="1">
        <v>2202721</v>
      </c>
      <c r="C1842" s="5" t="s">
        <v>431</v>
      </c>
      <c r="D1842" s="5" t="str">
        <f>VLOOKUP(C1842,[1]master_data!$A$2:$E$495,2,FALSE)</f>
        <v>MANFISH B</v>
      </c>
      <c r="E1842" s="5">
        <v>15</v>
      </c>
      <c r="F1842" s="5">
        <f>VLOOKUP(C1842,[1]master_data!$A$2:$E$495,3,FALSE)</f>
        <v>4000</v>
      </c>
      <c r="G1842" s="5">
        <f>VLOOKUP(C1842,[1]master_data!$A$2:$E$495,4,FALSE)</f>
        <v>10000</v>
      </c>
      <c r="H1842" s="5">
        <f t="shared" si="90"/>
        <v>60000</v>
      </c>
      <c r="I1842" s="5">
        <f t="shared" si="91"/>
        <v>150000</v>
      </c>
      <c r="J1842" s="5">
        <f t="shared" si="92"/>
        <v>90000</v>
      </c>
      <c r="K1842" s="5" t="str">
        <f>VLOOKUP(C1842,[1]master_data!$A$2:$E$495,5,FALSE)</f>
        <v>Ikan</v>
      </c>
      <c r="L1842" s="5" t="s">
        <v>471</v>
      </c>
    </row>
    <row r="1843" spans="1:12" ht="12" customHeight="1" x14ac:dyDescent="0.25">
      <c r="A1843" s="6">
        <v>44725</v>
      </c>
      <c r="B1843" s="1">
        <v>2202720</v>
      </c>
      <c r="C1843" s="5" t="s">
        <v>452</v>
      </c>
      <c r="D1843" s="5" t="str">
        <f>VLOOKUP(C1843,[1]master_data!$A$2:$E$495,2,FALSE)</f>
        <v>SNOW WHITE</v>
      </c>
      <c r="E1843" s="5">
        <v>15</v>
      </c>
      <c r="F1843" s="5">
        <f>VLOOKUP(C1843,[1]master_data!$A$2:$E$495,3,FALSE)</f>
        <v>1500</v>
      </c>
      <c r="G1843" s="5">
        <f>VLOOKUP(C1843,[1]master_data!$A$2:$E$495,4,FALSE)</f>
        <v>3000</v>
      </c>
      <c r="H1843" s="5">
        <f t="shared" si="90"/>
        <v>22500</v>
      </c>
      <c r="I1843" s="5">
        <f t="shared" si="91"/>
        <v>45000</v>
      </c>
      <c r="J1843" s="5">
        <f t="shared" si="92"/>
        <v>22500</v>
      </c>
      <c r="K1843" s="5" t="str">
        <f>VLOOKUP(C1843,[1]master_data!$A$2:$E$495,5,FALSE)</f>
        <v>Ikan</v>
      </c>
      <c r="L1843" s="5" t="s">
        <v>471</v>
      </c>
    </row>
    <row r="1844" spans="1:12" ht="12" customHeight="1" x14ac:dyDescent="0.25">
      <c r="A1844" s="6">
        <v>44725</v>
      </c>
      <c r="B1844" s="1">
        <v>2202719</v>
      </c>
      <c r="C1844" s="5" t="s">
        <v>437</v>
      </c>
      <c r="D1844" s="5" t="str">
        <f>VLOOKUP(C1844,[1]master_data!$A$2:$E$495,2,FALSE)</f>
        <v>RED EYE TETRA</v>
      </c>
      <c r="E1844" s="5">
        <v>30</v>
      </c>
      <c r="F1844" s="5">
        <f>VLOOKUP(C1844,[1]master_data!$A$2:$E$495,3,FALSE)</f>
        <v>900</v>
      </c>
      <c r="G1844" s="5">
        <f>VLOOKUP(C1844,[1]master_data!$A$2:$E$495,4,FALSE)</f>
        <v>2000</v>
      </c>
      <c r="H1844" s="5">
        <f t="shared" si="90"/>
        <v>27000</v>
      </c>
      <c r="I1844" s="5">
        <f t="shared" si="91"/>
        <v>60000</v>
      </c>
      <c r="J1844" s="5">
        <f t="shared" si="92"/>
        <v>33000</v>
      </c>
      <c r="K1844" s="5" t="str">
        <f>VLOOKUP(C1844,[1]master_data!$A$2:$E$495,5,FALSE)</f>
        <v>Ikan</v>
      </c>
      <c r="L1844" s="5" t="s">
        <v>471</v>
      </c>
    </row>
    <row r="1845" spans="1:12" ht="12" customHeight="1" x14ac:dyDescent="0.25">
      <c r="A1845" s="6">
        <v>44725</v>
      </c>
      <c r="B1845" s="1">
        <v>2202718</v>
      </c>
      <c r="C1845" s="5" t="s">
        <v>144</v>
      </c>
      <c r="D1845" s="5" t="str">
        <f>VLOOKUP(C1845,[1]master_data!$A$2:$E$495,2,FALSE)</f>
        <v>LED KIYOSAKI 3 MODE 20 CM</v>
      </c>
      <c r="E1845" s="5">
        <v>2</v>
      </c>
      <c r="F1845" s="5">
        <f>VLOOKUP(C1845,[1]master_data!$A$2:$E$495,3,FALSE)</f>
        <v>35000</v>
      </c>
      <c r="G1845" s="5">
        <f>VLOOKUP(C1845,[1]master_data!$A$2:$E$495,4,FALSE)</f>
        <v>50000</v>
      </c>
      <c r="H1845" s="5">
        <f t="shared" si="90"/>
        <v>70000</v>
      </c>
      <c r="I1845" s="5">
        <f t="shared" si="91"/>
        <v>100000</v>
      </c>
      <c r="J1845" s="5">
        <f t="shared" si="92"/>
        <v>30000</v>
      </c>
      <c r="K1845" s="5" t="str">
        <f>VLOOKUP(C1845,[1]master_data!$A$2:$E$495,5,FALSE)</f>
        <v>Aksesoris</v>
      </c>
      <c r="L1845" s="5" t="s">
        <v>471</v>
      </c>
    </row>
    <row r="1846" spans="1:12" ht="12" customHeight="1" x14ac:dyDescent="0.25">
      <c r="A1846" s="6">
        <v>44724</v>
      </c>
      <c r="B1846" s="1">
        <v>2202717</v>
      </c>
      <c r="C1846" s="5" t="s">
        <v>416</v>
      </c>
      <c r="D1846" s="5" t="str">
        <f>VLOOKUP(C1846,[1]master_data!$A$2:$E$495,2,FALSE)</f>
        <v>KOI K</v>
      </c>
      <c r="E1846" s="5">
        <v>20</v>
      </c>
      <c r="F1846" s="5">
        <f>VLOOKUP(C1846,[1]master_data!$A$2:$E$495,3,FALSE)</f>
        <v>2500</v>
      </c>
      <c r="G1846" s="5">
        <f>VLOOKUP(C1846,[1]master_data!$A$2:$E$495,4,FALSE)</f>
        <v>10000</v>
      </c>
      <c r="H1846" s="5">
        <f t="shared" si="90"/>
        <v>50000</v>
      </c>
      <c r="I1846" s="5">
        <f t="shared" si="91"/>
        <v>200000</v>
      </c>
      <c r="J1846" s="5">
        <f t="shared" si="92"/>
        <v>150000</v>
      </c>
      <c r="K1846" s="5" t="str">
        <f>VLOOKUP(C1846,[1]master_data!$A$2:$E$495,5,FALSE)</f>
        <v>Ikan</v>
      </c>
      <c r="L1846" s="5" t="s">
        <v>471</v>
      </c>
    </row>
    <row r="1847" spans="1:12" ht="12" customHeight="1" x14ac:dyDescent="0.25">
      <c r="A1847" s="6">
        <v>44724</v>
      </c>
      <c r="B1847" s="1">
        <v>2202716</v>
      </c>
      <c r="C1847" s="5" t="s">
        <v>405</v>
      </c>
      <c r="D1847" s="5" t="str">
        <f>VLOOKUP(C1847,[1]master_data!$A$2:$E$495,2,FALSE)</f>
        <v>KOMET BOKIM</v>
      </c>
      <c r="E1847" s="5">
        <v>20</v>
      </c>
      <c r="F1847" s="5">
        <f>VLOOKUP(C1847,[1]master_data!$A$2:$E$495,3,FALSE)</f>
        <v>1500</v>
      </c>
      <c r="G1847" s="5">
        <f>VLOOKUP(C1847,[1]master_data!$A$2:$E$495,4,FALSE)</f>
        <v>5000</v>
      </c>
      <c r="H1847" s="5">
        <f t="shared" si="90"/>
        <v>30000</v>
      </c>
      <c r="I1847" s="5">
        <f t="shared" si="91"/>
        <v>100000</v>
      </c>
      <c r="J1847" s="5">
        <f t="shared" si="92"/>
        <v>70000</v>
      </c>
      <c r="K1847" s="5" t="str">
        <f>VLOOKUP(C1847,[1]master_data!$A$2:$E$495,5,FALSE)</f>
        <v>Ikan</v>
      </c>
      <c r="L1847" s="5" t="s">
        <v>471</v>
      </c>
    </row>
    <row r="1848" spans="1:12" ht="12" customHeight="1" x14ac:dyDescent="0.25">
      <c r="A1848" s="6">
        <v>44724</v>
      </c>
      <c r="B1848" s="1">
        <v>2202715</v>
      </c>
      <c r="C1848" s="5" t="s">
        <v>415</v>
      </c>
      <c r="D1848" s="5" t="str">
        <f>VLOOKUP(C1848,[1]master_data!$A$2:$E$495,2,FALSE)</f>
        <v>KOKI B</v>
      </c>
      <c r="E1848" s="5">
        <v>1</v>
      </c>
      <c r="F1848" s="5">
        <f>VLOOKUP(C1848,[1]master_data!$A$2:$E$495,3,FALSE)</f>
        <v>20000</v>
      </c>
      <c r="G1848" s="5">
        <f>VLOOKUP(C1848,[1]master_data!$A$2:$E$495,4,FALSE)</f>
        <v>50000</v>
      </c>
      <c r="H1848" s="5">
        <f t="shared" si="90"/>
        <v>20000</v>
      </c>
      <c r="I1848" s="5">
        <f t="shared" si="91"/>
        <v>50000</v>
      </c>
      <c r="J1848" s="5">
        <f t="shared" si="92"/>
        <v>30000</v>
      </c>
      <c r="K1848" s="5" t="str">
        <f>VLOOKUP(C1848,[1]master_data!$A$2:$E$495,5,FALSE)</f>
        <v>Ikan</v>
      </c>
      <c r="L1848" s="5" t="s">
        <v>471</v>
      </c>
    </row>
    <row r="1849" spans="1:12" ht="12" customHeight="1" x14ac:dyDescent="0.25">
      <c r="A1849" s="6">
        <v>44724</v>
      </c>
      <c r="B1849" s="1">
        <v>2202714</v>
      </c>
      <c r="C1849" s="5" t="s">
        <v>441</v>
      </c>
      <c r="D1849" s="5" t="str">
        <f>VLOOKUP(C1849,[1]master_data!$A$2:$E$495,2,FALSE)</f>
        <v>PEMBERSIH KACA BIASA</v>
      </c>
      <c r="E1849" s="5">
        <v>4</v>
      </c>
      <c r="F1849" s="5">
        <f>VLOOKUP(C1849,[1]master_data!$A$2:$E$495,3,FALSE)</f>
        <v>2000</v>
      </c>
      <c r="G1849" s="5">
        <f>VLOOKUP(C1849,[1]master_data!$A$2:$E$495,4,FALSE)</f>
        <v>5000</v>
      </c>
      <c r="H1849" s="5">
        <f t="shared" si="90"/>
        <v>8000</v>
      </c>
      <c r="I1849" s="5">
        <f t="shared" si="91"/>
        <v>20000</v>
      </c>
      <c r="J1849" s="5">
        <f t="shared" si="92"/>
        <v>12000</v>
      </c>
      <c r="K1849" s="5" t="str">
        <f>VLOOKUP(C1849,[1]master_data!$A$2:$E$495,5,FALSE)</f>
        <v>Ikan</v>
      </c>
      <c r="L1849" s="5" t="s">
        <v>471</v>
      </c>
    </row>
    <row r="1850" spans="1:12" ht="12" customHeight="1" x14ac:dyDescent="0.25">
      <c r="A1850" s="6">
        <v>44724</v>
      </c>
      <c r="B1850" s="1">
        <v>2202713</v>
      </c>
      <c r="C1850" s="5" t="s">
        <v>415</v>
      </c>
      <c r="D1850" s="5" t="str">
        <f>VLOOKUP(C1850,[1]master_data!$A$2:$E$495,2,FALSE)</f>
        <v>KOKI B</v>
      </c>
      <c r="E1850" s="5">
        <v>1</v>
      </c>
      <c r="F1850" s="5">
        <f>VLOOKUP(C1850,[1]master_data!$A$2:$E$495,3,FALSE)</f>
        <v>20000</v>
      </c>
      <c r="G1850" s="5">
        <f>VLOOKUP(C1850,[1]master_data!$A$2:$E$495,4,FALSE)</f>
        <v>50000</v>
      </c>
      <c r="H1850" s="5">
        <f t="shared" si="90"/>
        <v>20000</v>
      </c>
      <c r="I1850" s="5">
        <f t="shared" si="91"/>
        <v>50000</v>
      </c>
      <c r="J1850" s="5">
        <f t="shared" si="92"/>
        <v>30000</v>
      </c>
      <c r="K1850" s="5" t="str">
        <f>VLOOKUP(C1850,[1]master_data!$A$2:$E$495,5,FALSE)</f>
        <v>Ikan</v>
      </c>
      <c r="L1850" s="5" t="s">
        <v>471</v>
      </c>
    </row>
    <row r="1851" spans="1:12" ht="12" customHeight="1" x14ac:dyDescent="0.25">
      <c r="A1851" s="6">
        <v>44724</v>
      </c>
      <c r="B1851" s="1">
        <v>2202712</v>
      </c>
      <c r="C1851" s="5" t="s">
        <v>408</v>
      </c>
      <c r="D1851" s="5" t="str">
        <f>VLOOKUP(C1851,[1]master_data!$A$2:$E$495,2,FALSE)</f>
        <v>CATFISH</v>
      </c>
      <c r="E1851" s="5">
        <v>5</v>
      </c>
      <c r="F1851" s="5">
        <f>VLOOKUP(C1851,[1]master_data!$A$2:$E$495,3,FALSE)</f>
        <v>20000</v>
      </c>
      <c r="G1851" s="5">
        <f>VLOOKUP(C1851,[1]master_data!$A$2:$E$495,4,FALSE)</f>
        <v>50000</v>
      </c>
      <c r="H1851" s="5">
        <f t="shared" si="90"/>
        <v>100000</v>
      </c>
      <c r="I1851" s="5">
        <f t="shared" si="91"/>
        <v>250000</v>
      </c>
      <c r="J1851" s="5">
        <f t="shared" si="92"/>
        <v>150000</v>
      </c>
      <c r="K1851" s="5" t="str">
        <f>VLOOKUP(C1851,[1]master_data!$A$2:$E$495,5,FALSE)</f>
        <v>Ikan</v>
      </c>
      <c r="L1851" s="5" t="s">
        <v>471</v>
      </c>
    </row>
    <row r="1852" spans="1:12" ht="12" customHeight="1" x14ac:dyDescent="0.25">
      <c r="A1852" s="6">
        <v>44724</v>
      </c>
      <c r="B1852" s="1">
        <v>2202711</v>
      </c>
      <c r="C1852" s="5" t="s">
        <v>308</v>
      </c>
      <c r="D1852" s="5" t="str">
        <f>VLOOKUP(C1852,[1]master_data!$A$2:$E$495,2,FALSE)</f>
        <v>SUPER BLUE</v>
      </c>
      <c r="E1852" s="5">
        <v>1</v>
      </c>
      <c r="F1852" s="5">
        <f>VLOOKUP(C1852,[1]master_data!$A$2:$E$495,3,FALSE)</f>
        <v>8000</v>
      </c>
      <c r="G1852" s="5">
        <f>VLOOKUP(C1852,[1]master_data!$A$2:$E$495,4,FALSE)</f>
        <v>12000</v>
      </c>
      <c r="H1852" s="5">
        <f t="shared" si="90"/>
        <v>8000</v>
      </c>
      <c r="I1852" s="5">
        <f t="shared" si="91"/>
        <v>12000</v>
      </c>
      <c r="J1852" s="5">
        <f t="shared" si="92"/>
        <v>4000</v>
      </c>
      <c r="K1852" s="5" t="str">
        <f>VLOOKUP(C1852,[1]master_data!$A$2:$E$495,5,FALSE)</f>
        <v>Aksesoris</v>
      </c>
      <c r="L1852" s="5" t="s">
        <v>471</v>
      </c>
    </row>
    <row r="1853" spans="1:12" ht="12" customHeight="1" x14ac:dyDescent="0.25">
      <c r="A1853" s="6">
        <v>44724</v>
      </c>
      <c r="B1853" s="1">
        <v>2202710</v>
      </c>
      <c r="C1853" s="5" t="s">
        <v>399</v>
      </c>
      <c r="D1853" s="5" t="str">
        <f>VLOOKUP(C1853,[1]master_data!$A$2:$E$495,2,FALSE)</f>
        <v>BUENOS AIRES TETRA</v>
      </c>
      <c r="E1853" s="5">
        <v>15</v>
      </c>
      <c r="F1853" s="5">
        <f>VLOOKUP(C1853,[1]master_data!$A$2:$E$495,3,FALSE)</f>
        <v>800</v>
      </c>
      <c r="G1853" s="5">
        <f>VLOOKUP(C1853,[1]master_data!$A$2:$E$495,4,FALSE)</f>
        <v>2000</v>
      </c>
      <c r="H1853" s="5">
        <f t="shared" si="90"/>
        <v>12000</v>
      </c>
      <c r="I1853" s="5">
        <f t="shared" si="91"/>
        <v>30000</v>
      </c>
      <c r="J1853" s="5">
        <f t="shared" si="92"/>
        <v>18000</v>
      </c>
      <c r="K1853" s="5" t="str">
        <f>VLOOKUP(C1853,[1]master_data!$A$2:$E$495,5,FALSE)</f>
        <v>Ikan</v>
      </c>
      <c r="L1853" s="5" t="s">
        <v>471</v>
      </c>
    </row>
    <row r="1854" spans="1:12" ht="12" customHeight="1" x14ac:dyDescent="0.25">
      <c r="A1854" s="6">
        <v>44724</v>
      </c>
      <c r="B1854" s="1">
        <v>2202709</v>
      </c>
      <c r="C1854" s="5" t="s">
        <v>398</v>
      </c>
      <c r="D1854" s="5" t="str">
        <f>VLOOKUP(C1854,[1]master_data!$A$2:$E$495,2,FALSE)</f>
        <v>BIPOLAR</v>
      </c>
      <c r="E1854" s="5">
        <v>20</v>
      </c>
      <c r="F1854" s="5">
        <f>VLOOKUP(C1854,[1]master_data!$A$2:$E$495,3,FALSE)</f>
        <v>1000</v>
      </c>
      <c r="G1854" s="5">
        <f>VLOOKUP(C1854,[1]master_data!$A$2:$E$495,4,FALSE)</f>
        <v>2500</v>
      </c>
      <c r="H1854" s="5">
        <f t="shared" si="90"/>
        <v>20000</v>
      </c>
      <c r="I1854" s="5">
        <f t="shared" si="91"/>
        <v>50000</v>
      </c>
      <c r="J1854" s="5">
        <f t="shared" si="92"/>
        <v>30000</v>
      </c>
      <c r="K1854" s="5" t="str">
        <f>VLOOKUP(C1854,[1]master_data!$A$2:$E$495,5,FALSE)</f>
        <v>Ikan</v>
      </c>
      <c r="L1854" s="5" t="s">
        <v>471</v>
      </c>
    </row>
    <row r="1855" spans="1:12" ht="12" customHeight="1" x14ac:dyDescent="0.25">
      <c r="A1855" s="6">
        <v>44724</v>
      </c>
      <c r="B1855" s="1">
        <v>2202708</v>
      </c>
      <c r="C1855" s="5" t="s">
        <v>460</v>
      </c>
      <c r="D1855" s="5" t="str">
        <f>VLOOKUP(C1855,[1]master_data!$A$2:$E$495,2,FALSE)</f>
        <v>ZEBRA KUNING</v>
      </c>
      <c r="E1855" s="5">
        <v>25</v>
      </c>
      <c r="F1855" s="5">
        <f>VLOOKUP(C1855,[1]master_data!$A$2:$E$495,3,FALSE)</f>
        <v>800</v>
      </c>
      <c r="G1855" s="5">
        <f>VLOOKUP(C1855,[1]master_data!$A$2:$E$495,4,FALSE)</f>
        <v>2000</v>
      </c>
      <c r="H1855" s="5">
        <f t="shared" si="90"/>
        <v>20000</v>
      </c>
      <c r="I1855" s="5">
        <f t="shared" si="91"/>
        <v>50000</v>
      </c>
      <c r="J1855" s="5">
        <f t="shared" si="92"/>
        <v>30000</v>
      </c>
      <c r="K1855" s="5" t="str">
        <f>VLOOKUP(C1855,[1]master_data!$A$2:$E$495,5,FALSE)</f>
        <v>Ikan</v>
      </c>
      <c r="L1855" s="5" t="s">
        <v>471</v>
      </c>
    </row>
    <row r="1856" spans="1:12" ht="12" customHeight="1" x14ac:dyDescent="0.25">
      <c r="A1856" s="6">
        <v>44724</v>
      </c>
      <c r="B1856" s="1">
        <v>2202707</v>
      </c>
      <c r="C1856" s="5" t="s">
        <v>234</v>
      </c>
      <c r="D1856" s="5" t="str">
        <f>VLOOKUP(C1856,[1]master_data!$A$2:$E$495,2,FALSE)</f>
        <v>FISH LOVE PAKAN BURAYAK</v>
      </c>
      <c r="E1856" s="5">
        <v>20</v>
      </c>
      <c r="F1856" s="5">
        <f>VLOOKUP(C1856,[1]master_data!$A$2:$E$495,3,FALSE)</f>
        <v>2500</v>
      </c>
      <c r="G1856" s="5">
        <f>VLOOKUP(C1856,[1]master_data!$A$2:$E$495,4,FALSE)</f>
        <v>5000</v>
      </c>
      <c r="H1856" s="5">
        <f t="shared" si="90"/>
        <v>50000</v>
      </c>
      <c r="I1856" s="5">
        <f t="shared" si="91"/>
        <v>100000</v>
      </c>
      <c r="J1856" s="5">
        <f t="shared" si="92"/>
        <v>50000</v>
      </c>
      <c r="K1856" s="5" t="str">
        <f>VLOOKUP(C1856,[1]master_data!$A$2:$E$495,5,FALSE)</f>
        <v>Aksesoris</v>
      </c>
      <c r="L1856" s="5" t="s">
        <v>471</v>
      </c>
    </row>
    <row r="1857" spans="1:12" ht="12" customHeight="1" x14ac:dyDescent="0.25">
      <c r="A1857" s="6">
        <v>44723</v>
      </c>
      <c r="B1857" s="1">
        <v>2202706</v>
      </c>
      <c r="C1857" s="5" t="s">
        <v>389</v>
      </c>
      <c r="D1857" s="5" t="str">
        <f>VLOOKUP(C1857,[1]master_data!$A$2:$E$495,2,FALSE)</f>
        <v>BATU ALAM B</v>
      </c>
      <c r="E1857" s="5">
        <v>2</v>
      </c>
      <c r="F1857" s="5">
        <f>VLOOKUP(C1857,[1]master_data!$A$2:$E$495,3,FALSE)</f>
        <v>17000</v>
      </c>
      <c r="G1857" s="5">
        <f>VLOOKUP(C1857,[1]master_data!$A$2:$E$495,4,FALSE)</f>
        <v>30000</v>
      </c>
      <c r="H1857" s="5">
        <f t="shared" si="90"/>
        <v>34000</v>
      </c>
      <c r="I1857" s="5">
        <f t="shared" si="91"/>
        <v>60000</v>
      </c>
      <c r="J1857" s="5">
        <f t="shared" si="92"/>
        <v>26000</v>
      </c>
      <c r="K1857" s="5" t="str">
        <f>VLOOKUP(C1857,[1]master_data!$A$2:$E$495,5,FALSE)</f>
        <v>Aksesoris</v>
      </c>
      <c r="L1857" s="5" t="s">
        <v>471</v>
      </c>
    </row>
    <row r="1858" spans="1:12" ht="12" customHeight="1" x14ac:dyDescent="0.25">
      <c r="A1858" s="6">
        <v>44723</v>
      </c>
      <c r="B1858" s="1">
        <v>2202705</v>
      </c>
      <c r="C1858" s="5" t="s">
        <v>449</v>
      </c>
      <c r="D1858" s="5" t="str">
        <f>VLOOKUP(C1858,[1]master_data!$A$2:$E$495,2,FALSE)</f>
        <v>CHANNA RED BARITO B</v>
      </c>
      <c r="E1858" s="5">
        <v>1</v>
      </c>
      <c r="F1858" s="5">
        <f>VLOOKUP(C1858,[1]master_data!$A$2:$E$495,3,FALSE)</f>
        <v>120000</v>
      </c>
      <c r="G1858" s="5">
        <f>VLOOKUP(C1858,[1]master_data!$A$2:$E$495,4,FALSE)</f>
        <v>200000</v>
      </c>
      <c r="H1858" s="5">
        <f t="shared" si="90"/>
        <v>120000</v>
      </c>
      <c r="I1858" s="5">
        <f t="shared" si="91"/>
        <v>200000</v>
      </c>
      <c r="J1858" s="5">
        <f t="shared" si="92"/>
        <v>80000</v>
      </c>
      <c r="K1858" s="5" t="str">
        <f>VLOOKUP(C1858,[1]master_data!$A$2:$E$495,5,FALSE)</f>
        <v>Ikan</v>
      </c>
      <c r="L1858" s="5" t="s">
        <v>471</v>
      </c>
    </row>
    <row r="1859" spans="1:12" ht="12" customHeight="1" x14ac:dyDescent="0.25">
      <c r="A1859" s="6">
        <v>44723</v>
      </c>
      <c r="B1859" s="1">
        <v>2202704</v>
      </c>
      <c r="C1859" s="5" t="s">
        <v>398</v>
      </c>
      <c r="D1859" s="5" t="str">
        <f>VLOOKUP(C1859,[1]master_data!$A$2:$E$495,2,FALSE)</f>
        <v>BIPOLAR</v>
      </c>
      <c r="E1859" s="5">
        <v>2</v>
      </c>
      <c r="F1859" s="5">
        <f>VLOOKUP(C1859,[1]master_data!$A$2:$E$495,3,FALSE)</f>
        <v>1000</v>
      </c>
      <c r="G1859" s="5">
        <f>VLOOKUP(C1859,[1]master_data!$A$2:$E$495,4,FALSE)</f>
        <v>2500</v>
      </c>
      <c r="H1859" s="5">
        <f t="shared" si="90"/>
        <v>2000</v>
      </c>
      <c r="I1859" s="5">
        <f t="shared" si="91"/>
        <v>5000</v>
      </c>
      <c r="J1859" s="5">
        <f t="shared" si="92"/>
        <v>3000</v>
      </c>
      <c r="K1859" s="5" t="str">
        <f>VLOOKUP(C1859,[1]master_data!$A$2:$E$495,5,FALSE)</f>
        <v>Ikan</v>
      </c>
      <c r="L1859" s="5" t="s">
        <v>471</v>
      </c>
    </row>
    <row r="1860" spans="1:12" ht="12" customHeight="1" x14ac:dyDescent="0.25">
      <c r="A1860" s="6">
        <v>44723</v>
      </c>
      <c r="B1860" s="1">
        <v>2202703</v>
      </c>
      <c r="C1860" s="5" t="s">
        <v>92</v>
      </c>
      <c r="D1860" s="5" t="str">
        <f>VLOOKUP(C1860,[1]master_data!$A$2:$E$495,2,FALSE)</f>
        <v>MESIN AMARA 1000 L</v>
      </c>
      <c r="E1860" s="5">
        <v>1</v>
      </c>
      <c r="F1860" s="5">
        <f>VLOOKUP(C1860,[1]master_data!$A$2:$E$495,3,FALSE)</f>
        <v>34500</v>
      </c>
      <c r="G1860" s="5">
        <f>VLOOKUP(C1860,[1]master_data!$A$2:$E$495,4,FALSE)</f>
        <v>50000</v>
      </c>
      <c r="H1860" s="5">
        <f t="shared" si="90"/>
        <v>34500</v>
      </c>
      <c r="I1860" s="5">
        <f t="shared" si="91"/>
        <v>50000</v>
      </c>
      <c r="J1860" s="5">
        <f t="shared" si="92"/>
        <v>15500</v>
      </c>
      <c r="K1860" s="5" t="str">
        <f>VLOOKUP(C1860,[1]master_data!$A$2:$E$495,5,FALSE)</f>
        <v>Aksesoris</v>
      </c>
      <c r="L1860" s="5" t="s">
        <v>471</v>
      </c>
    </row>
    <row r="1861" spans="1:12" ht="12" customHeight="1" x14ac:dyDescent="0.25">
      <c r="A1861" s="6">
        <v>44723</v>
      </c>
      <c r="B1861" s="1">
        <v>2202702</v>
      </c>
      <c r="C1861" s="5" t="s">
        <v>412</v>
      </c>
      <c r="D1861" s="5" t="str">
        <f>VLOOKUP(C1861,[1]master_data!$A$2:$E$495,2,FALSE)</f>
        <v>HIU TAWAR</v>
      </c>
      <c r="E1861" s="5">
        <v>20</v>
      </c>
      <c r="F1861" s="5">
        <f>VLOOKUP(C1861,[1]master_data!$A$2:$E$495,3,FALSE)</f>
        <v>600</v>
      </c>
      <c r="G1861" s="5">
        <f>VLOOKUP(C1861,[1]master_data!$A$2:$E$495,4,FALSE)</f>
        <v>2000</v>
      </c>
      <c r="H1861" s="5">
        <f t="shared" ref="H1861:H1924" si="93">E1861*F1861</f>
        <v>12000</v>
      </c>
      <c r="I1861" s="5">
        <f t="shared" ref="I1861:I1924" si="94">E1861*G1861</f>
        <v>40000</v>
      </c>
      <c r="J1861" s="5">
        <f t="shared" ref="J1861:J1924" si="95">I1861-H1861</f>
        <v>28000</v>
      </c>
      <c r="K1861" s="5" t="str">
        <f>VLOOKUP(C1861,[1]master_data!$A$2:$E$495,5,FALSE)</f>
        <v>Ikan</v>
      </c>
      <c r="L1861" s="5" t="s">
        <v>471</v>
      </c>
    </row>
    <row r="1862" spans="1:12" ht="12" customHeight="1" x14ac:dyDescent="0.25">
      <c r="A1862" s="6">
        <v>44723</v>
      </c>
      <c r="B1862" s="1">
        <v>2202701</v>
      </c>
      <c r="C1862" s="5" t="s">
        <v>349</v>
      </c>
      <c r="D1862" s="5" t="str">
        <f>VLOOKUP(C1862,[1]master_data!$A$2:$E$495,2,FALSE)</f>
        <v>AKUARIUM 80 ROBOT</v>
      </c>
      <c r="E1862" s="5">
        <v>2</v>
      </c>
      <c r="F1862" s="5">
        <f>VLOOKUP(C1862,[1]master_data!$A$2:$E$495,3,FALSE)</f>
        <v>300000</v>
      </c>
      <c r="G1862" s="5">
        <f>VLOOKUP(C1862,[1]master_data!$A$2:$E$495,4,FALSE)</f>
        <v>370000</v>
      </c>
      <c r="H1862" s="5">
        <f t="shared" si="93"/>
        <v>600000</v>
      </c>
      <c r="I1862" s="5">
        <f t="shared" si="94"/>
        <v>740000</v>
      </c>
      <c r="J1862" s="5">
        <f t="shared" si="95"/>
        <v>140000</v>
      </c>
      <c r="K1862" s="5" t="str">
        <f>VLOOKUP(C1862,[1]master_data!$A$2:$E$495,5,FALSE)</f>
        <v>Aksesoris</v>
      </c>
      <c r="L1862" s="5" t="s">
        <v>471</v>
      </c>
    </row>
    <row r="1863" spans="1:12" ht="12" customHeight="1" x14ac:dyDescent="0.25">
      <c r="A1863" s="6">
        <v>44723</v>
      </c>
      <c r="B1863" s="1">
        <v>2202700</v>
      </c>
      <c r="C1863" s="5" t="s">
        <v>111</v>
      </c>
      <c r="D1863" s="5" t="str">
        <f>VLOOKUP(C1863,[1]master_data!$A$2:$E$495,2,FALSE)</f>
        <v>AIRATOR ROSTON LUB 1</v>
      </c>
      <c r="E1863" s="5">
        <v>2</v>
      </c>
      <c r="F1863" s="5">
        <f>VLOOKUP(C1863,[1]master_data!$A$2:$E$495,3,FALSE)</f>
        <v>20000</v>
      </c>
      <c r="G1863" s="5">
        <f>VLOOKUP(C1863,[1]master_data!$A$2:$E$495,4,FALSE)</f>
        <v>30000</v>
      </c>
      <c r="H1863" s="5">
        <f t="shared" si="93"/>
        <v>40000</v>
      </c>
      <c r="I1863" s="5">
        <f t="shared" si="94"/>
        <v>60000</v>
      </c>
      <c r="J1863" s="5">
        <f t="shared" si="95"/>
        <v>20000</v>
      </c>
      <c r="K1863" s="5" t="str">
        <f>VLOOKUP(C1863,[1]master_data!$A$2:$E$495,5,FALSE)</f>
        <v>Aksesoris</v>
      </c>
      <c r="L1863" s="5" t="s">
        <v>471</v>
      </c>
    </row>
    <row r="1864" spans="1:12" ht="12" customHeight="1" x14ac:dyDescent="0.25">
      <c r="A1864" s="6">
        <v>44723</v>
      </c>
      <c r="B1864" s="1">
        <v>2202699</v>
      </c>
      <c r="C1864" s="5" t="s">
        <v>433</v>
      </c>
      <c r="D1864" s="5" t="str">
        <f>VLOOKUP(C1864,[1]master_data!$A$2:$E$495,2,FALSE)</f>
        <v>MARU B</v>
      </c>
      <c r="E1864" s="5">
        <v>2</v>
      </c>
      <c r="F1864" s="5">
        <f>VLOOKUP(C1864,[1]master_data!$A$2:$E$495,3,FALSE)</f>
        <v>90000</v>
      </c>
      <c r="G1864" s="5">
        <f>VLOOKUP(C1864,[1]master_data!$A$2:$E$495,4,FALSE)</f>
        <v>150000</v>
      </c>
      <c r="H1864" s="5">
        <f t="shared" si="93"/>
        <v>180000</v>
      </c>
      <c r="I1864" s="5">
        <f t="shared" si="94"/>
        <v>300000</v>
      </c>
      <c r="J1864" s="5">
        <f t="shared" si="95"/>
        <v>120000</v>
      </c>
      <c r="K1864" s="5" t="str">
        <f>VLOOKUP(C1864,[1]master_data!$A$2:$E$495,5,FALSE)</f>
        <v>Ikan</v>
      </c>
      <c r="L1864" s="5" t="s">
        <v>471</v>
      </c>
    </row>
    <row r="1865" spans="1:12" ht="12" customHeight="1" x14ac:dyDescent="0.25">
      <c r="A1865" s="6">
        <v>44723</v>
      </c>
      <c r="B1865" s="1">
        <v>2202698</v>
      </c>
      <c r="C1865" s="5" t="s">
        <v>436</v>
      </c>
      <c r="D1865" s="5" t="str">
        <f>VLOOKUP(C1865,[1]master_data!$A$2:$E$495,2,FALSE)</f>
        <v>NIASA</v>
      </c>
      <c r="E1865" s="5">
        <v>10</v>
      </c>
      <c r="F1865" s="5">
        <f>VLOOKUP(C1865,[1]master_data!$A$2:$E$495,3,FALSE)</f>
        <v>900</v>
      </c>
      <c r="G1865" s="5">
        <f>VLOOKUP(C1865,[1]master_data!$A$2:$E$495,4,FALSE)</f>
        <v>2000</v>
      </c>
      <c r="H1865" s="5">
        <f t="shared" si="93"/>
        <v>9000</v>
      </c>
      <c r="I1865" s="5">
        <f t="shared" si="94"/>
        <v>20000</v>
      </c>
      <c r="J1865" s="5">
        <f t="shared" si="95"/>
        <v>11000</v>
      </c>
      <c r="K1865" s="5" t="str">
        <f>VLOOKUP(C1865,[1]master_data!$A$2:$E$495,5,FALSE)</f>
        <v>Ikan</v>
      </c>
      <c r="L1865" s="5" t="s">
        <v>471</v>
      </c>
    </row>
    <row r="1866" spans="1:12" ht="12" customHeight="1" x14ac:dyDescent="0.25">
      <c r="A1866" s="6">
        <v>44723</v>
      </c>
      <c r="B1866" s="1">
        <v>2202697</v>
      </c>
      <c r="C1866" s="5" t="s">
        <v>420</v>
      </c>
      <c r="D1866" s="5" t="str">
        <f>VLOOKUP(C1866,[1]master_data!$A$2:$E$495,2,FALSE)</f>
        <v>KAVIAT</v>
      </c>
      <c r="E1866" s="5">
        <v>1</v>
      </c>
      <c r="F1866" s="5">
        <f>VLOOKUP(C1866,[1]master_data!$A$2:$E$495,3,FALSE)</f>
        <v>3500</v>
      </c>
      <c r="G1866" s="5">
        <f>VLOOKUP(C1866,[1]master_data!$A$2:$E$495,4,FALSE)</f>
        <v>8000</v>
      </c>
      <c r="H1866" s="5">
        <f t="shared" si="93"/>
        <v>3500</v>
      </c>
      <c r="I1866" s="5">
        <f t="shared" si="94"/>
        <v>8000</v>
      </c>
      <c r="J1866" s="5">
        <f t="shared" si="95"/>
        <v>4500</v>
      </c>
      <c r="K1866" s="5" t="str">
        <f>VLOOKUP(C1866,[1]master_data!$A$2:$E$495,5,FALSE)</f>
        <v>Ikan</v>
      </c>
      <c r="L1866" s="5" t="s">
        <v>471</v>
      </c>
    </row>
    <row r="1867" spans="1:12" ht="12" customHeight="1" x14ac:dyDescent="0.25">
      <c r="A1867" s="6">
        <v>44723</v>
      </c>
      <c r="B1867" s="1">
        <v>2202696</v>
      </c>
      <c r="C1867" s="5" t="s">
        <v>245</v>
      </c>
      <c r="D1867" s="5" t="str">
        <f>VLOOKUP(C1867,[1]master_data!$A$2:$E$495,2,FALSE)</f>
        <v>PAKAN KEN</v>
      </c>
      <c r="E1867" s="5">
        <v>1</v>
      </c>
      <c r="F1867" s="5">
        <f>VLOOKUP(C1867,[1]master_data!$A$2:$E$495,3,FALSE)</f>
        <v>16000</v>
      </c>
      <c r="G1867" s="5">
        <f>VLOOKUP(C1867,[1]master_data!$A$2:$E$495,4,FALSE)</f>
        <v>25000</v>
      </c>
      <c r="H1867" s="5">
        <f t="shared" si="93"/>
        <v>16000</v>
      </c>
      <c r="I1867" s="5">
        <f t="shared" si="94"/>
        <v>25000</v>
      </c>
      <c r="J1867" s="5">
        <f t="shared" si="95"/>
        <v>9000</v>
      </c>
      <c r="K1867" s="5" t="str">
        <f>VLOOKUP(C1867,[1]master_data!$A$2:$E$495,5,FALSE)</f>
        <v>Aksesoris</v>
      </c>
      <c r="L1867" s="5" t="s">
        <v>471</v>
      </c>
    </row>
    <row r="1868" spans="1:12" ht="12" customHeight="1" x14ac:dyDescent="0.25">
      <c r="A1868" s="6">
        <v>44723</v>
      </c>
      <c r="B1868" s="1">
        <v>2202695</v>
      </c>
      <c r="C1868" s="5" t="s">
        <v>56</v>
      </c>
      <c r="D1868" s="5" t="str">
        <f>VLOOKUP(C1868,[1]master_data!$A$2:$E$495,2,FALSE)</f>
        <v>MESIN ATMAN 104</v>
      </c>
      <c r="E1868" s="5">
        <v>2</v>
      </c>
      <c r="F1868" s="5">
        <f>VLOOKUP(C1868,[1]master_data!$A$2:$E$495,3,FALSE)</f>
        <v>170000</v>
      </c>
      <c r="G1868" s="5">
        <f>VLOOKUP(C1868,[1]master_data!$A$2:$E$495,4,FALSE)</f>
        <v>225000</v>
      </c>
      <c r="H1868" s="5">
        <f t="shared" si="93"/>
        <v>340000</v>
      </c>
      <c r="I1868" s="5">
        <f t="shared" si="94"/>
        <v>450000</v>
      </c>
      <c r="J1868" s="5">
        <f t="shared" si="95"/>
        <v>110000</v>
      </c>
      <c r="K1868" s="5" t="str">
        <f>VLOOKUP(C1868,[1]master_data!$A$2:$E$495,5,FALSE)</f>
        <v>Aksesoris</v>
      </c>
      <c r="L1868" s="5" t="s">
        <v>471</v>
      </c>
    </row>
    <row r="1869" spans="1:12" ht="12" customHeight="1" x14ac:dyDescent="0.25">
      <c r="A1869" s="6">
        <v>44723</v>
      </c>
      <c r="B1869" s="1">
        <v>2202694</v>
      </c>
      <c r="C1869" s="5" t="s">
        <v>301</v>
      </c>
      <c r="D1869" s="5" t="str">
        <f>VLOOKUP(C1869,[1]master_data!$A$2:$E$495,2,FALSE)</f>
        <v>MAINAN NAGA DRAGON</v>
      </c>
      <c r="E1869" s="5">
        <v>2</v>
      </c>
      <c r="F1869" s="5">
        <f>VLOOKUP(C1869,[1]master_data!$A$2:$E$495,3,FALSE)</f>
        <v>26000</v>
      </c>
      <c r="G1869" s="5">
        <f>VLOOKUP(C1869,[1]master_data!$A$2:$E$495,4,FALSE)</f>
        <v>40000</v>
      </c>
      <c r="H1869" s="5">
        <f t="shared" si="93"/>
        <v>52000</v>
      </c>
      <c r="I1869" s="5">
        <f t="shared" si="94"/>
        <v>80000</v>
      </c>
      <c r="J1869" s="5">
        <f t="shared" si="95"/>
        <v>28000</v>
      </c>
      <c r="K1869" s="5" t="str">
        <f>VLOOKUP(C1869,[1]master_data!$A$2:$E$495,5,FALSE)</f>
        <v>Aksesoris</v>
      </c>
      <c r="L1869" s="5" t="s">
        <v>471</v>
      </c>
    </row>
    <row r="1870" spans="1:12" ht="12" customHeight="1" x14ac:dyDescent="0.25">
      <c r="A1870" s="6">
        <v>44722</v>
      </c>
      <c r="B1870" s="1">
        <v>2202693</v>
      </c>
      <c r="C1870" s="5" t="s">
        <v>459</v>
      </c>
      <c r="D1870" s="5" t="str">
        <f>VLOOKUP(C1870,[1]master_data!$A$2:$E$495,2,FALSE)</f>
        <v>ZEBRA UNGU</v>
      </c>
      <c r="E1870" s="5">
        <v>10</v>
      </c>
      <c r="F1870" s="5">
        <f>VLOOKUP(C1870,[1]master_data!$A$2:$E$495,3,FALSE)</f>
        <v>800</v>
      </c>
      <c r="G1870" s="5">
        <f>VLOOKUP(C1870,[1]master_data!$A$2:$E$495,4,FALSE)</f>
        <v>2000</v>
      </c>
      <c r="H1870" s="5">
        <f t="shared" si="93"/>
        <v>8000</v>
      </c>
      <c r="I1870" s="5">
        <f t="shared" si="94"/>
        <v>20000</v>
      </c>
      <c r="J1870" s="5">
        <f t="shared" si="95"/>
        <v>12000</v>
      </c>
      <c r="K1870" s="5" t="str">
        <f>VLOOKUP(C1870,[1]master_data!$A$2:$E$495,5,FALSE)</f>
        <v>Ikan</v>
      </c>
      <c r="L1870" s="5" t="s">
        <v>471</v>
      </c>
    </row>
    <row r="1871" spans="1:12" ht="12" customHeight="1" x14ac:dyDescent="0.25">
      <c r="A1871" s="6">
        <v>44722</v>
      </c>
      <c r="B1871" s="1">
        <v>2202692</v>
      </c>
      <c r="C1871" s="5" t="s">
        <v>458</v>
      </c>
      <c r="D1871" s="5" t="str">
        <f>VLOOKUP(C1871,[1]master_data!$A$2:$E$495,2,FALSE)</f>
        <v>ZEBRA HIJAU</v>
      </c>
      <c r="E1871" s="5">
        <v>10</v>
      </c>
      <c r="F1871" s="5">
        <f>VLOOKUP(C1871,[1]master_data!$A$2:$E$495,3,FALSE)</f>
        <v>800</v>
      </c>
      <c r="G1871" s="5">
        <f>VLOOKUP(C1871,[1]master_data!$A$2:$E$495,4,FALSE)</f>
        <v>2000</v>
      </c>
      <c r="H1871" s="5">
        <f t="shared" si="93"/>
        <v>8000</v>
      </c>
      <c r="I1871" s="5">
        <f t="shared" si="94"/>
        <v>20000</v>
      </c>
      <c r="J1871" s="5">
        <f t="shared" si="95"/>
        <v>12000</v>
      </c>
      <c r="K1871" s="5" t="str">
        <f>VLOOKUP(C1871,[1]master_data!$A$2:$E$495,5,FALSE)</f>
        <v>Ikan</v>
      </c>
      <c r="L1871" s="5" t="s">
        <v>471</v>
      </c>
    </row>
    <row r="1872" spans="1:12" ht="12" customHeight="1" x14ac:dyDescent="0.25">
      <c r="A1872" s="6">
        <v>44722</v>
      </c>
      <c r="B1872" s="1">
        <v>2202691</v>
      </c>
      <c r="C1872" s="5" t="s">
        <v>276</v>
      </c>
      <c r="D1872" s="5" t="str">
        <f>VLOOKUP(C1872,[1]master_data!$A$2:$E$495,2,FALSE)</f>
        <v>JARING 30</v>
      </c>
      <c r="E1872" s="5">
        <v>5</v>
      </c>
      <c r="F1872" s="5">
        <f>VLOOKUP(C1872,[1]master_data!$A$2:$E$495,3,FALSE)</f>
        <v>7100</v>
      </c>
      <c r="G1872" s="5">
        <f>VLOOKUP(C1872,[1]master_data!$A$2:$E$495,4,FALSE)</f>
        <v>12000</v>
      </c>
      <c r="H1872" s="5">
        <f t="shared" si="93"/>
        <v>35500</v>
      </c>
      <c r="I1872" s="5">
        <f t="shared" si="94"/>
        <v>60000</v>
      </c>
      <c r="J1872" s="5">
        <f t="shared" si="95"/>
        <v>24500</v>
      </c>
      <c r="K1872" s="5" t="str">
        <f>VLOOKUP(C1872,[1]master_data!$A$2:$E$495,5,FALSE)</f>
        <v>Aksesoris</v>
      </c>
      <c r="L1872" s="5" t="s">
        <v>471</v>
      </c>
    </row>
    <row r="1873" spans="1:12" ht="12" customHeight="1" x14ac:dyDescent="0.25">
      <c r="A1873" s="6">
        <v>44722</v>
      </c>
      <c r="B1873" s="1">
        <v>2202690</v>
      </c>
      <c r="C1873" s="5" t="s">
        <v>408</v>
      </c>
      <c r="D1873" s="5" t="str">
        <f>VLOOKUP(C1873,[1]master_data!$A$2:$E$495,2,FALSE)</f>
        <v>CATFISH</v>
      </c>
      <c r="E1873" s="5">
        <v>5</v>
      </c>
      <c r="F1873" s="5">
        <f>VLOOKUP(C1873,[1]master_data!$A$2:$E$495,3,FALSE)</f>
        <v>20000</v>
      </c>
      <c r="G1873" s="5">
        <f>VLOOKUP(C1873,[1]master_data!$A$2:$E$495,4,FALSE)</f>
        <v>50000</v>
      </c>
      <c r="H1873" s="5">
        <f t="shared" si="93"/>
        <v>100000</v>
      </c>
      <c r="I1873" s="5">
        <f t="shared" si="94"/>
        <v>250000</v>
      </c>
      <c r="J1873" s="5">
        <f t="shared" si="95"/>
        <v>150000</v>
      </c>
      <c r="K1873" s="5" t="str">
        <f>VLOOKUP(C1873,[1]master_data!$A$2:$E$495,5,FALSE)</f>
        <v>Ikan</v>
      </c>
      <c r="L1873" s="5" t="s">
        <v>471</v>
      </c>
    </row>
    <row r="1874" spans="1:12" ht="12" customHeight="1" x14ac:dyDescent="0.25">
      <c r="A1874" s="6">
        <v>44722</v>
      </c>
      <c r="B1874" s="1">
        <v>2202689</v>
      </c>
      <c r="C1874" s="5" t="s">
        <v>16</v>
      </c>
      <c r="D1874" s="5" t="str">
        <f>VLOOKUP(C1874,[1]master_data!$A$2:$E$495,2,FALSE)</f>
        <v>HANG ON YANG 502</v>
      </c>
      <c r="E1874" s="5">
        <v>1</v>
      </c>
      <c r="F1874" s="5">
        <f>VLOOKUP(C1874,[1]master_data!$A$2:$E$495,3,FALSE)</f>
        <v>71000</v>
      </c>
      <c r="G1874" s="5">
        <f>VLOOKUP(C1874,[1]master_data!$A$2:$E$495,4,FALSE)</f>
        <v>95000</v>
      </c>
      <c r="H1874" s="5">
        <f t="shared" si="93"/>
        <v>71000</v>
      </c>
      <c r="I1874" s="5">
        <f t="shared" si="94"/>
        <v>95000</v>
      </c>
      <c r="J1874" s="5">
        <f t="shared" si="95"/>
        <v>24000</v>
      </c>
      <c r="K1874" s="5" t="str">
        <f>VLOOKUP(C1874,[1]master_data!$A$2:$E$495,5,FALSE)</f>
        <v>Aksesoris</v>
      </c>
      <c r="L1874" s="5" t="s">
        <v>471</v>
      </c>
    </row>
    <row r="1875" spans="1:12" ht="12" customHeight="1" x14ac:dyDescent="0.25">
      <c r="A1875" s="6">
        <v>44722</v>
      </c>
      <c r="B1875" s="1">
        <v>2202688</v>
      </c>
      <c r="C1875" s="5" t="s">
        <v>400</v>
      </c>
      <c r="D1875" s="5" t="str">
        <f>VLOOKUP(C1875,[1]master_data!$A$2:$E$495,2,FALSE)</f>
        <v>BALA BALA K</v>
      </c>
      <c r="E1875" s="5">
        <v>25</v>
      </c>
      <c r="F1875" s="5">
        <f>VLOOKUP(C1875,[1]master_data!$A$2:$E$495,3,FALSE)</f>
        <v>4000</v>
      </c>
      <c r="G1875" s="5">
        <f>VLOOKUP(C1875,[1]master_data!$A$2:$E$495,4,FALSE)</f>
        <v>8000</v>
      </c>
      <c r="H1875" s="5">
        <f t="shared" si="93"/>
        <v>100000</v>
      </c>
      <c r="I1875" s="5">
        <f t="shared" si="94"/>
        <v>200000</v>
      </c>
      <c r="J1875" s="5">
        <f t="shared" si="95"/>
        <v>100000</v>
      </c>
      <c r="K1875" s="5" t="str">
        <f>VLOOKUP(C1875,[1]master_data!$A$2:$E$495,5,FALSE)</f>
        <v>Ikan</v>
      </c>
      <c r="L1875" s="5" t="s">
        <v>471</v>
      </c>
    </row>
    <row r="1876" spans="1:12" ht="12" customHeight="1" x14ac:dyDescent="0.25">
      <c r="A1876" s="6">
        <v>44722</v>
      </c>
      <c r="B1876" s="1">
        <v>2202687</v>
      </c>
      <c r="C1876" s="5" t="s">
        <v>402</v>
      </c>
      <c r="D1876" s="5" t="str">
        <f>VLOOKUP(C1876,[1]master_data!$A$2:$E$495,2,FALSE)</f>
        <v>BLACK GHOST</v>
      </c>
      <c r="E1876" s="5">
        <v>20</v>
      </c>
      <c r="F1876" s="5">
        <f>VLOOKUP(C1876,[1]master_data!$A$2:$E$495,3,FALSE)</f>
        <v>4000</v>
      </c>
      <c r="G1876" s="5">
        <f>VLOOKUP(C1876,[1]master_data!$A$2:$E$495,4,FALSE)</f>
        <v>10000</v>
      </c>
      <c r="H1876" s="5">
        <f t="shared" si="93"/>
        <v>80000</v>
      </c>
      <c r="I1876" s="5">
        <f t="shared" si="94"/>
        <v>200000</v>
      </c>
      <c r="J1876" s="5">
        <f t="shared" si="95"/>
        <v>120000</v>
      </c>
      <c r="K1876" s="5" t="str">
        <f>VLOOKUP(C1876,[1]master_data!$A$2:$E$495,5,FALSE)</f>
        <v>Ikan</v>
      </c>
      <c r="L1876" s="5" t="s">
        <v>471</v>
      </c>
    </row>
    <row r="1877" spans="1:12" ht="12" customHeight="1" x14ac:dyDescent="0.25">
      <c r="A1877" s="6">
        <v>44722</v>
      </c>
      <c r="B1877" s="1">
        <v>2202686</v>
      </c>
      <c r="C1877" s="5" t="s">
        <v>438</v>
      </c>
      <c r="D1877" s="5" t="str">
        <f>VLOOKUP(C1877,[1]master_data!$A$2:$E$495,2,FALSE)</f>
        <v>NENTINEN</v>
      </c>
      <c r="E1877" s="5">
        <v>5</v>
      </c>
      <c r="F1877" s="5">
        <f>VLOOKUP(C1877,[1]master_data!$A$2:$E$495,3,FALSE)</f>
        <v>1000</v>
      </c>
      <c r="G1877" s="5">
        <f>VLOOKUP(C1877,[1]master_data!$A$2:$E$495,4,FALSE)</f>
        <v>2500</v>
      </c>
      <c r="H1877" s="5">
        <f t="shared" si="93"/>
        <v>5000</v>
      </c>
      <c r="I1877" s="5">
        <f t="shared" si="94"/>
        <v>12500</v>
      </c>
      <c r="J1877" s="5">
        <f t="shared" si="95"/>
        <v>7500</v>
      </c>
      <c r="K1877" s="5" t="str">
        <f>VLOOKUP(C1877,[1]master_data!$A$2:$E$495,5,FALSE)</f>
        <v>Ikan</v>
      </c>
      <c r="L1877" s="5" t="s">
        <v>471</v>
      </c>
    </row>
    <row r="1878" spans="1:12" ht="12" customHeight="1" x14ac:dyDescent="0.25">
      <c r="A1878" s="6">
        <v>44722</v>
      </c>
      <c r="B1878" s="1">
        <v>2202685</v>
      </c>
      <c r="C1878" s="5" t="s">
        <v>453</v>
      </c>
      <c r="D1878" s="5" t="str">
        <f>VLOOKUP(C1878,[1]master_data!$A$2:$E$495,2,FALSE)</f>
        <v>SYNODONTIS K</v>
      </c>
      <c r="E1878" s="5">
        <v>30</v>
      </c>
      <c r="F1878" s="5">
        <f>VLOOKUP(C1878,[1]master_data!$A$2:$E$495,3,FALSE)</f>
        <v>1500</v>
      </c>
      <c r="G1878" s="5">
        <f>VLOOKUP(C1878,[1]master_data!$A$2:$E$495,4,FALSE)</f>
        <v>5000</v>
      </c>
      <c r="H1878" s="5">
        <f t="shared" si="93"/>
        <v>45000</v>
      </c>
      <c r="I1878" s="5">
        <f t="shared" si="94"/>
        <v>150000</v>
      </c>
      <c r="J1878" s="5">
        <f t="shared" si="95"/>
        <v>105000</v>
      </c>
      <c r="K1878" s="5" t="str">
        <f>VLOOKUP(C1878,[1]master_data!$A$2:$E$495,5,FALSE)</f>
        <v>Ikan</v>
      </c>
      <c r="L1878" s="5" t="s">
        <v>471</v>
      </c>
    </row>
    <row r="1879" spans="1:12" ht="12" customHeight="1" x14ac:dyDescent="0.25">
      <c r="A1879" s="6">
        <v>44722</v>
      </c>
      <c r="B1879" s="1">
        <v>2202684</v>
      </c>
      <c r="C1879" s="5" t="s">
        <v>436</v>
      </c>
      <c r="D1879" s="5" t="str">
        <f>VLOOKUP(C1879,[1]master_data!$A$2:$E$495,2,FALSE)</f>
        <v>NIASA</v>
      </c>
      <c r="E1879" s="5">
        <v>30</v>
      </c>
      <c r="F1879" s="5">
        <f>VLOOKUP(C1879,[1]master_data!$A$2:$E$495,3,FALSE)</f>
        <v>900</v>
      </c>
      <c r="G1879" s="5">
        <f>VLOOKUP(C1879,[1]master_data!$A$2:$E$495,4,FALSE)</f>
        <v>2000</v>
      </c>
      <c r="H1879" s="5">
        <f t="shared" si="93"/>
        <v>27000</v>
      </c>
      <c r="I1879" s="5">
        <f t="shared" si="94"/>
        <v>60000</v>
      </c>
      <c r="J1879" s="5">
        <f t="shared" si="95"/>
        <v>33000</v>
      </c>
      <c r="K1879" s="5" t="str">
        <f>VLOOKUP(C1879,[1]master_data!$A$2:$E$495,5,FALSE)</f>
        <v>Ikan</v>
      </c>
      <c r="L1879" s="5" t="s">
        <v>471</v>
      </c>
    </row>
    <row r="1880" spans="1:12" ht="12" customHeight="1" x14ac:dyDescent="0.25">
      <c r="A1880" s="6">
        <v>44722</v>
      </c>
      <c r="B1880" s="1">
        <v>2202683</v>
      </c>
      <c r="C1880" s="5" t="s">
        <v>414</v>
      </c>
      <c r="D1880" s="5" t="str">
        <f>VLOOKUP(C1880,[1]master_data!$A$2:$E$495,2,FALSE)</f>
        <v>KOKI T</v>
      </c>
      <c r="E1880" s="5">
        <v>1</v>
      </c>
      <c r="F1880" s="5">
        <f>VLOOKUP(C1880,[1]master_data!$A$2:$E$495,3,FALSE)</f>
        <v>8000</v>
      </c>
      <c r="G1880" s="5">
        <f>VLOOKUP(C1880,[1]master_data!$A$2:$E$495,4,FALSE)</f>
        <v>15000</v>
      </c>
      <c r="H1880" s="5">
        <f t="shared" si="93"/>
        <v>8000</v>
      </c>
      <c r="I1880" s="5">
        <f t="shared" si="94"/>
        <v>15000</v>
      </c>
      <c r="J1880" s="5">
        <f t="shared" si="95"/>
        <v>7000</v>
      </c>
      <c r="K1880" s="5" t="str">
        <f>VLOOKUP(C1880,[1]master_data!$A$2:$E$495,5,FALSE)</f>
        <v>Ikan</v>
      </c>
      <c r="L1880" s="5" t="s">
        <v>471</v>
      </c>
    </row>
    <row r="1881" spans="1:12" ht="12" customHeight="1" x14ac:dyDescent="0.25">
      <c r="A1881" s="6">
        <v>44721</v>
      </c>
      <c r="B1881" s="1">
        <v>2202682</v>
      </c>
      <c r="C1881" s="5" t="s">
        <v>436</v>
      </c>
      <c r="D1881" s="5" t="str">
        <f>VLOOKUP(C1881,[1]master_data!$A$2:$E$495,2,FALSE)</f>
        <v>NIASA</v>
      </c>
      <c r="E1881" s="5">
        <v>15</v>
      </c>
      <c r="F1881" s="5">
        <f>VLOOKUP(C1881,[1]master_data!$A$2:$E$495,3,FALSE)</f>
        <v>900</v>
      </c>
      <c r="G1881" s="5">
        <f>VLOOKUP(C1881,[1]master_data!$A$2:$E$495,4,FALSE)</f>
        <v>2000</v>
      </c>
      <c r="H1881" s="5">
        <f t="shared" si="93"/>
        <v>13500</v>
      </c>
      <c r="I1881" s="5">
        <f t="shared" si="94"/>
        <v>30000</v>
      </c>
      <c r="J1881" s="5">
        <f t="shared" si="95"/>
        <v>16500</v>
      </c>
      <c r="K1881" s="5" t="str">
        <f>VLOOKUP(C1881,[1]master_data!$A$2:$E$495,5,FALSE)</f>
        <v>Ikan</v>
      </c>
      <c r="L1881" s="5" t="s">
        <v>471</v>
      </c>
    </row>
    <row r="1882" spans="1:12" ht="12" customHeight="1" x14ac:dyDescent="0.25">
      <c r="A1882" s="6">
        <v>44721</v>
      </c>
      <c r="B1882" s="1">
        <v>2202681</v>
      </c>
      <c r="C1882" s="5" t="s">
        <v>128</v>
      </c>
      <c r="D1882" s="5" t="str">
        <f>VLOOKUP(C1882,[1]master_data!$A$2:$E$495,2,FALSE)</f>
        <v>LED YAMANO 6W</v>
      </c>
      <c r="E1882" s="5">
        <v>5</v>
      </c>
      <c r="F1882" s="5">
        <f>VLOOKUP(C1882,[1]master_data!$A$2:$E$495,3,FALSE)</f>
        <v>45000</v>
      </c>
      <c r="G1882" s="5">
        <f>VLOOKUP(C1882,[1]master_data!$A$2:$E$495,4,FALSE)</f>
        <v>75000</v>
      </c>
      <c r="H1882" s="5">
        <f t="shared" si="93"/>
        <v>225000</v>
      </c>
      <c r="I1882" s="5">
        <f t="shared" si="94"/>
        <v>375000</v>
      </c>
      <c r="J1882" s="5">
        <f t="shared" si="95"/>
        <v>150000</v>
      </c>
      <c r="K1882" s="5" t="str">
        <f>VLOOKUP(C1882,[1]master_data!$A$2:$E$495,5,FALSE)</f>
        <v>Aksesoris</v>
      </c>
      <c r="L1882" s="5" t="s">
        <v>471</v>
      </c>
    </row>
    <row r="1883" spans="1:12" ht="12" customHeight="1" x14ac:dyDescent="0.25">
      <c r="A1883" s="6">
        <v>44721</v>
      </c>
      <c r="B1883" s="1">
        <v>2202680</v>
      </c>
      <c r="C1883" s="5" t="s">
        <v>462</v>
      </c>
      <c r="D1883" s="5" t="str">
        <f>VLOOKUP(C1883,[1]master_data!$A$2:$E$495,2,FALSE)</f>
        <v>SEPAT ALBINO</v>
      </c>
      <c r="E1883" s="5">
        <v>16</v>
      </c>
      <c r="F1883" s="5">
        <f>VLOOKUP(C1883,[1]master_data!$A$2:$E$495,3,FALSE)</f>
        <v>2000</v>
      </c>
      <c r="G1883" s="5">
        <f>VLOOKUP(C1883,[1]master_data!$A$2:$E$495,4,FALSE)</f>
        <v>5000</v>
      </c>
      <c r="H1883" s="5">
        <f t="shared" si="93"/>
        <v>32000</v>
      </c>
      <c r="I1883" s="5">
        <f t="shared" si="94"/>
        <v>80000</v>
      </c>
      <c r="J1883" s="5">
        <f t="shared" si="95"/>
        <v>48000</v>
      </c>
      <c r="K1883" s="5" t="str">
        <f>VLOOKUP(C1883,[1]master_data!$A$2:$E$495,5,FALSE)</f>
        <v>Ikan</v>
      </c>
      <c r="L1883" s="5" t="s">
        <v>471</v>
      </c>
    </row>
    <row r="1884" spans="1:12" ht="12" customHeight="1" x14ac:dyDescent="0.25">
      <c r="A1884" s="6">
        <v>44721</v>
      </c>
      <c r="B1884" s="1">
        <v>2202679</v>
      </c>
      <c r="C1884" s="5" t="s">
        <v>234</v>
      </c>
      <c r="D1884" s="5" t="str">
        <f>VLOOKUP(C1884,[1]master_data!$A$2:$E$495,2,FALSE)</f>
        <v>FISH LOVE PAKAN BURAYAK</v>
      </c>
      <c r="E1884" s="5">
        <v>25</v>
      </c>
      <c r="F1884" s="5">
        <f>VLOOKUP(C1884,[1]master_data!$A$2:$E$495,3,FALSE)</f>
        <v>2500</v>
      </c>
      <c r="G1884" s="5">
        <f>VLOOKUP(C1884,[1]master_data!$A$2:$E$495,4,FALSE)</f>
        <v>5000</v>
      </c>
      <c r="H1884" s="5">
        <f t="shared" si="93"/>
        <v>62500</v>
      </c>
      <c r="I1884" s="5">
        <f t="shared" si="94"/>
        <v>125000</v>
      </c>
      <c r="J1884" s="5">
        <f t="shared" si="95"/>
        <v>62500</v>
      </c>
      <c r="K1884" s="5" t="str">
        <f>VLOOKUP(C1884,[1]master_data!$A$2:$E$495,5,FALSE)</f>
        <v>Aksesoris</v>
      </c>
      <c r="L1884" s="5" t="s">
        <v>471</v>
      </c>
    </row>
    <row r="1885" spans="1:12" ht="12" customHeight="1" x14ac:dyDescent="0.25">
      <c r="A1885" s="6">
        <v>44721</v>
      </c>
      <c r="B1885" s="1">
        <v>2202678</v>
      </c>
      <c r="C1885" s="5" t="s">
        <v>143</v>
      </c>
      <c r="D1885" s="5" t="str">
        <f>VLOOKUP(C1885,[1]master_data!$A$2:$E$495,2,FALSE)</f>
        <v>LED KANDILA DnN 40 CM</v>
      </c>
      <c r="E1885" s="5">
        <v>1</v>
      </c>
      <c r="F1885" s="5">
        <f>VLOOKUP(C1885,[1]master_data!$A$2:$E$495,3,FALSE)</f>
        <v>30000</v>
      </c>
      <c r="G1885" s="5">
        <f>VLOOKUP(C1885,[1]master_data!$A$2:$E$495,4,FALSE)</f>
        <v>50000</v>
      </c>
      <c r="H1885" s="5">
        <f t="shared" si="93"/>
        <v>30000</v>
      </c>
      <c r="I1885" s="5">
        <f t="shared" si="94"/>
        <v>50000</v>
      </c>
      <c r="J1885" s="5">
        <f t="shared" si="95"/>
        <v>20000</v>
      </c>
      <c r="K1885" s="5" t="str">
        <f>VLOOKUP(C1885,[1]master_data!$A$2:$E$495,5,FALSE)</f>
        <v>Aksesoris</v>
      </c>
      <c r="L1885" s="5" t="s">
        <v>471</v>
      </c>
    </row>
    <row r="1886" spans="1:12" ht="12" customHeight="1" x14ac:dyDescent="0.25">
      <c r="A1886" s="6">
        <v>44721</v>
      </c>
      <c r="B1886" s="1">
        <v>2202677</v>
      </c>
      <c r="C1886" s="5" t="s">
        <v>436</v>
      </c>
      <c r="D1886" s="5" t="str">
        <f>VLOOKUP(C1886,[1]master_data!$A$2:$E$495,2,FALSE)</f>
        <v>NIASA</v>
      </c>
      <c r="E1886" s="5">
        <v>20</v>
      </c>
      <c r="F1886" s="5">
        <f>VLOOKUP(C1886,[1]master_data!$A$2:$E$495,3,FALSE)</f>
        <v>900</v>
      </c>
      <c r="G1886" s="5">
        <f>VLOOKUP(C1886,[1]master_data!$A$2:$E$495,4,FALSE)</f>
        <v>2000</v>
      </c>
      <c r="H1886" s="5">
        <f t="shared" si="93"/>
        <v>18000</v>
      </c>
      <c r="I1886" s="5">
        <f t="shared" si="94"/>
        <v>40000</v>
      </c>
      <c r="J1886" s="5">
        <f t="shared" si="95"/>
        <v>22000</v>
      </c>
      <c r="K1886" s="5" t="str">
        <f>VLOOKUP(C1886,[1]master_data!$A$2:$E$495,5,FALSE)</f>
        <v>Ikan</v>
      </c>
      <c r="L1886" s="5" t="s">
        <v>471</v>
      </c>
    </row>
    <row r="1887" spans="1:12" ht="12" customHeight="1" x14ac:dyDescent="0.25">
      <c r="A1887" s="6">
        <v>44721</v>
      </c>
      <c r="B1887" s="1">
        <v>2202676</v>
      </c>
      <c r="C1887" s="5" t="s">
        <v>462</v>
      </c>
      <c r="D1887" s="5" t="str">
        <f>VLOOKUP(C1887,[1]master_data!$A$2:$E$495,2,FALSE)</f>
        <v>SEPAT ALBINO</v>
      </c>
      <c r="E1887" s="5">
        <v>20</v>
      </c>
      <c r="F1887" s="5">
        <f>VLOOKUP(C1887,[1]master_data!$A$2:$E$495,3,FALSE)</f>
        <v>2000</v>
      </c>
      <c r="G1887" s="5">
        <f>VLOOKUP(C1887,[1]master_data!$A$2:$E$495,4,FALSE)</f>
        <v>5000</v>
      </c>
      <c r="H1887" s="5">
        <f t="shared" si="93"/>
        <v>40000</v>
      </c>
      <c r="I1887" s="5">
        <f t="shared" si="94"/>
        <v>100000</v>
      </c>
      <c r="J1887" s="5">
        <f t="shared" si="95"/>
        <v>60000</v>
      </c>
      <c r="K1887" s="5" t="str">
        <f>VLOOKUP(C1887,[1]master_data!$A$2:$E$495,5,FALSE)</f>
        <v>Ikan</v>
      </c>
      <c r="L1887" s="5" t="s">
        <v>471</v>
      </c>
    </row>
    <row r="1888" spans="1:12" ht="12" customHeight="1" x14ac:dyDescent="0.25">
      <c r="A1888" s="6">
        <v>44721</v>
      </c>
      <c r="B1888" s="1">
        <v>2202675</v>
      </c>
      <c r="C1888" s="5" t="s">
        <v>427</v>
      </c>
      <c r="D1888" s="5" t="str">
        <f>VLOOKUP(C1888,[1]master_data!$A$2:$E$495,2,FALSE)</f>
        <v>LEMON</v>
      </c>
      <c r="E1888" s="5">
        <v>15</v>
      </c>
      <c r="F1888" s="5">
        <f>VLOOKUP(C1888,[1]master_data!$A$2:$E$495,3,FALSE)</f>
        <v>1000</v>
      </c>
      <c r="G1888" s="5">
        <f>VLOOKUP(C1888,[1]master_data!$A$2:$E$495,4,FALSE)</f>
        <v>2000</v>
      </c>
      <c r="H1888" s="5">
        <f t="shared" si="93"/>
        <v>15000</v>
      </c>
      <c r="I1888" s="5">
        <f t="shared" si="94"/>
        <v>30000</v>
      </c>
      <c r="J1888" s="5">
        <f t="shared" si="95"/>
        <v>15000</v>
      </c>
      <c r="K1888" s="5" t="str">
        <f>VLOOKUP(C1888,[1]master_data!$A$2:$E$495,5,FALSE)</f>
        <v>Ikan</v>
      </c>
      <c r="L1888" s="5" t="s">
        <v>471</v>
      </c>
    </row>
    <row r="1889" spans="1:12" ht="12" customHeight="1" x14ac:dyDescent="0.25">
      <c r="A1889" s="6">
        <v>44721</v>
      </c>
      <c r="B1889" s="1">
        <v>2202674</v>
      </c>
      <c r="C1889" s="5" t="s">
        <v>393</v>
      </c>
      <c r="D1889" s="5" t="str">
        <f>VLOOKUP(C1889,[1]master_data!$A$2:$E$495,2,FALSE)</f>
        <v>CHANNA ANDRAO B</v>
      </c>
      <c r="E1889" s="5">
        <v>1</v>
      </c>
      <c r="F1889" s="5">
        <f>VLOOKUP(C1889,[1]master_data!$A$2:$E$495,3,FALSE)</f>
        <v>100000</v>
      </c>
      <c r="G1889" s="5">
        <f>VLOOKUP(C1889,[1]master_data!$A$2:$E$495,4,FALSE)</f>
        <v>200000</v>
      </c>
      <c r="H1889" s="5">
        <f t="shared" si="93"/>
        <v>100000</v>
      </c>
      <c r="I1889" s="5">
        <f t="shared" si="94"/>
        <v>200000</v>
      </c>
      <c r="J1889" s="5">
        <f t="shared" si="95"/>
        <v>100000</v>
      </c>
      <c r="K1889" s="5" t="str">
        <f>VLOOKUP(C1889,[1]master_data!$A$2:$E$495,5,FALSE)</f>
        <v>Ikan</v>
      </c>
      <c r="L1889" s="5" t="s">
        <v>471</v>
      </c>
    </row>
    <row r="1890" spans="1:12" ht="12" customHeight="1" x14ac:dyDescent="0.25">
      <c r="A1890" s="6">
        <v>44721</v>
      </c>
      <c r="B1890" s="1">
        <v>2202673</v>
      </c>
      <c r="C1890" s="5" t="s">
        <v>280</v>
      </c>
      <c r="D1890" s="5" t="str">
        <f>VLOOKUP(C1890,[1]master_data!$A$2:$E$495,2,FALSE)</f>
        <v>KRAN 2 W</v>
      </c>
      <c r="E1890" s="5">
        <v>25</v>
      </c>
      <c r="F1890" s="5">
        <f>VLOOKUP(C1890,[1]master_data!$A$2:$E$495,3,FALSE)</f>
        <v>4000</v>
      </c>
      <c r="G1890" s="5">
        <f>VLOOKUP(C1890,[1]master_data!$A$2:$E$495,4,FALSE)</f>
        <v>6000</v>
      </c>
      <c r="H1890" s="5">
        <f t="shared" si="93"/>
        <v>100000</v>
      </c>
      <c r="I1890" s="5">
        <f t="shared" si="94"/>
        <v>150000</v>
      </c>
      <c r="J1890" s="5">
        <f t="shared" si="95"/>
        <v>50000</v>
      </c>
      <c r="K1890" s="5" t="str">
        <f>VLOOKUP(C1890,[1]master_data!$A$2:$E$495,5,FALSE)</f>
        <v>Aksesoris</v>
      </c>
      <c r="L1890" s="5" t="s">
        <v>471</v>
      </c>
    </row>
    <row r="1891" spans="1:12" ht="12" customHeight="1" x14ac:dyDescent="0.25">
      <c r="A1891" s="6">
        <v>44721</v>
      </c>
      <c r="B1891" s="1">
        <v>2202672</v>
      </c>
      <c r="C1891" s="5" t="s">
        <v>361</v>
      </c>
      <c r="D1891" s="5" t="str">
        <f>VLOOKUP(C1891,[1]master_data!$A$2:$E$495,2,FALSE)</f>
        <v>AKUARIUM 60 POLOS</v>
      </c>
      <c r="E1891" s="5">
        <v>1</v>
      </c>
      <c r="F1891" s="5">
        <f>VLOOKUP(C1891,[1]master_data!$A$2:$E$495,3,FALSE)</f>
        <v>120000</v>
      </c>
      <c r="G1891" s="5">
        <f>VLOOKUP(C1891,[1]master_data!$A$2:$E$495,4,FALSE)</f>
        <v>175000</v>
      </c>
      <c r="H1891" s="5">
        <f t="shared" si="93"/>
        <v>120000</v>
      </c>
      <c r="I1891" s="5">
        <f t="shared" si="94"/>
        <v>175000</v>
      </c>
      <c r="J1891" s="5">
        <f t="shared" si="95"/>
        <v>55000</v>
      </c>
      <c r="K1891" s="5" t="str">
        <f>VLOOKUP(C1891,[1]master_data!$A$2:$E$495,5,FALSE)</f>
        <v>Aksesoris</v>
      </c>
      <c r="L1891" s="5" t="s">
        <v>471</v>
      </c>
    </row>
    <row r="1892" spans="1:12" ht="12" customHeight="1" x14ac:dyDescent="0.25">
      <c r="A1892" s="6">
        <v>44720</v>
      </c>
      <c r="B1892" s="1">
        <v>2202671</v>
      </c>
      <c r="C1892" s="5" t="s">
        <v>222</v>
      </c>
      <c r="D1892" s="5" t="str">
        <f>VLOOKUP(C1892,[1]master_data!$A$2:$E$495,2,FALSE)</f>
        <v>CP KOI COLOUR</v>
      </c>
      <c r="E1892" s="5">
        <v>2</v>
      </c>
      <c r="F1892" s="5">
        <f>VLOOKUP(C1892,[1]master_data!$A$2:$E$495,3,FALSE)</f>
        <v>38000</v>
      </c>
      <c r="G1892" s="5">
        <f>VLOOKUP(C1892,[1]master_data!$A$2:$E$495,4,FALSE)</f>
        <v>50000</v>
      </c>
      <c r="H1892" s="5">
        <f t="shared" si="93"/>
        <v>76000</v>
      </c>
      <c r="I1892" s="5">
        <f t="shared" si="94"/>
        <v>100000</v>
      </c>
      <c r="J1892" s="5">
        <f t="shared" si="95"/>
        <v>24000</v>
      </c>
      <c r="K1892" s="5" t="str">
        <f>VLOOKUP(C1892,[1]master_data!$A$2:$E$495,5,FALSE)</f>
        <v>Aksesoris</v>
      </c>
      <c r="L1892" s="5" t="s">
        <v>471</v>
      </c>
    </row>
    <row r="1893" spans="1:12" ht="12" customHeight="1" x14ac:dyDescent="0.25">
      <c r="A1893" s="6">
        <v>44720</v>
      </c>
      <c r="B1893" s="1">
        <v>2202670</v>
      </c>
      <c r="C1893" s="5" t="s">
        <v>427</v>
      </c>
      <c r="D1893" s="5" t="str">
        <f>VLOOKUP(C1893,[1]master_data!$A$2:$E$495,2,FALSE)</f>
        <v>LEMON</v>
      </c>
      <c r="E1893" s="5">
        <v>30</v>
      </c>
      <c r="F1893" s="5">
        <f>VLOOKUP(C1893,[1]master_data!$A$2:$E$495,3,FALSE)</f>
        <v>1000</v>
      </c>
      <c r="G1893" s="5">
        <f>VLOOKUP(C1893,[1]master_data!$A$2:$E$495,4,FALSE)</f>
        <v>2000</v>
      </c>
      <c r="H1893" s="5">
        <f t="shared" si="93"/>
        <v>30000</v>
      </c>
      <c r="I1893" s="5">
        <f t="shared" si="94"/>
        <v>60000</v>
      </c>
      <c r="J1893" s="5">
        <f t="shared" si="95"/>
        <v>30000</v>
      </c>
      <c r="K1893" s="5" t="str">
        <f>VLOOKUP(C1893,[1]master_data!$A$2:$E$495,5,FALSE)</f>
        <v>Ikan</v>
      </c>
      <c r="L1893" s="5" t="s">
        <v>471</v>
      </c>
    </row>
    <row r="1894" spans="1:12" ht="12" customHeight="1" x14ac:dyDescent="0.25">
      <c r="A1894" s="6">
        <v>44720</v>
      </c>
      <c r="B1894" s="1">
        <v>2202669</v>
      </c>
      <c r="C1894" s="5" t="s">
        <v>420</v>
      </c>
      <c r="D1894" s="5" t="str">
        <f>VLOOKUP(C1894,[1]master_data!$A$2:$E$495,2,FALSE)</f>
        <v>KAVIAT</v>
      </c>
      <c r="E1894" s="5">
        <v>15</v>
      </c>
      <c r="F1894" s="5">
        <f>VLOOKUP(C1894,[1]master_data!$A$2:$E$495,3,FALSE)</f>
        <v>3500</v>
      </c>
      <c r="G1894" s="5">
        <f>VLOOKUP(C1894,[1]master_data!$A$2:$E$495,4,FALSE)</f>
        <v>8000</v>
      </c>
      <c r="H1894" s="5">
        <f t="shared" si="93"/>
        <v>52500</v>
      </c>
      <c r="I1894" s="5">
        <f t="shared" si="94"/>
        <v>120000</v>
      </c>
      <c r="J1894" s="5">
        <f t="shared" si="95"/>
        <v>67500</v>
      </c>
      <c r="K1894" s="5" t="str">
        <f>VLOOKUP(C1894,[1]master_data!$A$2:$E$495,5,FALSE)</f>
        <v>Ikan</v>
      </c>
      <c r="L1894" s="5" t="s">
        <v>471</v>
      </c>
    </row>
    <row r="1895" spans="1:12" ht="12" customHeight="1" x14ac:dyDescent="0.25">
      <c r="A1895" s="6">
        <v>44720</v>
      </c>
      <c r="B1895" s="1">
        <v>2202668</v>
      </c>
      <c r="C1895" s="5" t="s">
        <v>402</v>
      </c>
      <c r="D1895" s="5" t="str">
        <f>VLOOKUP(C1895,[1]master_data!$A$2:$E$495,2,FALSE)</f>
        <v>BLACK GHOST</v>
      </c>
      <c r="E1895" s="5">
        <v>27</v>
      </c>
      <c r="F1895" s="5">
        <f>VLOOKUP(C1895,[1]master_data!$A$2:$E$495,3,FALSE)</f>
        <v>4000</v>
      </c>
      <c r="G1895" s="5">
        <f>VLOOKUP(C1895,[1]master_data!$A$2:$E$495,4,FALSE)</f>
        <v>10000</v>
      </c>
      <c r="H1895" s="5">
        <f t="shared" si="93"/>
        <v>108000</v>
      </c>
      <c r="I1895" s="5">
        <f t="shared" si="94"/>
        <v>270000</v>
      </c>
      <c r="J1895" s="5">
        <f t="shared" si="95"/>
        <v>162000</v>
      </c>
      <c r="K1895" s="5" t="str">
        <f>VLOOKUP(C1895,[1]master_data!$A$2:$E$495,5,FALSE)</f>
        <v>Ikan</v>
      </c>
      <c r="L1895" s="5" t="s">
        <v>471</v>
      </c>
    </row>
    <row r="1896" spans="1:12" ht="12" customHeight="1" x14ac:dyDescent="0.25">
      <c r="A1896" s="6">
        <v>44720</v>
      </c>
      <c r="B1896" s="1">
        <v>2202667</v>
      </c>
      <c r="C1896" s="5" t="s">
        <v>222</v>
      </c>
      <c r="D1896" s="5" t="str">
        <f>VLOOKUP(C1896,[1]master_data!$A$2:$E$495,2,FALSE)</f>
        <v>CP KOI COLOUR</v>
      </c>
      <c r="E1896" s="5">
        <v>10</v>
      </c>
      <c r="F1896" s="5">
        <f>VLOOKUP(C1896,[1]master_data!$A$2:$E$495,3,FALSE)</f>
        <v>38000</v>
      </c>
      <c r="G1896" s="5">
        <f>VLOOKUP(C1896,[1]master_data!$A$2:$E$495,4,FALSE)</f>
        <v>50000</v>
      </c>
      <c r="H1896" s="5">
        <f t="shared" si="93"/>
        <v>380000</v>
      </c>
      <c r="I1896" s="5">
        <f t="shared" si="94"/>
        <v>500000</v>
      </c>
      <c r="J1896" s="5">
        <f t="shared" si="95"/>
        <v>120000</v>
      </c>
      <c r="K1896" s="5" t="str">
        <f>VLOOKUP(C1896,[1]master_data!$A$2:$E$495,5,FALSE)</f>
        <v>Aksesoris</v>
      </c>
      <c r="L1896" s="5" t="s">
        <v>471</v>
      </c>
    </row>
    <row r="1897" spans="1:12" ht="12" customHeight="1" x14ac:dyDescent="0.25">
      <c r="A1897" s="6">
        <v>44720</v>
      </c>
      <c r="B1897" s="1">
        <v>2202666</v>
      </c>
      <c r="C1897" s="5" t="s">
        <v>390</v>
      </c>
      <c r="D1897" s="5" t="str">
        <f>VLOOKUP(C1897,[1]master_data!$A$2:$E$495,2,FALSE)</f>
        <v>CHANNA ASIATICA K</v>
      </c>
      <c r="E1897" s="5">
        <v>1</v>
      </c>
      <c r="F1897" s="5">
        <f>VLOOKUP(C1897,[1]master_data!$A$2:$E$495,3,FALSE)</f>
        <v>10000</v>
      </c>
      <c r="G1897" s="5">
        <f>VLOOKUP(C1897,[1]master_data!$A$2:$E$495,4,FALSE)</f>
        <v>40000</v>
      </c>
      <c r="H1897" s="5">
        <f t="shared" si="93"/>
        <v>10000</v>
      </c>
      <c r="I1897" s="5">
        <f t="shared" si="94"/>
        <v>40000</v>
      </c>
      <c r="J1897" s="5">
        <f t="shared" si="95"/>
        <v>30000</v>
      </c>
      <c r="K1897" s="5" t="str">
        <f>VLOOKUP(C1897,[1]master_data!$A$2:$E$495,5,FALSE)</f>
        <v>Ikan</v>
      </c>
      <c r="L1897" s="5" t="s">
        <v>471</v>
      </c>
    </row>
    <row r="1898" spans="1:12" ht="12" customHeight="1" x14ac:dyDescent="0.25">
      <c r="A1898" s="6">
        <v>44720</v>
      </c>
      <c r="B1898" s="1">
        <v>2202665</v>
      </c>
      <c r="C1898" s="5" t="s">
        <v>363</v>
      </c>
      <c r="D1898" s="5" t="str">
        <f>VLOOKUP(C1898,[1]master_data!$A$2:$E$495,2,FALSE)</f>
        <v>AKUARIUM 50 ROBOT</v>
      </c>
      <c r="E1898" s="5">
        <v>2</v>
      </c>
      <c r="F1898" s="5">
        <f>VLOOKUP(C1898,[1]master_data!$A$2:$E$495,3,FALSE)</f>
        <v>115000</v>
      </c>
      <c r="G1898" s="5">
        <f>VLOOKUP(C1898,[1]master_data!$A$2:$E$495,4,FALSE)</f>
        <v>165000</v>
      </c>
      <c r="H1898" s="5">
        <f t="shared" si="93"/>
        <v>230000</v>
      </c>
      <c r="I1898" s="5">
        <f t="shared" si="94"/>
        <v>330000</v>
      </c>
      <c r="J1898" s="5">
        <f t="shared" si="95"/>
        <v>100000</v>
      </c>
      <c r="K1898" s="5" t="str">
        <f>VLOOKUP(C1898,[1]master_data!$A$2:$E$495,5,FALSE)</f>
        <v>Aksesoris</v>
      </c>
      <c r="L1898" s="5" t="s">
        <v>471</v>
      </c>
    </row>
    <row r="1899" spans="1:12" ht="12" customHeight="1" x14ac:dyDescent="0.25">
      <c r="A1899" s="6">
        <v>44720</v>
      </c>
      <c r="B1899" s="1">
        <v>2202664</v>
      </c>
      <c r="C1899" s="5" t="s">
        <v>431</v>
      </c>
      <c r="D1899" s="5" t="str">
        <f>VLOOKUP(C1899,[1]master_data!$A$2:$E$495,2,FALSE)</f>
        <v>MANFISH B</v>
      </c>
      <c r="E1899" s="5">
        <v>15</v>
      </c>
      <c r="F1899" s="5">
        <f>VLOOKUP(C1899,[1]master_data!$A$2:$E$495,3,FALSE)</f>
        <v>4000</v>
      </c>
      <c r="G1899" s="5">
        <f>VLOOKUP(C1899,[1]master_data!$A$2:$E$495,4,FALSE)</f>
        <v>10000</v>
      </c>
      <c r="H1899" s="5">
        <f t="shared" si="93"/>
        <v>60000</v>
      </c>
      <c r="I1899" s="5">
        <f t="shared" si="94"/>
        <v>150000</v>
      </c>
      <c r="J1899" s="5">
        <f t="shared" si="95"/>
        <v>90000</v>
      </c>
      <c r="K1899" s="5" t="str">
        <f>VLOOKUP(C1899,[1]master_data!$A$2:$E$495,5,FALSE)</f>
        <v>Ikan</v>
      </c>
      <c r="L1899" s="5" t="s">
        <v>471</v>
      </c>
    </row>
    <row r="1900" spans="1:12" ht="12" customHeight="1" x14ac:dyDescent="0.25">
      <c r="A1900" s="6">
        <v>44720</v>
      </c>
      <c r="B1900" s="1">
        <v>2202663</v>
      </c>
      <c r="C1900" s="5" t="s">
        <v>431</v>
      </c>
      <c r="D1900" s="5" t="str">
        <f>VLOOKUP(C1900,[1]master_data!$A$2:$E$495,2,FALSE)</f>
        <v>MANFISH B</v>
      </c>
      <c r="E1900" s="5">
        <v>1</v>
      </c>
      <c r="F1900" s="5">
        <f>VLOOKUP(C1900,[1]master_data!$A$2:$E$495,3,FALSE)</f>
        <v>4000</v>
      </c>
      <c r="G1900" s="5">
        <f>VLOOKUP(C1900,[1]master_data!$A$2:$E$495,4,FALSE)</f>
        <v>10000</v>
      </c>
      <c r="H1900" s="5">
        <f t="shared" si="93"/>
        <v>4000</v>
      </c>
      <c r="I1900" s="5">
        <f t="shared" si="94"/>
        <v>10000</v>
      </c>
      <c r="J1900" s="5">
        <f t="shared" si="95"/>
        <v>6000</v>
      </c>
      <c r="K1900" s="5" t="str">
        <f>VLOOKUP(C1900,[1]master_data!$A$2:$E$495,5,FALSE)</f>
        <v>Ikan</v>
      </c>
      <c r="L1900" s="5" t="s">
        <v>471</v>
      </c>
    </row>
    <row r="1901" spans="1:12" ht="12" customHeight="1" x14ac:dyDescent="0.25">
      <c r="A1901" s="6">
        <v>44719</v>
      </c>
      <c r="B1901" s="1">
        <v>2202662</v>
      </c>
      <c r="C1901" s="5" t="s">
        <v>21</v>
      </c>
      <c r="D1901" s="5" t="str">
        <f>VLOOKUP(C1901,[1]master_data!$A$2:$E$495,2,FALSE)</f>
        <v>MESIN ROSTON 1600</v>
      </c>
      <c r="E1901" s="5">
        <v>10</v>
      </c>
      <c r="F1901" s="5">
        <f>VLOOKUP(C1901,[1]master_data!$A$2:$E$495,3,FALSE)</f>
        <v>40000</v>
      </c>
      <c r="G1901" s="5">
        <f>VLOOKUP(C1901,[1]master_data!$A$2:$E$495,4,FALSE)</f>
        <v>55000</v>
      </c>
      <c r="H1901" s="5">
        <f t="shared" si="93"/>
        <v>400000</v>
      </c>
      <c r="I1901" s="5">
        <f t="shared" si="94"/>
        <v>550000</v>
      </c>
      <c r="J1901" s="5">
        <f t="shared" si="95"/>
        <v>150000</v>
      </c>
      <c r="K1901" s="5" t="str">
        <f>VLOOKUP(C1901,[1]master_data!$A$2:$E$495,5,FALSE)</f>
        <v>Aksesoris</v>
      </c>
      <c r="L1901" s="5" t="s">
        <v>471</v>
      </c>
    </row>
    <row r="1902" spans="1:12" ht="12" customHeight="1" x14ac:dyDescent="0.25">
      <c r="A1902" s="6">
        <v>44719</v>
      </c>
      <c r="B1902" s="1">
        <v>2202661</v>
      </c>
      <c r="C1902" s="5" t="s">
        <v>450</v>
      </c>
      <c r="D1902" s="5" t="str">
        <f>VLOOKUP(C1902,[1]master_data!$A$2:$E$495,2,FALSE)</f>
        <v>SUMATRA BIASA</v>
      </c>
      <c r="E1902" s="5">
        <v>10</v>
      </c>
      <c r="F1902" s="5">
        <f>VLOOKUP(C1902,[1]master_data!$A$2:$E$495,3,FALSE)</f>
        <v>800</v>
      </c>
      <c r="G1902" s="5">
        <f>VLOOKUP(C1902,[1]master_data!$A$2:$E$495,4,FALSE)</f>
        <v>2000</v>
      </c>
      <c r="H1902" s="5">
        <f t="shared" si="93"/>
        <v>8000</v>
      </c>
      <c r="I1902" s="5">
        <f t="shared" si="94"/>
        <v>20000</v>
      </c>
      <c r="J1902" s="5">
        <f t="shared" si="95"/>
        <v>12000</v>
      </c>
      <c r="K1902" s="5" t="str">
        <f>VLOOKUP(C1902,[1]master_data!$A$2:$E$495,5,FALSE)</f>
        <v>Ikan</v>
      </c>
      <c r="L1902" s="5" t="s">
        <v>471</v>
      </c>
    </row>
    <row r="1903" spans="1:12" ht="12" customHeight="1" x14ac:dyDescent="0.25">
      <c r="A1903" s="6">
        <v>44719</v>
      </c>
      <c r="B1903" s="1">
        <v>2202660</v>
      </c>
      <c r="C1903" s="5" t="s">
        <v>435</v>
      </c>
      <c r="D1903" s="5" t="str">
        <f>VLOOKUP(C1903,[1]master_data!$A$2:$E$495,2,FALSE)</f>
        <v>MOLI BALON</v>
      </c>
      <c r="E1903" s="5">
        <v>10</v>
      </c>
      <c r="F1903" s="5">
        <f>VLOOKUP(C1903,[1]master_data!$A$2:$E$495,3,FALSE)</f>
        <v>800</v>
      </c>
      <c r="G1903" s="5">
        <f>VLOOKUP(C1903,[1]master_data!$A$2:$E$495,4,FALSE)</f>
        <v>2000</v>
      </c>
      <c r="H1903" s="5">
        <f t="shared" si="93"/>
        <v>8000</v>
      </c>
      <c r="I1903" s="5">
        <f t="shared" si="94"/>
        <v>20000</v>
      </c>
      <c r="J1903" s="5">
        <f t="shared" si="95"/>
        <v>12000</v>
      </c>
      <c r="K1903" s="5" t="str">
        <f>VLOOKUP(C1903,[1]master_data!$A$2:$E$495,5,FALSE)</f>
        <v>Ikan</v>
      </c>
      <c r="L1903" s="5" t="s">
        <v>471</v>
      </c>
    </row>
    <row r="1904" spans="1:12" ht="12" customHeight="1" x14ac:dyDescent="0.25">
      <c r="A1904" s="6">
        <v>44719</v>
      </c>
      <c r="B1904" s="1">
        <v>2202659</v>
      </c>
      <c r="C1904" s="5" t="s">
        <v>442</v>
      </c>
      <c r="D1904" s="5" t="str">
        <f>VLOOKUP(C1904,[1]master_data!$A$2:$E$495,2,FALSE)</f>
        <v>PEMBERSIH KACA ALBINO</v>
      </c>
      <c r="E1904" s="5">
        <v>15</v>
      </c>
      <c r="F1904" s="5">
        <f>VLOOKUP(C1904,[1]master_data!$A$2:$E$495,3,FALSE)</f>
        <v>2500</v>
      </c>
      <c r="G1904" s="5">
        <f>VLOOKUP(C1904,[1]master_data!$A$2:$E$495,4,FALSE)</f>
        <v>5000</v>
      </c>
      <c r="H1904" s="5">
        <f t="shared" si="93"/>
        <v>37500</v>
      </c>
      <c r="I1904" s="5">
        <f t="shared" si="94"/>
        <v>75000</v>
      </c>
      <c r="J1904" s="5">
        <f t="shared" si="95"/>
        <v>37500</v>
      </c>
      <c r="K1904" s="5" t="str">
        <f>VLOOKUP(C1904,[1]master_data!$A$2:$E$495,5,FALSE)</f>
        <v>Ikan</v>
      </c>
      <c r="L1904" s="5" t="s">
        <v>471</v>
      </c>
    </row>
    <row r="1905" spans="1:12" ht="12" customHeight="1" x14ac:dyDescent="0.25">
      <c r="A1905" s="6">
        <v>44719</v>
      </c>
      <c r="B1905" s="1">
        <v>2202658</v>
      </c>
      <c r="C1905" s="5" t="s">
        <v>110</v>
      </c>
      <c r="D1905" s="5" t="str">
        <f>VLOOKUP(C1905,[1]master_data!$A$2:$E$495,2,FALSE)</f>
        <v>AIRATOR  YANG LUB 2</v>
      </c>
      <c r="E1905" s="5">
        <v>5</v>
      </c>
      <c r="F1905" s="5">
        <f>VLOOKUP(C1905,[1]master_data!$A$2:$E$495,3,FALSE)</f>
        <v>26500</v>
      </c>
      <c r="G1905" s="5">
        <f>VLOOKUP(C1905,[1]master_data!$A$2:$E$495,4,FALSE)</f>
        <v>50000</v>
      </c>
      <c r="H1905" s="5">
        <f t="shared" si="93"/>
        <v>132500</v>
      </c>
      <c r="I1905" s="5">
        <f t="shared" si="94"/>
        <v>250000</v>
      </c>
      <c r="J1905" s="5">
        <f t="shared" si="95"/>
        <v>117500</v>
      </c>
      <c r="K1905" s="5" t="str">
        <f>VLOOKUP(C1905,[1]master_data!$A$2:$E$495,5,FALSE)</f>
        <v>Aksesoris</v>
      </c>
      <c r="L1905" s="5" t="s">
        <v>471</v>
      </c>
    </row>
    <row r="1906" spans="1:12" ht="12" customHeight="1" x14ac:dyDescent="0.25">
      <c r="A1906" s="6">
        <v>44719</v>
      </c>
      <c r="B1906" s="1">
        <v>2202657</v>
      </c>
      <c r="C1906" s="5" t="s">
        <v>430</v>
      </c>
      <c r="D1906" s="5" t="str">
        <f>VLOOKUP(C1906,[1]master_data!$A$2:$E$495,2,FALSE)</f>
        <v>MANFISH K</v>
      </c>
      <c r="E1906" s="5">
        <v>25</v>
      </c>
      <c r="F1906" s="5">
        <f>VLOOKUP(C1906,[1]master_data!$A$2:$E$495,3,FALSE)</f>
        <v>2000</v>
      </c>
      <c r="G1906" s="5">
        <f>VLOOKUP(C1906,[1]master_data!$A$2:$E$495,4,FALSE)</f>
        <v>5000</v>
      </c>
      <c r="H1906" s="5">
        <f t="shared" si="93"/>
        <v>50000</v>
      </c>
      <c r="I1906" s="5">
        <f t="shared" si="94"/>
        <v>125000</v>
      </c>
      <c r="J1906" s="5">
        <f t="shared" si="95"/>
        <v>75000</v>
      </c>
      <c r="K1906" s="5" t="str">
        <f>VLOOKUP(C1906,[1]master_data!$A$2:$E$495,5,FALSE)</f>
        <v>Ikan</v>
      </c>
      <c r="L1906" s="5" t="s">
        <v>471</v>
      </c>
    </row>
    <row r="1907" spans="1:12" ht="12" customHeight="1" x14ac:dyDescent="0.25">
      <c r="A1907" s="6">
        <v>44719</v>
      </c>
      <c r="B1907" s="1">
        <v>2202656</v>
      </c>
      <c r="C1907" s="5" t="s">
        <v>393</v>
      </c>
      <c r="D1907" s="5" t="str">
        <f>VLOOKUP(C1907,[1]master_data!$A$2:$E$495,2,FALSE)</f>
        <v>CHANNA ANDRAO B</v>
      </c>
      <c r="E1907" s="5">
        <v>1</v>
      </c>
      <c r="F1907" s="5">
        <f>VLOOKUP(C1907,[1]master_data!$A$2:$E$495,3,FALSE)</f>
        <v>100000</v>
      </c>
      <c r="G1907" s="5">
        <f>VLOOKUP(C1907,[1]master_data!$A$2:$E$495,4,FALSE)</f>
        <v>200000</v>
      </c>
      <c r="H1907" s="5">
        <f t="shared" si="93"/>
        <v>100000</v>
      </c>
      <c r="I1907" s="5">
        <f t="shared" si="94"/>
        <v>200000</v>
      </c>
      <c r="J1907" s="5">
        <f t="shared" si="95"/>
        <v>100000</v>
      </c>
      <c r="K1907" s="5" t="str">
        <f>VLOOKUP(C1907,[1]master_data!$A$2:$E$495,5,FALSE)</f>
        <v>Ikan</v>
      </c>
      <c r="L1907" s="5" t="s">
        <v>471</v>
      </c>
    </row>
    <row r="1908" spans="1:12" ht="12" customHeight="1" x14ac:dyDescent="0.25">
      <c r="A1908" s="6">
        <v>44719</v>
      </c>
      <c r="B1908" s="1">
        <v>2202655</v>
      </c>
      <c r="C1908" s="5" t="s">
        <v>455</v>
      </c>
      <c r="D1908" s="5" t="str">
        <f>VLOOKUP(C1908,[1]master_data!$A$2:$E$495,2,FALSE)</f>
        <v>TETRA</v>
      </c>
      <c r="E1908" s="5">
        <v>10</v>
      </c>
      <c r="F1908" s="5">
        <f>VLOOKUP(C1908,[1]master_data!$A$2:$E$495,3,FALSE)</f>
        <v>800</v>
      </c>
      <c r="G1908" s="5">
        <f>VLOOKUP(C1908,[1]master_data!$A$2:$E$495,4,FALSE)</f>
        <v>2000</v>
      </c>
      <c r="H1908" s="5">
        <f t="shared" si="93"/>
        <v>8000</v>
      </c>
      <c r="I1908" s="5">
        <f t="shared" si="94"/>
        <v>20000</v>
      </c>
      <c r="J1908" s="5">
        <f t="shared" si="95"/>
        <v>12000</v>
      </c>
      <c r="K1908" s="5" t="str">
        <f>VLOOKUP(C1908,[1]master_data!$A$2:$E$495,5,FALSE)</f>
        <v>Ikan</v>
      </c>
      <c r="L1908" s="5" t="s">
        <v>471</v>
      </c>
    </row>
    <row r="1909" spans="1:12" ht="12" customHeight="1" x14ac:dyDescent="0.25">
      <c r="A1909" s="6">
        <v>44719</v>
      </c>
      <c r="B1909" s="1">
        <v>2202654</v>
      </c>
      <c r="C1909" s="5" t="s">
        <v>419</v>
      </c>
      <c r="D1909" s="5" t="str">
        <f>VLOOKUP(C1909,[1]master_data!$A$2:$E$495,2,FALSE)</f>
        <v>KURA - KURA</v>
      </c>
      <c r="E1909" s="5">
        <v>5</v>
      </c>
      <c r="F1909" s="5">
        <f>VLOOKUP(C1909,[1]master_data!$A$2:$E$495,3,FALSE)</f>
        <v>25000</v>
      </c>
      <c r="G1909" s="5">
        <f>VLOOKUP(C1909,[1]master_data!$A$2:$E$495,4,FALSE)</f>
        <v>35000</v>
      </c>
      <c r="H1909" s="5">
        <f t="shared" si="93"/>
        <v>125000</v>
      </c>
      <c r="I1909" s="5">
        <f t="shared" si="94"/>
        <v>175000</v>
      </c>
      <c r="J1909" s="5">
        <f t="shared" si="95"/>
        <v>50000</v>
      </c>
      <c r="K1909" s="5" t="str">
        <f>VLOOKUP(C1909,[1]master_data!$A$2:$E$495,5,FALSE)</f>
        <v>Ikan</v>
      </c>
      <c r="L1909" s="5" t="s">
        <v>471</v>
      </c>
    </row>
    <row r="1910" spans="1:12" ht="12" customHeight="1" x14ac:dyDescent="0.25">
      <c r="A1910" s="6">
        <v>44719</v>
      </c>
      <c r="B1910" s="1">
        <v>2202653</v>
      </c>
      <c r="C1910" s="5" t="s">
        <v>317</v>
      </c>
      <c r="D1910" s="5" t="str">
        <f>VLOOKUP(C1910,[1]master_data!$A$2:$E$495,2,FALSE)</f>
        <v>PEMBERSIH KERAK KACA</v>
      </c>
      <c r="E1910" s="5">
        <v>2</v>
      </c>
      <c r="F1910" s="5">
        <f>VLOOKUP(C1910,[1]master_data!$A$2:$E$495,3,FALSE)</f>
        <v>7000</v>
      </c>
      <c r="G1910" s="5">
        <f>VLOOKUP(C1910,[1]master_data!$A$2:$E$495,4,FALSE)</f>
        <v>15000</v>
      </c>
      <c r="H1910" s="5">
        <f t="shared" si="93"/>
        <v>14000</v>
      </c>
      <c r="I1910" s="5">
        <f t="shared" si="94"/>
        <v>30000</v>
      </c>
      <c r="J1910" s="5">
        <f t="shared" si="95"/>
        <v>16000</v>
      </c>
      <c r="K1910" s="5" t="str">
        <f>VLOOKUP(C1910,[1]master_data!$A$2:$E$495,5,FALSE)</f>
        <v>Aksesoris</v>
      </c>
      <c r="L1910" s="5" t="s">
        <v>471</v>
      </c>
    </row>
    <row r="1911" spans="1:12" ht="12" customHeight="1" x14ac:dyDescent="0.25">
      <c r="A1911" s="6">
        <v>44718</v>
      </c>
      <c r="B1911" s="1">
        <v>2202652</v>
      </c>
      <c r="C1911" s="5" t="s">
        <v>53</v>
      </c>
      <c r="D1911" s="5" t="str">
        <f>VLOOKUP(C1911,[1]master_data!$A$2:$E$495,2,FALSE)</f>
        <v>MESIN RECENT 203</v>
      </c>
      <c r="E1911" s="5">
        <v>2</v>
      </c>
      <c r="F1911" s="5">
        <f>VLOOKUP(C1911,[1]master_data!$A$2:$E$495,3,FALSE)</f>
        <v>43500</v>
      </c>
      <c r="G1911" s="5">
        <f>VLOOKUP(C1911,[1]master_data!$A$2:$E$495,4,FALSE)</f>
        <v>70000</v>
      </c>
      <c r="H1911" s="5">
        <f t="shared" si="93"/>
        <v>87000</v>
      </c>
      <c r="I1911" s="5">
        <f t="shared" si="94"/>
        <v>140000</v>
      </c>
      <c r="J1911" s="5">
        <f t="shared" si="95"/>
        <v>53000</v>
      </c>
      <c r="K1911" s="5" t="str">
        <f>VLOOKUP(C1911,[1]master_data!$A$2:$E$495,5,FALSE)</f>
        <v>Aksesoris</v>
      </c>
      <c r="L1911" s="5" t="s">
        <v>471</v>
      </c>
    </row>
    <row r="1912" spans="1:12" ht="12" customHeight="1" x14ac:dyDescent="0.25">
      <c r="A1912" s="6">
        <v>44718</v>
      </c>
      <c r="B1912" s="1">
        <v>2202651</v>
      </c>
      <c r="C1912" s="5" t="s">
        <v>392</v>
      </c>
      <c r="D1912" s="5" t="str">
        <f>VLOOKUP(C1912,[1]master_data!$A$2:$E$495,2,FALSE)</f>
        <v>CHANNA ASIATICA B</v>
      </c>
      <c r="E1912" s="5">
        <v>1</v>
      </c>
      <c r="F1912" s="5">
        <f>VLOOKUP(C1912,[1]master_data!$A$2:$E$495,3,FALSE)</f>
        <v>40000</v>
      </c>
      <c r="G1912" s="5">
        <f>VLOOKUP(C1912,[1]master_data!$A$2:$E$495,4,FALSE)</f>
        <v>100000</v>
      </c>
      <c r="H1912" s="5">
        <f t="shared" si="93"/>
        <v>40000</v>
      </c>
      <c r="I1912" s="5">
        <f t="shared" si="94"/>
        <v>100000</v>
      </c>
      <c r="J1912" s="5">
        <f t="shared" si="95"/>
        <v>60000</v>
      </c>
      <c r="K1912" s="5" t="str">
        <f>VLOOKUP(C1912,[1]master_data!$A$2:$E$495,5,FALSE)</f>
        <v>Ikan</v>
      </c>
      <c r="L1912" s="5" t="s">
        <v>471</v>
      </c>
    </row>
    <row r="1913" spans="1:12" ht="12" customHeight="1" x14ac:dyDescent="0.25">
      <c r="A1913" s="6">
        <v>44718</v>
      </c>
      <c r="B1913" s="1">
        <v>2202650</v>
      </c>
      <c r="C1913" s="5" t="s">
        <v>441</v>
      </c>
      <c r="D1913" s="5" t="str">
        <f>VLOOKUP(C1913,[1]master_data!$A$2:$E$495,2,FALSE)</f>
        <v>PEMBERSIH KACA BIASA</v>
      </c>
      <c r="E1913" s="5">
        <v>1</v>
      </c>
      <c r="F1913" s="5">
        <f>VLOOKUP(C1913,[1]master_data!$A$2:$E$495,3,FALSE)</f>
        <v>2000</v>
      </c>
      <c r="G1913" s="5">
        <f>VLOOKUP(C1913,[1]master_data!$A$2:$E$495,4,FALSE)</f>
        <v>5000</v>
      </c>
      <c r="H1913" s="5">
        <f t="shared" si="93"/>
        <v>2000</v>
      </c>
      <c r="I1913" s="5">
        <f t="shared" si="94"/>
        <v>5000</v>
      </c>
      <c r="J1913" s="5">
        <f t="shared" si="95"/>
        <v>3000</v>
      </c>
      <c r="K1913" s="5" t="str">
        <f>VLOOKUP(C1913,[1]master_data!$A$2:$E$495,5,FALSE)</f>
        <v>Ikan</v>
      </c>
      <c r="L1913" s="5" t="s">
        <v>471</v>
      </c>
    </row>
    <row r="1914" spans="1:12" ht="12" customHeight="1" x14ac:dyDescent="0.25">
      <c r="A1914" s="6">
        <v>44718</v>
      </c>
      <c r="B1914" s="1">
        <v>2202649</v>
      </c>
      <c r="C1914" s="5" t="s">
        <v>445</v>
      </c>
      <c r="D1914" s="5" t="str">
        <f>VLOOKUP(C1914,[1]master_data!$A$2:$E$495,2,FALSE)</f>
        <v>PESO</v>
      </c>
      <c r="E1914" s="5">
        <v>10</v>
      </c>
      <c r="F1914" s="5">
        <f>VLOOKUP(C1914,[1]master_data!$A$2:$E$495,3,FALSE)</f>
        <v>19000</v>
      </c>
      <c r="G1914" s="5">
        <f>VLOOKUP(C1914,[1]master_data!$A$2:$E$495,4,FALSE)</f>
        <v>40000</v>
      </c>
      <c r="H1914" s="5">
        <f t="shared" si="93"/>
        <v>190000</v>
      </c>
      <c r="I1914" s="5">
        <f t="shared" si="94"/>
        <v>400000</v>
      </c>
      <c r="J1914" s="5">
        <f t="shared" si="95"/>
        <v>210000</v>
      </c>
      <c r="K1914" s="5" t="str">
        <f>VLOOKUP(C1914,[1]master_data!$A$2:$E$495,5,FALSE)</f>
        <v>Ikan</v>
      </c>
      <c r="L1914" s="5" t="s">
        <v>471</v>
      </c>
    </row>
    <row r="1915" spans="1:12" ht="12" customHeight="1" x14ac:dyDescent="0.25">
      <c r="A1915" s="6">
        <v>44718</v>
      </c>
      <c r="B1915" s="1">
        <v>2202648</v>
      </c>
      <c r="C1915" s="5" t="s">
        <v>444</v>
      </c>
      <c r="D1915" s="5" t="str">
        <f>VLOOKUP(C1915,[1]master_data!$A$2:$E$495,2,FALSE)</f>
        <v>PARROT</v>
      </c>
      <c r="E1915" s="5">
        <v>1</v>
      </c>
      <c r="F1915" s="5">
        <f>VLOOKUP(C1915,[1]master_data!$A$2:$E$495,3,FALSE)</f>
        <v>27000</v>
      </c>
      <c r="G1915" s="5">
        <f>VLOOKUP(C1915,[1]master_data!$A$2:$E$495,4,FALSE)</f>
        <v>60000</v>
      </c>
      <c r="H1915" s="5">
        <f t="shared" si="93"/>
        <v>27000</v>
      </c>
      <c r="I1915" s="5">
        <f t="shared" si="94"/>
        <v>60000</v>
      </c>
      <c r="J1915" s="5">
        <f t="shared" si="95"/>
        <v>33000</v>
      </c>
      <c r="K1915" s="5" t="str">
        <f>VLOOKUP(C1915,[1]master_data!$A$2:$E$495,5,FALSE)</f>
        <v>Ikan</v>
      </c>
      <c r="L1915" s="5" t="s">
        <v>471</v>
      </c>
    </row>
    <row r="1916" spans="1:12" ht="12" customHeight="1" x14ac:dyDescent="0.25">
      <c r="A1916" s="6">
        <v>44718</v>
      </c>
      <c r="B1916" s="1">
        <v>2202647</v>
      </c>
      <c r="C1916" s="5" t="s">
        <v>401</v>
      </c>
      <c r="D1916" s="5" t="str">
        <f>VLOOKUP(C1916,[1]master_data!$A$2:$E$495,2,FALSE)</f>
        <v>BALA BALA B</v>
      </c>
      <c r="E1916" s="5">
        <v>2</v>
      </c>
      <c r="F1916" s="5">
        <f>VLOOKUP(C1916,[1]master_data!$A$2:$E$495,3,FALSE)</f>
        <v>7000</v>
      </c>
      <c r="G1916" s="5">
        <f>VLOOKUP(C1916,[1]master_data!$A$2:$E$495,4,FALSE)</f>
        <v>15000</v>
      </c>
      <c r="H1916" s="5">
        <f t="shared" si="93"/>
        <v>14000</v>
      </c>
      <c r="I1916" s="5">
        <f t="shared" si="94"/>
        <v>30000</v>
      </c>
      <c r="J1916" s="5">
        <f t="shared" si="95"/>
        <v>16000</v>
      </c>
      <c r="K1916" s="5" t="str">
        <f>VLOOKUP(C1916,[1]master_data!$A$2:$E$495,5,FALSE)</f>
        <v>Ikan</v>
      </c>
      <c r="L1916" s="5" t="s">
        <v>471</v>
      </c>
    </row>
    <row r="1917" spans="1:12" ht="12" customHeight="1" x14ac:dyDescent="0.25">
      <c r="A1917" s="6">
        <v>44718</v>
      </c>
      <c r="B1917" s="1">
        <v>2202646</v>
      </c>
      <c r="C1917" s="5" t="s">
        <v>23</v>
      </c>
      <c r="D1917" s="5" t="str">
        <f>VLOOKUP(C1917,[1]master_data!$A$2:$E$495,2,FALSE)</f>
        <v>MESIN ROSTON 3900</v>
      </c>
      <c r="E1917" s="5">
        <v>1</v>
      </c>
      <c r="F1917" s="5">
        <f>VLOOKUP(C1917,[1]master_data!$A$2:$E$495,3,FALSE)</f>
        <v>90000</v>
      </c>
      <c r="G1917" s="5">
        <f>VLOOKUP(C1917,[1]master_data!$A$2:$E$495,4,FALSE)</f>
        <v>150000</v>
      </c>
      <c r="H1917" s="5">
        <f t="shared" si="93"/>
        <v>90000</v>
      </c>
      <c r="I1917" s="5">
        <f t="shared" si="94"/>
        <v>150000</v>
      </c>
      <c r="J1917" s="5">
        <f t="shared" si="95"/>
        <v>60000</v>
      </c>
      <c r="K1917" s="5" t="str">
        <f>VLOOKUP(C1917,[1]master_data!$A$2:$E$495,5,FALSE)</f>
        <v>Aksesoris</v>
      </c>
      <c r="L1917" s="5" t="s">
        <v>471</v>
      </c>
    </row>
    <row r="1918" spans="1:12" ht="12" customHeight="1" x14ac:dyDescent="0.25">
      <c r="A1918" s="6">
        <v>44718</v>
      </c>
      <c r="B1918" s="1">
        <v>2202645</v>
      </c>
      <c r="C1918" s="5" t="s">
        <v>391</v>
      </c>
      <c r="D1918" s="5" t="str">
        <f>VLOOKUP(C1918,[1]master_data!$A$2:$E$495,2,FALSE)</f>
        <v>CHANNA ANDRAO K</v>
      </c>
      <c r="E1918" s="5">
        <v>3</v>
      </c>
      <c r="F1918" s="5">
        <f>VLOOKUP(C1918,[1]master_data!$A$2:$E$495,3,FALSE)</f>
        <v>20000</v>
      </c>
      <c r="G1918" s="5">
        <f>VLOOKUP(C1918,[1]master_data!$A$2:$E$495,4,FALSE)</f>
        <v>50000</v>
      </c>
      <c r="H1918" s="5">
        <f t="shared" si="93"/>
        <v>60000</v>
      </c>
      <c r="I1918" s="5">
        <f t="shared" si="94"/>
        <v>150000</v>
      </c>
      <c r="J1918" s="5">
        <f t="shared" si="95"/>
        <v>90000</v>
      </c>
      <c r="K1918" s="5" t="str">
        <f>VLOOKUP(C1918,[1]master_data!$A$2:$E$495,5,FALSE)</f>
        <v>Ikan</v>
      </c>
      <c r="L1918" s="5" t="s">
        <v>471</v>
      </c>
    </row>
    <row r="1919" spans="1:12" ht="12" customHeight="1" x14ac:dyDescent="0.25">
      <c r="A1919" s="6">
        <v>44718</v>
      </c>
      <c r="B1919" s="1">
        <v>2202644</v>
      </c>
      <c r="C1919" s="5" t="s">
        <v>162</v>
      </c>
      <c r="D1919" s="5" t="str">
        <f>VLOOKUP(C1919,[1]master_data!$A$2:$E$495,2,FALSE)</f>
        <v>LED KANDILA PRO RED 100 CM</v>
      </c>
      <c r="E1919" s="5">
        <v>1</v>
      </c>
      <c r="F1919" s="5">
        <f>VLOOKUP(C1919,[1]master_data!$A$2:$E$495,3,FALSE)</f>
        <v>225000</v>
      </c>
      <c r="G1919" s="5">
        <f>VLOOKUP(C1919,[1]master_data!$A$2:$E$495,4,FALSE)</f>
        <v>270000</v>
      </c>
      <c r="H1919" s="5">
        <f t="shared" si="93"/>
        <v>225000</v>
      </c>
      <c r="I1919" s="5">
        <f t="shared" si="94"/>
        <v>270000</v>
      </c>
      <c r="J1919" s="5">
        <f t="shared" si="95"/>
        <v>45000</v>
      </c>
      <c r="K1919" s="5" t="str">
        <f>VLOOKUP(C1919,[1]master_data!$A$2:$E$495,5,FALSE)</f>
        <v>Aksesoris</v>
      </c>
      <c r="L1919" s="5" t="s">
        <v>471</v>
      </c>
    </row>
    <row r="1920" spans="1:12" ht="12" customHeight="1" x14ac:dyDescent="0.25">
      <c r="A1920" s="6">
        <v>44718</v>
      </c>
      <c r="B1920" s="1">
        <v>2202643</v>
      </c>
      <c r="C1920" s="5" t="s">
        <v>326</v>
      </c>
      <c r="D1920" s="5" t="str">
        <f>VLOOKUP(C1920,[1]master_data!$A$2:$E$495,2,FALSE)</f>
        <v>BLITS B</v>
      </c>
      <c r="E1920" s="5">
        <v>5</v>
      </c>
      <c r="F1920" s="5">
        <f>VLOOKUP(C1920,[1]master_data!$A$2:$E$495,3,FALSE)</f>
        <v>6500</v>
      </c>
      <c r="G1920" s="5">
        <f>VLOOKUP(C1920,[1]master_data!$A$2:$E$495,4,FALSE)</f>
        <v>10000</v>
      </c>
      <c r="H1920" s="5">
        <f t="shared" si="93"/>
        <v>32500</v>
      </c>
      <c r="I1920" s="5">
        <f t="shared" si="94"/>
        <v>50000</v>
      </c>
      <c r="J1920" s="5">
        <f t="shared" si="95"/>
        <v>17500</v>
      </c>
      <c r="K1920" s="5" t="str">
        <f>VLOOKUP(C1920,[1]master_data!$A$2:$E$495,5,FALSE)</f>
        <v>Aksesoris</v>
      </c>
      <c r="L1920" s="5" t="s">
        <v>471</v>
      </c>
    </row>
    <row r="1921" spans="1:12" ht="12" customHeight="1" x14ac:dyDescent="0.25">
      <c r="A1921" s="6">
        <v>44717</v>
      </c>
      <c r="B1921" s="1">
        <v>2202642</v>
      </c>
      <c r="C1921" s="5" t="s">
        <v>452</v>
      </c>
      <c r="D1921" s="5" t="str">
        <f>VLOOKUP(C1921,[1]master_data!$A$2:$E$495,2,FALSE)</f>
        <v>SNOW WHITE</v>
      </c>
      <c r="E1921" s="5">
        <v>30</v>
      </c>
      <c r="F1921" s="5">
        <f>VLOOKUP(C1921,[1]master_data!$A$2:$E$495,3,FALSE)</f>
        <v>1500</v>
      </c>
      <c r="G1921" s="5">
        <f>VLOOKUP(C1921,[1]master_data!$A$2:$E$495,4,FALSE)</f>
        <v>3000</v>
      </c>
      <c r="H1921" s="5">
        <f t="shared" si="93"/>
        <v>45000</v>
      </c>
      <c r="I1921" s="5">
        <f t="shared" si="94"/>
        <v>90000</v>
      </c>
      <c r="J1921" s="5">
        <f t="shared" si="95"/>
        <v>45000</v>
      </c>
      <c r="K1921" s="5" t="str">
        <f>VLOOKUP(C1921,[1]master_data!$A$2:$E$495,5,FALSE)</f>
        <v>Ikan</v>
      </c>
      <c r="L1921" s="5" t="s">
        <v>471</v>
      </c>
    </row>
    <row r="1922" spans="1:12" ht="12" customHeight="1" x14ac:dyDescent="0.25">
      <c r="A1922" s="6">
        <v>44717</v>
      </c>
      <c r="B1922" s="1">
        <v>2202641</v>
      </c>
      <c r="C1922" s="5" t="s">
        <v>448</v>
      </c>
      <c r="D1922" s="5" t="str">
        <f>VLOOKUP(C1922,[1]master_data!$A$2:$E$495,2,FALSE)</f>
        <v xml:space="preserve"> CHANNA RED BARITO K</v>
      </c>
      <c r="E1922" s="5">
        <v>5</v>
      </c>
      <c r="F1922" s="5">
        <f>VLOOKUP(C1922,[1]master_data!$A$2:$E$495,3,FALSE)</f>
        <v>45000</v>
      </c>
      <c r="G1922" s="5">
        <f>VLOOKUP(C1922,[1]master_data!$A$2:$E$495,4,FALSE)</f>
        <v>100000</v>
      </c>
      <c r="H1922" s="5">
        <f t="shared" si="93"/>
        <v>225000</v>
      </c>
      <c r="I1922" s="5">
        <f t="shared" si="94"/>
        <v>500000</v>
      </c>
      <c r="J1922" s="5">
        <f t="shared" si="95"/>
        <v>275000</v>
      </c>
      <c r="K1922" s="5" t="str">
        <f>VLOOKUP(C1922,[1]master_data!$A$2:$E$495,5,FALSE)</f>
        <v>Ikan</v>
      </c>
      <c r="L1922" s="5" t="s">
        <v>471</v>
      </c>
    </row>
    <row r="1923" spans="1:12" ht="12" customHeight="1" x14ac:dyDescent="0.25">
      <c r="A1923" s="6">
        <v>44717</v>
      </c>
      <c r="B1923" s="1">
        <v>2202640</v>
      </c>
      <c r="C1923" s="5" t="s">
        <v>129</v>
      </c>
      <c r="D1923" s="5" t="str">
        <f>VLOOKUP(C1923,[1]master_data!$A$2:$E$495,2,FALSE)</f>
        <v>LED YAMANO S400</v>
      </c>
      <c r="E1923" s="5">
        <v>5</v>
      </c>
      <c r="F1923" s="5">
        <f>VLOOKUP(C1923,[1]master_data!$A$2:$E$495,3,FALSE)</f>
        <v>50000</v>
      </c>
      <c r="G1923" s="5">
        <f>VLOOKUP(C1923,[1]master_data!$A$2:$E$495,4,FALSE)</f>
        <v>75000</v>
      </c>
      <c r="H1923" s="5">
        <f t="shared" si="93"/>
        <v>250000</v>
      </c>
      <c r="I1923" s="5">
        <f t="shared" si="94"/>
        <v>375000</v>
      </c>
      <c r="J1923" s="5">
        <f t="shared" si="95"/>
        <v>125000</v>
      </c>
      <c r="K1923" s="5" t="str">
        <f>VLOOKUP(C1923,[1]master_data!$A$2:$E$495,5,FALSE)</f>
        <v>Aksesoris</v>
      </c>
      <c r="L1923" s="5" t="s">
        <v>471</v>
      </c>
    </row>
    <row r="1924" spans="1:12" ht="12" customHeight="1" x14ac:dyDescent="0.25">
      <c r="A1924" s="6">
        <v>44717</v>
      </c>
      <c r="B1924" s="1">
        <v>2202639</v>
      </c>
      <c r="C1924" s="5" t="s">
        <v>308</v>
      </c>
      <c r="D1924" s="5" t="str">
        <f>VLOOKUP(C1924,[1]master_data!$A$2:$E$495,2,FALSE)</f>
        <v>SUPER BLUE</v>
      </c>
      <c r="E1924" s="5">
        <v>5</v>
      </c>
      <c r="F1924" s="5">
        <f>VLOOKUP(C1924,[1]master_data!$A$2:$E$495,3,FALSE)</f>
        <v>8000</v>
      </c>
      <c r="G1924" s="5">
        <f>VLOOKUP(C1924,[1]master_data!$A$2:$E$495,4,FALSE)</f>
        <v>12000</v>
      </c>
      <c r="H1924" s="5">
        <f t="shared" si="93"/>
        <v>40000</v>
      </c>
      <c r="I1924" s="5">
        <f t="shared" si="94"/>
        <v>60000</v>
      </c>
      <c r="J1924" s="5">
        <f t="shared" si="95"/>
        <v>20000</v>
      </c>
      <c r="K1924" s="5" t="str">
        <f>VLOOKUP(C1924,[1]master_data!$A$2:$E$495,5,FALSE)</f>
        <v>Aksesoris</v>
      </c>
      <c r="L1924" s="5" t="s">
        <v>471</v>
      </c>
    </row>
    <row r="1925" spans="1:12" ht="12" customHeight="1" x14ac:dyDescent="0.25">
      <c r="A1925" s="6">
        <v>44717</v>
      </c>
      <c r="B1925" s="1">
        <v>2202638</v>
      </c>
      <c r="C1925" s="5" t="s">
        <v>397</v>
      </c>
      <c r="D1925" s="5" t="str">
        <f>VLOOKUP(C1925,[1]master_data!$A$2:$E$495,2,FALSE)</f>
        <v>ALIGATOR</v>
      </c>
      <c r="E1925" s="5">
        <v>1</v>
      </c>
      <c r="F1925" s="5">
        <f>VLOOKUP(C1925,[1]master_data!$A$2:$E$495,3,FALSE)</f>
        <v>17000</v>
      </c>
      <c r="G1925" s="5">
        <f>VLOOKUP(C1925,[1]master_data!$A$2:$E$495,4,FALSE)</f>
        <v>35000</v>
      </c>
      <c r="H1925" s="5">
        <f t="shared" ref="H1925:H1988" si="96">E1925*F1925</f>
        <v>17000</v>
      </c>
      <c r="I1925" s="5">
        <f t="shared" ref="I1925:I1988" si="97">E1925*G1925</f>
        <v>35000</v>
      </c>
      <c r="J1925" s="5">
        <f t="shared" ref="J1925:J1988" si="98">I1925-H1925</f>
        <v>18000</v>
      </c>
      <c r="K1925" s="5" t="str">
        <f>VLOOKUP(C1925,[1]master_data!$A$2:$E$495,5,FALSE)</f>
        <v>Ikan</v>
      </c>
      <c r="L1925" s="5" t="s">
        <v>471</v>
      </c>
    </row>
    <row r="1926" spans="1:12" ht="12" customHeight="1" x14ac:dyDescent="0.25">
      <c r="A1926" s="6">
        <v>44717</v>
      </c>
      <c r="B1926" s="1">
        <v>2202637</v>
      </c>
      <c r="C1926" s="5" t="s">
        <v>393</v>
      </c>
      <c r="D1926" s="5" t="str">
        <f>VLOOKUP(C1926,[1]master_data!$A$2:$E$495,2,FALSE)</f>
        <v>CHANNA ANDRAO B</v>
      </c>
      <c r="E1926" s="5">
        <v>1</v>
      </c>
      <c r="F1926" s="5">
        <f>VLOOKUP(C1926,[1]master_data!$A$2:$E$495,3,FALSE)</f>
        <v>100000</v>
      </c>
      <c r="G1926" s="5">
        <f>VLOOKUP(C1926,[1]master_data!$A$2:$E$495,4,FALSE)</f>
        <v>200000</v>
      </c>
      <c r="H1926" s="5">
        <f t="shared" si="96"/>
        <v>100000</v>
      </c>
      <c r="I1926" s="5">
        <f t="shared" si="97"/>
        <v>200000</v>
      </c>
      <c r="J1926" s="5">
        <f t="shared" si="98"/>
        <v>100000</v>
      </c>
      <c r="K1926" s="5" t="str">
        <f>VLOOKUP(C1926,[1]master_data!$A$2:$E$495,5,FALSE)</f>
        <v>Ikan</v>
      </c>
      <c r="L1926" s="5" t="s">
        <v>471</v>
      </c>
    </row>
    <row r="1927" spans="1:12" ht="12" customHeight="1" x14ac:dyDescent="0.25">
      <c r="A1927" s="6">
        <v>44716</v>
      </c>
      <c r="B1927" s="1">
        <v>2202636</v>
      </c>
      <c r="C1927" s="5" t="s">
        <v>462</v>
      </c>
      <c r="D1927" s="5" t="str">
        <f>VLOOKUP(C1927,[1]master_data!$A$2:$E$495,2,FALSE)</f>
        <v>SEPAT ALBINO</v>
      </c>
      <c r="E1927" s="5">
        <v>30</v>
      </c>
      <c r="F1927" s="5">
        <f>VLOOKUP(C1927,[1]master_data!$A$2:$E$495,3,FALSE)</f>
        <v>2000</v>
      </c>
      <c r="G1927" s="5">
        <f>VLOOKUP(C1927,[1]master_data!$A$2:$E$495,4,FALSE)</f>
        <v>5000</v>
      </c>
      <c r="H1927" s="5">
        <f t="shared" si="96"/>
        <v>60000</v>
      </c>
      <c r="I1927" s="5">
        <f t="shared" si="97"/>
        <v>150000</v>
      </c>
      <c r="J1927" s="5">
        <f t="shared" si="98"/>
        <v>90000</v>
      </c>
      <c r="K1927" s="5" t="str">
        <f>VLOOKUP(C1927,[1]master_data!$A$2:$E$495,5,FALSE)</f>
        <v>Ikan</v>
      </c>
      <c r="L1927" s="5" t="s">
        <v>471</v>
      </c>
    </row>
    <row r="1928" spans="1:12" ht="12" customHeight="1" x14ac:dyDescent="0.25">
      <c r="A1928" s="6">
        <v>44716</v>
      </c>
      <c r="B1928" s="1">
        <v>2202635</v>
      </c>
      <c r="C1928" s="5" t="s">
        <v>462</v>
      </c>
      <c r="D1928" s="5" t="str">
        <f>VLOOKUP(C1928,[1]master_data!$A$2:$E$495,2,FALSE)</f>
        <v>SEPAT ALBINO</v>
      </c>
      <c r="E1928" s="5">
        <v>20</v>
      </c>
      <c r="F1928" s="5">
        <f>VLOOKUP(C1928,[1]master_data!$A$2:$E$495,3,FALSE)</f>
        <v>2000</v>
      </c>
      <c r="G1928" s="5">
        <f>VLOOKUP(C1928,[1]master_data!$A$2:$E$495,4,FALSE)</f>
        <v>5000</v>
      </c>
      <c r="H1928" s="5">
        <f t="shared" si="96"/>
        <v>40000</v>
      </c>
      <c r="I1928" s="5">
        <f t="shared" si="97"/>
        <v>100000</v>
      </c>
      <c r="J1928" s="5">
        <f t="shared" si="98"/>
        <v>60000</v>
      </c>
      <c r="K1928" s="5" t="str">
        <f>VLOOKUP(C1928,[1]master_data!$A$2:$E$495,5,FALSE)</f>
        <v>Ikan</v>
      </c>
      <c r="L1928" s="5" t="s">
        <v>471</v>
      </c>
    </row>
    <row r="1929" spans="1:12" ht="12" customHeight="1" x14ac:dyDescent="0.25">
      <c r="A1929" s="6">
        <v>44716</v>
      </c>
      <c r="B1929" s="1">
        <v>2202634</v>
      </c>
      <c r="C1929" s="5" t="s">
        <v>428</v>
      </c>
      <c r="D1929" s="5" t="str">
        <f>VLOOKUP(C1929,[1]master_data!$A$2:$E$495,2,FALSE)</f>
        <v>LOUHAN</v>
      </c>
      <c r="E1929" s="5">
        <v>2</v>
      </c>
      <c r="F1929" s="5">
        <f>VLOOKUP(C1929,[1]master_data!$A$2:$E$495,3,FALSE)</f>
        <v>85000</v>
      </c>
      <c r="G1929" s="5">
        <f>VLOOKUP(C1929,[1]master_data!$A$2:$E$495,4,FALSE)</f>
        <v>200000</v>
      </c>
      <c r="H1929" s="5">
        <f t="shared" si="96"/>
        <v>170000</v>
      </c>
      <c r="I1929" s="5">
        <f t="shared" si="97"/>
        <v>400000</v>
      </c>
      <c r="J1929" s="5">
        <f t="shared" si="98"/>
        <v>230000</v>
      </c>
      <c r="K1929" s="5" t="str">
        <f>VLOOKUP(C1929,[1]master_data!$A$2:$E$495,5,FALSE)</f>
        <v>Ikan</v>
      </c>
      <c r="L1929" s="5" t="s">
        <v>471</v>
      </c>
    </row>
    <row r="1930" spans="1:12" ht="12" customHeight="1" x14ac:dyDescent="0.25">
      <c r="A1930" s="6">
        <v>44716</v>
      </c>
      <c r="B1930" s="1">
        <v>2202633</v>
      </c>
      <c r="C1930" s="5" t="s">
        <v>452</v>
      </c>
      <c r="D1930" s="5" t="str">
        <f>VLOOKUP(C1930,[1]master_data!$A$2:$E$495,2,FALSE)</f>
        <v>SNOW WHITE</v>
      </c>
      <c r="E1930" s="5">
        <v>30</v>
      </c>
      <c r="F1930" s="5">
        <f>VLOOKUP(C1930,[1]master_data!$A$2:$E$495,3,FALSE)</f>
        <v>1500</v>
      </c>
      <c r="G1930" s="5">
        <f>VLOOKUP(C1930,[1]master_data!$A$2:$E$495,4,FALSE)</f>
        <v>3000</v>
      </c>
      <c r="H1930" s="5">
        <f t="shared" si="96"/>
        <v>45000</v>
      </c>
      <c r="I1930" s="5">
        <f t="shared" si="97"/>
        <v>90000</v>
      </c>
      <c r="J1930" s="5">
        <f t="shared" si="98"/>
        <v>45000</v>
      </c>
      <c r="K1930" s="5" t="str">
        <f>VLOOKUP(C1930,[1]master_data!$A$2:$E$495,5,FALSE)</f>
        <v>Ikan</v>
      </c>
      <c r="L1930" s="5" t="s">
        <v>471</v>
      </c>
    </row>
    <row r="1931" spans="1:12" ht="12" customHeight="1" x14ac:dyDescent="0.25">
      <c r="A1931" s="6">
        <v>44716</v>
      </c>
      <c r="B1931" s="1">
        <v>2202632</v>
      </c>
      <c r="C1931" s="5" t="s">
        <v>17</v>
      </c>
      <c r="D1931" s="5" t="str">
        <f>VLOOKUP(C1931,[1]master_data!$A$2:$E$495,2,FALSE)</f>
        <v>MESIN YANG WAVE MAKER 100</v>
      </c>
      <c r="E1931" s="5">
        <v>1</v>
      </c>
      <c r="F1931" s="5">
        <f>VLOOKUP(C1931,[1]master_data!$A$2:$E$495,3,FALSE)</f>
        <v>67500</v>
      </c>
      <c r="G1931" s="5">
        <f>VLOOKUP(C1931,[1]master_data!$A$2:$E$495,4,FALSE)</f>
        <v>85000</v>
      </c>
      <c r="H1931" s="5">
        <f t="shared" si="96"/>
        <v>67500</v>
      </c>
      <c r="I1931" s="5">
        <f t="shared" si="97"/>
        <v>85000</v>
      </c>
      <c r="J1931" s="5">
        <f t="shared" si="98"/>
        <v>17500</v>
      </c>
      <c r="K1931" s="5" t="str">
        <f>VLOOKUP(C1931,[1]master_data!$A$2:$E$495,5,FALSE)</f>
        <v>Aksesoris</v>
      </c>
      <c r="L1931" s="5" t="s">
        <v>471</v>
      </c>
    </row>
    <row r="1932" spans="1:12" ht="12" customHeight="1" x14ac:dyDescent="0.25">
      <c r="A1932" s="6">
        <v>44716</v>
      </c>
      <c r="B1932" s="1">
        <v>2202631</v>
      </c>
      <c r="C1932" s="5" t="s">
        <v>390</v>
      </c>
      <c r="D1932" s="5" t="str">
        <f>VLOOKUP(C1932,[1]master_data!$A$2:$E$495,2,FALSE)</f>
        <v>CHANNA ASIATICA K</v>
      </c>
      <c r="E1932" s="5">
        <v>1</v>
      </c>
      <c r="F1932" s="5">
        <f>VLOOKUP(C1932,[1]master_data!$A$2:$E$495,3,FALSE)</f>
        <v>10000</v>
      </c>
      <c r="G1932" s="5">
        <f>VLOOKUP(C1932,[1]master_data!$A$2:$E$495,4,FALSE)</f>
        <v>40000</v>
      </c>
      <c r="H1932" s="5">
        <f t="shared" si="96"/>
        <v>10000</v>
      </c>
      <c r="I1932" s="5">
        <f t="shared" si="97"/>
        <v>40000</v>
      </c>
      <c r="J1932" s="5">
        <f t="shared" si="98"/>
        <v>30000</v>
      </c>
      <c r="K1932" s="5" t="str">
        <f>VLOOKUP(C1932,[1]master_data!$A$2:$E$495,5,FALSE)</f>
        <v>Ikan</v>
      </c>
      <c r="L1932" s="5" t="s">
        <v>471</v>
      </c>
    </row>
    <row r="1933" spans="1:12" ht="12" customHeight="1" x14ac:dyDescent="0.25">
      <c r="A1933" s="6">
        <v>44716</v>
      </c>
      <c r="B1933" s="1">
        <v>2202630</v>
      </c>
      <c r="C1933" s="5" t="s">
        <v>246</v>
      </c>
      <c r="D1933" s="5" t="str">
        <f>VLOOKUP(C1933,[1]master_data!$A$2:$E$495,2,FALSE)</f>
        <v>BACTERIAL STATER</v>
      </c>
      <c r="E1933" s="5">
        <v>5</v>
      </c>
      <c r="F1933" s="5">
        <f>VLOOKUP(C1933,[1]master_data!$A$2:$E$495,3,FALSE)</f>
        <v>10000</v>
      </c>
      <c r="G1933" s="5">
        <f>VLOOKUP(C1933,[1]master_data!$A$2:$E$495,4,FALSE)</f>
        <v>15000</v>
      </c>
      <c r="H1933" s="5">
        <f t="shared" si="96"/>
        <v>50000</v>
      </c>
      <c r="I1933" s="5">
        <f t="shared" si="97"/>
        <v>75000</v>
      </c>
      <c r="J1933" s="5">
        <f t="shared" si="98"/>
        <v>25000</v>
      </c>
      <c r="K1933" s="5" t="str">
        <f>VLOOKUP(C1933,[1]master_data!$A$2:$E$495,5,FALSE)</f>
        <v>Aksesoris</v>
      </c>
      <c r="L1933" s="5" t="s">
        <v>471</v>
      </c>
    </row>
    <row r="1934" spans="1:12" ht="12" customHeight="1" x14ac:dyDescent="0.25">
      <c r="A1934" s="6">
        <v>44716</v>
      </c>
      <c r="B1934" s="1">
        <v>2202629</v>
      </c>
      <c r="C1934" s="5" t="s">
        <v>18</v>
      </c>
      <c r="D1934" s="5" t="str">
        <f>VLOOKUP(C1934,[1]master_data!$A$2:$E$495,2,FALSE)</f>
        <v>MESIN YANG WAVE MAKER 200</v>
      </c>
      <c r="E1934" s="5">
        <v>4</v>
      </c>
      <c r="F1934" s="5">
        <f>VLOOKUP(C1934,[1]master_data!$A$2:$E$495,3,FALSE)</f>
        <v>118000</v>
      </c>
      <c r="G1934" s="5">
        <f>VLOOKUP(C1934,[1]master_data!$A$2:$E$495,4,FALSE)</f>
        <v>150000</v>
      </c>
      <c r="H1934" s="5">
        <f t="shared" si="96"/>
        <v>472000</v>
      </c>
      <c r="I1934" s="5">
        <f t="shared" si="97"/>
        <v>600000</v>
      </c>
      <c r="J1934" s="5">
        <f t="shared" si="98"/>
        <v>128000</v>
      </c>
      <c r="K1934" s="5" t="str">
        <f>VLOOKUP(C1934,[1]master_data!$A$2:$E$495,5,FALSE)</f>
        <v>Aksesoris</v>
      </c>
      <c r="L1934" s="5" t="s">
        <v>471</v>
      </c>
    </row>
    <row r="1935" spans="1:12" ht="12" customHeight="1" x14ac:dyDescent="0.25">
      <c r="A1935" s="6">
        <v>44715</v>
      </c>
      <c r="B1935" s="1">
        <v>2202628</v>
      </c>
      <c r="C1935" s="5" t="s">
        <v>164</v>
      </c>
      <c r="D1935" s="5" t="str">
        <f>VLOOKUP(C1935,[1]master_data!$A$2:$E$495,2,FALSE)</f>
        <v>LED KANDILA VIBRANT 60 CM</v>
      </c>
      <c r="E1935" s="5">
        <v>2</v>
      </c>
      <c r="F1935" s="5">
        <f>VLOOKUP(C1935,[1]master_data!$A$2:$E$495,3,FALSE)</f>
        <v>109000</v>
      </c>
      <c r="G1935" s="5">
        <f>VLOOKUP(C1935,[1]master_data!$A$2:$E$495,4,FALSE)</f>
        <v>150000</v>
      </c>
      <c r="H1935" s="5">
        <f t="shared" si="96"/>
        <v>218000</v>
      </c>
      <c r="I1935" s="5">
        <f t="shared" si="97"/>
        <v>300000</v>
      </c>
      <c r="J1935" s="5">
        <f t="shared" si="98"/>
        <v>82000</v>
      </c>
      <c r="K1935" s="5" t="str">
        <f>VLOOKUP(C1935,[1]master_data!$A$2:$E$495,5,FALSE)</f>
        <v>Aksesoris</v>
      </c>
      <c r="L1935" s="5" t="s">
        <v>471</v>
      </c>
    </row>
    <row r="1936" spans="1:12" ht="12" customHeight="1" x14ac:dyDescent="0.25">
      <c r="A1936" s="6">
        <v>44715</v>
      </c>
      <c r="B1936" s="1">
        <v>2202627</v>
      </c>
      <c r="C1936" s="5" t="s">
        <v>304</v>
      </c>
      <c r="D1936" s="5" t="str">
        <f>VLOOKUP(C1936,[1]master_data!$A$2:$E$495,2,FALSE)</f>
        <v>PINSET KANDILA</v>
      </c>
      <c r="E1936" s="5">
        <v>1</v>
      </c>
      <c r="F1936" s="5">
        <f>VLOOKUP(C1936,[1]master_data!$A$2:$E$495,3,FALSE)</f>
        <v>18000</v>
      </c>
      <c r="G1936" s="5">
        <f>VLOOKUP(C1936,[1]master_data!$A$2:$E$495,4,FALSE)</f>
        <v>35000</v>
      </c>
      <c r="H1936" s="5">
        <f t="shared" si="96"/>
        <v>18000</v>
      </c>
      <c r="I1936" s="5">
        <f t="shared" si="97"/>
        <v>35000</v>
      </c>
      <c r="J1936" s="5">
        <f t="shared" si="98"/>
        <v>17000</v>
      </c>
      <c r="K1936" s="5" t="str">
        <f>VLOOKUP(C1936,[1]master_data!$A$2:$E$495,5,FALSE)</f>
        <v>Aksesoris</v>
      </c>
      <c r="L1936" s="5" t="s">
        <v>471</v>
      </c>
    </row>
    <row r="1937" spans="1:12" ht="12" customHeight="1" x14ac:dyDescent="0.25">
      <c r="A1937" s="6">
        <v>44715</v>
      </c>
      <c r="B1937" s="1">
        <v>2202626</v>
      </c>
      <c r="C1937" s="5" t="s">
        <v>340</v>
      </c>
      <c r="D1937" s="5" t="str">
        <f>VLOOKUP(C1937,[1]master_data!$A$2:$E$495,2,FALSE)</f>
        <v>JETMET K</v>
      </c>
      <c r="E1937" s="5">
        <v>2</v>
      </c>
      <c r="F1937" s="5">
        <f>VLOOKUP(C1937,[1]master_data!$A$2:$E$495,3,FALSE)</f>
        <v>17500</v>
      </c>
      <c r="G1937" s="5">
        <f>VLOOKUP(C1937,[1]master_data!$A$2:$E$495,4,FALSE)</f>
        <v>25000</v>
      </c>
      <c r="H1937" s="5">
        <f t="shared" si="96"/>
        <v>35000</v>
      </c>
      <c r="I1937" s="5">
        <f t="shared" si="97"/>
        <v>50000</v>
      </c>
      <c r="J1937" s="5">
        <f t="shared" si="98"/>
        <v>15000</v>
      </c>
      <c r="K1937" s="5" t="str">
        <f>VLOOKUP(C1937,[1]master_data!$A$2:$E$495,5,FALSE)</f>
        <v>Aksesoris</v>
      </c>
      <c r="L1937" s="5" t="s">
        <v>471</v>
      </c>
    </row>
    <row r="1938" spans="1:12" ht="12" customHeight="1" x14ac:dyDescent="0.25">
      <c r="A1938" s="6">
        <v>44715</v>
      </c>
      <c r="B1938" s="1">
        <v>2202625</v>
      </c>
      <c r="C1938" s="5" t="s">
        <v>419</v>
      </c>
      <c r="D1938" s="5" t="str">
        <f>VLOOKUP(C1938,[1]master_data!$A$2:$E$495,2,FALSE)</f>
        <v>KURA - KURA</v>
      </c>
      <c r="E1938" s="5">
        <v>2</v>
      </c>
      <c r="F1938" s="5">
        <f>VLOOKUP(C1938,[1]master_data!$A$2:$E$495,3,FALSE)</f>
        <v>25000</v>
      </c>
      <c r="G1938" s="5">
        <f>VLOOKUP(C1938,[1]master_data!$A$2:$E$495,4,FALSE)</f>
        <v>35000</v>
      </c>
      <c r="H1938" s="5">
        <f t="shared" si="96"/>
        <v>50000</v>
      </c>
      <c r="I1938" s="5">
        <f t="shared" si="97"/>
        <v>70000</v>
      </c>
      <c r="J1938" s="5">
        <f t="shared" si="98"/>
        <v>20000</v>
      </c>
      <c r="K1938" s="5" t="str">
        <f>VLOOKUP(C1938,[1]master_data!$A$2:$E$495,5,FALSE)</f>
        <v>Ikan</v>
      </c>
      <c r="L1938" s="5" t="s">
        <v>471</v>
      </c>
    </row>
    <row r="1939" spans="1:12" ht="12" customHeight="1" x14ac:dyDescent="0.25">
      <c r="A1939" s="6">
        <v>44715</v>
      </c>
      <c r="B1939" s="1">
        <v>2202624</v>
      </c>
      <c r="C1939" s="5" t="s">
        <v>449</v>
      </c>
      <c r="D1939" s="5" t="str">
        <f>VLOOKUP(C1939,[1]master_data!$A$2:$E$495,2,FALSE)</f>
        <v>CHANNA RED BARITO B</v>
      </c>
      <c r="E1939" s="5">
        <v>2</v>
      </c>
      <c r="F1939" s="5">
        <f>VLOOKUP(C1939,[1]master_data!$A$2:$E$495,3,FALSE)</f>
        <v>120000</v>
      </c>
      <c r="G1939" s="5">
        <f>VLOOKUP(C1939,[1]master_data!$A$2:$E$495,4,FALSE)</f>
        <v>200000</v>
      </c>
      <c r="H1939" s="5">
        <f t="shared" si="96"/>
        <v>240000</v>
      </c>
      <c r="I1939" s="5">
        <f t="shared" si="97"/>
        <v>400000</v>
      </c>
      <c r="J1939" s="5">
        <f t="shared" si="98"/>
        <v>160000</v>
      </c>
      <c r="K1939" s="5" t="str">
        <f>VLOOKUP(C1939,[1]master_data!$A$2:$E$495,5,FALSE)</f>
        <v>Ikan</v>
      </c>
      <c r="L1939" s="5" t="s">
        <v>471</v>
      </c>
    </row>
    <row r="1940" spans="1:12" ht="12" customHeight="1" x14ac:dyDescent="0.25">
      <c r="A1940" s="6">
        <v>44715</v>
      </c>
      <c r="B1940" s="1">
        <v>2202623</v>
      </c>
      <c r="C1940" s="5" t="s">
        <v>402</v>
      </c>
      <c r="D1940" s="5" t="str">
        <f>VLOOKUP(C1940,[1]master_data!$A$2:$E$495,2,FALSE)</f>
        <v>BLACK GHOST</v>
      </c>
      <c r="E1940" s="5">
        <v>30</v>
      </c>
      <c r="F1940" s="5">
        <f>VLOOKUP(C1940,[1]master_data!$A$2:$E$495,3,FALSE)</f>
        <v>4000</v>
      </c>
      <c r="G1940" s="5">
        <f>VLOOKUP(C1940,[1]master_data!$A$2:$E$495,4,FALSE)</f>
        <v>10000</v>
      </c>
      <c r="H1940" s="5">
        <f t="shared" si="96"/>
        <v>120000</v>
      </c>
      <c r="I1940" s="5">
        <f t="shared" si="97"/>
        <v>300000</v>
      </c>
      <c r="J1940" s="5">
        <f t="shared" si="98"/>
        <v>180000</v>
      </c>
      <c r="K1940" s="5" t="str">
        <f>VLOOKUP(C1940,[1]master_data!$A$2:$E$495,5,FALSE)</f>
        <v>Ikan</v>
      </c>
      <c r="L1940" s="5" t="s">
        <v>471</v>
      </c>
    </row>
    <row r="1941" spans="1:12" ht="12" customHeight="1" x14ac:dyDescent="0.25">
      <c r="A1941" s="6">
        <v>44715</v>
      </c>
      <c r="B1941" s="1">
        <v>2202622</v>
      </c>
      <c r="C1941" s="5" t="s">
        <v>220</v>
      </c>
      <c r="D1941" s="5" t="str">
        <f>VLOOKUP(C1941,[1]master_data!$A$2:$E$495,2,FALSE)</f>
        <v>HIRO COLOUR</v>
      </c>
      <c r="E1941" s="5">
        <v>5</v>
      </c>
      <c r="F1941" s="5">
        <f>VLOOKUP(C1941,[1]master_data!$A$2:$E$495,3,FALSE)</f>
        <v>72000</v>
      </c>
      <c r="G1941" s="5">
        <f>VLOOKUP(C1941,[1]master_data!$A$2:$E$495,4,FALSE)</f>
        <v>80000</v>
      </c>
      <c r="H1941" s="5">
        <f t="shared" si="96"/>
        <v>360000</v>
      </c>
      <c r="I1941" s="5">
        <f t="shared" si="97"/>
        <v>400000</v>
      </c>
      <c r="J1941" s="5">
        <f t="shared" si="98"/>
        <v>40000</v>
      </c>
      <c r="K1941" s="5" t="str">
        <f>VLOOKUP(C1941,[1]master_data!$A$2:$E$495,5,FALSE)</f>
        <v>Aksesoris</v>
      </c>
      <c r="L1941" s="5" t="s">
        <v>471</v>
      </c>
    </row>
    <row r="1942" spans="1:12" ht="12" customHeight="1" x14ac:dyDescent="0.25">
      <c r="A1942" s="6">
        <v>44715</v>
      </c>
      <c r="B1942" s="1">
        <v>2202621</v>
      </c>
      <c r="C1942" s="5" t="s">
        <v>451</v>
      </c>
      <c r="D1942" s="5" t="str">
        <f>VLOOKUP(C1942,[1]master_data!$A$2:$E$495,2,FALSE)</f>
        <v>SUMATRA GOLD FISH</v>
      </c>
      <c r="E1942" s="5">
        <v>4</v>
      </c>
      <c r="F1942" s="5">
        <f>VLOOKUP(C1942,[1]master_data!$A$2:$E$495,3,FALSE)</f>
        <v>2500</v>
      </c>
      <c r="G1942" s="5">
        <f>VLOOKUP(C1942,[1]master_data!$A$2:$E$495,4,FALSE)</f>
        <v>4000</v>
      </c>
      <c r="H1942" s="5">
        <f t="shared" si="96"/>
        <v>10000</v>
      </c>
      <c r="I1942" s="5">
        <f t="shared" si="97"/>
        <v>16000</v>
      </c>
      <c r="J1942" s="5">
        <f t="shared" si="98"/>
        <v>6000</v>
      </c>
      <c r="K1942" s="5" t="str">
        <f>VLOOKUP(C1942,[1]master_data!$A$2:$E$495,5,FALSE)</f>
        <v>Ikan</v>
      </c>
      <c r="L1942" s="5" t="s">
        <v>471</v>
      </c>
    </row>
    <row r="1943" spans="1:12" ht="12" customHeight="1" x14ac:dyDescent="0.25">
      <c r="A1943" s="6">
        <v>44715</v>
      </c>
      <c r="B1943" s="1">
        <v>2202620</v>
      </c>
      <c r="C1943" s="5" t="s">
        <v>310</v>
      </c>
      <c r="D1943" s="5" t="str">
        <f>VLOOKUP(C1943,[1]master_data!$A$2:$E$495,2,FALSE)</f>
        <v>SELANG FUSO</v>
      </c>
      <c r="E1943" s="5">
        <v>1</v>
      </c>
      <c r="F1943" s="5">
        <f>VLOOKUP(C1943,[1]master_data!$A$2:$E$495,3,FALSE)</f>
        <v>800</v>
      </c>
      <c r="G1943" s="5">
        <f>VLOOKUP(C1943,[1]master_data!$A$2:$E$495,4,FALSE)</f>
        <v>2000</v>
      </c>
      <c r="H1943" s="5">
        <f t="shared" si="96"/>
        <v>800</v>
      </c>
      <c r="I1943" s="5">
        <f t="shared" si="97"/>
        <v>2000</v>
      </c>
      <c r="J1943" s="5">
        <f t="shared" si="98"/>
        <v>1200</v>
      </c>
      <c r="K1943" s="5" t="str">
        <f>VLOOKUP(C1943,[1]master_data!$A$2:$E$495,5,FALSE)</f>
        <v>Aksesoris</v>
      </c>
      <c r="L1943" s="5" t="s">
        <v>471</v>
      </c>
    </row>
    <row r="1944" spans="1:12" ht="12" customHeight="1" x14ac:dyDescent="0.25">
      <c r="A1944" s="6">
        <v>44715</v>
      </c>
      <c r="B1944" s="1">
        <v>2202619</v>
      </c>
      <c r="C1944" s="5" t="s">
        <v>427</v>
      </c>
      <c r="D1944" s="5" t="str">
        <f>VLOOKUP(C1944,[1]master_data!$A$2:$E$495,2,FALSE)</f>
        <v>LEMON</v>
      </c>
      <c r="E1944" s="5">
        <v>20</v>
      </c>
      <c r="F1944" s="5">
        <f>VLOOKUP(C1944,[1]master_data!$A$2:$E$495,3,FALSE)</f>
        <v>1000</v>
      </c>
      <c r="G1944" s="5">
        <f>VLOOKUP(C1944,[1]master_data!$A$2:$E$495,4,FALSE)</f>
        <v>2000</v>
      </c>
      <c r="H1944" s="5">
        <f t="shared" si="96"/>
        <v>20000</v>
      </c>
      <c r="I1944" s="5">
        <f t="shared" si="97"/>
        <v>40000</v>
      </c>
      <c r="J1944" s="5">
        <f t="shared" si="98"/>
        <v>20000</v>
      </c>
      <c r="K1944" s="5" t="str">
        <f>VLOOKUP(C1944,[1]master_data!$A$2:$E$495,5,FALSE)</f>
        <v>Ikan</v>
      </c>
      <c r="L1944" s="5" t="s">
        <v>471</v>
      </c>
    </row>
    <row r="1945" spans="1:12" ht="12" customHeight="1" x14ac:dyDescent="0.25">
      <c r="A1945" s="6">
        <v>44714</v>
      </c>
      <c r="B1945" s="1">
        <v>2202618</v>
      </c>
      <c r="C1945" s="5" t="s">
        <v>456</v>
      </c>
      <c r="D1945" s="5" t="str">
        <f>VLOOKUP(C1945,[1]master_data!$A$2:$E$495,2,FALSE)</f>
        <v>TOMAN</v>
      </c>
      <c r="E1945" s="5">
        <v>5</v>
      </c>
      <c r="F1945" s="5">
        <f>VLOOKUP(C1945,[1]master_data!$A$2:$E$495,3,FALSE)</f>
        <v>10000</v>
      </c>
      <c r="G1945" s="5">
        <f>VLOOKUP(C1945,[1]master_data!$A$2:$E$495,4,FALSE)</f>
        <v>25000</v>
      </c>
      <c r="H1945" s="5">
        <f t="shared" si="96"/>
        <v>50000</v>
      </c>
      <c r="I1945" s="5">
        <f t="shared" si="97"/>
        <v>125000</v>
      </c>
      <c r="J1945" s="5">
        <f t="shared" si="98"/>
        <v>75000</v>
      </c>
      <c r="K1945" s="5" t="str">
        <f>VLOOKUP(C1945,[1]master_data!$A$2:$E$495,5,FALSE)</f>
        <v>Ikan</v>
      </c>
      <c r="L1945" s="5" t="s">
        <v>471</v>
      </c>
    </row>
    <row r="1946" spans="1:12" ht="12" customHeight="1" x14ac:dyDescent="0.25">
      <c r="A1946" s="6">
        <v>44714</v>
      </c>
      <c r="B1946" s="1">
        <v>2202617</v>
      </c>
      <c r="C1946" s="5" t="s">
        <v>363</v>
      </c>
      <c r="D1946" s="5" t="str">
        <f>VLOOKUP(C1946,[1]master_data!$A$2:$E$495,2,FALSE)</f>
        <v>AKUARIUM 50 ROBOT</v>
      </c>
      <c r="E1946" s="5">
        <v>2</v>
      </c>
      <c r="F1946" s="5">
        <f>VLOOKUP(C1946,[1]master_data!$A$2:$E$495,3,FALSE)</f>
        <v>115000</v>
      </c>
      <c r="G1946" s="5">
        <f>VLOOKUP(C1946,[1]master_data!$A$2:$E$495,4,FALSE)</f>
        <v>165000</v>
      </c>
      <c r="H1946" s="5">
        <f t="shared" si="96"/>
        <v>230000</v>
      </c>
      <c r="I1946" s="5">
        <f t="shared" si="97"/>
        <v>330000</v>
      </c>
      <c r="J1946" s="5">
        <f t="shared" si="98"/>
        <v>100000</v>
      </c>
      <c r="K1946" s="5" t="str">
        <f>VLOOKUP(C1946,[1]master_data!$A$2:$E$495,5,FALSE)</f>
        <v>Aksesoris</v>
      </c>
      <c r="L1946" s="5" t="s">
        <v>471</v>
      </c>
    </row>
    <row r="1947" spans="1:12" ht="12" customHeight="1" x14ac:dyDescent="0.25">
      <c r="A1947" s="6">
        <v>44714</v>
      </c>
      <c r="B1947" s="1">
        <v>2202616</v>
      </c>
      <c r="C1947" s="5" t="s">
        <v>304</v>
      </c>
      <c r="D1947" s="5" t="str">
        <f>VLOOKUP(C1947,[1]master_data!$A$2:$E$495,2,FALSE)</f>
        <v>PINSET KANDILA</v>
      </c>
      <c r="E1947" s="5">
        <v>2</v>
      </c>
      <c r="F1947" s="5">
        <f>VLOOKUP(C1947,[1]master_data!$A$2:$E$495,3,FALSE)</f>
        <v>18000</v>
      </c>
      <c r="G1947" s="5">
        <f>VLOOKUP(C1947,[1]master_data!$A$2:$E$495,4,FALSE)</f>
        <v>35000</v>
      </c>
      <c r="H1947" s="5">
        <f t="shared" si="96"/>
        <v>36000</v>
      </c>
      <c r="I1947" s="5">
        <f t="shared" si="97"/>
        <v>70000</v>
      </c>
      <c r="J1947" s="5">
        <f t="shared" si="98"/>
        <v>34000</v>
      </c>
      <c r="K1947" s="5" t="str">
        <f>VLOOKUP(C1947,[1]master_data!$A$2:$E$495,5,FALSE)</f>
        <v>Aksesoris</v>
      </c>
      <c r="L1947" s="5" t="s">
        <v>471</v>
      </c>
    </row>
    <row r="1948" spans="1:12" ht="12" customHeight="1" x14ac:dyDescent="0.25">
      <c r="A1948" s="6">
        <v>44714</v>
      </c>
      <c r="B1948" s="1">
        <v>2202615</v>
      </c>
      <c r="C1948" s="5" t="s">
        <v>322</v>
      </c>
      <c r="D1948" s="5" t="str">
        <f>VLOOKUP(C1948,[1]master_data!$A$2:$E$495,2,FALSE)</f>
        <v>AIRSTONE PANJANG 10</v>
      </c>
      <c r="E1948" s="5">
        <v>10</v>
      </c>
      <c r="F1948" s="5">
        <f>VLOOKUP(C1948,[1]master_data!$A$2:$E$495,3,FALSE)</f>
        <v>12000</v>
      </c>
      <c r="G1948" s="5">
        <f>VLOOKUP(C1948,[1]master_data!$A$2:$E$495,4,FALSE)</f>
        <v>20000</v>
      </c>
      <c r="H1948" s="5">
        <f t="shared" si="96"/>
        <v>120000</v>
      </c>
      <c r="I1948" s="5">
        <f t="shared" si="97"/>
        <v>200000</v>
      </c>
      <c r="J1948" s="5">
        <f t="shared" si="98"/>
        <v>80000</v>
      </c>
      <c r="K1948" s="5" t="str">
        <f>VLOOKUP(C1948,[1]master_data!$A$2:$E$495,5,FALSE)</f>
        <v>Aksesoris</v>
      </c>
      <c r="L1948" s="5" t="s">
        <v>471</v>
      </c>
    </row>
    <row r="1949" spans="1:12" ht="12" customHeight="1" x14ac:dyDescent="0.25">
      <c r="A1949" s="6">
        <v>44714</v>
      </c>
      <c r="B1949" s="1">
        <v>2202614</v>
      </c>
      <c r="C1949" s="5" t="s">
        <v>80</v>
      </c>
      <c r="D1949" s="5" t="str">
        <f>VLOOKUP(C1949,[1]master_data!$A$2:$E$495,2,FALSE)</f>
        <v>MESIN KANDILA WAVE MAKER 3000</v>
      </c>
      <c r="E1949" s="5">
        <v>1</v>
      </c>
      <c r="F1949" s="5">
        <f>VLOOKUP(C1949,[1]master_data!$A$2:$E$495,3,FALSE)</f>
        <v>36500</v>
      </c>
      <c r="G1949" s="5">
        <f>VLOOKUP(C1949,[1]master_data!$A$2:$E$495,4,FALSE)</f>
        <v>65000</v>
      </c>
      <c r="H1949" s="5">
        <f t="shared" si="96"/>
        <v>36500</v>
      </c>
      <c r="I1949" s="5">
        <f t="shared" si="97"/>
        <v>65000</v>
      </c>
      <c r="J1949" s="5">
        <f t="shared" si="98"/>
        <v>28500</v>
      </c>
      <c r="K1949" s="5" t="str">
        <f>VLOOKUP(C1949,[1]master_data!$A$2:$E$495,5,FALSE)</f>
        <v>Aksesoris</v>
      </c>
      <c r="L1949" s="5" t="s">
        <v>471</v>
      </c>
    </row>
    <row r="1950" spans="1:12" ht="12" customHeight="1" x14ac:dyDescent="0.25">
      <c r="A1950" s="6">
        <v>44714</v>
      </c>
      <c r="B1950" s="1">
        <v>2202613</v>
      </c>
      <c r="C1950" s="5" t="s">
        <v>279</v>
      </c>
      <c r="D1950" s="5" t="str">
        <f>VLOOKUP(C1950,[1]master_data!$A$2:$E$495,2,FALSE)</f>
        <v>KRAN 1 W</v>
      </c>
      <c r="E1950" s="5">
        <v>30</v>
      </c>
      <c r="F1950" s="5">
        <f>VLOOKUP(C1950,[1]master_data!$A$2:$E$495,3,FALSE)</f>
        <v>1200</v>
      </c>
      <c r="G1950" s="5">
        <f>VLOOKUP(C1950,[1]master_data!$A$2:$E$495,4,FALSE)</f>
        <v>3000</v>
      </c>
      <c r="H1950" s="5">
        <f t="shared" si="96"/>
        <v>36000</v>
      </c>
      <c r="I1950" s="5">
        <f t="shared" si="97"/>
        <v>90000</v>
      </c>
      <c r="J1950" s="5">
        <f t="shared" si="98"/>
        <v>54000</v>
      </c>
      <c r="K1950" s="5" t="str">
        <f>VLOOKUP(C1950,[1]master_data!$A$2:$E$495,5,FALSE)</f>
        <v>Aksesoris</v>
      </c>
      <c r="L1950" s="5" t="s">
        <v>471</v>
      </c>
    </row>
    <row r="1951" spans="1:12" ht="12" customHeight="1" x14ac:dyDescent="0.25">
      <c r="A1951" s="6">
        <v>44714</v>
      </c>
      <c r="B1951" s="1">
        <v>2202612</v>
      </c>
      <c r="C1951" s="5" t="s">
        <v>454</v>
      </c>
      <c r="D1951" s="5" t="str">
        <f>VLOOKUP(C1951,[1]master_data!$A$2:$E$495,2,FALSE)</f>
        <v>SYNODONTI B</v>
      </c>
      <c r="E1951" s="5">
        <v>17</v>
      </c>
      <c r="F1951" s="5">
        <f>VLOOKUP(C1951,[1]master_data!$A$2:$E$495,3,FALSE)</f>
        <v>4000</v>
      </c>
      <c r="G1951" s="5">
        <f>VLOOKUP(C1951,[1]master_data!$A$2:$E$495,4,FALSE)</f>
        <v>10000</v>
      </c>
      <c r="H1951" s="5">
        <f t="shared" si="96"/>
        <v>68000</v>
      </c>
      <c r="I1951" s="5">
        <f t="shared" si="97"/>
        <v>170000</v>
      </c>
      <c r="J1951" s="5">
        <f t="shared" si="98"/>
        <v>102000</v>
      </c>
      <c r="K1951" s="5" t="str">
        <f>VLOOKUP(C1951,[1]master_data!$A$2:$E$495,5,FALSE)</f>
        <v>Ikan</v>
      </c>
      <c r="L1951" s="5" t="s">
        <v>471</v>
      </c>
    </row>
    <row r="1952" spans="1:12" ht="12" customHeight="1" x14ac:dyDescent="0.25">
      <c r="A1952" s="6">
        <v>44714</v>
      </c>
      <c r="B1952" s="1">
        <v>2202611</v>
      </c>
      <c r="C1952" s="5" t="s">
        <v>463</v>
      </c>
      <c r="D1952" s="5" t="str">
        <f>VLOOKUP(C1952,[1]master_data!$A$2:$E$495,2,FALSE)</f>
        <v>CHANNA STEWARTI</v>
      </c>
      <c r="E1952" s="5">
        <v>2</v>
      </c>
      <c r="F1952" s="5">
        <f>VLOOKUP(C1952,[1]master_data!$A$2:$E$495,3,FALSE)</f>
        <v>15000</v>
      </c>
      <c r="G1952" s="5">
        <f>VLOOKUP(C1952,[1]master_data!$A$2:$E$495,4,FALSE)</f>
        <v>40000</v>
      </c>
      <c r="H1952" s="5">
        <f t="shared" si="96"/>
        <v>30000</v>
      </c>
      <c r="I1952" s="5">
        <f t="shared" si="97"/>
        <v>80000</v>
      </c>
      <c r="J1952" s="5">
        <f t="shared" si="98"/>
        <v>50000</v>
      </c>
      <c r="K1952" s="5" t="str">
        <f>VLOOKUP(C1952,[1]master_data!$A$2:$E$495,5,FALSE)</f>
        <v>Ikan</v>
      </c>
      <c r="L1952" s="5" t="s">
        <v>471</v>
      </c>
    </row>
    <row r="1953" spans="1:12" ht="12" customHeight="1" x14ac:dyDescent="0.25">
      <c r="A1953" s="6">
        <v>44714</v>
      </c>
      <c r="B1953" s="1">
        <v>2202610</v>
      </c>
      <c r="C1953" s="5" t="s">
        <v>438</v>
      </c>
      <c r="D1953" s="5" t="str">
        <f>VLOOKUP(C1953,[1]master_data!$A$2:$E$495,2,FALSE)</f>
        <v>NENTINEN</v>
      </c>
      <c r="E1953" s="5">
        <v>15</v>
      </c>
      <c r="F1953" s="5">
        <f>VLOOKUP(C1953,[1]master_data!$A$2:$E$495,3,FALSE)</f>
        <v>1000</v>
      </c>
      <c r="G1953" s="5">
        <f>VLOOKUP(C1953,[1]master_data!$A$2:$E$495,4,FALSE)</f>
        <v>2500</v>
      </c>
      <c r="H1953" s="5">
        <f t="shared" si="96"/>
        <v>15000</v>
      </c>
      <c r="I1953" s="5">
        <f t="shared" si="97"/>
        <v>37500</v>
      </c>
      <c r="J1953" s="5">
        <f t="shared" si="98"/>
        <v>22500</v>
      </c>
      <c r="K1953" s="5" t="str">
        <f>VLOOKUP(C1953,[1]master_data!$A$2:$E$495,5,FALSE)</f>
        <v>Ikan</v>
      </c>
      <c r="L1953" s="5" t="s">
        <v>471</v>
      </c>
    </row>
    <row r="1954" spans="1:12" ht="12" customHeight="1" x14ac:dyDescent="0.25">
      <c r="A1954" s="6">
        <v>44713</v>
      </c>
      <c r="B1954" s="1">
        <v>2202609</v>
      </c>
      <c r="C1954" s="5" t="s">
        <v>453</v>
      </c>
      <c r="D1954" s="5" t="str">
        <f>VLOOKUP(C1954,[1]master_data!$A$2:$E$495,2,FALSE)</f>
        <v>SYNODONTIS K</v>
      </c>
      <c r="E1954" s="5">
        <v>15</v>
      </c>
      <c r="F1954" s="5">
        <f>VLOOKUP(C1954,[1]master_data!$A$2:$E$495,3,FALSE)</f>
        <v>1500</v>
      </c>
      <c r="G1954" s="5">
        <f>VLOOKUP(C1954,[1]master_data!$A$2:$E$495,4,FALSE)</f>
        <v>5000</v>
      </c>
      <c r="H1954" s="5">
        <f t="shared" si="96"/>
        <v>22500</v>
      </c>
      <c r="I1954" s="5">
        <f t="shared" si="97"/>
        <v>75000</v>
      </c>
      <c r="J1954" s="5">
        <f t="shared" si="98"/>
        <v>52500</v>
      </c>
      <c r="K1954" s="5" t="str">
        <f>VLOOKUP(C1954,[1]master_data!$A$2:$E$495,5,FALSE)</f>
        <v>Ikan</v>
      </c>
      <c r="L1954" s="5" t="s">
        <v>471</v>
      </c>
    </row>
    <row r="1955" spans="1:12" ht="12" customHeight="1" x14ac:dyDescent="0.25">
      <c r="A1955" s="6">
        <v>44713</v>
      </c>
      <c r="B1955" s="1">
        <v>2202608</v>
      </c>
      <c r="C1955" s="5" t="s">
        <v>17</v>
      </c>
      <c r="D1955" s="5" t="str">
        <f>VLOOKUP(C1955,[1]master_data!$A$2:$E$495,2,FALSE)</f>
        <v>MESIN YANG WAVE MAKER 100</v>
      </c>
      <c r="E1955" s="5">
        <v>10</v>
      </c>
      <c r="F1955" s="5">
        <f>VLOOKUP(C1955,[1]master_data!$A$2:$E$495,3,FALSE)</f>
        <v>67500</v>
      </c>
      <c r="G1955" s="5">
        <f>VLOOKUP(C1955,[1]master_data!$A$2:$E$495,4,FALSE)</f>
        <v>85000</v>
      </c>
      <c r="H1955" s="5">
        <f t="shared" si="96"/>
        <v>675000</v>
      </c>
      <c r="I1955" s="5">
        <f t="shared" si="97"/>
        <v>850000</v>
      </c>
      <c r="J1955" s="5">
        <f t="shared" si="98"/>
        <v>175000</v>
      </c>
      <c r="K1955" s="5" t="str">
        <f>VLOOKUP(C1955,[1]master_data!$A$2:$E$495,5,FALSE)</f>
        <v>Aksesoris</v>
      </c>
      <c r="L1955" s="5" t="s">
        <v>471</v>
      </c>
    </row>
    <row r="1956" spans="1:12" ht="12" customHeight="1" x14ac:dyDescent="0.25">
      <c r="A1956" s="6">
        <v>44713</v>
      </c>
      <c r="B1956" s="1">
        <v>2202607</v>
      </c>
      <c r="C1956" s="5" t="s">
        <v>433</v>
      </c>
      <c r="D1956" s="5" t="str">
        <f>VLOOKUP(C1956,[1]master_data!$A$2:$E$495,2,FALSE)</f>
        <v>MARU B</v>
      </c>
      <c r="E1956" s="5">
        <v>2</v>
      </c>
      <c r="F1956" s="5">
        <f>VLOOKUP(C1956,[1]master_data!$A$2:$E$495,3,FALSE)</f>
        <v>90000</v>
      </c>
      <c r="G1956" s="5">
        <f>VLOOKUP(C1956,[1]master_data!$A$2:$E$495,4,FALSE)</f>
        <v>150000</v>
      </c>
      <c r="H1956" s="5">
        <f t="shared" si="96"/>
        <v>180000</v>
      </c>
      <c r="I1956" s="5">
        <f t="shared" si="97"/>
        <v>300000</v>
      </c>
      <c r="J1956" s="5">
        <f t="shared" si="98"/>
        <v>120000</v>
      </c>
      <c r="K1956" s="5" t="str">
        <f>VLOOKUP(C1956,[1]master_data!$A$2:$E$495,5,FALSE)</f>
        <v>Ikan</v>
      </c>
      <c r="L1956" s="5" t="s">
        <v>471</v>
      </c>
    </row>
    <row r="1957" spans="1:12" ht="12" customHeight="1" x14ac:dyDescent="0.25">
      <c r="A1957" s="6">
        <v>44713</v>
      </c>
      <c r="B1957" s="1">
        <v>2202606</v>
      </c>
      <c r="C1957" s="5" t="s">
        <v>216</v>
      </c>
      <c r="D1957" s="5" t="str">
        <f>VLOOKUP(C1957,[1]master_data!$A$2:$E$495,2,FALSE)</f>
        <v>HOKKY LOUHAN COLOUR</v>
      </c>
      <c r="E1957" s="5">
        <v>5</v>
      </c>
      <c r="F1957" s="5">
        <f>VLOOKUP(C1957,[1]master_data!$A$2:$E$495,3,FALSE)</f>
        <v>18000</v>
      </c>
      <c r="G1957" s="5">
        <f>VLOOKUP(C1957,[1]master_data!$A$2:$E$495,4,FALSE)</f>
        <v>25000</v>
      </c>
      <c r="H1957" s="5">
        <f t="shared" si="96"/>
        <v>90000</v>
      </c>
      <c r="I1957" s="5">
        <f t="shared" si="97"/>
        <v>125000</v>
      </c>
      <c r="J1957" s="5">
        <f t="shared" si="98"/>
        <v>35000</v>
      </c>
      <c r="K1957" s="5" t="str">
        <f>VLOOKUP(C1957,[1]master_data!$A$2:$E$495,5,FALSE)</f>
        <v>Aksesoris</v>
      </c>
      <c r="L1957" s="5" t="s">
        <v>471</v>
      </c>
    </row>
    <row r="1958" spans="1:12" ht="12" customHeight="1" x14ac:dyDescent="0.25">
      <c r="A1958" s="6">
        <v>44713</v>
      </c>
      <c r="B1958" s="1">
        <v>2202605</v>
      </c>
      <c r="C1958" s="5" t="s">
        <v>292</v>
      </c>
      <c r="D1958" s="5" t="str">
        <f>VLOOKUP(C1958,[1]master_data!$A$2:$E$495,2,FALSE)</f>
        <v>MAINAN KERANG</v>
      </c>
      <c r="E1958" s="5">
        <v>1</v>
      </c>
      <c r="F1958" s="5">
        <f>VLOOKUP(C1958,[1]master_data!$A$2:$E$495,3,FALSE)</f>
        <v>15000</v>
      </c>
      <c r="G1958" s="5">
        <f>VLOOKUP(C1958,[1]master_data!$A$2:$E$495,4,FALSE)</f>
        <v>25000</v>
      </c>
      <c r="H1958" s="5">
        <f t="shared" si="96"/>
        <v>15000</v>
      </c>
      <c r="I1958" s="5">
        <f t="shared" si="97"/>
        <v>25000</v>
      </c>
      <c r="J1958" s="5">
        <f t="shared" si="98"/>
        <v>10000</v>
      </c>
      <c r="K1958" s="5" t="str">
        <f>VLOOKUP(C1958,[1]master_data!$A$2:$E$495,5,FALSE)</f>
        <v>Aksesoris</v>
      </c>
      <c r="L1958" s="5" t="s">
        <v>471</v>
      </c>
    </row>
    <row r="1959" spans="1:12" ht="12" customHeight="1" x14ac:dyDescent="0.25">
      <c r="A1959" s="6">
        <v>44713</v>
      </c>
      <c r="B1959" s="1">
        <v>2202604</v>
      </c>
      <c r="C1959" s="5" t="s">
        <v>27</v>
      </c>
      <c r="D1959" s="5" t="str">
        <f>VLOOKUP(C1959,[1]master_data!$A$2:$E$495,2,FALSE)</f>
        <v>MESIN ROSTON 106</v>
      </c>
      <c r="E1959" s="5">
        <v>1</v>
      </c>
      <c r="F1959" s="5">
        <f>VLOOKUP(C1959,[1]master_data!$A$2:$E$495,3,FALSE)</f>
        <v>100000</v>
      </c>
      <c r="G1959" s="5">
        <f>VLOOKUP(C1959,[1]master_data!$A$2:$E$495,4,FALSE)</f>
        <v>150000</v>
      </c>
      <c r="H1959" s="5">
        <f t="shared" si="96"/>
        <v>100000</v>
      </c>
      <c r="I1959" s="5">
        <f t="shared" si="97"/>
        <v>150000</v>
      </c>
      <c r="J1959" s="5">
        <f t="shared" si="98"/>
        <v>50000</v>
      </c>
      <c r="K1959" s="5" t="str">
        <f>VLOOKUP(C1959,[1]master_data!$A$2:$E$495,5,FALSE)</f>
        <v>Aksesoris</v>
      </c>
      <c r="L1959" s="5" t="s">
        <v>471</v>
      </c>
    </row>
    <row r="1960" spans="1:12" ht="12" customHeight="1" x14ac:dyDescent="0.25">
      <c r="A1960" s="6">
        <v>44713</v>
      </c>
      <c r="B1960" s="1">
        <v>2202603</v>
      </c>
      <c r="C1960" s="5" t="s">
        <v>416</v>
      </c>
      <c r="D1960" s="5" t="str">
        <f>VLOOKUP(C1960,[1]master_data!$A$2:$E$495,2,FALSE)</f>
        <v>KOI K</v>
      </c>
      <c r="E1960" s="5">
        <v>10</v>
      </c>
      <c r="F1960" s="5">
        <f>VLOOKUP(C1960,[1]master_data!$A$2:$E$495,3,FALSE)</f>
        <v>2500</v>
      </c>
      <c r="G1960" s="5">
        <f>VLOOKUP(C1960,[1]master_data!$A$2:$E$495,4,FALSE)</f>
        <v>10000</v>
      </c>
      <c r="H1960" s="5">
        <f t="shared" si="96"/>
        <v>25000</v>
      </c>
      <c r="I1960" s="5">
        <f t="shared" si="97"/>
        <v>100000</v>
      </c>
      <c r="J1960" s="5">
        <f t="shared" si="98"/>
        <v>75000</v>
      </c>
      <c r="K1960" s="5" t="str">
        <f>VLOOKUP(C1960,[1]master_data!$A$2:$E$495,5,FALSE)</f>
        <v>Ikan</v>
      </c>
      <c r="L1960" s="5" t="s">
        <v>471</v>
      </c>
    </row>
    <row r="1961" spans="1:12" ht="12" customHeight="1" x14ac:dyDescent="0.25">
      <c r="A1961" s="6">
        <v>44713</v>
      </c>
      <c r="B1961" s="1">
        <v>2202602</v>
      </c>
      <c r="C1961" s="5" t="s">
        <v>421</v>
      </c>
      <c r="D1961" s="5" t="str">
        <f>VLOOKUP(C1961,[1]master_data!$A$2:$E$495,2,FALSE)</f>
        <v>KOMET PAKAN</v>
      </c>
      <c r="E1961" s="5">
        <v>30</v>
      </c>
      <c r="F1961" s="5">
        <f>VLOOKUP(C1961,[1]master_data!$A$2:$E$495,3,FALSE)</f>
        <v>300</v>
      </c>
      <c r="G1961" s="5">
        <f>VLOOKUP(C1961,[1]master_data!$A$2:$E$495,4,FALSE)</f>
        <v>1000</v>
      </c>
      <c r="H1961" s="5">
        <f t="shared" si="96"/>
        <v>9000</v>
      </c>
      <c r="I1961" s="5">
        <f t="shared" si="97"/>
        <v>30000</v>
      </c>
      <c r="J1961" s="5">
        <f t="shared" si="98"/>
        <v>21000</v>
      </c>
      <c r="K1961" s="5" t="str">
        <f>VLOOKUP(C1961,[1]master_data!$A$2:$E$495,5,FALSE)</f>
        <v>Ikan</v>
      </c>
      <c r="L1961" s="5" t="s">
        <v>471</v>
      </c>
    </row>
    <row r="1962" spans="1:12" ht="12" customHeight="1" x14ac:dyDescent="0.25">
      <c r="A1962" s="6">
        <v>44712</v>
      </c>
      <c r="B1962" s="1">
        <v>2202601</v>
      </c>
      <c r="C1962" s="5" t="s">
        <v>412</v>
      </c>
      <c r="D1962" s="5" t="str">
        <f>VLOOKUP(C1962,[1]master_data!$A$2:$E$495,2,FALSE)</f>
        <v>HIU TAWAR</v>
      </c>
      <c r="E1962" s="5">
        <v>2</v>
      </c>
      <c r="F1962" s="5">
        <f>VLOOKUP(C1962,[1]master_data!$A$2:$E$495,3,FALSE)</f>
        <v>600</v>
      </c>
      <c r="G1962" s="5">
        <f>VLOOKUP(C1962,[1]master_data!$A$2:$E$495,4,FALSE)</f>
        <v>2000</v>
      </c>
      <c r="H1962" s="5">
        <f t="shared" si="96"/>
        <v>1200</v>
      </c>
      <c r="I1962" s="5">
        <f t="shared" si="97"/>
        <v>4000</v>
      </c>
      <c r="J1962" s="5">
        <f t="shared" si="98"/>
        <v>2800</v>
      </c>
      <c r="K1962" s="5" t="str">
        <f>VLOOKUP(C1962,[1]master_data!$A$2:$E$495,5,FALSE)</f>
        <v>Ikan</v>
      </c>
      <c r="L1962" s="5" t="s">
        <v>471</v>
      </c>
    </row>
    <row r="1963" spans="1:12" ht="12" customHeight="1" x14ac:dyDescent="0.25">
      <c r="A1963" s="6">
        <v>44712</v>
      </c>
      <c r="B1963" s="1">
        <v>2202600</v>
      </c>
      <c r="C1963" s="5" t="s">
        <v>208</v>
      </c>
      <c r="D1963" s="5" t="str">
        <f>VLOOKUP(C1963,[1]master_data!$A$2:$E$495,2,FALSE)</f>
        <v>TOP VIT</v>
      </c>
      <c r="E1963" s="5">
        <v>1</v>
      </c>
      <c r="F1963" s="5">
        <f>VLOOKUP(C1963,[1]master_data!$A$2:$E$495,3,FALSE)</f>
        <v>4000</v>
      </c>
      <c r="G1963" s="5">
        <f>VLOOKUP(C1963,[1]master_data!$A$2:$E$495,4,FALSE)</f>
        <v>7000</v>
      </c>
      <c r="H1963" s="5">
        <f t="shared" si="96"/>
        <v>4000</v>
      </c>
      <c r="I1963" s="5">
        <f t="shared" si="97"/>
        <v>7000</v>
      </c>
      <c r="J1963" s="5">
        <f t="shared" si="98"/>
        <v>3000</v>
      </c>
      <c r="K1963" s="5" t="str">
        <f>VLOOKUP(C1963,[1]master_data!$A$2:$E$495,5,FALSE)</f>
        <v>Aksesoris</v>
      </c>
      <c r="L1963" s="5" t="s">
        <v>471</v>
      </c>
    </row>
    <row r="1964" spans="1:12" ht="12" customHeight="1" x14ac:dyDescent="0.25">
      <c r="A1964" s="6">
        <v>44712</v>
      </c>
      <c r="B1964" s="1">
        <v>2202599</v>
      </c>
      <c r="C1964" s="5" t="s">
        <v>112</v>
      </c>
      <c r="D1964" s="5" t="str">
        <f>VLOOKUP(C1964,[1]master_data!$A$2:$E$495,2,FALSE)</f>
        <v>LED ROSTON 20 CM</v>
      </c>
      <c r="E1964" s="5">
        <v>3</v>
      </c>
      <c r="F1964" s="5">
        <f>VLOOKUP(C1964,[1]master_data!$A$2:$E$495,3,FALSE)</f>
        <v>21000</v>
      </c>
      <c r="G1964" s="5">
        <f>VLOOKUP(C1964,[1]master_data!$A$2:$E$495,4,FALSE)</f>
        <v>30000</v>
      </c>
      <c r="H1964" s="5">
        <f t="shared" si="96"/>
        <v>63000</v>
      </c>
      <c r="I1964" s="5">
        <f t="shared" si="97"/>
        <v>90000</v>
      </c>
      <c r="J1964" s="5">
        <f t="shared" si="98"/>
        <v>27000</v>
      </c>
      <c r="K1964" s="5" t="str">
        <f>VLOOKUP(C1964,[1]master_data!$A$2:$E$495,5,FALSE)</f>
        <v>Aksesoris</v>
      </c>
      <c r="L1964" s="5" t="s">
        <v>471</v>
      </c>
    </row>
    <row r="1965" spans="1:12" ht="12" customHeight="1" x14ac:dyDescent="0.25">
      <c r="A1965" s="6">
        <v>44712</v>
      </c>
      <c r="B1965" s="1">
        <v>2202598</v>
      </c>
      <c r="C1965" s="5" t="s">
        <v>307</v>
      </c>
      <c r="D1965" s="5" t="str">
        <f>VLOOKUP(C1965,[1]master_data!$A$2:$E$495,2,FALSE)</f>
        <v>QUICK FILTER</v>
      </c>
      <c r="E1965" s="5">
        <v>2</v>
      </c>
      <c r="F1965" s="5">
        <f>VLOOKUP(C1965,[1]master_data!$A$2:$E$495,3,FALSE)</f>
        <v>12000</v>
      </c>
      <c r="G1965" s="5">
        <f>VLOOKUP(C1965,[1]master_data!$A$2:$E$495,4,FALSE)</f>
        <v>20000</v>
      </c>
      <c r="H1965" s="5">
        <f t="shared" si="96"/>
        <v>24000</v>
      </c>
      <c r="I1965" s="5">
        <f t="shared" si="97"/>
        <v>40000</v>
      </c>
      <c r="J1965" s="5">
        <f t="shared" si="98"/>
        <v>16000</v>
      </c>
      <c r="K1965" s="5" t="str">
        <f>VLOOKUP(C1965,[1]master_data!$A$2:$E$495,5,FALSE)</f>
        <v>Aksesoris</v>
      </c>
      <c r="L1965" s="5" t="s">
        <v>471</v>
      </c>
    </row>
    <row r="1966" spans="1:12" ht="12" customHeight="1" x14ac:dyDescent="0.25">
      <c r="A1966" s="6">
        <v>44712</v>
      </c>
      <c r="B1966" s="1">
        <v>2202597</v>
      </c>
      <c r="C1966" s="5" t="s">
        <v>255</v>
      </c>
      <c r="D1966" s="5" t="str">
        <f>VLOOKUP(C1966,[1]master_data!$A$2:$E$495,2,FALSE)</f>
        <v>ACRIPLAVIN</v>
      </c>
      <c r="E1966" s="5">
        <v>1</v>
      </c>
      <c r="F1966" s="5">
        <f>VLOOKUP(C1966,[1]master_data!$A$2:$E$495,3,FALSE)</f>
        <v>3000</v>
      </c>
      <c r="G1966" s="5">
        <f>VLOOKUP(C1966,[1]master_data!$A$2:$E$495,4,FALSE)</f>
        <v>8000</v>
      </c>
      <c r="H1966" s="5">
        <f t="shared" si="96"/>
        <v>3000</v>
      </c>
      <c r="I1966" s="5">
        <f t="shared" si="97"/>
        <v>8000</v>
      </c>
      <c r="J1966" s="5">
        <f t="shared" si="98"/>
        <v>5000</v>
      </c>
      <c r="K1966" s="5" t="str">
        <f>VLOOKUP(C1966,[1]master_data!$A$2:$E$495,5,FALSE)</f>
        <v>Aksesoris</v>
      </c>
      <c r="L1966" s="5" t="s">
        <v>471</v>
      </c>
    </row>
    <row r="1967" spans="1:12" ht="12" customHeight="1" x14ac:dyDescent="0.25">
      <c r="A1967" s="6">
        <v>44712</v>
      </c>
      <c r="B1967" s="1">
        <v>2202596</v>
      </c>
      <c r="C1967" s="5" t="s">
        <v>233</v>
      </c>
      <c r="D1967" s="5" t="str">
        <f>VLOOKUP(C1967,[1]master_data!$A$2:$E$495,2,FALSE)</f>
        <v>FISH LOVE PAKAN</v>
      </c>
      <c r="E1967" s="5">
        <v>1</v>
      </c>
      <c r="F1967" s="5">
        <f>VLOOKUP(C1967,[1]master_data!$A$2:$E$495,3,FALSE)</f>
        <v>2500</v>
      </c>
      <c r="G1967" s="5">
        <f>VLOOKUP(C1967,[1]master_data!$A$2:$E$495,4,FALSE)</f>
        <v>5000</v>
      </c>
      <c r="H1967" s="5">
        <f t="shared" si="96"/>
        <v>2500</v>
      </c>
      <c r="I1967" s="5">
        <f t="shared" si="97"/>
        <v>5000</v>
      </c>
      <c r="J1967" s="5">
        <f t="shared" si="98"/>
        <v>2500</v>
      </c>
      <c r="K1967" s="5" t="str">
        <f>VLOOKUP(C1967,[1]master_data!$A$2:$E$495,5,FALSE)</f>
        <v>Aksesoris</v>
      </c>
      <c r="L1967" s="5" t="s">
        <v>471</v>
      </c>
    </row>
    <row r="1968" spans="1:12" ht="12" customHeight="1" x14ac:dyDescent="0.25">
      <c r="A1968" s="6">
        <v>44712</v>
      </c>
      <c r="B1968" s="1">
        <v>2202595</v>
      </c>
      <c r="C1968" s="5" t="s">
        <v>375</v>
      </c>
      <c r="D1968" s="5" t="str">
        <f>VLOOKUP(C1968,[1]master_data!$A$2:$E$495,2,FALSE)</f>
        <v>PASIR MERAH K</v>
      </c>
      <c r="E1968" s="5">
        <v>1</v>
      </c>
      <c r="F1968" s="5">
        <f>VLOOKUP(C1968,[1]master_data!$A$2:$E$495,3,FALSE)</f>
        <v>2500</v>
      </c>
      <c r="G1968" s="5">
        <f>VLOOKUP(C1968,[1]master_data!$A$2:$E$495,4,FALSE)</f>
        <v>5000</v>
      </c>
      <c r="H1968" s="5">
        <f t="shared" si="96"/>
        <v>2500</v>
      </c>
      <c r="I1968" s="5">
        <f t="shared" si="97"/>
        <v>5000</v>
      </c>
      <c r="J1968" s="5">
        <f t="shared" si="98"/>
        <v>2500</v>
      </c>
      <c r="K1968" s="5" t="str">
        <f>VLOOKUP(C1968,[1]master_data!$A$2:$E$495,5,FALSE)</f>
        <v>Aksesoris</v>
      </c>
      <c r="L1968" s="5" t="s">
        <v>471</v>
      </c>
    </row>
    <row r="1969" spans="1:12" ht="12" customHeight="1" x14ac:dyDescent="0.25">
      <c r="A1969" s="6">
        <v>44712</v>
      </c>
      <c r="B1969" s="1">
        <v>2202594</v>
      </c>
      <c r="C1969" s="5" t="s">
        <v>453</v>
      </c>
      <c r="D1969" s="5" t="str">
        <f>VLOOKUP(C1969,[1]master_data!$A$2:$E$495,2,FALSE)</f>
        <v>SYNODONTIS K</v>
      </c>
      <c r="E1969" s="5">
        <v>2</v>
      </c>
      <c r="F1969" s="5">
        <f>VLOOKUP(C1969,[1]master_data!$A$2:$E$495,3,FALSE)</f>
        <v>1500</v>
      </c>
      <c r="G1969" s="5">
        <f>VLOOKUP(C1969,[1]master_data!$A$2:$E$495,4,FALSE)</f>
        <v>5000</v>
      </c>
      <c r="H1969" s="5">
        <f t="shared" si="96"/>
        <v>3000</v>
      </c>
      <c r="I1969" s="5">
        <f t="shared" si="97"/>
        <v>10000</v>
      </c>
      <c r="J1969" s="5">
        <f t="shared" si="98"/>
        <v>7000</v>
      </c>
      <c r="K1969" s="5" t="str">
        <f>VLOOKUP(C1969,[1]master_data!$A$2:$E$495,5,FALSE)</f>
        <v>Ikan</v>
      </c>
      <c r="L1969" s="5" t="s">
        <v>471</v>
      </c>
    </row>
    <row r="1970" spans="1:12" ht="12" customHeight="1" x14ac:dyDescent="0.25">
      <c r="A1970" s="6">
        <v>44712</v>
      </c>
      <c r="B1970" s="1">
        <v>2202593</v>
      </c>
      <c r="C1970" s="5" t="s">
        <v>457</v>
      </c>
      <c r="D1970" s="5" t="str">
        <f>VLOOKUP(C1970,[1]master_data!$A$2:$E$495,2,FALSE)</f>
        <v>ZEBRA PINK</v>
      </c>
      <c r="E1970" s="5">
        <v>1</v>
      </c>
      <c r="F1970" s="5">
        <f>VLOOKUP(C1970,[1]master_data!$A$2:$E$495,3,FALSE)</f>
        <v>800</v>
      </c>
      <c r="G1970" s="5">
        <f>VLOOKUP(C1970,[1]master_data!$A$2:$E$495,4,FALSE)</f>
        <v>2000</v>
      </c>
      <c r="H1970" s="5">
        <f t="shared" si="96"/>
        <v>800</v>
      </c>
      <c r="I1970" s="5">
        <f t="shared" si="97"/>
        <v>2000</v>
      </c>
      <c r="J1970" s="5">
        <f t="shared" si="98"/>
        <v>1200</v>
      </c>
      <c r="K1970" s="5" t="str">
        <f>VLOOKUP(C1970,[1]master_data!$A$2:$E$495,5,FALSE)</f>
        <v>Ikan</v>
      </c>
      <c r="L1970" s="5" t="s">
        <v>471</v>
      </c>
    </row>
    <row r="1971" spans="1:12" ht="12" customHeight="1" x14ac:dyDescent="0.25">
      <c r="A1971" s="6">
        <v>44712</v>
      </c>
      <c r="B1971" s="1">
        <v>2202592</v>
      </c>
      <c r="C1971" s="5" t="s">
        <v>434</v>
      </c>
      <c r="D1971" s="5" t="str">
        <f>VLOOKUP(C1971,[1]master_data!$A$2:$E$495,2,FALSE)</f>
        <v>MOLI PAKAN</v>
      </c>
      <c r="E1971" s="5">
        <v>30</v>
      </c>
      <c r="F1971" s="5">
        <f>VLOOKUP(C1971,[1]master_data!$A$2:$E$495,3,FALSE)</f>
        <v>100</v>
      </c>
      <c r="G1971" s="5">
        <f>VLOOKUP(C1971,[1]master_data!$A$2:$E$495,4,FALSE)</f>
        <v>200</v>
      </c>
      <c r="H1971" s="5">
        <f t="shared" si="96"/>
        <v>3000</v>
      </c>
      <c r="I1971" s="5">
        <f t="shared" si="97"/>
        <v>6000</v>
      </c>
      <c r="J1971" s="5">
        <f t="shared" si="98"/>
        <v>3000</v>
      </c>
      <c r="K1971" s="5" t="str">
        <f>VLOOKUP(C1971,[1]master_data!$A$2:$E$495,5,FALSE)</f>
        <v>Ikan</v>
      </c>
      <c r="L1971" s="5" t="s">
        <v>471</v>
      </c>
    </row>
    <row r="1972" spans="1:12" ht="12" customHeight="1" x14ac:dyDescent="0.25">
      <c r="A1972" s="6">
        <v>44712</v>
      </c>
      <c r="B1972" s="1">
        <v>2202591</v>
      </c>
      <c r="C1972" s="5" t="s">
        <v>447</v>
      </c>
      <c r="D1972" s="5" t="str">
        <f>VLOOKUP(C1972,[1]master_data!$A$2:$E$495,2,FALSE)</f>
        <v>REDFIN ALBINO</v>
      </c>
      <c r="E1972" s="5">
        <v>1</v>
      </c>
      <c r="F1972" s="5">
        <f>VLOOKUP(C1972,[1]master_data!$A$2:$E$495,3,FALSE)</f>
        <v>1500</v>
      </c>
      <c r="G1972" s="5">
        <f>VLOOKUP(C1972,[1]master_data!$A$2:$E$495,4,FALSE)</f>
        <v>4000</v>
      </c>
      <c r="H1972" s="5">
        <f t="shared" si="96"/>
        <v>1500</v>
      </c>
      <c r="I1972" s="5">
        <f t="shared" si="97"/>
        <v>4000</v>
      </c>
      <c r="J1972" s="5">
        <f t="shared" si="98"/>
        <v>2500</v>
      </c>
      <c r="K1972" s="5" t="str">
        <f>VLOOKUP(C1972,[1]master_data!$A$2:$E$495,5,FALSE)</f>
        <v>Ikan</v>
      </c>
      <c r="L1972" s="5" t="s">
        <v>471</v>
      </c>
    </row>
    <row r="1973" spans="1:12" ht="12" customHeight="1" x14ac:dyDescent="0.25">
      <c r="A1973" s="6">
        <v>44712</v>
      </c>
      <c r="B1973" s="1">
        <v>2202590</v>
      </c>
      <c r="C1973" s="5" t="s">
        <v>208</v>
      </c>
      <c r="D1973" s="5" t="str">
        <f>VLOOKUP(C1973,[1]master_data!$A$2:$E$495,2,FALSE)</f>
        <v>TOP VIT</v>
      </c>
      <c r="E1973" s="5">
        <v>2</v>
      </c>
      <c r="F1973" s="5">
        <f>VLOOKUP(C1973,[1]master_data!$A$2:$E$495,3,FALSE)</f>
        <v>4000</v>
      </c>
      <c r="G1973" s="5">
        <f>VLOOKUP(C1973,[1]master_data!$A$2:$E$495,4,FALSE)</f>
        <v>7000</v>
      </c>
      <c r="H1973" s="5">
        <f t="shared" si="96"/>
        <v>8000</v>
      </c>
      <c r="I1973" s="5">
        <f t="shared" si="97"/>
        <v>14000</v>
      </c>
      <c r="J1973" s="5">
        <f t="shared" si="98"/>
        <v>6000</v>
      </c>
      <c r="K1973" s="5" t="str">
        <f>VLOOKUP(C1973,[1]master_data!$A$2:$E$495,5,FALSE)</f>
        <v>Aksesoris</v>
      </c>
      <c r="L1973" s="5" t="s">
        <v>471</v>
      </c>
    </row>
    <row r="1974" spans="1:12" ht="12" customHeight="1" x14ac:dyDescent="0.25">
      <c r="A1974" s="6">
        <v>44712</v>
      </c>
      <c r="B1974" s="1">
        <v>2202589</v>
      </c>
      <c r="C1974" s="5" t="s">
        <v>461</v>
      </c>
      <c r="D1974" s="5" t="str">
        <f>VLOOKUP(C1974,[1]master_data!$A$2:$E$495,2,FALSE)</f>
        <v>SEPAT</v>
      </c>
      <c r="E1974" s="5">
        <v>1</v>
      </c>
      <c r="F1974" s="5">
        <f>VLOOKUP(C1974,[1]master_data!$A$2:$E$495,3,FALSE)</f>
        <v>600</v>
      </c>
      <c r="G1974" s="5">
        <f>VLOOKUP(C1974,[1]master_data!$A$2:$E$495,4,FALSE)</f>
        <v>2000</v>
      </c>
      <c r="H1974" s="5">
        <f t="shared" si="96"/>
        <v>600</v>
      </c>
      <c r="I1974" s="5">
        <f t="shared" si="97"/>
        <v>2000</v>
      </c>
      <c r="J1974" s="5">
        <f t="shared" si="98"/>
        <v>1400</v>
      </c>
      <c r="K1974" s="5" t="str">
        <f>VLOOKUP(C1974,[1]master_data!$A$2:$E$495,5,FALSE)</f>
        <v>Ikan</v>
      </c>
      <c r="L1974" s="5" t="s">
        <v>471</v>
      </c>
    </row>
    <row r="1975" spans="1:12" ht="12" customHeight="1" x14ac:dyDescent="0.25">
      <c r="A1975" s="6">
        <v>44712</v>
      </c>
      <c r="B1975" s="1">
        <v>2202588</v>
      </c>
      <c r="C1975" s="5" t="s">
        <v>408</v>
      </c>
      <c r="D1975" s="5" t="str">
        <f>VLOOKUP(C1975,[1]master_data!$A$2:$E$495,2,FALSE)</f>
        <v>CATFISH</v>
      </c>
      <c r="E1975" s="5">
        <v>10</v>
      </c>
      <c r="F1975" s="5">
        <f>VLOOKUP(C1975,[1]master_data!$A$2:$E$495,3,FALSE)</f>
        <v>20000</v>
      </c>
      <c r="G1975" s="5">
        <f>VLOOKUP(C1975,[1]master_data!$A$2:$E$495,4,FALSE)</f>
        <v>50000</v>
      </c>
      <c r="H1975" s="5">
        <f t="shared" si="96"/>
        <v>200000</v>
      </c>
      <c r="I1975" s="5">
        <f t="shared" si="97"/>
        <v>500000</v>
      </c>
      <c r="J1975" s="5">
        <f t="shared" si="98"/>
        <v>300000</v>
      </c>
      <c r="K1975" s="5" t="str">
        <f>VLOOKUP(C1975,[1]master_data!$A$2:$E$495,5,FALSE)</f>
        <v>Ikan</v>
      </c>
      <c r="L1975" s="5" t="s">
        <v>471</v>
      </c>
    </row>
    <row r="1976" spans="1:12" ht="12" customHeight="1" x14ac:dyDescent="0.25">
      <c r="A1976" s="6">
        <v>44712</v>
      </c>
      <c r="B1976" s="1">
        <v>2202587</v>
      </c>
      <c r="C1976" s="5" t="s">
        <v>329</v>
      </c>
      <c r="D1976" s="5" t="str">
        <f>VLOOKUP(C1976,[1]master_data!$A$2:$E$495,2,FALSE)</f>
        <v>AIRSTONE D2L5</v>
      </c>
      <c r="E1976" s="5">
        <v>1</v>
      </c>
      <c r="F1976" s="5">
        <f>VLOOKUP(C1976,[1]master_data!$A$2:$E$495,3,FALSE)</f>
        <v>1850</v>
      </c>
      <c r="G1976" s="5">
        <f>VLOOKUP(C1976,[1]master_data!$A$2:$E$495,4,FALSE)</f>
        <v>5000</v>
      </c>
      <c r="H1976" s="5">
        <f t="shared" si="96"/>
        <v>1850</v>
      </c>
      <c r="I1976" s="5">
        <f t="shared" si="97"/>
        <v>5000</v>
      </c>
      <c r="J1976" s="5">
        <f t="shared" si="98"/>
        <v>3150</v>
      </c>
      <c r="K1976" s="5" t="str">
        <f>VLOOKUP(C1976,[1]master_data!$A$2:$E$495,5,FALSE)</f>
        <v>Aksesoris</v>
      </c>
      <c r="L1976" s="5" t="s">
        <v>471</v>
      </c>
    </row>
    <row r="1977" spans="1:12" ht="12" customHeight="1" x14ac:dyDescent="0.25">
      <c r="A1977" s="6">
        <v>44711</v>
      </c>
      <c r="B1977" s="1">
        <v>2202586</v>
      </c>
      <c r="C1977" s="5" t="s">
        <v>254</v>
      </c>
      <c r="D1977" s="5" t="str">
        <f>VLOOKUP(C1977,[1]master_data!$A$2:$E$495,2,FALSE)</f>
        <v>STOP KUTU</v>
      </c>
      <c r="E1977" s="5">
        <v>1</v>
      </c>
      <c r="F1977" s="5">
        <f>VLOOKUP(C1977,[1]master_data!$A$2:$E$495,3,FALSE)</f>
        <v>10000</v>
      </c>
      <c r="G1977" s="5">
        <f>VLOOKUP(C1977,[1]master_data!$A$2:$E$495,4,FALSE)</f>
        <v>15000</v>
      </c>
      <c r="H1977" s="5">
        <f t="shared" si="96"/>
        <v>10000</v>
      </c>
      <c r="I1977" s="5">
        <f t="shared" si="97"/>
        <v>15000</v>
      </c>
      <c r="J1977" s="5">
        <f t="shared" si="98"/>
        <v>5000</v>
      </c>
      <c r="K1977" s="5" t="str">
        <f>VLOOKUP(C1977,[1]master_data!$A$2:$E$495,5,FALSE)</f>
        <v>Aksesoris</v>
      </c>
      <c r="L1977" s="5" t="s">
        <v>471</v>
      </c>
    </row>
    <row r="1978" spans="1:12" ht="12" customHeight="1" x14ac:dyDescent="0.25">
      <c r="A1978" s="6">
        <v>44711</v>
      </c>
      <c r="B1978" s="1">
        <v>2202585</v>
      </c>
      <c r="C1978" s="5" t="s">
        <v>285</v>
      </c>
      <c r="D1978" s="5" t="str">
        <f>VLOOKUP(C1978,[1]master_data!$A$2:$E$495,2,FALSE)</f>
        <v>KAPAS 4 LAPIS</v>
      </c>
      <c r="E1978" s="5">
        <v>1</v>
      </c>
      <c r="F1978" s="5">
        <f>VLOOKUP(C1978,[1]master_data!$A$2:$E$495,3,FALSE)</f>
        <v>6500</v>
      </c>
      <c r="G1978" s="5">
        <f>VLOOKUP(C1978,[1]master_data!$A$2:$E$495,4,FALSE)</f>
        <v>10000</v>
      </c>
      <c r="H1978" s="5">
        <f t="shared" si="96"/>
        <v>6500</v>
      </c>
      <c r="I1978" s="5">
        <f t="shared" si="97"/>
        <v>10000</v>
      </c>
      <c r="J1978" s="5">
        <f t="shared" si="98"/>
        <v>3500</v>
      </c>
      <c r="K1978" s="5" t="str">
        <f>VLOOKUP(C1978,[1]master_data!$A$2:$E$495,5,FALSE)</f>
        <v>Aksesoris</v>
      </c>
      <c r="L1978" s="5" t="s">
        <v>471</v>
      </c>
    </row>
    <row r="1979" spans="1:12" ht="12" customHeight="1" x14ac:dyDescent="0.25">
      <c r="A1979" s="6">
        <v>44711</v>
      </c>
      <c r="B1979" s="1">
        <v>2202584</v>
      </c>
      <c r="C1979" s="5" t="s">
        <v>310</v>
      </c>
      <c r="D1979" s="5" t="str">
        <f>VLOOKUP(C1979,[1]master_data!$A$2:$E$495,2,FALSE)</f>
        <v>SELANG FUSO</v>
      </c>
      <c r="E1979" s="5">
        <v>1</v>
      </c>
      <c r="F1979" s="5">
        <f>VLOOKUP(C1979,[1]master_data!$A$2:$E$495,3,FALSE)</f>
        <v>800</v>
      </c>
      <c r="G1979" s="5">
        <f>VLOOKUP(C1979,[1]master_data!$A$2:$E$495,4,FALSE)</f>
        <v>2000</v>
      </c>
      <c r="H1979" s="5">
        <f t="shared" si="96"/>
        <v>800</v>
      </c>
      <c r="I1979" s="5">
        <f t="shared" si="97"/>
        <v>2000</v>
      </c>
      <c r="J1979" s="5">
        <f t="shared" si="98"/>
        <v>1200</v>
      </c>
      <c r="K1979" s="5" t="str">
        <f>VLOOKUP(C1979,[1]master_data!$A$2:$E$495,5,FALSE)</f>
        <v>Aksesoris</v>
      </c>
      <c r="L1979" s="5" t="s">
        <v>471</v>
      </c>
    </row>
    <row r="1980" spans="1:12" ht="12" customHeight="1" x14ac:dyDescent="0.25">
      <c r="A1980" s="6">
        <v>44711</v>
      </c>
      <c r="B1980" s="1">
        <v>2202583</v>
      </c>
      <c r="C1980" s="5" t="s">
        <v>461</v>
      </c>
      <c r="D1980" s="5" t="str">
        <f>VLOOKUP(C1980,[1]master_data!$A$2:$E$495,2,FALSE)</f>
        <v>SEPAT</v>
      </c>
      <c r="E1980" s="5">
        <v>1</v>
      </c>
      <c r="F1980" s="5">
        <f>VLOOKUP(C1980,[1]master_data!$A$2:$E$495,3,FALSE)</f>
        <v>600</v>
      </c>
      <c r="G1980" s="5">
        <f>VLOOKUP(C1980,[1]master_data!$A$2:$E$495,4,FALSE)</f>
        <v>2000</v>
      </c>
      <c r="H1980" s="5">
        <f t="shared" si="96"/>
        <v>600</v>
      </c>
      <c r="I1980" s="5">
        <f t="shared" si="97"/>
        <v>2000</v>
      </c>
      <c r="J1980" s="5">
        <f t="shared" si="98"/>
        <v>1400</v>
      </c>
      <c r="K1980" s="5" t="str">
        <f>VLOOKUP(C1980,[1]master_data!$A$2:$E$495,5,FALSE)</f>
        <v>Ikan</v>
      </c>
      <c r="L1980" s="5" t="s">
        <v>471</v>
      </c>
    </row>
    <row r="1981" spans="1:12" ht="12" customHeight="1" x14ac:dyDescent="0.25">
      <c r="A1981" s="6">
        <v>44711</v>
      </c>
      <c r="B1981" s="1">
        <v>2202582</v>
      </c>
      <c r="C1981" s="5" t="s">
        <v>334</v>
      </c>
      <c r="D1981" s="5" t="str">
        <f>VLOOKUP(C1981,[1]master_data!$A$2:$E$495,2,FALSE)</f>
        <v>KARPET RUMPUT</v>
      </c>
      <c r="E1981" s="5">
        <v>1</v>
      </c>
      <c r="F1981" s="5">
        <f>VLOOKUP(C1981,[1]master_data!$A$2:$E$495,3,FALSE)</f>
        <v>15000</v>
      </c>
      <c r="G1981" s="5">
        <f>VLOOKUP(C1981,[1]master_data!$A$2:$E$495,4,FALSE)</f>
        <v>25000</v>
      </c>
      <c r="H1981" s="5">
        <f t="shared" si="96"/>
        <v>15000</v>
      </c>
      <c r="I1981" s="5">
        <f t="shared" si="97"/>
        <v>25000</v>
      </c>
      <c r="J1981" s="5">
        <f t="shared" si="98"/>
        <v>10000</v>
      </c>
      <c r="K1981" s="5" t="str">
        <f>VLOOKUP(C1981,[1]master_data!$A$2:$E$495,5,FALSE)</f>
        <v>Aksesoris</v>
      </c>
      <c r="L1981" s="5" t="s">
        <v>471</v>
      </c>
    </row>
    <row r="1982" spans="1:12" ht="12" customHeight="1" x14ac:dyDescent="0.25">
      <c r="A1982" s="6">
        <v>44711</v>
      </c>
      <c r="B1982" s="1">
        <v>2202581</v>
      </c>
      <c r="C1982" s="5" t="s">
        <v>440</v>
      </c>
      <c r="D1982" s="5" t="str">
        <f>VLOOKUP(C1982,[1]master_data!$A$2:$E$495,2,FALSE)</f>
        <v>OSCAR</v>
      </c>
      <c r="E1982" s="5">
        <v>1</v>
      </c>
      <c r="F1982" s="5">
        <f>VLOOKUP(C1982,[1]master_data!$A$2:$E$495,3,FALSE)</f>
        <v>25000</v>
      </c>
      <c r="G1982" s="5">
        <f>VLOOKUP(C1982,[1]master_data!$A$2:$E$495,4,FALSE)</f>
        <v>50000</v>
      </c>
      <c r="H1982" s="5">
        <f t="shared" si="96"/>
        <v>25000</v>
      </c>
      <c r="I1982" s="5">
        <f t="shared" si="97"/>
        <v>50000</v>
      </c>
      <c r="J1982" s="5">
        <f t="shared" si="98"/>
        <v>25000</v>
      </c>
      <c r="K1982" s="5" t="str">
        <f>VLOOKUP(C1982,[1]master_data!$A$2:$E$495,5,FALSE)</f>
        <v>Ikan</v>
      </c>
      <c r="L1982" s="5" t="s">
        <v>471</v>
      </c>
    </row>
    <row r="1983" spans="1:12" ht="12" customHeight="1" x14ac:dyDescent="0.25">
      <c r="A1983" s="6">
        <v>44711</v>
      </c>
      <c r="B1983" s="1">
        <v>2202580</v>
      </c>
      <c r="C1983" s="5" t="s">
        <v>6</v>
      </c>
      <c r="D1983" s="5" t="str">
        <f>VLOOKUP(C1983,[1]master_data!$A$2:$E$495,2,FALSE)</f>
        <v>MESIN YANG 1200</v>
      </c>
      <c r="E1983" s="5">
        <v>1</v>
      </c>
      <c r="F1983" s="5">
        <f>VLOOKUP(C1983,[1]master_data!$A$2:$E$495,3,FALSE)</f>
        <v>25000</v>
      </c>
      <c r="G1983" s="5">
        <f>VLOOKUP(C1983,[1]master_data!$A$2:$E$495,4,FALSE)</f>
        <v>40000</v>
      </c>
      <c r="H1983" s="5">
        <f t="shared" si="96"/>
        <v>25000</v>
      </c>
      <c r="I1983" s="5">
        <f t="shared" si="97"/>
        <v>40000</v>
      </c>
      <c r="J1983" s="5">
        <f t="shared" si="98"/>
        <v>15000</v>
      </c>
      <c r="K1983" s="5" t="str">
        <f>VLOOKUP(C1983,[1]master_data!$A$2:$E$495,5,FALSE)</f>
        <v>Aksesoris</v>
      </c>
      <c r="L1983" s="5" t="s">
        <v>471</v>
      </c>
    </row>
    <row r="1984" spans="1:12" ht="12" customHeight="1" x14ac:dyDescent="0.25">
      <c r="A1984" s="6">
        <v>44711</v>
      </c>
      <c r="B1984" s="1">
        <v>2202579</v>
      </c>
      <c r="C1984" s="5" t="s">
        <v>442</v>
      </c>
      <c r="D1984" s="5" t="str">
        <f>VLOOKUP(C1984,[1]master_data!$A$2:$E$495,2,FALSE)</f>
        <v>PEMBERSIH KACA ALBINO</v>
      </c>
      <c r="E1984" s="5">
        <v>1</v>
      </c>
      <c r="F1984" s="5">
        <f>VLOOKUP(C1984,[1]master_data!$A$2:$E$495,3,FALSE)</f>
        <v>2500</v>
      </c>
      <c r="G1984" s="5">
        <f>VLOOKUP(C1984,[1]master_data!$A$2:$E$495,4,FALSE)</f>
        <v>5000</v>
      </c>
      <c r="H1984" s="5">
        <f t="shared" si="96"/>
        <v>2500</v>
      </c>
      <c r="I1984" s="5">
        <f t="shared" si="97"/>
        <v>5000</v>
      </c>
      <c r="J1984" s="5">
        <f t="shared" si="98"/>
        <v>2500</v>
      </c>
      <c r="K1984" s="5" t="str">
        <f>VLOOKUP(C1984,[1]master_data!$A$2:$E$495,5,FALSE)</f>
        <v>Ikan</v>
      </c>
      <c r="L1984" s="5" t="s">
        <v>471</v>
      </c>
    </row>
    <row r="1985" spans="1:12" ht="12" customHeight="1" x14ac:dyDescent="0.25">
      <c r="A1985" s="6">
        <v>44711</v>
      </c>
      <c r="B1985" s="1">
        <v>2202578</v>
      </c>
      <c r="C1985" s="5" t="s">
        <v>310</v>
      </c>
      <c r="D1985" s="5" t="str">
        <f>VLOOKUP(C1985,[1]master_data!$A$2:$E$495,2,FALSE)</f>
        <v>SELANG FUSO</v>
      </c>
      <c r="E1985" s="5">
        <v>10</v>
      </c>
      <c r="F1985" s="5">
        <f>VLOOKUP(C1985,[1]master_data!$A$2:$E$495,3,FALSE)</f>
        <v>800</v>
      </c>
      <c r="G1985" s="5">
        <f>VLOOKUP(C1985,[1]master_data!$A$2:$E$495,4,FALSE)</f>
        <v>2000</v>
      </c>
      <c r="H1985" s="5">
        <f t="shared" si="96"/>
        <v>8000</v>
      </c>
      <c r="I1985" s="5">
        <f t="shared" si="97"/>
        <v>20000</v>
      </c>
      <c r="J1985" s="5">
        <f t="shared" si="98"/>
        <v>12000</v>
      </c>
      <c r="K1985" s="5" t="str">
        <f>VLOOKUP(C1985,[1]master_data!$A$2:$E$495,5,FALSE)</f>
        <v>Aksesoris</v>
      </c>
      <c r="L1985" s="5" t="s">
        <v>471</v>
      </c>
    </row>
    <row r="1986" spans="1:12" ht="12" customHeight="1" x14ac:dyDescent="0.25">
      <c r="A1986" s="6">
        <v>44711</v>
      </c>
      <c r="B1986" s="1">
        <v>2202577</v>
      </c>
      <c r="C1986" s="5" t="s">
        <v>434</v>
      </c>
      <c r="D1986" s="5" t="str">
        <f>VLOOKUP(C1986,[1]master_data!$A$2:$E$495,2,FALSE)</f>
        <v>MOLI PAKAN</v>
      </c>
      <c r="E1986" s="5">
        <v>30</v>
      </c>
      <c r="F1986" s="5">
        <f>VLOOKUP(C1986,[1]master_data!$A$2:$E$495,3,FALSE)</f>
        <v>100</v>
      </c>
      <c r="G1986" s="5">
        <f>VLOOKUP(C1986,[1]master_data!$A$2:$E$495,4,FALSE)</f>
        <v>200</v>
      </c>
      <c r="H1986" s="5">
        <f t="shared" si="96"/>
        <v>3000</v>
      </c>
      <c r="I1986" s="5">
        <f t="shared" si="97"/>
        <v>6000</v>
      </c>
      <c r="J1986" s="5">
        <f t="shared" si="98"/>
        <v>3000</v>
      </c>
      <c r="K1986" s="5" t="str">
        <f>VLOOKUP(C1986,[1]master_data!$A$2:$E$495,5,FALSE)</f>
        <v>Ikan</v>
      </c>
      <c r="L1986" s="5" t="s">
        <v>471</v>
      </c>
    </row>
    <row r="1987" spans="1:12" ht="12" customHeight="1" x14ac:dyDescent="0.25">
      <c r="A1987" s="6">
        <v>44711</v>
      </c>
      <c r="B1987" s="1">
        <v>2202576</v>
      </c>
      <c r="C1987" s="5" t="s">
        <v>408</v>
      </c>
      <c r="D1987" s="5" t="str">
        <f>VLOOKUP(C1987,[1]master_data!$A$2:$E$495,2,FALSE)</f>
        <v>CATFISH</v>
      </c>
      <c r="E1987" s="5">
        <v>10</v>
      </c>
      <c r="F1987" s="5">
        <f>VLOOKUP(C1987,[1]master_data!$A$2:$E$495,3,FALSE)</f>
        <v>20000</v>
      </c>
      <c r="G1987" s="5">
        <f>VLOOKUP(C1987,[1]master_data!$A$2:$E$495,4,FALSE)</f>
        <v>50000</v>
      </c>
      <c r="H1987" s="5">
        <f t="shared" si="96"/>
        <v>200000</v>
      </c>
      <c r="I1987" s="5">
        <f t="shared" si="97"/>
        <v>500000</v>
      </c>
      <c r="J1987" s="5">
        <f t="shared" si="98"/>
        <v>300000</v>
      </c>
      <c r="K1987" s="5" t="str">
        <f>VLOOKUP(C1987,[1]master_data!$A$2:$E$495,5,FALSE)</f>
        <v>Ikan</v>
      </c>
      <c r="L1987" s="5" t="s">
        <v>471</v>
      </c>
    </row>
    <row r="1988" spans="1:12" ht="12" customHeight="1" x14ac:dyDescent="0.25">
      <c r="A1988" s="6">
        <v>44711</v>
      </c>
      <c r="B1988" s="1">
        <v>2202575</v>
      </c>
      <c r="C1988" s="5" t="s">
        <v>447</v>
      </c>
      <c r="D1988" s="5" t="str">
        <f>VLOOKUP(C1988,[1]master_data!$A$2:$E$495,2,FALSE)</f>
        <v>REDFIN ALBINO</v>
      </c>
      <c r="E1988" s="5">
        <v>1</v>
      </c>
      <c r="F1988" s="5">
        <f>VLOOKUP(C1988,[1]master_data!$A$2:$E$495,3,FALSE)</f>
        <v>1500</v>
      </c>
      <c r="G1988" s="5">
        <f>VLOOKUP(C1988,[1]master_data!$A$2:$E$495,4,FALSE)</f>
        <v>4000</v>
      </c>
      <c r="H1988" s="5">
        <f t="shared" si="96"/>
        <v>1500</v>
      </c>
      <c r="I1988" s="5">
        <f t="shared" si="97"/>
        <v>4000</v>
      </c>
      <c r="J1988" s="5">
        <f t="shared" si="98"/>
        <v>2500</v>
      </c>
      <c r="K1988" s="5" t="str">
        <f>VLOOKUP(C1988,[1]master_data!$A$2:$E$495,5,FALSE)</f>
        <v>Ikan</v>
      </c>
      <c r="L1988" s="5" t="s">
        <v>471</v>
      </c>
    </row>
    <row r="1989" spans="1:12" ht="12" customHeight="1" x14ac:dyDescent="0.25">
      <c r="A1989" s="6">
        <v>44711</v>
      </c>
      <c r="B1989" s="1">
        <v>2202574</v>
      </c>
      <c r="C1989" s="5" t="s">
        <v>457</v>
      </c>
      <c r="D1989" s="5" t="str">
        <f>VLOOKUP(C1989,[1]master_data!$A$2:$E$495,2,FALSE)</f>
        <v>ZEBRA PINK</v>
      </c>
      <c r="E1989" s="5">
        <v>1</v>
      </c>
      <c r="F1989" s="5">
        <f>VLOOKUP(C1989,[1]master_data!$A$2:$E$495,3,FALSE)</f>
        <v>800</v>
      </c>
      <c r="G1989" s="5">
        <f>VLOOKUP(C1989,[1]master_data!$A$2:$E$495,4,FALSE)</f>
        <v>2000</v>
      </c>
      <c r="H1989" s="5">
        <f t="shared" ref="H1989:H2052" si="99">E1989*F1989</f>
        <v>800</v>
      </c>
      <c r="I1989" s="5">
        <f t="shared" ref="I1989:I2052" si="100">E1989*G1989</f>
        <v>2000</v>
      </c>
      <c r="J1989" s="5">
        <f t="shared" ref="J1989:J2052" si="101">I1989-H1989</f>
        <v>1200</v>
      </c>
      <c r="K1989" s="5" t="str">
        <f>VLOOKUP(C1989,[1]master_data!$A$2:$E$495,5,FALSE)</f>
        <v>Ikan</v>
      </c>
      <c r="L1989" s="5" t="s">
        <v>471</v>
      </c>
    </row>
    <row r="1990" spans="1:12" ht="12" customHeight="1" x14ac:dyDescent="0.25">
      <c r="A1990" s="6">
        <v>44711</v>
      </c>
      <c r="B1990" s="1">
        <v>2202573</v>
      </c>
      <c r="C1990" s="5" t="s">
        <v>443</v>
      </c>
      <c r="D1990" s="5" t="str">
        <f>VLOOKUP(C1990,[1]master_data!$A$2:$E$495,2,FALSE)</f>
        <v>PALMAS</v>
      </c>
      <c r="E1990" s="5">
        <v>5</v>
      </c>
      <c r="F1990" s="5">
        <f>VLOOKUP(C1990,[1]master_data!$A$2:$E$495,3,FALSE)</f>
        <v>10000</v>
      </c>
      <c r="G1990" s="5">
        <f>VLOOKUP(C1990,[1]master_data!$A$2:$E$495,4,FALSE)</f>
        <v>25000</v>
      </c>
      <c r="H1990" s="5">
        <f t="shared" si="99"/>
        <v>50000</v>
      </c>
      <c r="I1990" s="5">
        <f t="shared" si="100"/>
        <v>125000</v>
      </c>
      <c r="J1990" s="5">
        <f t="shared" si="101"/>
        <v>75000</v>
      </c>
      <c r="K1990" s="5" t="str">
        <f>VLOOKUP(C1990,[1]master_data!$A$2:$E$495,5,FALSE)</f>
        <v>Ikan</v>
      </c>
      <c r="L1990" s="5" t="s">
        <v>471</v>
      </c>
    </row>
    <row r="1991" spans="1:12" ht="12" customHeight="1" x14ac:dyDescent="0.25">
      <c r="A1991" s="6">
        <v>44711</v>
      </c>
      <c r="B1991" s="1">
        <v>2202572</v>
      </c>
      <c r="C1991" s="5" t="s">
        <v>453</v>
      </c>
      <c r="D1991" s="5" t="str">
        <f>VLOOKUP(C1991,[1]master_data!$A$2:$E$495,2,FALSE)</f>
        <v>SYNODONTIS K</v>
      </c>
      <c r="E1991" s="5">
        <v>2</v>
      </c>
      <c r="F1991" s="5">
        <f>VLOOKUP(C1991,[1]master_data!$A$2:$E$495,3,FALSE)</f>
        <v>1500</v>
      </c>
      <c r="G1991" s="5">
        <f>VLOOKUP(C1991,[1]master_data!$A$2:$E$495,4,FALSE)</f>
        <v>5000</v>
      </c>
      <c r="H1991" s="5">
        <f t="shared" si="99"/>
        <v>3000</v>
      </c>
      <c r="I1991" s="5">
        <f t="shared" si="100"/>
        <v>10000</v>
      </c>
      <c r="J1991" s="5">
        <f t="shared" si="101"/>
        <v>7000</v>
      </c>
      <c r="K1991" s="5" t="str">
        <f>VLOOKUP(C1991,[1]master_data!$A$2:$E$495,5,FALSE)</f>
        <v>Ikan</v>
      </c>
      <c r="L1991" s="5" t="s">
        <v>471</v>
      </c>
    </row>
    <row r="1992" spans="1:12" ht="12" customHeight="1" x14ac:dyDescent="0.25">
      <c r="A1992" s="6">
        <v>44710</v>
      </c>
      <c r="B1992" s="1">
        <v>2202571</v>
      </c>
      <c r="C1992" s="5" t="s">
        <v>442</v>
      </c>
      <c r="D1992" s="5" t="str">
        <f>VLOOKUP(C1992,[1]master_data!$A$2:$E$495,2,FALSE)</f>
        <v>PEMBERSIH KACA ALBINO</v>
      </c>
      <c r="E1992" s="5">
        <v>1</v>
      </c>
      <c r="F1992" s="5">
        <f>VLOOKUP(C1992,[1]master_data!$A$2:$E$495,3,FALSE)</f>
        <v>2500</v>
      </c>
      <c r="G1992" s="5">
        <f>VLOOKUP(C1992,[1]master_data!$A$2:$E$495,4,FALSE)</f>
        <v>5000</v>
      </c>
      <c r="H1992" s="5">
        <f t="shared" si="99"/>
        <v>2500</v>
      </c>
      <c r="I1992" s="5">
        <f t="shared" si="100"/>
        <v>5000</v>
      </c>
      <c r="J1992" s="5">
        <f t="shared" si="101"/>
        <v>2500</v>
      </c>
      <c r="K1992" s="5" t="str">
        <f>VLOOKUP(C1992,[1]master_data!$A$2:$E$495,5,FALSE)</f>
        <v>Ikan</v>
      </c>
      <c r="L1992" s="5" t="s">
        <v>471</v>
      </c>
    </row>
    <row r="1993" spans="1:12" ht="12" customHeight="1" x14ac:dyDescent="0.25">
      <c r="A1993" s="6">
        <v>44710</v>
      </c>
      <c r="B1993" s="1">
        <v>2202570</v>
      </c>
      <c r="C1993" s="5" t="s">
        <v>457</v>
      </c>
      <c r="D1993" s="5" t="str">
        <f>VLOOKUP(C1993,[1]master_data!$A$2:$E$495,2,FALSE)</f>
        <v>ZEBRA PINK</v>
      </c>
      <c r="E1993" s="5">
        <v>1</v>
      </c>
      <c r="F1993" s="5">
        <f>VLOOKUP(C1993,[1]master_data!$A$2:$E$495,3,FALSE)</f>
        <v>800</v>
      </c>
      <c r="G1993" s="5">
        <f>VLOOKUP(C1993,[1]master_data!$A$2:$E$495,4,FALSE)</f>
        <v>2000</v>
      </c>
      <c r="H1993" s="5">
        <f t="shared" si="99"/>
        <v>800</v>
      </c>
      <c r="I1993" s="5">
        <f t="shared" si="100"/>
        <v>2000</v>
      </c>
      <c r="J1993" s="5">
        <f t="shared" si="101"/>
        <v>1200</v>
      </c>
      <c r="K1993" s="5" t="str">
        <f>VLOOKUP(C1993,[1]master_data!$A$2:$E$495,5,FALSE)</f>
        <v>Ikan</v>
      </c>
      <c r="L1993" s="5" t="s">
        <v>471</v>
      </c>
    </row>
    <row r="1994" spans="1:12" ht="12" customHeight="1" x14ac:dyDescent="0.25">
      <c r="A1994" s="6">
        <v>44710</v>
      </c>
      <c r="B1994" s="1">
        <v>2202569</v>
      </c>
      <c r="C1994" s="5" t="s">
        <v>201</v>
      </c>
      <c r="D1994" s="5" t="str">
        <f>VLOOKUP(C1994,[1]master_data!$A$2:$E$495,2,FALSE)</f>
        <v>AGARU</v>
      </c>
      <c r="E1994" s="5">
        <v>1</v>
      </c>
      <c r="F1994" s="5">
        <f>VLOOKUP(C1994,[1]master_data!$A$2:$E$495,3,FALSE)</f>
        <v>6800</v>
      </c>
      <c r="G1994" s="5">
        <f>VLOOKUP(C1994,[1]master_data!$A$2:$E$495,4,FALSE)</f>
        <v>10000</v>
      </c>
      <c r="H1994" s="5">
        <f t="shared" si="99"/>
        <v>6800</v>
      </c>
      <c r="I1994" s="5">
        <f t="shared" si="100"/>
        <v>10000</v>
      </c>
      <c r="J1994" s="5">
        <f t="shared" si="101"/>
        <v>3200</v>
      </c>
      <c r="K1994" s="5" t="str">
        <f>VLOOKUP(C1994,[1]master_data!$A$2:$E$495,5,FALSE)</f>
        <v>Aksesoris</v>
      </c>
      <c r="L1994" s="5" t="s">
        <v>471</v>
      </c>
    </row>
    <row r="1995" spans="1:12" ht="12" customHeight="1" x14ac:dyDescent="0.25">
      <c r="A1995" s="6">
        <v>44710</v>
      </c>
      <c r="B1995" s="1">
        <v>2202568</v>
      </c>
      <c r="C1995" s="5" t="s">
        <v>43</v>
      </c>
      <c r="D1995" s="5" t="str">
        <f>VLOOKUP(C1995,[1]master_data!$A$2:$E$495,2,FALSE)</f>
        <v>MESIN YAMANO 650</v>
      </c>
      <c r="E1995" s="5">
        <v>1</v>
      </c>
      <c r="F1995" s="5">
        <f>VLOOKUP(C1995,[1]master_data!$A$2:$E$495,3,FALSE)</f>
        <v>40000</v>
      </c>
      <c r="G1995" s="5">
        <f>VLOOKUP(C1995,[1]master_data!$A$2:$E$495,4,FALSE)</f>
        <v>70000</v>
      </c>
      <c r="H1995" s="5">
        <f t="shared" si="99"/>
        <v>40000</v>
      </c>
      <c r="I1995" s="5">
        <f t="shared" si="100"/>
        <v>70000</v>
      </c>
      <c r="J1995" s="5">
        <f t="shared" si="101"/>
        <v>30000</v>
      </c>
      <c r="K1995" s="5" t="str">
        <f>VLOOKUP(C1995,[1]master_data!$A$2:$E$495,5,FALSE)</f>
        <v>Aksesoris</v>
      </c>
      <c r="L1995" s="5" t="s">
        <v>471</v>
      </c>
    </row>
    <row r="1996" spans="1:12" ht="12" customHeight="1" x14ac:dyDescent="0.25">
      <c r="A1996" s="6">
        <v>44710</v>
      </c>
      <c r="B1996" s="1">
        <v>2202567</v>
      </c>
      <c r="C1996" s="5" t="s">
        <v>256</v>
      </c>
      <c r="D1996" s="5" t="str">
        <f>VLOOKUP(C1996,[1]master_data!$A$2:$E$495,2,FALSE)</f>
        <v>BACKGROUND</v>
      </c>
      <c r="E1996" s="5">
        <v>1</v>
      </c>
      <c r="F1996" s="5">
        <f>VLOOKUP(C1996,[1]master_data!$A$2:$E$495,3,FALSE)</f>
        <v>8000</v>
      </c>
      <c r="G1996" s="5">
        <f>VLOOKUP(C1996,[1]master_data!$A$2:$E$495,4,FALSE)</f>
        <v>15000</v>
      </c>
      <c r="H1996" s="5">
        <f t="shared" si="99"/>
        <v>8000</v>
      </c>
      <c r="I1996" s="5">
        <f t="shared" si="100"/>
        <v>15000</v>
      </c>
      <c r="J1996" s="5">
        <f t="shared" si="101"/>
        <v>7000</v>
      </c>
      <c r="K1996" s="5" t="str">
        <f>VLOOKUP(C1996,[1]master_data!$A$2:$E$495,5,FALSE)</f>
        <v>Aksesoris</v>
      </c>
      <c r="L1996" s="5" t="s">
        <v>471</v>
      </c>
    </row>
    <row r="1997" spans="1:12" ht="12" customHeight="1" x14ac:dyDescent="0.25">
      <c r="A1997" s="6">
        <v>44710</v>
      </c>
      <c r="B1997" s="1">
        <v>2202566</v>
      </c>
      <c r="C1997" s="5" t="s">
        <v>285</v>
      </c>
      <c r="D1997" s="5" t="str">
        <f>VLOOKUP(C1997,[1]master_data!$A$2:$E$495,2,FALSE)</f>
        <v>KAPAS 4 LAPIS</v>
      </c>
      <c r="E1997" s="5">
        <v>1</v>
      </c>
      <c r="F1997" s="5">
        <f>VLOOKUP(C1997,[1]master_data!$A$2:$E$495,3,FALSE)</f>
        <v>6500</v>
      </c>
      <c r="G1997" s="5">
        <f>VLOOKUP(C1997,[1]master_data!$A$2:$E$495,4,FALSE)</f>
        <v>10000</v>
      </c>
      <c r="H1997" s="5">
        <f t="shared" si="99"/>
        <v>6500</v>
      </c>
      <c r="I1997" s="5">
        <f t="shared" si="100"/>
        <v>10000</v>
      </c>
      <c r="J1997" s="5">
        <f t="shared" si="101"/>
        <v>3500</v>
      </c>
      <c r="K1997" s="5" t="str">
        <f>VLOOKUP(C1997,[1]master_data!$A$2:$E$495,5,FALSE)</f>
        <v>Aksesoris</v>
      </c>
      <c r="L1997" s="5" t="s">
        <v>471</v>
      </c>
    </row>
    <row r="1998" spans="1:12" ht="12" customHeight="1" x14ac:dyDescent="0.25">
      <c r="A1998" s="6">
        <v>44710</v>
      </c>
      <c r="B1998" s="1">
        <v>2202565</v>
      </c>
      <c r="C1998" s="5" t="s">
        <v>438</v>
      </c>
      <c r="D1998" s="5" t="str">
        <f>VLOOKUP(C1998,[1]master_data!$A$2:$E$495,2,FALSE)</f>
        <v>NENTINEN</v>
      </c>
      <c r="E1998" s="5">
        <v>1</v>
      </c>
      <c r="F1998" s="5">
        <f>VLOOKUP(C1998,[1]master_data!$A$2:$E$495,3,FALSE)</f>
        <v>1000</v>
      </c>
      <c r="G1998" s="5">
        <f>VLOOKUP(C1998,[1]master_data!$A$2:$E$495,4,FALSE)</f>
        <v>2500</v>
      </c>
      <c r="H1998" s="5">
        <f t="shared" si="99"/>
        <v>1000</v>
      </c>
      <c r="I1998" s="5">
        <f t="shared" si="100"/>
        <v>2500</v>
      </c>
      <c r="J1998" s="5">
        <f t="shared" si="101"/>
        <v>1500</v>
      </c>
      <c r="K1998" s="5" t="str">
        <f>VLOOKUP(C1998,[1]master_data!$A$2:$E$495,5,FALSE)</f>
        <v>Ikan</v>
      </c>
      <c r="L1998" s="5" t="s">
        <v>471</v>
      </c>
    </row>
    <row r="1999" spans="1:12" ht="12" customHeight="1" x14ac:dyDescent="0.25">
      <c r="A1999" s="6">
        <v>44710</v>
      </c>
      <c r="B1999" s="1">
        <v>2202564</v>
      </c>
      <c r="C1999" s="5" t="s">
        <v>439</v>
      </c>
      <c r="D1999" s="5" t="str">
        <f>VLOOKUP(C1999,[1]master_data!$A$2:$E$495,2,FALSE)</f>
        <v>NEON</v>
      </c>
      <c r="E1999" s="5">
        <v>2</v>
      </c>
      <c r="F1999" s="5">
        <f>VLOOKUP(C1999,[1]master_data!$A$2:$E$495,3,FALSE)</f>
        <v>1250</v>
      </c>
      <c r="G1999" s="5">
        <f>VLOOKUP(C1999,[1]master_data!$A$2:$E$495,4,FALSE)</f>
        <v>5000</v>
      </c>
      <c r="H1999" s="5">
        <f t="shared" si="99"/>
        <v>2500</v>
      </c>
      <c r="I1999" s="5">
        <f t="shared" si="100"/>
        <v>10000</v>
      </c>
      <c r="J1999" s="5">
        <f t="shared" si="101"/>
        <v>7500</v>
      </c>
      <c r="K1999" s="5" t="str">
        <f>VLOOKUP(C1999,[1]master_data!$A$2:$E$495,5,FALSE)</f>
        <v>Ikan</v>
      </c>
      <c r="L1999" s="5" t="s">
        <v>471</v>
      </c>
    </row>
    <row r="2000" spans="1:12" ht="12" customHeight="1" x14ac:dyDescent="0.25">
      <c r="A2000" s="6">
        <v>44710</v>
      </c>
      <c r="B2000" s="1">
        <v>2202563</v>
      </c>
      <c r="C2000" s="5" t="s">
        <v>443</v>
      </c>
      <c r="D2000" s="5" t="str">
        <f>VLOOKUP(C2000,[1]master_data!$A$2:$E$495,2,FALSE)</f>
        <v>PALMAS</v>
      </c>
      <c r="E2000" s="5">
        <v>12</v>
      </c>
      <c r="F2000" s="5">
        <f>VLOOKUP(C2000,[1]master_data!$A$2:$E$495,3,FALSE)</f>
        <v>10000</v>
      </c>
      <c r="G2000" s="5">
        <f>VLOOKUP(C2000,[1]master_data!$A$2:$E$495,4,FALSE)</f>
        <v>25000</v>
      </c>
      <c r="H2000" s="5">
        <f t="shared" si="99"/>
        <v>120000</v>
      </c>
      <c r="I2000" s="5">
        <f t="shared" si="100"/>
        <v>300000</v>
      </c>
      <c r="J2000" s="5">
        <f t="shared" si="101"/>
        <v>180000</v>
      </c>
      <c r="K2000" s="5" t="str">
        <f>VLOOKUP(C2000,[1]master_data!$A$2:$E$495,5,FALSE)</f>
        <v>Ikan</v>
      </c>
      <c r="L2000" s="5" t="s">
        <v>471</v>
      </c>
    </row>
    <row r="2001" spans="1:12" ht="12" customHeight="1" x14ac:dyDescent="0.25">
      <c r="A2001" s="6">
        <v>44710</v>
      </c>
      <c r="B2001" s="1">
        <v>2202562</v>
      </c>
      <c r="C2001" s="5" t="s">
        <v>348</v>
      </c>
      <c r="D2001" s="5" t="str">
        <f>VLOOKUP(C2001,[1]master_data!$A$2:$E$495,2,FALSE)</f>
        <v>AKUARIUM NIKITA M60</v>
      </c>
      <c r="E2001" s="5">
        <v>1</v>
      </c>
      <c r="F2001" s="5">
        <f>VLOOKUP(C2001,[1]master_data!$A$2:$E$495,3,FALSE)</f>
        <v>60000</v>
      </c>
      <c r="G2001" s="5">
        <f>VLOOKUP(C2001,[1]master_data!$A$2:$E$495,4,FALSE)</f>
        <v>230000</v>
      </c>
      <c r="H2001" s="5">
        <f t="shared" si="99"/>
        <v>60000</v>
      </c>
      <c r="I2001" s="5">
        <f t="shared" si="100"/>
        <v>230000</v>
      </c>
      <c r="J2001" s="5">
        <f t="shared" si="101"/>
        <v>170000</v>
      </c>
      <c r="K2001" s="5" t="str">
        <f>VLOOKUP(C2001,[1]master_data!$A$2:$E$495,5,FALSE)</f>
        <v>Aksesoris</v>
      </c>
      <c r="L2001" s="5" t="s">
        <v>471</v>
      </c>
    </row>
    <row r="2002" spans="1:12" ht="12" customHeight="1" x14ac:dyDescent="0.25">
      <c r="A2002" s="6">
        <v>44710</v>
      </c>
      <c r="B2002" s="1">
        <v>2202561</v>
      </c>
      <c r="C2002" s="5" t="s">
        <v>447</v>
      </c>
      <c r="D2002" s="5" t="str">
        <f>VLOOKUP(C2002,[1]master_data!$A$2:$E$495,2,FALSE)</f>
        <v>REDFIN ALBINO</v>
      </c>
      <c r="E2002" s="5">
        <v>1</v>
      </c>
      <c r="F2002" s="5">
        <f>VLOOKUP(C2002,[1]master_data!$A$2:$E$495,3,FALSE)</f>
        <v>1500</v>
      </c>
      <c r="G2002" s="5">
        <f>VLOOKUP(C2002,[1]master_data!$A$2:$E$495,4,FALSE)</f>
        <v>4000</v>
      </c>
      <c r="H2002" s="5">
        <f t="shared" si="99"/>
        <v>1500</v>
      </c>
      <c r="I2002" s="5">
        <f t="shared" si="100"/>
        <v>4000</v>
      </c>
      <c r="J2002" s="5">
        <f t="shared" si="101"/>
        <v>2500</v>
      </c>
      <c r="K2002" s="5" t="str">
        <f>VLOOKUP(C2002,[1]master_data!$A$2:$E$495,5,FALSE)</f>
        <v>Ikan</v>
      </c>
      <c r="L2002" s="5" t="s">
        <v>471</v>
      </c>
    </row>
    <row r="2003" spans="1:12" ht="12" customHeight="1" x14ac:dyDescent="0.25">
      <c r="A2003" s="6">
        <v>44710</v>
      </c>
      <c r="B2003" s="1">
        <v>2202560</v>
      </c>
      <c r="C2003" s="5" t="s">
        <v>440</v>
      </c>
      <c r="D2003" s="5" t="str">
        <f>VLOOKUP(C2003,[1]master_data!$A$2:$E$495,2,FALSE)</f>
        <v>OSCAR</v>
      </c>
      <c r="E2003" s="5">
        <v>5</v>
      </c>
      <c r="F2003" s="5">
        <f>VLOOKUP(C2003,[1]master_data!$A$2:$E$495,3,FALSE)</f>
        <v>25000</v>
      </c>
      <c r="G2003" s="5">
        <f>VLOOKUP(C2003,[1]master_data!$A$2:$E$495,4,FALSE)</f>
        <v>50000</v>
      </c>
      <c r="H2003" s="5">
        <f t="shared" si="99"/>
        <v>125000</v>
      </c>
      <c r="I2003" s="5">
        <f t="shared" si="100"/>
        <v>250000</v>
      </c>
      <c r="J2003" s="5">
        <f t="shared" si="101"/>
        <v>125000</v>
      </c>
      <c r="K2003" s="5" t="str">
        <f>VLOOKUP(C2003,[1]master_data!$A$2:$E$495,5,FALSE)</f>
        <v>Ikan</v>
      </c>
      <c r="L2003" s="5" t="s">
        <v>471</v>
      </c>
    </row>
    <row r="2004" spans="1:12" ht="12" customHeight="1" x14ac:dyDescent="0.25">
      <c r="A2004" s="6">
        <v>44710</v>
      </c>
      <c r="B2004" s="1">
        <v>2202559</v>
      </c>
      <c r="C2004" s="5" t="s">
        <v>301</v>
      </c>
      <c r="D2004" s="5" t="str">
        <f>VLOOKUP(C2004,[1]master_data!$A$2:$E$495,2,FALSE)</f>
        <v>MAINAN NAGA DRAGON</v>
      </c>
      <c r="E2004" s="5">
        <v>1</v>
      </c>
      <c r="F2004" s="5">
        <f>VLOOKUP(C2004,[1]master_data!$A$2:$E$495,3,FALSE)</f>
        <v>26000</v>
      </c>
      <c r="G2004" s="5">
        <f>VLOOKUP(C2004,[1]master_data!$A$2:$E$495,4,FALSE)</f>
        <v>40000</v>
      </c>
      <c r="H2004" s="5">
        <f t="shared" si="99"/>
        <v>26000</v>
      </c>
      <c r="I2004" s="5">
        <f t="shared" si="100"/>
        <v>40000</v>
      </c>
      <c r="J2004" s="5">
        <f t="shared" si="101"/>
        <v>14000</v>
      </c>
      <c r="K2004" s="5" t="str">
        <f>VLOOKUP(C2004,[1]master_data!$A$2:$E$495,5,FALSE)</f>
        <v>Aksesoris</v>
      </c>
      <c r="L2004" s="5" t="s">
        <v>471</v>
      </c>
    </row>
    <row r="2005" spans="1:12" ht="12" customHeight="1" x14ac:dyDescent="0.25">
      <c r="A2005" s="6">
        <v>44710</v>
      </c>
      <c r="B2005" s="1">
        <v>2202558</v>
      </c>
      <c r="C2005" s="5" t="s">
        <v>461</v>
      </c>
      <c r="D2005" s="5" t="str">
        <f>VLOOKUP(C2005,[1]master_data!$A$2:$E$495,2,FALSE)</f>
        <v>SEPAT</v>
      </c>
      <c r="E2005" s="5">
        <v>1</v>
      </c>
      <c r="F2005" s="5">
        <f>VLOOKUP(C2005,[1]master_data!$A$2:$E$495,3,FALSE)</f>
        <v>600</v>
      </c>
      <c r="G2005" s="5">
        <f>VLOOKUP(C2005,[1]master_data!$A$2:$E$495,4,FALSE)</f>
        <v>2000</v>
      </c>
      <c r="H2005" s="5">
        <f t="shared" si="99"/>
        <v>600</v>
      </c>
      <c r="I2005" s="5">
        <f t="shared" si="100"/>
        <v>2000</v>
      </c>
      <c r="J2005" s="5">
        <f t="shared" si="101"/>
        <v>1400</v>
      </c>
      <c r="K2005" s="5" t="str">
        <f>VLOOKUP(C2005,[1]master_data!$A$2:$E$495,5,FALSE)</f>
        <v>Ikan</v>
      </c>
      <c r="L2005" s="5" t="s">
        <v>471</v>
      </c>
    </row>
    <row r="2006" spans="1:12" ht="12" customHeight="1" x14ac:dyDescent="0.25">
      <c r="A2006" s="6">
        <v>44710</v>
      </c>
      <c r="B2006" s="1">
        <v>2202557</v>
      </c>
      <c r="C2006" s="5" t="s">
        <v>453</v>
      </c>
      <c r="D2006" s="5" t="str">
        <f>VLOOKUP(C2006,[1]master_data!$A$2:$E$495,2,FALSE)</f>
        <v>SYNODONTIS K</v>
      </c>
      <c r="E2006" s="5">
        <v>2</v>
      </c>
      <c r="F2006" s="5">
        <f>VLOOKUP(C2006,[1]master_data!$A$2:$E$495,3,FALSE)</f>
        <v>1500</v>
      </c>
      <c r="G2006" s="5">
        <f>VLOOKUP(C2006,[1]master_data!$A$2:$E$495,4,FALSE)</f>
        <v>5000</v>
      </c>
      <c r="H2006" s="5">
        <f t="shared" si="99"/>
        <v>3000</v>
      </c>
      <c r="I2006" s="5">
        <f t="shared" si="100"/>
        <v>10000</v>
      </c>
      <c r="J2006" s="5">
        <f t="shared" si="101"/>
        <v>7000</v>
      </c>
      <c r="K2006" s="5" t="str">
        <f>VLOOKUP(C2006,[1]master_data!$A$2:$E$495,5,FALSE)</f>
        <v>Ikan</v>
      </c>
      <c r="L2006" s="5" t="s">
        <v>471</v>
      </c>
    </row>
    <row r="2007" spans="1:12" ht="12" customHeight="1" x14ac:dyDescent="0.25">
      <c r="A2007" s="6">
        <v>44710</v>
      </c>
      <c r="B2007" s="1">
        <v>2202556</v>
      </c>
      <c r="C2007" s="5" t="s">
        <v>431</v>
      </c>
      <c r="D2007" s="5" t="str">
        <f>VLOOKUP(C2007,[1]master_data!$A$2:$E$495,2,FALSE)</f>
        <v>MANFISH B</v>
      </c>
      <c r="E2007" s="5">
        <v>2</v>
      </c>
      <c r="F2007" s="5">
        <f>VLOOKUP(C2007,[1]master_data!$A$2:$E$495,3,FALSE)</f>
        <v>4000</v>
      </c>
      <c r="G2007" s="5">
        <f>VLOOKUP(C2007,[1]master_data!$A$2:$E$495,4,FALSE)</f>
        <v>10000</v>
      </c>
      <c r="H2007" s="5">
        <f t="shared" si="99"/>
        <v>8000</v>
      </c>
      <c r="I2007" s="5">
        <f t="shared" si="100"/>
        <v>20000</v>
      </c>
      <c r="J2007" s="5">
        <f t="shared" si="101"/>
        <v>12000</v>
      </c>
      <c r="K2007" s="5" t="str">
        <f>VLOOKUP(C2007,[1]master_data!$A$2:$E$495,5,FALSE)</f>
        <v>Ikan</v>
      </c>
      <c r="L2007" s="5" t="s">
        <v>471</v>
      </c>
    </row>
    <row r="2008" spans="1:12" ht="12" customHeight="1" x14ac:dyDescent="0.25">
      <c r="A2008" s="6">
        <v>44709</v>
      </c>
      <c r="B2008" s="1">
        <v>2202555</v>
      </c>
      <c r="C2008" s="5" t="s">
        <v>346</v>
      </c>
      <c r="D2008" s="5" t="str">
        <f>VLOOKUP(C2008,[1]master_data!$A$2:$E$495,2,FALSE)</f>
        <v>AKUARIUM NIKITA M</v>
      </c>
      <c r="E2008" s="5">
        <v>3</v>
      </c>
      <c r="F2008" s="5">
        <f>VLOOKUP(C2008,[1]master_data!$A$2:$E$495,3,FALSE)</f>
        <v>60000</v>
      </c>
      <c r="G2008" s="5">
        <f>VLOOKUP(C2008,[1]master_data!$A$2:$E$495,4,FALSE)</f>
        <v>110000</v>
      </c>
      <c r="H2008" s="5">
        <f t="shared" si="99"/>
        <v>180000</v>
      </c>
      <c r="I2008" s="5">
        <f t="shared" si="100"/>
        <v>330000</v>
      </c>
      <c r="J2008" s="5">
        <f t="shared" si="101"/>
        <v>150000</v>
      </c>
      <c r="K2008" s="5" t="str">
        <f>VLOOKUP(C2008,[1]master_data!$A$2:$E$495,5,FALSE)</f>
        <v>Aksesoris</v>
      </c>
      <c r="L2008" s="5" t="s">
        <v>471</v>
      </c>
    </row>
    <row r="2009" spans="1:12" ht="12" customHeight="1" x14ac:dyDescent="0.25">
      <c r="A2009" s="6">
        <v>44709</v>
      </c>
      <c r="B2009" s="1">
        <v>2202554</v>
      </c>
      <c r="C2009" s="5" t="s">
        <v>32</v>
      </c>
      <c r="D2009" s="5" t="str">
        <f>VLOOKUP(C2009,[1]master_data!$A$2:$E$495,2,FALSE)</f>
        <v>MESIN YAMANO 1000L</v>
      </c>
      <c r="E2009" s="5">
        <v>1</v>
      </c>
      <c r="F2009" s="5">
        <f>VLOOKUP(C2009,[1]master_data!$A$2:$E$495,3,FALSE)</f>
        <v>40000</v>
      </c>
      <c r="G2009" s="5">
        <f>VLOOKUP(C2009,[1]master_data!$A$2:$E$495,4,FALSE)</f>
        <v>60000</v>
      </c>
      <c r="H2009" s="5">
        <f t="shared" si="99"/>
        <v>40000</v>
      </c>
      <c r="I2009" s="5">
        <f t="shared" si="100"/>
        <v>60000</v>
      </c>
      <c r="J2009" s="5">
        <f t="shared" si="101"/>
        <v>20000</v>
      </c>
      <c r="K2009" s="5" t="str">
        <f>VLOOKUP(C2009,[1]master_data!$A$2:$E$495,5,FALSE)</f>
        <v>Aksesoris</v>
      </c>
      <c r="L2009" s="5" t="s">
        <v>471</v>
      </c>
    </row>
    <row r="2010" spans="1:12" ht="12" customHeight="1" x14ac:dyDescent="0.25">
      <c r="A2010" s="6">
        <v>44709</v>
      </c>
      <c r="B2010" s="1">
        <v>2202553</v>
      </c>
      <c r="C2010" s="5" t="s">
        <v>201</v>
      </c>
      <c r="D2010" s="5" t="str">
        <f>VLOOKUP(C2010,[1]master_data!$A$2:$E$495,2,FALSE)</f>
        <v>AGARU</v>
      </c>
      <c r="E2010" s="5">
        <v>1</v>
      </c>
      <c r="F2010" s="5">
        <f>VLOOKUP(C2010,[1]master_data!$A$2:$E$495,3,FALSE)</f>
        <v>6800</v>
      </c>
      <c r="G2010" s="5">
        <f>VLOOKUP(C2010,[1]master_data!$A$2:$E$495,4,FALSE)</f>
        <v>10000</v>
      </c>
      <c r="H2010" s="5">
        <f t="shared" si="99"/>
        <v>6800</v>
      </c>
      <c r="I2010" s="5">
        <f t="shared" si="100"/>
        <v>10000</v>
      </c>
      <c r="J2010" s="5">
        <f t="shared" si="101"/>
        <v>3200</v>
      </c>
      <c r="K2010" s="5" t="str">
        <f>VLOOKUP(C2010,[1]master_data!$A$2:$E$495,5,FALSE)</f>
        <v>Aksesoris</v>
      </c>
      <c r="L2010" s="5" t="s">
        <v>471</v>
      </c>
    </row>
    <row r="2011" spans="1:12" ht="12" customHeight="1" x14ac:dyDescent="0.25">
      <c r="A2011" s="6">
        <v>44709</v>
      </c>
      <c r="B2011" s="1">
        <v>2202552</v>
      </c>
      <c r="C2011" s="5" t="s">
        <v>439</v>
      </c>
      <c r="D2011" s="5" t="str">
        <f>VLOOKUP(C2011,[1]master_data!$A$2:$E$495,2,FALSE)</f>
        <v>NEON</v>
      </c>
      <c r="E2011" s="5">
        <v>2</v>
      </c>
      <c r="F2011" s="5">
        <f>VLOOKUP(C2011,[1]master_data!$A$2:$E$495,3,FALSE)</f>
        <v>1250</v>
      </c>
      <c r="G2011" s="5">
        <f>VLOOKUP(C2011,[1]master_data!$A$2:$E$495,4,FALSE)</f>
        <v>5000</v>
      </c>
      <c r="H2011" s="5">
        <f t="shared" si="99"/>
        <v>2500</v>
      </c>
      <c r="I2011" s="5">
        <f t="shared" si="100"/>
        <v>10000</v>
      </c>
      <c r="J2011" s="5">
        <f t="shared" si="101"/>
        <v>7500</v>
      </c>
      <c r="K2011" s="5" t="str">
        <f>VLOOKUP(C2011,[1]master_data!$A$2:$E$495,5,FALSE)</f>
        <v>Ikan</v>
      </c>
      <c r="L2011" s="5" t="s">
        <v>471</v>
      </c>
    </row>
    <row r="2012" spans="1:12" ht="12" customHeight="1" x14ac:dyDescent="0.25">
      <c r="A2012" s="6">
        <v>44709</v>
      </c>
      <c r="B2012" s="1">
        <v>2202551</v>
      </c>
      <c r="C2012" s="5" t="s">
        <v>112</v>
      </c>
      <c r="D2012" s="5" t="str">
        <f>VLOOKUP(C2012,[1]master_data!$A$2:$E$495,2,FALSE)</f>
        <v>LED ROSTON 20 CM</v>
      </c>
      <c r="E2012" s="5">
        <v>1</v>
      </c>
      <c r="F2012" s="5">
        <f>VLOOKUP(C2012,[1]master_data!$A$2:$E$495,3,FALSE)</f>
        <v>21000</v>
      </c>
      <c r="G2012" s="5">
        <f>VLOOKUP(C2012,[1]master_data!$A$2:$E$495,4,FALSE)</f>
        <v>30000</v>
      </c>
      <c r="H2012" s="5">
        <f t="shared" si="99"/>
        <v>21000</v>
      </c>
      <c r="I2012" s="5">
        <f t="shared" si="100"/>
        <v>30000</v>
      </c>
      <c r="J2012" s="5">
        <f t="shared" si="101"/>
        <v>9000</v>
      </c>
      <c r="K2012" s="5" t="str">
        <f>VLOOKUP(C2012,[1]master_data!$A$2:$E$495,5,FALSE)</f>
        <v>Aksesoris</v>
      </c>
      <c r="L2012" s="5" t="s">
        <v>471</v>
      </c>
    </row>
    <row r="2013" spans="1:12" ht="12" customHeight="1" x14ac:dyDescent="0.25">
      <c r="A2013" s="6">
        <v>44709</v>
      </c>
      <c r="B2013" s="1">
        <v>2202550</v>
      </c>
      <c r="C2013" s="5" t="s">
        <v>440</v>
      </c>
      <c r="D2013" s="5" t="str">
        <f>VLOOKUP(C2013,[1]master_data!$A$2:$E$495,2,FALSE)</f>
        <v>OSCAR</v>
      </c>
      <c r="E2013" s="5">
        <v>4</v>
      </c>
      <c r="F2013" s="5">
        <f>VLOOKUP(C2013,[1]master_data!$A$2:$E$495,3,FALSE)</f>
        <v>25000</v>
      </c>
      <c r="G2013" s="5">
        <f>VLOOKUP(C2013,[1]master_data!$A$2:$E$495,4,FALSE)</f>
        <v>50000</v>
      </c>
      <c r="H2013" s="5">
        <f t="shared" si="99"/>
        <v>100000</v>
      </c>
      <c r="I2013" s="5">
        <f t="shared" si="100"/>
        <v>200000</v>
      </c>
      <c r="J2013" s="5">
        <f t="shared" si="101"/>
        <v>100000</v>
      </c>
      <c r="K2013" s="5" t="str">
        <f>VLOOKUP(C2013,[1]master_data!$A$2:$E$495,5,FALSE)</f>
        <v>Ikan</v>
      </c>
      <c r="L2013" s="5" t="s">
        <v>471</v>
      </c>
    </row>
    <row r="2014" spans="1:12" ht="12" customHeight="1" x14ac:dyDescent="0.25">
      <c r="A2014" s="6">
        <v>44709</v>
      </c>
      <c r="B2014" s="1">
        <v>2202549</v>
      </c>
      <c r="C2014" s="5" t="s">
        <v>438</v>
      </c>
      <c r="D2014" s="5" t="str">
        <f>VLOOKUP(C2014,[1]master_data!$A$2:$E$495,2,FALSE)</f>
        <v>NENTINEN</v>
      </c>
      <c r="E2014" s="5">
        <v>1</v>
      </c>
      <c r="F2014" s="5">
        <f>VLOOKUP(C2014,[1]master_data!$A$2:$E$495,3,FALSE)</f>
        <v>1000</v>
      </c>
      <c r="G2014" s="5">
        <f>VLOOKUP(C2014,[1]master_data!$A$2:$E$495,4,FALSE)</f>
        <v>2500</v>
      </c>
      <c r="H2014" s="5">
        <f t="shared" si="99"/>
        <v>1000</v>
      </c>
      <c r="I2014" s="5">
        <f t="shared" si="100"/>
        <v>2500</v>
      </c>
      <c r="J2014" s="5">
        <f t="shared" si="101"/>
        <v>1500</v>
      </c>
      <c r="K2014" s="5" t="str">
        <f>VLOOKUP(C2014,[1]master_data!$A$2:$E$495,5,FALSE)</f>
        <v>Ikan</v>
      </c>
      <c r="L2014" s="5" t="s">
        <v>471</v>
      </c>
    </row>
    <row r="2015" spans="1:12" ht="12" customHeight="1" x14ac:dyDescent="0.25">
      <c r="A2015" s="6">
        <v>44709</v>
      </c>
      <c r="B2015" s="1">
        <v>2202548</v>
      </c>
      <c r="C2015" s="5" t="s">
        <v>115</v>
      </c>
      <c r="D2015" s="5" t="str">
        <f>VLOOKUP(C2015,[1]master_data!$A$2:$E$495,2,FALSE)</f>
        <v>LED ROSTON 30 CM</v>
      </c>
      <c r="E2015" s="5">
        <v>1</v>
      </c>
      <c r="F2015" s="5">
        <f>VLOOKUP(C2015,[1]master_data!$A$2:$E$495,3,FALSE)</f>
        <v>21000</v>
      </c>
      <c r="G2015" s="5">
        <f>VLOOKUP(C2015,[1]master_data!$A$2:$E$495,4,FALSE)</f>
        <v>35000</v>
      </c>
      <c r="H2015" s="5">
        <f t="shared" si="99"/>
        <v>21000</v>
      </c>
      <c r="I2015" s="5">
        <f t="shared" si="100"/>
        <v>35000</v>
      </c>
      <c r="J2015" s="5">
        <f t="shared" si="101"/>
        <v>14000</v>
      </c>
      <c r="K2015" s="5" t="str">
        <f>VLOOKUP(C2015,[1]master_data!$A$2:$E$495,5,FALSE)</f>
        <v>Aksesoris</v>
      </c>
      <c r="L2015" s="5" t="s">
        <v>471</v>
      </c>
    </row>
    <row r="2016" spans="1:12" ht="12" customHeight="1" x14ac:dyDescent="0.25">
      <c r="A2016" s="6">
        <v>44709</v>
      </c>
      <c r="B2016" s="1">
        <v>2202547</v>
      </c>
      <c r="C2016" s="5" t="s">
        <v>431</v>
      </c>
      <c r="D2016" s="5" t="str">
        <f>VLOOKUP(C2016,[1]master_data!$A$2:$E$495,2,FALSE)</f>
        <v>MANFISH B</v>
      </c>
      <c r="E2016" s="5">
        <v>2</v>
      </c>
      <c r="F2016" s="5">
        <f>VLOOKUP(C2016,[1]master_data!$A$2:$E$495,3,FALSE)</f>
        <v>4000</v>
      </c>
      <c r="G2016" s="5">
        <f>VLOOKUP(C2016,[1]master_data!$A$2:$E$495,4,FALSE)</f>
        <v>10000</v>
      </c>
      <c r="H2016" s="5">
        <f t="shared" si="99"/>
        <v>8000</v>
      </c>
      <c r="I2016" s="5">
        <f t="shared" si="100"/>
        <v>20000</v>
      </c>
      <c r="J2016" s="5">
        <f t="shared" si="101"/>
        <v>12000</v>
      </c>
      <c r="K2016" s="5" t="str">
        <f>VLOOKUP(C2016,[1]master_data!$A$2:$E$495,5,FALSE)</f>
        <v>Ikan</v>
      </c>
      <c r="L2016" s="5" t="s">
        <v>471</v>
      </c>
    </row>
    <row r="2017" spans="1:12" ht="12" customHeight="1" x14ac:dyDescent="0.25">
      <c r="A2017" s="6">
        <v>44709</v>
      </c>
      <c r="B2017" s="1">
        <v>2202546</v>
      </c>
      <c r="C2017" s="5" t="s">
        <v>208</v>
      </c>
      <c r="D2017" s="5" t="str">
        <f>VLOOKUP(C2017,[1]master_data!$A$2:$E$495,2,FALSE)</f>
        <v>TOP VIT</v>
      </c>
      <c r="E2017" s="5">
        <v>1</v>
      </c>
      <c r="F2017" s="5">
        <f>VLOOKUP(C2017,[1]master_data!$A$2:$E$495,3,FALSE)</f>
        <v>4000</v>
      </c>
      <c r="G2017" s="5">
        <f>VLOOKUP(C2017,[1]master_data!$A$2:$E$495,4,FALSE)</f>
        <v>7000</v>
      </c>
      <c r="H2017" s="5">
        <f t="shared" si="99"/>
        <v>4000</v>
      </c>
      <c r="I2017" s="5">
        <f t="shared" si="100"/>
        <v>7000</v>
      </c>
      <c r="J2017" s="5">
        <f t="shared" si="101"/>
        <v>3000</v>
      </c>
      <c r="K2017" s="5" t="str">
        <f>VLOOKUP(C2017,[1]master_data!$A$2:$E$495,5,FALSE)</f>
        <v>Aksesoris</v>
      </c>
      <c r="L2017" s="5" t="s">
        <v>471</v>
      </c>
    </row>
    <row r="2018" spans="1:12" ht="12" customHeight="1" x14ac:dyDescent="0.25">
      <c r="A2018" s="6">
        <v>44709</v>
      </c>
      <c r="B2018" s="1">
        <v>2202545</v>
      </c>
      <c r="C2018" s="5" t="s">
        <v>443</v>
      </c>
      <c r="D2018" s="5" t="str">
        <f>VLOOKUP(C2018,[1]master_data!$A$2:$E$495,2,FALSE)</f>
        <v>PALMAS</v>
      </c>
      <c r="E2018" s="5">
        <v>1</v>
      </c>
      <c r="F2018" s="5">
        <f>VLOOKUP(C2018,[1]master_data!$A$2:$E$495,3,FALSE)</f>
        <v>10000</v>
      </c>
      <c r="G2018" s="5">
        <f>VLOOKUP(C2018,[1]master_data!$A$2:$E$495,4,FALSE)</f>
        <v>25000</v>
      </c>
      <c r="H2018" s="5">
        <f t="shared" si="99"/>
        <v>10000</v>
      </c>
      <c r="I2018" s="5">
        <f t="shared" si="100"/>
        <v>25000</v>
      </c>
      <c r="J2018" s="5">
        <f t="shared" si="101"/>
        <v>15000</v>
      </c>
      <c r="K2018" s="5" t="str">
        <f>VLOOKUP(C2018,[1]master_data!$A$2:$E$495,5,FALSE)</f>
        <v>Ikan</v>
      </c>
      <c r="L2018" s="5" t="s">
        <v>471</v>
      </c>
    </row>
    <row r="2019" spans="1:12" ht="12" customHeight="1" x14ac:dyDescent="0.25">
      <c r="A2019" s="6">
        <v>44708</v>
      </c>
      <c r="B2019" s="1">
        <v>2202544</v>
      </c>
      <c r="C2019" s="5" t="s">
        <v>438</v>
      </c>
      <c r="D2019" s="5" t="str">
        <f>VLOOKUP(C2019,[1]master_data!$A$2:$E$495,2,FALSE)</f>
        <v>NENTINEN</v>
      </c>
      <c r="E2019" s="5">
        <v>1</v>
      </c>
      <c r="F2019" s="5">
        <f>VLOOKUP(C2019,[1]master_data!$A$2:$E$495,3,FALSE)</f>
        <v>1000</v>
      </c>
      <c r="G2019" s="5">
        <f>VLOOKUP(C2019,[1]master_data!$A$2:$E$495,4,FALSE)</f>
        <v>2500</v>
      </c>
      <c r="H2019" s="5">
        <f t="shared" si="99"/>
        <v>1000</v>
      </c>
      <c r="I2019" s="5">
        <f t="shared" si="100"/>
        <v>2500</v>
      </c>
      <c r="J2019" s="5">
        <f t="shared" si="101"/>
        <v>1500</v>
      </c>
      <c r="K2019" s="5" t="str">
        <f>VLOOKUP(C2019,[1]master_data!$A$2:$E$495,5,FALSE)</f>
        <v>Ikan</v>
      </c>
      <c r="L2019" s="5" t="s">
        <v>471</v>
      </c>
    </row>
    <row r="2020" spans="1:12" ht="12" customHeight="1" x14ac:dyDescent="0.25">
      <c r="A2020" s="6">
        <v>44708</v>
      </c>
      <c r="B2020" s="1">
        <v>2202543</v>
      </c>
      <c r="C2020" s="5" t="s">
        <v>248</v>
      </c>
      <c r="D2020" s="5" t="str">
        <f>VLOOKUP(C2020,[1]master_data!$A$2:$E$495,2,FALSE)</f>
        <v>MATLINE BLUE</v>
      </c>
      <c r="E2020" s="5">
        <v>1</v>
      </c>
      <c r="F2020" s="5">
        <f>VLOOKUP(C2020,[1]master_data!$A$2:$E$495,3,FALSE)</f>
        <v>7000</v>
      </c>
      <c r="G2020" s="5">
        <f>VLOOKUP(C2020,[1]master_data!$A$2:$E$495,4,FALSE)</f>
        <v>10000</v>
      </c>
      <c r="H2020" s="5">
        <f t="shared" si="99"/>
        <v>7000</v>
      </c>
      <c r="I2020" s="5">
        <f t="shared" si="100"/>
        <v>10000</v>
      </c>
      <c r="J2020" s="5">
        <f t="shared" si="101"/>
        <v>3000</v>
      </c>
      <c r="K2020" s="5" t="str">
        <f>VLOOKUP(C2020,[1]master_data!$A$2:$E$495,5,FALSE)</f>
        <v>Aksesoris</v>
      </c>
      <c r="L2020" s="5" t="s">
        <v>471</v>
      </c>
    </row>
    <row r="2021" spans="1:12" ht="12" customHeight="1" x14ac:dyDescent="0.25">
      <c r="A2021" s="6">
        <v>44708</v>
      </c>
      <c r="B2021" s="1">
        <v>2202542</v>
      </c>
      <c r="C2021" s="5" t="s">
        <v>439</v>
      </c>
      <c r="D2021" s="5" t="str">
        <f>VLOOKUP(C2021,[1]master_data!$A$2:$E$495,2,FALSE)</f>
        <v>NEON</v>
      </c>
      <c r="E2021" s="5">
        <v>2</v>
      </c>
      <c r="F2021" s="5">
        <f>VLOOKUP(C2021,[1]master_data!$A$2:$E$495,3,FALSE)</f>
        <v>1250</v>
      </c>
      <c r="G2021" s="5">
        <f>VLOOKUP(C2021,[1]master_data!$A$2:$E$495,4,FALSE)</f>
        <v>5000</v>
      </c>
      <c r="H2021" s="5">
        <f t="shared" si="99"/>
        <v>2500</v>
      </c>
      <c r="I2021" s="5">
        <f t="shared" si="100"/>
        <v>10000</v>
      </c>
      <c r="J2021" s="5">
        <f t="shared" si="101"/>
        <v>7500</v>
      </c>
      <c r="K2021" s="5" t="str">
        <f>VLOOKUP(C2021,[1]master_data!$A$2:$E$495,5,FALSE)</f>
        <v>Ikan</v>
      </c>
      <c r="L2021" s="5" t="s">
        <v>471</v>
      </c>
    </row>
    <row r="2022" spans="1:12" ht="12" customHeight="1" x14ac:dyDescent="0.25">
      <c r="A2022" s="6">
        <v>44708</v>
      </c>
      <c r="B2022" s="1">
        <v>2202541</v>
      </c>
      <c r="C2022" s="5" t="s">
        <v>43</v>
      </c>
      <c r="D2022" s="5" t="str">
        <f>VLOOKUP(C2022,[1]master_data!$A$2:$E$495,2,FALSE)</f>
        <v>MESIN YAMANO 650</v>
      </c>
      <c r="E2022" s="5">
        <v>1</v>
      </c>
      <c r="F2022" s="5">
        <f>VLOOKUP(C2022,[1]master_data!$A$2:$E$495,3,FALSE)</f>
        <v>40000</v>
      </c>
      <c r="G2022" s="5">
        <f>VLOOKUP(C2022,[1]master_data!$A$2:$E$495,4,FALSE)</f>
        <v>70000</v>
      </c>
      <c r="H2022" s="5">
        <f t="shared" si="99"/>
        <v>40000</v>
      </c>
      <c r="I2022" s="5">
        <f t="shared" si="100"/>
        <v>70000</v>
      </c>
      <c r="J2022" s="5">
        <f t="shared" si="101"/>
        <v>30000</v>
      </c>
      <c r="K2022" s="5" t="str">
        <f>VLOOKUP(C2022,[1]master_data!$A$2:$E$495,5,FALSE)</f>
        <v>Aksesoris</v>
      </c>
      <c r="L2022" s="5" t="s">
        <v>471</v>
      </c>
    </row>
    <row r="2023" spans="1:12" ht="12" customHeight="1" x14ac:dyDescent="0.25">
      <c r="A2023" s="6">
        <v>44708</v>
      </c>
      <c r="B2023" s="1">
        <v>2202540</v>
      </c>
      <c r="C2023" s="5" t="s">
        <v>440</v>
      </c>
      <c r="D2023" s="5" t="str">
        <f>VLOOKUP(C2023,[1]master_data!$A$2:$E$495,2,FALSE)</f>
        <v>OSCAR</v>
      </c>
      <c r="E2023" s="5">
        <v>5</v>
      </c>
      <c r="F2023" s="5">
        <f>VLOOKUP(C2023,[1]master_data!$A$2:$E$495,3,FALSE)</f>
        <v>25000</v>
      </c>
      <c r="G2023" s="5">
        <f>VLOOKUP(C2023,[1]master_data!$A$2:$E$495,4,FALSE)</f>
        <v>50000</v>
      </c>
      <c r="H2023" s="5">
        <f t="shared" si="99"/>
        <v>125000</v>
      </c>
      <c r="I2023" s="5">
        <f t="shared" si="100"/>
        <v>250000</v>
      </c>
      <c r="J2023" s="5">
        <f t="shared" si="101"/>
        <v>125000</v>
      </c>
      <c r="K2023" s="5" t="str">
        <f>VLOOKUP(C2023,[1]master_data!$A$2:$E$495,5,FALSE)</f>
        <v>Ikan</v>
      </c>
      <c r="L2023" s="5" t="s">
        <v>471</v>
      </c>
    </row>
    <row r="2024" spans="1:12" ht="12" customHeight="1" x14ac:dyDescent="0.25">
      <c r="A2024" s="6">
        <v>44708</v>
      </c>
      <c r="B2024" s="1">
        <v>2202539</v>
      </c>
      <c r="C2024" s="5" t="s">
        <v>258</v>
      </c>
      <c r="D2024" s="5" t="str">
        <f>VLOOKUP(C2024,[1]master_data!$A$2:$E$495,2,FALSE)</f>
        <v>BIOBOL</v>
      </c>
      <c r="E2024" s="5">
        <v>40</v>
      </c>
      <c r="F2024" s="5">
        <f>VLOOKUP(C2024,[1]master_data!$A$2:$E$495,3,FALSE)</f>
        <v>4000</v>
      </c>
      <c r="G2024" s="5">
        <f>VLOOKUP(C2024,[1]master_data!$A$2:$E$495,4,FALSE)</f>
        <v>7500</v>
      </c>
      <c r="H2024" s="5">
        <f t="shared" si="99"/>
        <v>160000</v>
      </c>
      <c r="I2024" s="5">
        <f t="shared" si="100"/>
        <v>300000</v>
      </c>
      <c r="J2024" s="5">
        <f t="shared" si="101"/>
        <v>140000</v>
      </c>
      <c r="K2024" s="5" t="str">
        <f>VLOOKUP(C2024,[1]master_data!$A$2:$E$495,5,FALSE)</f>
        <v>Aksesoris</v>
      </c>
      <c r="L2024" s="5" t="s">
        <v>471</v>
      </c>
    </row>
    <row r="2025" spans="1:12" ht="12" customHeight="1" x14ac:dyDescent="0.25">
      <c r="A2025" s="6">
        <v>44708</v>
      </c>
      <c r="B2025" s="1">
        <v>2202538</v>
      </c>
      <c r="C2025" s="5" t="s">
        <v>100</v>
      </c>
      <c r="D2025" s="5" t="str">
        <f>VLOOKUP(C2025,[1]master_data!$A$2:$E$495,2,FALSE)</f>
        <v>AIRATOR AMARA LUB 1</v>
      </c>
      <c r="E2025" s="5">
        <v>1</v>
      </c>
      <c r="F2025" s="5">
        <f>VLOOKUP(C2025,[1]master_data!$A$2:$E$495,3,FALSE)</f>
        <v>17500</v>
      </c>
      <c r="G2025" s="5">
        <f>VLOOKUP(C2025,[1]master_data!$A$2:$E$495,4,FALSE)</f>
        <v>30000</v>
      </c>
      <c r="H2025" s="5">
        <f t="shared" si="99"/>
        <v>17500</v>
      </c>
      <c r="I2025" s="5">
        <f t="shared" si="100"/>
        <v>30000</v>
      </c>
      <c r="J2025" s="5">
        <f t="shared" si="101"/>
        <v>12500</v>
      </c>
      <c r="K2025" s="5" t="str">
        <f>VLOOKUP(C2025,[1]master_data!$A$2:$E$495,5,FALSE)</f>
        <v>Aksesoris</v>
      </c>
      <c r="L2025" s="5" t="s">
        <v>471</v>
      </c>
    </row>
    <row r="2026" spans="1:12" ht="12" customHeight="1" x14ac:dyDescent="0.25">
      <c r="A2026" s="6">
        <v>44708</v>
      </c>
      <c r="B2026" s="1">
        <v>2202537</v>
      </c>
      <c r="C2026" s="5" t="s">
        <v>207</v>
      </c>
      <c r="D2026" s="5" t="str">
        <f>VLOOKUP(C2026,[1]master_data!$A$2:$E$495,2,FALSE)</f>
        <v>TAKARI TANGGUNG</v>
      </c>
      <c r="E2026" s="5">
        <v>2</v>
      </c>
      <c r="F2026" s="5">
        <f>VLOOKUP(C2026,[1]master_data!$A$2:$E$495,3,FALSE)</f>
        <v>8500</v>
      </c>
      <c r="G2026" s="5">
        <f>VLOOKUP(C2026,[1]master_data!$A$2:$E$495,4,FALSE)</f>
        <v>10000</v>
      </c>
      <c r="H2026" s="5">
        <f t="shared" si="99"/>
        <v>17000</v>
      </c>
      <c r="I2026" s="5">
        <f t="shared" si="100"/>
        <v>20000</v>
      </c>
      <c r="J2026" s="5">
        <f t="shared" si="101"/>
        <v>3000</v>
      </c>
      <c r="K2026" s="5" t="str">
        <f>VLOOKUP(C2026,[1]master_data!$A$2:$E$495,5,FALSE)</f>
        <v>Aksesoris</v>
      </c>
      <c r="L2026" s="5" t="s">
        <v>471</v>
      </c>
    </row>
    <row r="2027" spans="1:12" ht="12" customHeight="1" x14ac:dyDescent="0.25">
      <c r="A2027" s="6">
        <v>44708</v>
      </c>
      <c r="B2027" s="1">
        <v>2202536</v>
      </c>
      <c r="C2027" s="5" t="s">
        <v>206</v>
      </c>
      <c r="D2027" s="5" t="str">
        <f>VLOOKUP(C2027,[1]master_data!$A$2:$E$495,2,FALSE)</f>
        <v>TAKARI K</v>
      </c>
      <c r="E2027" s="5">
        <v>1</v>
      </c>
      <c r="F2027" s="5">
        <f>VLOOKUP(C2027,[1]master_data!$A$2:$E$495,3,FALSE)</f>
        <v>3500</v>
      </c>
      <c r="G2027" s="5">
        <f>VLOOKUP(C2027,[1]master_data!$A$2:$E$495,4,FALSE)</f>
        <v>5000</v>
      </c>
      <c r="H2027" s="5">
        <f t="shared" si="99"/>
        <v>3500</v>
      </c>
      <c r="I2027" s="5">
        <f t="shared" si="100"/>
        <v>5000</v>
      </c>
      <c r="J2027" s="5">
        <f t="shared" si="101"/>
        <v>1500</v>
      </c>
      <c r="K2027" s="5" t="str">
        <f>VLOOKUP(C2027,[1]master_data!$A$2:$E$495,5,FALSE)</f>
        <v>Aksesoris</v>
      </c>
      <c r="L2027" s="5" t="s">
        <v>471</v>
      </c>
    </row>
    <row r="2028" spans="1:12" ht="12" customHeight="1" x14ac:dyDescent="0.25">
      <c r="A2028" s="6">
        <v>44708</v>
      </c>
      <c r="B2028" s="1">
        <v>2202535</v>
      </c>
      <c r="C2028" s="5" t="s">
        <v>233</v>
      </c>
      <c r="D2028" s="5" t="str">
        <f>VLOOKUP(C2028,[1]master_data!$A$2:$E$495,2,FALSE)</f>
        <v>FISH LOVE PAKAN</v>
      </c>
      <c r="E2028" s="5">
        <v>1</v>
      </c>
      <c r="F2028" s="5">
        <f>VLOOKUP(C2028,[1]master_data!$A$2:$E$495,3,FALSE)</f>
        <v>2500</v>
      </c>
      <c r="G2028" s="5">
        <f>VLOOKUP(C2028,[1]master_data!$A$2:$E$495,4,FALSE)</f>
        <v>5000</v>
      </c>
      <c r="H2028" s="5">
        <f t="shared" si="99"/>
        <v>2500</v>
      </c>
      <c r="I2028" s="5">
        <f t="shared" si="100"/>
        <v>5000</v>
      </c>
      <c r="J2028" s="5">
        <f t="shared" si="101"/>
        <v>2500</v>
      </c>
      <c r="K2028" s="5" t="str">
        <f>VLOOKUP(C2028,[1]master_data!$A$2:$E$495,5,FALSE)</f>
        <v>Aksesoris</v>
      </c>
      <c r="L2028" s="5" t="s">
        <v>471</v>
      </c>
    </row>
    <row r="2029" spans="1:12" ht="12" customHeight="1" x14ac:dyDescent="0.25">
      <c r="A2029" s="6">
        <v>44708</v>
      </c>
      <c r="B2029" s="1">
        <v>2202534</v>
      </c>
      <c r="C2029" s="5" t="s">
        <v>443</v>
      </c>
      <c r="D2029" s="5" t="str">
        <f>VLOOKUP(C2029,[1]master_data!$A$2:$E$495,2,FALSE)</f>
        <v>PALMAS</v>
      </c>
      <c r="E2029" s="5">
        <v>1</v>
      </c>
      <c r="F2029" s="5">
        <f>VLOOKUP(C2029,[1]master_data!$A$2:$E$495,3,FALSE)</f>
        <v>10000</v>
      </c>
      <c r="G2029" s="5">
        <f>VLOOKUP(C2029,[1]master_data!$A$2:$E$495,4,FALSE)</f>
        <v>25000</v>
      </c>
      <c r="H2029" s="5">
        <f t="shared" si="99"/>
        <v>10000</v>
      </c>
      <c r="I2029" s="5">
        <f t="shared" si="100"/>
        <v>25000</v>
      </c>
      <c r="J2029" s="5">
        <f t="shared" si="101"/>
        <v>15000</v>
      </c>
      <c r="K2029" s="5" t="str">
        <f>VLOOKUP(C2029,[1]master_data!$A$2:$E$495,5,FALSE)</f>
        <v>Ikan</v>
      </c>
      <c r="L2029" s="5" t="s">
        <v>471</v>
      </c>
    </row>
    <row r="2030" spans="1:12" ht="12" customHeight="1" x14ac:dyDescent="0.25">
      <c r="A2030" s="6">
        <v>44708</v>
      </c>
      <c r="B2030" s="1">
        <v>2202533</v>
      </c>
      <c r="C2030" s="5" t="s">
        <v>431</v>
      </c>
      <c r="D2030" s="5" t="str">
        <f>VLOOKUP(C2030,[1]master_data!$A$2:$E$495,2,FALSE)</f>
        <v>MANFISH B</v>
      </c>
      <c r="E2030" s="5">
        <v>2</v>
      </c>
      <c r="F2030" s="5">
        <f>VLOOKUP(C2030,[1]master_data!$A$2:$E$495,3,FALSE)</f>
        <v>4000</v>
      </c>
      <c r="G2030" s="5">
        <f>VLOOKUP(C2030,[1]master_data!$A$2:$E$495,4,FALSE)</f>
        <v>10000</v>
      </c>
      <c r="H2030" s="5">
        <f t="shared" si="99"/>
        <v>8000</v>
      </c>
      <c r="I2030" s="5">
        <f t="shared" si="100"/>
        <v>20000</v>
      </c>
      <c r="J2030" s="5">
        <f t="shared" si="101"/>
        <v>12000</v>
      </c>
      <c r="K2030" s="5" t="str">
        <f>VLOOKUP(C2030,[1]master_data!$A$2:$E$495,5,FALSE)</f>
        <v>Ikan</v>
      </c>
      <c r="L2030" s="5" t="s">
        <v>471</v>
      </c>
    </row>
    <row r="2031" spans="1:12" ht="12" customHeight="1" x14ac:dyDescent="0.25">
      <c r="A2031" s="6">
        <v>44707</v>
      </c>
      <c r="B2031" s="1">
        <v>2202532</v>
      </c>
      <c r="C2031" s="5" t="s">
        <v>285</v>
      </c>
      <c r="D2031" s="5" t="str">
        <f>VLOOKUP(C2031,[1]master_data!$A$2:$E$495,2,FALSE)</f>
        <v>KAPAS 4 LAPIS</v>
      </c>
      <c r="E2031" s="5">
        <v>2</v>
      </c>
      <c r="F2031" s="5">
        <f>VLOOKUP(C2031,[1]master_data!$A$2:$E$495,3,FALSE)</f>
        <v>6500</v>
      </c>
      <c r="G2031" s="5">
        <f>VLOOKUP(C2031,[1]master_data!$A$2:$E$495,4,FALSE)</f>
        <v>10000</v>
      </c>
      <c r="H2031" s="5">
        <f t="shared" si="99"/>
        <v>13000</v>
      </c>
      <c r="I2031" s="5">
        <f t="shared" si="100"/>
        <v>20000</v>
      </c>
      <c r="J2031" s="5">
        <f t="shared" si="101"/>
        <v>7000</v>
      </c>
      <c r="K2031" s="5" t="str">
        <f>VLOOKUP(C2031,[1]master_data!$A$2:$E$495,5,FALSE)</f>
        <v>Aksesoris</v>
      </c>
      <c r="L2031" s="5" t="s">
        <v>471</v>
      </c>
    </row>
    <row r="2032" spans="1:12" ht="12" customHeight="1" x14ac:dyDescent="0.25">
      <c r="A2032" s="6">
        <v>44707</v>
      </c>
      <c r="B2032" s="1">
        <v>2202531</v>
      </c>
      <c r="C2032" s="5" t="s">
        <v>303</v>
      </c>
      <c r="D2032" s="5" t="str">
        <f>VLOOKUP(C2032,[1]master_data!$A$2:$E$495,2,FALSE)</f>
        <v>PIPA LONJOR 2 M</v>
      </c>
      <c r="E2032" s="5">
        <v>1</v>
      </c>
      <c r="F2032" s="5">
        <f>VLOOKUP(C2032,[1]master_data!$A$2:$E$495,3,FALSE)</f>
        <v>5000</v>
      </c>
      <c r="G2032" s="5">
        <f>VLOOKUP(C2032,[1]master_data!$A$2:$E$495,4,FALSE)</f>
        <v>10000</v>
      </c>
      <c r="H2032" s="5">
        <f t="shared" si="99"/>
        <v>5000</v>
      </c>
      <c r="I2032" s="5">
        <f t="shared" si="100"/>
        <v>10000</v>
      </c>
      <c r="J2032" s="5">
        <f t="shared" si="101"/>
        <v>5000</v>
      </c>
      <c r="K2032" s="5" t="str">
        <f>VLOOKUP(C2032,[1]master_data!$A$2:$E$495,5,FALSE)</f>
        <v>Aksesoris</v>
      </c>
      <c r="L2032" s="5" t="s">
        <v>471</v>
      </c>
    </row>
    <row r="2033" spans="1:12" ht="12" customHeight="1" x14ac:dyDescent="0.25">
      <c r="A2033" s="6">
        <v>44707</v>
      </c>
      <c r="B2033" s="1">
        <v>2202530</v>
      </c>
      <c r="C2033" s="5" t="s">
        <v>311</v>
      </c>
      <c r="D2033" s="5" t="str">
        <f>VLOOKUP(C2033,[1]master_data!$A$2:$E$495,2,FALSE)</f>
        <v>L PIPA</v>
      </c>
      <c r="E2033" s="5">
        <v>3</v>
      </c>
      <c r="F2033" s="5">
        <f>VLOOKUP(C2033,[1]master_data!$A$2:$E$495,3,FALSE)</f>
        <v>800</v>
      </c>
      <c r="G2033" s="5">
        <f>VLOOKUP(C2033,[1]master_data!$A$2:$E$495,4,FALSE)</f>
        <v>2000</v>
      </c>
      <c r="H2033" s="5">
        <f t="shared" si="99"/>
        <v>2400</v>
      </c>
      <c r="I2033" s="5">
        <f t="shared" si="100"/>
        <v>6000</v>
      </c>
      <c r="J2033" s="5">
        <f t="shared" si="101"/>
        <v>3600</v>
      </c>
      <c r="K2033" s="5" t="str">
        <f>VLOOKUP(C2033,[1]master_data!$A$2:$E$495,5,FALSE)</f>
        <v>Aksesoris</v>
      </c>
      <c r="L2033" s="5" t="s">
        <v>471</v>
      </c>
    </row>
    <row r="2034" spans="1:12" ht="12" customHeight="1" x14ac:dyDescent="0.25">
      <c r="A2034" s="6">
        <v>44707</v>
      </c>
      <c r="B2034" s="1">
        <v>2202529</v>
      </c>
      <c r="C2034" s="5" t="s">
        <v>212</v>
      </c>
      <c r="D2034" s="5" t="str">
        <f>VLOOKUP(C2034,[1]master_data!$A$2:$E$495,2,FALSE)</f>
        <v>UDANG KERING</v>
      </c>
      <c r="E2034" s="5">
        <v>1</v>
      </c>
      <c r="F2034" s="5">
        <f>VLOOKUP(C2034,[1]master_data!$A$2:$E$495,3,FALSE)</f>
        <v>4500</v>
      </c>
      <c r="G2034" s="5">
        <f>VLOOKUP(C2034,[1]master_data!$A$2:$E$495,4,FALSE)</f>
        <v>10000</v>
      </c>
      <c r="H2034" s="5">
        <f t="shared" si="99"/>
        <v>4500</v>
      </c>
      <c r="I2034" s="5">
        <f t="shared" si="100"/>
        <v>10000</v>
      </c>
      <c r="J2034" s="5">
        <f t="shared" si="101"/>
        <v>5500</v>
      </c>
      <c r="K2034" s="5" t="str">
        <f>VLOOKUP(C2034,[1]master_data!$A$2:$E$495,5,FALSE)</f>
        <v>Aksesoris</v>
      </c>
      <c r="L2034" s="5" t="s">
        <v>471</v>
      </c>
    </row>
    <row r="2035" spans="1:12" ht="12" customHeight="1" x14ac:dyDescent="0.25">
      <c r="A2035" s="6">
        <v>44707</v>
      </c>
      <c r="B2035" s="1">
        <v>2202528</v>
      </c>
      <c r="C2035" s="5" t="s">
        <v>422</v>
      </c>
      <c r="D2035" s="5" t="str">
        <f>VLOOKUP(C2035,[1]master_data!$A$2:$E$495,2,FALSE)</f>
        <v>KOMET SLAYER</v>
      </c>
      <c r="E2035" s="5">
        <v>1</v>
      </c>
      <c r="F2035" s="5">
        <f>VLOOKUP(C2035,[1]master_data!$A$2:$E$495,3,FALSE)</f>
        <v>2000</v>
      </c>
      <c r="G2035" s="5">
        <f>VLOOKUP(C2035,[1]master_data!$A$2:$E$495,4,FALSE)</f>
        <v>5000</v>
      </c>
      <c r="H2035" s="5">
        <f t="shared" si="99"/>
        <v>2000</v>
      </c>
      <c r="I2035" s="5">
        <f t="shared" si="100"/>
        <v>5000</v>
      </c>
      <c r="J2035" s="5">
        <f t="shared" si="101"/>
        <v>3000</v>
      </c>
      <c r="K2035" s="5" t="str">
        <f>VLOOKUP(C2035,[1]master_data!$A$2:$E$495,5,FALSE)</f>
        <v>Ikan</v>
      </c>
      <c r="L2035" s="5" t="s">
        <v>471</v>
      </c>
    </row>
    <row r="2036" spans="1:12" ht="12" customHeight="1" x14ac:dyDescent="0.25">
      <c r="A2036" s="6">
        <v>44707</v>
      </c>
      <c r="B2036" s="1">
        <v>2202527</v>
      </c>
      <c r="C2036" s="5" t="s">
        <v>439</v>
      </c>
      <c r="D2036" s="5" t="str">
        <f>VLOOKUP(C2036,[1]master_data!$A$2:$E$495,2,FALSE)</f>
        <v>NEON</v>
      </c>
      <c r="E2036" s="5">
        <v>2</v>
      </c>
      <c r="F2036" s="5">
        <f>VLOOKUP(C2036,[1]master_data!$A$2:$E$495,3,FALSE)</f>
        <v>1250</v>
      </c>
      <c r="G2036" s="5">
        <f>VLOOKUP(C2036,[1]master_data!$A$2:$E$495,4,FALSE)</f>
        <v>5000</v>
      </c>
      <c r="H2036" s="5">
        <f t="shared" si="99"/>
        <v>2500</v>
      </c>
      <c r="I2036" s="5">
        <f t="shared" si="100"/>
        <v>10000</v>
      </c>
      <c r="J2036" s="5">
        <f t="shared" si="101"/>
        <v>7500</v>
      </c>
      <c r="K2036" s="5" t="str">
        <f>VLOOKUP(C2036,[1]master_data!$A$2:$E$495,5,FALSE)</f>
        <v>Ikan</v>
      </c>
      <c r="L2036" s="5" t="s">
        <v>471</v>
      </c>
    </row>
    <row r="2037" spans="1:12" ht="12" customHeight="1" x14ac:dyDescent="0.25">
      <c r="A2037" s="6">
        <v>44707</v>
      </c>
      <c r="B2037" s="1">
        <v>2202526</v>
      </c>
      <c r="C2037" s="5" t="s">
        <v>431</v>
      </c>
      <c r="D2037" s="5" t="str">
        <f>VLOOKUP(C2037,[1]master_data!$A$2:$E$495,2,FALSE)</f>
        <v>MANFISH B</v>
      </c>
      <c r="E2037" s="5">
        <v>10</v>
      </c>
      <c r="F2037" s="5">
        <f>VLOOKUP(C2037,[1]master_data!$A$2:$E$495,3,FALSE)</f>
        <v>4000</v>
      </c>
      <c r="G2037" s="5">
        <f>VLOOKUP(C2037,[1]master_data!$A$2:$E$495,4,FALSE)</f>
        <v>10000</v>
      </c>
      <c r="H2037" s="5">
        <f t="shared" si="99"/>
        <v>40000</v>
      </c>
      <c r="I2037" s="5">
        <f t="shared" si="100"/>
        <v>100000</v>
      </c>
      <c r="J2037" s="5">
        <f t="shared" si="101"/>
        <v>60000</v>
      </c>
      <c r="K2037" s="5" t="str">
        <f>VLOOKUP(C2037,[1]master_data!$A$2:$E$495,5,FALSE)</f>
        <v>Ikan</v>
      </c>
      <c r="L2037" s="5" t="s">
        <v>471</v>
      </c>
    </row>
    <row r="2038" spans="1:12" ht="12" customHeight="1" x14ac:dyDescent="0.25">
      <c r="A2038" s="6">
        <v>44707</v>
      </c>
      <c r="B2038" s="1">
        <v>2202525</v>
      </c>
      <c r="C2038" s="5" t="s">
        <v>438</v>
      </c>
      <c r="D2038" s="5" t="str">
        <f>VLOOKUP(C2038,[1]master_data!$A$2:$E$495,2,FALSE)</f>
        <v>NENTINEN</v>
      </c>
      <c r="E2038" s="5">
        <v>1</v>
      </c>
      <c r="F2038" s="5">
        <f>VLOOKUP(C2038,[1]master_data!$A$2:$E$495,3,FALSE)</f>
        <v>1000</v>
      </c>
      <c r="G2038" s="5">
        <f>VLOOKUP(C2038,[1]master_data!$A$2:$E$495,4,FALSE)</f>
        <v>2500</v>
      </c>
      <c r="H2038" s="5">
        <f t="shared" si="99"/>
        <v>1000</v>
      </c>
      <c r="I2038" s="5">
        <f t="shared" si="100"/>
        <v>2500</v>
      </c>
      <c r="J2038" s="5">
        <f t="shared" si="101"/>
        <v>1500</v>
      </c>
      <c r="K2038" s="5" t="str">
        <f>VLOOKUP(C2038,[1]master_data!$A$2:$E$495,5,FALSE)</f>
        <v>Ikan</v>
      </c>
      <c r="L2038" s="5" t="s">
        <v>471</v>
      </c>
    </row>
    <row r="2039" spans="1:12" ht="12" customHeight="1" x14ac:dyDescent="0.25">
      <c r="A2039" s="6">
        <v>44707</v>
      </c>
      <c r="B2039" s="1">
        <v>2202524</v>
      </c>
      <c r="C2039" s="5" t="s">
        <v>407</v>
      </c>
      <c r="D2039" s="5" t="str">
        <f>VLOOKUP(C2039,[1]master_data!$A$2:$E$495,2,FALSE)</f>
        <v>CUPANG</v>
      </c>
      <c r="E2039" s="5">
        <v>1</v>
      </c>
      <c r="F2039" s="5">
        <f>VLOOKUP(C2039,[1]master_data!$A$2:$E$495,3,FALSE)</f>
        <v>2000</v>
      </c>
      <c r="G2039" s="5">
        <f>VLOOKUP(C2039,[1]master_data!$A$2:$E$495,4,FALSE)</f>
        <v>5000</v>
      </c>
      <c r="H2039" s="5">
        <f t="shared" si="99"/>
        <v>2000</v>
      </c>
      <c r="I2039" s="5">
        <f t="shared" si="100"/>
        <v>5000</v>
      </c>
      <c r="J2039" s="5">
        <f t="shared" si="101"/>
        <v>3000</v>
      </c>
      <c r="K2039" s="5" t="str">
        <f>VLOOKUP(C2039,[1]master_data!$A$2:$E$495,5,FALSE)</f>
        <v>Ikan</v>
      </c>
      <c r="L2039" s="5" t="s">
        <v>471</v>
      </c>
    </row>
    <row r="2040" spans="1:12" ht="12" customHeight="1" x14ac:dyDescent="0.25">
      <c r="A2040" s="6">
        <v>44707</v>
      </c>
      <c r="B2040" s="1">
        <v>2202523</v>
      </c>
      <c r="C2040" s="5" t="s">
        <v>440</v>
      </c>
      <c r="D2040" s="5" t="str">
        <f>VLOOKUP(C2040,[1]master_data!$A$2:$E$495,2,FALSE)</f>
        <v>OSCAR</v>
      </c>
      <c r="E2040" s="5">
        <v>10</v>
      </c>
      <c r="F2040" s="5">
        <f>VLOOKUP(C2040,[1]master_data!$A$2:$E$495,3,FALSE)</f>
        <v>25000</v>
      </c>
      <c r="G2040" s="5">
        <f>VLOOKUP(C2040,[1]master_data!$A$2:$E$495,4,FALSE)</f>
        <v>50000</v>
      </c>
      <c r="H2040" s="5">
        <f t="shared" si="99"/>
        <v>250000</v>
      </c>
      <c r="I2040" s="5">
        <f t="shared" si="100"/>
        <v>500000</v>
      </c>
      <c r="J2040" s="5">
        <f t="shared" si="101"/>
        <v>250000</v>
      </c>
      <c r="K2040" s="5" t="str">
        <f>VLOOKUP(C2040,[1]master_data!$A$2:$E$495,5,FALSE)</f>
        <v>Ikan</v>
      </c>
      <c r="L2040" s="5" t="s">
        <v>471</v>
      </c>
    </row>
    <row r="2041" spans="1:12" ht="12" customHeight="1" x14ac:dyDescent="0.25">
      <c r="A2041" s="6">
        <v>44707</v>
      </c>
      <c r="B2041" s="1">
        <v>2202522</v>
      </c>
      <c r="C2041" s="5" t="s">
        <v>412</v>
      </c>
      <c r="D2041" s="5" t="str">
        <f>VLOOKUP(C2041,[1]master_data!$A$2:$E$495,2,FALSE)</f>
        <v>HIU TAWAR</v>
      </c>
      <c r="E2041" s="5">
        <v>2</v>
      </c>
      <c r="F2041" s="5">
        <f>VLOOKUP(C2041,[1]master_data!$A$2:$E$495,3,FALSE)</f>
        <v>600</v>
      </c>
      <c r="G2041" s="5">
        <f>VLOOKUP(C2041,[1]master_data!$A$2:$E$495,4,FALSE)</f>
        <v>2000</v>
      </c>
      <c r="H2041" s="5">
        <f t="shared" si="99"/>
        <v>1200</v>
      </c>
      <c r="I2041" s="5">
        <f t="shared" si="100"/>
        <v>4000</v>
      </c>
      <c r="J2041" s="5">
        <f t="shared" si="101"/>
        <v>2800</v>
      </c>
      <c r="K2041" s="5" t="str">
        <f>VLOOKUP(C2041,[1]master_data!$A$2:$E$495,5,FALSE)</f>
        <v>Ikan</v>
      </c>
      <c r="L2041" s="5" t="s">
        <v>471</v>
      </c>
    </row>
    <row r="2042" spans="1:12" ht="12" customHeight="1" x14ac:dyDescent="0.25">
      <c r="A2042" s="6">
        <v>44707</v>
      </c>
      <c r="B2042" s="1">
        <v>2202521</v>
      </c>
      <c r="C2042" s="5" t="s">
        <v>208</v>
      </c>
      <c r="D2042" s="5" t="str">
        <f>VLOOKUP(C2042,[1]master_data!$A$2:$E$495,2,FALSE)</f>
        <v>TOP VIT</v>
      </c>
      <c r="E2042" s="5">
        <v>1</v>
      </c>
      <c r="F2042" s="5">
        <f>VLOOKUP(C2042,[1]master_data!$A$2:$E$495,3,FALSE)</f>
        <v>4000</v>
      </c>
      <c r="G2042" s="5">
        <f>VLOOKUP(C2042,[1]master_data!$A$2:$E$495,4,FALSE)</f>
        <v>7000</v>
      </c>
      <c r="H2042" s="5">
        <f t="shared" si="99"/>
        <v>4000</v>
      </c>
      <c r="I2042" s="5">
        <f t="shared" si="100"/>
        <v>7000</v>
      </c>
      <c r="J2042" s="5">
        <f t="shared" si="101"/>
        <v>3000</v>
      </c>
      <c r="K2042" s="5" t="str">
        <f>VLOOKUP(C2042,[1]master_data!$A$2:$E$495,5,FALSE)</f>
        <v>Aksesoris</v>
      </c>
      <c r="L2042" s="5" t="s">
        <v>471</v>
      </c>
    </row>
    <row r="2043" spans="1:12" ht="12" customHeight="1" x14ac:dyDescent="0.25">
      <c r="A2043" s="6">
        <v>44707</v>
      </c>
      <c r="B2043" s="1">
        <v>2202520</v>
      </c>
      <c r="C2043" s="5" t="s">
        <v>204</v>
      </c>
      <c r="D2043" s="5" t="str">
        <f>VLOOKUP(C2043,[1]master_data!$A$2:$E$495,2,FALSE)</f>
        <v>MAGOT</v>
      </c>
      <c r="E2043" s="5">
        <v>1</v>
      </c>
      <c r="F2043" s="5">
        <f>VLOOKUP(C2043,[1]master_data!$A$2:$E$495,3,FALSE)</f>
        <v>4500</v>
      </c>
      <c r="G2043" s="5">
        <f>VLOOKUP(C2043,[1]master_data!$A$2:$E$495,4,FALSE)</f>
        <v>10000</v>
      </c>
      <c r="H2043" s="5">
        <f t="shared" si="99"/>
        <v>4500</v>
      </c>
      <c r="I2043" s="5">
        <f t="shared" si="100"/>
        <v>10000</v>
      </c>
      <c r="J2043" s="5">
        <f t="shared" si="101"/>
        <v>5500</v>
      </c>
      <c r="K2043" s="5" t="str">
        <f>VLOOKUP(C2043,[1]master_data!$A$2:$E$495,5,FALSE)</f>
        <v>Aksesoris</v>
      </c>
      <c r="L2043" s="5" t="s">
        <v>471</v>
      </c>
    </row>
    <row r="2044" spans="1:12" ht="12" customHeight="1" x14ac:dyDescent="0.25">
      <c r="A2044" s="6">
        <v>44706</v>
      </c>
      <c r="B2044" s="1">
        <v>2202519</v>
      </c>
      <c r="C2044" s="5" t="s">
        <v>329</v>
      </c>
      <c r="D2044" s="5" t="str">
        <f>VLOOKUP(C2044,[1]master_data!$A$2:$E$495,2,FALSE)</f>
        <v>AIRSTONE D2L5</v>
      </c>
      <c r="E2044" s="5">
        <v>1</v>
      </c>
      <c r="F2044" s="5">
        <f>VLOOKUP(C2044,[1]master_data!$A$2:$E$495,3,FALSE)</f>
        <v>1850</v>
      </c>
      <c r="G2044" s="5">
        <f>VLOOKUP(C2044,[1]master_data!$A$2:$E$495,4,FALSE)</f>
        <v>5000</v>
      </c>
      <c r="H2044" s="5">
        <f t="shared" si="99"/>
        <v>1850</v>
      </c>
      <c r="I2044" s="5">
        <f t="shared" si="100"/>
        <v>5000</v>
      </c>
      <c r="J2044" s="5">
        <f t="shared" si="101"/>
        <v>3150</v>
      </c>
      <c r="K2044" s="5" t="str">
        <f>VLOOKUP(C2044,[1]master_data!$A$2:$E$495,5,FALSE)</f>
        <v>Aksesoris</v>
      </c>
      <c r="L2044" s="5" t="s">
        <v>471</v>
      </c>
    </row>
    <row r="2045" spans="1:12" ht="12" customHeight="1" x14ac:dyDescent="0.25">
      <c r="A2045" s="6">
        <v>44706</v>
      </c>
      <c r="B2045" s="1">
        <v>2202518</v>
      </c>
      <c r="C2045" s="5" t="s">
        <v>439</v>
      </c>
      <c r="D2045" s="5" t="str">
        <f>VLOOKUP(C2045,[1]master_data!$A$2:$E$495,2,FALSE)</f>
        <v>NEON</v>
      </c>
      <c r="E2045" s="5">
        <v>40</v>
      </c>
      <c r="F2045" s="5">
        <f>VLOOKUP(C2045,[1]master_data!$A$2:$E$495,3,FALSE)</f>
        <v>1250</v>
      </c>
      <c r="G2045" s="5">
        <f>VLOOKUP(C2045,[1]master_data!$A$2:$E$495,4,FALSE)</f>
        <v>5000</v>
      </c>
      <c r="H2045" s="5">
        <f t="shared" si="99"/>
        <v>50000</v>
      </c>
      <c r="I2045" s="5">
        <f t="shared" si="100"/>
        <v>200000</v>
      </c>
      <c r="J2045" s="5">
        <f t="shared" si="101"/>
        <v>150000</v>
      </c>
      <c r="K2045" s="5" t="str">
        <f>VLOOKUP(C2045,[1]master_data!$A$2:$E$495,5,FALSE)</f>
        <v>Ikan</v>
      </c>
      <c r="L2045" s="5" t="s">
        <v>471</v>
      </c>
    </row>
    <row r="2046" spans="1:12" ht="12" customHeight="1" x14ac:dyDescent="0.25">
      <c r="A2046" s="6">
        <v>44706</v>
      </c>
      <c r="B2046" s="1">
        <v>2202517</v>
      </c>
      <c r="C2046" s="5" t="s">
        <v>112</v>
      </c>
      <c r="D2046" s="5" t="str">
        <f>VLOOKUP(C2046,[1]master_data!$A$2:$E$495,2,FALSE)</f>
        <v>LED ROSTON 20 CM</v>
      </c>
      <c r="E2046" s="5">
        <v>8</v>
      </c>
      <c r="F2046" s="5">
        <f>VLOOKUP(C2046,[1]master_data!$A$2:$E$495,3,FALSE)</f>
        <v>21000</v>
      </c>
      <c r="G2046" s="5">
        <f>VLOOKUP(C2046,[1]master_data!$A$2:$E$495,4,FALSE)</f>
        <v>30000</v>
      </c>
      <c r="H2046" s="5">
        <f t="shared" si="99"/>
        <v>168000</v>
      </c>
      <c r="I2046" s="5">
        <f t="shared" si="100"/>
        <v>240000</v>
      </c>
      <c r="J2046" s="5">
        <f t="shared" si="101"/>
        <v>72000</v>
      </c>
      <c r="K2046" s="5" t="str">
        <f>VLOOKUP(C2046,[1]master_data!$A$2:$E$495,5,FALSE)</f>
        <v>Aksesoris</v>
      </c>
      <c r="L2046" s="5" t="s">
        <v>471</v>
      </c>
    </row>
    <row r="2047" spans="1:12" ht="12" customHeight="1" x14ac:dyDescent="0.25">
      <c r="A2047" s="6">
        <v>44706</v>
      </c>
      <c r="B2047" s="1">
        <v>2202516</v>
      </c>
      <c r="C2047" s="5" t="s">
        <v>201</v>
      </c>
      <c r="D2047" s="5" t="str">
        <f>VLOOKUP(C2047,[1]master_data!$A$2:$E$495,2,FALSE)</f>
        <v>AGARU</v>
      </c>
      <c r="E2047" s="5">
        <v>1</v>
      </c>
      <c r="F2047" s="5">
        <f>VLOOKUP(C2047,[1]master_data!$A$2:$E$495,3,FALSE)</f>
        <v>6800</v>
      </c>
      <c r="G2047" s="5">
        <f>VLOOKUP(C2047,[1]master_data!$A$2:$E$495,4,FALSE)</f>
        <v>10000</v>
      </c>
      <c r="H2047" s="5">
        <f t="shared" si="99"/>
        <v>6800</v>
      </c>
      <c r="I2047" s="5">
        <f t="shared" si="100"/>
        <v>10000</v>
      </c>
      <c r="J2047" s="5">
        <f t="shared" si="101"/>
        <v>3200</v>
      </c>
      <c r="K2047" s="5" t="str">
        <f>VLOOKUP(C2047,[1]master_data!$A$2:$E$495,5,FALSE)</f>
        <v>Aksesoris</v>
      </c>
      <c r="L2047" s="5" t="s">
        <v>471</v>
      </c>
    </row>
    <row r="2048" spans="1:12" ht="12" customHeight="1" x14ac:dyDescent="0.25">
      <c r="A2048" s="6">
        <v>44706</v>
      </c>
      <c r="B2048" s="1">
        <v>2202515</v>
      </c>
      <c r="C2048" s="5" t="s">
        <v>201</v>
      </c>
      <c r="D2048" s="5" t="str">
        <f>VLOOKUP(C2048,[1]master_data!$A$2:$E$495,2,FALSE)</f>
        <v>AGARU</v>
      </c>
      <c r="E2048" s="5">
        <v>1</v>
      </c>
      <c r="F2048" s="5">
        <f>VLOOKUP(C2048,[1]master_data!$A$2:$E$495,3,FALSE)</f>
        <v>6800</v>
      </c>
      <c r="G2048" s="5">
        <f>VLOOKUP(C2048,[1]master_data!$A$2:$E$495,4,FALSE)</f>
        <v>10000</v>
      </c>
      <c r="H2048" s="5">
        <f t="shared" si="99"/>
        <v>6800</v>
      </c>
      <c r="I2048" s="5">
        <f t="shared" si="100"/>
        <v>10000</v>
      </c>
      <c r="J2048" s="5">
        <f t="shared" si="101"/>
        <v>3200</v>
      </c>
      <c r="K2048" s="5" t="str">
        <f>VLOOKUP(C2048,[1]master_data!$A$2:$E$495,5,FALSE)</f>
        <v>Aksesoris</v>
      </c>
      <c r="L2048" s="5" t="s">
        <v>471</v>
      </c>
    </row>
    <row r="2049" spans="1:12" ht="12" customHeight="1" x14ac:dyDescent="0.25">
      <c r="A2049" s="6">
        <v>44706</v>
      </c>
      <c r="B2049" s="1">
        <v>2202514</v>
      </c>
      <c r="C2049" s="5" t="s">
        <v>318</v>
      </c>
      <c r="D2049" s="5" t="str">
        <f>VLOOKUP(C2049,[1]master_data!$A$2:$E$495,2,FALSE)</f>
        <v>TEMPAT CACING</v>
      </c>
      <c r="E2049" s="5">
        <v>1</v>
      </c>
      <c r="F2049" s="5">
        <f>VLOOKUP(C2049,[1]master_data!$A$2:$E$495,3,FALSE)</f>
        <v>1500</v>
      </c>
      <c r="G2049" s="5">
        <f>VLOOKUP(C2049,[1]master_data!$A$2:$E$495,4,FALSE)</f>
        <v>5000</v>
      </c>
      <c r="H2049" s="5">
        <f t="shared" si="99"/>
        <v>1500</v>
      </c>
      <c r="I2049" s="5">
        <f t="shared" si="100"/>
        <v>5000</v>
      </c>
      <c r="J2049" s="5">
        <f t="shared" si="101"/>
        <v>3500</v>
      </c>
      <c r="K2049" s="5" t="str">
        <f>VLOOKUP(C2049,[1]master_data!$A$2:$E$495,5,FALSE)</f>
        <v>Aksesoris</v>
      </c>
      <c r="L2049" s="5" t="s">
        <v>471</v>
      </c>
    </row>
    <row r="2050" spans="1:12" ht="12" customHeight="1" x14ac:dyDescent="0.25">
      <c r="A2050" s="6">
        <v>44706</v>
      </c>
      <c r="B2050" s="1">
        <v>2202513</v>
      </c>
      <c r="C2050" s="5" t="s">
        <v>52</v>
      </c>
      <c r="D2050" s="5" t="str">
        <f>VLOOKUP(C2050,[1]master_data!$A$2:$E$495,2,FALSE)</f>
        <v>TOP FILTER LENGKAP B</v>
      </c>
      <c r="E2050" s="5">
        <v>1</v>
      </c>
      <c r="F2050" s="5">
        <f>VLOOKUP(C2050,[1]master_data!$A$2:$E$495,3,FALSE)</f>
        <v>37500</v>
      </c>
      <c r="G2050" s="5">
        <f>VLOOKUP(C2050,[1]master_data!$A$2:$E$495,4,FALSE)</f>
        <v>65000</v>
      </c>
      <c r="H2050" s="5">
        <f t="shared" si="99"/>
        <v>37500</v>
      </c>
      <c r="I2050" s="5">
        <f t="shared" si="100"/>
        <v>65000</v>
      </c>
      <c r="J2050" s="5">
        <f t="shared" si="101"/>
        <v>27500</v>
      </c>
      <c r="K2050" s="5" t="str">
        <f>VLOOKUP(C2050,[1]master_data!$A$2:$E$495,5,FALSE)</f>
        <v>Aksesoris</v>
      </c>
      <c r="L2050" s="5" t="s">
        <v>471</v>
      </c>
    </row>
    <row r="2051" spans="1:12" ht="12" customHeight="1" x14ac:dyDescent="0.25">
      <c r="A2051" s="6">
        <v>44706</v>
      </c>
      <c r="B2051" s="1">
        <v>2202512</v>
      </c>
      <c r="C2051" s="5" t="s">
        <v>412</v>
      </c>
      <c r="D2051" s="5" t="str">
        <f>VLOOKUP(C2051,[1]master_data!$A$2:$E$495,2,FALSE)</f>
        <v>HIU TAWAR</v>
      </c>
      <c r="E2051" s="5">
        <v>12</v>
      </c>
      <c r="F2051" s="5">
        <f>VLOOKUP(C2051,[1]master_data!$A$2:$E$495,3,FALSE)</f>
        <v>600</v>
      </c>
      <c r="G2051" s="5">
        <f>VLOOKUP(C2051,[1]master_data!$A$2:$E$495,4,FALSE)</f>
        <v>2000</v>
      </c>
      <c r="H2051" s="5">
        <f t="shared" si="99"/>
        <v>7200</v>
      </c>
      <c r="I2051" s="5">
        <f t="shared" si="100"/>
        <v>24000</v>
      </c>
      <c r="J2051" s="5">
        <f t="shared" si="101"/>
        <v>16800</v>
      </c>
      <c r="K2051" s="5" t="str">
        <f>VLOOKUP(C2051,[1]master_data!$A$2:$E$495,5,FALSE)</f>
        <v>Ikan</v>
      </c>
      <c r="L2051" s="5" t="s">
        <v>471</v>
      </c>
    </row>
    <row r="2052" spans="1:12" ht="12" customHeight="1" x14ac:dyDescent="0.25">
      <c r="A2052" s="6">
        <v>44706</v>
      </c>
      <c r="B2052" s="1">
        <v>2202511</v>
      </c>
      <c r="C2052" s="5" t="s">
        <v>248</v>
      </c>
      <c r="D2052" s="5" t="str">
        <f>VLOOKUP(C2052,[1]master_data!$A$2:$E$495,2,FALSE)</f>
        <v>MATLINE BLUE</v>
      </c>
      <c r="E2052" s="5">
        <v>1</v>
      </c>
      <c r="F2052" s="5">
        <f>VLOOKUP(C2052,[1]master_data!$A$2:$E$495,3,FALSE)</f>
        <v>7000</v>
      </c>
      <c r="G2052" s="5">
        <f>VLOOKUP(C2052,[1]master_data!$A$2:$E$495,4,FALSE)</f>
        <v>10000</v>
      </c>
      <c r="H2052" s="5">
        <f t="shared" si="99"/>
        <v>7000</v>
      </c>
      <c r="I2052" s="5">
        <f t="shared" si="100"/>
        <v>10000</v>
      </c>
      <c r="J2052" s="5">
        <f t="shared" si="101"/>
        <v>3000</v>
      </c>
      <c r="K2052" s="5" t="str">
        <f>VLOOKUP(C2052,[1]master_data!$A$2:$E$495,5,FALSE)</f>
        <v>Aksesoris</v>
      </c>
      <c r="L2052" s="5" t="s">
        <v>471</v>
      </c>
    </row>
    <row r="2053" spans="1:12" ht="12" customHeight="1" x14ac:dyDescent="0.25">
      <c r="A2053" s="6">
        <v>44706</v>
      </c>
      <c r="B2053" s="1">
        <v>2202510</v>
      </c>
      <c r="C2053" s="5" t="s">
        <v>422</v>
      </c>
      <c r="D2053" s="5" t="str">
        <f>VLOOKUP(C2053,[1]master_data!$A$2:$E$495,2,FALSE)</f>
        <v>KOMET SLAYER</v>
      </c>
      <c r="E2053" s="5">
        <v>1</v>
      </c>
      <c r="F2053" s="5">
        <f>VLOOKUP(C2053,[1]master_data!$A$2:$E$495,3,FALSE)</f>
        <v>2000</v>
      </c>
      <c r="G2053" s="5">
        <f>VLOOKUP(C2053,[1]master_data!$A$2:$E$495,4,FALSE)</f>
        <v>5000</v>
      </c>
      <c r="H2053" s="5">
        <f t="shared" ref="H2053:H2116" si="102">E2053*F2053</f>
        <v>2000</v>
      </c>
      <c r="I2053" s="5">
        <f t="shared" ref="I2053:I2116" si="103">E2053*G2053</f>
        <v>5000</v>
      </c>
      <c r="J2053" s="5">
        <f t="shared" ref="J2053:J2116" si="104">I2053-H2053</f>
        <v>3000</v>
      </c>
      <c r="K2053" s="5" t="str">
        <f>VLOOKUP(C2053,[1]master_data!$A$2:$E$495,5,FALSE)</f>
        <v>Ikan</v>
      </c>
      <c r="L2053" s="5" t="s">
        <v>471</v>
      </c>
    </row>
    <row r="2054" spans="1:12" ht="12" customHeight="1" x14ac:dyDescent="0.25">
      <c r="A2054" s="6">
        <v>44705</v>
      </c>
      <c r="B2054" s="1">
        <v>2202509</v>
      </c>
      <c r="C2054" s="5" t="s">
        <v>112</v>
      </c>
      <c r="D2054" s="5" t="str">
        <f>VLOOKUP(C2054,[1]master_data!$A$2:$E$495,2,FALSE)</f>
        <v>LED ROSTON 20 CM</v>
      </c>
      <c r="E2054" s="5">
        <v>3</v>
      </c>
      <c r="F2054" s="5">
        <f>VLOOKUP(C2054,[1]master_data!$A$2:$E$495,3,FALSE)</f>
        <v>21000</v>
      </c>
      <c r="G2054" s="5">
        <f>VLOOKUP(C2054,[1]master_data!$A$2:$E$495,4,FALSE)</f>
        <v>30000</v>
      </c>
      <c r="H2054" s="5">
        <f t="shared" si="102"/>
        <v>63000</v>
      </c>
      <c r="I2054" s="5">
        <f t="shared" si="103"/>
        <v>90000</v>
      </c>
      <c r="J2054" s="5">
        <f t="shared" si="104"/>
        <v>27000</v>
      </c>
      <c r="K2054" s="5" t="str">
        <f>VLOOKUP(C2054,[1]master_data!$A$2:$E$495,5,FALSE)</f>
        <v>Aksesoris</v>
      </c>
      <c r="L2054" s="5" t="s">
        <v>471</v>
      </c>
    </row>
    <row r="2055" spans="1:12" ht="12" customHeight="1" x14ac:dyDescent="0.25">
      <c r="A2055" s="6">
        <v>44705</v>
      </c>
      <c r="B2055" s="1">
        <v>2202508</v>
      </c>
      <c r="C2055" s="5" t="s">
        <v>282</v>
      </c>
      <c r="D2055" s="5" t="str">
        <f>VLOOKUP(C2055,[1]master_data!$A$2:$E$495,2,FALSE)</f>
        <v>HIASAN KELAPA</v>
      </c>
      <c r="E2055" s="5">
        <v>1</v>
      </c>
      <c r="F2055" s="5">
        <f>VLOOKUP(C2055,[1]master_data!$A$2:$E$495,3,FALSE)</f>
        <v>8000</v>
      </c>
      <c r="G2055" s="5">
        <f>VLOOKUP(C2055,[1]master_data!$A$2:$E$495,4,FALSE)</f>
        <v>15000</v>
      </c>
      <c r="H2055" s="5">
        <f t="shared" si="102"/>
        <v>8000</v>
      </c>
      <c r="I2055" s="5">
        <f t="shared" si="103"/>
        <v>15000</v>
      </c>
      <c r="J2055" s="5">
        <f t="shared" si="104"/>
        <v>7000</v>
      </c>
      <c r="K2055" s="5" t="str">
        <f>VLOOKUP(C2055,[1]master_data!$A$2:$E$495,5,FALSE)</f>
        <v>Aksesoris</v>
      </c>
      <c r="L2055" s="5" t="s">
        <v>471</v>
      </c>
    </row>
    <row r="2056" spans="1:12" ht="12" customHeight="1" x14ac:dyDescent="0.25">
      <c r="A2056" s="6">
        <v>44705</v>
      </c>
      <c r="B2056" s="1">
        <v>2202507</v>
      </c>
      <c r="C2056" s="5" t="s">
        <v>439</v>
      </c>
      <c r="D2056" s="5" t="str">
        <f>VLOOKUP(C2056,[1]master_data!$A$2:$E$495,2,FALSE)</f>
        <v>NEON</v>
      </c>
      <c r="E2056" s="5">
        <v>30</v>
      </c>
      <c r="F2056" s="5">
        <f>VLOOKUP(C2056,[1]master_data!$A$2:$E$495,3,FALSE)</f>
        <v>1250</v>
      </c>
      <c r="G2056" s="5">
        <f>VLOOKUP(C2056,[1]master_data!$A$2:$E$495,4,FALSE)</f>
        <v>5000</v>
      </c>
      <c r="H2056" s="5">
        <f t="shared" si="102"/>
        <v>37500</v>
      </c>
      <c r="I2056" s="5">
        <f t="shared" si="103"/>
        <v>150000</v>
      </c>
      <c r="J2056" s="5">
        <f t="shared" si="104"/>
        <v>112500</v>
      </c>
      <c r="K2056" s="5" t="str">
        <f>VLOOKUP(C2056,[1]master_data!$A$2:$E$495,5,FALSE)</f>
        <v>Ikan</v>
      </c>
      <c r="L2056" s="5" t="s">
        <v>471</v>
      </c>
    </row>
    <row r="2057" spans="1:12" ht="12" customHeight="1" x14ac:dyDescent="0.25">
      <c r="A2057" s="6">
        <v>44705</v>
      </c>
      <c r="B2057" s="1">
        <v>2202506</v>
      </c>
      <c r="C2057" s="5" t="s">
        <v>33</v>
      </c>
      <c r="D2057" s="5" t="str">
        <f>VLOOKUP(C2057,[1]master_data!$A$2:$E$495,2,FALSE)</f>
        <v>MESIN YAMANO 1200</v>
      </c>
      <c r="E2057" s="5">
        <v>2</v>
      </c>
      <c r="F2057" s="5">
        <f>VLOOKUP(C2057,[1]master_data!$A$2:$E$495,3,FALSE)</f>
        <v>27000</v>
      </c>
      <c r="G2057" s="5">
        <f>VLOOKUP(C2057,[1]master_data!$A$2:$E$495,4,FALSE)</f>
        <v>40000</v>
      </c>
      <c r="H2057" s="5">
        <f t="shared" si="102"/>
        <v>54000</v>
      </c>
      <c r="I2057" s="5">
        <f t="shared" si="103"/>
        <v>80000</v>
      </c>
      <c r="J2057" s="5">
        <f t="shared" si="104"/>
        <v>26000</v>
      </c>
      <c r="K2057" s="5" t="str">
        <f>VLOOKUP(C2057,[1]master_data!$A$2:$E$495,5,FALSE)</f>
        <v>Aksesoris</v>
      </c>
      <c r="L2057" s="5" t="s">
        <v>471</v>
      </c>
    </row>
    <row r="2058" spans="1:12" ht="12" customHeight="1" x14ac:dyDescent="0.25">
      <c r="A2058" s="6">
        <v>44705</v>
      </c>
      <c r="B2058" s="1">
        <v>2202505</v>
      </c>
      <c r="C2058" s="5" t="s">
        <v>208</v>
      </c>
      <c r="D2058" s="5" t="str">
        <f>VLOOKUP(C2058,[1]master_data!$A$2:$E$495,2,FALSE)</f>
        <v>TOP VIT</v>
      </c>
      <c r="E2058" s="5">
        <v>1</v>
      </c>
      <c r="F2058" s="5">
        <f>VLOOKUP(C2058,[1]master_data!$A$2:$E$495,3,FALSE)</f>
        <v>4000</v>
      </c>
      <c r="G2058" s="5">
        <f>VLOOKUP(C2058,[1]master_data!$A$2:$E$495,4,FALSE)</f>
        <v>7000</v>
      </c>
      <c r="H2058" s="5">
        <f t="shared" si="102"/>
        <v>4000</v>
      </c>
      <c r="I2058" s="5">
        <f t="shared" si="103"/>
        <v>7000</v>
      </c>
      <c r="J2058" s="5">
        <f t="shared" si="104"/>
        <v>3000</v>
      </c>
      <c r="K2058" s="5" t="str">
        <f>VLOOKUP(C2058,[1]master_data!$A$2:$E$495,5,FALSE)</f>
        <v>Aksesoris</v>
      </c>
      <c r="L2058" s="5" t="s">
        <v>471</v>
      </c>
    </row>
    <row r="2059" spans="1:12" ht="12" customHeight="1" x14ac:dyDescent="0.25">
      <c r="A2059" s="6">
        <v>44705</v>
      </c>
      <c r="B2059" s="1">
        <v>2202504</v>
      </c>
      <c r="C2059" s="5" t="s">
        <v>285</v>
      </c>
      <c r="D2059" s="5" t="str">
        <f>VLOOKUP(C2059,[1]master_data!$A$2:$E$495,2,FALSE)</f>
        <v>KAPAS 4 LAPIS</v>
      </c>
      <c r="E2059" s="5">
        <v>1</v>
      </c>
      <c r="F2059" s="5">
        <f>VLOOKUP(C2059,[1]master_data!$A$2:$E$495,3,FALSE)</f>
        <v>6500</v>
      </c>
      <c r="G2059" s="5">
        <f>VLOOKUP(C2059,[1]master_data!$A$2:$E$495,4,FALSE)</f>
        <v>10000</v>
      </c>
      <c r="H2059" s="5">
        <f t="shared" si="102"/>
        <v>6500</v>
      </c>
      <c r="I2059" s="5">
        <f t="shared" si="103"/>
        <v>10000</v>
      </c>
      <c r="J2059" s="5">
        <f t="shared" si="104"/>
        <v>3500</v>
      </c>
      <c r="K2059" s="5" t="str">
        <f>VLOOKUP(C2059,[1]master_data!$A$2:$E$495,5,FALSE)</f>
        <v>Aksesoris</v>
      </c>
      <c r="L2059" s="5" t="s">
        <v>471</v>
      </c>
    </row>
    <row r="2060" spans="1:12" ht="12" customHeight="1" x14ac:dyDescent="0.25">
      <c r="A2060" s="6">
        <v>44705</v>
      </c>
      <c r="B2060" s="1">
        <v>2202503</v>
      </c>
      <c r="C2060" s="5" t="s">
        <v>299</v>
      </c>
      <c r="D2060" s="5" t="str">
        <f>VLOOKUP(C2060,[1]master_data!$A$2:$E$495,2,FALSE)</f>
        <v>MAINAN ARCA</v>
      </c>
      <c r="E2060" s="5">
        <v>1</v>
      </c>
      <c r="F2060" s="5">
        <f>VLOOKUP(C2060,[1]master_data!$A$2:$E$495,3,FALSE)</f>
        <v>16500</v>
      </c>
      <c r="G2060" s="5">
        <f>VLOOKUP(C2060,[1]master_data!$A$2:$E$495,4,FALSE)</f>
        <v>30000</v>
      </c>
      <c r="H2060" s="5">
        <f t="shared" si="102"/>
        <v>16500</v>
      </c>
      <c r="I2060" s="5">
        <f t="shared" si="103"/>
        <v>30000</v>
      </c>
      <c r="J2060" s="5">
        <f t="shared" si="104"/>
        <v>13500</v>
      </c>
      <c r="K2060" s="5" t="str">
        <f>VLOOKUP(C2060,[1]master_data!$A$2:$E$495,5,FALSE)</f>
        <v>Aksesoris</v>
      </c>
      <c r="L2060" s="5" t="s">
        <v>471</v>
      </c>
    </row>
    <row r="2061" spans="1:12" ht="12" customHeight="1" x14ac:dyDescent="0.25">
      <c r="A2061" s="6">
        <v>44705</v>
      </c>
      <c r="B2061" s="1">
        <v>2202502</v>
      </c>
      <c r="C2061" s="5" t="s">
        <v>412</v>
      </c>
      <c r="D2061" s="5" t="str">
        <f>VLOOKUP(C2061,[1]master_data!$A$2:$E$495,2,FALSE)</f>
        <v>HIU TAWAR</v>
      </c>
      <c r="E2061" s="5">
        <v>10</v>
      </c>
      <c r="F2061" s="5">
        <f>VLOOKUP(C2061,[1]master_data!$A$2:$E$495,3,FALSE)</f>
        <v>600</v>
      </c>
      <c r="G2061" s="5">
        <f>VLOOKUP(C2061,[1]master_data!$A$2:$E$495,4,FALSE)</f>
        <v>2000</v>
      </c>
      <c r="H2061" s="5">
        <f t="shared" si="102"/>
        <v>6000</v>
      </c>
      <c r="I2061" s="5">
        <f t="shared" si="103"/>
        <v>20000</v>
      </c>
      <c r="J2061" s="5">
        <f t="shared" si="104"/>
        <v>14000</v>
      </c>
      <c r="K2061" s="5" t="str">
        <f>VLOOKUP(C2061,[1]master_data!$A$2:$E$495,5,FALSE)</f>
        <v>Ikan</v>
      </c>
      <c r="L2061" s="5" t="s">
        <v>471</v>
      </c>
    </row>
    <row r="2062" spans="1:12" ht="12" customHeight="1" x14ac:dyDescent="0.25">
      <c r="A2062" s="6">
        <v>44705</v>
      </c>
      <c r="B2062" s="1">
        <v>2202501</v>
      </c>
      <c r="C2062" s="5" t="s">
        <v>428</v>
      </c>
      <c r="D2062" s="5" t="str">
        <f>VLOOKUP(C2062,[1]master_data!$A$2:$E$495,2,FALSE)</f>
        <v>LOUHAN</v>
      </c>
      <c r="E2062" s="5">
        <v>2</v>
      </c>
      <c r="F2062" s="5">
        <f>VLOOKUP(C2062,[1]master_data!$A$2:$E$495,3,FALSE)</f>
        <v>85000</v>
      </c>
      <c r="G2062" s="5">
        <f>VLOOKUP(C2062,[1]master_data!$A$2:$E$495,4,FALSE)</f>
        <v>200000</v>
      </c>
      <c r="H2062" s="5">
        <f t="shared" si="102"/>
        <v>170000</v>
      </c>
      <c r="I2062" s="5">
        <f t="shared" si="103"/>
        <v>400000</v>
      </c>
      <c r="J2062" s="5">
        <f t="shared" si="104"/>
        <v>230000</v>
      </c>
      <c r="K2062" s="5" t="str">
        <f>VLOOKUP(C2062,[1]master_data!$A$2:$E$495,5,FALSE)</f>
        <v>Ikan</v>
      </c>
      <c r="L2062" s="5" t="s">
        <v>471</v>
      </c>
    </row>
    <row r="2063" spans="1:12" ht="12" customHeight="1" x14ac:dyDescent="0.25">
      <c r="A2063" s="6">
        <v>44705</v>
      </c>
      <c r="B2063" s="1">
        <v>2202500</v>
      </c>
      <c r="C2063" s="5" t="s">
        <v>248</v>
      </c>
      <c r="D2063" s="5" t="str">
        <f>VLOOKUP(C2063,[1]master_data!$A$2:$E$495,2,FALSE)</f>
        <v>MATLINE BLUE</v>
      </c>
      <c r="E2063" s="5">
        <v>1</v>
      </c>
      <c r="F2063" s="5">
        <f>VLOOKUP(C2063,[1]master_data!$A$2:$E$495,3,FALSE)</f>
        <v>7000</v>
      </c>
      <c r="G2063" s="5">
        <f>VLOOKUP(C2063,[1]master_data!$A$2:$E$495,4,FALSE)</f>
        <v>10000</v>
      </c>
      <c r="H2063" s="5">
        <f t="shared" si="102"/>
        <v>7000</v>
      </c>
      <c r="I2063" s="5">
        <f t="shared" si="103"/>
        <v>10000</v>
      </c>
      <c r="J2063" s="5">
        <f t="shared" si="104"/>
        <v>3000</v>
      </c>
      <c r="K2063" s="5" t="str">
        <f>VLOOKUP(C2063,[1]master_data!$A$2:$E$495,5,FALSE)</f>
        <v>Aksesoris</v>
      </c>
      <c r="L2063" s="5" t="s">
        <v>471</v>
      </c>
    </row>
    <row r="2064" spans="1:12" ht="12" customHeight="1" x14ac:dyDescent="0.25">
      <c r="A2064" s="6">
        <v>44705</v>
      </c>
      <c r="B2064" s="1">
        <v>2202499</v>
      </c>
      <c r="C2064" s="5" t="s">
        <v>390</v>
      </c>
      <c r="D2064" s="5" t="str">
        <f>VLOOKUP(C2064,[1]master_data!$A$2:$E$495,2,FALSE)</f>
        <v>CHANNA ASIATICA K</v>
      </c>
      <c r="E2064" s="5">
        <v>1</v>
      </c>
      <c r="F2064" s="5">
        <f>VLOOKUP(C2064,[1]master_data!$A$2:$E$495,3,FALSE)</f>
        <v>10000</v>
      </c>
      <c r="G2064" s="5">
        <f>VLOOKUP(C2064,[1]master_data!$A$2:$E$495,4,FALSE)</f>
        <v>40000</v>
      </c>
      <c r="H2064" s="5">
        <f t="shared" si="102"/>
        <v>10000</v>
      </c>
      <c r="I2064" s="5">
        <f t="shared" si="103"/>
        <v>40000</v>
      </c>
      <c r="J2064" s="5">
        <f t="shared" si="104"/>
        <v>30000</v>
      </c>
      <c r="K2064" s="5" t="str">
        <f>VLOOKUP(C2064,[1]master_data!$A$2:$E$495,5,FALSE)</f>
        <v>Ikan</v>
      </c>
      <c r="L2064" s="5" t="s">
        <v>471</v>
      </c>
    </row>
    <row r="2065" spans="1:12" ht="12" customHeight="1" x14ac:dyDescent="0.25">
      <c r="A2065" s="6">
        <v>44705</v>
      </c>
      <c r="B2065" s="1">
        <v>2202498</v>
      </c>
      <c r="C2065" s="5" t="s">
        <v>422</v>
      </c>
      <c r="D2065" s="5" t="str">
        <f>VLOOKUP(C2065,[1]master_data!$A$2:$E$495,2,FALSE)</f>
        <v>KOMET SLAYER</v>
      </c>
      <c r="E2065" s="5">
        <v>1</v>
      </c>
      <c r="F2065" s="5">
        <f>VLOOKUP(C2065,[1]master_data!$A$2:$E$495,3,FALSE)</f>
        <v>2000</v>
      </c>
      <c r="G2065" s="5">
        <f>VLOOKUP(C2065,[1]master_data!$A$2:$E$495,4,FALSE)</f>
        <v>5000</v>
      </c>
      <c r="H2065" s="5">
        <f t="shared" si="102"/>
        <v>2000</v>
      </c>
      <c r="I2065" s="5">
        <f t="shared" si="103"/>
        <v>5000</v>
      </c>
      <c r="J2065" s="5">
        <f t="shared" si="104"/>
        <v>3000</v>
      </c>
      <c r="K2065" s="5" t="str">
        <f>VLOOKUP(C2065,[1]master_data!$A$2:$E$495,5,FALSE)</f>
        <v>Ikan</v>
      </c>
      <c r="L2065" s="5" t="s">
        <v>471</v>
      </c>
    </row>
    <row r="2066" spans="1:12" ht="12" customHeight="1" x14ac:dyDescent="0.25">
      <c r="A2066" s="6">
        <v>44704</v>
      </c>
      <c r="B2066" s="1">
        <v>2202497</v>
      </c>
      <c r="C2066" s="5" t="s">
        <v>420</v>
      </c>
      <c r="D2066" s="5" t="str">
        <f>VLOOKUP(C2066,[1]master_data!$A$2:$E$495,2,FALSE)</f>
        <v>KAVIAT</v>
      </c>
      <c r="E2066" s="5">
        <v>1</v>
      </c>
      <c r="F2066" s="5">
        <f>VLOOKUP(C2066,[1]master_data!$A$2:$E$495,3,FALSE)</f>
        <v>3500</v>
      </c>
      <c r="G2066" s="5">
        <f>VLOOKUP(C2066,[1]master_data!$A$2:$E$495,4,FALSE)</f>
        <v>8000</v>
      </c>
      <c r="H2066" s="5">
        <f t="shared" si="102"/>
        <v>3500</v>
      </c>
      <c r="I2066" s="5">
        <f t="shared" si="103"/>
        <v>8000</v>
      </c>
      <c r="J2066" s="5">
        <f t="shared" si="104"/>
        <v>4500</v>
      </c>
      <c r="K2066" s="5" t="str">
        <f>VLOOKUP(C2066,[1]master_data!$A$2:$E$495,5,FALSE)</f>
        <v>Ikan</v>
      </c>
      <c r="L2066" s="5" t="s">
        <v>471</v>
      </c>
    </row>
    <row r="2067" spans="1:12" ht="12" customHeight="1" x14ac:dyDescent="0.25">
      <c r="A2067" s="6">
        <v>44704</v>
      </c>
      <c r="B2067" s="1">
        <v>2202496</v>
      </c>
      <c r="C2067" s="5" t="s">
        <v>112</v>
      </c>
      <c r="D2067" s="5" t="str">
        <f>VLOOKUP(C2067,[1]master_data!$A$2:$E$495,2,FALSE)</f>
        <v>LED ROSTON 20 CM</v>
      </c>
      <c r="E2067" s="5">
        <v>2</v>
      </c>
      <c r="F2067" s="5">
        <f>VLOOKUP(C2067,[1]master_data!$A$2:$E$495,3,FALSE)</f>
        <v>21000</v>
      </c>
      <c r="G2067" s="5">
        <f>VLOOKUP(C2067,[1]master_data!$A$2:$E$495,4,FALSE)</f>
        <v>30000</v>
      </c>
      <c r="H2067" s="5">
        <f t="shared" si="102"/>
        <v>42000</v>
      </c>
      <c r="I2067" s="5">
        <f t="shared" si="103"/>
        <v>60000</v>
      </c>
      <c r="J2067" s="5">
        <f t="shared" si="104"/>
        <v>18000</v>
      </c>
      <c r="K2067" s="5" t="str">
        <f>VLOOKUP(C2067,[1]master_data!$A$2:$E$495,5,FALSE)</f>
        <v>Aksesoris</v>
      </c>
      <c r="L2067" s="5" t="s">
        <v>471</v>
      </c>
    </row>
    <row r="2068" spans="1:12" ht="12" customHeight="1" x14ac:dyDescent="0.25">
      <c r="A2068" s="6">
        <v>44704</v>
      </c>
      <c r="B2068" s="1">
        <v>2202495</v>
      </c>
      <c r="C2068" s="5" t="s">
        <v>414</v>
      </c>
      <c r="D2068" s="5" t="str">
        <f>VLOOKUP(C2068,[1]master_data!$A$2:$E$495,2,FALSE)</f>
        <v>KOKI T</v>
      </c>
      <c r="E2068" s="5">
        <v>1</v>
      </c>
      <c r="F2068" s="5">
        <f>VLOOKUP(C2068,[1]master_data!$A$2:$E$495,3,FALSE)</f>
        <v>8000</v>
      </c>
      <c r="G2068" s="5">
        <f>VLOOKUP(C2068,[1]master_data!$A$2:$E$495,4,FALSE)</f>
        <v>15000</v>
      </c>
      <c r="H2068" s="5">
        <f t="shared" si="102"/>
        <v>8000</v>
      </c>
      <c r="I2068" s="5">
        <f t="shared" si="103"/>
        <v>15000</v>
      </c>
      <c r="J2068" s="5">
        <f t="shared" si="104"/>
        <v>7000</v>
      </c>
      <c r="K2068" s="5" t="str">
        <f>VLOOKUP(C2068,[1]master_data!$A$2:$E$495,5,FALSE)</f>
        <v>Ikan</v>
      </c>
      <c r="L2068" s="5" t="s">
        <v>471</v>
      </c>
    </row>
    <row r="2069" spans="1:12" ht="12" customHeight="1" x14ac:dyDescent="0.25">
      <c r="A2069" s="6">
        <v>44704</v>
      </c>
      <c r="B2069" s="1">
        <v>2202494</v>
      </c>
      <c r="C2069" s="5" t="s">
        <v>375</v>
      </c>
      <c r="D2069" s="5" t="str">
        <f>VLOOKUP(C2069,[1]master_data!$A$2:$E$495,2,FALSE)</f>
        <v>PASIR MERAH K</v>
      </c>
      <c r="E2069" s="5">
        <v>1</v>
      </c>
      <c r="F2069" s="5">
        <f>VLOOKUP(C2069,[1]master_data!$A$2:$E$495,3,FALSE)</f>
        <v>2500</v>
      </c>
      <c r="G2069" s="5">
        <f>VLOOKUP(C2069,[1]master_data!$A$2:$E$495,4,FALSE)</f>
        <v>5000</v>
      </c>
      <c r="H2069" s="5">
        <f t="shared" si="102"/>
        <v>2500</v>
      </c>
      <c r="I2069" s="5">
        <f t="shared" si="103"/>
        <v>5000</v>
      </c>
      <c r="J2069" s="5">
        <f t="shared" si="104"/>
        <v>2500</v>
      </c>
      <c r="K2069" s="5" t="str">
        <f>VLOOKUP(C2069,[1]master_data!$A$2:$E$495,5,FALSE)</f>
        <v>Aksesoris</v>
      </c>
      <c r="L2069" s="5" t="s">
        <v>471</v>
      </c>
    </row>
    <row r="2070" spans="1:12" ht="12" customHeight="1" x14ac:dyDescent="0.25">
      <c r="A2070" s="6">
        <v>44704</v>
      </c>
      <c r="B2070" s="1">
        <v>2202493</v>
      </c>
      <c r="C2070" s="5" t="s">
        <v>408</v>
      </c>
      <c r="D2070" s="5" t="str">
        <f>VLOOKUP(C2070,[1]master_data!$A$2:$E$495,2,FALSE)</f>
        <v>CATFISH</v>
      </c>
      <c r="E2070" s="5">
        <v>5</v>
      </c>
      <c r="F2070" s="5">
        <f>VLOOKUP(C2070,[1]master_data!$A$2:$E$495,3,FALSE)</f>
        <v>20000</v>
      </c>
      <c r="G2070" s="5">
        <f>VLOOKUP(C2070,[1]master_data!$A$2:$E$495,4,FALSE)</f>
        <v>50000</v>
      </c>
      <c r="H2070" s="5">
        <f t="shared" si="102"/>
        <v>100000</v>
      </c>
      <c r="I2070" s="5">
        <f t="shared" si="103"/>
        <v>250000</v>
      </c>
      <c r="J2070" s="5">
        <f t="shared" si="104"/>
        <v>150000</v>
      </c>
      <c r="K2070" s="5" t="str">
        <f>VLOOKUP(C2070,[1]master_data!$A$2:$E$495,5,FALSE)</f>
        <v>Ikan</v>
      </c>
      <c r="L2070" s="5" t="s">
        <v>471</v>
      </c>
    </row>
    <row r="2071" spans="1:12" ht="12" customHeight="1" x14ac:dyDescent="0.25">
      <c r="A2071" s="6">
        <v>44704</v>
      </c>
      <c r="B2071" s="1">
        <v>2202492</v>
      </c>
      <c r="C2071" s="5" t="s">
        <v>285</v>
      </c>
      <c r="D2071" s="5" t="str">
        <f>VLOOKUP(C2071,[1]master_data!$A$2:$E$495,2,FALSE)</f>
        <v>KAPAS 4 LAPIS</v>
      </c>
      <c r="E2071" s="5">
        <v>1</v>
      </c>
      <c r="F2071" s="5">
        <f>VLOOKUP(C2071,[1]master_data!$A$2:$E$495,3,FALSE)</f>
        <v>6500</v>
      </c>
      <c r="G2071" s="5">
        <f>VLOOKUP(C2071,[1]master_data!$A$2:$E$495,4,FALSE)</f>
        <v>10000</v>
      </c>
      <c r="H2071" s="5">
        <f t="shared" si="102"/>
        <v>6500</v>
      </c>
      <c r="I2071" s="5">
        <f t="shared" si="103"/>
        <v>10000</v>
      </c>
      <c r="J2071" s="5">
        <f t="shared" si="104"/>
        <v>3500</v>
      </c>
      <c r="K2071" s="5" t="str">
        <f>VLOOKUP(C2071,[1]master_data!$A$2:$E$495,5,FALSE)</f>
        <v>Aksesoris</v>
      </c>
      <c r="L2071" s="5" t="s">
        <v>471</v>
      </c>
    </row>
    <row r="2072" spans="1:12" ht="12" customHeight="1" x14ac:dyDescent="0.25">
      <c r="A2072" s="6">
        <v>44704</v>
      </c>
      <c r="B2072" s="1">
        <v>2202491</v>
      </c>
      <c r="C2072" s="5" t="s">
        <v>347</v>
      </c>
      <c r="D2072" s="5" t="str">
        <f>VLOOKUP(C2072,[1]master_data!$A$2:$E$495,2,FALSE)</f>
        <v>AKUARIUM NIKITA L</v>
      </c>
      <c r="E2072" s="5">
        <v>2</v>
      </c>
      <c r="F2072" s="5">
        <f>VLOOKUP(C2072,[1]master_data!$A$2:$E$495,3,FALSE)</f>
        <v>60000</v>
      </c>
      <c r="G2072" s="5">
        <f>VLOOKUP(C2072,[1]master_data!$A$2:$E$495,4,FALSE)</f>
        <v>130000</v>
      </c>
      <c r="H2072" s="5">
        <f t="shared" si="102"/>
        <v>120000</v>
      </c>
      <c r="I2072" s="5">
        <f t="shared" si="103"/>
        <v>260000</v>
      </c>
      <c r="J2072" s="5">
        <f t="shared" si="104"/>
        <v>140000</v>
      </c>
      <c r="K2072" s="5" t="str">
        <f>VLOOKUP(C2072,[1]master_data!$A$2:$E$495,5,FALSE)</f>
        <v>Aksesoris</v>
      </c>
      <c r="L2072" s="5" t="s">
        <v>471</v>
      </c>
    </row>
    <row r="2073" spans="1:12" ht="12" customHeight="1" x14ac:dyDescent="0.25">
      <c r="A2073" s="6">
        <v>44704</v>
      </c>
      <c r="B2073" s="1">
        <v>2202490</v>
      </c>
      <c r="C2073" s="5" t="s">
        <v>196</v>
      </c>
      <c r="D2073" s="5" t="str">
        <f>VLOOKUP(C2073,[1]master_data!$A$2:$E$495,2,FALSE)</f>
        <v>AKARI PREMIUM RED</v>
      </c>
      <c r="E2073" s="5">
        <v>2</v>
      </c>
      <c r="F2073" s="5">
        <f>VLOOKUP(C2073,[1]master_data!$A$2:$E$495,3,FALSE)</f>
        <v>37000</v>
      </c>
      <c r="G2073" s="5">
        <f>VLOOKUP(C2073,[1]master_data!$A$2:$E$495,4,FALSE)</f>
        <v>50000</v>
      </c>
      <c r="H2073" s="5">
        <f t="shared" si="102"/>
        <v>74000</v>
      </c>
      <c r="I2073" s="5">
        <f t="shared" si="103"/>
        <v>100000</v>
      </c>
      <c r="J2073" s="5">
        <f t="shared" si="104"/>
        <v>26000</v>
      </c>
      <c r="K2073" s="5" t="str">
        <f>VLOOKUP(C2073,[1]master_data!$A$2:$E$495,5,FALSE)</f>
        <v>Aksesoris</v>
      </c>
      <c r="L2073" s="5" t="s">
        <v>471</v>
      </c>
    </row>
    <row r="2074" spans="1:12" ht="12" customHeight="1" x14ac:dyDescent="0.25">
      <c r="A2074" s="6">
        <v>44704</v>
      </c>
      <c r="B2074" s="1">
        <v>2202489</v>
      </c>
      <c r="C2074" s="5" t="s">
        <v>418</v>
      </c>
      <c r="D2074" s="5" t="str">
        <f>VLOOKUP(C2074,[1]master_data!$A$2:$E$495,2,FALSE)</f>
        <v>KOI B</v>
      </c>
      <c r="E2074" s="5">
        <v>1</v>
      </c>
      <c r="F2074" s="5">
        <f>VLOOKUP(C2074,[1]master_data!$A$2:$E$495,3,FALSE)</f>
        <v>9000</v>
      </c>
      <c r="G2074" s="5">
        <f>VLOOKUP(C2074,[1]master_data!$A$2:$E$495,4,FALSE)</f>
        <v>30000</v>
      </c>
      <c r="H2074" s="5">
        <f t="shared" si="102"/>
        <v>9000</v>
      </c>
      <c r="I2074" s="5">
        <f t="shared" si="103"/>
        <v>30000</v>
      </c>
      <c r="J2074" s="5">
        <f t="shared" si="104"/>
        <v>21000</v>
      </c>
      <c r="K2074" s="5" t="str">
        <f>VLOOKUP(C2074,[1]master_data!$A$2:$E$495,5,FALSE)</f>
        <v>Ikan</v>
      </c>
      <c r="L2074" s="5" t="s">
        <v>471</v>
      </c>
    </row>
    <row r="2075" spans="1:12" ht="12" customHeight="1" x14ac:dyDescent="0.25">
      <c r="A2075" s="6">
        <v>44704</v>
      </c>
      <c r="B2075" s="1">
        <v>2202488</v>
      </c>
      <c r="C2075" s="5" t="s">
        <v>248</v>
      </c>
      <c r="D2075" s="5" t="str">
        <f>VLOOKUP(C2075,[1]master_data!$A$2:$E$495,2,FALSE)</f>
        <v>MATLINE BLUE</v>
      </c>
      <c r="E2075" s="5">
        <v>1</v>
      </c>
      <c r="F2075" s="5">
        <f>VLOOKUP(C2075,[1]master_data!$A$2:$E$495,3,FALSE)</f>
        <v>7000</v>
      </c>
      <c r="G2075" s="5">
        <f>VLOOKUP(C2075,[1]master_data!$A$2:$E$495,4,FALSE)</f>
        <v>10000</v>
      </c>
      <c r="H2075" s="5">
        <f t="shared" si="102"/>
        <v>7000</v>
      </c>
      <c r="I2075" s="5">
        <f t="shared" si="103"/>
        <v>10000</v>
      </c>
      <c r="J2075" s="5">
        <f t="shared" si="104"/>
        <v>3000</v>
      </c>
      <c r="K2075" s="5" t="str">
        <f>VLOOKUP(C2075,[1]master_data!$A$2:$E$495,5,FALSE)</f>
        <v>Aksesoris</v>
      </c>
      <c r="L2075" s="5" t="s">
        <v>471</v>
      </c>
    </row>
    <row r="2076" spans="1:12" ht="12" customHeight="1" x14ac:dyDescent="0.25">
      <c r="A2076" s="6">
        <v>44704</v>
      </c>
      <c r="B2076" s="1">
        <v>2202487</v>
      </c>
      <c r="C2076" s="5" t="s">
        <v>422</v>
      </c>
      <c r="D2076" s="5" t="str">
        <f>VLOOKUP(C2076,[1]master_data!$A$2:$E$495,2,FALSE)</f>
        <v>KOMET SLAYER</v>
      </c>
      <c r="E2076" s="5">
        <v>1</v>
      </c>
      <c r="F2076" s="5">
        <f>VLOOKUP(C2076,[1]master_data!$A$2:$E$495,3,FALSE)</f>
        <v>2000</v>
      </c>
      <c r="G2076" s="5">
        <f>VLOOKUP(C2076,[1]master_data!$A$2:$E$495,4,FALSE)</f>
        <v>5000</v>
      </c>
      <c r="H2076" s="5">
        <f t="shared" si="102"/>
        <v>2000</v>
      </c>
      <c r="I2076" s="5">
        <f t="shared" si="103"/>
        <v>5000</v>
      </c>
      <c r="J2076" s="5">
        <f t="shared" si="104"/>
        <v>3000</v>
      </c>
      <c r="K2076" s="5" t="str">
        <f>VLOOKUP(C2076,[1]master_data!$A$2:$E$495,5,FALSE)</f>
        <v>Ikan</v>
      </c>
      <c r="L2076" s="5" t="s">
        <v>471</v>
      </c>
    </row>
    <row r="2077" spans="1:12" ht="12" customHeight="1" x14ac:dyDescent="0.25">
      <c r="A2077" s="6">
        <v>44704</v>
      </c>
      <c r="B2077" s="1">
        <v>2202486</v>
      </c>
      <c r="C2077" s="5" t="s">
        <v>417</v>
      </c>
      <c r="D2077" s="5" t="str">
        <f>VLOOKUP(C2077,[1]master_data!$A$2:$E$495,2,FALSE)</f>
        <v>KOI T</v>
      </c>
      <c r="E2077" s="5">
        <v>1</v>
      </c>
      <c r="F2077" s="5">
        <f>VLOOKUP(C2077,[1]master_data!$A$2:$E$495,3,FALSE)</f>
        <v>7000</v>
      </c>
      <c r="G2077" s="5">
        <f>VLOOKUP(C2077,[1]master_data!$A$2:$E$495,4,FALSE)</f>
        <v>20000</v>
      </c>
      <c r="H2077" s="5">
        <f t="shared" si="102"/>
        <v>7000</v>
      </c>
      <c r="I2077" s="5">
        <f t="shared" si="103"/>
        <v>20000</v>
      </c>
      <c r="J2077" s="5">
        <f t="shared" si="104"/>
        <v>13000</v>
      </c>
      <c r="K2077" s="5" t="str">
        <f>VLOOKUP(C2077,[1]master_data!$A$2:$E$495,5,FALSE)</f>
        <v>Ikan</v>
      </c>
      <c r="L2077" s="5" t="s">
        <v>471</v>
      </c>
    </row>
    <row r="2078" spans="1:12" ht="12" customHeight="1" x14ac:dyDescent="0.25">
      <c r="A2078" s="6">
        <v>44704</v>
      </c>
      <c r="B2078" s="1">
        <v>2202485</v>
      </c>
      <c r="C2078" s="5" t="s">
        <v>233</v>
      </c>
      <c r="D2078" s="5" t="str">
        <f>VLOOKUP(C2078,[1]master_data!$A$2:$E$495,2,FALSE)</f>
        <v>FISH LOVE PAKAN</v>
      </c>
      <c r="E2078" s="5">
        <v>1</v>
      </c>
      <c r="F2078" s="5">
        <f>VLOOKUP(C2078,[1]master_data!$A$2:$E$495,3,FALSE)</f>
        <v>2500</v>
      </c>
      <c r="G2078" s="5">
        <f>VLOOKUP(C2078,[1]master_data!$A$2:$E$495,4,FALSE)</f>
        <v>5000</v>
      </c>
      <c r="H2078" s="5">
        <f t="shared" si="102"/>
        <v>2500</v>
      </c>
      <c r="I2078" s="5">
        <f t="shared" si="103"/>
        <v>5000</v>
      </c>
      <c r="J2078" s="5">
        <f t="shared" si="104"/>
        <v>2500</v>
      </c>
      <c r="K2078" s="5" t="str">
        <f>VLOOKUP(C2078,[1]master_data!$A$2:$E$495,5,FALSE)</f>
        <v>Aksesoris</v>
      </c>
      <c r="L2078" s="5" t="s">
        <v>471</v>
      </c>
    </row>
    <row r="2079" spans="1:12" ht="12" customHeight="1" x14ac:dyDescent="0.25">
      <c r="A2079" s="6">
        <v>44704</v>
      </c>
      <c r="B2079" s="1">
        <v>2202484</v>
      </c>
      <c r="C2079" s="5" t="s">
        <v>439</v>
      </c>
      <c r="D2079" s="5" t="str">
        <f>VLOOKUP(C2079,[1]master_data!$A$2:$E$495,2,FALSE)</f>
        <v>NEON</v>
      </c>
      <c r="E2079" s="5">
        <v>2</v>
      </c>
      <c r="F2079" s="5">
        <f>VLOOKUP(C2079,[1]master_data!$A$2:$E$495,3,FALSE)</f>
        <v>1250</v>
      </c>
      <c r="G2079" s="5">
        <f>VLOOKUP(C2079,[1]master_data!$A$2:$E$495,4,FALSE)</f>
        <v>5000</v>
      </c>
      <c r="H2079" s="5">
        <f t="shared" si="102"/>
        <v>2500</v>
      </c>
      <c r="I2079" s="5">
        <f t="shared" si="103"/>
        <v>10000</v>
      </c>
      <c r="J2079" s="5">
        <f t="shared" si="104"/>
        <v>7500</v>
      </c>
      <c r="K2079" s="5" t="str">
        <f>VLOOKUP(C2079,[1]master_data!$A$2:$E$495,5,FALSE)</f>
        <v>Ikan</v>
      </c>
      <c r="L2079" s="5" t="s">
        <v>471</v>
      </c>
    </row>
    <row r="2080" spans="1:12" ht="12" customHeight="1" x14ac:dyDescent="0.25">
      <c r="A2080" s="6">
        <v>44704</v>
      </c>
      <c r="B2080" s="1">
        <v>2202483</v>
      </c>
      <c r="C2080" s="5" t="s">
        <v>212</v>
      </c>
      <c r="D2080" s="5" t="str">
        <f>VLOOKUP(C2080,[1]master_data!$A$2:$E$495,2,FALSE)</f>
        <v>UDANG KERING</v>
      </c>
      <c r="E2080" s="5">
        <v>1</v>
      </c>
      <c r="F2080" s="5">
        <f>VLOOKUP(C2080,[1]master_data!$A$2:$E$495,3,FALSE)</f>
        <v>4500</v>
      </c>
      <c r="G2080" s="5">
        <f>VLOOKUP(C2080,[1]master_data!$A$2:$E$495,4,FALSE)</f>
        <v>10000</v>
      </c>
      <c r="H2080" s="5">
        <f t="shared" si="102"/>
        <v>4500</v>
      </c>
      <c r="I2080" s="5">
        <f t="shared" si="103"/>
        <v>10000</v>
      </c>
      <c r="J2080" s="5">
        <f t="shared" si="104"/>
        <v>5500</v>
      </c>
      <c r="K2080" s="5" t="str">
        <f>VLOOKUP(C2080,[1]master_data!$A$2:$E$495,5,FALSE)</f>
        <v>Aksesoris</v>
      </c>
      <c r="L2080" s="5" t="s">
        <v>471</v>
      </c>
    </row>
    <row r="2081" spans="1:12" ht="12" customHeight="1" x14ac:dyDescent="0.25">
      <c r="A2081" s="6">
        <v>44704</v>
      </c>
      <c r="B2081" s="1">
        <v>2202482</v>
      </c>
      <c r="C2081" s="5" t="s">
        <v>412</v>
      </c>
      <c r="D2081" s="5" t="str">
        <f>VLOOKUP(C2081,[1]master_data!$A$2:$E$495,2,FALSE)</f>
        <v>HIU TAWAR</v>
      </c>
      <c r="E2081" s="5">
        <v>2</v>
      </c>
      <c r="F2081" s="5">
        <f>VLOOKUP(C2081,[1]master_data!$A$2:$E$495,3,FALSE)</f>
        <v>600</v>
      </c>
      <c r="G2081" s="5">
        <f>VLOOKUP(C2081,[1]master_data!$A$2:$E$495,4,FALSE)</f>
        <v>2000</v>
      </c>
      <c r="H2081" s="5">
        <f t="shared" si="102"/>
        <v>1200</v>
      </c>
      <c r="I2081" s="5">
        <f t="shared" si="103"/>
        <v>4000</v>
      </c>
      <c r="J2081" s="5">
        <f t="shared" si="104"/>
        <v>2800</v>
      </c>
      <c r="K2081" s="5" t="str">
        <f>VLOOKUP(C2081,[1]master_data!$A$2:$E$495,5,FALSE)</f>
        <v>Ikan</v>
      </c>
      <c r="L2081" s="5" t="s">
        <v>471</v>
      </c>
    </row>
    <row r="2082" spans="1:12" ht="12" customHeight="1" x14ac:dyDescent="0.25">
      <c r="A2082" s="6">
        <v>44703</v>
      </c>
      <c r="B2082" s="1">
        <v>2202481</v>
      </c>
      <c r="C2082" s="5" t="s">
        <v>279</v>
      </c>
      <c r="D2082" s="5" t="str">
        <f>VLOOKUP(C2082,[1]master_data!$A$2:$E$495,2,FALSE)</f>
        <v>KRAN 1 W</v>
      </c>
      <c r="E2082" s="5">
        <v>2</v>
      </c>
      <c r="F2082" s="5">
        <f>VLOOKUP(C2082,[1]master_data!$A$2:$E$495,3,FALSE)</f>
        <v>1200</v>
      </c>
      <c r="G2082" s="5">
        <f>VLOOKUP(C2082,[1]master_data!$A$2:$E$495,4,FALSE)</f>
        <v>3000</v>
      </c>
      <c r="H2082" s="5">
        <f t="shared" si="102"/>
        <v>2400</v>
      </c>
      <c r="I2082" s="5">
        <f t="shared" si="103"/>
        <v>6000</v>
      </c>
      <c r="J2082" s="5">
        <f t="shared" si="104"/>
        <v>3600</v>
      </c>
      <c r="K2082" s="5" t="str">
        <f>VLOOKUP(C2082,[1]master_data!$A$2:$E$495,5,FALSE)</f>
        <v>Aksesoris</v>
      </c>
      <c r="L2082" s="5" t="s">
        <v>471</v>
      </c>
    </row>
    <row r="2083" spans="1:12" ht="12" customHeight="1" x14ac:dyDescent="0.25">
      <c r="A2083" s="6">
        <v>44703</v>
      </c>
      <c r="B2083" s="1">
        <v>2202480</v>
      </c>
      <c r="C2083" s="5" t="s">
        <v>307</v>
      </c>
      <c r="D2083" s="5" t="str">
        <f>VLOOKUP(C2083,[1]master_data!$A$2:$E$495,2,FALSE)</f>
        <v>QUICK FILTER</v>
      </c>
      <c r="E2083" s="5">
        <v>1</v>
      </c>
      <c r="F2083" s="5">
        <f>VLOOKUP(C2083,[1]master_data!$A$2:$E$495,3,FALSE)</f>
        <v>12000</v>
      </c>
      <c r="G2083" s="5">
        <f>VLOOKUP(C2083,[1]master_data!$A$2:$E$495,4,FALSE)</f>
        <v>20000</v>
      </c>
      <c r="H2083" s="5">
        <f t="shared" si="102"/>
        <v>12000</v>
      </c>
      <c r="I2083" s="5">
        <f t="shared" si="103"/>
        <v>20000</v>
      </c>
      <c r="J2083" s="5">
        <f t="shared" si="104"/>
        <v>8000</v>
      </c>
      <c r="K2083" s="5" t="str">
        <f>VLOOKUP(C2083,[1]master_data!$A$2:$E$495,5,FALSE)</f>
        <v>Aksesoris</v>
      </c>
      <c r="L2083" s="5" t="s">
        <v>471</v>
      </c>
    </row>
    <row r="2084" spans="1:12" ht="12" customHeight="1" x14ac:dyDescent="0.25">
      <c r="A2084" s="6">
        <v>44703</v>
      </c>
      <c r="B2084" s="1">
        <v>2202479</v>
      </c>
      <c r="C2084" s="5" t="s">
        <v>408</v>
      </c>
      <c r="D2084" s="5" t="str">
        <f>VLOOKUP(C2084,[1]master_data!$A$2:$E$495,2,FALSE)</f>
        <v>CATFISH</v>
      </c>
      <c r="E2084" s="5">
        <v>10</v>
      </c>
      <c r="F2084" s="5">
        <f>VLOOKUP(C2084,[1]master_data!$A$2:$E$495,3,FALSE)</f>
        <v>20000</v>
      </c>
      <c r="G2084" s="5">
        <f>VLOOKUP(C2084,[1]master_data!$A$2:$E$495,4,FALSE)</f>
        <v>50000</v>
      </c>
      <c r="H2084" s="5">
        <f t="shared" si="102"/>
        <v>200000</v>
      </c>
      <c r="I2084" s="5">
        <f t="shared" si="103"/>
        <v>500000</v>
      </c>
      <c r="J2084" s="5">
        <f t="shared" si="104"/>
        <v>300000</v>
      </c>
      <c r="K2084" s="5" t="str">
        <f>VLOOKUP(C2084,[1]master_data!$A$2:$E$495,5,FALSE)</f>
        <v>Ikan</v>
      </c>
      <c r="L2084" s="5" t="s">
        <v>471</v>
      </c>
    </row>
    <row r="2085" spans="1:12" ht="12" customHeight="1" x14ac:dyDescent="0.25">
      <c r="A2085" s="6">
        <v>44703</v>
      </c>
      <c r="B2085" s="1">
        <v>2202478</v>
      </c>
      <c r="C2085" s="5" t="s">
        <v>418</v>
      </c>
      <c r="D2085" s="5" t="str">
        <f>VLOOKUP(C2085,[1]master_data!$A$2:$E$495,2,FALSE)</f>
        <v>KOI B</v>
      </c>
      <c r="E2085" s="5">
        <v>1</v>
      </c>
      <c r="F2085" s="5">
        <f>VLOOKUP(C2085,[1]master_data!$A$2:$E$495,3,FALSE)</f>
        <v>9000</v>
      </c>
      <c r="G2085" s="5">
        <f>VLOOKUP(C2085,[1]master_data!$A$2:$E$495,4,FALSE)</f>
        <v>30000</v>
      </c>
      <c r="H2085" s="5">
        <f t="shared" si="102"/>
        <v>9000</v>
      </c>
      <c r="I2085" s="5">
        <f t="shared" si="103"/>
        <v>30000</v>
      </c>
      <c r="J2085" s="5">
        <f t="shared" si="104"/>
        <v>21000</v>
      </c>
      <c r="K2085" s="5" t="str">
        <f>VLOOKUP(C2085,[1]master_data!$A$2:$E$495,5,FALSE)</f>
        <v>Ikan</v>
      </c>
      <c r="L2085" s="5" t="s">
        <v>471</v>
      </c>
    </row>
    <row r="2086" spans="1:12" ht="12" customHeight="1" x14ac:dyDescent="0.25">
      <c r="A2086" s="6">
        <v>44703</v>
      </c>
      <c r="B2086" s="1">
        <v>2202477</v>
      </c>
      <c r="C2086" s="5" t="s">
        <v>204</v>
      </c>
      <c r="D2086" s="5" t="str">
        <f>VLOOKUP(C2086,[1]master_data!$A$2:$E$495,2,FALSE)</f>
        <v>MAGOT</v>
      </c>
      <c r="E2086" s="5">
        <v>1</v>
      </c>
      <c r="F2086" s="5">
        <f>VLOOKUP(C2086,[1]master_data!$A$2:$E$495,3,FALSE)</f>
        <v>4500</v>
      </c>
      <c r="G2086" s="5">
        <f>VLOOKUP(C2086,[1]master_data!$A$2:$E$495,4,FALSE)</f>
        <v>10000</v>
      </c>
      <c r="H2086" s="5">
        <f t="shared" si="102"/>
        <v>4500</v>
      </c>
      <c r="I2086" s="5">
        <f t="shared" si="103"/>
        <v>10000</v>
      </c>
      <c r="J2086" s="5">
        <f t="shared" si="104"/>
        <v>5500</v>
      </c>
      <c r="K2086" s="5" t="str">
        <f>VLOOKUP(C2086,[1]master_data!$A$2:$E$495,5,FALSE)</f>
        <v>Aksesoris</v>
      </c>
      <c r="L2086" s="5" t="s">
        <v>471</v>
      </c>
    </row>
    <row r="2087" spans="1:12" ht="12" customHeight="1" x14ac:dyDescent="0.25">
      <c r="A2087" s="6">
        <v>44703</v>
      </c>
      <c r="B2087" s="1">
        <v>2202476</v>
      </c>
      <c r="C2087" s="5" t="s">
        <v>20</v>
      </c>
      <c r="D2087" s="5" t="str">
        <f>VLOOKUP(C2087,[1]master_data!$A$2:$E$495,2,FALSE)</f>
        <v>MESIN ROSTON 1200</v>
      </c>
      <c r="E2087" s="5">
        <v>3</v>
      </c>
      <c r="F2087" s="5">
        <f>VLOOKUP(C2087,[1]master_data!$A$2:$E$495,3,FALSE)</f>
        <v>23000</v>
      </c>
      <c r="G2087" s="5">
        <f>VLOOKUP(C2087,[1]master_data!$A$2:$E$495,4,FALSE)</f>
        <v>35000</v>
      </c>
      <c r="H2087" s="5">
        <f t="shared" si="102"/>
        <v>69000</v>
      </c>
      <c r="I2087" s="5">
        <f t="shared" si="103"/>
        <v>105000</v>
      </c>
      <c r="J2087" s="5">
        <f t="shared" si="104"/>
        <v>36000</v>
      </c>
      <c r="K2087" s="5" t="str">
        <f>VLOOKUP(C2087,[1]master_data!$A$2:$E$495,5,FALSE)</f>
        <v>Aksesoris</v>
      </c>
      <c r="L2087" s="5" t="s">
        <v>471</v>
      </c>
    </row>
    <row r="2088" spans="1:12" ht="12" customHeight="1" x14ac:dyDescent="0.25">
      <c r="A2088" s="6">
        <v>44703</v>
      </c>
      <c r="B2088" s="1">
        <v>2202475</v>
      </c>
      <c r="C2088" s="5" t="s">
        <v>233</v>
      </c>
      <c r="D2088" s="5" t="str">
        <f>VLOOKUP(C2088,[1]master_data!$A$2:$E$495,2,FALSE)</f>
        <v>FISH LOVE PAKAN</v>
      </c>
      <c r="E2088" s="5">
        <v>2</v>
      </c>
      <c r="F2088" s="5">
        <f>VLOOKUP(C2088,[1]master_data!$A$2:$E$495,3,FALSE)</f>
        <v>2500</v>
      </c>
      <c r="G2088" s="5">
        <f>VLOOKUP(C2088,[1]master_data!$A$2:$E$495,4,FALSE)</f>
        <v>5000</v>
      </c>
      <c r="H2088" s="5">
        <f t="shared" si="102"/>
        <v>5000</v>
      </c>
      <c r="I2088" s="5">
        <f t="shared" si="103"/>
        <v>10000</v>
      </c>
      <c r="J2088" s="5">
        <f t="shared" si="104"/>
        <v>5000</v>
      </c>
      <c r="K2088" s="5" t="str">
        <f>VLOOKUP(C2088,[1]master_data!$A$2:$E$495,5,FALSE)</f>
        <v>Aksesoris</v>
      </c>
      <c r="L2088" s="5" t="s">
        <v>471</v>
      </c>
    </row>
    <row r="2089" spans="1:12" ht="12" customHeight="1" x14ac:dyDescent="0.25">
      <c r="A2089" s="6">
        <v>44703</v>
      </c>
      <c r="B2089" s="1">
        <v>2202474</v>
      </c>
      <c r="C2089" s="5" t="s">
        <v>412</v>
      </c>
      <c r="D2089" s="5" t="str">
        <f>VLOOKUP(C2089,[1]master_data!$A$2:$E$495,2,FALSE)</f>
        <v>HIU TAWAR</v>
      </c>
      <c r="E2089" s="5">
        <v>2</v>
      </c>
      <c r="F2089" s="5">
        <f>VLOOKUP(C2089,[1]master_data!$A$2:$E$495,3,FALSE)</f>
        <v>600</v>
      </c>
      <c r="G2089" s="5">
        <f>VLOOKUP(C2089,[1]master_data!$A$2:$E$495,4,FALSE)</f>
        <v>2000</v>
      </c>
      <c r="H2089" s="5">
        <f t="shared" si="102"/>
        <v>1200</v>
      </c>
      <c r="I2089" s="5">
        <f t="shared" si="103"/>
        <v>4000</v>
      </c>
      <c r="J2089" s="5">
        <f t="shared" si="104"/>
        <v>2800</v>
      </c>
      <c r="K2089" s="5" t="str">
        <f>VLOOKUP(C2089,[1]master_data!$A$2:$E$495,5,FALSE)</f>
        <v>Ikan</v>
      </c>
      <c r="L2089" s="5" t="s">
        <v>471</v>
      </c>
    </row>
    <row r="2090" spans="1:12" ht="12" customHeight="1" x14ac:dyDescent="0.25">
      <c r="A2090" s="6">
        <v>44703</v>
      </c>
      <c r="B2090" s="1">
        <v>2202473</v>
      </c>
      <c r="C2090" s="5" t="s">
        <v>414</v>
      </c>
      <c r="D2090" s="5" t="str">
        <f>VLOOKUP(C2090,[1]master_data!$A$2:$E$495,2,FALSE)</f>
        <v>KOKI T</v>
      </c>
      <c r="E2090" s="5">
        <v>1</v>
      </c>
      <c r="F2090" s="5">
        <f>VLOOKUP(C2090,[1]master_data!$A$2:$E$495,3,FALSE)</f>
        <v>8000</v>
      </c>
      <c r="G2090" s="5">
        <f>VLOOKUP(C2090,[1]master_data!$A$2:$E$495,4,FALSE)</f>
        <v>15000</v>
      </c>
      <c r="H2090" s="5">
        <f t="shared" si="102"/>
        <v>8000</v>
      </c>
      <c r="I2090" s="5">
        <f t="shared" si="103"/>
        <v>15000</v>
      </c>
      <c r="J2090" s="5">
        <f t="shared" si="104"/>
        <v>7000</v>
      </c>
      <c r="K2090" s="5" t="str">
        <f>VLOOKUP(C2090,[1]master_data!$A$2:$E$495,5,FALSE)</f>
        <v>Ikan</v>
      </c>
      <c r="L2090" s="5" t="s">
        <v>471</v>
      </c>
    </row>
    <row r="2091" spans="1:12" ht="12" customHeight="1" x14ac:dyDescent="0.25">
      <c r="A2091" s="6">
        <v>44703</v>
      </c>
      <c r="B2091" s="1">
        <v>2202472</v>
      </c>
      <c r="C2091" s="5" t="s">
        <v>422</v>
      </c>
      <c r="D2091" s="5" t="str">
        <f>VLOOKUP(C2091,[1]master_data!$A$2:$E$495,2,FALSE)</f>
        <v>KOMET SLAYER</v>
      </c>
      <c r="E2091" s="5">
        <v>2</v>
      </c>
      <c r="F2091" s="5">
        <f>VLOOKUP(C2091,[1]master_data!$A$2:$E$495,3,FALSE)</f>
        <v>2000</v>
      </c>
      <c r="G2091" s="5">
        <f>VLOOKUP(C2091,[1]master_data!$A$2:$E$495,4,FALSE)</f>
        <v>5000</v>
      </c>
      <c r="H2091" s="5">
        <f t="shared" si="102"/>
        <v>4000</v>
      </c>
      <c r="I2091" s="5">
        <f t="shared" si="103"/>
        <v>10000</v>
      </c>
      <c r="J2091" s="5">
        <f t="shared" si="104"/>
        <v>6000</v>
      </c>
      <c r="K2091" s="5" t="str">
        <f>VLOOKUP(C2091,[1]master_data!$A$2:$E$495,5,FALSE)</f>
        <v>Ikan</v>
      </c>
      <c r="L2091" s="5" t="s">
        <v>471</v>
      </c>
    </row>
    <row r="2092" spans="1:12" ht="12" customHeight="1" x14ac:dyDescent="0.25">
      <c r="A2092" s="6">
        <v>44703</v>
      </c>
      <c r="B2092" s="1">
        <v>2202471</v>
      </c>
      <c r="C2092" s="5" t="s">
        <v>248</v>
      </c>
      <c r="D2092" s="5" t="str">
        <f>VLOOKUP(C2092,[1]master_data!$A$2:$E$495,2,FALSE)</f>
        <v>MATLINE BLUE</v>
      </c>
      <c r="E2092" s="5">
        <v>6</v>
      </c>
      <c r="F2092" s="5">
        <f>VLOOKUP(C2092,[1]master_data!$A$2:$E$495,3,FALSE)</f>
        <v>7000</v>
      </c>
      <c r="G2092" s="5">
        <f>VLOOKUP(C2092,[1]master_data!$A$2:$E$495,4,FALSE)</f>
        <v>10000</v>
      </c>
      <c r="H2092" s="5">
        <f t="shared" si="102"/>
        <v>42000</v>
      </c>
      <c r="I2092" s="5">
        <f t="shared" si="103"/>
        <v>60000</v>
      </c>
      <c r="J2092" s="5">
        <f t="shared" si="104"/>
        <v>18000</v>
      </c>
      <c r="K2092" s="5" t="str">
        <f>VLOOKUP(C2092,[1]master_data!$A$2:$E$495,5,FALSE)</f>
        <v>Aksesoris</v>
      </c>
      <c r="L2092" s="5" t="s">
        <v>471</v>
      </c>
    </row>
    <row r="2093" spans="1:12" ht="12" customHeight="1" x14ac:dyDescent="0.25">
      <c r="A2093" s="6">
        <v>44703</v>
      </c>
      <c r="B2093" s="1">
        <v>2202470</v>
      </c>
      <c r="C2093" s="5" t="s">
        <v>417</v>
      </c>
      <c r="D2093" s="5" t="str">
        <f>VLOOKUP(C2093,[1]master_data!$A$2:$E$495,2,FALSE)</f>
        <v>KOI T</v>
      </c>
      <c r="E2093" s="5">
        <v>1</v>
      </c>
      <c r="F2093" s="5">
        <f>VLOOKUP(C2093,[1]master_data!$A$2:$E$495,3,FALSE)</f>
        <v>7000</v>
      </c>
      <c r="G2093" s="5">
        <f>VLOOKUP(C2093,[1]master_data!$A$2:$E$495,4,FALSE)</f>
        <v>20000</v>
      </c>
      <c r="H2093" s="5">
        <f t="shared" si="102"/>
        <v>7000</v>
      </c>
      <c r="I2093" s="5">
        <f t="shared" si="103"/>
        <v>20000</v>
      </c>
      <c r="J2093" s="5">
        <f t="shared" si="104"/>
        <v>13000</v>
      </c>
      <c r="K2093" s="5" t="str">
        <f>VLOOKUP(C2093,[1]master_data!$A$2:$E$495,5,FALSE)</f>
        <v>Ikan</v>
      </c>
      <c r="L2093" s="5" t="s">
        <v>471</v>
      </c>
    </row>
    <row r="2094" spans="1:12" ht="12" customHeight="1" x14ac:dyDescent="0.25">
      <c r="A2094" s="6">
        <v>44703</v>
      </c>
      <c r="B2094" s="1">
        <v>2202469</v>
      </c>
      <c r="C2094" s="5" t="s">
        <v>420</v>
      </c>
      <c r="D2094" s="5" t="str">
        <f>VLOOKUP(C2094,[1]master_data!$A$2:$E$495,2,FALSE)</f>
        <v>KAVIAT</v>
      </c>
      <c r="E2094" s="5">
        <v>2</v>
      </c>
      <c r="F2094" s="5">
        <f>VLOOKUP(C2094,[1]master_data!$A$2:$E$495,3,FALSE)</f>
        <v>3500</v>
      </c>
      <c r="G2094" s="5">
        <f>VLOOKUP(C2094,[1]master_data!$A$2:$E$495,4,FALSE)</f>
        <v>8000</v>
      </c>
      <c r="H2094" s="5">
        <f t="shared" si="102"/>
        <v>7000</v>
      </c>
      <c r="I2094" s="5">
        <f t="shared" si="103"/>
        <v>16000</v>
      </c>
      <c r="J2094" s="5">
        <f t="shared" si="104"/>
        <v>9000</v>
      </c>
      <c r="K2094" s="5" t="str">
        <f>VLOOKUP(C2094,[1]master_data!$A$2:$E$495,5,FALSE)</f>
        <v>Ikan</v>
      </c>
      <c r="L2094" s="5" t="s">
        <v>471</v>
      </c>
    </row>
    <row r="2095" spans="1:12" ht="12" customHeight="1" x14ac:dyDescent="0.25">
      <c r="A2095" s="6">
        <v>44703</v>
      </c>
      <c r="B2095" s="1">
        <v>2202468</v>
      </c>
      <c r="C2095" s="5" t="s">
        <v>282</v>
      </c>
      <c r="D2095" s="5" t="str">
        <f>VLOOKUP(C2095,[1]master_data!$A$2:$E$495,2,FALSE)</f>
        <v>HIASAN KELAPA</v>
      </c>
      <c r="E2095" s="5">
        <v>1</v>
      </c>
      <c r="F2095" s="5">
        <f>VLOOKUP(C2095,[1]master_data!$A$2:$E$495,3,FALSE)</f>
        <v>8000</v>
      </c>
      <c r="G2095" s="5">
        <f>VLOOKUP(C2095,[1]master_data!$A$2:$E$495,4,FALSE)</f>
        <v>15000</v>
      </c>
      <c r="H2095" s="5">
        <f t="shared" si="102"/>
        <v>8000</v>
      </c>
      <c r="I2095" s="5">
        <f t="shared" si="103"/>
        <v>15000</v>
      </c>
      <c r="J2095" s="5">
        <f t="shared" si="104"/>
        <v>7000</v>
      </c>
      <c r="K2095" s="5" t="str">
        <f>VLOOKUP(C2095,[1]master_data!$A$2:$E$495,5,FALSE)</f>
        <v>Aksesoris</v>
      </c>
      <c r="L2095" s="5" t="s">
        <v>471</v>
      </c>
    </row>
    <row r="2096" spans="1:12" ht="12" customHeight="1" x14ac:dyDescent="0.25">
      <c r="A2096" s="6">
        <v>44702</v>
      </c>
      <c r="B2096" s="1">
        <v>2202467</v>
      </c>
      <c r="C2096" s="5" t="s">
        <v>43</v>
      </c>
      <c r="D2096" s="5" t="str">
        <f>VLOOKUP(C2096,[1]master_data!$A$2:$E$495,2,FALSE)</f>
        <v>MESIN YAMANO 650</v>
      </c>
      <c r="E2096" s="5">
        <v>2</v>
      </c>
      <c r="F2096" s="5">
        <f>VLOOKUP(C2096,[1]master_data!$A$2:$E$495,3,FALSE)</f>
        <v>40000</v>
      </c>
      <c r="G2096" s="5">
        <f>VLOOKUP(C2096,[1]master_data!$A$2:$E$495,4,FALSE)</f>
        <v>70000</v>
      </c>
      <c r="H2096" s="5">
        <f t="shared" si="102"/>
        <v>80000</v>
      </c>
      <c r="I2096" s="5">
        <f t="shared" si="103"/>
        <v>140000</v>
      </c>
      <c r="J2096" s="5">
        <f t="shared" si="104"/>
        <v>60000</v>
      </c>
      <c r="K2096" s="5" t="str">
        <f>VLOOKUP(C2096,[1]master_data!$A$2:$E$495,5,FALSE)</f>
        <v>Aksesoris</v>
      </c>
      <c r="L2096" s="5" t="s">
        <v>471</v>
      </c>
    </row>
    <row r="2097" spans="1:12" ht="12" customHeight="1" x14ac:dyDescent="0.25">
      <c r="A2097" s="6">
        <v>44702</v>
      </c>
      <c r="B2097" s="1">
        <v>2202466</v>
      </c>
      <c r="C2097" s="5" t="s">
        <v>418</v>
      </c>
      <c r="D2097" s="5" t="str">
        <f>VLOOKUP(C2097,[1]master_data!$A$2:$E$495,2,FALSE)</f>
        <v>KOI B</v>
      </c>
      <c r="E2097" s="5">
        <v>1</v>
      </c>
      <c r="F2097" s="5">
        <f>VLOOKUP(C2097,[1]master_data!$A$2:$E$495,3,FALSE)</f>
        <v>9000</v>
      </c>
      <c r="G2097" s="5">
        <f>VLOOKUP(C2097,[1]master_data!$A$2:$E$495,4,FALSE)</f>
        <v>30000</v>
      </c>
      <c r="H2097" s="5">
        <f t="shared" si="102"/>
        <v>9000</v>
      </c>
      <c r="I2097" s="5">
        <f t="shared" si="103"/>
        <v>30000</v>
      </c>
      <c r="J2097" s="5">
        <f t="shared" si="104"/>
        <v>21000</v>
      </c>
      <c r="K2097" s="5" t="str">
        <f>VLOOKUP(C2097,[1]master_data!$A$2:$E$495,5,FALSE)</f>
        <v>Ikan</v>
      </c>
      <c r="L2097" s="5" t="s">
        <v>471</v>
      </c>
    </row>
    <row r="2098" spans="1:12" ht="12" customHeight="1" x14ac:dyDescent="0.25">
      <c r="A2098" s="6">
        <v>44702</v>
      </c>
      <c r="B2098" s="1">
        <v>2202465</v>
      </c>
      <c r="C2098" s="5" t="s">
        <v>422</v>
      </c>
      <c r="D2098" s="5" t="str">
        <f>VLOOKUP(C2098,[1]master_data!$A$2:$E$495,2,FALSE)</f>
        <v>KOMET SLAYER</v>
      </c>
      <c r="E2098" s="5">
        <v>1</v>
      </c>
      <c r="F2098" s="5">
        <f>VLOOKUP(C2098,[1]master_data!$A$2:$E$495,3,FALSE)</f>
        <v>2000</v>
      </c>
      <c r="G2098" s="5">
        <f>VLOOKUP(C2098,[1]master_data!$A$2:$E$495,4,FALSE)</f>
        <v>5000</v>
      </c>
      <c r="H2098" s="5">
        <f t="shared" si="102"/>
        <v>2000</v>
      </c>
      <c r="I2098" s="5">
        <f t="shared" si="103"/>
        <v>5000</v>
      </c>
      <c r="J2098" s="5">
        <f t="shared" si="104"/>
        <v>3000</v>
      </c>
      <c r="K2098" s="5" t="str">
        <f>VLOOKUP(C2098,[1]master_data!$A$2:$E$495,5,FALSE)</f>
        <v>Ikan</v>
      </c>
      <c r="L2098" s="5" t="s">
        <v>471</v>
      </c>
    </row>
    <row r="2099" spans="1:12" ht="12" customHeight="1" x14ac:dyDescent="0.25">
      <c r="A2099" s="6">
        <v>44702</v>
      </c>
      <c r="B2099" s="1">
        <v>2202464</v>
      </c>
      <c r="C2099" s="5" t="s">
        <v>125</v>
      </c>
      <c r="D2099" s="5" t="str">
        <f>VLOOKUP(C2099,[1]master_data!$A$2:$E$495,2,FALSE)</f>
        <v>LAMPU YAMANO UV 9W</v>
      </c>
      <c r="E2099" s="5">
        <v>2</v>
      </c>
      <c r="F2099" s="5">
        <f>VLOOKUP(C2099,[1]master_data!$A$2:$E$495,3,FALSE)</f>
        <v>66000</v>
      </c>
      <c r="G2099" s="5">
        <f>VLOOKUP(C2099,[1]master_data!$A$2:$E$495,4,FALSE)</f>
        <v>85000</v>
      </c>
      <c r="H2099" s="5">
        <f t="shared" si="102"/>
        <v>132000</v>
      </c>
      <c r="I2099" s="5">
        <f t="shared" si="103"/>
        <v>170000</v>
      </c>
      <c r="J2099" s="5">
        <f t="shared" si="104"/>
        <v>38000</v>
      </c>
      <c r="K2099" s="5" t="str">
        <f>VLOOKUP(C2099,[1]master_data!$A$2:$E$495,5,FALSE)</f>
        <v>Aksesoris</v>
      </c>
      <c r="L2099" s="5" t="s">
        <v>471</v>
      </c>
    </row>
    <row r="2100" spans="1:12" ht="12" customHeight="1" x14ac:dyDescent="0.25">
      <c r="A2100" s="6">
        <v>44702</v>
      </c>
      <c r="B2100" s="1">
        <v>2202463</v>
      </c>
      <c r="C2100" s="5" t="s">
        <v>285</v>
      </c>
      <c r="D2100" s="5" t="str">
        <f>VLOOKUP(C2100,[1]master_data!$A$2:$E$495,2,FALSE)</f>
        <v>KAPAS 4 LAPIS</v>
      </c>
      <c r="E2100" s="5">
        <v>1</v>
      </c>
      <c r="F2100" s="5">
        <f>VLOOKUP(C2100,[1]master_data!$A$2:$E$495,3,FALSE)</f>
        <v>6500</v>
      </c>
      <c r="G2100" s="5">
        <f>VLOOKUP(C2100,[1]master_data!$A$2:$E$495,4,FALSE)</f>
        <v>10000</v>
      </c>
      <c r="H2100" s="5">
        <f t="shared" si="102"/>
        <v>6500</v>
      </c>
      <c r="I2100" s="5">
        <f t="shared" si="103"/>
        <v>10000</v>
      </c>
      <c r="J2100" s="5">
        <f t="shared" si="104"/>
        <v>3500</v>
      </c>
      <c r="K2100" s="5" t="str">
        <f>VLOOKUP(C2100,[1]master_data!$A$2:$E$495,5,FALSE)</f>
        <v>Aksesoris</v>
      </c>
      <c r="L2100" s="5" t="s">
        <v>471</v>
      </c>
    </row>
    <row r="2101" spans="1:12" ht="12" customHeight="1" x14ac:dyDescent="0.25">
      <c r="A2101" s="6">
        <v>44702</v>
      </c>
      <c r="B2101" s="1">
        <v>2202462</v>
      </c>
      <c r="C2101" s="5" t="s">
        <v>414</v>
      </c>
      <c r="D2101" s="5" t="str">
        <f>VLOOKUP(C2101,[1]master_data!$A$2:$E$495,2,FALSE)</f>
        <v>KOKI T</v>
      </c>
      <c r="E2101" s="5">
        <v>23</v>
      </c>
      <c r="F2101" s="5">
        <f>VLOOKUP(C2101,[1]master_data!$A$2:$E$495,3,FALSE)</f>
        <v>8000</v>
      </c>
      <c r="G2101" s="5">
        <f>VLOOKUP(C2101,[1]master_data!$A$2:$E$495,4,FALSE)</f>
        <v>15000</v>
      </c>
      <c r="H2101" s="5">
        <f t="shared" si="102"/>
        <v>184000</v>
      </c>
      <c r="I2101" s="5">
        <f t="shared" si="103"/>
        <v>345000</v>
      </c>
      <c r="J2101" s="5">
        <f t="shared" si="104"/>
        <v>161000</v>
      </c>
      <c r="K2101" s="5" t="str">
        <f>VLOOKUP(C2101,[1]master_data!$A$2:$E$495,5,FALSE)</f>
        <v>Ikan</v>
      </c>
      <c r="L2101" s="5" t="s">
        <v>471</v>
      </c>
    </row>
    <row r="2102" spans="1:12" ht="12" customHeight="1" x14ac:dyDescent="0.25">
      <c r="A2102" s="6">
        <v>44702</v>
      </c>
      <c r="B2102" s="1">
        <v>2202461</v>
      </c>
      <c r="C2102" s="5" t="s">
        <v>408</v>
      </c>
      <c r="D2102" s="5" t="str">
        <f>VLOOKUP(C2102,[1]master_data!$A$2:$E$495,2,FALSE)</f>
        <v>CATFISH</v>
      </c>
      <c r="E2102" s="5">
        <v>3</v>
      </c>
      <c r="F2102" s="5">
        <f>VLOOKUP(C2102,[1]master_data!$A$2:$E$495,3,FALSE)</f>
        <v>20000</v>
      </c>
      <c r="G2102" s="5">
        <f>VLOOKUP(C2102,[1]master_data!$A$2:$E$495,4,FALSE)</f>
        <v>50000</v>
      </c>
      <c r="H2102" s="5">
        <f t="shared" si="102"/>
        <v>60000</v>
      </c>
      <c r="I2102" s="5">
        <f t="shared" si="103"/>
        <v>150000</v>
      </c>
      <c r="J2102" s="5">
        <f t="shared" si="104"/>
        <v>90000</v>
      </c>
      <c r="K2102" s="5" t="str">
        <f>VLOOKUP(C2102,[1]master_data!$A$2:$E$495,5,FALSE)</f>
        <v>Ikan</v>
      </c>
      <c r="L2102" s="5" t="s">
        <v>471</v>
      </c>
    </row>
    <row r="2103" spans="1:12" ht="12" customHeight="1" x14ac:dyDescent="0.25">
      <c r="A2103" s="6">
        <v>44702</v>
      </c>
      <c r="B2103" s="1">
        <v>2202460</v>
      </c>
      <c r="C2103" s="5" t="s">
        <v>420</v>
      </c>
      <c r="D2103" s="5" t="str">
        <f>VLOOKUP(C2103,[1]master_data!$A$2:$E$495,2,FALSE)</f>
        <v>KAVIAT</v>
      </c>
      <c r="E2103" s="5">
        <v>1</v>
      </c>
      <c r="F2103" s="5">
        <f>VLOOKUP(C2103,[1]master_data!$A$2:$E$495,3,FALSE)</f>
        <v>3500</v>
      </c>
      <c r="G2103" s="5">
        <f>VLOOKUP(C2103,[1]master_data!$A$2:$E$495,4,FALSE)</f>
        <v>8000</v>
      </c>
      <c r="H2103" s="5">
        <f t="shared" si="102"/>
        <v>3500</v>
      </c>
      <c r="I2103" s="5">
        <f t="shared" si="103"/>
        <v>8000</v>
      </c>
      <c r="J2103" s="5">
        <f t="shared" si="104"/>
        <v>4500</v>
      </c>
      <c r="K2103" s="5" t="str">
        <f>VLOOKUP(C2103,[1]master_data!$A$2:$E$495,5,FALSE)</f>
        <v>Ikan</v>
      </c>
      <c r="L2103" s="5" t="s">
        <v>471</v>
      </c>
    </row>
    <row r="2104" spans="1:12" ht="12" customHeight="1" x14ac:dyDescent="0.25">
      <c r="A2104" s="6">
        <v>44702</v>
      </c>
      <c r="B2104" s="1">
        <v>2202459</v>
      </c>
      <c r="C2104" s="5" t="s">
        <v>204</v>
      </c>
      <c r="D2104" s="5" t="str">
        <f>VLOOKUP(C2104,[1]master_data!$A$2:$E$495,2,FALSE)</f>
        <v>MAGOT</v>
      </c>
      <c r="E2104" s="5">
        <v>1</v>
      </c>
      <c r="F2104" s="5">
        <f>VLOOKUP(C2104,[1]master_data!$A$2:$E$495,3,FALSE)</f>
        <v>4500</v>
      </c>
      <c r="G2104" s="5">
        <f>VLOOKUP(C2104,[1]master_data!$A$2:$E$495,4,FALSE)</f>
        <v>10000</v>
      </c>
      <c r="H2104" s="5">
        <f t="shared" si="102"/>
        <v>4500</v>
      </c>
      <c r="I2104" s="5">
        <f t="shared" si="103"/>
        <v>10000</v>
      </c>
      <c r="J2104" s="5">
        <f t="shared" si="104"/>
        <v>5500</v>
      </c>
      <c r="K2104" s="5" t="str">
        <f>VLOOKUP(C2104,[1]master_data!$A$2:$E$495,5,FALSE)</f>
        <v>Aksesoris</v>
      </c>
      <c r="L2104" s="5" t="s">
        <v>471</v>
      </c>
    </row>
    <row r="2105" spans="1:12" ht="12" customHeight="1" x14ac:dyDescent="0.25">
      <c r="A2105" s="6">
        <v>44702</v>
      </c>
      <c r="B2105" s="1">
        <v>2202458</v>
      </c>
      <c r="C2105" s="5" t="s">
        <v>262</v>
      </c>
      <c r="D2105" s="5" t="str">
        <f>VLOOKUP(C2105,[1]master_data!$A$2:$E$495,2,FALSE)</f>
        <v>COP PIPA</v>
      </c>
      <c r="E2105" s="5">
        <v>2</v>
      </c>
      <c r="F2105" s="5">
        <f>VLOOKUP(C2105,[1]master_data!$A$2:$E$495,3,FALSE)</f>
        <v>800</v>
      </c>
      <c r="G2105" s="5">
        <f>VLOOKUP(C2105,[1]master_data!$A$2:$E$495,4,FALSE)</f>
        <v>2000</v>
      </c>
      <c r="H2105" s="5">
        <f t="shared" si="102"/>
        <v>1600</v>
      </c>
      <c r="I2105" s="5">
        <f t="shared" si="103"/>
        <v>4000</v>
      </c>
      <c r="J2105" s="5">
        <f t="shared" si="104"/>
        <v>2400</v>
      </c>
      <c r="K2105" s="5" t="str">
        <f>VLOOKUP(C2105,[1]master_data!$A$2:$E$495,5,FALSE)</f>
        <v>Aksesoris</v>
      </c>
      <c r="L2105" s="5" t="s">
        <v>471</v>
      </c>
    </row>
    <row r="2106" spans="1:12" ht="12" customHeight="1" x14ac:dyDescent="0.25">
      <c r="A2106" s="6">
        <v>44702</v>
      </c>
      <c r="B2106" s="1">
        <v>2202457</v>
      </c>
      <c r="C2106" s="5" t="s">
        <v>417</v>
      </c>
      <c r="D2106" s="5" t="str">
        <f>VLOOKUP(C2106,[1]master_data!$A$2:$E$495,2,FALSE)</f>
        <v>KOI T</v>
      </c>
      <c r="E2106" s="5">
        <v>2</v>
      </c>
      <c r="F2106" s="5">
        <f>VLOOKUP(C2106,[1]master_data!$A$2:$E$495,3,FALSE)</f>
        <v>7000</v>
      </c>
      <c r="G2106" s="5">
        <f>VLOOKUP(C2106,[1]master_data!$A$2:$E$495,4,FALSE)</f>
        <v>20000</v>
      </c>
      <c r="H2106" s="5">
        <f t="shared" si="102"/>
        <v>14000</v>
      </c>
      <c r="I2106" s="5">
        <f t="shared" si="103"/>
        <v>40000</v>
      </c>
      <c r="J2106" s="5">
        <f t="shared" si="104"/>
        <v>26000</v>
      </c>
      <c r="K2106" s="5" t="str">
        <f>VLOOKUP(C2106,[1]master_data!$A$2:$E$495,5,FALSE)</f>
        <v>Ikan</v>
      </c>
      <c r="L2106" s="5" t="s">
        <v>471</v>
      </c>
    </row>
    <row r="2107" spans="1:12" ht="12" customHeight="1" x14ac:dyDescent="0.25">
      <c r="A2107" s="6">
        <v>44701</v>
      </c>
      <c r="B2107" s="1">
        <v>2202456</v>
      </c>
      <c r="C2107" s="5" t="s">
        <v>414</v>
      </c>
      <c r="D2107" s="5" t="str">
        <f>VLOOKUP(C2107,[1]master_data!$A$2:$E$495,2,FALSE)</f>
        <v>KOKI T</v>
      </c>
      <c r="E2107" s="5">
        <v>1</v>
      </c>
      <c r="F2107" s="5">
        <f>VLOOKUP(C2107,[1]master_data!$A$2:$E$495,3,FALSE)</f>
        <v>8000</v>
      </c>
      <c r="G2107" s="5">
        <f>VLOOKUP(C2107,[1]master_data!$A$2:$E$495,4,FALSE)</f>
        <v>15000</v>
      </c>
      <c r="H2107" s="5">
        <f t="shared" si="102"/>
        <v>8000</v>
      </c>
      <c r="I2107" s="5">
        <f t="shared" si="103"/>
        <v>15000</v>
      </c>
      <c r="J2107" s="5">
        <f t="shared" si="104"/>
        <v>7000</v>
      </c>
      <c r="K2107" s="5" t="str">
        <f>VLOOKUP(C2107,[1]master_data!$A$2:$E$495,5,FALSE)</f>
        <v>Ikan</v>
      </c>
      <c r="L2107" s="5" t="s">
        <v>471</v>
      </c>
    </row>
    <row r="2108" spans="1:12" ht="12" customHeight="1" x14ac:dyDescent="0.25">
      <c r="A2108" s="6">
        <v>44701</v>
      </c>
      <c r="B2108" s="1">
        <v>2202455</v>
      </c>
      <c r="C2108" s="5" t="s">
        <v>417</v>
      </c>
      <c r="D2108" s="5" t="str">
        <f>VLOOKUP(C2108,[1]master_data!$A$2:$E$495,2,FALSE)</f>
        <v>KOI T</v>
      </c>
      <c r="E2108" s="5">
        <v>1</v>
      </c>
      <c r="F2108" s="5">
        <f>VLOOKUP(C2108,[1]master_data!$A$2:$E$495,3,FALSE)</f>
        <v>7000</v>
      </c>
      <c r="G2108" s="5">
        <f>VLOOKUP(C2108,[1]master_data!$A$2:$E$495,4,FALSE)</f>
        <v>20000</v>
      </c>
      <c r="H2108" s="5">
        <f t="shared" si="102"/>
        <v>7000</v>
      </c>
      <c r="I2108" s="5">
        <f t="shared" si="103"/>
        <v>20000</v>
      </c>
      <c r="J2108" s="5">
        <f t="shared" si="104"/>
        <v>13000</v>
      </c>
      <c r="K2108" s="5" t="str">
        <f>VLOOKUP(C2108,[1]master_data!$A$2:$E$495,5,FALSE)</f>
        <v>Ikan</v>
      </c>
      <c r="L2108" s="5" t="s">
        <v>471</v>
      </c>
    </row>
    <row r="2109" spans="1:12" ht="12" customHeight="1" x14ac:dyDescent="0.25">
      <c r="A2109" s="6">
        <v>44701</v>
      </c>
      <c r="B2109" s="1">
        <v>2202454</v>
      </c>
      <c r="C2109" s="5" t="s">
        <v>204</v>
      </c>
      <c r="D2109" s="5" t="str">
        <f>VLOOKUP(C2109,[1]master_data!$A$2:$E$495,2,FALSE)</f>
        <v>MAGOT</v>
      </c>
      <c r="E2109" s="5">
        <v>1</v>
      </c>
      <c r="F2109" s="5">
        <f>VLOOKUP(C2109,[1]master_data!$A$2:$E$495,3,FALSE)</f>
        <v>4500</v>
      </c>
      <c r="G2109" s="5">
        <f>VLOOKUP(C2109,[1]master_data!$A$2:$E$495,4,FALSE)</f>
        <v>10000</v>
      </c>
      <c r="H2109" s="5">
        <f t="shared" si="102"/>
        <v>4500</v>
      </c>
      <c r="I2109" s="5">
        <f t="shared" si="103"/>
        <v>10000</v>
      </c>
      <c r="J2109" s="5">
        <f t="shared" si="104"/>
        <v>5500</v>
      </c>
      <c r="K2109" s="5" t="str">
        <f>VLOOKUP(C2109,[1]master_data!$A$2:$E$495,5,FALSE)</f>
        <v>Aksesoris</v>
      </c>
      <c r="L2109" s="5" t="s">
        <v>471</v>
      </c>
    </row>
    <row r="2110" spans="1:12" ht="12" customHeight="1" x14ac:dyDescent="0.25">
      <c r="A2110" s="6">
        <v>44701</v>
      </c>
      <c r="B2110" s="1">
        <v>2202453</v>
      </c>
      <c r="C2110" s="5" t="s">
        <v>285</v>
      </c>
      <c r="D2110" s="5" t="str">
        <f>VLOOKUP(C2110,[1]master_data!$A$2:$E$495,2,FALSE)</f>
        <v>KAPAS 4 LAPIS</v>
      </c>
      <c r="E2110" s="5">
        <v>1</v>
      </c>
      <c r="F2110" s="5">
        <f>VLOOKUP(C2110,[1]master_data!$A$2:$E$495,3,FALSE)</f>
        <v>6500</v>
      </c>
      <c r="G2110" s="5">
        <f>VLOOKUP(C2110,[1]master_data!$A$2:$E$495,4,FALSE)</f>
        <v>10000</v>
      </c>
      <c r="H2110" s="5">
        <f t="shared" si="102"/>
        <v>6500</v>
      </c>
      <c r="I2110" s="5">
        <f t="shared" si="103"/>
        <v>10000</v>
      </c>
      <c r="J2110" s="5">
        <f t="shared" si="104"/>
        <v>3500</v>
      </c>
      <c r="K2110" s="5" t="str">
        <f>VLOOKUP(C2110,[1]master_data!$A$2:$E$495,5,FALSE)</f>
        <v>Aksesoris</v>
      </c>
      <c r="L2110" s="5" t="s">
        <v>471</v>
      </c>
    </row>
    <row r="2111" spans="1:12" ht="12" customHeight="1" x14ac:dyDescent="0.25">
      <c r="A2111" s="6">
        <v>44701</v>
      </c>
      <c r="B2111" s="1">
        <v>2202452</v>
      </c>
      <c r="C2111" s="5" t="s">
        <v>347</v>
      </c>
      <c r="D2111" s="5" t="str">
        <f>VLOOKUP(C2111,[1]master_data!$A$2:$E$495,2,FALSE)</f>
        <v>AKUARIUM NIKITA L</v>
      </c>
      <c r="E2111" s="5">
        <v>1</v>
      </c>
      <c r="F2111" s="5">
        <f>VLOOKUP(C2111,[1]master_data!$A$2:$E$495,3,FALSE)</f>
        <v>60000</v>
      </c>
      <c r="G2111" s="5">
        <f>VLOOKUP(C2111,[1]master_data!$A$2:$E$495,4,FALSE)</f>
        <v>130000</v>
      </c>
      <c r="H2111" s="5">
        <f t="shared" si="102"/>
        <v>60000</v>
      </c>
      <c r="I2111" s="5">
        <f t="shared" si="103"/>
        <v>130000</v>
      </c>
      <c r="J2111" s="5">
        <f t="shared" si="104"/>
        <v>70000</v>
      </c>
      <c r="K2111" s="5" t="str">
        <f>VLOOKUP(C2111,[1]master_data!$A$2:$E$495,5,FALSE)</f>
        <v>Aksesoris</v>
      </c>
      <c r="L2111" s="5" t="s">
        <v>471</v>
      </c>
    </row>
    <row r="2112" spans="1:12" ht="12" customHeight="1" x14ac:dyDescent="0.25">
      <c r="A2112" s="6">
        <v>44701</v>
      </c>
      <c r="B2112" s="1">
        <v>2202451</v>
      </c>
      <c r="C2112" s="5" t="s">
        <v>390</v>
      </c>
      <c r="D2112" s="5" t="str">
        <f>VLOOKUP(C2112,[1]master_data!$A$2:$E$495,2,FALSE)</f>
        <v>CHANNA ASIATICA K</v>
      </c>
      <c r="E2112" s="5">
        <v>1</v>
      </c>
      <c r="F2112" s="5">
        <f>VLOOKUP(C2112,[1]master_data!$A$2:$E$495,3,FALSE)</f>
        <v>10000</v>
      </c>
      <c r="G2112" s="5">
        <f>VLOOKUP(C2112,[1]master_data!$A$2:$E$495,4,FALSE)</f>
        <v>40000</v>
      </c>
      <c r="H2112" s="5">
        <f t="shared" si="102"/>
        <v>10000</v>
      </c>
      <c r="I2112" s="5">
        <f t="shared" si="103"/>
        <v>40000</v>
      </c>
      <c r="J2112" s="5">
        <f t="shared" si="104"/>
        <v>30000</v>
      </c>
      <c r="K2112" s="5" t="str">
        <f>VLOOKUP(C2112,[1]master_data!$A$2:$E$495,5,FALSE)</f>
        <v>Ikan</v>
      </c>
      <c r="L2112" s="5" t="s">
        <v>471</v>
      </c>
    </row>
    <row r="2113" spans="1:12" ht="12" customHeight="1" x14ac:dyDescent="0.25">
      <c r="A2113" s="6">
        <v>44701</v>
      </c>
      <c r="B2113" s="1">
        <v>2202450</v>
      </c>
      <c r="C2113" s="5" t="s">
        <v>408</v>
      </c>
      <c r="D2113" s="5" t="str">
        <f>VLOOKUP(C2113,[1]master_data!$A$2:$E$495,2,FALSE)</f>
        <v>CATFISH</v>
      </c>
      <c r="E2113" s="5">
        <v>10</v>
      </c>
      <c r="F2113" s="5">
        <f>VLOOKUP(C2113,[1]master_data!$A$2:$E$495,3,FALSE)</f>
        <v>20000</v>
      </c>
      <c r="G2113" s="5">
        <f>VLOOKUP(C2113,[1]master_data!$A$2:$E$495,4,FALSE)</f>
        <v>50000</v>
      </c>
      <c r="H2113" s="5">
        <f t="shared" si="102"/>
        <v>200000</v>
      </c>
      <c r="I2113" s="5">
        <f t="shared" si="103"/>
        <v>500000</v>
      </c>
      <c r="J2113" s="5">
        <f t="shared" si="104"/>
        <v>300000</v>
      </c>
      <c r="K2113" s="5" t="str">
        <f>VLOOKUP(C2113,[1]master_data!$A$2:$E$495,5,FALSE)</f>
        <v>Ikan</v>
      </c>
      <c r="L2113" s="5" t="s">
        <v>471</v>
      </c>
    </row>
    <row r="2114" spans="1:12" ht="12" customHeight="1" x14ac:dyDescent="0.25">
      <c r="A2114" s="6">
        <v>44701</v>
      </c>
      <c r="B2114" s="1">
        <v>2202449</v>
      </c>
      <c r="C2114" s="5" t="s">
        <v>420</v>
      </c>
      <c r="D2114" s="5" t="str">
        <f>VLOOKUP(C2114,[1]master_data!$A$2:$E$495,2,FALSE)</f>
        <v>KAVIAT</v>
      </c>
      <c r="E2114" s="5">
        <v>1</v>
      </c>
      <c r="F2114" s="5">
        <f>VLOOKUP(C2114,[1]master_data!$A$2:$E$495,3,FALSE)</f>
        <v>3500</v>
      </c>
      <c r="G2114" s="5">
        <f>VLOOKUP(C2114,[1]master_data!$A$2:$E$495,4,FALSE)</f>
        <v>8000</v>
      </c>
      <c r="H2114" s="5">
        <f t="shared" si="102"/>
        <v>3500</v>
      </c>
      <c r="I2114" s="5">
        <f t="shared" si="103"/>
        <v>8000</v>
      </c>
      <c r="J2114" s="5">
        <f t="shared" si="104"/>
        <v>4500</v>
      </c>
      <c r="K2114" s="5" t="str">
        <f>VLOOKUP(C2114,[1]master_data!$A$2:$E$495,5,FALSE)</f>
        <v>Ikan</v>
      </c>
      <c r="L2114" s="5" t="s">
        <v>471</v>
      </c>
    </row>
    <row r="2115" spans="1:12" ht="12" customHeight="1" x14ac:dyDescent="0.25">
      <c r="A2115" s="6">
        <v>44701</v>
      </c>
      <c r="B2115" s="1">
        <v>2202448</v>
      </c>
      <c r="C2115" s="5" t="s">
        <v>415</v>
      </c>
      <c r="D2115" s="5" t="str">
        <f>VLOOKUP(C2115,[1]master_data!$A$2:$E$495,2,FALSE)</f>
        <v>KOKI B</v>
      </c>
      <c r="E2115" s="5">
        <v>2</v>
      </c>
      <c r="F2115" s="5">
        <f>VLOOKUP(C2115,[1]master_data!$A$2:$E$495,3,FALSE)</f>
        <v>20000</v>
      </c>
      <c r="G2115" s="5">
        <f>VLOOKUP(C2115,[1]master_data!$A$2:$E$495,4,FALSE)</f>
        <v>50000</v>
      </c>
      <c r="H2115" s="5">
        <f t="shared" si="102"/>
        <v>40000</v>
      </c>
      <c r="I2115" s="5">
        <f t="shared" si="103"/>
        <v>100000</v>
      </c>
      <c r="J2115" s="5">
        <f t="shared" si="104"/>
        <v>60000</v>
      </c>
      <c r="K2115" s="5" t="str">
        <f>VLOOKUP(C2115,[1]master_data!$A$2:$E$495,5,FALSE)</f>
        <v>Ikan</v>
      </c>
      <c r="L2115" s="5" t="s">
        <v>471</v>
      </c>
    </row>
    <row r="2116" spans="1:12" ht="12" customHeight="1" x14ac:dyDescent="0.25">
      <c r="A2116" s="6">
        <v>44701</v>
      </c>
      <c r="B2116" s="1">
        <v>2202447</v>
      </c>
      <c r="C2116" s="5" t="s">
        <v>417</v>
      </c>
      <c r="D2116" s="5" t="str">
        <f>VLOOKUP(C2116,[1]master_data!$A$2:$E$495,2,FALSE)</f>
        <v>KOI T</v>
      </c>
      <c r="E2116" s="5">
        <v>1</v>
      </c>
      <c r="F2116" s="5">
        <f>VLOOKUP(C2116,[1]master_data!$A$2:$E$495,3,FALSE)</f>
        <v>7000</v>
      </c>
      <c r="G2116" s="5">
        <f>VLOOKUP(C2116,[1]master_data!$A$2:$E$495,4,FALSE)</f>
        <v>20000</v>
      </c>
      <c r="H2116" s="5">
        <f t="shared" si="102"/>
        <v>7000</v>
      </c>
      <c r="I2116" s="5">
        <f t="shared" si="103"/>
        <v>20000</v>
      </c>
      <c r="J2116" s="5">
        <f t="shared" si="104"/>
        <v>13000</v>
      </c>
      <c r="K2116" s="5" t="str">
        <f>VLOOKUP(C2116,[1]master_data!$A$2:$E$495,5,FALSE)</f>
        <v>Ikan</v>
      </c>
      <c r="L2116" s="5" t="s">
        <v>471</v>
      </c>
    </row>
    <row r="2117" spans="1:12" ht="12" customHeight="1" x14ac:dyDescent="0.25">
      <c r="A2117" s="6">
        <v>44701</v>
      </c>
      <c r="B2117" s="1">
        <v>2202446</v>
      </c>
      <c r="C2117" s="5" t="s">
        <v>112</v>
      </c>
      <c r="D2117" s="5" t="str">
        <f>VLOOKUP(C2117,[1]master_data!$A$2:$E$495,2,FALSE)</f>
        <v>LED ROSTON 20 CM</v>
      </c>
      <c r="E2117" s="5">
        <v>1</v>
      </c>
      <c r="F2117" s="5">
        <f>VLOOKUP(C2117,[1]master_data!$A$2:$E$495,3,FALSE)</f>
        <v>21000</v>
      </c>
      <c r="G2117" s="5">
        <f>VLOOKUP(C2117,[1]master_data!$A$2:$E$495,4,FALSE)</f>
        <v>30000</v>
      </c>
      <c r="H2117" s="5">
        <f t="shared" ref="H2117:H2180" si="105">E2117*F2117</f>
        <v>21000</v>
      </c>
      <c r="I2117" s="5">
        <f t="shared" ref="I2117:I2180" si="106">E2117*G2117</f>
        <v>30000</v>
      </c>
      <c r="J2117" s="5">
        <f t="shared" ref="J2117:J2180" si="107">I2117-H2117</f>
        <v>9000</v>
      </c>
      <c r="K2117" s="5" t="str">
        <f>VLOOKUP(C2117,[1]master_data!$A$2:$E$495,5,FALSE)</f>
        <v>Aksesoris</v>
      </c>
      <c r="L2117" s="5" t="s">
        <v>471</v>
      </c>
    </row>
    <row r="2118" spans="1:12" ht="12" customHeight="1" x14ac:dyDescent="0.25">
      <c r="A2118" s="6">
        <v>44700</v>
      </c>
      <c r="B2118" s="1">
        <v>2202445</v>
      </c>
      <c r="C2118" s="5" t="s">
        <v>417</v>
      </c>
      <c r="D2118" s="5" t="str">
        <f>VLOOKUP(C2118,[1]master_data!$A$2:$E$495,2,FALSE)</f>
        <v>KOI T</v>
      </c>
      <c r="E2118" s="5">
        <v>1</v>
      </c>
      <c r="F2118" s="5">
        <f>VLOOKUP(C2118,[1]master_data!$A$2:$E$495,3,FALSE)</f>
        <v>7000</v>
      </c>
      <c r="G2118" s="5">
        <f>VLOOKUP(C2118,[1]master_data!$A$2:$E$495,4,FALSE)</f>
        <v>20000</v>
      </c>
      <c r="H2118" s="5">
        <f t="shared" si="105"/>
        <v>7000</v>
      </c>
      <c r="I2118" s="5">
        <f t="shared" si="106"/>
        <v>20000</v>
      </c>
      <c r="J2118" s="5">
        <f t="shared" si="107"/>
        <v>13000</v>
      </c>
      <c r="K2118" s="5" t="str">
        <f>VLOOKUP(C2118,[1]master_data!$A$2:$E$495,5,FALSE)</f>
        <v>Ikan</v>
      </c>
      <c r="L2118" s="5" t="s">
        <v>471</v>
      </c>
    </row>
    <row r="2119" spans="1:12" ht="12" customHeight="1" x14ac:dyDescent="0.25">
      <c r="A2119" s="6">
        <v>44700</v>
      </c>
      <c r="B2119" s="1">
        <v>2202444</v>
      </c>
      <c r="C2119" s="5" t="s">
        <v>307</v>
      </c>
      <c r="D2119" s="5" t="str">
        <f>VLOOKUP(C2119,[1]master_data!$A$2:$E$495,2,FALSE)</f>
        <v>QUICK FILTER</v>
      </c>
      <c r="E2119" s="5">
        <v>2</v>
      </c>
      <c r="F2119" s="5">
        <f>VLOOKUP(C2119,[1]master_data!$A$2:$E$495,3,FALSE)</f>
        <v>12000</v>
      </c>
      <c r="G2119" s="5">
        <f>VLOOKUP(C2119,[1]master_data!$A$2:$E$495,4,FALSE)</f>
        <v>20000</v>
      </c>
      <c r="H2119" s="5">
        <f t="shared" si="105"/>
        <v>24000</v>
      </c>
      <c r="I2119" s="5">
        <f t="shared" si="106"/>
        <v>40000</v>
      </c>
      <c r="J2119" s="5">
        <f t="shared" si="107"/>
        <v>16000</v>
      </c>
      <c r="K2119" s="5" t="str">
        <f>VLOOKUP(C2119,[1]master_data!$A$2:$E$495,5,FALSE)</f>
        <v>Aksesoris</v>
      </c>
      <c r="L2119" s="5" t="s">
        <v>471</v>
      </c>
    </row>
    <row r="2120" spans="1:12" ht="12" customHeight="1" x14ac:dyDescent="0.25">
      <c r="A2120" s="6">
        <v>44700</v>
      </c>
      <c r="B2120" s="1">
        <v>2202443</v>
      </c>
      <c r="C2120" s="5" t="s">
        <v>414</v>
      </c>
      <c r="D2120" s="5" t="str">
        <f>VLOOKUP(C2120,[1]master_data!$A$2:$E$495,2,FALSE)</f>
        <v>KOKI T</v>
      </c>
      <c r="E2120" s="5">
        <v>1</v>
      </c>
      <c r="F2120" s="5">
        <f>VLOOKUP(C2120,[1]master_data!$A$2:$E$495,3,FALSE)</f>
        <v>8000</v>
      </c>
      <c r="G2120" s="5">
        <f>VLOOKUP(C2120,[1]master_data!$A$2:$E$495,4,FALSE)</f>
        <v>15000</v>
      </c>
      <c r="H2120" s="5">
        <f t="shared" si="105"/>
        <v>8000</v>
      </c>
      <c r="I2120" s="5">
        <f t="shared" si="106"/>
        <v>15000</v>
      </c>
      <c r="J2120" s="5">
        <f t="shared" si="107"/>
        <v>7000</v>
      </c>
      <c r="K2120" s="5" t="str">
        <f>VLOOKUP(C2120,[1]master_data!$A$2:$E$495,5,FALSE)</f>
        <v>Ikan</v>
      </c>
      <c r="L2120" s="5" t="s">
        <v>471</v>
      </c>
    </row>
    <row r="2121" spans="1:12" ht="12" customHeight="1" x14ac:dyDescent="0.25">
      <c r="A2121" s="6">
        <v>44700</v>
      </c>
      <c r="B2121" s="1">
        <v>2202442</v>
      </c>
      <c r="C2121" s="5" t="s">
        <v>347</v>
      </c>
      <c r="D2121" s="5" t="str">
        <f>VLOOKUP(C2121,[1]master_data!$A$2:$E$495,2,FALSE)</f>
        <v>AKUARIUM NIKITA L</v>
      </c>
      <c r="E2121" s="5">
        <v>2</v>
      </c>
      <c r="F2121" s="5">
        <f>VLOOKUP(C2121,[1]master_data!$A$2:$E$495,3,FALSE)</f>
        <v>60000</v>
      </c>
      <c r="G2121" s="5">
        <f>VLOOKUP(C2121,[1]master_data!$A$2:$E$495,4,FALSE)</f>
        <v>130000</v>
      </c>
      <c r="H2121" s="5">
        <f t="shared" si="105"/>
        <v>120000</v>
      </c>
      <c r="I2121" s="5">
        <f t="shared" si="106"/>
        <v>260000</v>
      </c>
      <c r="J2121" s="5">
        <f t="shared" si="107"/>
        <v>140000</v>
      </c>
      <c r="K2121" s="5" t="str">
        <f>VLOOKUP(C2121,[1]master_data!$A$2:$E$495,5,FALSE)</f>
        <v>Aksesoris</v>
      </c>
      <c r="L2121" s="5" t="s">
        <v>471</v>
      </c>
    </row>
    <row r="2122" spans="1:12" ht="12" customHeight="1" x14ac:dyDescent="0.25">
      <c r="A2122" s="6">
        <v>44700</v>
      </c>
      <c r="B2122" s="1">
        <v>2202441</v>
      </c>
      <c r="C2122" s="5" t="s">
        <v>255</v>
      </c>
      <c r="D2122" s="5" t="str">
        <f>VLOOKUP(C2122,[1]master_data!$A$2:$E$495,2,FALSE)</f>
        <v>ACRIPLAVIN</v>
      </c>
      <c r="E2122" s="5">
        <v>1</v>
      </c>
      <c r="F2122" s="5">
        <f>VLOOKUP(C2122,[1]master_data!$A$2:$E$495,3,FALSE)</f>
        <v>3000</v>
      </c>
      <c r="G2122" s="5">
        <f>VLOOKUP(C2122,[1]master_data!$A$2:$E$495,4,FALSE)</f>
        <v>8000</v>
      </c>
      <c r="H2122" s="5">
        <f t="shared" si="105"/>
        <v>3000</v>
      </c>
      <c r="I2122" s="5">
        <f t="shared" si="106"/>
        <v>8000</v>
      </c>
      <c r="J2122" s="5">
        <f t="shared" si="107"/>
        <v>5000</v>
      </c>
      <c r="K2122" s="5" t="str">
        <f>VLOOKUP(C2122,[1]master_data!$A$2:$E$495,5,FALSE)</f>
        <v>Aksesoris</v>
      </c>
      <c r="L2122" s="5" t="s">
        <v>471</v>
      </c>
    </row>
    <row r="2123" spans="1:12" ht="12" customHeight="1" x14ac:dyDescent="0.25">
      <c r="A2123" s="6">
        <v>44700</v>
      </c>
      <c r="B2123" s="1">
        <v>2202440</v>
      </c>
      <c r="C2123" s="5" t="s">
        <v>208</v>
      </c>
      <c r="D2123" s="5" t="str">
        <f>VLOOKUP(C2123,[1]master_data!$A$2:$E$495,2,FALSE)</f>
        <v>TOP VIT</v>
      </c>
      <c r="E2123" s="5">
        <v>1</v>
      </c>
      <c r="F2123" s="5">
        <f>VLOOKUP(C2123,[1]master_data!$A$2:$E$495,3,FALSE)</f>
        <v>4000</v>
      </c>
      <c r="G2123" s="5">
        <f>VLOOKUP(C2123,[1]master_data!$A$2:$E$495,4,FALSE)</f>
        <v>7000</v>
      </c>
      <c r="H2123" s="5">
        <f t="shared" si="105"/>
        <v>4000</v>
      </c>
      <c r="I2123" s="5">
        <f t="shared" si="106"/>
        <v>7000</v>
      </c>
      <c r="J2123" s="5">
        <f t="shared" si="107"/>
        <v>3000</v>
      </c>
      <c r="K2123" s="5" t="str">
        <f>VLOOKUP(C2123,[1]master_data!$A$2:$E$495,5,FALSE)</f>
        <v>Aksesoris</v>
      </c>
      <c r="L2123" s="5" t="s">
        <v>471</v>
      </c>
    </row>
    <row r="2124" spans="1:12" ht="12" customHeight="1" x14ac:dyDescent="0.25">
      <c r="A2124" s="6">
        <v>44700</v>
      </c>
      <c r="B2124" s="1">
        <v>2202439</v>
      </c>
      <c r="C2124" s="5" t="s">
        <v>417</v>
      </c>
      <c r="D2124" s="5" t="str">
        <f>VLOOKUP(C2124,[1]master_data!$A$2:$E$495,2,FALSE)</f>
        <v>KOI T</v>
      </c>
      <c r="E2124" s="5">
        <v>5</v>
      </c>
      <c r="F2124" s="5">
        <f>VLOOKUP(C2124,[1]master_data!$A$2:$E$495,3,FALSE)</f>
        <v>7000</v>
      </c>
      <c r="G2124" s="5">
        <f>VLOOKUP(C2124,[1]master_data!$A$2:$E$495,4,FALSE)</f>
        <v>20000</v>
      </c>
      <c r="H2124" s="5">
        <f t="shared" si="105"/>
        <v>35000</v>
      </c>
      <c r="I2124" s="5">
        <f t="shared" si="106"/>
        <v>100000</v>
      </c>
      <c r="J2124" s="5">
        <f t="shared" si="107"/>
        <v>65000</v>
      </c>
      <c r="K2124" s="5" t="str">
        <f>VLOOKUP(C2124,[1]master_data!$A$2:$E$495,5,FALSE)</f>
        <v>Ikan</v>
      </c>
      <c r="L2124" s="5" t="s">
        <v>471</v>
      </c>
    </row>
    <row r="2125" spans="1:12" ht="12" customHeight="1" x14ac:dyDescent="0.25">
      <c r="A2125" s="6">
        <v>44700</v>
      </c>
      <c r="B2125" s="1">
        <v>2202438</v>
      </c>
      <c r="C2125" s="5" t="s">
        <v>417</v>
      </c>
      <c r="D2125" s="5" t="str">
        <f>VLOOKUP(C2125,[1]master_data!$A$2:$E$495,2,FALSE)</f>
        <v>KOI T</v>
      </c>
      <c r="E2125" s="5">
        <v>1</v>
      </c>
      <c r="F2125" s="5">
        <f>VLOOKUP(C2125,[1]master_data!$A$2:$E$495,3,FALSE)</f>
        <v>7000</v>
      </c>
      <c r="G2125" s="5">
        <f>VLOOKUP(C2125,[1]master_data!$A$2:$E$495,4,FALSE)</f>
        <v>20000</v>
      </c>
      <c r="H2125" s="5">
        <f t="shared" si="105"/>
        <v>7000</v>
      </c>
      <c r="I2125" s="5">
        <f t="shared" si="106"/>
        <v>20000</v>
      </c>
      <c r="J2125" s="5">
        <f t="shared" si="107"/>
        <v>13000</v>
      </c>
      <c r="K2125" s="5" t="str">
        <f>VLOOKUP(C2125,[1]master_data!$A$2:$E$495,5,FALSE)</f>
        <v>Ikan</v>
      </c>
      <c r="L2125" s="5" t="s">
        <v>471</v>
      </c>
    </row>
    <row r="2126" spans="1:12" ht="12" customHeight="1" x14ac:dyDescent="0.25">
      <c r="A2126" s="6">
        <v>44700</v>
      </c>
      <c r="B2126" s="1">
        <v>2202437</v>
      </c>
      <c r="C2126" s="5" t="s">
        <v>212</v>
      </c>
      <c r="D2126" s="5" t="str">
        <f>VLOOKUP(C2126,[1]master_data!$A$2:$E$495,2,FALSE)</f>
        <v>UDANG KERING</v>
      </c>
      <c r="E2126" s="5">
        <v>1</v>
      </c>
      <c r="F2126" s="5">
        <f>VLOOKUP(C2126,[1]master_data!$A$2:$E$495,3,FALSE)</f>
        <v>4500</v>
      </c>
      <c r="G2126" s="5">
        <f>VLOOKUP(C2126,[1]master_data!$A$2:$E$495,4,FALSE)</f>
        <v>10000</v>
      </c>
      <c r="H2126" s="5">
        <f t="shared" si="105"/>
        <v>4500</v>
      </c>
      <c r="I2126" s="5">
        <f t="shared" si="106"/>
        <v>10000</v>
      </c>
      <c r="J2126" s="5">
        <f t="shared" si="107"/>
        <v>5500</v>
      </c>
      <c r="K2126" s="5" t="str">
        <f>VLOOKUP(C2126,[1]master_data!$A$2:$E$495,5,FALSE)</f>
        <v>Aksesoris</v>
      </c>
      <c r="L2126" s="5" t="s">
        <v>471</v>
      </c>
    </row>
    <row r="2127" spans="1:12" ht="12" customHeight="1" x14ac:dyDescent="0.25">
      <c r="A2127" s="6">
        <v>44700</v>
      </c>
      <c r="B2127" s="1">
        <v>2202436</v>
      </c>
      <c r="C2127" s="5" t="s">
        <v>390</v>
      </c>
      <c r="D2127" s="5" t="str">
        <f>VLOOKUP(C2127,[1]master_data!$A$2:$E$495,2,FALSE)</f>
        <v>CHANNA ASIATICA K</v>
      </c>
      <c r="E2127" s="5">
        <v>1</v>
      </c>
      <c r="F2127" s="5">
        <f>VLOOKUP(C2127,[1]master_data!$A$2:$E$495,3,FALSE)</f>
        <v>10000</v>
      </c>
      <c r="G2127" s="5">
        <f>VLOOKUP(C2127,[1]master_data!$A$2:$E$495,4,FALSE)</f>
        <v>40000</v>
      </c>
      <c r="H2127" s="5">
        <f t="shared" si="105"/>
        <v>10000</v>
      </c>
      <c r="I2127" s="5">
        <f t="shared" si="106"/>
        <v>40000</v>
      </c>
      <c r="J2127" s="5">
        <f t="shared" si="107"/>
        <v>30000</v>
      </c>
      <c r="K2127" s="5" t="str">
        <f>VLOOKUP(C2127,[1]master_data!$A$2:$E$495,5,FALSE)</f>
        <v>Ikan</v>
      </c>
      <c r="L2127" s="5" t="s">
        <v>471</v>
      </c>
    </row>
    <row r="2128" spans="1:12" ht="12" customHeight="1" x14ac:dyDescent="0.25">
      <c r="A2128" s="6">
        <v>44700</v>
      </c>
      <c r="B2128" s="1">
        <v>2202435</v>
      </c>
      <c r="C2128" s="5" t="s">
        <v>204</v>
      </c>
      <c r="D2128" s="5" t="str">
        <f>VLOOKUP(C2128,[1]master_data!$A$2:$E$495,2,FALSE)</f>
        <v>MAGOT</v>
      </c>
      <c r="E2128" s="5">
        <v>1</v>
      </c>
      <c r="F2128" s="5">
        <f>VLOOKUP(C2128,[1]master_data!$A$2:$E$495,3,FALSE)</f>
        <v>4500</v>
      </c>
      <c r="G2128" s="5">
        <f>VLOOKUP(C2128,[1]master_data!$A$2:$E$495,4,FALSE)</f>
        <v>10000</v>
      </c>
      <c r="H2128" s="5">
        <f t="shared" si="105"/>
        <v>4500</v>
      </c>
      <c r="I2128" s="5">
        <f t="shared" si="106"/>
        <v>10000</v>
      </c>
      <c r="J2128" s="5">
        <f t="shared" si="107"/>
        <v>5500</v>
      </c>
      <c r="K2128" s="5" t="str">
        <f>VLOOKUP(C2128,[1]master_data!$A$2:$E$495,5,FALSE)</f>
        <v>Aksesoris</v>
      </c>
      <c r="L2128" s="5" t="s">
        <v>471</v>
      </c>
    </row>
    <row r="2129" spans="1:12" ht="12" customHeight="1" x14ac:dyDescent="0.25">
      <c r="A2129" s="6">
        <v>44700</v>
      </c>
      <c r="B2129" s="1">
        <v>2202434</v>
      </c>
      <c r="C2129" s="5" t="s">
        <v>408</v>
      </c>
      <c r="D2129" s="5" t="str">
        <f>VLOOKUP(C2129,[1]master_data!$A$2:$E$495,2,FALSE)</f>
        <v>CATFISH</v>
      </c>
      <c r="E2129" s="5">
        <v>5</v>
      </c>
      <c r="F2129" s="5">
        <f>VLOOKUP(C2129,[1]master_data!$A$2:$E$495,3,FALSE)</f>
        <v>20000</v>
      </c>
      <c r="G2129" s="5">
        <f>VLOOKUP(C2129,[1]master_data!$A$2:$E$495,4,FALSE)</f>
        <v>50000</v>
      </c>
      <c r="H2129" s="5">
        <f t="shared" si="105"/>
        <v>100000</v>
      </c>
      <c r="I2129" s="5">
        <f t="shared" si="106"/>
        <v>250000</v>
      </c>
      <c r="J2129" s="5">
        <f t="shared" si="107"/>
        <v>150000</v>
      </c>
      <c r="K2129" s="5" t="str">
        <f>VLOOKUP(C2129,[1]master_data!$A$2:$E$495,5,FALSE)</f>
        <v>Ikan</v>
      </c>
      <c r="L2129" s="5" t="s">
        <v>471</v>
      </c>
    </row>
    <row r="2130" spans="1:12" ht="12" customHeight="1" x14ac:dyDescent="0.25">
      <c r="A2130" s="6">
        <v>44700</v>
      </c>
      <c r="B2130" s="1">
        <v>2202433</v>
      </c>
      <c r="C2130" s="5" t="s">
        <v>415</v>
      </c>
      <c r="D2130" s="5" t="str">
        <f>VLOOKUP(C2130,[1]master_data!$A$2:$E$495,2,FALSE)</f>
        <v>KOKI B</v>
      </c>
      <c r="E2130" s="5">
        <v>4</v>
      </c>
      <c r="F2130" s="5">
        <f>VLOOKUP(C2130,[1]master_data!$A$2:$E$495,3,FALSE)</f>
        <v>20000</v>
      </c>
      <c r="G2130" s="5">
        <f>VLOOKUP(C2130,[1]master_data!$A$2:$E$495,4,FALSE)</f>
        <v>50000</v>
      </c>
      <c r="H2130" s="5">
        <f t="shared" si="105"/>
        <v>80000</v>
      </c>
      <c r="I2130" s="5">
        <f t="shared" si="106"/>
        <v>200000</v>
      </c>
      <c r="J2130" s="5">
        <f t="shared" si="107"/>
        <v>120000</v>
      </c>
      <c r="K2130" s="5" t="str">
        <f>VLOOKUP(C2130,[1]master_data!$A$2:$E$495,5,FALSE)</f>
        <v>Ikan</v>
      </c>
      <c r="L2130" s="5" t="s">
        <v>471</v>
      </c>
    </row>
    <row r="2131" spans="1:12" ht="12" customHeight="1" x14ac:dyDescent="0.25">
      <c r="A2131" s="6">
        <v>44700</v>
      </c>
      <c r="B2131" s="1">
        <v>2202432</v>
      </c>
      <c r="C2131" s="5" t="s">
        <v>346</v>
      </c>
      <c r="D2131" s="5" t="str">
        <f>VLOOKUP(C2131,[1]master_data!$A$2:$E$495,2,FALSE)</f>
        <v>AKUARIUM NIKITA M</v>
      </c>
      <c r="E2131" s="5">
        <v>2</v>
      </c>
      <c r="F2131" s="5">
        <f>VLOOKUP(C2131,[1]master_data!$A$2:$E$495,3,FALSE)</f>
        <v>60000</v>
      </c>
      <c r="G2131" s="5">
        <f>VLOOKUP(C2131,[1]master_data!$A$2:$E$495,4,FALSE)</f>
        <v>110000</v>
      </c>
      <c r="H2131" s="5">
        <f t="shared" si="105"/>
        <v>120000</v>
      </c>
      <c r="I2131" s="5">
        <f t="shared" si="106"/>
        <v>220000</v>
      </c>
      <c r="J2131" s="5">
        <f t="shared" si="107"/>
        <v>100000</v>
      </c>
      <c r="K2131" s="5" t="str">
        <f>VLOOKUP(C2131,[1]master_data!$A$2:$E$495,5,FALSE)</f>
        <v>Aksesoris</v>
      </c>
      <c r="L2131" s="5" t="s">
        <v>471</v>
      </c>
    </row>
    <row r="2132" spans="1:12" ht="12" customHeight="1" x14ac:dyDescent="0.25">
      <c r="A2132" s="6">
        <v>44700</v>
      </c>
      <c r="B2132" s="1">
        <v>2202431</v>
      </c>
      <c r="C2132" s="5" t="s">
        <v>392</v>
      </c>
      <c r="D2132" s="5" t="str">
        <f>VLOOKUP(C2132,[1]master_data!$A$2:$E$495,2,FALSE)</f>
        <v>CHANNA ASIATICA B</v>
      </c>
      <c r="E2132" s="5">
        <v>1</v>
      </c>
      <c r="F2132" s="5">
        <f>VLOOKUP(C2132,[1]master_data!$A$2:$E$495,3,FALSE)</f>
        <v>40000</v>
      </c>
      <c r="G2132" s="5">
        <f>VLOOKUP(C2132,[1]master_data!$A$2:$E$495,4,FALSE)</f>
        <v>100000</v>
      </c>
      <c r="H2132" s="5">
        <f t="shared" si="105"/>
        <v>40000</v>
      </c>
      <c r="I2132" s="5">
        <f t="shared" si="106"/>
        <v>100000</v>
      </c>
      <c r="J2132" s="5">
        <f t="shared" si="107"/>
        <v>60000</v>
      </c>
      <c r="K2132" s="5" t="str">
        <f>VLOOKUP(C2132,[1]master_data!$A$2:$E$495,5,FALSE)</f>
        <v>Ikan</v>
      </c>
      <c r="L2132" s="5" t="s">
        <v>471</v>
      </c>
    </row>
    <row r="2133" spans="1:12" ht="12" customHeight="1" x14ac:dyDescent="0.25">
      <c r="A2133" s="6">
        <v>44699</v>
      </c>
      <c r="B2133" s="1">
        <v>2202430</v>
      </c>
      <c r="C2133" s="5" t="s">
        <v>415</v>
      </c>
      <c r="D2133" s="5" t="str">
        <f>VLOOKUP(C2133,[1]master_data!$A$2:$E$495,2,FALSE)</f>
        <v>KOKI B</v>
      </c>
      <c r="E2133" s="5">
        <v>6</v>
      </c>
      <c r="F2133" s="5">
        <f>VLOOKUP(C2133,[1]master_data!$A$2:$E$495,3,FALSE)</f>
        <v>20000</v>
      </c>
      <c r="G2133" s="5">
        <f>VLOOKUP(C2133,[1]master_data!$A$2:$E$495,4,FALSE)</f>
        <v>50000</v>
      </c>
      <c r="H2133" s="5">
        <f t="shared" si="105"/>
        <v>120000</v>
      </c>
      <c r="I2133" s="5">
        <f t="shared" si="106"/>
        <v>300000</v>
      </c>
      <c r="J2133" s="5">
        <f t="shared" si="107"/>
        <v>180000</v>
      </c>
      <c r="K2133" s="5" t="str">
        <f>VLOOKUP(C2133,[1]master_data!$A$2:$E$495,5,FALSE)</f>
        <v>Ikan</v>
      </c>
      <c r="L2133" s="5" t="s">
        <v>471</v>
      </c>
    </row>
    <row r="2134" spans="1:12" ht="12" customHeight="1" x14ac:dyDescent="0.25">
      <c r="A2134" s="6">
        <v>44699</v>
      </c>
      <c r="B2134" s="1">
        <v>2202429</v>
      </c>
      <c r="C2134" s="5" t="s">
        <v>285</v>
      </c>
      <c r="D2134" s="5" t="str">
        <f>VLOOKUP(C2134,[1]master_data!$A$2:$E$495,2,FALSE)</f>
        <v>KAPAS 4 LAPIS</v>
      </c>
      <c r="E2134" s="5">
        <v>1</v>
      </c>
      <c r="F2134" s="5">
        <f>VLOOKUP(C2134,[1]master_data!$A$2:$E$495,3,FALSE)</f>
        <v>6500</v>
      </c>
      <c r="G2134" s="5">
        <f>VLOOKUP(C2134,[1]master_data!$A$2:$E$495,4,FALSE)</f>
        <v>10000</v>
      </c>
      <c r="H2134" s="5">
        <f t="shared" si="105"/>
        <v>6500</v>
      </c>
      <c r="I2134" s="5">
        <f t="shared" si="106"/>
        <v>10000</v>
      </c>
      <c r="J2134" s="5">
        <f t="shared" si="107"/>
        <v>3500</v>
      </c>
      <c r="K2134" s="5" t="str">
        <f>VLOOKUP(C2134,[1]master_data!$A$2:$E$495,5,FALSE)</f>
        <v>Aksesoris</v>
      </c>
      <c r="L2134" s="5" t="s">
        <v>471</v>
      </c>
    </row>
    <row r="2135" spans="1:12" ht="12" customHeight="1" x14ac:dyDescent="0.25">
      <c r="A2135" s="6">
        <v>44699</v>
      </c>
      <c r="B2135" s="1">
        <v>2202428</v>
      </c>
      <c r="C2135" s="5" t="s">
        <v>417</v>
      </c>
      <c r="D2135" s="5" t="str">
        <f>VLOOKUP(C2135,[1]master_data!$A$2:$E$495,2,FALSE)</f>
        <v>KOI T</v>
      </c>
      <c r="E2135" s="5">
        <v>1</v>
      </c>
      <c r="F2135" s="5">
        <f>VLOOKUP(C2135,[1]master_data!$A$2:$E$495,3,FALSE)</f>
        <v>7000</v>
      </c>
      <c r="G2135" s="5">
        <f>VLOOKUP(C2135,[1]master_data!$A$2:$E$495,4,FALSE)</f>
        <v>20000</v>
      </c>
      <c r="H2135" s="5">
        <f t="shared" si="105"/>
        <v>7000</v>
      </c>
      <c r="I2135" s="5">
        <f t="shared" si="106"/>
        <v>20000</v>
      </c>
      <c r="J2135" s="5">
        <f t="shared" si="107"/>
        <v>13000</v>
      </c>
      <c r="K2135" s="5" t="str">
        <f>VLOOKUP(C2135,[1]master_data!$A$2:$E$495,5,FALSE)</f>
        <v>Ikan</v>
      </c>
      <c r="L2135" s="5" t="s">
        <v>471</v>
      </c>
    </row>
    <row r="2136" spans="1:12" ht="12" customHeight="1" x14ac:dyDescent="0.25">
      <c r="A2136" s="6">
        <v>44699</v>
      </c>
      <c r="B2136" s="1">
        <v>2202427</v>
      </c>
      <c r="C2136" s="5" t="s">
        <v>408</v>
      </c>
      <c r="D2136" s="5" t="str">
        <f>VLOOKUP(C2136,[1]master_data!$A$2:$E$495,2,FALSE)</f>
        <v>CATFISH</v>
      </c>
      <c r="E2136" s="5">
        <v>1</v>
      </c>
      <c r="F2136" s="5">
        <f>VLOOKUP(C2136,[1]master_data!$A$2:$E$495,3,FALSE)</f>
        <v>20000</v>
      </c>
      <c r="G2136" s="5">
        <f>VLOOKUP(C2136,[1]master_data!$A$2:$E$495,4,FALSE)</f>
        <v>50000</v>
      </c>
      <c r="H2136" s="5">
        <f t="shared" si="105"/>
        <v>20000</v>
      </c>
      <c r="I2136" s="5">
        <f t="shared" si="106"/>
        <v>50000</v>
      </c>
      <c r="J2136" s="5">
        <f t="shared" si="107"/>
        <v>30000</v>
      </c>
      <c r="K2136" s="5" t="str">
        <f>VLOOKUP(C2136,[1]master_data!$A$2:$E$495,5,FALSE)</f>
        <v>Ikan</v>
      </c>
      <c r="L2136" s="5" t="s">
        <v>471</v>
      </c>
    </row>
    <row r="2137" spans="1:12" ht="12" customHeight="1" x14ac:dyDescent="0.25">
      <c r="A2137" s="6">
        <v>44699</v>
      </c>
      <c r="B2137" s="1">
        <v>2202426</v>
      </c>
      <c r="C2137" s="5" t="s">
        <v>417</v>
      </c>
      <c r="D2137" s="5" t="str">
        <f>VLOOKUP(C2137,[1]master_data!$A$2:$E$495,2,FALSE)</f>
        <v>KOI T</v>
      </c>
      <c r="E2137" s="5">
        <v>1</v>
      </c>
      <c r="F2137" s="5">
        <f>VLOOKUP(C2137,[1]master_data!$A$2:$E$495,3,FALSE)</f>
        <v>7000</v>
      </c>
      <c r="G2137" s="5">
        <f>VLOOKUP(C2137,[1]master_data!$A$2:$E$495,4,FALSE)</f>
        <v>20000</v>
      </c>
      <c r="H2137" s="5">
        <f t="shared" si="105"/>
        <v>7000</v>
      </c>
      <c r="I2137" s="5">
        <f t="shared" si="106"/>
        <v>20000</v>
      </c>
      <c r="J2137" s="5">
        <f t="shared" si="107"/>
        <v>13000</v>
      </c>
      <c r="K2137" s="5" t="str">
        <f>VLOOKUP(C2137,[1]master_data!$A$2:$E$495,5,FALSE)</f>
        <v>Ikan</v>
      </c>
      <c r="L2137" s="5" t="s">
        <v>471</v>
      </c>
    </row>
    <row r="2138" spans="1:12" ht="12" customHeight="1" x14ac:dyDescent="0.25">
      <c r="A2138" s="6">
        <v>44699</v>
      </c>
      <c r="B2138" s="1">
        <v>2202425</v>
      </c>
      <c r="C2138" s="5" t="s">
        <v>204</v>
      </c>
      <c r="D2138" s="5" t="str">
        <f>VLOOKUP(C2138,[1]master_data!$A$2:$E$495,2,FALSE)</f>
        <v>MAGOT</v>
      </c>
      <c r="E2138" s="5">
        <v>1</v>
      </c>
      <c r="F2138" s="5">
        <f>VLOOKUP(C2138,[1]master_data!$A$2:$E$495,3,FALSE)</f>
        <v>4500</v>
      </c>
      <c r="G2138" s="5">
        <f>VLOOKUP(C2138,[1]master_data!$A$2:$E$495,4,FALSE)</f>
        <v>10000</v>
      </c>
      <c r="H2138" s="5">
        <f t="shared" si="105"/>
        <v>4500</v>
      </c>
      <c r="I2138" s="5">
        <f t="shared" si="106"/>
        <v>10000</v>
      </c>
      <c r="J2138" s="5">
        <f t="shared" si="107"/>
        <v>5500</v>
      </c>
      <c r="K2138" s="5" t="str">
        <f>VLOOKUP(C2138,[1]master_data!$A$2:$E$495,5,FALSE)</f>
        <v>Aksesoris</v>
      </c>
      <c r="L2138" s="5" t="s">
        <v>471</v>
      </c>
    </row>
    <row r="2139" spans="1:12" ht="12" customHeight="1" x14ac:dyDescent="0.25">
      <c r="A2139" s="6">
        <v>44699</v>
      </c>
      <c r="B2139" s="1">
        <v>2202424</v>
      </c>
      <c r="C2139" s="5" t="s">
        <v>204</v>
      </c>
      <c r="D2139" s="5" t="str">
        <f>VLOOKUP(C2139,[1]master_data!$A$2:$E$495,2,FALSE)</f>
        <v>MAGOT</v>
      </c>
      <c r="E2139" s="5">
        <v>1</v>
      </c>
      <c r="F2139" s="5">
        <f>VLOOKUP(C2139,[1]master_data!$A$2:$E$495,3,FALSE)</f>
        <v>4500</v>
      </c>
      <c r="G2139" s="5">
        <f>VLOOKUP(C2139,[1]master_data!$A$2:$E$495,4,FALSE)</f>
        <v>10000</v>
      </c>
      <c r="H2139" s="5">
        <f t="shared" si="105"/>
        <v>4500</v>
      </c>
      <c r="I2139" s="5">
        <f t="shared" si="106"/>
        <v>10000</v>
      </c>
      <c r="J2139" s="5">
        <f t="shared" si="107"/>
        <v>5500</v>
      </c>
      <c r="K2139" s="5" t="str">
        <f>VLOOKUP(C2139,[1]master_data!$A$2:$E$495,5,FALSE)</f>
        <v>Aksesoris</v>
      </c>
      <c r="L2139" s="5" t="s">
        <v>471</v>
      </c>
    </row>
    <row r="2140" spans="1:12" ht="12" customHeight="1" x14ac:dyDescent="0.25">
      <c r="A2140" s="6">
        <v>44699</v>
      </c>
      <c r="B2140" s="1">
        <v>2202423</v>
      </c>
      <c r="C2140" s="5" t="s">
        <v>279</v>
      </c>
      <c r="D2140" s="5" t="str">
        <f>VLOOKUP(C2140,[1]master_data!$A$2:$E$495,2,FALSE)</f>
        <v>KRAN 1 W</v>
      </c>
      <c r="E2140" s="5">
        <v>5</v>
      </c>
      <c r="F2140" s="5">
        <f>VLOOKUP(C2140,[1]master_data!$A$2:$E$495,3,FALSE)</f>
        <v>1200</v>
      </c>
      <c r="G2140" s="5">
        <f>VLOOKUP(C2140,[1]master_data!$A$2:$E$495,4,FALSE)</f>
        <v>3000</v>
      </c>
      <c r="H2140" s="5">
        <f t="shared" si="105"/>
        <v>6000</v>
      </c>
      <c r="I2140" s="5">
        <f t="shared" si="106"/>
        <v>15000</v>
      </c>
      <c r="J2140" s="5">
        <f t="shared" si="107"/>
        <v>9000</v>
      </c>
      <c r="K2140" s="5" t="str">
        <f>VLOOKUP(C2140,[1]master_data!$A$2:$E$495,5,FALSE)</f>
        <v>Aksesoris</v>
      </c>
      <c r="L2140" s="5" t="s">
        <v>471</v>
      </c>
    </row>
    <row r="2141" spans="1:12" ht="12" customHeight="1" x14ac:dyDescent="0.25">
      <c r="A2141" s="6">
        <v>44699</v>
      </c>
      <c r="B2141" s="1">
        <v>2202422</v>
      </c>
      <c r="C2141" s="5" t="s">
        <v>390</v>
      </c>
      <c r="D2141" s="5" t="str">
        <f>VLOOKUP(C2141,[1]master_data!$A$2:$E$495,2,FALSE)</f>
        <v>CHANNA ASIATICA K</v>
      </c>
      <c r="E2141" s="5">
        <v>1</v>
      </c>
      <c r="F2141" s="5">
        <f>VLOOKUP(C2141,[1]master_data!$A$2:$E$495,3,FALSE)</f>
        <v>10000</v>
      </c>
      <c r="G2141" s="5">
        <f>VLOOKUP(C2141,[1]master_data!$A$2:$E$495,4,FALSE)</f>
        <v>40000</v>
      </c>
      <c r="H2141" s="5">
        <f t="shared" si="105"/>
        <v>10000</v>
      </c>
      <c r="I2141" s="5">
        <f t="shared" si="106"/>
        <v>40000</v>
      </c>
      <c r="J2141" s="5">
        <f t="shared" si="107"/>
        <v>30000</v>
      </c>
      <c r="K2141" s="5" t="str">
        <f>VLOOKUP(C2141,[1]master_data!$A$2:$E$495,5,FALSE)</f>
        <v>Ikan</v>
      </c>
      <c r="L2141" s="5" t="s">
        <v>471</v>
      </c>
    </row>
    <row r="2142" spans="1:12" ht="12" customHeight="1" x14ac:dyDescent="0.25">
      <c r="A2142" s="6">
        <v>44699</v>
      </c>
      <c r="B2142" s="1">
        <v>2202421</v>
      </c>
      <c r="C2142" s="5" t="s">
        <v>8</v>
      </c>
      <c r="D2142" s="5" t="str">
        <f>VLOOKUP(C2142,[1]master_data!$A$2:$E$495,2,FALSE)</f>
        <v>MESIN YANG 1800</v>
      </c>
      <c r="E2142" s="5">
        <v>1</v>
      </c>
      <c r="F2142" s="5">
        <f>VLOOKUP(C2142,[1]master_data!$A$2:$E$495,3,FALSE)</f>
        <v>75000</v>
      </c>
      <c r="G2142" s="5">
        <f>VLOOKUP(C2142,[1]master_data!$A$2:$E$495,4,FALSE)</f>
        <v>110000</v>
      </c>
      <c r="H2142" s="5">
        <f t="shared" si="105"/>
        <v>75000</v>
      </c>
      <c r="I2142" s="5">
        <f t="shared" si="106"/>
        <v>110000</v>
      </c>
      <c r="J2142" s="5">
        <f t="shared" si="107"/>
        <v>35000</v>
      </c>
      <c r="K2142" s="5" t="str">
        <f>VLOOKUP(C2142,[1]master_data!$A$2:$E$495,5,FALSE)</f>
        <v>Aksesoris</v>
      </c>
      <c r="L2142" s="5" t="s">
        <v>471</v>
      </c>
    </row>
    <row r="2143" spans="1:12" ht="12" customHeight="1" x14ac:dyDescent="0.25">
      <c r="A2143" s="6">
        <v>44699</v>
      </c>
      <c r="B2143" s="1">
        <v>2202420</v>
      </c>
      <c r="C2143" s="5" t="s">
        <v>414</v>
      </c>
      <c r="D2143" s="5" t="str">
        <f>VLOOKUP(C2143,[1]master_data!$A$2:$E$495,2,FALSE)</f>
        <v>KOKI T</v>
      </c>
      <c r="E2143" s="5">
        <v>1</v>
      </c>
      <c r="F2143" s="5">
        <f>VLOOKUP(C2143,[1]master_data!$A$2:$E$495,3,FALSE)</f>
        <v>8000</v>
      </c>
      <c r="G2143" s="5">
        <f>VLOOKUP(C2143,[1]master_data!$A$2:$E$495,4,FALSE)</f>
        <v>15000</v>
      </c>
      <c r="H2143" s="5">
        <f t="shared" si="105"/>
        <v>8000</v>
      </c>
      <c r="I2143" s="5">
        <f t="shared" si="106"/>
        <v>15000</v>
      </c>
      <c r="J2143" s="5">
        <f t="shared" si="107"/>
        <v>7000</v>
      </c>
      <c r="K2143" s="5" t="str">
        <f>VLOOKUP(C2143,[1]master_data!$A$2:$E$495,5,FALSE)</f>
        <v>Ikan</v>
      </c>
      <c r="L2143" s="5" t="s">
        <v>471</v>
      </c>
    </row>
    <row r="2144" spans="1:12" ht="12" customHeight="1" x14ac:dyDescent="0.25">
      <c r="A2144" s="6">
        <v>44698</v>
      </c>
      <c r="B2144" s="1">
        <v>2202419</v>
      </c>
      <c r="C2144" s="5" t="s">
        <v>376</v>
      </c>
      <c r="D2144" s="5" t="str">
        <f>VLOOKUP(C2144,[1]master_data!$A$2:$E$495,2,FALSE)</f>
        <v>PASIR MEARAH B</v>
      </c>
      <c r="E2144" s="5">
        <v>1</v>
      </c>
      <c r="F2144" s="5">
        <f>VLOOKUP(C2144,[1]master_data!$A$2:$E$495,3,FALSE)</f>
        <v>8000</v>
      </c>
      <c r="G2144" s="5">
        <f>VLOOKUP(C2144,[1]master_data!$A$2:$E$495,4,FALSE)</f>
        <v>25000</v>
      </c>
      <c r="H2144" s="5">
        <f t="shared" si="105"/>
        <v>8000</v>
      </c>
      <c r="I2144" s="5">
        <f t="shared" si="106"/>
        <v>25000</v>
      </c>
      <c r="J2144" s="5">
        <f t="shared" si="107"/>
        <v>17000</v>
      </c>
      <c r="K2144" s="5" t="str">
        <f>VLOOKUP(C2144,[1]master_data!$A$2:$E$495,5,FALSE)</f>
        <v>Aksesoris</v>
      </c>
      <c r="L2144" s="5" t="s">
        <v>471</v>
      </c>
    </row>
    <row r="2145" spans="1:12" ht="12" customHeight="1" x14ac:dyDescent="0.25">
      <c r="A2145" s="6">
        <v>44698</v>
      </c>
      <c r="B2145" s="1">
        <v>2202418</v>
      </c>
      <c r="C2145" s="5" t="s">
        <v>13</v>
      </c>
      <c r="D2145" s="5" t="str">
        <f>VLOOKUP(C2145,[1]master_data!$A$2:$E$495,2,FALSE)</f>
        <v>MESIN YANG 105</v>
      </c>
      <c r="E2145" s="5">
        <v>1</v>
      </c>
      <c r="F2145" s="5">
        <f>VLOOKUP(C2145,[1]master_data!$A$2:$E$495,3,FALSE)</f>
        <v>140000</v>
      </c>
      <c r="G2145" s="5">
        <f>VLOOKUP(C2145,[1]master_data!$A$2:$E$495,4,FALSE)</f>
        <v>190000</v>
      </c>
      <c r="H2145" s="5">
        <f t="shared" si="105"/>
        <v>140000</v>
      </c>
      <c r="I2145" s="5">
        <f t="shared" si="106"/>
        <v>190000</v>
      </c>
      <c r="J2145" s="5">
        <f t="shared" si="107"/>
        <v>50000</v>
      </c>
      <c r="K2145" s="5" t="str">
        <f>VLOOKUP(C2145,[1]master_data!$A$2:$E$495,5,FALSE)</f>
        <v>Aksesoris</v>
      </c>
      <c r="L2145" s="5" t="s">
        <v>471</v>
      </c>
    </row>
    <row r="2146" spans="1:12" ht="12" customHeight="1" x14ac:dyDescent="0.25">
      <c r="A2146" s="6">
        <v>44698</v>
      </c>
      <c r="B2146" s="1">
        <v>2202417</v>
      </c>
      <c r="C2146" s="5" t="s">
        <v>417</v>
      </c>
      <c r="D2146" s="5" t="str">
        <f>VLOOKUP(C2146,[1]master_data!$A$2:$E$495,2,FALSE)</f>
        <v>KOI T</v>
      </c>
      <c r="E2146" s="5">
        <v>1</v>
      </c>
      <c r="F2146" s="5">
        <f>VLOOKUP(C2146,[1]master_data!$A$2:$E$495,3,FALSE)</f>
        <v>7000</v>
      </c>
      <c r="G2146" s="5">
        <f>VLOOKUP(C2146,[1]master_data!$A$2:$E$495,4,FALSE)</f>
        <v>20000</v>
      </c>
      <c r="H2146" s="5">
        <f t="shared" si="105"/>
        <v>7000</v>
      </c>
      <c r="I2146" s="5">
        <f t="shared" si="106"/>
        <v>20000</v>
      </c>
      <c r="J2146" s="5">
        <f t="shared" si="107"/>
        <v>13000</v>
      </c>
      <c r="K2146" s="5" t="str">
        <f>VLOOKUP(C2146,[1]master_data!$A$2:$E$495,5,FALSE)</f>
        <v>Ikan</v>
      </c>
      <c r="L2146" s="5" t="s">
        <v>471</v>
      </c>
    </row>
    <row r="2147" spans="1:12" ht="12" customHeight="1" x14ac:dyDescent="0.25">
      <c r="A2147" s="6">
        <v>44698</v>
      </c>
      <c r="B2147" s="1">
        <v>2202416</v>
      </c>
      <c r="C2147" s="5" t="s">
        <v>233</v>
      </c>
      <c r="D2147" s="5" t="str">
        <f>VLOOKUP(C2147,[1]master_data!$A$2:$E$495,2,FALSE)</f>
        <v>FISH LOVE PAKAN</v>
      </c>
      <c r="E2147" s="5">
        <v>1</v>
      </c>
      <c r="F2147" s="5">
        <f>VLOOKUP(C2147,[1]master_data!$A$2:$E$495,3,FALSE)</f>
        <v>2500</v>
      </c>
      <c r="G2147" s="5">
        <f>VLOOKUP(C2147,[1]master_data!$A$2:$E$495,4,FALSE)</f>
        <v>5000</v>
      </c>
      <c r="H2147" s="5">
        <f t="shared" si="105"/>
        <v>2500</v>
      </c>
      <c r="I2147" s="5">
        <f t="shared" si="106"/>
        <v>5000</v>
      </c>
      <c r="J2147" s="5">
        <f t="shared" si="107"/>
        <v>2500</v>
      </c>
      <c r="K2147" s="5" t="str">
        <f>VLOOKUP(C2147,[1]master_data!$A$2:$E$495,5,FALSE)</f>
        <v>Aksesoris</v>
      </c>
      <c r="L2147" s="5" t="s">
        <v>471</v>
      </c>
    </row>
    <row r="2148" spans="1:12" ht="12" customHeight="1" x14ac:dyDescent="0.25">
      <c r="A2148" s="6">
        <v>44698</v>
      </c>
      <c r="B2148" s="1">
        <v>2202415</v>
      </c>
      <c r="C2148" s="5" t="s">
        <v>408</v>
      </c>
      <c r="D2148" s="5" t="str">
        <f>VLOOKUP(C2148,[1]master_data!$A$2:$E$495,2,FALSE)</f>
        <v>CATFISH</v>
      </c>
      <c r="E2148" s="5">
        <v>4</v>
      </c>
      <c r="F2148" s="5">
        <f>VLOOKUP(C2148,[1]master_data!$A$2:$E$495,3,FALSE)</f>
        <v>20000</v>
      </c>
      <c r="G2148" s="5">
        <f>VLOOKUP(C2148,[1]master_data!$A$2:$E$495,4,FALSE)</f>
        <v>50000</v>
      </c>
      <c r="H2148" s="5">
        <f t="shared" si="105"/>
        <v>80000</v>
      </c>
      <c r="I2148" s="5">
        <f t="shared" si="106"/>
        <v>200000</v>
      </c>
      <c r="J2148" s="5">
        <f t="shared" si="107"/>
        <v>120000</v>
      </c>
      <c r="K2148" s="5" t="str">
        <f>VLOOKUP(C2148,[1]master_data!$A$2:$E$495,5,FALSE)</f>
        <v>Ikan</v>
      </c>
      <c r="L2148" s="5" t="s">
        <v>471</v>
      </c>
    </row>
    <row r="2149" spans="1:12" ht="12" customHeight="1" x14ac:dyDescent="0.25">
      <c r="A2149" s="6">
        <v>44698</v>
      </c>
      <c r="B2149" s="1">
        <v>2202414</v>
      </c>
      <c r="C2149" s="5" t="s">
        <v>204</v>
      </c>
      <c r="D2149" s="5" t="str">
        <f>VLOOKUP(C2149,[1]master_data!$A$2:$E$495,2,FALSE)</f>
        <v>MAGOT</v>
      </c>
      <c r="E2149" s="5">
        <v>2</v>
      </c>
      <c r="F2149" s="5">
        <f>VLOOKUP(C2149,[1]master_data!$A$2:$E$495,3,FALSE)</f>
        <v>4500</v>
      </c>
      <c r="G2149" s="5">
        <f>VLOOKUP(C2149,[1]master_data!$A$2:$E$495,4,FALSE)</f>
        <v>10000</v>
      </c>
      <c r="H2149" s="5">
        <f t="shared" si="105"/>
        <v>9000</v>
      </c>
      <c r="I2149" s="5">
        <f t="shared" si="106"/>
        <v>20000</v>
      </c>
      <c r="J2149" s="5">
        <f t="shared" si="107"/>
        <v>11000</v>
      </c>
      <c r="K2149" s="5" t="str">
        <f>VLOOKUP(C2149,[1]master_data!$A$2:$E$495,5,FALSE)</f>
        <v>Aksesoris</v>
      </c>
      <c r="L2149" s="5" t="s">
        <v>471</v>
      </c>
    </row>
    <row r="2150" spans="1:12" ht="12" customHeight="1" x14ac:dyDescent="0.25">
      <c r="A2150" s="6">
        <v>44698</v>
      </c>
      <c r="B2150" s="1">
        <v>2202413</v>
      </c>
      <c r="C2150" s="5" t="s">
        <v>415</v>
      </c>
      <c r="D2150" s="5" t="str">
        <f>VLOOKUP(C2150,[1]master_data!$A$2:$E$495,2,FALSE)</f>
        <v>KOKI B</v>
      </c>
      <c r="E2150" s="5">
        <v>3</v>
      </c>
      <c r="F2150" s="5">
        <f>VLOOKUP(C2150,[1]master_data!$A$2:$E$495,3,FALSE)</f>
        <v>20000</v>
      </c>
      <c r="G2150" s="5">
        <f>VLOOKUP(C2150,[1]master_data!$A$2:$E$495,4,FALSE)</f>
        <v>50000</v>
      </c>
      <c r="H2150" s="5">
        <f t="shared" si="105"/>
        <v>60000</v>
      </c>
      <c r="I2150" s="5">
        <f t="shared" si="106"/>
        <v>150000</v>
      </c>
      <c r="J2150" s="5">
        <f t="shared" si="107"/>
        <v>90000</v>
      </c>
      <c r="K2150" s="5" t="str">
        <f>VLOOKUP(C2150,[1]master_data!$A$2:$E$495,5,FALSE)</f>
        <v>Ikan</v>
      </c>
      <c r="L2150" s="5" t="s">
        <v>471</v>
      </c>
    </row>
    <row r="2151" spans="1:12" ht="12" customHeight="1" x14ac:dyDescent="0.25">
      <c r="A2151" s="6">
        <v>44698</v>
      </c>
      <c r="B2151" s="1">
        <v>2202412</v>
      </c>
      <c r="C2151" s="5" t="s">
        <v>310</v>
      </c>
      <c r="D2151" s="5" t="str">
        <f>VLOOKUP(C2151,[1]master_data!$A$2:$E$495,2,FALSE)</f>
        <v>SELANG FUSO</v>
      </c>
      <c r="E2151" s="5">
        <v>3</v>
      </c>
      <c r="F2151" s="5">
        <f>VLOOKUP(C2151,[1]master_data!$A$2:$E$495,3,FALSE)</f>
        <v>800</v>
      </c>
      <c r="G2151" s="5">
        <f>VLOOKUP(C2151,[1]master_data!$A$2:$E$495,4,FALSE)</f>
        <v>2000</v>
      </c>
      <c r="H2151" s="5">
        <f t="shared" si="105"/>
        <v>2400</v>
      </c>
      <c r="I2151" s="5">
        <f t="shared" si="106"/>
        <v>6000</v>
      </c>
      <c r="J2151" s="5">
        <f t="shared" si="107"/>
        <v>3600</v>
      </c>
      <c r="K2151" s="5" t="str">
        <f>VLOOKUP(C2151,[1]master_data!$A$2:$E$495,5,FALSE)</f>
        <v>Aksesoris</v>
      </c>
      <c r="L2151" s="5" t="s">
        <v>471</v>
      </c>
    </row>
    <row r="2152" spans="1:12" ht="12" customHeight="1" x14ac:dyDescent="0.25">
      <c r="A2152" s="6">
        <v>44698</v>
      </c>
      <c r="B2152" s="1">
        <v>2202411</v>
      </c>
      <c r="C2152" s="5" t="s">
        <v>417</v>
      </c>
      <c r="D2152" s="5" t="str">
        <f>VLOOKUP(C2152,[1]master_data!$A$2:$E$495,2,FALSE)</f>
        <v>KOI T</v>
      </c>
      <c r="E2152" s="5">
        <v>1</v>
      </c>
      <c r="F2152" s="5">
        <f>VLOOKUP(C2152,[1]master_data!$A$2:$E$495,3,FALSE)</f>
        <v>7000</v>
      </c>
      <c r="G2152" s="5">
        <f>VLOOKUP(C2152,[1]master_data!$A$2:$E$495,4,FALSE)</f>
        <v>20000</v>
      </c>
      <c r="H2152" s="5">
        <f t="shared" si="105"/>
        <v>7000</v>
      </c>
      <c r="I2152" s="5">
        <f t="shared" si="106"/>
        <v>20000</v>
      </c>
      <c r="J2152" s="5">
        <f t="shared" si="107"/>
        <v>13000</v>
      </c>
      <c r="K2152" s="5" t="str">
        <f>VLOOKUP(C2152,[1]master_data!$A$2:$E$495,5,FALSE)</f>
        <v>Ikan</v>
      </c>
      <c r="L2152" s="5" t="s">
        <v>471</v>
      </c>
    </row>
    <row r="2153" spans="1:12" ht="12" customHeight="1" x14ac:dyDescent="0.25">
      <c r="A2153" s="6">
        <v>44698</v>
      </c>
      <c r="B2153" s="1">
        <v>2202410</v>
      </c>
      <c r="C2153" s="5" t="s">
        <v>408</v>
      </c>
      <c r="D2153" s="5" t="str">
        <f>VLOOKUP(C2153,[1]master_data!$A$2:$E$495,2,FALSE)</f>
        <v>CATFISH</v>
      </c>
      <c r="E2153" s="5">
        <v>3</v>
      </c>
      <c r="F2153" s="5">
        <f>VLOOKUP(C2153,[1]master_data!$A$2:$E$495,3,FALSE)</f>
        <v>20000</v>
      </c>
      <c r="G2153" s="5">
        <f>VLOOKUP(C2153,[1]master_data!$A$2:$E$495,4,FALSE)</f>
        <v>50000</v>
      </c>
      <c r="H2153" s="5">
        <f t="shared" si="105"/>
        <v>60000</v>
      </c>
      <c r="I2153" s="5">
        <f t="shared" si="106"/>
        <v>150000</v>
      </c>
      <c r="J2153" s="5">
        <f t="shared" si="107"/>
        <v>90000</v>
      </c>
      <c r="K2153" s="5" t="str">
        <f>VLOOKUP(C2153,[1]master_data!$A$2:$E$495,5,FALSE)</f>
        <v>Ikan</v>
      </c>
      <c r="L2153" s="5" t="s">
        <v>471</v>
      </c>
    </row>
    <row r="2154" spans="1:12" ht="12" customHeight="1" x14ac:dyDescent="0.25">
      <c r="A2154" s="6">
        <v>44698</v>
      </c>
      <c r="B2154" s="1">
        <v>2202409</v>
      </c>
      <c r="C2154" s="5" t="s">
        <v>414</v>
      </c>
      <c r="D2154" s="5" t="str">
        <f>VLOOKUP(C2154,[1]master_data!$A$2:$E$495,2,FALSE)</f>
        <v>KOKI T</v>
      </c>
      <c r="E2154" s="5">
        <v>1</v>
      </c>
      <c r="F2154" s="5">
        <f>VLOOKUP(C2154,[1]master_data!$A$2:$E$495,3,FALSE)</f>
        <v>8000</v>
      </c>
      <c r="G2154" s="5">
        <f>VLOOKUP(C2154,[1]master_data!$A$2:$E$495,4,FALSE)</f>
        <v>15000</v>
      </c>
      <c r="H2154" s="5">
        <f t="shared" si="105"/>
        <v>8000</v>
      </c>
      <c r="I2154" s="5">
        <f t="shared" si="106"/>
        <v>15000</v>
      </c>
      <c r="J2154" s="5">
        <f t="shared" si="107"/>
        <v>7000</v>
      </c>
      <c r="K2154" s="5" t="str">
        <f>VLOOKUP(C2154,[1]master_data!$A$2:$E$495,5,FALSE)</f>
        <v>Ikan</v>
      </c>
      <c r="L2154" s="5" t="s">
        <v>471</v>
      </c>
    </row>
    <row r="2155" spans="1:12" ht="12" customHeight="1" x14ac:dyDescent="0.25">
      <c r="A2155" s="6">
        <v>44698</v>
      </c>
      <c r="B2155" s="1">
        <v>2202408</v>
      </c>
      <c r="C2155" s="5" t="s">
        <v>208</v>
      </c>
      <c r="D2155" s="5" t="str">
        <f>VLOOKUP(C2155,[1]master_data!$A$2:$E$495,2,FALSE)</f>
        <v>TOP VIT</v>
      </c>
      <c r="E2155" s="5">
        <v>1</v>
      </c>
      <c r="F2155" s="5">
        <f>VLOOKUP(C2155,[1]master_data!$A$2:$E$495,3,FALSE)</f>
        <v>4000</v>
      </c>
      <c r="G2155" s="5">
        <f>VLOOKUP(C2155,[1]master_data!$A$2:$E$495,4,FALSE)</f>
        <v>7000</v>
      </c>
      <c r="H2155" s="5">
        <f t="shared" si="105"/>
        <v>4000</v>
      </c>
      <c r="I2155" s="5">
        <f t="shared" si="106"/>
        <v>7000</v>
      </c>
      <c r="J2155" s="5">
        <f t="shared" si="107"/>
        <v>3000</v>
      </c>
      <c r="K2155" s="5" t="str">
        <f>VLOOKUP(C2155,[1]master_data!$A$2:$E$495,5,FALSE)</f>
        <v>Aksesoris</v>
      </c>
      <c r="L2155" s="5" t="s">
        <v>471</v>
      </c>
    </row>
    <row r="2156" spans="1:12" ht="12" customHeight="1" x14ac:dyDescent="0.25">
      <c r="A2156" s="6">
        <v>44698</v>
      </c>
      <c r="B2156" s="1">
        <v>2202407</v>
      </c>
      <c r="C2156" s="5" t="s">
        <v>390</v>
      </c>
      <c r="D2156" s="5" t="str">
        <f>VLOOKUP(C2156,[1]master_data!$A$2:$E$495,2,FALSE)</f>
        <v>CHANNA ASIATICA K</v>
      </c>
      <c r="E2156" s="5">
        <v>1</v>
      </c>
      <c r="F2156" s="5">
        <f>VLOOKUP(C2156,[1]master_data!$A$2:$E$495,3,FALSE)</f>
        <v>10000</v>
      </c>
      <c r="G2156" s="5">
        <f>VLOOKUP(C2156,[1]master_data!$A$2:$E$495,4,FALSE)</f>
        <v>40000</v>
      </c>
      <c r="H2156" s="5">
        <f t="shared" si="105"/>
        <v>10000</v>
      </c>
      <c r="I2156" s="5">
        <f t="shared" si="106"/>
        <v>40000</v>
      </c>
      <c r="J2156" s="5">
        <f t="shared" si="107"/>
        <v>30000</v>
      </c>
      <c r="K2156" s="5" t="str">
        <f>VLOOKUP(C2156,[1]master_data!$A$2:$E$495,5,FALSE)</f>
        <v>Ikan</v>
      </c>
      <c r="L2156" s="5" t="s">
        <v>471</v>
      </c>
    </row>
    <row r="2157" spans="1:12" ht="12" customHeight="1" x14ac:dyDescent="0.25">
      <c r="A2157" s="6">
        <v>44697</v>
      </c>
      <c r="B2157" s="1">
        <v>2202406</v>
      </c>
      <c r="C2157" s="5" t="s">
        <v>408</v>
      </c>
      <c r="D2157" s="5" t="str">
        <f>VLOOKUP(C2157,[1]master_data!$A$2:$E$495,2,FALSE)</f>
        <v>CATFISH</v>
      </c>
      <c r="E2157" s="5">
        <v>3</v>
      </c>
      <c r="F2157" s="5">
        <f>VLOOKUP(C2157,[1]master_data!$A$2:$E$495,3,FALSE)</f>
        <v>20000</v>
      </c>
      <c r="G2157" s="5">
        <f>VLOOKUP(C2157,[1]master_data!$A$2:$E$495,4,FALSE)</f>
        <v>50000</v>
      </c>
      <c r="H2157" s="5">
        <f t="shared" si="105"/>
        <v>60000</v>
      </c>
      <c r="I2157" s="5">
        <f t="shared" si="106"/>
        <v>150000</v>
      </c>
      <c r="J2157" s="5">
        <f t="shared" si="107"/>
        <v>90000</v>
      </c>
      <c r="K2157" s="5" t="str">
        <f>VLOOKUP(C2157,[1]master_data!$A$2:$E$495,5,FALSE)</f>
        <v>Ikan</v>
      </c>
      <c r="L2157" s="5" t="s">
        <v>471</v>
      </c>
    </row>
    <row r="2158" spans="1:12" ht="12" customHeight="1" x14ac:dyDescent="0.25">
      <c r="A2158" s="6">
        <v>44697</v>
      </c>
      <c r="B2158" s="1">
        <v>2202405</v>
      </c>
      <c r="C2158" s="5" t="s">
        <v>206</v>
      </c>
      <c r="D2158" s="5" t="str">
        <f>VLOOKUP(C2158,[1]master_data!$A$2:$E$495,2,FALSE)</f>
        <v>TAKARI K</v>
      </c>
      <c r="E2158" s="5">
        <v>1</v>
      </c>
      <c r="F2158" s="5">
        <f>VLOOKUP(C2158,[1]master_data!$A$2:$E$495,3,FALSE)</f>
        <v>3500</v>
      </c>
      <c r="G2158" s="5">
        <f>VLOOKUP(C2158,[1]master_data!$A$2:$E$495,4,FALSE)</f>
        <v>5000</v>
      </c>
      <c r="H2158" s="5">
        <f t="shared" si="105"/>
        <v>3500</v>
      </c>
      <c r="I2158" s="5">
        <f t="shared" si="106"/>
        <v>5000</v>
      </c>
      <c r="J2158" s="5">
        <f t="shared" si="107"/>
        <v>1500</v>
      </c>
      <c r="K2158" s="5" t="str">
        <f>VLOOKUP(C2158,[1]master_data!$A$2:$E$495,5,FALSE)</f>
        <v>Aksesoris</v>
      </c>
      <c r="L2158" s="5" t="s">
        <v>471</v>
      </c>
    </row>
    <row r="2159" spans="1:12" ht="12" customHeight="1" x14ac:dyDescent="0.25">
      <c r="A2159" s="6">
        <v>44697</v>
      </c>
      <c r="B2159" s="1">
        <v>2202404</v>
      </c>
      <c r="C2159" s="5" t="s">
        <v>415</v>
      </c>
      <c r="D2159" s="5" t="str">
        <f>VLOOKUP(C2159,[1]master_data!$A$2:$E$495,2,FALSE)</f>
        <v>KOKI B</v>
      </c>
      <c r="E2159" s="5">
        <v>10</v>
      </c>
      <c r="F2159" s="5">
        <f>VLOOKUP(C2159,[1]master_data!$A$2:$E$495,3,FALSE)</f>
        <v>20000</v>
      </c>
      <c r="G2159" s="5">
        <f>VLOOKUP(C2159,[1]master_data!$A$2:$E$495,4,FALSE)</f>
        <v>50000</v>
      </c>
      <c r="H2159" s="5">
        <f t="shared" si="105"/>
        <v>200000</v>
      </c>
      <c r="I2159" s="5">
        <f t="shared" si="106"/>
        <v>500000</v>
      </c>
      <c r="J2159" s="5">
        <f t="shared" si="107"/>
        <v>300000</v>
      </c>
      <c r="K2159" s="5" t="str">
        <f>VLOOKUP(C2159,[1]master_data!$A$2:$E$495,5,FALSE)</f>
        <v>Ikan</v>
      </c>
      <c r="L2159" s="5" t="s">
        <v>471</v>
      </c>
    </row>
    <row r="2160" spans="1:12" ht="12" customHeight="1" x14ac:dyDescent="0.25">
      <c r="A2160" s="6">
        <v>44697</v>
      </c>
      <c r="B2160" s="1">
        <v>2202403</v>
      </c>
      <c r="C2160" s="5" t="s">
        <v>423</v>
      </c>
      <c r="D2160" s="5" t="str">
        <f>VLOOKUP(C2160,[1]master_data!$A$2:$E$495,2,FALSE)</f>
        <v>KOI SLAYER K</v>
      </c>
      <c r="E2160" s="5">
        <v>1</v>
      </c>
      <c r="F2160" s="5">
        <f>VLOOKUP(C2160,[1]master_data!$A$2:$E$495,3,FALSE)</f>
        <v>3500</v>
      </c>
      <c r="G2160" s="5">
        <f>VLOOKUP(C2160,[1]master_data!$A$2:$E$495,4,FALSE)</f>
        <v>10000</v>
      </c>
      <c r="H2160" s="5">
        <f t="shared" si="105"/>
        <v>3500</v>
      </c>
      <c r="I2160" s="5">
        <f t="shared" si="106"/>
        <v>10000</v>
      </c>
      <c r="J2160" s="5">
        <f t="shared" si="107"/>
        <v>6500</v>
      </c>
      <c r="K2160" s="5" t="str">
        <f>VLOOKUP(C2160,[1]master_data!$A$2:$E$495,5,FALSE)</f>
        <v>Ikan</v>
      </c>
      <c r="L2160" s="5" t="s">
        <v>471</v>
      </c>
    </row>
    <row r="2161" spans="1:12" ht="12" customHeight="1" x14ac:dyDescent="0.25">
      <c r="A2161" s="6">
        <v>44697</v>
      </c>
      <c r="B2161" s="1">
        <v>2202402</v>
      </c>
      <c r="C2161" s="5" t="s">
        <v>267</v>
      </c>
      <c r="D2161" s="5" t="str">
        <f>VLOOKUP(C2161,[1]master_data!$A$2:$E$495,2,FALSE)</f>
        <v>GARAM</v>
      </c>
      <c r="E2161" s="5">
        <v>1</v>
      </c>
      <c r="F2161" s="5">
        <f>VLOOKUP(C2161,[1]master_data!$A$2:$E$495,3,FALSE)</f>
        <v>3000</v>
      </c>
      <c r="G2161" s="5">
        <f>VLOOKUP(C2161,[1]master_data!$A$2:$E$495,4,FALSE)</f>
        <v>5000</v>
      </c>
      <c r="H2161" s="5">
        <f t="shared" si="105"/>
        <v>3000</v>
      </c>
      <c r="I2161" s="5">
        <f t="shared" si="106"/>
        <v>5000</v>
      </c>
      <c r="J2161" s="5">
        <f t="shared" si="107"/>
        <v>2000</v>
      </c>
      <c r="K2161" s="5" t="str">
        <f>VLOOKUP(C2161,[1]master_data!$A$2:$E$495,5,FALSE)</f>
        <v>Aksesoris</v>
      </c>
      <c r="L2161" s="5" t="s">
        <v>471</v>
      </c>
    </row>
    <row r="2162" spans="1:12" ht="12" customHeight="1" x14ac:dyDescent="0.25">
      <c r="A2162" s="6">
        <v>44697</v>
      </c>
      <c r="B2162" s="1">
        <v>2202401</v>
      </c>
      <c r="C2162" s="5" t="s">
        <v>408</v>
      </c>
      <c r="D2162" s="5" t="str">
        <f>VLOOKUP(C2162,[1]master_data!$A$2:$E$495,2,FALSE)</f>
        <v>CATFISH</v>
      </c>
      <c r="E2162" s="5">
        <v>2</v>
      </c>
      <c r="F2162" s="5">
        <f>VLOOKUP(C2162,[1]master_data!$A$2:$E$495,3,FALSE)</f>
        <v>20000</v>
      </c>
      <c r="G2162" s="5">
        <f>VLOOKUP(C2162,[1]master_data!$A$2:$E$495,4,FALSE)</f>
        <v>50000</v>
      </c>
      <c r="H2162" s="5">
        <f t="shared" si="105"/>
        <v>40000</v>
      </c>
      <c r="I2162" s="5">
        <f t="shared" si="106"/>
        <v>100000</v>
      </c>
      <c r="J2162" s="5">
        <f t="shared" si="107"/>
        <v>60000</v>
      </c>
      <c r="K2162" s="5" t="str">
        <f>VLOOKUP(C2162,[1]master_data!$A$2:$E$495,5,FALSE)</f>
        <v>Ikan</v>
      </c>
      <c r="L2162" s="5" t="s">
        <v>471</v>
      </c>
    </row>
    <row r="2163" spans="1:12" ht="12" customHeight="1" x14ac:dyDescent="0.25">
      <c r="A2163" s="6">
        <v>44697</v>
      </c>
      <c r="B2163" s="1">
        <v>2202400</v>
      </c>
      <c r="C2163" s="5" t="s">
        <v>414</v>
      </c>
      <c r="D2163" s="5" t="str">
        <f>VLOOKUP(C2163,[1]master_data!$A$2:$E$495,2,FALSE)</f>
        <v>KOKI T</v>
      </c>
      <c r="E2163" s="5">
        <v>1</v>
      </c>
      <c r="F2163" s="5">
        <f>VLOOKUP(C2163,[1]master_data!$A$2:$E$495,3,FALSE)</f>
        <v>8000</v>
      </c>
      <c r="G2163" s="5">
        <f>VLOOKUP(C2163,[1]master_data!$A$2:$E$495,4,FALSE)</f>
        <v>15000</v>
      </c>
      <c r="H2163" s="5">
        <f t="shared" si="105"/>
        <v>8000</v>
      </c>
      <c r="I2163" s="5">
        <f t="shared" si="106"/>
        <v>15000</v>
      </c>
      <c r="J2163" s="5">
        <f t="shared" si="107"/>
        <v>7000</v>
      </c>
      <c r="K2163" s="5" t="str">
        <f>VLOOKUP(C2163,[1]master_data!$A$2:$E$495,5,FALSE)</f>
        <v>Ikan</v>
      </c>
      <c r="L2163" s="5" t="s">
        <v>471</v>
      </c>
    </row>
    <row r="2164" spans="1:12" ht="12" customHeight="1" x14ac:dyDescent="0.25">
      <c r="A2164" s="6">
        <v>44697</v>
      </c>
      <c r="B2164" s="1">
        <v>2202399</v>
      </c>
      <c r="C2164" s="5" t="s">
        <v>390</v>
      </c>
      <c r="D2164" s="5" t="str">
        <f>VLOOKUP(C2164,[1]master_data!$A$2:$E$495,2,FALSE)</f>
        <v>CHANNA ASIATICA K</v>
      </c>
      <c r="E2164" s="5">
        <v>1</v>
      </c>
      <c r="F2164" s="5">
        <f>VLOOKUP(C2164,[1]master_data!$A$2:$E$495,3,FALSE)</f>
        <v>10000</v>
      </c>
      <c r="G2164" s="5">
        <f>VLOOKUP(C2164,[1]master_data!$A$2:$E$495,4,FALSE)</f>
        <v>40000</v>
      </c>
      <c r="H2164" s="5">
        <f t="shared" si="105"/>
        <v>10000</v>
      </c>
      <c r="I2164" s="5">
        <f t="shared" si="106"/>
        <v>40000</v>
      </c>
      <c r="J2164" s="5">
        <f t="shared" si="107"/>
        <v>30000</v>
      </c>
      <c r="K2164" s="5" t="str">
        <f>VLOOKUP(C2164,[1]master_data!$A$2:$E$495,5,FALSE)</f>
        <v>Ikan</v>
      </c>
      <c r="L2164" s="5" t="s">
        <v>471</v>
      </c>
    </row>
    <row r="2165" spans="1:12" ht="12" customHeight="1" x14ac:dyDescent="0.25">
      <c r="A2165" s="6">
        <v>44697</v>
      </c>
      <c r="B2165" s="1">
        <v>2202398</v>
      </c>
      <c r="C2165" s="5" t="s">
        <v>417</v>
      </c>
      <c r="D2165" s="5" t="str">
        <f>VLOOKUP(C2165,[1]master_data!$A$2:$E$495,2,FALSE)</f>
        <v>KOI T</v>
      </c>
      <c r="E2165" s="5">
        <v>1</v>
      </c>
      <c r="F2165" s="5">
        <f>VLOOKUP(C2165,[1]master_data!$A$2:$E$495,3,FALSE)</f>
        <v>7000</v>
      </c>
      <c r="G2165" s="5">
        <f>VLOOKUP(C2165,[1]master_data!$A$2:$E$495,4,FALSE)</f>
        <v>20000</v>
      </c>
      <c r="H2165" s="5">
        <f t="shared" si="105"/>
        <v>7000</v>
      </c>
      <c r="I2165" s="5">
        <f t="shared" si="106"/>
        <v>20000</v>
      </c>
      <c r="J2165" s="5">
        <f t="shared" si="107"/>
        <v>13000</v>
      </c>
      <c r="K2165" s="5" t="str">
        <f>VLOOKUP(C2165,[1]master_data!$A$2:$E$495,5,FALSE)</f>
        <v>Ikan</v>
      </c>
      <c r="L2165" s="5" t="s">
        <v>471</v>
      </c>
    </row>
    <row r="2166" spans="1:12" ht="12" customHeight="1" x14ac:dyDescent="0.25">
      <c r="A2166" s="6">
        <v>44697</v>
      </c>
      <c r="B2166" s="1">
        <v>2202397</v>
      </c>
      <c r="C2166" s="5" t="s">
        <v>407</v>
      </c>
      <c r="D2166" s="5" t="str">
        <f>VLOOKUP(C2166,[1]master_data!$A$2:$E$495,2,FALSE)</f>
        <v>CUPANG</v>
      </c>
      <c r="E2166" s="5">
        <v>2</v>
      </c>
      <c r="F2166" s="5">
        <f>VLOOKUP(C2166,[1]master_data!$A$2:$E$495,3,FALSE)</f>
        <v>2000</v>
      </c>
      <c r="G2166" s="5">
        <f>VLOOKUP(C2166,[1]master_data!$A$2:$E$495,4,FALSE)</f>
        <v>5000</v>
      </c>
      <c r="H2166" s="5">
        <f t="shared" si="105"/>
        <v>4000</v>
      </c>
      <c r="I2166" s="5">
        <f t="shared" si="106"/>
        <v>10000</v>
      </c>
      <c r="J2166" s="5">
        <f t="shared" si="107"/>
        <v>6000</v>
      </c>
      <c r="K2166" s="5" t="str">
        <f>VLOOKUP(C2166,[1]master_data!$A$2:$E$495,5,FALSE)</f>
        <v>Ikan</v>
      </c>
      <c r="L2166" s="5" t="s">
        <v>471</v>
      </c>
    </row>
    <row r="2167" spans="1:12" ht="12" customHeight="1" x14ac:dyDescent="0.25">
      <c r="A2167" s="6">
        <v>44697</v>
      </c>
      <c r="B2167" s="1">
        <v>2202396</v>
      </c>
      <c r="C2167" s="5" t="s">
        <v>417</v>
      </c>
      <c r="D2167" s="5" t="str">
        <f>VLOOKUP(C2167,[1]master_data!$A$2:$E$495,2,FALSE)</f>
        <v>KOI T</v>
      </c>
      <c r="E2167" s="5">
        <v>1</v>
      </c>
      <c r="F2167" s="5">
        <f>VLOOKUP(C2167,[1]master_data!$A$2:$E$495,3,FALSE)</f>
        <v>7000</v>
      </c>
      <c r="G2167" s="5">
        <f>VLOOKUP(C2167,[1]master_data!$A$2:$E$495,4,FALSE)</f>
        <v>20000</v>
      </c>
      <c r="H2167" s="5">
        <f t="shared" si="105"/>
        <v>7000</v>
      </c>
      <c r="I2167" s="5">
        <f t="shared" si="106"/>
        <v>20000</v>
      </c>
      <c r="J2167" s="5">
        <f t="shared" si="107"/>
        <v>13000</v>
      </c>
      <c r="K2167" s="5" t="str">
        <f>VLOOKUP(C2167,[1]master_data!$A$2:$E$495,5,FALSE)</f>
        <v>Ikan</v>
      </c>
      <c r="L2167" s="5" t="s">
        <v>471</v>
      </c>
    </row>
    <row r="2168" spans="1:12" ht="12" customHeight="1" x14ac:dyDescent="0.25">
      <c r="A2168" s="6">
        <v>44697</v>
      </c>
      <c r="B2168" s="1">
        <v>2202395</v>
      </c>
      <c r="C2168" s="5" t="s">
        <v>329</v>
      </c>
      <c r="D2168" s="5" t="str">
        <f>VLOOKUP(C2168,[1]master_data!$A$2:$E$495,2,FALSE)</f>
        <v>AIRSTONE D2L5</v>
      </c>
      <c r="E2168" s="5">
        <v>1</v>
      </c>
      <c r="F2168" s="5">
        <f>VLOOKUP(C2168,[1]master_data!$A$2:$E$495,3,FALSE)</f>
        <v>1850</v>
      </c>
      <c r="G2168" s="5">
        <f>VLOOKUP(C2168,[1]master_data!$A$2:$E$495,4,FALSE)</f>
        <v>5000</v>
      </c>
      <c r="H2168" s="5">
        <f t="shared" si="105"/>
        <v>1850</v>
      </c>
      <c r="I2168" s="5">
        <f t="shared" si="106"/>
        <v>5000</v>
      </c>
      <c r="J2168" s="5">
        <f t="shared" si="107"/>
        <v>3150</v>
      </c>
      <c r="K2168" s="5" t="str">
        <f>VLOOKUP(C2168,[1]master_data!$A$2:$E$495,5,FALSE)</f>
        <v>Aksesoris</v>
      </c>
      <c r="L2168" s="5" t="s">
        <v>471</v>
      </c>
    </row>
    <row r="2169" spans="1:12" ht="12" customHeight="1" x14ac:dyDescent="0.25">
      <c r="A2169" s="6">
        <v>44697</v>
      </c>
      <c r="B2169" s="1">
        <v>2202394</v>
      </c>
      <c r="C2169" s="5" t="s">
        <v>112</v>
      </c>
      <c r="D2169" s="5" t="str">
        <f>VLOOKUP(C2169,[1]master_data!$A$2:$E$495,2,FALSE)</f>
        <v>LED ROSTON 20 CM</v>
      </c>
      <c r="E2169" s="5">
        <v>1</v>
      </c>
      <c r="F2169" s="5">
        <f>VLOOKUP(C2169,[1]master_data!$A$2:$E$495,3,FALSE)</f>
        <v>21000</v>
      </c>
      <c r="G2169" s="5">
        <f>VLOOKUP(C2169,[1]master_data!$A$2:$E$495,4,FALSE)</f>
        <v>30000</v>
      </c>
      <c r="H2169" s="5">
        <f t="shared" si="105"/>
        <v>21000</v>
      </c>
      <c r="I2169" s="5">
        <f t="shared" si="106"/>
        <v>30000</v>
      </c>
      <c r="J2169" s="5">
        <f t="shared" si="107"/>
        <v>9000</v>
      </c>
      <c r="K2169" s="5" t="str">
        <f>VLOOKUP(C2169,[1]master_data!$A$2:$E$495,5,FALSE)</f>
        <v>Aksesoris</v>
      </c>
      <c r="L2169" s="5" t="s">
        <v>471</v>
      </c>
    </row>
    <row r="2170" spans="1:12" ht="12" customHeight="1" x14ac:dyDescent="0.25">
      <c r="A2170" s="6">
        <v>44697</v>
      </c>
      <c r="B2170" s="1">
        <v>2202393</v>
      </c>
      <c r="C2170" s="5" t="s">
        <v>285</v>
      </c>
      <c r="D2170" s="5" t="str">
        <f>VLOOKUP(C2170,[1]master_data!$A$2:$E$495,2,FALSE)</f>
        <v>KAPAS 4 LAPIS</v>
      </c>
      <c r="E2170" s="5">
        <v>1</v>
      </c>
      <c r="F2170" s="5">
        <f>VLOOKUP(C2170,[1]master_data!$A$2:$E$495,3,FALSE)</f>
        <v>6500</v>
      </c>
      <c r="G2170" s="5">
        <f>VLOOKUP(C2170,[1]master_data!$A$2:$E$495,4,FALSE)</f>
        <v>10000</v>
      </c>
      <c r="H2170" s="5">
        <f t="shared" si="105"/>
        <v>6500</v>
      </c>
      <c r="I2170" s="5">
        <f t="shared" si="106"/>
        <v>10000</v>
      </c>
      <c r="J2170" s="5">
        <f t="shared" si="107"/>
        <v>3500</v>
      </c>
      <c r="K2170" s="5" t="str">
        <f>VLOOKUP(C2170,[1]master_data!$A$2:$E$495,5,FALSE)</f>
        <v>Aksesoris</v>
      </c>
      <c r="L2170" s="5" t="s">
        <v>471</v>
      </c>
    </row>
    <row r="2171" spans="1:12" ht="12" customHeight="1" x14ac:dyDescent="0.25">
      <c r="A2171" s="6">
        <v>44696</v>
      </c>
      <c r="B2171" s="1">
        <v>2202392</v>
      </c>
      <c r="C2171" s="5" t="s">
        <v>417</v>
      </c>
      <c r="D2171" s="5" t="str">
        <f>VLOOKUP(C2171,[1]master_data!$A$2:$E$495,2,FALSE)</f>
        <v>KOI T</v>
      </c>
      <c r="E2171" s="5">
        <v>1</v>
      </c>
      <c r="F2171" s="5">
        <f>VLOOKUP(C2171,[1]master_data!$A$2:$E$495,3,FALSE)</f>
        <v>7000</v>
      </c>
      <c r="G2171" s="5">
        <f>VLOOKUP(C2171,[1]master_data!$A$2:$E$495,4,FALSE)</f>
        <v>20000</v>
      </c>
      <c r="H2171" s="5">
        <f t="shared" si="105"/>
        <v>7000</v>
      </c>
      <c r="I2171" s="5">
        <f t="shared" si="106"/>
        <v>20000</v>
      </c>
      <c r="J2171" s="5">
        <f t="shared" si="107"/>
        <v>13000</v>
      </c>
      <c r="K2171" s="5" t="str">
        <f>VLOOKUP(C2171,[1]master_data!$A$2:$E$495,5,FALSE)</f>
        <v>Ikan</v>
      </c>
      <c r="L2171" s="5" t="s">
        <v>471</v>
      </c>
    </row>
    <row r="2172" spans="1:12" ht="12" customHeight="1" x14ac:dyDescent="0.25">
      <c r="A2172" s="6">
        <v>44696</v>
      </c>
      <c r="B2172" s="1">
        <v>2202391</v>
      </c>
      <c r="C2172" s="5" t="s">
        <v>246</v>
      </c>
      <c r="D2172" s="5" t="str">
        <f>VLOOKUP(C2172,[1]master_data!$A$2:$E$495,2,FALSE)</f>
        <v>BACTERIAL STATER</v>
      </c>
      <c r="E2172" s="5">
        <v>1</v>
      </c>
      <c r="F2172" s="5">
        <f>VLOOKUP(C2172,[1]master_data!$A$2:$E$495,3,FALSE)</f>
        <v>10000</v>
      </c>
      <c r="G2172" s="5">
        <f>VLOOKUP(C2172,[1]master_data!$A$2:$E$495,4,FALSE)</f>
        <v>15000</v>
      </c>
      <c r="H2172" s="5">
        <f t="shared" si="105"/>
        <v>10000</v>
      </c>
      <c r="I2172" s="5">
        <f t="shared" si="106"/>
        <v>15000</v>
      </c>
      <c r="J2172" s="5">
        <f t="shared" si="107"/>
        <v>5000</v>
      </c>
      <c r="K2172" s="5" t="str">
        <f>VLOOKUP(C2172,[1]master_data!$A$2:$E$495,5,FALSE)</f>
        <v>Aksesoris</v>
      </c>
      <c r="L2172" s="5" t="s">
        <v>471</v>
      </c>
    </row>
    <row r="2173" spans="1:12" ht="12" customHeight="1" x14ac:dyDescent="0.25">
      <c r="A2173" s="6">
        <v>44696</v>
      </c>
      <c r="B2173" s="1">
        <v>2202390</v>
      </c>
      <c r="C2173" s="5" t="s">
        <v>125</v>
      </c>
      <c r="D2173" s="5" t="str">
        <f>VLOOKUP(C2173,[1]master_data!$A$2:$E$495,2,FALSE)</f>
        <v>LAMPU YAMANO UV 9W</v>
      </c>
      <c r="E2173" s="5">
        <v>2</v>
      </c>
      <c r="F2173" s="5">
        <f>VLOOKUP(C2173,[1]master_data!$A$2:$E$495,3,FALSE)</f>
        <v>66000</v>
      </c>
      <c r="G2173" s="5">
        <f>VLOOKUP(C2173,[1]master_data!$A$2:$E$495,4,FALSE)</f>
        <v>85000</v>
      </c>
      <c r="H2173" s="5">
        <f t="shared" si="105"/>
        <v>132000</v>
      </c>
      <c r="I2173" s="5">
        <f t="shared" si="106"/>
        <v>170000</v>
      </c>
      <c r="J2173" s="5">
        <f t="shared" si="107"/>
        <v>38000</v>
      </c>
      <c r="K2173" s="5" t="str">
        <f>VLOOKUP(C2173,[1]master_data!$A$2:$E$495,5,FALSE)</f>
        <v>Aksesoris</v>
      </c>
      <c r="L2173" s="5" t="s">
        <v>471</v>
      </c>
    </row>
    <row r="2174" spans="1:12" ht="12" customHeight="1" x14ac:dyDescent="0.25">
      <c r="A2174" s="6">
        <v>44696</v>
      </c>
      <c r="B2174" s="1">
        <v>2202389</v>
      </c>
      <c r="C2174" s="5" t="s">
        <v>414</v>
      </c>
      <c r="D2174" s="5" t="str">
        <f>VLOOKUP(C2174,[1]master_data!$A$2:$E$495,2,FALSE)</f>
        <v>KOKI T</v>
      </c>
      <c r="E2174" s="5">
        <v>1</v>
      </c>
      <c r="F2174" s="5">
        <f>VLOOKUP(C2174,[1]master_data!$A$2:$E$495,3,FALSE)</f>
        <v>8000</v>
      </c>
      <c r="G2174" s="5">
        <f>VLOOKUP(C2174,[1]master_data!$A$2:$E$495,4,FALSE)</f>
        <v>15000</v>
      </c>
      <c r="H2174" s="5">
        <f t="shared" si="105"/>
        <v>8000</v>
      </c>
      <c r="I2174" s="5">
        <f t="shared" si="106"/>
        <v>15000</v>
      </c>
      <c r="J2174" s="5">
        <f t="shared" si="107"/>
        <v>7000</v>
      </c>
      <c r="K2174" s="5" t="str">
        <f>VLOOKUP(C2174,[1]master_data!$A$2:$E$495,5,FALSE)</f>
        <v>Ikan</v>
      </c>
      <c r="L2174" s="5" t="s">
        <v>471</v>
      </c>
    </row>
    <row r="2175" spans="1:12" ht="12" customHeight="1" x14ac:dyDescent="0.25">
      <c r="A2175" s="6">
        <v>44696</v>
      </c>
      <c r="B2175" s="1">
        <v>2202388</v>
      </c>
      <c r="C2175" s="5" t="s">
        <v>415</v>
      </c>
      <c r="D2175" s="5" t="str">
        <f>VLOOKUP(C2175,[1]master_data!$A$2:$E$495,2,FALSE)</f>
        <v>KOKI B</v>
      </c>
      <c r="E2175" s="5">
        <v>2</v>
      </c>
      <c r="F2175" s="5">
        <f>VLOOKUP(C2175,[1]master_data!$A$2:$E$495,3,FALSE)</f>
        <v>20000</v>
      </c>
      <c r="G2175" s="5">
        <f>VLOOKUP(C2175,[1]master_data!$A$2:$E$495,4,FALSE)</f>
        <v>50000</v>
      </c>
      <c r="H2175" s="5">
        <f t="shared" si="105"/>
        <v>40000</v>
      </c>
      <c r="I2175" s="5">
        <f t="shared" si="106"/>
        <v>100000</v>
      </c>
      <c r="J2175" s="5">
        <f t="shared" si="107"/>
        <v>60000</v>
      </c>
      <c r="K2175" s="5" t="str">
        <f>VLOOKUP(C2175,[1]master_data!$A$2:$E$495,5,FALSE)</f>
        <v>Ikan</v>
      </c>
      <c r="L2175" s="5" t="s">
        <v>471</v>
      </c>
    </row>
    <row r="2176" spans="1:12" ht="12" customHeight="1" x14ac:dyDescent="0.25">
      <c r="A2176" s="6">
        <v>44696</v>
      </c>
      <c r="B2176" s="1">
        <v>2202387</v>
      </c>
      <c r="C2176" s="5" t="s">
        <v>423</v>
      </c>
      <c r="D2176" s="5" t="str">
        <f>VLOOKUP(C2176,[1]master_data!$A$2:$E$495,2,FALSE)</f>
        <v>KOI SLAYER K</v>
      </c>
      <c r="E2176" s="5">
        <v>1</v>
      </c>
      <c r="F2176" s="5">
        <f>VLOOKUP(C2176,[1]master_data!$A$2:$E$495,3,FALSE)</f>
        <v>3500</v>
      </c>
      <c r="G2176" s="5">
        <f>VLOOKUP(C2176,[1]master_data!$A$2:$E$495,4,FALSE)</f>
        <v>10000</v>
      </c>
      <c r="H2176" s="5">
        <f t="shared" si="105"/>
        <v>3500</v>
      </c>
      <c r="I2176" s="5">
        <f t="shared" si="106"/>
        <v>10000</v>
      </c>
      <c r="J2176" s="5">
        <f t="shared" si="107"/>
        <v>6500</v>
      </c>
      <c r="K2176" s="5" t="str">
        <f>VLOOKUP(C2176,[1]master_data!$A$2:$E$495,5,FALSE)</f>
        <v>Ikan</v>
      </c>
      <c r="L2176" s="5" t="s">
        <v>471</v>
      </c>
    </row>
    <row r="2177" spans="1:12" ht="12" customHeight="1" x14ac:dyDescent="0.25">
      <c r="A2177" s="6">
        <v>44696</v>
      </c>
      <c r="B2177" s="1">
        <v>2202386</v>
      </c>
      <c r="C2177" s="5" t="s">
        <v>390</v>
      </c>
      <c r="D2177" s="5" t="str">
        <f>VLOOKUP(C2177,[1]master_data!$A$2:$E$495,2,FALSE)</f>
        <v>CHANNA ASIATICA K</v>
      </c>
      <c r="E2177" s="5">
        <v>2</v>
      </c>
      <c r="F2177" s="5">
        <f>VLOOKUP(C2177,[1]master_data!$A$2:$E$495,3,FALSE)</f>
        <v>10000</v>
      </c>
      <c r="G2177" s="5">
        <f>VLOOKUP(C2177,[1]master_data!$A$2:$E$495,4,FALSE)</f>
        <v>40000</v>
      </c>
      <c r="H2177" s="5">
        <f t="shared" si="105"/>
        <v>20000</v>
      </c>
      <c r="I2177" s="5">
        <f t="shared" si="106"/>
        <v>80000</v>
      </c>
      <c r="J2177" s="5">
        <f t="shared" si="107"/>
        <v>60000</v>
      </c>
      <c r="K2177" s="5" t="str">
        <f>VLOOKUP(C2177,[1]master_data!$A$2:$E$495,5,FALSE)</f>
        <v>Ikan</v>
      </c>
      <c r="L2177" s="5" t="s">
        <v>471</v>
      </c>
    </row>
    <row r="2178" spans="1:12" ht="12" customHeight="1" x14ac:dyDescent="0.25">
      <c r="A2178" s="6">
        <v>44696</v>
      </c>
      <c r="B2178" s="1">
        <v>2202385</v>
      </c>
      <c r="C2178" s="5" t="s">
        <v>208</v>
      </c>
      <c r="D2178" s="5" t="str">
        <f>VLOOKUP(C2178,[1]master_data!$A$2:$E$495,2,FALSE)</f>
        <v>TOP VIT</v>
      </c>
      <c r="E2178" s="5">
        <v>1</v>
      </c>
      <c r="F2178" s="5">
        <f>VLOOKUP(C2178,[1]master_data!$A$2:$E$495,3,FALSE)</f>
        <v>4000</v>
      </c>
      <c r="G2178" s="5">
        <f>VLOOKUP(C2178,[1]master_data!$A$2:$E$495,4,FALSE)</f>
        <v>7000</v>
      </c>
      <c r="H2178" s="5">
        <f t="shared" si="105"/>
        <v>4000</v>
      </c>
      <c r="I2178" s="5">
        <f t="shared" si="106"/>
        <v>7000</v>
      </c>
      <c r="J2178" s="5">
        <f t="shared" si="107"/>
        <v>3000</v>
      </c>
      <c r="K2178" s="5" t="str">
        <f>VLOOKUP(C2178,[1]master_data!$A$2:$E$495,5,FALSE)</f>
        <v>Aksesoris</v>
      </c>
      <c r="L2178" s="5" t="s">
        <v>471</v>
      </c>
    </row>
    <row r="2179" spans="1:12" ht="12" customHeight="1" x14ac:dyDescent="0.25">
      <c r="A2179" s="6">
        <v>44696</v>
      </c>
      <c r="B2179" s="1">
        <v>2202384</v>
      </c>
      <c r="C2179" s="5" t="s">
        <v>417</v>
      </c>
      <c r="D2179" s="5" t="str">
        <f>VLOOKUP(C2179,[1]master_data!$A$2:$E$495,2,FALSE)</f>
        <v>KOI T</v>
      </c>
      <c r="E2179" s="5">
        <v>1</v>
      </c>
      <c r="F2179" s="5">
        <f>VLOOKUP(C2179,[1]master_data!$A$2:$E$495,3,FALSE)</f>
        <v>7000</v>
      </c>
      <c r="G2179" s="5">
        <f>VLOOKUP(C2179,[1]master_data!$A$2:$E$495,4,FALSE)</f>
        <v>20000</v>
      </c>
      <c r="H2179" s="5">
        <f t="shared" si="105"/>
        <v>7000</v>
      </c>
      <c r="I2179" s="5">
        <f t="shared" si="106"/>
        <v>20000</v>
      </c>
      <c r="J2179" s="5">
        <f t="shared" si="107"/>
        <v>13000</v>
      </c>
      <c r="K2179" s="5" t="str">
        <f>VLOOKUP(C2179,[1]master_data!$A$2:$E$495,5,FALSE)</f>
        <v>Ikan</v>
      </c>
      <c r="L2179" s="5" t="s">
        <v>471</v>
      </c>
    </row>
    <row r="2180" spans="1:12" ht="12" customHeight="1" x14ac:dyDescent="0.25">
      <c r="A2180" s="6">
        <v>44696</v>
      </c>
      <c r="B2180" s="1">
        <v>2202383</v>
      </c>
      <c r="C2180" s="5" t="s">
        <v>204</v>
      </c>
      <c r="D2180" s="5" t="str">
        <f>VLOOKUP(C2180,[1]master_data!$A$2:$E$495,2,FALSE)</f>
        <v>MAGOT</v>
      </c>
      <c r="E2180" s="5">
        <v>1</v>
      </c>
      <c r="F2180" s="5">
        <f>VLOOKUP(C2180,[1]master_data!$A$2:$E$495,3,FALSE)</f>
        <v>4500</v>
      </c>
      <c r="G2180" s="5">
        <f>VLOOKUP(C2180,[1]master_data!$A$2:$E$495,4,FALSE)</f>
        <v>10000</v>
      </c>
      <c r="H2180" s="5">
        <f t="shared" si="105"/>
        <v>4500</v>
      </c>
      <c r="I2180" s="5">
        <f t="shared" si="106"/>
        <v>10000</v>
      </c>
      <c r="J2180" s="5">
        <f t="shared" si="107"/>
        <v>5500</v>
      </c>
      <c r="K2180" s="5" t="str">
        <f>VLOOKUP(C2180,[1]master_data!$A$2:$E$495,5,FALSE)</f>
        <v>Aksesoris</v>
      </c>
      <c r="L2180" s="5" t="s">
        <v>471</v>
      </c>
    </row>
    <row r="2181" spans="1:12" ht="12" customHeight="1" x14ac:dyDescent="0.25">
      <c r="A2181" s="6">
        <v>44696</v>
      </c>
      <c r="B2181" s="1">
        <v>2202382</v>
      </c>
      <c r="C2181" s="5" t="s">
        <v>408</v>
      </c>
      <c r="D2181" s="5" t="str">
        <f>VLOOKUP(C2181,[1]master_data!$A$2:$E$495,2,FALSE)</f>
        <v>CATFISH</v>
      </c>
      <c r="E2181" s="5">
        <v>1</v>
      </c>
      <c r="F2181" s="5">
        <f>VLOOKUP(C2181,[1]master_data!$A$2:$E$495,3,FALSE)</f>
        <v>20000</v>
      </c>
      <c r="G2181" s="5">
        <f>VLOOKUP(C2181,[1]master_data!$A$2:$E$495,4,FALSE)</f>
        <v>50000</v>
      </c>
      <c r="H2181" s="5">
        <f t="shared" ref="H2181:H2244" si="108">E2181*F2181</f>
        <v>20000</v>
      </c>
      <c r="I2181" s="5">
        <f t="shared" ref="I2181:I2244" si="109">E2181*G2181</f>
        <v>50000</v>
      </c>
      <c r="J2181" s="5">
        <f t="shared" ref="J2181:J2244" si="110">I2181-H2181</f>
        <v>30000</v>
      </c>
      <c r="K2181" s="5" t="str">
        <f>VLOOKUP(C2181,[1]master_data!$A$2:$E$495,5,FALSE)</f>
        <v>Ikan</v>
      </c>
      <c r="L2181" s="5" t="s">
        <v>471</v>
      </c>
    </row>
    <row r="2182" spans="1:12" ht="12" customHeight="1" x14ac:dyDescent="0.25">
      <c r="A2182" s="6">
        <v>44696</v>
      </c>
      <c r="B2182" s="1">
        <v>2202381</v>
      </c>
      <c r="C2182" s="5" t="s">
        <v>440</v>
      </c>
      <c r="D2182" s="5" t="str">
        <f>VLOOKUP(C2182,[1]master_data!$A$2:$E$495,2,FALSE)</f>
        <v>OSCAR</v>
      </c>
      <c r="E2182" s="5">
        <v>5</v>
      </c>
      <c r="F2182" s="5">
        <f>VLOOKUP(C2182,[1]master_data!$A$2:$E$495,3,FALSE)</f>
        <v>25000</v>
      </c>
      <c r="G2182" s="5">
        <f>VLOOKUP(C2182,[1]master_data!$A$2:$E$495,4,FALSE)</f>
        <v>50000</v>
      </c>
      <c r="H2182" s="5">
        <f t="shared" si="108"/>
        <v>125000</v>
      </c>
      <c r="I2182" s="5">
        <f t="shared" si="109"/>
        <v>250000</v>
      </c>
      <c r="J2182" s="5">
        <f t="shared" si="110"/>
        <v>125000</v>
      </c>
      <c r="K2182" s="5" t="str">
        <f>VLOOKUP(C2182,[1]master_data!$A$2:$E$495,5,FALSE)</f>
        <v>Ikan</v>
      </c>
      <c r="L2182" s="5" t="s">
        <v>471</v>
      </c>
    </row>
    <row r="2183" spans="1:12" ht="12" customHeight="1" x14ac:dyDescent="0.25">
      <c r="A2183" s="6">
        <v>44696</v>
      </c>
      <c r="B2183" s="1">
        <v>2202380</v>
      </c>
      <c r="C2183" s="5" t="s">
        <v>33</v>
      </c>
      <c r="D2183" s="5" t="str">
        <f>VLOOKUP(C2183,[1]master_data!$A$2:$E$495,2,FALSE)</f>
        <v>MESIN YAMANO 1200</v>
      </c>
      <c r="E2183" s="5">
        <v>1</v>
      </c>
      <c r="F2183" s="5">
        <f>VLOOKUP(C2183,[1]master_data!$A$2:$E$495,3,FALSE)</f>
        <v>27000</v>
      </c>
      <c r="G2183" s="5">
        <f>VLOOKUP(C2183,[1]master_data!$A$2:$E$495,4,FALSE)</f>
        <v>40000</v>
      </c>
      <c r="H2183" s="5">
        <f t="shared" si="108"/>
        <v>27000</v>
      </c>
      <c r="I2183" s="5">
        <f t="shared" si="109"/>
        <v>40000</v>
      </c>
      <c r="J2183" s="5">
        <f t="shared" si="110"/>
        <v>13000</v>
      </c>
      <c r="K2183" s="5" t="str">
        <f>VLOOKUP(C2183,[1]master_data!$A$2:$E$495,5,FALSE)</f>
        <v>Aksesoris</v>
      </c>
      <c r="L2183" s="5" t="s">
        <v>471</v>
      </c>
    </row>
    <row r="2184" spans="1:12" ht="12" customHeight="1" x14ac:dyDescent="0.25">
      <c r="A2184" s="6">
        <v>44696</v>
      </c>
      <c r="B2184" s="1">
        <v>2202379</v>
      </c>
      <c r="C2184" s="5" t="s">
        <v>248</v>
      </c>
      <c r="D2184" s="5" t="str">
        <f>VLOOKUP(C2184,[1]master_data!$A$2:$E$495,2,FALSE)</f>
        <v>MATLINE BLUE</v>
      </c>
      <c r="E2184" s="5">
        <v>2</v>
      </c>
      <c r="F2184" s="5">
        <f>VLOOKUP(C2184,[1]master_data!$A$2:$E$495,3,FALSE)</f>
        <v>7000</v>
      </c>
      <c r="G2184" s="5">
        <f>VLOOKUP(C2184,[1]master_data!$A$2:$E$495,4,FALSE)</f>
        <v>10000</v>
      </c>
      <c r="H2184" s="5">
        <f t="shared" si="108"/>
        <v>14000</v>
      </c>
      <c r="I2184" s="5">
        <f t="shared" si="109"/>
        <v>20000</v>
      </c>
      <c r="J2184" s="5">
        <f t="shared" si="110"/>
        <v>6000</v>
      </c>
      <c r="K2184" s="5" t="str">
        <f>VLOOKUP(C2184,[1]master_data!$A$2:$E$495,5,FALSE)</f>
        <v>Aksesoris</v>
      </c>
      <c r="L2184" s="5" t="s">
        <v>471</v>
      </c>
    </row>
    <row r="2185" spans="1:12" ht="12" customHeight="1" x14ac:dyDescent="0.25">
      <c r="A2185" s="6">
        <v>44696</v>
      </c>
      <c r="B2185" s="1">
        <v>2202378</v>
      </c>
      <c r="C2185" s="5" t="s">
        <v>408</v>
      </c>
      <c r="D2185" s="5" t="str">
        <f>VLOOKUP(C2185,[1]master_data!$A$2:$E$495,2,FALSE)</f>
        <v>CATFISH</v>
      </c>
      <c r="E2185" s="5">
        <v>2</v>
      </c>
      <c r="F2185" s="5">
        <f>VLOOKUP(C2185,[1]master_data!$A$2:$E$495,3,FALSE)</f>
        <v>20000</v>
      </c>
      <c r="G2185" s="5">
        <f>VLOOKUP(C2185,[1]master_data!$A$2:$E$495,4,FALSE)</f>
        <v>50000</v>
      </c>
      <c r="H2185" s="5">
        <f t="shared" si="108"/>
        <v>40000</v>
      </c>
      <c r="I2185" s="5">
        <f t="shared" si="109"/>
        <v>100000</v>
      </c>
      <c r="J2185" s="5">
        <f t="shared" si="110"/>
        <v>60000</v>
      </c>
      <c r="K2185" s="5" t="str">
        <f>VLOOKUP(C2185,[1]master_data!$A$2:$E$495,5,FALSE)</f>
        <v>Ikan</v>
      </c>
      <c r="L2185" s="5" t="s">
        <v>471</v>
      </c>
    </row>
    <row r="2186" spans="1:12" ht="12" customHeight="1" x14ac:dyDescent="0.25">
      <c r="A2186" s="6">
        <v>44695</v>
      </c>
      <c r="B2186" s="1">
        <v>2202377</v>
      </c>
      <c r="C2186" s="5" t="s">
        <v>432</v>
      </c>
      <c r="D2186" s="5" t="str">
        <f>VLOOKUP(C2186,[1]master_data!$A$2:$E$495,2,FALSE)</f>
        <v>MARU K</v>
      </c>
      <c r="E2186" s="5">
        <v>1</v>
      </c>
      <c r="F2186" s="5">
        <f>VLOOKUP(C2186,[1]master_data!$A$2:$E$495,3,FALSE)</f>
        <v>23000</v>
      </c>
      <c r="G2186" s="5">
        <f>VLOOKUP(C2186,[1]master_data!$A$2:$E$495,4,FALSE)</f>
        <v>50000</v>
      </c>
      <c r="H2186" s="5">
        <f t="shared" si="108"/>
        <v>23000</v>
      </c>
      <c r="I2186" s="5">
        <f t="shared" si="109"/>
        <v>50000</v>
      </c>
      <c r="J2186" s="5">
        <f t="shared" si="110"/>
        <v>27000</v>
      </c>
      <c r="K2186" s="5" t="str">
        <f>VLOOKUP(C2186,[1]master_data!$A$2:$E$495,5,FALSE)</f>
        <v>Ikan</v>
      </c>
      <c r="L2186" s="5" t="s">
        <v>471</v>
      </c>
    </row>
    <row r="2187" spans="1:12" ht="12" customHeight="1" x14ac:dyDescent="0.25">
      <c r="A2187" s="6">
        <v>44695</v>
      </c>
      <c r="B2187" s="1">
        <v>2202376</v>
      </c>
      <c r="C2187" s="5" t="s">
        <v>418</v>
      </c>
      <c r="D2187" s="5" t="str">
        <f>VLOOKUP(C2187,[1]master_data!$A$2:$E$495,2,FALSE)</f>
        <v>KOI B</v>
      </c>
      <c r="E2187" s="5">
        <v>4</v>
      </c>
      <c r="F2187" s="5">
        <f>VLOOKUP(C2187,[1]master_data!$A$2:$E$495,3,FALSE)</f>
        <v>9000</v>
      </c>
      <c r="G2187" s="5">
        <f>VLOOKUP(C2187,[1]master_data!$A$2:$E$495,4,FALSE)</f>
        <v>30000</v>
      </c>
      <c r="H2187" s="5">
        <f t="shared" si="108"/>
        <v>36000</v>
      </c>
      <c r="I2187" s="5">
        <f t="shared" si="109"/>
        <v>120000</v>
      </c>
      <c r="J2187" s="5">
        <f t="shared" si="110"/>
        <v>84000</v>
      </c>
      <c r="K2187" s="5" t="str">
        <f>VLOOKUP(C2187,[1]master_data!$A$2:$E$495,5,FALSE)</f>
        <v>Ikan</v>
      </c>
      <c r="L2187" s="5" t="s">
        <v>471</v>
      </c>
    </row>
    <row r="2188" spans="1:12" ht="12" customHeight="1" x14ac:dyDescent="0.25">
      <c r="A2188" s="6">
        <v>44695</v>
      </c>
      <c r="B2188" s="1">
        <v>2202375</v>
      </c>
      <c r="C2188" s="5" t="s">
        <v>208</v>
      </c>
      <c r="D2188" s="5" t="str">
        <f>VLOOKUP(C2188,[1]master_data!$A$2:$E$495,2,FALSE)</f>
        <v>TOP VIT</v>
      </c>
      <c r="E2188" s="5">
        <v>1</v>
      </c>
      <c r="F2188" s="5">
        <f>VLOOKUP(C2188,[1]master_data!$A$2:$E$495,3,FALSE)</f>
        <v>4000</v>
      </c>
      <c r="G2188" s="5">
        <f>VLOOKUP(C2188,[1]master_data!$A$2:$E$495,4,FALSE)</f>
        <v>7000</v>
      </c>
      <c r="H2188" s="5">
        <f t="shared" si="108"/>
        <v>4000</v>
      </c>
      <c r="I2188" s="5">
        <f t="shared" si="109"/>
        <v>7000</v>
      </c>
      <c r="J2188" s="5">
        <f t="shared" si="110"/>
        <v>3000</v>
      </c>
      <c r="K2188" s="5" t="str">
        <f>VLOOKUP(C2188,[1]master_data!$A$2:$E$495,5,FALSE)</f>
        <v>Aksesoris</v>
      </c>
      <c r="L2188" s="5" t="s">
        <v>471</v>
      </c>
    </row>
    <row r="2189" spans="1:12" ht="12" customHeight="1" x14ac:dyDescent="0.25">
      <c r="A2189" s="6">
        <v>44695</v>
      </c>
      <c r="B2189" s="1">
        <v>2202374</v>
      </c>
      <c r="C2189" s="5" t="s">
        <v>281</v>
      </c>
      <c r="D2189" s="5" t="str">
        <f>VLOOKUP(C2189,[1]master_data!$A$2:$E$495,2,FALSE)</f>
        <v>KRAN 3 W</v>
      </c>
      <c r="E2189" s="5">
        <v>1</v>
      </c>
      <c r="F2189" s="5">
        <f>VLOOKUP(C2189,[1]master_data!$A$2:$E$495,3,FALSE)</f>
        <v>5500</v>
      </c>
      <c r="G2189" s="5">
        <f>VLOOKUP(C2189,[1]master_data!$A$2:$E$495,4,FALSE)</f>
        <v>8000</v>
      </c>
      <c r="H2189" s="5">
        <f t="shared" si="108"/>
        <v>5500</v>
      </c>
      <c r="I2189" s="5">
        <f t="shared" si="109"/>
        <v>8000</v>
      </c>
      <c r="J2189" s="5">
        <f t="shared" si="110"/>
        <v>2500</v>
      </c>
      <c r="K2189" s="5" t="str">
        <f>VLOOKUP(C2189,[1]master_data!$A$2:$E$495,5,FALSE)</f>
        <v>Aksesoris</v>
      </c>
      <c r="L2189" s="5" t="s">
        <v>471</v>
      </c>
    </row>
    <row r="2190" spans="1:12" ht="12" customHeight="1" x14ac:dyDescent="0.25">
      <c r="A2190" s="6">
        <v>44695</v>
      </c>
      <c r="B2190" s="1">
        <v>2202373</v>
      </c>
      <c r="C2190" s="5" t="s">
        <v>233</v>
      </c>
      <c r="D2190" s="5" t="str">
        <f>VLOOKUP(C2190,[1]master_data!$A$2:$E$495,2,FALSE)</f>
        <v>FISH LOVE PAKAN</v>
      </c>
      <c r="E2190" s="5">
        <v>2</v>
      </c>
      <c r="F2190" s="5">
        <f>VLOOKUP(C2190,[1]master_data!$A$2:$E$495,3,FALSE)</f>
        <v>2500</v>
      </c>
      <c r="G2190" s="5">
        <f>VLOOKUP(C2190,[1]master_data!$A$2:$E$495,4,FALSE)</f>
        <v>5000</v>
      </c>
      <c r="H2190" s="5">
        <f t="shared" si="108"/>
        <v>5000</v>
      </c>
      <c r="I2190" s="5">
        <f t="shared" si="109"/>
        <v>10000</v>
      </c>
      <c r="J2190" s="5">
        <f t="shared" si="110"/>
        <v>5000</v>
      </c>
      <c r="K2190" s="5" t="str">
        <f>VLOOKUP(C2190,[1]master_data!$A$2:$E$495,5,FALSE)</f>
        <v>Aksesoris</v>
      </c>
      <c r="L2190" s="5" t="s">
        <v>471</v>
      </c>
    </row>
    <row r="2191" spans="1:12" ht="12" customHeight="1" x14ac:dyDescent="0.25">
      <c r="A2191" s="6">
        <v>44695</v>
      </c>
      <c r="B2191" s="1">
        <v>2202372</v>
      </c>
      <c r="C2191" s="5" t="s">
        <v>423</v>
      </c>
      <c r="D2191" s="5" t="str">
        <f>VLOOKUP(C2191,[1]master_data!$A$2:$E$495,2,FALSE)</f>
        <v>KOI SLAYER K</v>
      </c>
      <c r="E2191" s="5">
        <v>1</v>
      </c>
      <c r="F2191" s="5">
        <f>VLOOKUP(C2191,[1]master_data!$A$2:$E$495,3,FALSE)</f>
        <v>3500</v>
      </c>
      <c r="G2191" s="5">
        <f>VLOOKUP(C2191,[1]master_data!$A$2:$E$495,4,FALSE)</f>
        <v>10000</v>
      </c>
      <c r="H2191" s="5">
        <f t="shared" si="108"/>
        <v>3500</v>
      </c>
      <c r="I2191" s="5">
        <f t="shared" si="109"/>
        <v>10000</v>
      </c>
      <c r="J2191" s="5">
        <f t="shared" si="110"/>
        <v>6500</v>
      </c>
      <c r="K2191" s="5" t="str">
        <f>VLOOKUP(C2191,[1]master_data!$A$2:$E$495,5,FALSE)</f>
        <v>Ikan</v>
      </c>
      <c r="L2191" s="5" t="s">
        <v>471</v>
      </c>
    </row>
    <row r="2192" spans="1:12" ht="12" customHeight="1" x14ac:dyDescent="0.25">
      <c r="A2192" s="6">
        <v>44695</v>
      </c>
      <c r="B2192" s="1">
        <v>2202371</v>
      </c>
      <c r="C2192" s="5" t="s">
        <v>104</v>
      </c>
      <c r="D2192" s="5" t="str">
        <f>VLOOKUP(C2192,[1]master_data!$A$2:$E$495,2,FALSE)</f>
        <v>AIRATOR AMARA LUB 2</v>
      </c>
      <c r="E2192" s="5">
        <v>1</v>
      </c>
      <c r="F2192" s="5">
        <f>VLOOKUP(C2192,[1]master_data!$A$2:$E$495,3,FALSE)</f>
        <v>33000</v>
      </c>
      <c r="G2192" s="5">
        <f>VLOOKUP(C2192,[1]master_data!$A$2:$E$495,4,FALSE)</f>
        <v>50000</v>
      </c>
      <c r="H2192" s="5">
        <f t="shared" si="108"/>
        <v>33000</v>
      </c>
      <c r="I2192" s="5">
        <f t="shared" si="109"/>
        <v>50000</v>
      </c>
      <c r="J2192" s="5">
        <f t="shared" si="110"/>
        <v>17000</v>
      </c>
      <c r="K2192" s="5" t="str">
        <f>VLOOKUP(C2192,[1]master_data!$A$2:$E$495,5,FALSE)</f>
        <v>Aksesoris</v>
      </c>
      <c r="L2192" s="5" t="s">
        <v>471</v>
      </c>
    </row>
    <row r="2193" spans="1:12" ht="12" customHeight="1" x14ac:dyDescent="0.25">
      <c r="A2193" s="6">
        <v>44695</v>
      </c>
      <c r="B2193" s="1">
        <v>2202370</v>
      </c>
      <c r="C2193" s="5" t="s">
        <v>329</v>
      </c>
      <c r="D2193" s="5" t="str">
        <f>VLOOKUP(C2193,[1]master_data!$A$2:$E$495,2,FALSE)</f>
        <v>AIRSTONE D2L5</v>
      </c>
      <c r="E2193" s="5">
        <v>2</v>
      </c>
      <c r="F2193" s="5">
        <f>VLOOKUP(C2193,[1]master_data!$A$2:$E$495,3,FALSE)</f>
        <v>1850</v>
      </c>
      <c r="G2193" s="5">
        <f>VLOOKUP(C2193,[1]master_data!$A$2:$E$495,4,FALSE)</f>
        <v>5000</v>
      </c>
      <c r="H2193" s="5">
        <f t="shared" si="108"/>
        <v>3700</v>
      </c>
      <c r="I2193" s="5">
        <f t="shared" si="109"/>
        <v>10000</v>
      </c>
      <c r="J2193" s="5">
        <f t="shared" si="110"/>
        <v>6300</v>
      </c>
      <c r="K2193" s="5" t="str">
        <f>VLOOKUP(C2193,[1]master_data!$A$2:$E$495,5,FALSE)</f>
        <v>Aksesoris</v>
      </c>
      <c r="L2193" s="5" t="s">
        <v>471</v>
      </c>
    </row>
    <row r="2194" spans="1:12" ht="12" customHeight="1" x14ac:dyDescent="0.25">
      <c r="A2194" s="6">
        <v>44695</v>
      </c>
      <c r="B2194" s="1">
        <v>2202369</v>
      </c>
      <c r="C2194" s="5" t="s">
        <v>204</v>
      </c>
      <c r="D2194" s="5" t="str">
        <f>VLOOKUP(C2194,[1]master_data!$A$2:$E$495,2,FALSE)</f>
        <v>MAGOT</v>
      </c>
      <c r="E2194" s="5">
        <v>1</v>
      </c>
      <c r="F2194" s="5">
        <f>VLOOKUP(C2194,[1]master_data!$A$2:$E$495,3,FALSE)</f>
        <v>4500</v>
      </c>
      <c r="G2194" s="5">
        <f>VLOOKUP(C2194,[1]master_data!$A$2:$E$495,4,FALSE)</f>
        <v>10000</v>
      </c>
      <c r="H2194" s="5">
        <f t="shared" si="108"/>
        <v>4500</v>
      </c>
      <c r="I2194" s="5">
        <f t="shared" si="109"/>
        <v>10000</v>
      </c>
      <c r="J2194" s="5">
        <f t="shared" si="110"/>
        <v>5500</v>
      </c>
      <c r="K2194" s="5" t="str">
        <f>VLOOKUP(C2194,[1]master_data!$A$2:$E$495,5,FALSE)</f>
        <v>Aksesoris</v>
      </c>
      <c r="L2194" s="5" t="s">
        <v>471</v>
      </c>
    </row>
    <row r="2195" spans="1:12" ht="12" customHeight="1" x14ac:dyDescent="0.25">
      <c r="A2195" s="6">
        <v>44695</v>
      </c>
      <c r="B2195" s="1">
        <v>2202368</v>
      </c>
      <c r="C2195" s="5" t="s">
        <v>414</v>
      </c>
      <c r="D2195" s="5" t="str">
        <f>VLOOKUP(C2195,[1]master_data!$A$2:$E$495,2,FALSE)</f>
        <v>KOKI T</v>
      </c>
      <c r="E2195" s="5">
        <v>1</v>
      </c>
      <c r="F2195" s="5">
        <f>VLOOKUP(C2195,[1]master_data!$A$2:$E$495,3,FALSE)</f>
        <v>8000</v>
      </c>
      <c r="G2195" s="5">
        <f>VLOOKUP(C2195,[1]master_data!$A$2:$E$495,4,FALSE)</f>
        <v>15000</v>
      </c>
      <c r="H2195" s="5">
        <f t="shared" si="108"/>
        <v>8000</v>
      </c>
      <c r="I2195" s="5">
        <f t="shared" si="109"/>
        <v>15000</v>
      </c>
      <c r="J2195" s="5">
        <f t="shared" si="110"/>
        <v>7000</v>
      </c>
      <c r="K2195" s="5" t="str">
        <f>VLOOKUP(C2195,[1]master_data!$A$2:$E$495,5,FALSE)</f>
        <v>Ikan</v>
      </c>
      <c r="L2195" s="5" t="s">
        <v>471</v>
      </c>
    </row>
    <row r="2196" spans="1:12" ht="12" customHeight="1" x14ac:dyDescent="0.25">
      <c r="A2196" s="6">
        <v>44695</v>
      </c>
      <c r="B2196" s="1">
        <v>2202367</v>
      </c>
      <c r="C2196" s="5" t="s">
        <v>417</v>
      </c>
      <c r="D2196" s="5" t="str">
        <f>VLOOKUP(C2196,[1]master_data!$A$2:$E$495,2,FALSE)</f>
        <v>KOI T</v>
      </c>
      <c r="E2196" s="5">
        <v>1</v>
      </c>
      <c r="F2196" s="5">
        <f>VLOOKUP(C2196,[1]master_data!$A$2:$E$495,3,FALSE)</f>
        <v>7000</v>
      </c>
      <c r="G2196" s="5">
        <f>VLOOKUP(C2196,[1]master_data!$A$2:$E$495,4,FALSE)</f>
        <v>20000</v>
      </c>
      <c r="H2196" s="5">
        <f t="shared" si="108"/>
        <v>7000</v>
      </c>
      <c r="I2196" s="5">
        <f t="shared" si="109"/>
        <v>20000</v>
      </c>
      <c r="J2196" s="5">
        <f t="shared" si="110"/>
        <v>13000</v>
      </c>
      <c r="K2196" s="5" t="str">
        <f>VLOOKUP(C2196,[1]master_data!$A$2:$E$495,5,FALSE)</f>
        <v>Ikan</v>
      </c>
      <c r="L2196" s="5" t="s">
        <v>471</v>
      </c>
    </row>
    <row r="2197" spans="1:12" ht="12" customHeight="1" x14ac:dyDescent="0.25">
      <c r="A2197" s="6">
        <v>44695</v>
      </c>
      <c r="B2197" s="1">
        <v>2202366</v>
      </c>
      <c r="C2197" s="5" t="s">
        <v>248</v>
      </c>
      <c r="D2197" s="5" t="str">
        <f>VLOOKUP(C2197,[1]master_data!$A$2:$E$495,2,FALSE)</f>
        <v>MATLINE BLUE</v>
      </c>
      <c r="E2197" s="5">
        <v>2</v>
      </c>
      <c r="F2197" s="5">
        <f>VLOOKUP(C2197,[1]master_data!$A$2:$E$495,3,FALSE)</f>
        <v>7000</v>
      </c>
      <c r="G2197" s="5">
        <f>VLOOKUP(C2197,[1]master_data!$A$2:$E$495,4,FALSE)</f>
        <v>10000</v>
      </c>
      <c r="H2197" s="5">
        <f t="shared" si="108"/>
        <v>14000</v>
      </c>
      <c r="I2197" s="5">
        <f t="shared" si="109"/>
        <v>20000</v>
      </c>
      <c r="J2197" s="5">
        <f t="shared" si="110"/>
        <v>6000</v>
      </c>
      <c r="K2197" s="5" t="str">
        <f>VLOOKUP(C2197,[1]master_data!$A$2:$E$495,5,FALSE)</f>
        <v>Aksesoris</v>
      </c>
      <c r="L2197" s="5" t="s">
        <v>471</v>
      </c>
    </row>
    <row r="2198" spans="1:12" ht="12" customHeight="1" x14ac:dyDescent="0.25">
      <c r="A2198" s="6">
        <v>44695</v>
      </c>
      <c r="B2198" s="1">
        <v>2202365</v>
      </c>
      <c r="C2198" s="5" t="s">
        <v>408</v>
      </c>
      <c r="D2198" s="5" t="str">
        <f>VLOOKUP(C2198,[1]master_data!$A$2:$E$495,2,FALSE)</f>
        <v>CATFISH</v>
      </c>
      <c r="E2198" s="5">
        <v>1</v>
      </c>
      <c r="F2198" s="5">
        <f>VLOOKUP(C2198,[1]master_data!$A$2:$E$495,3,FALSE)</f>
        <v>20000</v>
      </c>
      <c r="G2198" s="5">
        <f>VLOOKUP(C2198,[1]master_data!$A$2:$E$495,4,FALSE)</f>
        <v>50000</v>
      </c>
      <c r="H2198" s="5">
        <f t="shared" si="108"/>
        <v>20000</v>
      </c>
      <c r="I2198" s="5">
        <f t="shared" si="109"/>
        <v>50000</v>
      </c>
      <c r="J2198" s="5">
        <f t="shared" si="110"/>
        <v>30000</v>
      </c>
      <c r="K2198" s="5" t="str">
        <f>VLOOKUP(C2198,[1]master_data!$A$2:$E$495,5,FALSE)</f>
        <v>Ikan</v>
      </c>
      <c r="L2198" s="5" t="s">
        <v>471</v>
      </c>
    </row>
    <row r="2199" spans="1:12" ht="12" customHeight="1" x14ac:dyDescent="0.25">
      <c r="A2199" s="6">
        <v>44695</v>
      </c>
      <c r="B2199" s="1">
        <v>2202364</v>
      </c>
      <c r="C2199" s="5" t="s">
        <v>440</v>
      </c>
      <c r="D2199" s="5" t="str">
        <f>VLOOKUP(C2199,[1]master_data!$A$2:$E$495,2,FALSE)</f>
        <v>OSCAR</v>
      </c>
      <c r="E2199" s="5">
        <v>1</v>
      </c>
      <c r="F2199" s="5">
        <f>VLOOKUP(C2199,[1]master_data!$A$2:$E$495,3,FALSE)</f>
        <v>25000</v>
      </c>
      <c r="G2199" s="5">
        <f>VLOOKUP(C2199,[1]master_data!$A$2:$E$495,4,FALSE)</f>
        <v>50000</v>
      </c>
      <c r="H2199" s="5">
        <f t="shared" si="108"/>
        <v>25000</v>
      </c>
      <c r="I2199" s="5">
        <f t="shared" si="109"/>
        <v>50000</v>
      </c>
      <c r="J2199" s="5">
        <f t="shared" si="110"/>
        <v>25000</v>
      </c>
      <c r="K2199" s="5" t="str">
        <f>VLOOKUP(C2199,[1]master_data!$A$2:$E$495,5,FALSE)</f>
        <v>Ikan</v>
      </c>
      <c r="L2199" s="5" t="s">
        <v>471</v>
      </c>
    </row>
    <row r="2200" spans="1:12" ht="12" customHeight="1" x14ac:dyDescent="0.25">
      <c r="A2200" s="6">
        <v>44695</v>
      </c>
      <c r="B2200" s="1">
        <v>2202363</v>
      </c>
      <c r="C2200" s="5" t="s">
        <v>408</v>
      </c>
      <c r="D2200" s="5" t="str">
        <f>VLOOKUP(C2200,[1]master_data!$A$2:$E$495,2,FALSE)</f>
        <v>CATFISH</v>
      </c>
      <c r="E2200" s="5">
        <v>5</v>
      </c>
      <c r="F2200" s="5">
        <f>VLOOKUP(C2200,[1]master_data!$A$2:$E$495,3,FALSE)</f>
        <v>20000</v>
      </c>
      <c r="G2200" s="5">
        <f>VLOOKUP(C2200,[1]master_data!$A$2:$E$495,4,FALSE)</f>
        <v>50000</v>
      </c>
      <c r="H2200" s="5">
        <f t="shared" si="108"/>
        <v>100000</v>
      </c>
      <c r="I2200" s="5">
        <f t="shared" si="109"/>
        <v>250000</v>
      </c>
      <c r="J2200" s="5">
        <f t="shared" si="110"/>
        <v>150000</v>
      </c>
      <c r="K2200" s="5" t="str">
        <f>VLOOKUP(C2200,[1]master_data!$A$2:$E$495,5,FALSE)</f>
        <v>Ikan</v>
      </c>
      <c r="L2200" s="5" t="s">
        <v>471</v>
      </c>
    </row>
    <row r="2201" spans="1:12" ht="12" customHeight="1" x14ac:dyDescent="0.25">
      <c r="A2201" s="6">
        <v>44695</v>
      </c>
      <c r="B2201" s="1">
        <v>2202362</v>
      </c>
      <c r="C2201" s="5" t="s">
        <v>415</v>
      </c>
      <c r="D2201" s="5" t="str">
        <f>VLOOKUP(C2201,[1]master_data!$A$2:$E$495,2,FALSE)</f>
        <v>KOKI B</v>
      </c>
      <c r="E2201" s="5">
        <v>4</v>
      </c>
      <c r="F2201" s="5">
        <f>VLOOKUP(C2201,[1]master_data!$A$2:$E$495,3,FALSE)</f>
        <v>20000</v>
      </c>
      <c r="G2201" s="5">
        <f>VLOOKUP(C2201,[1]master_data!$A$2:$E$495,4,FALSE)</f>
        <v>50000</v>
      </c>
      <c r="H2201" s="5">
        <f t="shared" si="108"/>
        <v>80000</v>
      </c>
      <c r="I2201" s="5">
        <f t="shared" si="109"/>
        <v>200000</v>
      </c>
      <c r="J2201" s="5">
        <f t="shared" si="110"/>
        <v>120000</v>
      </c>
      <c r="K2201" s="5" t="str">
        <f>VLOOKUP(C2201,[1]master_data!$A$2:$E$495,5,FALSE)</f>
        <v>Ikan</v>
      </c>
      <c r="L2201" s="5" t="s">
        <v>471</v>
      </c>
    </row>
    <row r="2202" spans="1:12" ht="12" customHeight="1" x14ac:dyDescent="0.25">
      <c r="A2202" s="6">
        <v>44695</v>
      </c>
      <c r="B2202" s="1">
        <v>2202361</v>
      </c>
      <c r="C2202" s="5" t="s">
        <v>390</v>
      </c>
      <c r="D2202" s="5" t="str">
        <f>VLOOKUP(C2202,[1]master_data!$A$2:$E$495,2,FALSE)</f>
        <v>CHANNA ASIATICA K</v>
      </c>
      <c r="E2202" s="5">
        <v>1</v>
      </c>
      <c r="F2202" s="5">
        <f>VLOOKUP(C2202,[1]master_data!$A$2:$E$495,3,FALSE)</f>
        <v>10000</v>
      </c>
      <c r="G2202" s="5">
        <f>VLOOKUP(C2202,[1]master_data!$A$2:$E$495,4,FALSE)</f>
        <v>40000</v>
      </c>
      <c r="H2202" s="5">
        <f t="shared" si="108"/>
        <v>10000</v>
      </c>
      <c r="I2202" s="5">
        <f t="shared" si="109"/>
        <v>40000</v>
      </c>
      <c r="J2202" s="5">
        <f t="shared" si="110"/>
        <v>30000</v>
      </c>
      <c r="K2202" s="5" t="str">
        <f>VLOOKUP(C2202,[1]master_data!$A$2:$E$495,5,FALSE)</f>
        <v>Ikan</v>
      </c>
      <c r="L2202" s="5" t="s">
        <v>471</v>
      </c>
    </row>
    <row r="2203" spans="1:12" ht="12" customHeight="1" x14ac:dyDescent="0.25">
      <c r="A2203" s="6">
        <v>44695</v>
      </c>
      <c r="B2203" s="1">
        <v>2202360</v>
      </c>
      <c r="C2203" s="5" t="s">
        <v>417</v>
      </c>
      <c r="D2203" s="5" t="str">
        <f>VLOOKUP(C2203,[1]master_data!$A$2:$E$495,2,FALSE)</f>
        <v>KOI T</v>
      </c>
      <c r="E2203" s="5">
        <v>1</v>
      </c>
      <c r="F2203" s="5">
        <f>VLOOKUP(C2203,[1]master_data!$A$2:$E$495,3,FALSE)</f>
        <v>7000</v>
      </c>
      <c r="G2203" s="5">
        <f>VLOOKUP(C2203,[1]master_data!$A$2:$E$495,4,FALSE)</f>
        <v>20000</v>
      </c>
      <c r="H2203" s="5">
        <f t="shared" si="108"/>
        <v>7000</v>
      </c>
      <c r="I2203" s="5">
        <f t="shared" si="109"/>
        <v>20000</v>
      </c>
      <c r="J2203" s="5">
        <f t="shared" si="110"/>
        <v>13000</v>
      </c>
      <c r="K2203" s="5" t="str">
        <f>VLOOKUP(C2203,[1]master_data!$A$2:$E$495,5,FALSE)</f>
        <v>Ikan</v>
      </c>
      <c r="L2203" s="5" t="s">
        <v>471</v>
      </c>
    </row>
    <row r="2204" spans="1:12" ht="12" customHeight="1" x14ac:dyDescent="0.25">
      <c r="A2204" s="6">
        <v>44694</v>
      </c>
      <c r="B2204" s="1">
        <v>2202359</v>
      </c>
      <c r="C2204" s="5" t="s">
        <v>255</v>
      </c>
      <c r="D2204" s="5" t="str">
        <f>VLOOKUP(C2204,[1]master_data!$A$2:$E$495,2,FALSE)</f>
        <v>ACRIPLAVIN</v>
      </c>
      <c r="E2204" s="5">
        <v>1</v>
      </c>
      <c r="F2204" s="5">
        <f>VLOOKUP(C2204,[1]master_data!$A$2:$E$495,3,FALSE)</f>
        <v>3000</v>
      </c>
      <c r="G2204" s="5">
        <f>VLOOKUP(C2204,[1]master_data!$A$2:$E$495,4,FALSE)</f>
        <v>8000</v>
      </c>
      <c r="H2204" s="5">
        <f t="shared" si="108"/>
        <v>3000</v>
      </c>
      <c r="I2204" s="5">
        <f t="shared" si="109"/>
        <v>8000</v>
      </c>
      <c r="J2204" s="5">
        <f t="shared" si="110"/>
        <v>5000</v>
      </c>
      <c r="K2204" s="5" t="str">
        <f>VLOOKUP(C2204,[1]master_data!$A$2:$E$495,5,FALSE)</f>
        <v>Aksesoris</v>
      </c>
      <c r="L2204" s="5" t="s">
        <v>471</v>
      </c>
    </row>
    <row r="2205" spans="1:12" ht="12" customHeight="1" x14ac:dyDescent="0.25">
      <c r="A2205" s="6">
        <v>44694</v>
      </c>
      <c r="B2205" s="1">
        <v>2202358</v>
      </c>
      <c r="C2205" s="5" t="s">
        <v>407</v>
      </c>
      <c r="D2205" s="5" t="str">
        <f>VLOOKUP(C2205,[1]master_data!$A$2:$E$495,2,FALSE)</f>
        <v>CUPANG</v>
      </c>
      <c r="E2205" s="5">
        <v>2</v>
      </c>
      <c r="F2205" s="5">
        <f>VLOOKUP(C2205,[1]master_data!$A$2:$E$495,3,FALSE)</f>
        <v>2000</v>
      </c>
      <c r="G2205" s="5">
        <f>VLOOKUP(C2205,[1]master_data!$A$2:$E$495,4,FALSE)</f>
        <v>5000</v>
      </c>
      <c r="H2205" s="5">
        <f t="shared" si="108"/>
        <v>4000</v>
      </c>
      <c r="I2205" s="5">
        <f t="shared" si="109"/>
        <v>10000</v>
      </c>
      <c r="J2205" s="5">
        <f t="shared" si="110"/>
        <v>6000</v>
      </c>
      <c r="K2205" s="5" t="str">
        <f>VLOOKUP(C2205,[1]master_data!$A$2:$E$495,5,FALSE)</f>
        <v>Ikan</v>
      </c>
      <c r="L2205" s="5" t="s">
        <v>471</v>
      </c>
    </row>
    <row r="2206" spans="1:12" ht="12" customHeight="1" x14ac:dyDescent="0.25">
      <c r="A2206" s="6">
        <v>44694</v>
      </c>
      <c r="B2206" s="1">
        <v>2202357</v>
      </c>
      <c r="C2206" s="5" t="s">
        <v>408</v>
      </c>
      <c r="D2206" s="5" t="str">
        <f>VLOOKUP(C2206,[1]master_data!$A$2:$E$495,2,FALSE)</f>
        <v>CATFISH</v>
      </c>
      <c r="E2206" s="5">
        <v>2</v>
      </c>
      <c r="F2206" s="5">
        <f>VLOOKUP(C2206,[1]master_data!$A$2:$E$495,3,FALSE)</f>
        <v>20000</v>
      </c>
      <c r="G2206" s="5">
        <f>VLOOKUP(C2206,[1]master_data!$A$2:$E$495,4,FALSE)</f>
        <v>50000</v>
      </c>
      <c r="H2206" s="5">
        <f t="shared" si="108"/>
        <v>40000</v>
      </c>
      <c r="I2206" s="5">
        <f t="shared" si="109"/>
        <v>100000</v>
      </c>
      <c r="J2206" s="5">
        <f t="shared" si="110"/>
        <v>60000</v>
      </c>
      <c r="K2206" s="5" t="str">
        <f>VLOOKUP(C2206,[1]master_data!$A$2:$E$495,5,FALSE)</f>
        <v>Ikan</v>
      </c>
      <c r="L2206" s="5" t="s">
        <v>471</v>
      </c>
    </row>
    <row r="2207" spans="1:12" ht="12" customHeight="1" x14ac:dyDescent="0.25">
      <c r="A2207" s="6">
        <v>44694</v>
      </c>
      <c r="B2207" s="1">
        <v>2202356</v>
      </c>
      <c r="C2207" s="5" t="s">
        <v>418</v>
      </c>
      <c r="D2207" s="5" t="str">
        <f>VLOOKUP(C2207,[1]master_data!$A$2:$E$495,2,FALSE)</f>
        <v>KOI B</v>
      </c>
      <c r="E2207" s="5">
        <v>10</v>
      </c>
      <c r="F2207" s="5">
        <f>VLOOKUP(C2207,[1]master_data!$A$2:$E$495,3,FALSE)</f>
        <v>9000</v>
      </c>
      <c r="G2207" s="5">
        <f>VLOOKUP(C2207,[1]master_data!$A$2:$E$495,4,FALSE)</f>
        <v>30000</v>
      </c>
      <c r="H2207" s="5">
        <f t="shared" si="108"/>
        <v>90000</v>
      </c>
      <c r="I2207" s="5">
        <f t="shared" si="109"/>
        <v>300000</v>
      </c>
      <c r="J2207" s="5">
        <f t="shared" si="110"/>
        <v>210000</v>
      </c>
      <c r="K2207" s="5" t="str">
        <f>VLOOKUP(C2207,[1]master_data!$A$2:$E$495,5,FALSE)</f>
        <v>Ikan</v>
      </c>
      <c r="L2207" s="5" t="s">
        <v>471</v>
      </c>
    </row>
    <row r="2208" spans="1:12" ht="12" customHeight="1" x14ac:dyDescent="0.25">
      <c r="A2208" s="6">
        <v>44694</v>
      </c>
      <c r="B2208" s="1">
        <v>2202355</v>
      </c>
      <c r="C2208" s="5" t="s">
        <v>233</v>
      </c>
      <c r="D2208" s="5" t="str">
        <f>VLOOKUP(C2208,[1]master_data!$A$2:$E$495,2,FALSE)</f>
        <v>FISH LOVE PAKAN</v>
      </c>
      <c r="E2208" s="5">
        <v>1</v>
      </c>
      <c r="F2208" s="5">
        <f>VLOOKUP(C2208,[1]master_data!$A$2:$E$495,3,FALSE)</f>
        <v>2500</v>
      </c>
      <c r="G2208" s="5">
        <f>VLOOKUP(C2208,[1]master_data!$A$2:$E$495,4,FALSE)</f>
        <v>5000</v>
      </c>
      <c r="H2208" s="5">
        <f t="shared" si="108"/>
        <v>2500</v>
      </c>
      <c r="I2208" s="5">
        <f t="shared" si="109"/>
        <v>5000</v>
      </c>
      <c r="J2208" s="5">
        <f t="shared" si="110"/>
        <v>2500</v>
      </c>
      <c r="K2208" s="5" t="str">
        <f>VLOOKUP(C2208,[1]master_data!$A$2:$E$495,5,FALSE)</f>
        <v>Aksesoris</v>
      </c>
      <c r="L2208" s="5" t="s">
        <v>471</v>
      </c>
    </row>
    <row r="2209" spans="1:12" ht="12" customHeight="1" x14ac:dyDescent="0.25">
      <c r="A2209" s="6">
        <v>44694</v>
      </c>
      <c r="B2209" s="1">
        <v>2202354</v>
      </c>
      <c r="C2209" s="5" t="s">
        <v>204</v>
      </c>
      <c r="D2209" s="5" t="str">
        <f>VLOOKUP(C2209,[1]master_data!$A$2:$E$495,2,FALSE)</f>
        <v>MAGOT</v>
      </c>
      <c r="E2209" s="5">
        <v>1</v>
      </c>
      <c r="F2209" s="5">
        <f>VLOOKUP(C2209,[1]master_data!$A$2:$E$495,3,FALSE)</f>
        <v>4500</v>
      </c>
      <c r="G2209" s="5">
        <f>VLOOKUP(C2209,[1]master_data!$A$2:$E$495,4,FALSE)</f>
        <v>10000</v>
      </c>
      <c r="H2209" s="5">
        <f t="shared" si="108"/>
        <v>4500</v>
      </c>
      <c r="I2209" s="5">
        <f t="shared" si="109"/>
        <v>10000</v>
      </c>
      <c r="J2209" s="5">
        <f t="shared" si="110"/>
        <v>5500</v>
      </c>
      <c r="K2209" s="5" t="str">
        <f>VLOOKUP(C2209,[1]master_data!$A$2:$E$495,5,FALSE)</f>
        <v>Aksesoris</v>
      </c>
      <c r="L2209" s="5" t="s">
        <v>471</v>
      </c>
    </row>
    <row r="2210" spans="1:12" ht="12" customHeight="1" x14ac:dyDescent="0.25">
      <c r="A2210" s="6">
        <v>44694</v>
      </c>
      <c r="B2210" s="1">
        <v>2202353</v>
      </c>
      <c r="C2210" s="5" t="s">
        <v>415</v>
      </c>
      <c r="D2210" s="5" t="str">
        <f>VLOOKUP(C2210,[1]master_data!$A$2:$E$495,2,FALSE)</f>
        <v>KOKI B</v>
      </c>
      <c r="E2210" s="5">
        <v>2</v>
      </c>
      <c r="F2210" s="5">
        <f>VLOOKUP(C2210,[1]master_data!$A$2:$E$495,3,FALSE)</f>
        <v>20000</v>
      </c>
      <c r="G2210" s="5">
        <f>VLOOKUP(C2210,[1]master_data!$A$2:$E$495,4,FALSE)</f>
        <v>50000</v>
      </c>
      <c r="H2210" s="5">
        <f t="shared" si="108"/>
        <v>40000</v>
      </c>
      <c r="I2210" s="5">
        <f t="shared" si="109"/>
        <v>100000</v>
      </c>
      <c r="J2210" s="5">
        <f t="shared" si="110"/>
        <v>60000</v>
      </c>
      <c r="K2210" s="5" t="str">
        <f>VLOOKUP(C2210,[1]master_data!$A$2:$E$495,5,FALSE)</f>
        <v>Ikan</v>
      </c>
      <c r="L2210" s="5" t="s">
        <v>471</v>
      </c>
    </row>
    <row r="2211" spans="1:12" ht="12" customHeight="1" x14ac:dyDescent="0.25">
      <c r="A2211" s="6">
        <v>44694</v>
      </c>
      <c r="B2211" s="1">
        <v>2202352</v>
      </c>
      <c r="C2211" s="5" t="s">
        <v>417</v>
      </c>
      <c r="D2211" s="5" t="str">
        <f>VLOOKUP(C2211,[1]master_data!$A$2:$E$495,2,FALSE)</f>
        <v>KOI T</v>
      </c>
      <c r="E2211" s="5">
        <v>1</v>
      </c>
      <c r="F2211" s="5">
        <f>VLOOKUP(C2211,[1]master_data!$A$2:$E$495,3,FALSE)</f>
        <v>7000</v>
      </c>
      <c r="G2211" s="5">
        <f>VLOOKUP(C2211,[1]master_data!$A$2:$E$495,4,FALSE)</f>
        <v>20000</v>
      </c>
      <c r="H2211" s="5">
        <f t="shared" si="108"/>
        <v>7000</v>
      </c>
      <c r="I2211" s="5">
        <f t="shared" si="109"/>
        <v>20000</v>
      </c>
      <c r="J2211" s="5">
        <f t="shared" si="110"/>
        <v>13000</v>
      </c>
      <c r="K2211" s="5" t="str">
        <f>VLOOKUP(C2211,[1]master_data!$A$2:$E$495,5,FALSE)</f>
        <v>Ikan</v>
      </c>
      <c r="L2211" s="5" t="s">
        <v>471</v>
      </c>
    </row>
    <row r="2212" spans="1:12" ht="12" customHeight="1" x14ac:dyDescent="0.25">
      <c r="A2212" s="6">
        <v>44694</v>
      </c>
      <c r="B2212" s="1">
        <v>2202351</v>
      </c>
      <c r="C2212" s="5" t="s">
        <v>390</v>
      </c>
      <c r="D2212" s="5" t="str">
        <f>VLOOKUP(C2212,[1]master_data!$A$2:$E$495,2,FALSE)</f>
        <v>CHANNA ASIATICA K</v>
      </c>
      <c r="E2212" s="5">
        <v>1</v>
      </c>
      <c r="F2212" s="5">
        <f>VLOOKUP(C2212,[1]master_data!$A$2:$E$495,3,FALSE)</f>
        <v>10000</v>
      </c>
      <c r="G2212" s="5">
        <f>VLOOKUP(C2212,[1]master_data!$A$2:$E$495,4,FALSE)</f>
        <v>40000</v>
      </c>
      <c r="H2212" s="5">
        <f t="shared" si="108"/>
        <v>10000</v>
      </c>
      <c r="I2212" s="5">
        <f t="shared" si="109"/>
        <v>40000</v>
      </c>
      <c r="J2212" s="5">
        <f t="shared" si="110"/>
        <v>30000</v>
      </c>
      <c r="K2212" s="5" t="str">
        <f>VLOOKUP(C2212,[1]master_data!$A$2:$E$495,5,FALSE)</f>
        <v>Ikan</v>
      </c>
      <c r="L2212" s="5" t="s">
        <v>471</v>
      </c>
    </row>
    <row r="2213" spans="1:12" ht="12" customHeight="1" x14ac:dyDescent="0.25">
      <c r="A2213" s="6">
        <v>44694</v>
      </c>
      <c r="B2213" s="1">
        <v>2202350</v>
      </c>
      <c r="C2213" s="5" t="s">
        <v>423</v>
      </c>
      <c r="D2213" s="5" t="str">
        <f>VLOOKUP(C2213,[1]master_data!$A$2:$E$495,2,FALSE)</f>
        <v>KOI SLAYER K</v>
      </c>
      <c r="E2213" s="5">
        <v>1</v>
      </c>
      <c r="F2213" s="5">
        <f>VLOOKUP(C2213,[1]master_data!$A$2:$E$495,3,FALSE)</f>
        <v>3500</v>
      </c>
      <c r="G2213" s="5">
        <f>VLOOKUP(C2213,[1]master_data!$A$2:$E$495,4,FALSE)</f>
        <v>10000</v>
      </c>
      <c r="H2213" s="5">
        <f t="shared" si="108"/>
        <v>3500</v>
      </c>
      <c r="I2213" s="5">
        <f t="shared" si="109"/>
        <v>10000</v>
      </c>
      <c r="J2213" s="5">
        <f t="shared" si="110"/>
        <v>6500</v>
      </c>
      <c r="K2213" s="5" t="str">
        <f>VLOOKUP(C2213,[1]master_data!$A$2:$E$495,5,FALSE)</f>
        <v>Ikan</v>
      </c>
      <c r="L2213" s="5" t="s">
        <v>471</v>
      </c>
    </row>
    <row r="2214" spans="1:12" ht="12" customHeight="1" x14ac:dyDescent="0.25">
      <c r="A2214" s="6">
        <v>44694</v>
      </c>
      <c r="B2214" s="1">
        <v>2202349</v>
      </c>
      <c r="C2214" s="5" t="s">
        <v>127</v>
      </c>
      <c r="D2214" s="5" t="str">
        <f>VLOOKUP(C2214,[1]master_data!$A$2:$E$495,2,FALSE)</f>
        <v>LED YAMANO 3W</v>
      </c>
      <c r="E2214" s="5">
        <v>1</v>
      </c>
      <c r="F2214" s="5">
        <f>VLOOKUP(C2214,[1]master_data!$A$2:$E$495,3,FALSE)</f>
        <v>37000</v>
      </c>
      <c r="G2214" s="5">
        <f>VLOOKUP(C2214,[1]master_data!$A$2:$E$495,4,FALSE)</f>
        <v>60000</v>
      </c>
      <c r="H2214" s="5">
        <f t="shared" si="108"/>
        <v>37000</v>
      </c>
      <c r="I2214" s="5">
        <f t="shared" si="109"/>
        <v>60000</v>
      </c>
      <c r="J2214" s="5">
        <f t="shared" si="110"/>
        <v>23000</v>
      </c>
      <c r="K2214" s="5" t="str">
        <f>VLOOKUP(C2214,[1]master_data!$A$2:$E$495,5,FALSE)</f>
        <v>Aksesoris</v>
      </c>
      <c r="L2214" s="5" t="s">
        <v>471</v>
      </c>
    </row>
    <row r="2215" spans="1:12" ht="12" customHeight="1" x14ac:dyDescent="0.25">
      <c r="A2215" s="6">
        <v>44694</v>
      </c>
      <c r="B2215" s="1">
        <v>2202348</v>
      </c>
      <c r="C2215" s="5" t="s">
        <v>432</v>
      </c>
      <c r="D2215" s="5" t="str">
        <f>VLOOKUP(C2215,[1]master_data!$A$2:$E$495,2,FALSE)</f>
        <v>MARU K</v>
      </c>
      <c r="E2215" s="5">
        <v>5</v>
      </c>
      <c r="F2215" s="5">
        <f>VLOOKUP(C2215,[1]master_data!$A$2:$E$495,3,FALSE)</f>
        <v>23000</v>
      </c>
      <c r="G2215" s="5">
        <f>VLOOKUP(C2215,[1]master_data!$A$2:$E$495,4,FALSE)</f>
        <v>50000</v>
      </c>
      <c r="H2215" s="5">
        <f t="shared" si="108"/>
        <v>115000</v>
      </c>
      <c r="I2215" s="5">
        <f t="shared" si="109"/>
        <v>250000</v>
      </c>
      <c r="J2215" s="5">
        <f t="shared" si="110"/>
        <v>135000</v>
      </c>
      <c r="K2215" s="5" t="str">
        <f>VLOOKUP(C2215,[1]master_data!$A$2:$E$495,5,FALSE)</f>
        <v>Ikan</v>
      </c>
      <c r="L2215" s="5" t="s">
        <v>471</v>
      </c>
    </row>
    <row r="2216" spans="1:12" ht="12" customHeight="1" x14ac:dyDescent="0.25">
      <c r="A2216" s="6">
        <v>44693</v>
      </c>
      <c r="B2216" s="1">
        <v>2202347</v>
      </c>
      <c r="C2216" s="5" t="s">
        <v>417</v>
      </c>
      <c r="D2216" s="5" t="str">
        <f>VLOOKUP(C2216,[1]master_data!$A$2:$E$495,2,FALSE)</f>
        <v>KOI T</v>
      </c>
      <c r="E2216" s="5">
        <v>1</v>
      </c>
      <c r="F2216" s="5">
        <f>VLOOKUP(C2216,[1]master_data!$A$2:$E$495,3,FALSE)</f>
        <v>7000</v>
      </c>
      <c r="G2216" s="5">
        <f>VLOOKUP(C2216,[1]master_data!$A$2:$E$495,4,FALSE)</f>
        <v>20000</v>
      </c>
      <c r="H2216" s="5">
        <f t="shared" si="108"/>
        <v>7000</v>
      </c>
      <c r="I2216" s="5">
        <f t="shared" si="109"/>
        <v>20000</v>
      </c>
      <c r="J2216" s="5">
        <f t="shared" si="110"/>
        <v>13000</v>
      </c>
      <c r="K2216" s="5" t="str">
        <f>VLOOKUP(C2216,[1]master_data!$A$2:$E$495,5,FALSE)</f>
        <v>Ikan</v>
      </c>
      <c r="L2216" s="5" t="s">
        <v>471</v>
      </c>
    </row>
    <row r="2217" spans="1:12" ht="12" customHeight="1" x14ac:dyDescent="0.25">
      <c r="A2217" s="6">
        <v>44693</v>
      </c>
      <c r="B2217" s="1">
        <v>2202346</v>
      </c>
      <c r="C2217" s="5" t="s">
        <v>432</v>
      </c>
      <c r="D2217" s="5" t="str">
        <f>VLOOKUP(C2217,[1]master_data!$A$2:$E$495,2,FALSE)</f>
        <v>MARU K</v>
      </c>
      <c r="E2217" s="5">
        <v>1</v>
      </c>
      <c r="F2217" s="5">
        <f>VLOOKUP(C2217,[1]master_data!$A$2:$E$495,3,FALSE)</f>
        <v>23000</v>
      </c>
      <c r="G2217" s="5">
        <f>VLOOKUP(C2217,[1]master_data!$A$2:$E$495,4,FALSE)</f>
        <v>50000</v>
      </c>
      <c r="H2217" s="5">
        <f t="shared" si="108"/>
        <v>23000</v>
      </c>
      <c r="I2217" s="5">
        <f t="shared" si="109"/>
        <v>50000</v>
      </c>
      <c r="J2217" s="5">
        <f t="shared" si="110"/>
        <v>27000</v>
      </c>
      <c r="K2217" s="5" t="str">
        <f>VLOOKUP(C2217,[1]master_data!$A$2:$E$495,5,FALSE)</f>
        <v>Ikan</v>
      </c>
      <c r="L2217" s="5" t="s">
        <v>471</v>
      </c>
    </row>
    <row r="2218" spans="1:12" ht="12" customHeight="1" x14ac:dyDescent="0.25">
      <c r="A2218" s="6">
        <v>44693</v>
      </c>
      <c r="B2218" s="1">
        <v>2202345</v>
      </c>
      <c r="C2218" s="5" t="s">
        <v>296</v>
      </c>
      <c r="D2218" s="5" t="str">
        <f>VLOOKUP(C2218,[1]master_data!$A$2:$E$495,2,FALSE)</f>
        <v>MAGNET S</v>
      </c>
      <c r="E2218" s="5">
        <v>1</v>
      </c>
      <c r="F2218" s="5">
        <f>VLOOKUP(C2218,[1]master_data!$A$2:$E$495,3,FALSE)</f>
        <v>20000</v>
      </c>
      <c r="G2218" s="5">
        <f>VLOOKUP(C2218,[1]master_data!$A$2:$E$495,4,FALSE)</f>
        <v>30000</v>
      </c>
      <c r="H2218" s="5">
        <f t="shared" si="108"/>
        <v>20000</v>
      </c>
      <c r="I2218" s="5">
        <f t="shared" si="109"/>
        <v>30000</v>
      </c>
      <c r="J2218" s="5">
        <f t="shared" si="110"/>
        <v>10000</v>
      </c>
      <c r="K2218" s="5" t="str">
        <f>VLOOKUP(C2218,[1]master_data!$A$2:$E$495,5,FALSE)</f>
        <v>Aksesoris</v>
      </c>
      <c r="L2218" s="5" t="s">
        <v>471</v>
      </c>
    </row>
    <row r="2219" spans="1:12" ht="12" customHeight="1" x14ac:dyDescent="0.25">
      <c r="A2219" s="6">
        <v>44693</v>
      </c>
      <c r="B2219" s="1">
        <v>2202344</v>
      </c>
      <c r="C2219" s="5" t="s">
        <v>35</v>
      </c>
      <c r="D2219" s="5" t="str">
        <f>VLOOKUP(C2219,[1]master_data!$A$2:$E$495,2,FALSE)</f>
        <v>MESIN YAMANO 1800</v>
      </c>
      <c r="E2219" s="5">
        <v>1</v>
      </c>
      <c r="F2219" s="5">
        <f>VLOOKUP(C2219,[1]master_data!$A$2:$E$495,3,FALSE)</f>
        <v>64000</v>
      </c>
      <c r="G2219" s="5">
        <f>VLOOKUP(C2219,[1]master_data!$A$2:$E$495,4,FALSE)</f>
        <v>110000</v>
      </c>
      <c r="H2219" s="5">
        <f t="shared" si="108"/>
        <v>64000</v>
      </c>
      <c r="I2219" s="5">
        <f t="shared" si="109"/>
        <v>110000</v>
      </c>
      <c r="J2219" s="5">
        <f t="shared" si="110"/>
        <v>46000</v>
      </c>
      <c r="K2219" s="5" t="str">
        <f>VLOOKUP(C2219,[1]master_data!$A$2:$E$495,5,FALSE)</f>
        <v>Aksesoris</v>
      </c>
      <c r="L2219" s="5" t="s">
        <v>471</v>
      </c>
    </row>
    <row r="2220" spans="1:12" ht="12" customHeight="1" x14ac:dyDescent="0.25">
      <c r="A2220" s="6">
        <v>44693</v>
      </c>
      <c r="B2220" s="1">
        <v>2202343</v>
      </c>
      <c r="C2220" s="5" t="s">
        <v>424</v>
      </c>
      <c r="D2220" s="5" t="str">
        <f>VLOOKUP(C2220,[1]master_data!$A$2:$E$495,2,FALSE)</f>
        <v>KOI SLAYER B</v>
      </c>
      <c r="E2220" s="5">
        <v>2</v>
      </c>
      <c r="F2220" s="5">
        <f>VLOOKUP(C2220,[1]master_data!$A$2:$E$495,3,FALSE)</f>
        <v>8000</v>
      </c>
      <c r="G2220" s="5">
        <f>VLOOKUP(C2220,[1]master_data!$A$2:$E$495,4,FALSE)</f>
        <v>20000</v>
      </c>
      <c r="H2220" s="5">
        <f t="shared" si="108"/>
        <v>16000</v>
      </c>
      <c r="I2220" s="5">
        <f t="shared" si="109"/>
        <v>40000</v>
      </c>
      <c r="J2220" s="5">
        <f t="shared" si="110"/>
        <v>24000</v>
      </c>
      <c r="K2220" s="5" t="str">
        <f>VLOOKUP(C2220,[1]master_data!$A$2:$E$495,5,FALSE)</f>
        <v>Ikan</v>
      </c>
      <c r="L2220" s="5" t="s">
        <v>471</v>
      </c>
    </row>
    <row r="2221" spans="1:12" ht="12" customHeight="1" x14ac:dyDescent="0.25">
      <c r="A2221" s="6">
        <v>44693</v>
      </c>
      <c r="B2221" s="1">
        <v>2202342</v>
      </c>
      <c r="C2221" s="5" t="s">
        <v>248</v>
      </c>
      <c r="D2221" s="5" t="str">
        <f>VLOOKUP(C2221,[1]master_data!$A$2:$E$495,2,FALSE)</f>
        <v>MATLINE BLUE</v>
      </c>
      <c r="E2221" s="5">
        <v>2</v>
      </c>
      <c r="F2221" s="5">
        <f>VLOOKUP(C2221,[1]master_data!$A$2:$E$495,3,FALSE)</f>
        <v>7000</v>
      </c>
      <c r="G2221" s="5">
        <f>VLOOKUP(C2221,[1]master_data!$A$2:$E$495,4,FALSE)</f>
        <v>10000</v>
      </c>
      <c r="H2221" s="5">
        <f t="shared" si="108"/>
        <v>14000</v>
      </c>
      <c r="I2221" s="5">
        <f t="shared" si="109"/>
        <v>20000</v>
      </c>
      <c r="J2221" s="5">
        <f t="shared" si="110"/>
        <v>6000</v>
      </c>
      <c r="K2221" s="5" t="str">
        <f>VLOOKUP(C2221,[1]master_data!$A$2:$E$495,5,FALSE)</f>
        <v>Aksesoris</v>
      </c>
      <c r="L2221" s="5" t="s">
        <v>471</v>
      </c>
    </row>
    <row r="2222" spans="1:12" ht="12" customHeight="1" x14ac:dyDescent="0.25">
      <c r="A2222" s="6">
        <v>44693</v>
      </c>
      <c r="B2222" s="1">
        <v>2202341</v>
      </c>
      <c r="C2222" s="5" t="s">
        <v>408</v>
      </c>
      <c r="D2222" s="5" t="str">
        <f>VLOOKUP(C2222,[1]master_data!$A$2:$E$495,2,FALSE)</f>
        <v>CATFISH</v>
      </c>
      <c r="E2222" s="5">
        <v>5</v>
      </c>
      <c r="F2222" s="5">
        <f>VLOOKUP(C2222,[1]master_data!$A$2:$E$495,3,FALSE)</f>
        <v>20000</v>
      </c>
      <c r="G2222" s="5">
        <f>VLOOKUP(C2222,[1]master_data!$A$2:$E$495,4,FALSE)</f>
        <v>50000</v>
      </c>
      <c r="H2222" s="5">
        <f t="shared" si="108"/>
        <v>100000</v>
      </c>
      <c r="I2222" s="5">
        <f t="shared" si="109"/>
        <v>250000</v>
      </c>
      <c r="J2222" s="5">
        <f t="shared" si="110"/>
        <v>150000</v>
      </c>
      <c r="K2222" s="5" t="str">
        <f>VLOOKUP(C2222,[1]master_data!$A$2:$E$495,5,FALSE)</f>
        <v>Ikan</v>
      </c>
      <c r="L2222" s="5" t="s">
        <v>471</v>
      </c>
    </row>
    <row r="2223" spans="1:12" ht="12" customHeight="1" x14ac:dyDescent="0.25">
      <c r="A2223" s="6">
        <v>44693</v>
      </c>
      <c r="B2223" s="1">
        <v>2202340</v>
      </c>
      <c r="C2223" s="5" t="s">
        <v>427</v>
      </c>
      <c r="D2223" s="5" t="str">
        <f>VLOOKUP(C2223,[1]master_data!$A$2:$E$495,2,FALSE)</f>
        <v>LEMON</v>
      </c>
      <c r="E2223" s="5">
        <v>1</v>
      </c>
      <c r="F2223" s="5">
        <f>VLOOKUP(C2223,[1]master_data!$A$2:$E$495,3,FALSE)</f>
        <v>1000</v>
      </c>
      <c r="G2223" s="5">
        <f>VLOOKUP(C2223,[1]master_data!$A$2:$E$495,4,FALSE)</f>
        <v>2000</v>
      </c>
      <c r="H2223" s="5">
        <f t="shared" si="108"/>
        <v>1000</v>
      </c>
      <c r="I2223" s="5">
        <f t="shared" si="109"/>
        <v>2000</v>
      </c>
      <c r="J2223" s="5">
        <f t="shared" si="110"/>
        <v>1000</v>
      </c>
      <c r="K2223" s="5" t="str">
        <f>VLOOKUP(C2223,[1]master_data!$A$2:$E$495,5,FALSE)</f>
        <v>Ikan</v>
      </c>
      <c r="L2223" s="5" t="s">
        <v>471</v>
      </c>
    </row>
    <row r="2224" spans="1:12" ht="12" customHeight="1" x14ac:dyDescent="0.25">
      <c r="A2224" s="6">
        <v>44693</v>
      </c>
      <c r="B2224" s="1">
        <v>2202339</v>
      </c>
      <c r="C2224" s="5" t="s">
        <v>423</v>
      </c>
      <c r="D2224" s="5" t="str">
        <f>VLOOKUP(C2224,[1]master_data!$A$2:$E$495,2,FALSE)</f>
        <v>KOI SLAYER K</v>
      </c>
      <c r="E2224" s="5">
        <v>1</v>
      </c>
      <c r="F2224" s="5">
        <f>VLOOKUP(C2224,[1]master_data!$A$2:$E$495,3,FALSE)</f>
        <v>3500</v>
      </c>
      <c r="G2224" s="5">
        <f>VLOOKUP(C2224,[1]master_data!$A$2:$E$495,4,FALSE)</f>
        <v>10000</v>
      </c>
      <c r="H2224" s="5">
        <f t="shared" si="108"/>
        <v>3500</v>
      </c>
      <c r="I2224" s="5">
        <f t="shared" si="109"/>
        <v>10000</v>
      </c>
      <c r="J2224" s="5">
        <f t="shared" si="110"/>
        <v>6500</v>
      </c>
      <c r="K2224" s="5" t="str">
        <f>VLOOKUP(C2224,[1]master_data!$A$2:$E$495,5,FALSE)</f>
        <v>Ikan</v>
      </c>
      <c r="L2224" s="5" t="s">
        <v>471</v>
      </c>
    </row>
    <row r="2225" spans="1:12" ht="12" customHeight="1" x14ac:dyDescent="0.25">
      <c r="A2225" s="6">
        <v>44693</v>
      </c>
      <c r="B2225" s="1">
        <v>2202338</v>
      </c>
      <c r="C2225" s="5" t="s">
        <v>412</v>
      </c>
      <c r="D2225" s="5" t="str">
        <f>VLOOKUP(C2225,[1]master_data!$A$2:$E$495,2,FALSE)</f>
        <v>HIU TAWAR</v>
      </c>
      <c r="E2225" s="5">
        <v>3</v>
      </c>
      <c r="F2225" s="5">
        <f>VLOOKUP(C2225,[1]master_data!$A$2:$E$495,3,FALSE)</f>
        <v>600</v>
      </c>
      <c r="G2225" s="5">
        <f>VLOOKUP(C2225,[1]master_data!$A$2:$E$495,4,FALSE)</f>
        <v>2000</v>
      </c>
      <c r="H2225" s="5">
        <f t="shared" si="108"/>
        <v>1800</v>
      </c>
      <c r="I2225" s="5">
        <f t="shared" si="109"/>
        <v>6000</v>
      </c>
      <c r="J2225" s="5">
        <f t="shared" si="110"/>
        <v>4200</v>
      </c>
      <c r="K2225" s="5" t="str">
        <f>VLOOKUP(C2225,[1]master_data!$A$2:$E$495,5,FALSE)</f>
        <v>Ikan</v>
      </c>
      <c r="L2225" s="5" t="s">
        <v>471</v>
      </c>
    </row>
    <row r="2226" spans="1:12" ht="12" customHeight="1" x14ac:dyDescent="0.25">
      <c r="A2226" s="6">
        <v>44693</v>
      </c>
      <c r="B2226" s="1">
        <v>2202337</v>
      </c>
      <c r="C2226" s="5" t="s">
        <v>415</v>
      </c>
      <c r="D2226" s="5" t="str">
        <f>VLOOKUP(C2226,[1]master_data!$A$2:$E$495,2,FALSE)</f>
        <v>KOKI B</v>
      </c>
      <c r="E2226" s="5">
        <v>2</v>
      </c>
      <c r="F2226" s="5">
        <f>VLOOKUP(C2226,[1]master_data!$A$2:$E$495,3,FALSE)</f>
        <v>20000</v>
      </c>
      <c r="G2226" s="5">
        <f>VLOOKUP(C2226,[1]master_data!$A$2:$E$495,4,FALSE)</f>
        <v>50000</v>
      </c>
      <c r="H2226" s="5">
        <f t="shared" si="108"/>
        <v>40000</v>
      </c>
      <c r="I2226" s="5">
        <f t="shared" si="109"/>
        <v>100000</v>
      </c>
      <c r="J2226" s="5">
        <f t="shared" si="110"/>
        <v>60000</v>
      </c>
      <c r="K2226" s="5" t="str">
        <f>VLOOKUP(C2226,[1]master_data!$A$2:$E$495,5,FALSE)</f>
        <v>Ikan</v>
      </c>
      <c r="L2226" s="5" t="s">
        <v>471</v>
      </c>
    </row>
    <row r="2227" spans="1:12" ht="12" customHeight="1" x14ac:dyDescent="0.25">
      <c r="A2227" s="6">
        <v>44693</v>
      </c>
      <c r="B2227" s="1">
        <v>2202336</v>
      </c>
      <c r="C2227" s="5" t="s">
        <v>52</v>
      </c>
      <c r="D2227" s="5" t="str">
        <f>VLOOKUP(C2227,[1]master_data!$A$2:$E$495,2,FALSE)</f>
        <v>TOP FILTER LENGKAP B</v>
      </c>
      <c r="E2227" s="5">
        <v>1</v>
      </c>
      <c r="F2227" s="5">
        <f>VLOOKUP(C2227,[1]master_data!$A$2:$E$495,3,FALSE)</f>
        <v>37500</v>
      </c>
      <c r="G2227" s="5">
        <f>VLOOKUP(C2227,[1]master_data!$A$2:$E$495,4,FALSE)</f>
        <v>65000</v>
      </c>
      <c r="H2227" s="5">
        <f t="shared" si="108"/>
        <v>37500</v>
      </c>
      <c r="I2227" s="5">
        <f t="shared" si="109"/>
        <v>65000</v>
      </c>
      <c r="J2227" s="5">
        <f t="shared" si="110"/>
        <v>27500</v>
      </c>
      <c r="K2227" s="5" t="str">
        <f>VLOOKUP(C2227,[1]master_data!$A$2:$E$495,5,FALSE)</f>
        <v>Aksesoris</v>
      </c>
      <c r="L2227" s="5" t="s">
        <v>471</v>
      </c>
    </row>
    <row r="2228" spans="1:12" ht="12" customHeight="1" x14ac:dyDescent="0.25">
      <c r="A2228" s="6">
        <v>44693</v>
      </c>
      <c r="B2228" s="1">
        <v>2202335</v>
      </c>
      <c r="C2228" s="5" t="s">
        <v>418</v>
      </c>
      <c r="D2228" s="5" t="str">
        <f>VLOOKUP(C2228,[1]master_data!$A$2:$E$495,2,FALSE)</f>
        <v>KOI B</v>
      </c>
      <c r="E2228" s="5">
        <v>4</v>
      </c>
      <c r="F2228" s="5">
        <f>VLOOKUP(C2228,[1]master_data!$A$2:$E$495,3,FALSE)</f>
        <v>9000</v>
      </c>
      <c r="G2228" s="5">
        <f>VLOOKUP(C2228,[1]master_data!$A$2:$E$495,4,FALSE)</f>
        <v>30000</v>
      </c>
      <c r="H2228" s="5">
        <f t="shared" si="108"/>
        <v>36000</v>
      </c>
      <c r="I2228" s="5">
        <f t="shared" si="109"/>
        <v>120000</v>
      </c>
      <c r="J2228" s="5">
        <f t="shared" si="110"/>
        <v>84000</v>
      </c>
      <c r="K2228" s="5" t="str">
        <f>VLOOKUP(C2228,[1]master_data!$A$2:$E$495,5,FALSE)</f>
        <v>Ikan</v>
      </c>
      <c r="L2228" s="5" t="s">
        <v>471</v>
      </c>
    </row>
    <row r="2229" spans="1:12" ht="12" customHeight="1" x14ac:dyDescent="0.25">
      <c r="A2229" s="6">
        <v>44692</v>
      </c>
      <c r="B2229" s="1">
        <v>2202334</v>
      </c>
      <c r="C2229" s="5" t="s">
        <v>284</v>
      </c>
      <c r="D2229" s="5" t="str">
        <f>VLOOKUP(C2229,[1]master_data!$A$2:$E$495,2,FALSE)</f>
        <v>KAPAS 3 LAPIS</v>
      </c>
      <c r="E2229" s="5">
        <v>3</v>
      </c>
      <c r="F2229" s="5">
        <f>VLOOKUP(C2229,[1]master_data!$A$2:$E$495,3,FALSE)</f>
        <v>3200</v>
      </c>
      <c r="G2229" s="5">
        <f>VLOOKUP(C2229,[1]master_data!$A$2:$E$495,4,FALSE)</f>
        <v>5000</v>
      </c>
      <c r="H2229" s="5">
        <f t="shared" si="108"/>
        <v>9600</v>
      </c>
      <c r="I2229" s="5">
        <f t="shared" si="109"/>
        <v>15000</v>
      </c>
      <c r="J2229" s="5">
        <f t="shared" si="110"/>
        <v>5400</v>
      </c>
      <c r="K2229" s="5" t="str">
        <f>VLOOKUP(C2229,[1]master_data!$A$2:$E$495,5,FALSE)</f>
        <v>Aksesoris</v>
      </c>
      <c r="L2229" s="5" t="s">
        <v>471</v>
      </c>
    </row>
    <row r="2230" spans="1:12" ht="12" customHeight="1" x14ac:dyDescent="0.25">
      <c r="A2230" s="6">
        <v>44692</v>
      </c>
      <c r="B2230" s="1">
        <v>2202333</v>
      </c>
      <c r="C2230" s="5" t="s">
        <v>427</v>
      </c>
      <c r="D2230" s="5" t="str">
        <f>VLOOKUP(C2230,[1]master_data!$A$2:$E$495,2,FALSE)</f>
        <v>LEMON</v>
      </c>
      <c r="E2230" s="5">
        <v>1</v>
      </c>
      <c r="F2230" s="5">
        <f>VLOOKUP(C2230,[1]master_data!$A$2:$E$495,3,FALSE)</f>
        <v>1000</v>
      </c>
      <c r="G2230" s="5">
        <f>VLOOKUP(C2230,[1]master_data!$A$2:$E$495,4,FALSE)</f>
        <v>2000</v>
      </c>
      <c r="H2230" s="5">
        <f t="shared" si="108"/>
        <v>1000</v>
      </c>
      <c r="I2230" s="5">
        <f t="shared" si="109"/>
        <v>2000</v>
      </c>
      <c r="J2230" s="5">
        <f t="shared" si="110"/>
        <v>1000</v>
      </c>
      <c r="K2230" s="5" t="str">
        <f>VLOOKUP(C2230,[1]master_data!$A$2:$E$495,5,FALSE)</f>
        <v>Ikan</v>
      </c>
      <c r="L2230" s="5" t="s">
        <v>471</v>
      </c>
    </row>
    <row r="2231" spans="1:12" ht="12" customHeight="1" x14ac:dyDescent="0.25">
      <c r="A2231" s="6">
        <v>44692</v>
      </c>
      <c r="B2231" s="1">
        <v>2202332</v>
      </c>
      <c r="C2231" s="5" t="s">
        <v>418</v>
      </c>
      <c r="D2231" s="5" t="str">
        <f>VLOOKUP(C2231,[1]master_data!$A$2:$E$495,2,FALSE)</f>
        <v>KOI B</v>
      </c>
      <c r="E2231" s="5">
        <v>4</v>
      </c>
      <c r="F2231" s="5">
        <f>VLOOKUP(C2231,[1]master_data!$A$2:$E$495,3,FALSE)</f>
        <v>9000</v>
      </c>
      <c r="G2231" s="5">
        <f>VLOOKUP(C2231,[1]master_data!$A$2:$E$495,4,FALSE)</f>
        <v>30000</v>
      </c>
      <c r="H2231" s="5">
        <f t="shared" si="108"/>
        <v>36000</v>
      </c>
      <c r="I2231" s="5">
        <f t="shared" si="109"/>
        <v>120000</v>
      </c>
      <c r="J2231" s="5">
        <f t="shared" si="110"/>
        <v>84000</v>
      </c>
      <c r="K2231" s="5" t="str">
        <f>VLOOKUP(C2231,[1]master_data!$A$2:$E$495,5,FALSE)</f>
        <v>Ikan</v>
      </c>
      <c r="L2231" s="5" t="s">
        <v>471</v>
      </c>
    </row>
    <row r="2232" spans="1:12" ht="12" customHeight="1" x14ac:dyDescent="0.25">
      <c r="A2232" s="6">
        <v>44692</v>
      </c>
      <c r="B2232" s="1">
        <v>2202331</v>
      </c>
      <c r="C2232" s="5" t="s">
        <v>432</v>
      </c>
      <c r="D2232" s="5" t="str">
        <f>VLOOKUP(C2232,[1]master_data!$A$2:$E$495,2,FALSE)</f>
        <v>MARU K</v>
      </c>
      <c r="E2232" s="5">
        <v>1</v>
      </c>
      <c r="F2232" s="5">
        <f>VLOOKUP(C2232,[1]master_data!$A$2:$E$495,3,FALSE)</f>
        <v>23000</v>
      </c>
      <c r="G2232" s="5">
        <f>VLOOKUP(C2232,[1]master_data!$A$2:$E$495,4,FALSE)</f>
        <v>50000</v>
      </c>
      <c r="H2232" s="5">
        <f t="shared" si="108"/>
        <v>23000</v>
      </c>
      <c r="I2232" s="5">
        <f t="shared" si="109"/>
        <v>50000</v>
      </c>
      <c r="J2232" s="5">
        <f t="shared" si="110"/>
        <v>27000</v>
      </c>
      <c r="K2232" s="5" t="str">
        <f>VLOOKUP(C2232,[1]master_data!$A$2:$E$495,5,FALSE)</f>
        <v>Ikan</v>
      </c>
      <c r="L2232" s="5" t="s">
        <v>471</v>
      </c>
    </row>
    <row r="2233" spans="1:12" ht="12" customHeight="1" x14ac:dyDescent="0.25">
      <c r="A2233" s="6">
        <v>44692</v>
      </c>
      <c r="B2233" s="1">
        <v>2202330</v>
      </c>
      <c r="C2233" s="5" t="s">
        <v>391</v>
      </c>
      <c r="D2233" s="5" t="str">
        <f>VLOOKUP(C2233,[1]master_data!$A$2:$E$495,2,FALSE)</f>
        <v>CHANNA ANDRAO K</v>
      </c>
      <c r="E2233" s="5">
        <v>3</v>
      </c>
      <c r="F2233" s="5">
        <f>VLOOKUP(C2233,[1]master_data!$A$2:$E$495,3,FALSE)</f>
        <v>20000</v>
      </c>
      <c r="G2233" s="5">
        <f>VLOOKUP(C2233,[1]master_data!$A$2:$E$495,4,FALSE)</f>
        <v>50000</v>
      </c>
      <c r="H2233" s="5">
        <f t="shared" si="108"/>
        <v>60000</v>
      </c>
      <c r="I2233" s="5">
        <f t="shared" si="109"/>
        <v>150000</v>
      </c>
      <c r="J2233" s="5">
        <f t="shared" si="110"/>
        <v>90000</v>
      </c>
      <c r="K2233" s="5" t="str">
        <f>VLOOKUP(C2233,[1]master_data!$A$2:$E$495,5,FALSE)</f>
        <v>Ikan</v>
      </c>
      <c r="L2233" s="5" t="s">
        <v>471</v>
      </c>
    </row>
    <row r="2234" spans="1:12" ht="12" customHeight="1" x14ac:dyDescent="0.25">
      <c r="A2234" s="6">
        <v>44692</v>
      </c>
      <c r="B2234" s="1">
        <v>2202329</v>
      </c>
      <c r="C2234" s="5" t="s">
        <v>423</v>
      </c>
      <c r="D2234" s="5" t="str">
        <f>VLOOKUP(C2234,[1]master_data!$A$2:$E$495,2,FALSE)</f>
        <v>KOI SLAYER K</v>
      </c>
      <c r="E2234" s="5">
        <v>1</v>
      </c>
      <c r="F2234" s="5">
        <f>VLOOKUP(C2234,[1]master_data!$A$2:$E$495,3,FALSE)</f>
        <v>3500</v>
      </c>
      <c r="G2234" s="5">
        <f>VLOOKUP(C2234,[1]master_data!$A$2:$E$495,4,FALSE)</f>
        <v>10000</v>
      </c>
      <c r="H2234" s="5">
        <f t="shared" si="108"/>
        <v>3500</v>
      </c>
      <c r="I2234" s="5">
        <f t="shared" si="109"/>
        <v>10000</v>
      </c>
      <c r="J2234" s="5">
        <f t="shared" si="110"/>
        <v>6500</v>
      </c>
      <c r="K2234" s="5" t="str">
        <f>VLOOKUP(C2234,[1]master_data!$A$2:$E$495,5,FALSE)</f>
        <v>Ikan</v>
      </c>
      <c r="L2234" s="5" t="s">
        <v>471</v>
      </c>
    </row>
    <row r="2235" spans="1:12" ht="12" customHeight="1" x14ac:dyDescent="0.25">
      <c r="A2235" s="6">
        <v>44692</v>
      </c>
      <c r="B2235" s="1">
        <v>2202328</v>
      </c>
      <c r="C2235" s="5" t="s">
        <v>204</v>
      </c>
      <c r="D2235" s="5" t="str">
        <f>VLOOKUP(C2235,[1]master_data!$A$2:$E$495,2,FALSE)</f>
        <v>MAGOT</v>
      </c>
      <c r="E2235" s="5">
        <v>1</v>
      </c>
      <c r="F2235" s="5">
        <f>VLOOKUP(C2235,[1]master_data!$A$2:$E$495,3,FALSE)</f>
        <v>4500</v>
      </c>
      <c r="G2235" s="5">
        <f>VLOOKUP(C2235,[1]master_data!$A$2:$E$495,4,FALSE)</f>
        <v>10000</v>
      </c>
      <c r="H2235" s="5">
        <f t="shared" si="108"/>
        <v>4500</v>
      </c>
      <c r="I2235" s="5">
        <f t="shared" si="109"/>
        <v>10000</v>
      </c>
      <c r="J2235" s="5">
        <f t="shared" si="110"/>
        <v>5500</v>
      </c>
      <c r="K2235" s="5" t="str">
        <f>VLOOKUP(C2235,[1]master_data!$A$2:$E$495,5,FALSE)</f>
        <v>Aksesoris</v>
      </c>
      <c r="L2235" s="5" t="s">
        <v>471</v>
      </c>
    </row>
    <row r="2236" spans="1:12" ht="12" customHeight="1" x14ac:dyDescent="0.25">
      <c r="A2236" s="6">
        <v>44692</v>
      </c>
      <c r="B2236" s="1">
        <v>2202327</v>
      </c>
      <c r="C2236" s="5" t="s">
        <v>416</v>
      </c>
      <c r="D2236" s="5" t="str">
        <f>VLOOKUP(C2236,[1]master_data!$A$2:$E$495,2,FALSE)</f>
        <v>KOI K</v>
      </c>
      <c r="E2236" s="5">
        <v>1</v>
      </c>
      <c r="F2236" s="5">
        <f>VLOOKUP(C2236,[1]master_data!$A$2:$E$495,3,FALSE)</f>
        <v>2500</v>
      </c>
      <c r="G2236" s="5">
        <f>VLOOKUP(C2236,[1]master_data!$A$2:$E$495,4,FALSE)</f>
        <v>10000</v>
      </c>
      <c r="H2236" s="5">
        <f t="shared" si="108"/>
        <v>2500</v>
      </c>
      <c r="I2236" s="5">
        <f t="shared" si="109"/>
        <v>10000</v>
      </c>
      <c r="J2236" s="5">
        <f t="shared" si="110"/>
        <v>7500</v>
      </c>
      <c r="K2236" s="5" t="str">
        <f>VLOOKUP(C2236,[1]master_data!$A$2:$E$495,5,FALSE)</f>
        <v>Ikan</v>
      </c>
      <c r="L2236" s="5" t="s">
        <v>471</v>
      </c>
    </row>
    <row r="2237" spans="1:12" ht="12" customHeight="1" x14ac:dyDescent="0.25">
      <c r="A2237" s="6">
        <v>44692</v>
      </c>
      <c r="B2237" s="1">
        <v>2202326</v>
      </c>
      <c r="C2237" s="5" t="s">
        <v>392</v>
      </c>
      <c r="D2237" s="5" t="str">
        <f>VLOOKUP(C2237,[1]master_data!$A$2:$E$495,2,FALSE)</f>
        <v>CHANNA ASIATICA B</v>
      </c>
      <c r="E2237" s="5">
        <v>1</v>
      </c>
      <c r="F2237" s="5">
        <f>VLOOKUP(C2237,[1]master_data!$A$2:$E$495,3,FALSE)</f>
        <v>40000</v>
      </c>
      <c r="G2237" s="5">
        <f>VLOOKUP(C2237,[1]master_data!$A$2:$E$495,4,FALSE)</f>
        <v>100000</v>
      </c>
      <c r="H2237" s="5">
        <f t="shared" si="108"/>
        <v>40000</v>
      </c>
      <c r="I2237" s="5">
        <f t="shared" si="109"/>
        <v>100000</v>
      </c>
      <c r="J2237" s="5">
        <f t="shared" si="110"/>
        <v>60000</v>
      </c>
      <c r="K2237" s="5" t="str">
        <f>VLOOKUP(C2237,[1]master_data!$A$2:$E$495,5,FALSE)</f>
        <v>Ikan</v>
      </c>
      <c r="L2237" s="5" t="s">
        <v>471</v>
      </c>
    </row>
    <row r="2238" spans="1:12" ht="12" customHeight="1" x14ac:dyDescent="0.25">
      <c r="A2238" s="6">
        <v>44692</v>
      </c>
      <c r="B2238" s="1">
        <v>2202325</v>
      </c>
      <c r="C2238" s="5" t="s">
        <v>285</v>
      </c>
      <c r="D2238" s="5" t="str">
        <f>VLOOKUP(C2238,[1]master_data!$A$2:$E$495,2,FALSE)</f>
        <v>KAPAS 4 LAPIS</v>
      </c>
      <c r="E2238" s="5">
        <v>1</v>
      </c>
      <c r="F2238" s="5">
        <f>VLOOKUP(C2238,[1]master_data!$A$2:$E$495,3,FALSE)</f>
        <v>6500</v>
      </c>
      <c r="G2238" s="5">
        <f>VLOOKUP(C2238,[1]master_data!$A$2:$E$495,4,FALSE)</f>
        <v>10000</v>
      </c>
      <c r="H2238" s="5">
        <f t="shared" si="108"/>
        <v>6500</v>
      </c>
      <c r="I2238" s="5">
        <f t="shared" si="109"/>
        <v>10000</v>
      </c>
      <c r="J2238" s="5">
        <f t="shared" si="110"/>
        <v>3500</v>
      </c>
      <c r="K2238" s="5" t="str">
        <f>VLOOKUP(C2238,[1]master_data!$A$2:$E$495,5,FALSE)</f>
        <v>Aksesoris</v>
      </c>
      <c r="L2238" s="5" t="s">
        <v>471</v>
      </c>
    </row>
    <row r="2239" spans="1:12" ht="12" customHeight="1" x14ac:dyDescent="0.25">
      <c r="A2239" s="6">
        <v>44692</v>
      </c>
      <c r="B2239" s="1">
        <v>2202324</v>
      </c>
      <c r="C2239" s="5" t="s">
        <v>35</v>
      </c>
      <c r="D2239" s="5" t="str">
        <f>VLOOKUP(C2239,[1]master_data!$A$2:$E$495,2,FALSE)</f>
        <v>MESIN YAMANO 1800</v>
      </c>
      <c r="E2239" s="5">
        <v>1</v>
      </c>
      <c r="F2239" s="5">
        <f>VLOOKUP(C2239,[1]master_data!$A$2:$E$495,3,FALSE)</f>
        <v>64000</v>
      </c>
      <c r="G2239" s="5">
        <f>VLOOKUP(C2239,[1]master_data!$A$2:$E$495,4,FALSE)</f>
        <v>110000</v>
      </c>
      <c r="H2239" s="5">
        <f t="shared" si="108"/>
        <v>64000</v>
      </c>
      <c r="I2239" s="5">
        <f t="shared" si="109"/>
        <v>110000</v>
      </c>
      <c r="J2239" s="5">
        <f t="shared" si="110"/>
        <v>46000</v>
      </c>
      <c r="K2239" s="5" t="str">
        <f>VLOOKUP(C2239,[1]master_data!$A$2:$E$495,5,FALSE)</f>
        <v>Aksesoris</v>
      </c>
      <c r="L2239" s="5" t="s">
        <v>471</v>
      </c>
    </row>
    <row r="2240" spans="1:12" ht="12" customHeight="1" x14ac:dyDescent="0.25">
      <c r="A2240" s="6">
        <v>44692</v>
      </c>
      <c r="B2240" s="1">
        <v>2202323</v>
      </c>
      <c r="C2240" s="5" t="s">
        <v>408</v>
      </c>
      <c r="D2240" s="5" t="str">
        <f>VLOOKUP(C2240,[1]master_data!$A$2:$E$495,2,FALSE)</f>
        <v>CATFISH</v>
      </c>
      <c r="E2240" s="5">
        <v>2</v>
      </c>
      <c r="F2240" s="5">
        <f>VLOOKUP(C2240,[1]master_data!$A$2:$E$495,3,FALSE)</f>
        <v>20000</v>
      </c>
      <c r="G2240" s="5">
        <f>VLOOKUP(C2240,[1]master_data!$A$2:$E$495,4,FALSE)</f>
        <v>50000</v>
      </c>
      <c r="H2240" s="5">
        <f t="shared" si="108"/>
        <v>40000</v>
      </c>
      <c r="I2240" s="5">
        <f t="shared" si="109"/>
        <v>100000</v>
      </c>
      <c r="J2240" s="5">
        <f t="shared" si="110"/>
        <v>60000</v>
      </c>
      <c r="K2240" s="5" t="str">
        <f>VLOOKUP(C2240,[1]master_data!$A$2:$E$495,5,FALSE)</f>
        <v>Ikan</v>
      </c>
      <c r="L2240" s="5" t="s">
        <v>471</v>
      </c>
    </row>
    <row r="2241" spans="1:12" ht="12" customHeight="1" x14ac:dyDescent="0.25">
      <c r="A2241" s="6">
        <v>44692</v>
      </c>
      <c r="B2241" s="1">
        <v>2202322</v>
      </c>
      <c r="C2241" s="5" t="s">
        <v>415</v>
      </c>
      <c r="D2241" s="5" t="str">
        <f>VLOOKUP(C2241,[1]master_data!$A$2:$E$495,2,FALSE)</f>
        <v>KOKI B</v>
      </c>
      <c r="E2241" s="5">
        <v>2</v>
      </c>
      <c r="F2241" s="5">
        <f>VLOOKUP(C2241,[1]master_data!$A$2:$E$495,3,FALSE)</f>
        <v>20000</v>
      </c>
      <c r="G2241" s="5">
        <f>VLOOKUP(C2241,[1]master_data!$A$2:$E$495,4,FALSE)</f>
        <v>50000</v>
      </c>
      <c r="H2241" s="5">
        <f t="shared" si="108"/>
        <v>40000</v>
      </c>
      <c r="I2241" s="5">
        <f t="shared" si="109"/>
        <v>100000</v>
      </c>
      <c r="J2241" s="5">
        <f t="shared" si="110"/>
        <v>60000</v>
      </c>
      <c r="K2241" s="5" t="str">
        <f>VLOOKUP(C2241,[1]master_data!$A$2:$E$495,5,FALSE)</f>
        <v>Ikan</v>
      </c>
      <c r="L2241" s="5" t="s">
        <v>471</v>
      </c>
    </row>
    <row r="2242" spans="1:12" ht="12" customHeight="1" x14ac:dyDescent="0.25">
      <c r="A2242" s="6">
        <v>44692</v>
      </c>
      <c r="B2242" s="1">
        <v>2202321</v>
      </c>
      <c r="C2242" s="5" t="s">
        <v>417</v>
      </c>
      <c r="D2242" s="5" t="str">
        <f>VLOOKUP(C2242,[1]master_data!$A$2:$E$495,2,FALSE)</f>
        <v>KOI T</v>
      </c>
      <c r="E2242" s="5">
        <v>1</v>
      </c>
      <c r="F2242" s="5">
        <f>VLOOKUP(C2242,[1]master_data!$A$2:$E$495,3,FALSE)</f>
        <v>7000</v>
      </c>
      <c r="G2242" s="5">
        <f>VLOOKUP(C2242,[1]master_data!$A$2:$E$495,4,FALSE)</f>
        <v>20000</v>
      </c>
      <c r="H2242" s="5">
        <f t="shared" si="108"/>
        <v>7000</v>
      </c>
      <c r="I2242" s="5">
        <f t="shared" si="109"/>
        <v>20000</v>
      </c>
      <c r="J2242" s="5">
        <f t="shared" si="110"/>
        <v>13000</v>
      </c>
      <c r="K2242" s="5" t="str">
        <f>VLOOKUP(C2242,[1]master_data!$A$2:$E$495,5,FALSE)</f>
        <v>Ikan</v>
      </c>
      <c r="L2242" s="5" t="s">
        <v>471</v>
      </c>
    </row>
    <row r="2243" spans="1:12" ht="12" customHeight="1" x14ac:dyDescent="0.25">
      <c r="A2243" s="6">
        <v>44692</v>
      </c>
      <c r="B2243" s="1">
        <v>2202320</v>
      </c>
      <c r="C2243" s="5" t="s">
        <v>408</v>
      </c>
      <c r="D2243" s="5" t="str">
        <f>VLOOKUP(C2243,[1]master_data!$A$2:$E$495,2,FALSE)</f>
        <v>CATFISH</v>
      </c>
      <c r="E2243" s="5">
        <v>2</v>
      </c>
      <c r="F2243" s="5">
        <f>VLOOKUP(C2243,[1]master_data!$A$2:$E$495,3,FALSE)</f>
        <v>20000</v>
      </c>
      <c r="G2243" s="5">
        <f>VLOOKUP(C2243,[1]master_data!$A$2:$E$495,4,FALSE)</f>
        <v>50000</v>
      </c>
      <c r="H2243" s="5">
        <f t="shared" si="108"/>
        <v>40000</v>
      </c>
      <c r="I2243" s="5">
        <f t="shared" si="109"/>
        <v>100000</v>
      </c>
      <c r="J2243" s="5">
        <f t="shared" si="110"/>
        <v>60000</v>
      </c>
      <c r="K2243" s="5" t="str">
        <f>VLOOKUP(C2243,[1]master_data!$A$2:$E$495,5,FALSE)</f>
        <v>Ikan</v>
      </c>
      <c r="L2243" s="5" t="s">
        <v>471</v>
      </c>
    </row>
    <row r="2244" spans="1:12" ht="12" customHeight="1" x14ac:dyDescent="0.25">
      <c r="A2244" s="6">
        <v>44692</v>
      </c>
      <c r="B2244" s="1">
        <v>2202319</v>
      </c>
      <c r="C2244" s="5" t="s">
        <v>424</v>
      </c>
      <c r="D2244" s="5" t="str">
        <f>VLOOKUP(C2244,[1]master_data!$A$2:$E$495,2,FALSE)</f>
        <v>KOI SLAYER B</v>
      </c>
      <c r="E2244" s="5">
        <v>2</v>
      </c>
      <c r="F2244" s="5">
        <f>VLOOKUP(C2244,[1]master_data!$A$2:$E$495,3,FALSE)</f>
        <v>8000</v>
      </c>
      <c r="G2244" s="5">
        <f>VLOOKUP(C2244,[1]master_data!$A$2:$E$495,4,FALSE)</f>
        <v>20000</v>
      </c>
      <c r="H2244" s="5">
        <f t="shared" si="108"/>
        <v>16000</v>
      </c>
      <c r="I2244" s="5">
        <f t="shared" si="109"/>
        <v>40000</v>
      </c>
      <c r="J2244" s="5">
        <f t="shared" si="110"/>
        <v>24000</v>
      </c>
      <c r="K2244" s="5" t="str">
        <f>VLOOKUP(C2244,[1]master_data!$A$2:$E$495,5,FALSE)</f>
        <v>Ikan</v>
      </c>
      <c r="L2244" s="5" t="s">
        <v>471</v>
      </c>
    </row>
    <row r="2245" spans="1:12" ht="12" customHeight="1" x14ac:dyDescent="0.25">
      <c r="A2245" s="6">
        <v>44692</v>
      </c>
      <c r="B2245" s="1">
        <v>2202318</v>
      </c>
      <c r="C2245" s="5" t="s">
        <v>248</v>
      </c>
      <c r="D2245" s="5" t="str">
        <f>VLOOKUP(C2245,[1]master_data!$A$2:$E$495,2,FALSE)</f>
        <v>MATLINE BLUE</v>
      </c>
      <c r="E2245" s="5">
        <v>2</v>
      </c>
      <c r="F2245" s="5">
        <f>VLOOKUP(C2245,[1]master_data!$A$2:$E$495,3,FALSE)</f>
        <v>7000</v>
      </c>
      <c r="G2245" s="5">
        <f>VLOOKUP(C2245,[1]master_data!$A$2:$E$495,4,FALSE)</f>
        <v>10000</v>
      </c>
      <c r="H2245" s="5">
        <f t="shared" ref="H2245:H2308" si="111">E2245*F2245</f>
        <v>14000</v>
      </c>
      <c r="I2245" s="5">
        <f t="shared" ref="I2245:I2308" si="112">E2245*G2245</f>
        <v>20000</v>
      </c>
      <c r="J2245" s="5">
        <f t="shared" ref="J2245:J2308" si="113">I2245-H2245</f>
        <v>6000</v>
      </c>
      <c r="K2245" s="5" t="str">
        <f>VLOOKUP(C2245,[1]master_data!$A$2:$E$495,5,FALSE)</f>
        <v>Aksesoris</v>
      </c>
      <c r="L2245" s="5" t="s">
        <v>471</v>
      </c>
    </row>
    <row r="2246" spans="1:12" ht="12" customHeight="1" x14ac:dyDescent="0.25">
      <c r="A2246" s="6">
        <v>44692</v>
      </c>
      <c r="B2246" s="1">
        <v>2202317</v>
      </c>
      <c r="C2246" s="5" t="s">
        <v>390</v>
      </c>
      <c r="D2246" s="5" t="str">
        <f>VLOOKUP(C2246,[1]master_data!$A$2:$E$495,2,FALSE)</f>
        <v>CHANNA ASIATICA K</v>
      </c>
      <c r="E2246" s="5">
        <v>2</v>
      </c>
      <c r="F2246" s="5">
        <f>VLOOKUP(C2246,[1]master_data!$A$2:$E$495,3,FALSE)</f>
        <v>10000</v>
      </c>
      <c r="G2246" s="5">
        <f>VLOOKUP(C2246,[1]master_data!$A$2:$E$495,4,FALSE)</f>
        <v>40000</v>
      </c>
      <c r="H2246" s="5">
        <f t="shared" si="111"/>
        <v>20000</v>
      </c>
      <c r="I2246" s="5">
        <f t="shared" si="112"/>
        <v>80000</v>
      </c>
      <c r="J2246" s="5">
        <f t="shared" si="113"/>
        <v>60000</v>
      </c>
      <c r="K2246" s="5" t="str">
        <f>VLOOKUP(C2246,[1]master_data!$A$2:$E$495,5,FALSE)</f>
        <v>Ikan</v>
      </c>
      <c r="L2246" s="5" t="s">
        <v>471</v>
      </c>
    </row>
    <row r="2247" spans="1:12" ht="12" customHeight="1" x14ac:dyDescent="0.25">
      <c r="A2247" s="6">
        <v>44691</v>
      </c>
      <c r="B2247" s="1">
        <v>2202316</v>
      </c>
      <c r="C2247" s="5" t="s">
        <v>248</v>
      </c>
      <c r="D2247" s="5" t="str">
        <f>VLOOKUP(C2247,[1]master_data!$A$2:$E$495,2,FALSE)</f>
        <v>MATLINE BLUE</v>
      </c>
      <c r="E2247" s="5">
        <v>2</v>
      </c>
      <c r="F2247" s="5">
        <f>VLOOKUP(C2247,[1]master_data!$A$2:$E$495,3,FALSE)</f>
        <v>7000</v>
      </c>
      <c r="G2247" s="5">
        <f>VLOOKUP(C2247,[1]master_data!$A$2:$E$495,4,FALSE)</f>
        <v>10000</v>
      </c>
      <c r="H2247" s="5">
        <f t="shared" si="111"/>
        <v>14000</v>
      </c>
      <c r="I2247" s="5">
        <f t="shared" si="112"/>
        <v>20000</v>
      </c>
      <c r="J2247" s="5">
        <f t="shared" si="113"/>
        <v>6000</v>
      </c>
      <c r="K2247" s="5" t="str">
        <f>VLOOKUP(C2247,[1]master_data!$A$2:$E$495,5,FALSE)</f>
        <v>Aksesoris</v>
      </c>
      <c r="L2247" s="5" t="s">
        <v>471</v>
      </c>
    </row>
    <row r="2248" spans="1:12" ht="12" customHeight="1" x14ac:dyDescent="0.25">
      <c r="A2248" s="6">
        <v>44691</v>
      </c>
      <c r="B2248" s="1">
        <v>2202315</v>
      </c>
      <c r="C2248" s="5" t="s">
        <v>392</v>
      </c>
      <c r="D2248" s="5" t="str">
        <f>VLOOKUP(C2248,[1]master_data!$A$2:$E$495,2,FALSE)</f>
        <v>CHANNA ASIATICA B</v>
      </c>
      <c r="E2248" s="5">
        <v>1</v>
      </c>
      <c r="F2248" s="5">
        <f>VLOOKUP(C2248,[1]master_data!$A$2:$E$495,3,FALSE)</f>
        <v>40000</v>
      </c>
      <c r="G2248" s="5">
        <f>VLOOKUP(C2248,[1]master_data!$A$2:$E$495,4,FALSE)</f>
        <v>100000</v>
      </c>
      <c r="H2248" s="5">
        <f t="shared" si="111"/>
        <v>40000</v>
      </c>
      <c r="I2248" s="5">
        <f t="shared" si="112"/>
        <v>100000</v>
      </c>
      <c r="J2248" s="5">
        <f t="shared" si="113"/>
        <v>60000</v>
      </c>
      <c r="K2248" s="5" t="str">
        <f>VLOOKUP(C2248,[1]master_data!$A$2:$E$495,5,FALSE)</f>
        <v>Ikan</v>
      </c>
      <c r="L2248" s="5" t="s">
        <v>471</v>
      </c>
    </row>
    <row r="2249" spans="1:12" ht="12" customHeight="1" x14ac:dyDescent="0.25">
      <c r="A2249" s="6">
        <v>44691</v>
      </c>
      <c r="B2249" s="1">
        <v>2202314</v>
      </c>
      <c r="C2249" s="5" t="s">
        <v>255</v>
      </c>
      <c r="D2249" s="5" t="str">
        <f>VLOOKUP(C2249,[1]master_data!$A$2:$E$495,2,FALSE)</f>
        <v>ACRIPLAVIN</v>
      </c>
      <c r="E2249" s="5">
        <v>1</v>
      </c>
      <c r="F2249" s="5">
        <f>VLOOKUP(C2249,[1]master_data!$A$2:$E$495,3,FALSE)</f>
        <v>3000</v>
      </c>
      <c r="G2249" s="5">
        <f>VLOOKUP(C2249,[1]master_data!$A$2:$E$495,4,FALSE)</f>
        <v>8000</v>
      </c>
      <c r="H2249" s="5">
        <f t="shared" si="111"/>
        <v>3000</v>
      </c>
      <c r="I2249" s="5">
        <f t="shared" si="112"/>
        <v>8000</v>
      </c>
      <c r="J2249" s="5">
        <f t="shared" si="113"/>
        <v>5000</v>
      </c>
      <c r="K2249" s="5" t="str">
        <f>VLOOKUP(C2249,[1]master_data!$A$2:$E$495,5,FALSE)</f>
        <v>Aksesoris</v>
      </c>
      <c r="L2249" s="5" t="s">
        <v>471</v>
      </c>
    </row>
    <row r="2250" spans="1:12" ht="12" customHeight="1" x14ac:dyDescent="0.25">
      <c r="A2250" s="6">
        <v>44691</v>
      </c>
      <c r="B2250" s="1">
        <v>2202313</v>
      </c>
      <c r="C2250" s="5" t="s">
        <v>418</v>
      </c>
      <c r="D2250" s="5" t="str">
        <f>VLOOKUP(C2250,[1]master_data!$A$2:$E$495,2,FALSE)</f>
        <v>KOI B</v>
      </c>
      <c r="E2250" s="5">
        <v>4</v>
      </c>
      <c r="F2250" s="5">
        <f>VLOOKUP(C2250,[1]master_data!$A$2:$E$495,3,FALSE)</f>
        <v>9000</v>
      </c>
      <c r="G2250" s="5">
        <f>VLOOKUP(C2250,[1]master_data!$A$2:$E$495,4,FALSE)</f>
        <v>30000</v>
      </c>
      <c r="H2250" s="5">
        <f t="shared" si="111"/>
        <v>36000</v>
      </c>
      <c r="I2250" s="5">
        <f t="shared" si="112"/>
        <v>120000</v>
      </c>
      <c r="J2250" s="5">
        <f t="shared" si="113"/>
        <v>84000</v>
      </c>
      <c r="K2250" s="5" t="str">
        <f>VLOOKUP(C2250,[1]master_data!$A$2:$E$495,5,FALSE)</f>
        <v>Ikan</v>
      </c>
      <c r="L2250" s="5" t="s">
        <v>471</v>
      </c>
    </row>
    <row r="2251" spans="1:12" ht="12" customHeight="1" x14ac:dyDescent="0.25">
      <c r="A2251" s="6">
        <v>44691</v>
      </c>
      <c r="B2251" s="1">
        <v>2202312</v>
      </c>
      <c r="C2251" s="5" t="s">
        <v>432</v>
      </c>
      <c r="D2251" s="5" t="str">
        <f>VLOOKUP(C2251,[1]master_data!$A$2:$E$495,2,FALSE)</f>
        <v>MARU K</v>
      </c>
      <c r="E2251" s="5">
        <v>1</v>
      </c>
      <c r="F2251" s="5">
        <f>VLOOKUP(C2251,[1]master_data!$A$2:$E$495,3,FALSE)</f>
        <v>23000</v>
      </c>
      <c r="G2251" s="5">
        <f>VLOOKUP(C2251,[1]master_data!$A$2:$E$495,4,FALSE)</f>
        <v>50000</v>
      </c>
      <c r="H2251" s="5">
        <f t="shared" si="111"/>
        <v>23000</v>
      </c>
      <c r="I2251" s="5">
        <f t="shared" si="112"/>
        <v>50000</v>
      </c>
      <c r="J2251" s="5">
        <f t="shared" si="113"/>
        <v>27000</v>
      </c>
      <c r="K2251" s="5" t="str">
        <f>VLOOKUP(C2251,[1]master_data!$A$2:$E$495,5,FALSE)</f>
        <v>Ikan</v>
      </c>
      <c r="L2251" s="5" t="s">
        <v>471</v>
      </c>
    </row>
    <row r="2252" spans="1:12" ht="12" customHeight="1" x14ac:dyDescent="0.25">
      <c r="A2252" s="6">
        <v>44691</v>
      </c>
      <c r="B2252" s="1">
        <v>2202311</v>
      </c>
      <c r="C2252" s="5" t="s">
        <v>408</v>
      </c>
      <c r="D2252" s="5" t="str">
        <f>VLOOKUP(C2252,[1]master_data!$A$2:$E$495,2,FALSE)</f>
        <v>CATFISH</v>
      </c>
      <c r="E2252" s="5">
        <v>2</v>
      </c>
      <c r="F2252" s="5">
        <f>VLOOKUP(C2252,[1]master_data!$A$2:$E$495,3,FALSE)</f>
        <v>20000</v>
      </c>
      <c r="G2252" s="5">
        <f>VLOOKUP(C2252,[1]master_data!$A$2:$E$495,4,FALSE)</f>
        <v>50000</v>
      </c>
      <c r="H2252" s="5">
        <f t="shared" si="111"/>
        <v>40000</v>
      </c>
      <c r="I2252" s="5">
        <f t="shared" si="112"/>
        <v>100000</v>
      </c>
      <c r="J2252" s="5">
        <f t="shared" si="113"/>
        <v>60000</v>
      </c>
      <c r="K2252" s="5" t="str">
        <f>VLOOKUP(C2252,[1]master_data!$A$2:$E$495,5,FALSE)</f>
        <v>Ikan</v>
      </c>
      <c r="L2252" s="5" t="s">
        <v>471</v>
      </c>
    </row>
    <row r="2253" spans="1:12" ht="12" customHeight="1" x14ac:dyDescent="0.25">
      <c r="A2253" s="6">
        <v>44691</v>
      </c>
      <c r="B2253" s="1">
        <v>2202310</v>
      </c>
      <c r="C2253" s="5" t="s">
        <v>204</v>
      </c>
      <c r="D2253" s="5" t="str">
        <f>VLOOKUP(C2253,[1]master_data!$A$2:$E$495,2,FALSE)</f>
        <v>MAGOT</v>
      </c>
      <c r="E2253" s="5">
        <v>3</v>
      </c>
      <c r="F2253" s="5">
        <f>VLOOKUP(C2253,[1]master_data!$A$2:$E$495,3,FALSE)</f>
        <v>4500</v>
      </c>
      <c r="G2253" s="5">
        <f>VLOOKUP(C2253,[1]master_data!$A$2:$E$495,4,FALSE)</f>
        <v>10000</v>
      </c>
      <c r="H2253" s="5">
        <f t="shared" si="111"/>
        <v>13500</v>
      </c>
      <c r="I2253" s="5">
        <f t="shared" si="112"/>
        <v>30000</v>
      </c>
      <c r="J2253" s="5">
        <f t="shared" si="113"/>
        <v>16500</v>
      </c>
      <c r="K2253" s="5" t="str">
        <f>VLOOKUP(C2253,[1]master_data!$A$2:$E$495,5,FALSE)</f>
        <v>Aksesoris</v>
      </c>
      <c r="L2253" s="5" t="s">
        <v>471</v>
      </c>
    </row>
    <row r="2254" spans="1:12" ht="12" customHeight="1" x14ac:dyDescent="0.25">
      <c r="A2254" s="6">
        <v>44691</v>
      </c>
      <c r="B2254" s="1">
        <v>2202309</v>
      </c>
      <c r="C2254" s="5" t="s">
        <v>390</v>
      </c>
      <c r="D2254" s="5" t="str">
        <f>VLOOKUP(C2254,[1]master_data!$A$2:$E$495,2,FALSE)</f>
        <v>CHANNA ASIATICA K</v>
      </c>
      <c r="E2254" s="5">
        <v>2</v>
      </c>
      <c r="F2254" s="5">
        <f>VLOOKUP(C2254,[1]master_data!$A$2:$E$495,3,FALSE)</f>
        <v>10000</v>
      </c>
      <c r="G2254" s="5">
        <f>VLOOKUP(C2254,[1]master_data!$A$2:$E$495,4,FALSE)</f>
        <v>40000</v>
      </c>
      <c r="H2254" s="5">
        <f t="shared" si="111"/>
        <v>20000</v>
      </c>
      <c r="I2254" s="5">
        <f t="shared" si="112"/>
        <v>80000</v>
      </c>
      <c r="J2254" s="5">
        <f t="shared" si="113"/>
        <v>60000</v>
      </c>
      <c r="K2254" s="5" t="str">
        <f>VLOOKUP(C2254,[1]master_data!$A$2:$E$495,5,FALSE)</f>
        <v>Ikan</v>
      </c>
      <c r="L2254" s="5" t="s">
        <v>471</v>
      </c>
    </row>
    <row r="2255" spans="1:12" ht="12" customHeight="1" x14ac:dyDescent="0.25">
      <c r="A2255" s="6">
        <v>44691</v>
      </c>
      <c r="B2255" s="1">
        <v>2202308</v>
      </c>
      <c r="C2255" s="5" t="s">
        <v>424</v>
      </c>
      <c r="D2255" s="5" t="str">
        <f>VLOOKUP(C2255,[1]master_data!$A$2:$E$495,2,FALSE)</f>
        <v>KOI SLAYER B</v>
      </c>
      <c r="E2255" s="5">
        <v>2</v>
      </c>
      <c r="F2255" s="5">
        <f>VLOOKUP(C2255,[1]master_data!$A$2:$E$495,3,FALSE)</f>
        <v>8000</v>
      </c>
      <c r="G2255" s="5">
        <f>VLOOKUP(C2255,[1]master_data!$A$2:$E$495,4,FALSE)</f>
        <v>20000</v>
      </c>
      <c r="H2255" s="5">
        <f t="shared" si="111"/>
        <v>16000</v>
      </c>
      <c r="I2255" s="5">
        <f t="shared" si="112"/>
        <v>40000</v>
      </c>
      <c r="J2255" s="5">
        <f t="shared" si="113"/>
        <v>24000</v>
      </c>
      <c r="K2255" s="5" t="str">
        <f>VLOOKUP(C2255,[1]master_data!$A$2:$E$495,5,FALSE)</f>
        <v>Ikan</v>
      </c>
      <c r="L2255" s="5" t="s">
        <v>471</v>
      </c>
    </row>
    <row r="2256" spans="1:12" ht="12" customHeight="1" x14ac:dyDescent="0.25">
      <c r="A2256" s="6">
        <v>44691</v>
      </c>
      <c r="B2256" s="1">
        <v>2202307</v>
      </c>
      <c r="C2256" s="5" t="s">
        <v>423</v>
      </c>
      <c r="D2256" s="5" t="str">
        <f>VLOOKUP(C2256,[1]master_data!$A$2:$E$495,2,FALSE)</f>
        <v>KOI SLAYER K</v>
      </c>
      <c r="E2256" s="5">
        <v>1</v>
      </c>
      <c r="F2256" s="5">
        <f>VLOOKUP(C2256,[1]master_data!$A$2:$E$495,3,FALSE)</f>
        <v>3500</v>
      </c>
      <c r="G2256" s="5">
        <f>VLOOKUP(C2256,[1]master_data!$A$2:$E$495,4,FALSE)</f>
        <v>10000</v>
      </c>
      <c r="H2256" s="5">
        <f t="shared" si="111"/>
        <v>3500</v>
      </c>
      <c r="I2256" s="5">
        <f t="shared" si="112"/>
        <v>10000</v>
      </c>
      <c r="J2256" s="5">
        <f t="shared" si="113"/>
        <v>6500</v>
      </c>
      <c r="K2256" s="5" t="str">
        <f>VLOOKUP(C2256,[1]master_data!$A$2:$E$495,5,FALSE)</f>
        <v>Ikan</v>
      </c>
      <c r="L2256" s="5" t="s">
        <v>471</v>
      </c>
    </row>
    <row r="2257" spans="1:12" ht="12" customHeight="1" x14ac:dyDescent="0.25">
      <c r="A2257" s="6">
        <v>44691</v>
      </c>
      <c r="B2257" s="1">
        <v>2202306</v>
      </c>
      <c r="C2257" s="5" t="s">
        <v>206</v>
      </c>
      <c r="D2257" s="5" t="str">
        <f>VLOOKUP(C2257,[1]master_data!$A$2:$E$495,2,FALSE)</f>
        <v>TAKARI K</v>
      </c>
      <c r="E2257" s="5">
        <v>1</v>
      </c>
      <c r="F2257" s="5">
        <f>VLOOKUP(C2257,[1]master_data!$A$2:$E$495,3,FALSE)</f>
        <v>3500</v>
      </c>
      <c r="G2257" s="5">
        <f>VLOOKUP(C2257,[1]master_data!$A$2:$E$495,4,FALSE)</f>
        <v>5000</v>
      </c>
      <c r="H2257" s="5">
        <f t="shared" si="111"/>
        <v>3500</v>
      </c>
      <c r="I2257" s="5">
        <f t="shared" si="112"/>
        <v>5000</v>
      </c>
      <c r="J2257" s="5">
        <f t="shared" si="113"/>
        <v>1500</v>
      </c>
      <c r="K2257" s="5" t="str">
        <f>VLOOKUP(C2257,[1]master_data!$A$2:$E$495,5,FALSE)</f>
        <v>Aksesoris</v>
      </c>
      <c r="L2257" s="5" t="s">
        <v>471</v>
      </c>
    </row>
    <row r="2258" spans="1:12" ht="12" customHeight="1" x14ac:dyDescent="0.25">
      <c r="A2258" s="6">
        <v>44691</v>
      </c>
      <c r="B2258" s="1">
        <v>2202305</v>
      </c>
      <c r="C2258" s="5" t="s">
        <v>208</v>
      </c>
      <c r="D2258" s="5" t="str">
        <f>VLOOKUP(C2258,[1]master_data!$A$2:$E$495,2,FALSE)</f>
        <v>TOP VIT</v>
      </c>
      <c r="E2258" s="5">
        <v>1</v>
      </c>
      <c r="F2258" s="5">
        <f>VLOOKUP(C2258,[1]master_data!$A$2:$E$495,3,FALSE)</f>
        <v>4000</v>
      </c>
      <c r="G2258" s="5">
        <f>VLOOKUP(C2258,[1]master_data!$A$2:$E$495,4,FALSE)</f>
        <v>7000</v>
      </c>
      <c r="H2258" s="5">
        <f t="shared" si="111"/>
        <v>4000</v>
      </c>
      <c r="I2258" s="5">
        <f t="shared" si="112"/>
        <v>7000</v>
      </c>
      <c r="J2258" s="5">
        <f t="shared" si="113"/>
        <v>3000</v>
      </c>
      <c r="K2258" s="5" t="str">
        <f>VLOOKUP(C2258,[1]master_data!$A$2:$E$495,5,FALSE)</f>
        <v>Aksesoris</v>
      </c>
      <c r="L2258" s="5" t="s">
        <v>471</v>
      </c>
    </row>
    <row r="2259" spans="1:12" ht="12" customHeight="1" x14ac:dyDescent="0.25">
      <c r="A2259" s="6">
        <v>44691</v>
      </c>
      <c r="B2259" s="1">
        <v>2202304</v>
      </c>
      <c r="C2259" s="5" t="s">
        <v>415</v>
      </c>
      <c r="D2259" s="5" t="str">
        <f>VLOOKUP(C2259,[1]master_data!$A$2:$E$495,2,FALSE)</f>
        <v>KOKI B</v>
      </c>
      <c r="E2259" s="5">
        <v>2</v>
      </c>
      <c r="F2259" s="5">
        <f>VLOOKUP(C2259,[1]master_data!$A$2:$E$495,3,FALSE)</f>
        <v>20000</v>
      </c>
      <c r="G2259" s="5">
        <f>VLOOKUP(C2259,[1]master_data!$A$2:$E$495,4,FALSE)</f>
        <v>50000</v>
      </c>
      <c r="H2259" s="5">
        <f t="shared" si="111"/>
        <v>40000</v>
      </c>
      <c r="I2259" s="5">
        <f t="shared" si="112"/>
        <v>100000</v>
      </c>
      <c r="J2259" s="5">
        <f t="shared" si="113"/>
        <v>60000</v>
      </c>
      <c r="K2259" s="5" t="str">
        <f>VLOOKUP(C2259,[1]master_data!$A$2:$E$495,5,FALSE)</f>
        <v>Ikan</v>
      </c>
      <c r="L2259" s="5" t="s">
        <v>471</v>
      </c>
    </row>
    <row r="2260" spans="1:12" ht="12" customHeight="1" x14ac:dyDescent="0.25">
      <c r="A2260" s="6">
        <v>44691</v>
      </c>
      <c r="B2260" s="1">
        <v>2202303</v>
      </c>
      <c r="C2260" s="5" t="s">
        <v>427</v>
      </c>
      <c r="D2260" s="5" t="str">
        <f>VLOOKUP(C2260,[1]master_data!$A$2:$E$495,2,FALSE)</f>
        <v>LEMON</v>
      </c>
      <c r="E2260" s="5">
        <v>1</v>
      </c>
      <c r="F2260" s="5">
        <f>VLOOKUP(C2260,[1]master_data!$A$2:$E$495,3,FALSE)</f>
        <v>1000</v>
      </c>
      <c r="G2260" s="5">
        <f>VLOOKUP(C2260,[1]master_data!$A$2:$E$495,4,FALSE)</f>
        <v>2000</v>
      </c>
      <c r="H2260" s="5">
        <f t="shared" si="111"/>
        <v>1000</v>
      </c>
      <c r="I2260" s="5">
        <f t="shared" si="112"/>
        <v>2000</v>
      </c>
      <c r="J2260" s="5">
        <f t="shared" si="113"/>
        <v>1000</v>
      </c>
      <c r="K2260" s="5" t="str">
        <f>VLOOKUP(C2260,[1]master_data!$A$2:$E$495,5,FALSE)</f>
        <v>Ikan</v>
      </c>
      <c r="L2260" s="5" t="s">
        <v>471</v>
      </c>
    </row>
    <row r="2261" spans="1:12" ht="12" customHeight="1" x14ac:dyDescent="0.25">
      <c r="A2261" s="6">
        <v>44691</v>
      </c>
      <c r="B2261" s="1">
        <v>2202302</v>
      </c>
      <c r="C2261" s="5" t="s">
        <v>408</v>
      </c>
      <c r="D2261" s="5" t="str">
        <f>VLOOKUP(C2261,[1]master_data!$A$2:$E$495,2,FALSE)</f>
        <v>CATFISH</v>
      </c>
      <c r="E2261" s="5">
        <v>2</v>
      </c>
      <c r="F2261" s="5">
        <f>VLOOKUP(C2261,[1]master_data!$A$2:$E$495,3,FALSE)</f>
        <v>20000</v>
      </c>
      <c r="G2261" s="5">
        <f>VLOOKUP(C2261,[1]master_data!$A$2:$E$495,4,FALSE)</f>
        <v>50000</v>
      </c>
      <c r="H2261" s="5">
        <f t="shared" si="111"/>
        <v>40000</v>
      </c>
      <c r="I2261" s="5">
        <f t="shared" si="112"/>
        <v>100000</v>
      </c>
      <c r="J2261" s="5">
        <f t="shared" si="113"/>
        <v>60000</v>
      </c>
      <c r="K2261" s="5" t="str">
        <f>VLOOKUP(C2261,[1]master_data!$A$2:$E$495,5,FALSE)</f>
        <v>Ikan</v>
      </c>
      <c r="L2261" s="5" t="s">
        <v>471</v>
      </c>
    </row>
    <row r="2262" spans="1:12" ht="12" customHeight="1" x14ac:dyDescent="0.25">
      <c r="A2262" s="6">
        <v>44691</v>
      </c>
      <c r="B2262" s="1">
        <v>2202301</v>
      </c>
      <c r="C2262" s="5" t="s">
        <v>52</v>
      </c>
      <c r="D2262" s="5" t="str">
        <f>VLOOKUP(C2262,[1]master_data!$A$2:$E$495,2,FALSE)</f>
        <v>TOP FILTER LENGKAP B</v>
      </c>
      <c r="E2262" s="5">
        <v>1</v>
      </c>
      <c r="F2262" s="5">
        <f>VLOOKUP(C2262,[1]master_data!$A$2:$E$495,3,FALSE)</f>
        <v>37500</v>
      </c>
      <c r="G2262" s="5">
        <f>VLOOKUP(C2262,[1]master_data!$A$2:$E$495,4,FALSE)</f>
        <v>65000</v>
      </c>
      <c r="H2262" s="5">
        <f t="shared" si="111"/>
        <v>37500</v>
      </c>
      <c r="I2262" s="5">
        <f t="shared" si="112"/>
        <v>65000</v>
      </c>
      <c r="J2262" s="5">
        <f t="shared" si="113"/>
        <v>27500</v>
      </c>
      <c r="K2262" s="5" t="str">
        <f>VLOOKUP(C2262,[1]master_data!$A$2:$E$495,5,FALSE)</f>
        <v>Aksesoris</v>
      </c>
      <c r="L2262" s="5" t="s">
        <v>471</v>
      </c>
    </row>
    <row r="2263" spans="1:12" ht="12" customHeight="1" x14ac:dyDescent="0.25">
      <c r="A2263" s="6">
        <v>44691</v>
      </c>
      <c r="B2263" s="1">
        <v>2202300</v>
      </c>
      <c r="C2263" s="5" t="s">
        <v>391</v>
      </c>
      <c r="D2263" s="5" t="str">
        <f>VLOOKUP(C2263,[1]master_data!$A$2:$E$495,2,FALSE)</f>
        <v>CHANNA ANDRAO K</v>
      </c>
      <c r="E2263" s="5">
        <v>3</v>
      </c>
      <c r="F2263" s="5">
        <f>VLOOKUP(C2263,[1]master_data!$A$2:$E$495,3,FALSE)</f>
        <v>20000</v>
      </c>
      <c r="G2263" s="5">
        <f>VLOOKUP(C2263,[1]master_data!$A$2:$E$495,4,FALSE)</f>
        <v>50000</v>
      </c>
      <c r="H2263" s="5">
        <f t="shared" si="111"/>
        <v>60000</v>
      </c>
      <c r="I2263" s="5">
        <f t="shared" si="112"/>
        <v>150000</v>
      </c>
      <c r="J2263" s="5">
        <f t="shared" si="113"/>
        <v>90000</v>
      </c>
      <c r="K2263" s="5" t="str">
        <f>VLOOKUP(C2263,[1]master_data!$A$2:$E$495,5,FALSE)</f>
        <v>Ikan</v>
      </c>
      <c r="L2263" s="5" t="s">
        <v>471</v>
      </c>
    </row>
    <row r="2264" spans="1:12" ht="12" customHeight="1" x14ac:dyDescent="0.25">
      <c r="A2264" s="6">
        <v>44691</v>
      </c>
      <c r="B2264" s="1">
        <v>2202299</v>
      </c>
      <c r="C2264" s="5" t="s">
        <v>417</v>
      </c>
      <c r="D2264" s="5" t="str">
        <f>VLOOKUP(C2264,[1]master_data!$A$2:$E$495,2,FALSE)</f>
        <v>KOI T</v>
      </c>
      <c r="E2264" s="5">
        <v>1</v>
      </c>
      <c r="F2264" s="5">
        <f>VLOOKUP(C2264,[1]master_data!$A$2:$E$495,3,FALSE)</f>
        <v>7000</v>
      </c>
      <c r="G2264" s="5">
        <f>VLOOKUP(C2264,[1]master_data!$A$2:$E$495,4,FALSE)</f>
        <v>20000</v>
      </c>
      <c r="H2264" s="5">
        <f t="shared" si="111"/>
        <v>7000</v>
      </c>
      <c r="I2264" s="5">
        <f t="shared" si="112"/>
        <v>20000</v>
      </c>
      <c r="J2264" s="5">
        <f t="shared" si="113"/>
        <v>13000</v>
      </c>
      <c r="K2264" s="5" t="str">
        <f>VLOOKUP(C2264,[1]master_data!$A$2:$E$495,5,FALSE)</f>
        <v>Ikan</v>
      </c>
      <c r="L2264" s="5" t="s">
        <v>471</v>
      </c>
    </row>
    <row r="2265" spans="1:12" ht="12" customHeight="1" x14ac:dyDescent="0.25">
      <c r="A2265" s="6">
        <v>44691</v>
      </c>
      <c r="B2265" s="1">
        <v>2202298</v>
      </c>
      <c r="C2265" s="5" t="s">
        <v>416</v>
      </c>
      <c r="D2265" s="5" t="str">
        <f>VLOOKUP(C2265,[1]master_data!$A$2:$E$495,2,FALSE)</f>
        <v>KOI K</v>
      </c>
      <c r="E2265" s="5">
        <v>1</v>
      </c>
      <c r="F2265" s="5">
        <f>VLOOKUP(C2265,[1]master_data!$A$2:$E$495,3,FALSE)</f>
        <v>2500</v>
      </c>
      <c r="G2265" s="5">
        <f>VLOOKUP(C2265,[1]master_data!$A$2:$E$495,4,FALSE)</f>
        <v>10000</v>
      </c>
      <c r="H2265" s="5">
        <f t="shared" si="111"/>
        <v>2500</v>
      </c>
      <c r="I2265" s="5">
        <f t="shared" si="112"/>
        <v>10000</v>
      </c>
      <c r="J2265" s="5">
        <f t="shared" si="113"/>
        <v>7500</v>
      </c>
      <c r="K2265" s="5" t="str">
        <f>VLOOKUP(C2265,[1]master_data!$A$2:$E$495,5,FALSE)</f>
        <v>Ikan</v>
      </c>
      <c r="L2265" s="5" t="s">
        <v>471</v>
      </c>
    </row>
    <row r="2266" spans="1:12" ht="12" customHeight="1" x14ac:dyDescent="0.25">
      <c r="A2266" s="6">
        <v>44691</v>
      </c>
      <c r="B2266" s="1">
        <v>2202297</v>
      </c>
      <c r="C2266" s="5" t="s">
        <v>419</v>
      </c>
      <c r="D2266" s="5" t="str">
        <f>VLOOKUP(C2266,[1]master_data!$A$2:$E$495,2,FALSE)</f>
        <v>KURA - KURA</v>
      </c>
      <c r="E2266" s="5">
        <v>1</v>
      </c>
      <c r="F2266" s="5">
        <f>VLOOKUP(C2266,[1]master_data!$A$2:$E$495,3,FALSE)</f>
        <v>25000</v>
      </c>
      <c r="G2266" s="5">
        <f>VLOOKUP(C2266,[1]master_data!$A$2:$E$495,4,FALSE)</f>
        <v>35000</v>
      </c>
      <c r="H2266" s="5">
        <f t="shared" si="111"/>
        <v>25000</v>
      </c>
      <c r="I2266" s="5">
        <f t="shared" si="112"/>
        <v>35000</v>
      </c>
      <c r="J2266" s="5">
        <f t="shared" si="113"/>
        <v>10000</v>
      </c>
      <c r="K2266" s="5" t="str">
        <f>VLOOKUP(C2266,[1]master_data!$A$2:$E$495,5,FALSE)</f>
        <v>Ikan</v>
      </c>
      <c r="L2266" s="5" t="s">
        <v>471</v>
      </c>
    </row>
    <row r="2267" spans="1:12" ht="12" customHeight="1" x14ac:dyDescent="0.25">
      <c r="A2267" s="6">
        <v>44690</v>
      </c>
      <c r="B2267" s="1">
        <v>2202296</v>
      </c>
      <c r="C2267" s="5" t="s">
        <v>255</v>
      </c>
      <c r="D2267" s="5" t="str">
        <f>VLOOKUP(C2267,[1]master_data!$A$2:$E$495,2,FALSE)</f>
        <v>ACRIPLAVIN</v>
      </c>
      <c r="E2267" s="5">
        <v>1</v>
      </c>
      <c r="F2267" s="5">
        <f>VLOOKUP(C2267,[1]master_data!$A$2:$E$495,3,FALSE)</f>
        <v>3000</v>
      </c>
      <c r="G2267" s="5">
        <f>VLOOKUP(C2267,[1]master_data!$A$2:$E$495,4,FALSE)</f>
        <v>8000</v>
      </c>
      <c r="H2267" s="5">
        <f t="shared" si="111"/>
        <v>3000</v>
      </c>
      <c r="I2267" s="5">
        <f t="shared" si="112"/>
        <v>8000</v>
      </c>
      <c r="J2267" s="5">
        <f t="shared" si="113"/>
        <v>5000</v>
      </c>
      <c r="K2267" s="5" t="str">
        <f>VLOOKUP(C2267,[1]master_data!$A$2:$E$495,5,FALSE)</f>
        <v>Aksesoris</v>
      </c>
      <c r="L2267" s="5" t="s">
        <v>471</v>
      </c>
    </row>
    <row r="2268" spans="1:12" ht="12" customHeight="1" x14ac:dyDescent="0.25">
      <c r="A2268" s="6">
        <v>44690</v>
      </c>
      <c r="B2268" s="1">
        <v>2202295</v>
      </c>
      <c r="C2268" s="5" t="s">
        <v>208</v>
      </c>
      <c r="D2268" s="5" t="str">
        <f>VLOOKUP(C2268,[1]master_data!$A$2:$E$495,2,FALSE)</f>
        <v>TOP VIT</v>
      </c>
      <c r="E2268" s="5">
        <v>1</v>
      </c>
      <c r="F2268" s="5">
        <f>VLOOKUP(C2268,[1]master_data!$A$2:$E$495,3,FALSE)</f>
        <v>4000</v>
      </c>
      <c r="G2268" s="5">
        <f>VLOOKUP(C2268,[1]master_data!$A$2:$E$495,4,FALSE)</f>
        <v>7000</v>
      </c>
      <c r="H2268" s="5">
        <f t="shared" si="111"/>
        <v>4000</v>
      </c>
      <c r="I2268" s="5">
        <f t="shared" si="112"/>
        <v>7000</v>
      </c>
      <c r="J2268" s="5">
        <f t="shared" si="113"/>
        <v>3000</v>
      </c>
      <c r="K2268" s="5" t="str">
        <f>VLOOKUP(C2268,[1]master_data!$A$2:$E$495,5,FALSE)</f>
        <v>Aksesoris</v>
      </c>
      <c r="L2268" s="5" t="s">
        <v>471</v>
      </c>
    </row>
    <row r="2269" spans="1:12" ht="12" customHeight="1" x14ac:dyDescent="0.25">
      <c r="A2269" s="6">
        <v>44690</v>
      </c>
      <c r="B2269" s="1">
        <v>2202294</v>
      </c>
      <c r="C2269" s="5" t="s">
        <v>432</v>
      </c>
      <c r="D2269" s="5" t="str">
        <f>VLOOKUP(C2269,[1]master_data!$A$2:$E$495,2,FALSE)</f>
        <v>MARU K</v>
      </c>
      <c r="E2269" s="5">
        <v>1</v>
      </c>
      <c r="F2269" s="5">
        <f>VLOOKUP(C2269,[1]master_data!$A$2:$E$495,3,FALSE)</f>
        <v>23000</v>
      </c>
      <c r="G2269" s="5">
        <f>VLOOKUP(C2269,[1]master_data!$A$2:$E$495,4,FALSE)</f>
        <v>50000</v>
      </c>
      <c r="H2269" s="5">
        <f t="shared" si="111"/>
        <v>23000</v>
      </c>
      <c r="I2269" s="5">
        <f t="shared" si="112"/>
        <v>50000</v>
      </c>
      <c r="J2269" s="5">
        <f t="shared" si="113"/>
        <v>27000</v>
      </c>
      <c r="K2269" s="5" t="str">
        <f>VLOOKUP(C2269,[1]master_data!$A$2:$E$495,5,FALSE)</f>
        <v>Ikan</v>
      </c>
      <c r="L2269" s="5" t="s">
        <v>471</v>
      </c>
    </row>
    <row r="2270" spans="1:12" ht="12" customHeight="1" x14ac:dyDescent="0.25">
      <c r="A2270" s="6">
        <v>44690</v>
      </c>
      <c r="B2270" s="1">
        <v>2202293</v>
      </c>
      <c r="C2270" s="5" t="s">
        <v>16</v>
      </c>
      <c r="D2270" s="5" t="str">
        <f>VLOOKUP(C2270,[1]master_data!$A$2:$E$495,2,FALSE)</f>
        <v>HANG ON YANG 502</v>
      </c>
      <c r="E2270" s="5">
        <v>1</v>
      </c>
      <c r="F2270" s="5">
        <f>VLOOKUP(C2270,[1]master_data!$A$2:$E$495,3,FALSE)</f>
        <v>71000</v>
      </c>
      <c r="G2270" s="5">
        <f>VLOOKUP(C2270,[1]master_data!$A$2:$E$495,4,FALSE)</f>
        <v>95000</v>
      </c>
      <c r="H2270" s="5">
        <f t="shared" si="111"/>
        <v>71000</v>
      </c>
      <c r="I2270" s="5">
        <f t="shared" si="112"/>
        <v>95000</v>
      </c>
      <c r="J2270" s="5">
        <f t="shared" si="113"/>
        <v>24000</v>
      </c>
      <c r="K2270" s="5" t="str">
        <f>VLOOKUP(C2270,[1]master_data!$A$2:$E$495,5,FALSE)</f>
        <v>Aksesoris</v>
      </c>
      <c r="L2270" s="5" t="s">
        <v>471</v>
      </c>
    </row>
    <row r="2271" spans="1:12" ht="12" customHeight="1" x14ac:dyDescent="0.25">
      <c r="A2271" s="6">
        <v>44690</v>
      </c>
      <c r="B2271" s="1">
        <v>2202292</v>
      </c>
      <c r="C2271" s="5" t="s">
        <v>408</v>
      </c>
      <c r="D2271" s="5" t="str">
        <f>VLOOKUP(C2271,[1]master_data!$A$2:$E$495,2,FALSE)</f>
        <v>CATFISH</v>
      </c>
      <c r="E2271" s="5">
        <v>2</v>
      </c>
      <c r="F2271" s="5">
        <f>VLOOKUP(C2271,[1]master_data!$A$2:$E$495,3,FALSE)</f>
        <v>20000</v>
      </c>
      <c r="G2271" s="5">
        <f>VLOOKUP(C2271,[1]master_data!$A$2:$E$495,4,FALSE)</f>
        <v>50000</v>
      </c>
      <c r="H2271" s="5">
        <f t="shared" si="111"/>
        <v>40000</v>
      </c>
      <c r="I2271" s="5">
        <f t="shared" si="112"/>
        <v>100000</v>
      </c>
      <c r="J2271" s="5">
        <f t="shared" si="113"/>
        <v>60000</v>
      </c>
      <c r="K2271" s="5" t="str">
        <f>VLOOKUP(C2271,[1]master_data!$A$2:$E$495,5,FALSE)</f>
        <v>Ikan</v>
      </c>
      <c r="L2271" s="5" t="s">
        <v>471</v>
      </c>
    </row>
    <row r="2272" spans="1:12" ht="12" customHeight="1" x14ac:dyDescent="0.25">
      <c r="A2272" s="6">
        <v>44690</v>
      </c>
      <c r="B2272" s="1">
        <v>2202291</v>
      </c>
      <c r="C2272" s="5" t="s">
        <v>45</v>
      </c>
      <c r="D2272" s="5" t="str">
        <f>VLOOKUP(C2272,[1]master_data!$A$2:$E$495,2,FALSE)</f>
        <v>TOP FILTER NIKITA K</v>
      </c>
      <c r="E2272" s="5">
        <v>1</v>
      </c>
      <c r="F2272" s="5">
        <f>VLOOKUP(C2272,[1]master_data!$A$2:$E$495,3,FALSE)</f>
        <v>36000</v>
      </c>
      <c r="G2272" s="5">
        <f>VLOOKUP(C2272,[1]master_data!$A$2:$E$495,4,FALSE)</f>
        <v>55000</v>
      </c>
      <c r="H2272" s="5">
        <f t="shared" si="111"/>
        <v>36000</v>
      </c>
      <c r="I2272" s="5">
        <f t="shared" si="112"/>
        <v>55000</v>
      </c>
      <c r="J2272" s="5">
        <f t="shared" si="113"/>
        <v>19000</v>
      </c>
      <c r="K2272" s="5" t="str">
        <f>VLOOKUP(C2272,[1]master_data!$A$2:$E$495,5,FALSE)</f>
        <v>Aksesoris</v>
      </c>
      <c r="L2272" s="5" t="s">
        <v>471</v>
      </c>
    </row>
    <row r="2273" spans="1:12" ht="12" customHeight="1" x14ac:dyDescent="0.25">
      <c r="A2273" s="6">
        <v>44690</v>
      </c>
      <c r="B2273" s="1">
        <v>2202290</v>
      </c>
      <c r="C2273" s="5" t="s">
        <v>427</v>
      </c>
      <c r="D2273" s="5" t="str">
        <f>VLOOKUP(C2273,[1]master_data!$A$2:$E$495,2,FALSE)</f>
        <v>LEMON</v>
      </c>
      <c r="E2273" s="5">
        <v>1</v>
      </c>
      <c r="F2273" s="5">
        <f>VLOOKUP(C2273,[1]master_data!$A$2:$E$495,3,FALSE)</f>
        <v>1000</v>
      </c>
      <c r="G2273" s="5">
        <f>VLOOKUP(C2273,[1]master_data!$A$2:$E$495,4,FALSE)</f>
        <v>2000</v>
      </c>
      <c r="H2273" s="5">
        <f t="shared" si="111"/>
        <v>1000</v>
      </c>
      <c r="I2273" s="5">
        <f t="shared" si="112"/>
        <v>2000</v>
      </c>
      <c r="J2273" s="5">
        <f t="shared" si="113"/>
        <v>1000</v>
      </c>
      <c r="K2273" s="5" t="str">
        <f>VLOOKUP(C2273,[1]master_data!$A$2:$E$495,5,FALSE)</f>
        <v>Ikan</v>
      </c>
      <c r="L2273" s="5" t="s">
        <v>471</v>
      </c>
    </row>
    <row r="2274" spans="1:12" ht="12" customHeight="1" x14ac:dyDescent="0.25">
      <c r="A2274" s="6">
        <v>44690</v>
      </c>
      <c r="B2274" s="1">
        <v>2202289</v>
      </c>
      <c r="C2274" s="5" t="s">
        <v>390</v>
      </c>
      <c r="D2274" s="5" t="str">
        <f>VLOOKUP(C2274,[1]master_data!$A$2:$E$495,2,FALSE)</f>
        <v>CHANNA ASIATICA K</v>
      </c>
      <c r="E2274" s="5">
        <v>2</v>
      </c>
      <c r="F2274" s="5">
        <f>VLOOKUP(C2274,[1]master_data!$A$2:$E$495,3,FALSE)</f>
        <v>10000</v>
      </c>
      <c r="G2274" s="5">
        <f>VLOOKUP(C2274,[1]master_data!$A$2:$E$495,4,FALSE)</f>
        <v>40000</v>
      </c>
      <c r="H2274" s="5">
        <f t="shared" si="111"/>
        <v>20000</v>
      </c>
      <c r="I2274" s="5">
        <f t="shared" si="112"/>
        <v>80000</v>
      </c>
      <c r="J2274" s="5">
        <f t="shared" si="113"/>
        <v>60000</v>
      </c>
      <c r="K2274" s="5" t="str">
        <f>VLOOKUP(C2274,[1]master_data!$A$2:$E$495,5,FALSE)</f>
        <v>Ikan</v>
      </c>
      <c r="L2274" s="5" t="s">
        <v>471</v>
      </c>
    </row>
    <row r="2275" spans="1:12" ht="12" customHeight="1" x14ac:dyDescent="0.25">
      <c r="A2275" s="6">
        <v>44690</v>
      </c>
      <c r="B2275" s="1">
        <v>2202288</v>
      </c>
      <c r="C2275" s="5" t="s">
        <v>418</v>
      </c>
      <c r="D2275" s="5" t="str">
        <f>VLOOKUP(C2275,[1]master_data!$A$2:$E$495,2,FALSE)</f>
        <v>KOI B</v>
      </c>
      <c r="E2275" s="5">
        <v>4</v>
      </c>
      <c r="F2275" s="5">
        <f>VLOOKUP(C2275,[1]master_data!$A$2:$E$495,3,FALSE)</f>
        <v>9000</v>
      </c>
      <c r="G2275" s="5">
        <f>VLOOKUP(C2275,[1]master_data!$A$2:$E$495,4,FALSE)</f>
        <v>30000</v>
      </c>
      <c r="H2275" s="5">
        <f t="shared" si="111"/>
        <v>36000</v>
      </c>
      <c r="I2275" s="5">
        <f t="shared" si="112"/>
        <v>120000</v>
      </c>
      <c r="J2275" s="5">
        <f t="shared" si="113"/>
        <v>84000</v>
      </c>
      <c r="K2275" s="5" t="str">
        <f>VLOOKUP(C2275,[1]master_data!$A$2:$E$495,5,FALSE)</f>
        <v>Ikan</v>
      </c>
      <c r="L2275" s="5" t="s">
        <v>471</v>
      </c>
    </row>
    <row r="2276" spans="1:12" ht="12" customHeight="1" x14ac:dyDescent="0.25">
      <c r="A2276" s="6">
        <v>44690</v>
      </c>
      <c r="B2276" s="1">
        <v>2202287</v>
      </c>
      <c r="C2276" s="5" t="s">
        <v>204</v>
      </c>
      <c r="D2276" s="5" t="str">
        <f>VLOOKUP(C2276,[1]master_data!$A$2:$E$495,2,FALSE)</f>
        <v>MAGOT</v>
      </c>
      <c r="E2276" s="5">
        <v>1</v>
      </c>
      <c r="F2276" s="5">
        <f>VLOOKUP(C2276,[1]master_data!$A$2:$E$495,3,FALSE)</f>
        <v>4500</v>
      </c>
      <c r="G2276" s="5">
        <f>VLOOKUP(C2276,[1]master_data!$A$2:$E$495,4,FALSE)</f>
        <v>10000</v>
      </c>
      <c r="H2276" s="5">
        <f t="shared" si="111"/>
        <v>4500</v>
      </c>
      <c r="I2276" s="5">
        <f t="shared" si="112"/>
        <v>10000</v>
      </c>
      <c r="J2276" s="5">
        <f t="shared" si="113"/>
        <v>5500</v>
      </c>
      <c r="K2276" s="5" t="str">
        <f>VLOOKUP(C2276,[1]master_data!$A$2:$E$495,5,FALSE)</f>
        <v>Aksesoris</v>
      </c>
      <c r="L2276" s="5" t="s">
        <v>471</v>
      </c>
    </row>
    <row r="2277" spans="1:12" ht="12" customHeight="1" x14ac:dyDescent="0.25">
      <c r="A2277" s="6">
        <v>44690</v>
      </c>
      <c r="B2277" s="1">
        <v>2202286</v>
      </c>
      <c r="C2277" s="5" t="s">
        <v>407</v>
      </c>
      <c r="D2277" s="5" t="str">
        <f>VLOOKUP(C2277,[1]master_data!$A$2:$E$495,2,FALSE)</f>
        <v>CUPANG</v>
      </c>
      <c r="E2277" s="5">
        <v>2</v>
      </c>
      <c r="F2277" s="5">
        <f>VLOOKUP(C2277,[1]master_data!$A$2:$E$495,3,FALSE)</f>
        <v>2000</v>
      </c>
      <c r="G2277" s="5">
        <f>VLOOKUP(C2277,[1]master_data!$A$2:$E$495,4,FALSE)</f>
        <v>5000</v>
      </c>
      <c r="H2277" s="5">
        <f t="shared" si="111"/>
        <v>4000</v>
      </c>
      <c r="I2277" s="5">
        <f t="shared" si="112"/>
        <v>10000</v>
      </c>
      <c r="J2277" s="5">
        <f t="shared" si="113"/>
        <v>6000</v>
      </c>
      <c r="K2277" s="5" t="str">
        <f>VLOOKUP(C2277,[1]master_data!$A$2:$E$495,5,FALSE)</f>
        <v>Ikan</v>
      </c>
      <c r="L2277" s="5" t="s">
        <v>471</v>
      </c>
    </row>
    <row r="2278" spans="1:12" ht="12" customHeight="1" x14ac:dyDescent="0.25">
      <c r="A2278" s="6">
        <v>44690</v>
      </c>
      <c r="B2278" s="1">
        <v>2202285</v>
      </c>
      <c r="C2278" s="5" t="s">
        <v>415</v>
      </c>
      <c r="D2278" s="5" t="str">
        <f>VLOOKUP(C2278,[1]master_data!$A$2:$E$495,2,FALSE)</f>
        <v>KOKI B</v>
      </c>
      <c r="E2278" s="5">
        <v>2</v>
      </c>
      <c r="F2278" s="5">
        <f>VLOOKUP(C2278,[1]master_data!$A$2:$E$495,3,FALSE)</f>
        <v>20000</v>
      </c>
      <c r="G2278" s="5">
        <f>VLOOKUP(C2278,[1]master_data!$A$2:$E$495,4,FALSE)</f>
        <v>50000</v>
      </c>
      <c r="H2278" s="5">
        <f t="shared" si="111"/>
        <v>40000</v>
      </c>
      <c r="I2278" s="5">
        <f t="shared" si="112"/>
        <v>100000</v>
      </c>
      <c r="J2278" s="5">
        <f t="shared" si="113"/>
        <v>60000</v>
      </c>
      <c r="K2278" s="5" t="str">
        <f>VLOOKUP(C2278,[1]master_data!$A$2:$E$495,5,FALSE)</f>
        <v>Ikan</v>
      </c>
      <c r="L2278" s="5" t="s">
        <v>471</v>
      </c>
    </row>
    <row r="2279" spans="1:12" ht="12" customHeight="1" x14ac:dyDescent="0.25">
      <c r="A2279" s="6">
        <v>44690</v>
      </c>
      <c r="B2279" s="1">
        <v>2202284</v>
      </c>
      <c r="C2279" s="5" t="s">
        <v>423</v>
      </c>
      <c r="D2279" s="5" t="str">
        <f>VLOOKUP(C2279,[1]master_data!$A$2:$E$495,2,FALSE)</f>
        <v>KOI SLAYER K</v>
      </c>
      <c r="E2279" s="5">
        <v>1</v>
      </c>
      <c r="F2279" s="5">
        <f>VLOOKUP(C2279,[1]master_data!$A$2:$E$495,3,FALSE)</f>
        <v>3500</v>
      </c>
      <c r="G2279" s="5">
        <f>VLOOKUP(C2279,[1]master_data!$A$2:$E$495,4,FALSE)</f>
        <v>10000</v>
      </c>
      <c r="H2279" s="5">
        <f t="shared" si="111"/>
        <v>3500</v>
      </c>
      <c r="I2279" s="5">
        <f t="shared" si="112"/>
        <v>10000</v>
      </c>
      <c r="J2279" s="5">
        <f t="shared" si="113"/>
        <v>6500</v>
      </c>
      <c r="K2279" s="5" t="str">
        <f>VLOOKUP(C2279,[1]master_data!$A$2:$E$495,5,FALSE)</f>
        <v>Ikan</v>
      </c>
      <c r="L2279" s="5" t="s">
        <v>471</v>
      </c>
    </row>
    <row r="2280" spans="1:12" ht="12" customHeight="1" x14ac:dyDescent="0.25">
      <c r="A2280" s="6">
        <v>44690</v>
      </c>
      <c r="B2280" s="1">
        <v>2202283</v>
      </c>
      <c r="C2280" s="5" t="s">
        <v>417</v>
      </c>
      <c r="D2280" s="5" t="str">
        <f>VLOOKUP(C2280,[1]master_data!$A$2:$E$495,2,FALSE)</f>
        <v>KOI T</v>
      </c>
      <c r="E2280" s="5">
        <v>1</v>
      </c>
      <c r="F2280" s="5">
        <f>VLOOKUP(C2280,[1]master_data!$A$2:$E$495,3,FALSE)</f>
        <v>7000</v>
      </c>
      <c r="G2280" s="5">
        <f>VLOOKUP(C2280,[1]master_data!$A$2:$E$495,4,FALSE)</f>
        <v>20000</v>
      </c>
      <c r="H2280" s="5">
        <f t="shared" si="111"/>
        <v>7000</v>
      </c>
      <c r="I2280" s="5">
        <f t="shared" si="112"/>
        <v>20000</v>
      </c>
      <c r="J2280" s="5">
        <f t="shared" si="113"/>
        <v>13000</v>
      </c>
      <c r="K2280" s="5" t="str">
        <f>VLOOKUP(C2280,[1]master_data!$A$2:$E$495,5,FALSE)</f>
        <v>Ikan</v>
      </c>
      <c r="L2280" s="5" t="s">
        <v>471</v>
      </c>
    </row>
    <row r="2281" spans="1:12" ht="12" customHeight="1" x14ac:dyDescent="0.25">
      <c r="A2281" s="6">
        <v>44690</v>
      </c>
      <c r="B2281" s="1">
        <v>2202282</v>
      </c>
      <c r="C2281" s="5" t="s">
        <v>419</v>
      </c>
      <c r="D2281" s="5" t="str">
        <f>VLOOKUP(C2281,[1]master_data!$A$2:$E$495,2,FALSE)</f>
        <v>KURA - KURA</v>
      </c>
      <c r="E2281" s="5">
        <v>1</v>
      </c>
      <c r="F2281" s="5">
        <f>VLOOKUP(C2281,[1]master_data!$A$2:$E$495,3,FALSE)</f>
        <v>25000</v>
      </c>
      <c r="G2281" s="5">
        <f>VLOOKUP(C2281,[1]master_data!$A$2:$E$495,4,FALSE)</f>
        <v>35000</v>
      </c>
      <c r="H2281" s="5">
        <f t="shared" si="111"/>
        <v>25000</v>
      </c>
      <c r="I2281" s="5">
        <f t="shared" si="112"/>
        <v>35000</v>
      </c>
      <c r="J2281" s="5">
        <f t="shared" si="113"/>
        <v>10000</v>
      </c>
      <c r="K2281" s="5" t="str">
        <f>VLOOKUP(C2281,[1]master_data!$A$2:$E$495,5,FALSE)</f>
        <v>Ikan</v>
      </c>
      <c r="L2281" s="5" t="s">
        <v>471</v>
      </c>
    </row>
    <row r="2282" spans="1:12" ht="12" customHeight="1" x14ac:dyDescent="0.25">
      <c r="A2282" s="6">
        <v>44690</v>
      </c>
      <c r="B2282" s="1">
        <v>2202281</v>
      </c>
      <c r="C2282" s="5" t="s">
        <v>424</v>
      </c>
      <c r="D2282" s="5" t="str">
        <f>VLOOKUP(C2282,[1]master_data!$A$2:$E$495,2,FALSE)</f>
        <v>KOI SLAYER B</v>
      </c>
      <c r="E2282" s="5">
        <v>2</v>
      </c>
      <c r="F2282" s="5">
        <f>VLOOKUP(C2282,[1]master_data!$A$2:$E$495,3,FALSE)</f>
        <v>8000</v>
      </c>
      <c r="G2282" s="5">
        <f>VLOOKUP(C2282,[1]master_data!$A$2:$E$495,4,FALSE)</f>
        <v>20000</v>
      </c>
      <c r="H2282" s="5">
        <f t="shared" si="111"/>
        <v>16000</v>
      </c>
      <c r="I2282" s="5">
        <f t="shared" si="112"/>
        <v>40000</v>
      </c>
      <c r="J2282" s="5">
        <f t="shared" si="113"/>
        <v>24000</v>
      </c>
      <c r="K2282" s="5" t="str">
        <f>VLOOKUP(C2282,[1]master_data!$A$2:$E$495,5,FALSE)</f>
        <v>Ikan</v>
      </c>
      <c r="L2282" s="5" t="s">
        <v>471</v>
      </c>
    </row>
    <row r="2283" spans="1:12" ht="12" customHeight="1" x14ac:dyDescent="0.25">
      <c r="A2283" s="6">
        <v>44690</v>
      </c>
      <c r="B2283" s="1">
        <v>2202280</v>
      </c>
      <c r="C2283" s="5" t="s">
        <v>408</v>
      </c>
      <c r="D2283" s="5" t="str">
        <f>VLOOKUP(C2283,[1]master_data!$A$2:$E$495,2,FALSE)</f>
        <v>CATFISH</v>
      </c>
      <c r="E2283" s="5">
        <v>2</v>
      </c>
      <c r="F2283" s="5">
        <f>VLOOKUP(C2283,[1]master_data!$A$2:$E$495,3,FALSE)</f>
        <v>20000</v>
      </c>
      <c r="G2283" s="5">
        <f>VLOOKUP(C2283,[1]master_data!$A$2:$E$495,4,FALSE)</f>
        <v>50000</v>
      </c>
      <c r="H2283" s="5">
        <f t="shared" si="111"/>
        <v>40000</v>
      </c>
      <c r="I2283" s="5">
        <f t="shared" si="112"/>
        <v>100000</v>
      </c>
      <c r="J2283" s="5">
        <f t="shared" si="113"/>
        <v>60000</v>
      </c>
      <c r="K2283" s="5" t="str">
        <f>VLOOKUP(C2283,[1]master_data!$A$2:$E$495,5,FALSE)</f>
        <v>Ikan</v>
      </c>
      <c r="L2283" s="5" t="s">
        <v>471</v>
      </c>
    </row>
    <row r="2284" spans="1:12" ht="12" customHeight="1" x14ac:dyDescent="0.25">
      <c r="A2284" s="6">
        <v>44690</v>
      </c>
      <c r="B2284" s="1">
        <v>2202279</v>
      </c>
      <c r="C2284" s="5" t="s">
        <v>391</v>
      </c>
      <c r="D2284" s="5" t="str">
        <f>VLOOKUP(C2284,[1]master_data!$A$2:$E$495,2,FALSE)</f>
        <v>CHANNA ANDRAO K</v>
      </c>
      <c r="E2284" s="5">
        <v>3</v>
      </c>
      <c r="F2284" s="5">
        <f>VLOOKUP(C2284,[1]master_data!$A$2:$E$495,3,FALSE)</f>
        <v>20000</v>
      </c>
      <c r="G2284" s="5">
        <f>VLOOKUP(C2284,[1]master_data!$A$2:$E$495,4,FALSE)</f>
        <v>50000</v>
      </c>
      <c r="H2284" s="5">
        <f t="shared" si="111"/>
        <v>60000</v>
      </c>
      <c r="I2284" s="5">
        <f t="shared" si="112"/>
        <v>150000</v>
      </c>
      <c r="J2284" s="5">
        <f t="shared" si="113"/>
        <v>90000</v>
      </c>
      <c r="K2284" s="5" t="str">
        <f>VLOOKUP(C2284,[1]master_data!$A$2:$E$495,5,FALSE)</f>
        <v>Ikan</v>
      </c>
      <c r="L2284" s="5" t="s">
        <v>471</v>
      </c>
    </row>
    <row r="2285" spans="1:12" ht="12" customHeight="1" x14ac:dyDescent="0.25">
      <c r="A2285" s="6">
        <v>44690</v>
      </c>
      <c r="B2285" s="1">
        <v>2202278</v>
      </c>
      <c r="C2285" s="5" t="s">
        <v>392</v>
      </c>
      <c r="D2285" s="5" t="str">
        <f>VLOOKUP(C2285,[1]master_data!$A$2:$E$495,2,FALSE)</f>
        <v>CHANNA ASIATICA B</v>
      </c>
      <c r="E2285" s="5">
        <v>1</v>
      </c>
      <c r="F2285" s="5">
        <f>VLOOKUP(C2285,[1]master_data!$A$2:$E$495,3,FALSE)</f>
        <v>40000</v>
      </c>
      <c r="G2285" s="5">
        <f>VLOOKUP(C2285,[1]master_data!$A$2:$E$495,4,FALSE)</f>
        <v>100000</v>
      </c>
      <c r="H2285" s="5">
        <f t="shared" si="111"/>
        <v>40000</v>
      </c>
      <c r="I2285" s="5">
        <f t="shared" si="112"/>
        <v>100000</v>
      </c>
      <c r="J2285" s="5">
        <f t="shared" si="113"/>
        <v>60000</v>
      </c>
      <c r="K2285" s="5" t="str">
        <f>VLOOKUP(C2285,[1]master_data!$A$2:$E$495,5,FALSE)</f>
        <v>Ikan</v>
      </c>
      <c r="L2285" s="5" t="s">
        <v>471</v>
      </c>
    </row>
    <row r="2286" spans="1:12" ht="12" customHeight="1" x14ac:dyDescent="0.25">
      <c r="A2286" s="6">
        <v>44690</v>
      </c>
      <c r="B2286" s="1">
        <v>2202277</v>
      </c>
      <c r="C2286" s="5" t="s">
        <v>416</v>
      </c>
      <c r="D2286" s="5" t="str">
        <f>VLOOKUP(C2286,[1]master_data!$A$2:$E$495,2,FALSE)</f>
        <v>KOI K</v>
      </c>
      <c r="E2286" s="5">
        <v>1</v>
      </c>
      <c r="F2286" s="5">
        <f>VLOOKUP(C2286,[1]master_data!$A$2:$E$495,3,FALSE)</f>
        <v>2500</v>
      </c>
      <c r="G2286" s="5">
        <f>VLOOKUP(C2286,[1]master_data!$A$2:$E$495,4,FALSE)</f>
        <v>10000</v>
      </c>
      <c r="H2286" s="5">
        <f t="shared" si="111"/>
        <v>2500</v>
      </c>
      <c r="I2286" s="5">
        <f t="shared" si="112"/>
        <v>10000</v>
      </c>
      <c r="J2286" s="5">
        <f t="shared" si="113"/>
        <v>7500</v>
      </c>
      <c r="K2286" s="5" t="str">
        <f>VLOOKUP(C2286,[1]master_data!$A$2:$E$495,5,FALSE)</f>
        <v>Ikan</v>
      </c>
      <c r="L2286" s="5" t="s">
        <v>471</v>
      </c>
    </row>
    <row r="2287" spans="1:12" ht="12" customHeight="1" x14ac:dyDescent="0.25">
      <c r="A2287" s="6">
        <v>44689</v>
      </c>
      <c r="B2287" s="1">
        <v>2202276</v>
      </c>
      <c r="C2287" s="5" t="s">
        <v>416</v>
      </c>
      <c r="D2287" s="5" t="str">
        <f>VLOOKUP(C2287,[1]master_data!$A$2:$E$495,2,FALSE)</f>
        <v>KOI K</v>
      </c>
      <c r="E2287" s="5">
        <v>1</v>
      </c>
      <c r="F2287" s="5">
        <f>VLOOKUP(C2287,[1]master_data!$A$2:$E$495,3,FALSE)</f>
        <v>2500</v>
      </c>
      <c r="G2287" s="5">
        <f>VLOOKUP(C2287,[1]master_data!$A$2:$E$495,4,FALSE)</f>
        <v>10000</v>
      </c>
      <c r="H2287" s="5">
        <f t="shared" si="111"/>
        <v>2500</v>
      </c>
      <c r="I2287" s="5">
        <f t="shared" si="112"/>
        <v>10000</v>
      </c>
      <c r="J2287" s="5">
        <f t="shared" si="113"/>
        <v>7500</v>
      </c>
      <c r="K2287" s="5" t="str">
        <f>VLOOKUP(C2287,[1]master_data!$A$2:$E$495,5,FALSE)</f>
        <v>Ikan</v>
      </c>
      <c r="L2287" s="5" t="s">
        <v>471</v>
      </c>
    </row>
    <row r="2288" spans="1:12" ht="12" customHeight="1" x14ac:dyDescent="0.25">
      <c r="A2288" s="6">
        <v>44689</v>
      </c>
      <c r="B2288" s="1">
        <v>2202275</v>
      </c>
      <c r="C2288" s="5" t="s">
        <v>233</v>
      </c>
      <c r="D2288" s="5" t="str">
        <f>VLOOKUP(C2288,[1]master_data!$A$2:$E$495,2,FALSE)</f>
        <v>FISH LOVE PAKAN</v>
      </c>
      <c r="E2288" s="5">
        <v>1</v>
      </c>
      <c r="F2288" s="5">
        <f>VLOOKUP(C2288,[1]master_data!$A$2:$E$495,3,FALSE)</f>
        <v>2500</v>
      </c>
      <c r="G2288" s="5">
        <f>VLOOKUP(C2288,[1]master_data!$A$2:$E$495,4,FALSE)</f>
        <v>5000</v>
      </c>
      <c r="H2288" s="5">
        <f t="shared" si="111"/>
        <v>2500</v>
      </c>
      <c r="I2288" s="5">
        <f t="shared" si="112"/>
        <v>5000</v>
      </c>
      <c r="J2288" s="5">
        <f t="shared" si="113"/>
        <v>2500</v>
      </c>
      <c r="K2288" s="5" t="str">
        <f>VLOOKUP(C2288,[1]master_data!$A$2:$E$495,5,FALSE)</f>
        <v>Aksesoris</v>
      </c>
      <c r="L2288" s="5" t="s">
        <v>471</v>
      </c>
    </row>
    <row r="2289" spans="1:12" ht="12" customHeight="1" x14ac:dyDescent="0.25">
      <c r="A2289" s="6">
        <v>44689</v>
      </c>
      <c r="B2289" s="1">
        <v>2202274</v>
      </c>
      <c r="C2289" s="5" t="s">
        <v>419</v>
      </c>
      <c r="D2289" s="5" t="str">
        <f>VLOOKUP(C2289,[1]master_data!$A$2:$E$495,2,FALSE)</f>
        <v>KURA - KURA</v>
      </c>
      <c r="E2289" s="5">
        <v>1</v>
      </c>
      <c r="F2289" s="5">
        <f>VLOOKUP(C2289,[1]master_data!$A$2:$E$495,3,FALSE)</f>
        <v>25000</v>
      </c>
      <c r="G2289" s="5">
        <f>VLOOKUP(C2289,[1]master_data!$A$2:$E$495,4,FALSE)</f>
        <v>35000</v>
      </c>
      <c r="H2289" s="5">
        <f t="shared" si="111"/>
        <v>25000</v>
      </c>
      <c r="I2289" s="5">
        <f t="shared" si="112"/>
        <v>35000</v>
      </c>
      <c r="J2289" s="5">
        <f t="shared" si="113"/>
        <v>10000</v>
      </c>
      <c r="K2289" s="5" t="str">
        <f>VLOOKUP(C2289,[1]master_data!$A$2:$E$495,5,FALSE)</f>
        <v>Ikan</v>
      </c>
      <c r="L2289" s="5" t="s">
        <v>471</v>
      </c>
    </row>
    <row r="2290" spans="1:12" ht="12" customHeight="1" x14ac:dyDescent="0.25">
      <c r="A2290" s="6">
        <v>44689</v>
      </c>
      <c r="B2290" s="1">
        <v>2202273</v>
      </c>
      <c r="C2290" s="5" t="s">
        <v>204</v>
      </c>
      <c r="D2290" s="5" t="str">
        <f>VLOOKUP(C2290,[1]master_data!$A$2:$E$495,2,FALSE)</f>
        <v>MAGOT</v>
      </c>
      <c r="E2290" s="5">
        <v>2</v>
      </c>
      <c r="F2290" s="5">
        <f>VLOOKUP(C2290,[1]master_data!$A$2:$E$495,3,FALSE)</f>
        <v>4500</v>
      </c>
      <c r="G2290" s="5">
        <f>VLOOKUP(C2290,[1]master_data!$A$2:$E$495,4,FALSE)</f>
        <v>10000</v>
      </c>
      <c r="H2290" s="5">
        <f t="shared" si="111"/>
        <v>9000</v>
      </c>
      <c r="I2290" s="5">
        <f t="shared" si="112"/>
        <v>20000</v>
      </c>
      <c r="J2290" s="5">
        <f t="shared" si="113"/>
        <v>11000</v>
      </c>
      <c r="K2290" s="5" t="str">
        <f>VLOOKUP(C2290,[1]master_data!$A$2:$E$495,5,FALSE)</f>
        <v>Aksesoris</v>
      </c>
      <c r="L2290" s="5" t="s">
        <v>471</v>
      </c>
    </row>
    <row r="2291" spans="1:12" ht="12" customHeight="1" x14ac:dyDescent="0.25">
      <c r="A2291" s="6">
        <v>44689</v>
      </c>
      <c r="B2291" s="1">
        <v>2202272</v>
      </c>
      <c r="C2291" s="5" t="s">
        <v>418</v>
      </c>
      <c r="D2291" s="5" t="str">
        <f>VLOOKUP(C2291,[1]master_data!$A$2:$E$495,2,FALSE)</f>
        <v>KOI B</v>
      </c>
      <c r="E2291" s="5">
        <v>1</v>
      </c>
      <c r="F2291" s="5">
        <f>VLOOKUP(C2291,[1]master_data!$A$2:$E$495,3,FALSE)</f>
        <v>9000</v>
      </c>
      <c r="G2291" s="5">
        <f>VLOOKUP(C2291,[1]master_data!$A$2:$E$495,4,FALSE)</f>
        <v>30000</v>
      </c>
      <c r="H2291" s="5">
        <f t="shared" si="111"/>
        <v>9000</v>
      </c>
      <c r="I2291" s="5">
        <f t="shared" si="112"/>
        <v>30000</v>
      </c>
      <c r="J2291" s="5">
        <f t="shared" si="113"/>
        <v>21000</v>
      </c>
      <c r="K2291" s="5" t="str">
        <f>VLOOKUP(C2291,[1]master_data!$A$2:$E$495,5,FALSE)</f>
        <v>Ikan</v>
      </c>
      <c r="L2291" s="5" t="s">
        <v>471</v>
      </c>
    </row>
    <row r="2292" spans="1:12" ht="12" customHeight="1" x14ac:dyDescent="0.25">
      <c r="A2292" s="6">
        <v>44689</v>
      </c>
      <c r="B2292" s="1">
        <v>2202271</v>
      </c>
      <c r="C2292" s="5" t="s">
        <v>427</v>
      </c>
      <c r="D2292" s="5" t="str">
        <f>VLOOKUP(C2292,[1]master_data!$A$2:$E$495,2,FALSE)</f>
        <v>LEMON</v>
      </c>
      <c r="E2292" s="5">
        <v>1</v>
      </c>
      <c r="F2292" s="5">
        <f>VLOOKUP(C2292,[1]master_data!$A$2:$E$495,3,FALSE)</f>
        <v>1000</v>
      </c>
      <c r="G2292" s="5">
        <f>VLOOKUP(C2292,[1]master_data!$A$2:$E$495,4,FALSE)</f>
        <v>2000</v>
      </c>
      <c r="H2292" s="5">
        <f t="shared" si="111"/>
        <v>1000</v>
      </c>
      <c r="I2292" s="5">
        <f t="shared" si="112"/>
        <v>2000</v>
      </c>
      <c r="J2292" s="5">
        <f t="shared" si="113"/>
        <v>1000</v>
      </c>
      <c r="K2292" s="5" t="str">
        <f>VLOOKUP(C2292,[1]master_data!$A$2:$E$495,5,FALSE)</f>
        <v>Ikan</v>
      </c>
      <c r="L2292" s="5" t="s">
        <v>471</v>
      </c>
    </row>
    <row r="2293" spans="1:12" ht="12" customHeight="1" x14ac:dyDescent="0.25">
      <c r="A2293" s="6">
        <v>44689</v>
      </c>
      <c r="B2293" s="1">
        <v>2202270</v>
      </c>
      <c r="C2293" s="5" t="s">
        <v>418</v>
      </c>
      <c r="D2293" s="5" t="str">
        <f>VLOOKUP(C2293,[1]master_data!$A$2:$E$495,2,FALSE)</f>
        <v>KOI B</v>
      </c>
      <c r="E2293" s="5">
        <v>4</v>
      </c>
      <c r="F2293" s="5">
        <f>VLOOKUP(C2293,[1]master_data!$A$2:$E$495,3,FALSE)</f>
        <v>9000</v>
      </c>
      <c r="G2293" s="5">
        <f>VLOOKUP(C2293,[1]master_data!$A$2:$E$495,4,FALSE)</f>
        <v>30000</v>
      </c>
      <c r="H2293" s="5">
        <f t="shared" si="111"/>
        <v>36000</v>
      </c>
      <c r="I2293" s="5">
        <f t="shared" si="112"/>
        <v>120000</v>
      </c>
      <c r="J2293" s="5">
        <f t="shared" si="113"/>
        <v>84000</v>
      </c>
      <c r="K2293" s="5" t="str">
        <f>VLOOKUP(C2293,[1]master_data!$A$2:$E$495,5,FALSE)</f>
        <v>Ikan</v>
      </c>
      <c r="L2293" s="5" t="s">
        <v>471</v>
      </c>
    </row>
    <row r="2294" spans="1:12" ht="12" customHeight="1" x14ac:dyDescent="0.25">
      <c r="A2294" s="6">
        <v>44689</v>
      </c>
      <c r="B2294" s="1">
        <v>2202269</v>
      </c>
      <c r="C2294" s="5" t="s">
        <v>408</v>
      </c>
      <c r="D2294" s="5" t="str">
        <f>VLOOKUP(C2294,[1]master_data!$A$2:$E$495,2,FALSE)</f>
        <v>CATFISH</v>
      </c>
      <c r="E2294" s="5">
        <v>2</v>
      </c>
      <c r="F2294" s="5">
        <f>VLOOKUP(C2294,[1]master_data!$A$2:$E$495,3,FALSE)</f>
        <v>20000</v>
      </c>
      <c r="G2294" s="5">
        <f>VLOOKUP(C2294,[1]master_data!$A$2:$E$495,4,FALSE)</f>
        <v>50000</v>
      </c>
      <c r="H2294" s="5">
        <f t="shared" si="111"/>
        <v>40000</v>
      </c>
      <c r="I2294" s="5">
        <f t="shared" si="112"/>
        <v>100000</v>
      </c>
      <c r="J2294" s="5">
        <f t="shared" si="113"/>
        <v>60000</v>
      </c>
      <c r="K2294" s="5" t="str">
        <f>VLOOKUP(C2294,[1]master_data!$A$2:$E$495,5,FALSE)</f>
        <v>Ikan</v>
      </c>
      <c r="L2294" s="5" t="s">
        <v>471</v>
      </c>
    </row>
    <row r="2295" spans="1:12" ht="12" customHeight="1" x14ac:dyDescent="0.25">
      <c r="A2295" s="6">
        <v>44689</v>
      </c>
      <c r="B2295" s="1">
        <v>2202268</v>
      </c>
      <c r="C2295" s="5" t="s">
        <v>390</v>
      </c>
      <c r="D2295" s="5" t="str">
        <f>VLOOKUP(C2295,[1]master_data!$A$2:$E$495,2,FALSE)</f>
        <v>CHANNA ASIATICA K</v>
      </c>
      <c r="E2295" s="5">
        <v>2</v>
      </c>
      <c r="F2295" s="5">
        <f>VLOOKUP(C2295,[1]master_data!$A$2:$E$495,3,FALSE)</f>
        <v>10000</v>
      </c>
      <c r="G2295" s="5">
        <f>VLOOKUP(C2295,[1]master_data!$A$2:$E$495,4,FALSE)</f>
        <v>40000</v>
      </c>
      <c r="H2295" s="5">
        <f t="shared" si="111"/>
        <v>20000</v>
      </c>
      <c r="I2295" s="5">
        <f t="shared" si="112"/>
        <v>80000</v>
      </c>
      <c r="J2295" s="5">
        <f t="shared" si="113"/>
        <v>60000</v>
      </c>
      <c r="K2295" s="5" t="str">
        <f>VLOOKUP(C2295,[1]master_data!$A$2:$E$495,5,FALSE)</f>
        <v>Ikan</v>
      </c>
      <c r="L2295" s="5" t="s">
        <v>471</v>
      </c>
    </row>
    <row r="2296" spans="1:12" ht="12" customHeight="1" x14ac:dyDescent="0.25">
      <c r="A2296" s="6">
        <v>44689</v>
      </c>
      <c r="B2296" s="1">
        <v>2202267</v>
      </c>
      <c r="C2296" s="5" t="s">
        <v>112</v>
      </c>
      <c r="D2296" s="5" t="str">
        <f>VLOOKUP(C2296,[1]master_data!$A$2:$E$495,2,FALSE)</f>
        <v>LED ROSTON 20 CM</v>
      </c>
      <c r="E2296" s="5">
        <v>1</v>
      </c>
      <c r="F2296" s="5">
        <f>VLOOKUP(C2296,[1]master_data!$A$2:$E$495,3,FALSE)</f>
        <v>21000</v>
      </c>
      <c r="G2296" s="5">
        <f>VLOOKUP(C2296,[1]master_data!$A$2:$E$495,4,FALSE)</f>
        <v>30000</v>
      </c>
      <c r="H2296" s="5">
        <f t="shared" si="111"/>
        <v>21000</v>
      </c>
      <c r="I2296" s="5">
        <f t="shared" si="112"/>
        <v>30000</v>
      </c>
      <c r="J2296" s="5">
        <f t="shared" si="113"/>
        <v>9000</v>
      </c>
      <c r="K2296" s="5" t="str">
        <f>VLOOKUP(C2296,[1]master_data!$A$2:$E$495,5,FALSE)</f>
        <v>Aksesoris</v>
      </c>
      <c r="L2296" s="5" t="s">
        <v>471</v>
      </c>
    </row>
    <row r="2297" spans="1:12" ht="12" customHeight="1" x14ac:dyDescent="0.25">
      <c r="A2297" s="6">
        <v>44689</v>
      </c>
      <c r="B2297" s="1">
        <v>2202266</v>
      </c>
      <c r="C2297" s="5" t="s">
        <v>424</v>
      </c>
      <c r="D2297" s="5" t="str">
        <f>VLOOKUP(C2297,[1]master_data!$A$2:$E$495,2,FALSE)</f>
        <v>KOI SLAYER B</v>
      </c>
      <c r="E2297" s="5">
        <v>2</v>
      </c>
      <c r="F2297" s="5">
        <f>VLOOKUP(C2297,[1]master_data!$A$2:$E$495,3,FALSE)</f>
        <v>8000</v>
      </c>
      <c r="G2297" s="5">
        <f>VLOOKUP(C2297,[1]master_data!$A$2:$E$495,4,FALSE)</f>
        <v>20000</v>
      </c>
      <c r="H2297" s="5">
        <f t="shared" si="111"/>
        <v>16000</v>
      </c>
      <c r="I2297" s="5">
        <f t="shared" si="112"/>
        <v>40000</v>
      </c>
      <c r="J2297" s="5">
        <f t="shared" si="113"/>
        <v>24000</v>
      </c>
      <c r="K2297" s="5" t="str">
        <f>VLOOKUP(C2297,[1]master_data!$A$2:$E$495,5,FALSE)</f>
        <v>Ikan</v>
      </c>
      <c r="L2297" s="5" t="s">
        <v>471</v>
      </c>
    </row>
    <row r="2298" spans="1:12" ht="12" customHeight="1" x14ac:dyDescent="0.25">
      <c r="A2298" s="6">
        <v>44689</v>
      </c>
      <c r="B2298" s="1">
        <v>2202265</v>
      </c>
      <c r="C2298" s="5" t="s">
        <v>392</v>
      </c>
      <c r="D2298" s="5" t="str">
        <f>VLOOKUP(C2298,[1]master_data!$A$2:$E$495,2,FALSE)</f>
        <v>CHANNA ASIATICA B</v>
      </c>
      <c r="E2298" s="5">
        <v>1</v>
      </c>
      <c r="F2298" s="5">
        <f>VLOOKUP(C2298,[1]master_data!$A$2:$E$495,3,FALSE)</f>
        <v>40000</v>
      </c>
      <c r="G2298" s="5">
        <f>VLOOKUP(C2298,[1]master_data!$A$2:$E$495,4,FALSE)</f>
        <v>100000</v>
      </c>
      <c r="H2298" s="5">
        <f t="shared" si="111"/>
        <v>40000</v>
      </c>
      <c r="I2298" s="5">
        <f t="shared" si="112"/>
        <v>100000</v>
      </c>
      <c r="J2298" s="5">
        <f t="shared" si="113"/>
        <v>60000</v>
      </c>
      <c r="K2298" s="5" t="str">
        <f>VLOOKUP(C2298,[1]master_data!$A$2:$E$495,5,FALSE)</f>
        <v>Ikan</v>
      </c>
      <c r="L2298" s="5" t="s">
        <v>471</v>
      </c>
    </row>
    <row r="2299" spans="1:12" ht="12" customHeight="1" x14ac:dyDescent="0.25">
      <c r="A2299" s="6">
        <v>44689</v>
      </c>
      <c r="B2299" s="1">
        <v>2202264</v>
      </c>
      <c r="C2299" s="5" t="s">
        <v>391</v>
      </c>
      <c r="D2299" s="5" t="str">
        <f>VLOOKUP(C2299,[1]master_data!$A$2:$E$495,2,FALSE)</f>
        <v>CHANNA ANDRAO K</v>
      </c>
      <c r="E2299" s="5">
        <v>3</v>
      </c>
      <c r="F2299" s="5">
        <f>VLOOKUP(C2299,[1]master_data!$A$2:$E$495,3,FALSE)</f>
        <v>20000</v>
      </c>
      <c r="G2299" s="5">
        <f>VLOOKUP(C2299,[1]master_data!$A$2:$E$495,4,FALSE)</f>
        <v>50000</v>
      </c>
      <c r="H2299" s="5">
        <f t="shared" si="111"/>
        <v>60000</v>
      </c>
      <c r="I2299" s="5">
        <f t="shared" si="112"/>
        <v>150000</v>
      </c>
      <c r="J2299" s="5">
        <f t="shared" si="113"/>
        <v>90000</v>
      </c>
      <c r="K2299" s="5" t="str">
        <f>VLOOKUP(C2299,[1]master_data!$A$2:$E$495,5,FALSE)</f>
        <v>Ikan</v>
      </c>
      <c r="L2299" s="5" t="s">
        <v>471</v>
      </c>
    </row>
    <row r="2300" spans="1:12" ht="12" customHeight="1" x14ac:dyDescent="0.25">
      <c r="A2300" s="6">
        <v>44689</v>
      </c>
      <c r="B2300" s="1">
        <v>2202263</v>
      </c>
      <c r="C2300" s="5" t="s">
        <v>408</v>
      </c>
      <c r="D2300" s="5" t="str">
        <f>VLOOKUP(C2300,[1]master_data!$A$2:$E$495,2,FALSE)</f>
        <v>CATFISH</v>
      </c>
      <c r="E2300" s="5">
        <v>2</v>
      </c>
      <c r="F2300" s="5">
        <f>VLOOKUP(C2300,[1]master_data!$A$2:$E$495,3,FALSE)</f>
        <v>20000</v>
      </c>
      <c r="G2300" s="5">
        <f>VLOOKUP(C2300,[1]master_data!$A$2:$E$495,4,FALSE)</f>
        <v>50000</v>
      </c>
      <c r="H2300" s="5">
        <f t="shared" si="111"/>
        <v>40000</v>
      </c>
      <c r="I2300" s="5">
        <f t="shared" si="112"/>
        <v>100000</v>
      </c>
      <c r="J2300" s="5">
        <f t="shared" si="113"/>
        <v>60000</v>
      </c>
      <c r="K2300" s="5" t="str">
        <f>VLOOKUP(C2300,[1]master_data!$A$2:$E$495,5,FALSE)</f>
        <v>Ikan</v>
      </c>
      <c r="L2300" s="5" t="s">
        <v>471</v>
      </c>
    </row>
    <row r="2301" spans="1:12" ht="12" customHeight="1" x14ac:dyDescent="0.25">
      <c r="A2301" s="6">
        <v>44689</v>
      </c>
      <c r="B2301" s="1">
        <v>2202262</v>
      </c>
      <c r="C2301" s="5" t="s">
        <v>415</v>
      </c>
      <c r="D2301" s="5" t="str">
        <f>VLOOKUP(C2301,[1]master_data!$A$2:$E$495,2,FALSE)</f>
        <v>KOKI B</v>
      </c>
      <c r="E2301" s="5">
        <v>2</v>
      </c>
      <c r="F2301" s="5">
        <f>VLOOKUP(C2301,[1]master_data!$A$2:$E$495,3,FALSE)</f>
        <v>20000</v>
      </c>
      <c r="G2301" s="5">
        <f>VLOOKUP(C2301,[1]master_data!$A$2:$E$495,4,FALSE)</f>
        <v>50000</v>
      </c>
      <c r="H2301" s="5">
        <f t="shared" si="111"/>
        <v>40000</v>
      </c>
      <c r="I2301" s="5">
        <f t="shared" si="112"/>
        <v>100000</v>
      </c>
      <c r="J2301" s="5">
        <f t="shared" si="113"/>
        <v>60000</v>
      </c>
      <c r="K2301" s="5" t="str">
        <f>VLOOKUP(C2301,[1]master_data!$A$2:$E$495,5,FALSE)</f>
        <v>Ikan</v>
      </c>
      <c r="L2301" s="5" t="s">
        <v>471</v>
      </c>
    </row>
    <row r="2302" spans="1:12" ht="12" customHeight="1" x14ac:dyDescent="0.25">
      <c r="A2302" s="6">
        <v>44689</v>
      </c>
      <c r="B2302" s="1">
        <v>2202261</v>
      </c>
      <c r="C2302" s="5" t="s">
        <v>208</v>
      </c>
      <c r="D2302" s="5" t="str">
        <f>VLOOKUP(C2302,[1]master_data!$A$2:$E$495,2,FALSE)</f>
        <v>TOP VIT</v>
      </c>
      <c r="E2302" s="5">
        <v>1</v>
      </c>
      <c r="F2302" s="5">
        <f>VLOOKUP(C2302,[1]master_data!$A$2:$E$495,3,FALSE)</f>
        <v>4000</v>
      </c>
      <c r="G2302" s="5">
        <f>VLOOKUP(C2302,[1]master_data!$A$2:$E$495,4,FALSE)</f>
        <v>7000</v>
      </c>
      <c r="H2302" s="5">
        <f t="shared" si="111"/>
        <v>4000</v>
      </c>
      <c r="I2302" s="5">
        <f t="shared" si="112"/>
        <v>7000</v>
      </c>
      <c r="J2302" s="5">
        <f t="shared" si="113"/>
        <v>3000</v>
      </c>
      <c r="K2302" s="5" t="str">
        <f>VLOOKUP(C2302,[1]master_data!$A$2:$E$495,5,FALSE)</f>
        <v>Aksesoris</v>
      </c>
      <c r="L2302" s="5" t="s">
        <v>471</v>
      </c>
    </row>
    <row r="2303" spans="1:12" ht="12" customHeight="1" x14ac:dyDescent="0.25">
      <c r="A2303" s="6">
        <v>44689</v>
      </c>
      <c r="B2303" s="1">
        <v>2202260</v>
      </c>
      <c r="C2303" s="5" t="s">
        <v>417</v>
      </c>
      <c r="D2303" s="5" t="str">
        <f>VLOOKUP(C2303,[1]master_data!$A$2:$E$495,2,FALSE)</f>
        <v>KOI T</v>
      </c>
      <c r="E2303" s="5">
        <v>1</v>
      </c>
      <c r="F2303" s="5">
        <f>VLOOKUP(C2303,[1]master_data!$A$2:$E$495,3,FALSE)</f>
        <v>7000</v>
      </c>
      <c r="G2303" s="5">
        <f>VLOOKUP(C2303,[1]master_data!$A$2:$E$495,4,FALSE)</f>
        <v>20000</v>
      </c>
      <c r="H2303" s="5">
        <f t="shared" si="111"/>
        <v>7000</v>
      </c>
      <c r="I2303" s="5">
        <f t="shared" si="112"/>
        <v>20000</v>
      </c>
      <c r="J2303" s="5">
        <f t="shared" si="113"/>
        <v>13000</v>
      </c>
      <c r="K2303" s="5" t="str">
        <f>VLOOKUP(C2303,[1]master_data!$A$2:$E$495,5,FALSE)</f>
        <v>Ikan</v>
      </c>
      <c r="L2303" s="5" t="s">
        <v>471</v>
      </c>
    </row>
    <row r="2304" spans="1:12" ht="12" customHeight="1" x14ac:dyDescent="0.25">
      <c r="A2304" s="6">
        <v>44689</v>
      </c>
      <c r="B2304" s="1">
        <v>2202259</v>
      </c>
      <c r="C2304" s="5" t="s">
        <v>423</v>
      </c>
      <c r="D2304" s="5" t="str">
        <f>VLOOKUP(C2304,[1]master_data!$A$2:$E$495,2,FALSE)</f>
        <v>KOI SLAYER K</v>
      </c>
      <c r="E2304" s="5">
        <v>1</v>
      </c>
      <c r="F2304" s="5">
        <f>VLOOKUP(C2304,[1]master_data!$A$2:$E$495,3,FALSE)</f>
        <v>3500</v>
      </c>
      <c r="G2304" s="5">
        <f>VLOOKUP(C2304,[1]master_data!$A$2:$E$495,4,FALSE)</f>
        <v>10000</v>
      </c>
      <c r="H2304" s="5">
        <f t="shared" si="111"/>
        <v>3500</v>
      </c>
      <c r="I2304" s="5">
        <f t="shared" si="112"/>
        <v>10000</v>
      </c>
      <c r="J2304" s="5">
        <f t="shared" si="113"/>
        <v>6500</v>
      </c>
      <c r="K2304" s="5" t="str">
        <f>VLOOKUP(C2304,[1]master_data!$A$2:$E$495,5,FALSE)</f>
        <v>Ikan</v>
      </c>
      <c r="L2304" s="5" t="s">
        <v>471</v>
      </c>
    </row>
    <row r="2305" spans="1:12" ht="12" customHeight="1" x14ac:dyDescent="0.25">
      <c r="A2305" s="6">
        <v>44689</v>
      </c>
      <c r="B2305" s="1">
        <v>2202258</v>
      </c>
      <c r="C2305" s="5" t="s">
        <v>248</v>
      </c>
      <c r="D2305" s="5" t="str">
        <f>VLOOKUP(C2305,[1]master_data!$A$2:$E$495,2,FALSE)</f>
        <v>MATLINE BLUE</v>
      </c>
      <c r="E2305" s="5">
        <v>2</v>
      </c>
      <c r="F2305" s="5">
        <f>VLOOKUP(C2305,[1]master_data!$A$2:$E$495,3,FALSE)</f>
        <v>7000</v>
      </c>
      <c r="G2305" s="5">
        <f>VLOOKUP(C2305,[1]master_data!$A$2:$E$495,4,FALSE)</f>
        <v>10000</v>
      </c>
      <c r="H2305" s="5">
        <f t="shared" si="111"/>
        <v>14000</v>
      </c>
      <c r="I2305" s="5">
        <f t="shared" si="112"/>
        <v>20000</v>
      </c>
      <c r="J2305" s="5">
        <f t="shared" si="113"/>
        <v>6000</v>
      </c>
      <c r="K2305" s="5" t="str">
        <f>VLOOKUP(C2305,[1]master_data!$A$2:$E$495,5,FALSE)</f>
        <v>Aksesoris</v>
      </c>
      <c r="L2305" s="5" t="s">
        <v>471</v>
      </c>
    </row>
    <row r="2306" spans="1:12" ht="12" customHeight="1" x14ac:dyDescent="0.25">
      <c r="A2306" s="6">
        <v>44689</v>
      </c>
      <c r="B2306" s="1">
        <v>2202257</v>
      </c>
      <c r="C2306" s="5" t="s">
        <v>432</v>
      </c>
      <c r="D2306" s="5" t="str">
        <f>VLOOKUP(C2306,[1]master_data!$A$2:$E$495,2,FALSE)</f>
        <v>MARU K</v>
      </c>
      <c r="E2306" s="5">
        <v>1</v>
      </c>
      <c r="F2306" s="5">
        <f>VLOOKUP(C2306,[1]master_data!$A$2:$E$495,3,FALSE)</f>
        <v>23000</v>
      </c>
      <c r="G2306" s="5">
        <f>VLOOKUP(C2306,[1]master_data!$A$2:$E$495,4,FALSE)</f>
        <v>50000</v>
      </c>
      <c r="H2306" s="5">
        <f t="shared" si="111"/>
        <v>23000</v>
      </c>
      <c r="I2306" s="5">
        <f t="shared" si="112"/>
        <v>50000</v>
      </c>
      <c r="J2306" s="5">
        <f t="shared" si="113"/>
        <v>27000</v>
      </c>
      <c r="K2306" s="5" t="str">
        <f>VLOOKUP(C2306,[1]master_data!$A$2:$E$495,5,FALSE)</f>
        <v>Ikan</v>
      </c>
      <c r="L2306" s="5" t="s">
        <v>471</v>
      </c>
    </row>
    <row r="2307" spans="1:12" ht="12" customHeight="1" x14ac:dyDescent="0.25">
      <c r="A2307" s="6">
        <v>44688</v>
      </c>
      <c r="B2307" s="1">
        <v>2202256</v>
      </c>
      <c r="C2307" s="5" t="s">
        <v>423</v>
      </c>
      <c r="D2307" s="5" t="str">
        <f>VLOOKUP(C2307,[1]master_data!$A$2:$E$495,2,FALSE)</f>
        <v>KOI SLAYER K</v>
      </c>
      <c r="E2307" s="5">
        <v>1</v>
      </c>
      <c r="F2307" s="5">
        <f>VLOOKUP(C2307,[1]master_data!$A$2:$E$495,3,FALSE)</f>
        <v>3500</v>
      </c>
      <c r="G2307" s="5">
        <f>VLOOKUP(C2307,[1]master_data!$A$2:$E$495,4,FALSE)</f>
        <v>10000</v>
      </c>
      <c r="H2307" s="5">
        <f t="shared" si="111"/>
        <v>3500</v>
      </c>
      <c r="I2307" s="5">
        <f t="shared" si="112"/>
        <v>10000</v>
      </c>
      <c r="J2307" s="5">
        <f t="shared" si="113"/>
        <v>6500</v>
      </c>
      <c r="K2307" s="5" t="str">
        <f>VLOOKUP(C2307,[1]master_data!$A$2:$E$495,5,FALSE)</f>
        <v>Ikan</v>
      </c>
      <c r="L2307" s="5" t="s">
        <v>471</v>
      </c>
    </row>
    <row r="2308" spans="1:12" ht="12" customHeight="1" x14ac:dyDescent="0.25">
      <c r="A2308" s="6">
        <v>44688</v>
      </c>
      <c r="B2308" s="1">
        <v>2202255</v>
      </c>
      <c r="C2308" s="5" t="s">
        <v>424</v>
      </c>
      <c r="D2308" s="5" t="str">
        <f>VLOOKUP(C2308,[1]master_data!$A$2:$E$495,2,FALSE)</f>
        <v>KOI SLAYER B</v>
      </c>
      <c r="E2308" s="5">
        <v>2</v>
      </c>
      <c r="F2308" s="5">
        <f>VLOOKUP(C2308,[1]master_data!$A$2:$E$495,3,FALSE)</f>
        <v>8000</v>
      </c>
      <c r="G2308" s="5">
        <f>VLOOKUP(C2308,[1]master_data!$A$2:$E$495,4,FALSE)</f>
        <v>20000</v>
      </c>
      <c r="H2308" s="5">
        <f t="shared" si="111"/>
        <v>16000</v>
      </c>
      <c r="I2308" s="5">
        <f t="shared" si="112"/>
        <v>40000</v>
      </c>
      <c r="J2308" s="5">
        <f t="shared" si="113"/>
        <v>24000</v>
      </c>
      <c r="K2308" s="5" t="str">
        <f>VLOOKUP(C2308,[1]master_data!$A$2:$E$495,5,FALSE)</f>
        <v>Ikan</v>
      </c>
      <c r="L2308" s="5" t="s">
        <v>471</v>
      </c>
    </row>
    <row r="2309" spans="1:12" ht="12" customHeight="1" x14ac:dyDescent="0.25">
      <c r="A2309" s="6">
        <v>44688</v>
      </c>
      <c r="B2309" s="1">
        <v>2202254</v>
      </c>
      <c r="C2309" s="5" t="s">
        <v>408</v>
      </c>
      <c r="D2309" s="5" t="str">
        <f>VLOOKUP(C2309,[1]master_data!$A$2:$E$495,2,FALSE)</f>
        <v>CATFISH</v>
      </c>
      <c r="E2309" s="5">
        <v>2</v>
      </c>
      <c r="F2309" s="5">
        <f>VLOOKUP(C2309,[1]master_data!$A$2:$E$495,3,FALSE)</f>
        <v>20000</v>
      </c>
      <c r="G2309" s="5">
        <f>VLOOKUP(C2309,[1]master_data!$A$2:$E$495,4,FALSE)</f>
        <v>50000</v>
      </c>
      <c r="H2309" s="5">
        <f t="shared" ref="H2309:H2372" si="114">E2309*F2309</f>
        <v>40000</v>
      </c>
      <c r="I2309" s="5">
        <f t="shared" ref="I2309:I2372" si="115">E2309*G2309</f>
        <v>100000</v>
      </c>
      <c r="J2309" s="5">
        <f t="shared" ref="J2309:J2372" si="116">I2309-H2309</f>
        <v>60000</v>
      </c>
      <c r="K2309" s="5" t="str">
        <f>VLOOKUP(C2309,[1]master_data!$A$2:$E$495,5,FALSE)</f>
        <v>Ikan</v>
      </c>
      <c r="L2309" s="5" t="s">
        <v>471</v>
      </c>
    </row>
    <row r="2310" spans="1:12" ht="12" customHeight="1" x14ac:dyDescent="0.25">
      <c r="A2310" s="6">
        <v>44688</v>
      </c>
      <c r="B2310" s="1">
        <v>2202253</v>
      </c>
      <c r="C2310" s="5" t="s">
        <v>432</v>
      </c>
      <c r="D2310" s="5" t="str">
        <f>VLOOKUP(C2310,[1]master_data!$A$2:$E$495,2,FALSE)</f>
        <v>MARU K</v>
      </c>
      <c r="E2310" s="5">
        <v>1</v>
      </c>
      <c r="F2310" s="5">
        <f>VLOOKUP(C2310,[1]master_data!$A$2:$E$495,3,FALSE)</f>
        <v>23000</v>
      </c>
      <c r="G2310" s="5">
        <f>VLOOKUP(C2310,[1]master_data!$A$2:$E$495,4,FALSE)</f>
        <v>50000</v>
      </c>
      <c r="H2310" s="5">
        <f t="shared" si="114"/>
        <v>23000</v>
      </c>
      <c r="I2310" s="5">
        <f t="shared" si="115"/>
        <v>50000</v>
      </c>
      <c r="J2310" s="5">
        <f t="shared" si="116"/>
        <v>27000</v>
      </c>
      <c r="K2310" s="5" t="str">
        <f>VLOOKUP(C2310,[1]master_data!$A$2:$E$495,5,FALSE)</f>
        <v>Ikan</v>
      </c>
      <c r="L2310" s="5" t="s">
        <v>471</v>
      </c>
    </row>
    <row r="2311" spans="1:12" ht="12" customHeight="1" x14ac:dyDescent="0.25">
      <c r="A2311" s="6">
        <v>44688</v>
      </c>
      <c r="B2311" s="1">
        <v>2202252</v>
      </c>
      <c r="C2311" s="5" t="s">
        <v>112</v>
      </c>
      <c r="D2311" s="5" t="str">
        <f>VLOOKUP(C2311,[1]master_data!$A$2:$E$495,2,FALSE)</f>
        <v>LED ROSTON 20 CM</v>
      </c>
      <c r="E2311" s="5">
        <v>1</v>
      </c>
      <c r="F2311" s="5">
        <f>VLOOKUP(C2311,[1]master_data!$A$2:$E$495,3,FALSE)</f>
        <v>21000</v>
      </c>
      <c r="G2311" s="5">
        <f>VLOOKUP(C2311,[1]master_data!$A$2:$E$495,4,FALSE)</f>
        <v>30000</v>
      </c>
      <c r="H2311" s="5">
        <f t="shared" si="114"/>
        <v>21000</v>
      </c>
      <c r="I2311" s="5">
        <f t="shared" si="115"/>
        <v>30000</v>
      </c>
      <c r="J2311" s="5">
        <f t="shared" si="116"/>
        <v>9000</v>
      </c>
      <c r="K2311" s="5" t="str">
        <f>VLOOKUP(C2311,[1]master_data!$A$2:$E$495,5,FALSE)</f>
        <v>Aksesoris</v>
      </c>
      <c r="L2311" s="5" t="s">
        <v>471</v>
      </c>
    </row>
    <row r="2312" spans="1:12" ht="12" customHeight="1" x14ac:dyDescent="0.25">
      <c r="A2312" s="6">
        <v>44688</v>
      </c>
      <c r="B2312" s="1">
        <v>2202251</v>
      </c>
      <c r="C2312" s="5" t="s">
        <v>33</v>
      </c>
      <c r="D2312" s="5" t="str">
        <f>VLOOKUP(C2312,[1]master_data!$A$2:$E$495,2,FALSE)</f>
        <v>MESIN YAMANO 1200</v>
      </c>
      <c r="E2312" s="5">
        <v>1</v>
      </c>
      <c r="F2312" s="5">
        <f>VLOOKUP(C2312,[1]master_data!$A$2:$E$495,3,FALSE)</f>
        <v>27000</v>
      </c>
      <c r="G2312" s="5">
        <f>VLOOKUP(C2312,[1]master_data!$A$2:$E$495,4,FALSE)</f>
        <v>40000</v>
      </c>
      <c r="H2312" s="5">
        <f t="shared" si="114"/>
        <v>27000</v>
      </c>
      <c r="I2312" s="5">
        <f t="shared" si="115"/>
        <v>40000</v>
      </c>
      <c r="J2312" s="5">
        <f t="shared" si="116"/>
        <v>13000</v>
      </c>
      <c r="K2312" s="5" t="str">
        <f>VLOOKUP(C2312,[1]master_data!$A$2:$E$495,5,FALSE)</f>
        <v>Aksesoris</v>
      </c>
      <c r="L2312" s="5" t="s">
        <v>471</v>
      </c>
    </row>
    <row r="2313" spans="1:12" ht="12" customHeight="1" x14ac:dyDescent="0.25">
      <c r="A2313" s="6">
        <v>44688</v>
      </c>
      <c r="B2313" s="1">
        <v>2202250</v>
      </c>
      <c r="C2313" s="5" t="s">
        <v>418</v>
      </c>
      <c r="D2313" s="5" t="str">
        <f>VLOOKUP(C2313,[1]master_data!$A$2:$E$495,2,FALSE)</f>
        <v>KOI B</v>
      </c>
      <c r="E2313" s="5">
        <v>4</v>
      </c>
      <c r="F2313" s="5">
        <f>VLOOKUP(C2313,[1]master_data!$A$2:$E$495,3,FALSE)</f>
        <v>9000</v>
      </c>
      <c r="G2313" s="5">
        <f>VLOOKUP(C2313,[1]master_data!$A$2:$E$495,4,FALSE)</f>
        <v>30000</v>
      </c>
      <c r="H2313" s="5">
        <f t="shared" si="114"/>
        <v>36000</v>
      </c>
      <c r="I2313" s="5">
        <f t="shared" si="115"/>
        <v>120000</v>
      </c>
      <c r="J2313" s="5">
        <f t="shared" si="116"/>
        <v>84000</v>
      </c>
      <c r="K2313" s="5" t="str">
        <f>VLOOKUP(C2313,[1]master_data!$A$2:$E$495,5,FALSE)</f>
        <v>Ikan</v>
      </c>
      <c r="L2313" s="5" t="s">
        <v>471</v>
      </c>
    </row>
    <row r="2314" spans="1:12" ht="12" customHeight="1" x14ac:dyDescent="0.25">
      <c r="A2314" s="6">
        <v>44688</v>
      </c>
      <c r="B2314" s="1">
        <v>2202249</v>
      </c>
      <c r="C2314" s="5" t="s">
        <v>417</v>
      </c>
      <c r="D2314" s="5" t="str">
        <f>VLOOKUP(C2314,[1]master_data!$A$2:$E$495,2,FALSE)</f>
        <v>KOI T</v>
      </c>
      <c r="E2314" s="5">
        <v>1</v>
      </c>
      <c r="F2314" s="5">
        <f>VLOOKUP(C2314,[1]master_data!$A$2:$E$495,3,FALSE)</f>
        <v>7000</v>
      </c>
      <c r="G2314" s="5">
        <f>VLOOKUP(C2314,[1]master_data!$A$2:$E$495,4,FALSE)</f>
        <v>20000</v>
      </c>
      <c r="H2314" s="5">
        <f t="shared" si="114"/>
        <v>7000</v>
      </c>
      <c r="I2314" s="5">
        <f t="shared" si="115"/>
        <v>20000</v>
      </c>
      <c r="J2314" s="5">
        <f t="shared" si="116"/>
        <v>13000</v>
      </c>
      <c r="K2314" s="5" t="str">
        <f>VLOOKUP(C2314,[1]master_data!$A$2:$E$495,5,FALSE)</f>
        <v>Ikan</v>
      </c>
      <c r="L2314" s="5" t="s">
        <v>471</v>
      </c>
    </row>
    <row r="2315" spans="1:12" ht="12" customHeight="1" x14ac:dyDescent="0.25">
      <c r="A2315" s="6">
        <v>44688</v>
      </c>
      <c r="B2315" s="1">
        <v>2202248</v>
      </c>
      <c r="C2315" s="5" t="s">
        <v>415</v>
      </c>
      <c r="D2315" s="5" t="str">
        <f>VLOOKUP(C2315,[1]master_data!$A$2:$E$495,2,FALSE)</f>
        <v>KOKI B</v>
      </c>
      <c r="E2315" s="5">
        <v>2</v>
      </c>
      <c r="F2315" s="5">
        <f>VLOOKUP(C2315,[1]master_data!$A$2:$E$495,3,FALSE)</f>
        <v>20000</v>
      </c>
      <c r="G2315" s="5">
        <f>VLOOKUP(C2315,[1]master_data!$A$2:$E$495,4,FALSE)</f>
        <v>50000</v>
      </c>
      <c r="H2315" s="5">
        <f t="shared" si="114"/>
        <v>40000</v>
      </c>
      <c r="I2315" s="5">
        <f t="shared" si="115"/>
        <v>100000</v>
      </c>
      <c r="J2315" s="5">
        <f t="shared" si="116"/>
        <v>60000</v>
      </c>
      <c r="K2315" s="5" t="str">
        <f>VLOOKUP(C2315,[1]master_data!$A$2:$E$495,5,FALSE)</f>
        <v>Ikan</v>
      </c>
      <c r="L2315" s="5" t="s">
        <v>471</v>
      </c>
    </row>
    <row r="2316" spans="1:12" ht="12" customHeight="1" x14ac:dyDescent="0.25">
      <c r="A2316" s="6">
        <v>44688</v>
      </c>
      <c r="B2316" s="1">
        <v>2202247</v>
      </c>
      <c r="C2316" s="5" t="s">
        <v>416</v>
      </c>
      <c r="D2316" s="5" t="str">
        <f>VLOOKUP(C2316,[1]master_data!$A$2:$E$495,2,FALSE)</f>
        <v>KOI K</v>
      </c>
      <c r="E2316" s="5">
        <v>1</v>
      </c>
      <c r="F2316" s="5">
        <f>VLOOKUP(C2316,[1]master_data!$A$2:$E$495,3,FALSE)</f>
        <v>2500</v>
      </c>
      <c r="G2316" s="5">
        <f>VLOOKUP(C2316,[1]master_data!$A$2:$E$495,4,FALSE)</f>
        <v>10000</v>
      </c>
      <c r="H2316" s="5">
        <f t="shared" si="114"/>
        <v>2500</v>
      </c>
      <c r="I2316" s="5">
        <f t="shared" si="115"/>
        <v>10000</v>
      </c>
      <c r="J2316" s="5">
        <f t="shared" si="116"/>
        <v>7500</v>
      </c>
      <c r="K2316" s="5" t="str">
        <f>VLOOKUP(C2316,[1]master_data!$A$2:$E$495,5,FALSE)</f>
        <v>Ikan</v>
      </c>
      <c r="L2316" s="5" t="s">
        <v>471</v>
      </c>
    </row>
    <row r="2317" spans="1:12" ht="12" customHeight="1" x14ac:dyDescent="0.25">
      <c r="A2317" s="6">
        <v>44688</v>
      </c>
      <c r="B2317" s="1">
        <v>2202246</v>
      </c>
      <c r="C2317" s="5" t="s">
        <v>427</v>
      </c>
      <c r="D2317" s="5" t="str">
        <f>VLOOKUP(C2317,[1]master_data!$A$2:$E$495,2,FALSE)</f>
        <v>LEMON</v>
      </c>
      <c r="E2317" s="5">
        <v>1</v>
      </c>
      <c r="F2317" s="5">
        <f>VLOOKUP(C2317,[1]master_data!$A$2:$E$495,3,FALSE)</f>
        <v>1000</v>
      </c>
      <c r="G2317" s="5">
        <f>VLOOKUP(C2317,[1]master_data!$A$2:$E$495,4,FALSE)</f>
        <v>2000</v>
      </c>
      <c r="H2317" s="5">
        <f t="shared" si="114"/>
        <v>1000</v>
      </c>
      <c r="I2317" s="5">
        <f t="shared" si="115"/>
        <v>2000</v>
      </c>
      <c r="J2317" s="5">
        <f t="shared" si="116"/>
        <v>1000</v>
      </c>
      <c r="K2317" s="5" t="str">
        <f>VLOOKUP(C2317,[1]master_data!$A$2:$E$495,5,FALSE)</f>
        <v>Ikan</v>
      </c>
      <c r="L2317" s="5" t="s">
        <v>471</v>
      </c>
    </row>
    <row r="2318" spans="1:12" ht="12" customHeight="1" x14ac:dyDescent="0.25">
      <c r="A2318" s="6">
        <v>44688</v>
      </c>
      <c r="B2318" s="1">
        <v>2202245</v>
      </c>
      <c r="C2318" s="5" t="s">
        <v>248</v>
      </c>
      <c r="D2318" s="5" t="str">
        <f>VLOOKUP(C2318,[1]master_data!$A$2:$E$495,2,FALSE)</f>
        <v>MATLINE BLUE</v>
      </c>
      <c r="E2318" s="5">
        <v>2</v>
      </c>
      <c r="F2318" s="5">
        <f>VLOOKUP(C2318,[1]master_data!$A$2:$E$495,3,FALSE)</f>
        <v>7000</v>
      </c>
      <c r="G2318" s="5">
        <f>VLOOKUP(C2318,[1]master_data!$A$2:$E$495,4,FALSE)</f>
        <v>10000</v>
      </c>
      <c r="H2318" s="5">
        <f t="shared" si="114"/>
        <v>14000</v>
      </c>
      <c r="I2318" s="5">
        <f t="shared" si="115"/>
        <v>20000</v>
      </c>
      <c r="J2318" s="5">
        <f t="shared" si="116"/>
        <v>6000</v>
      </c>
      <c r="K2318" s="5" t="str">
        <f>VLOOKUP(C2318,[1]master_data!$A$2:$E$495,5,FALSE)</f>
        <v>Aksesoris</v>
      </c>
      <c r="L2318" s="5" t="s">
        <v>471</v>
      </c>
    </row>
    <row r="2319" spans="1:12" ht="12" customHeight="1" x14ac:dyDescent="0.25">
      <c r="A2319" s="6">
        <v>44688</v>
      </c>
      <c r="B2319" s="1">
        <v>2202244</v>
      </c>
      <c r="C2319" s="5" t="s">
        <v>35</v>
      </c>
      <c r="D2319" s="5" t="str">
        <f>VLOOKUP(C2319,[1]master_data!$A$2:$E$495,2,FALSE)</f>
        <v>MESIN YAMANO 1800</v>
      </c>
      <c r="E2319" s="5">
        <v>1</v>
      </c>
      <c r="F2319" s="5">
        <f>VLOOKUP(C2319,[1]master_data!$A$2:$E$495,3,FALSE)</f>
        <v>64000</v>
      </c>
      <c r="G2319" s="5">
        <f>VLOOKUP(C2319,[1]master_data!$A$2:$E$495,4,FALSE)</f>
        <v>110000</v>
      </c>
      <c r="H2319" s="5">
        <f t="shared" si="114"/>
        <v>64000</v>
      </c>
      <c r="I2319" s="5">
        <f t="shared" si="115"/>
        <v>110000</v>
      </c>
      <c r="J2319" s="5">
        <f t="shared" si="116"/>
        <v>46000</v>
      </c>
      <c r="K2319" s="5" t="str">
        <f>VLOOKUP(C2319,[1]master_data!$A$2:$E$495,5,FALSE)</f>
        <v>Aksesoris</v>
      </c>
      <c r="L2319" s="5" t="s">
        <v>471</v>
      </c>
    </row>
    <row r="2320" spans="1:12" ht="12" customHeight="1" x14ac:dyDescent="0.25">
      <c r="A2320" s="6">
        <v>44687</v>
      </c>
      <c r="B2320" s="1">
        <v>2202243</v>
      </c>
      <c r="C2320" s="5" t="s">
        <v>423</v>
      </c>
      <c r="D2320" s="5" t="str">
        <f>VLOOKUP(C2320,[1]master_data!$A$2:$E$495,2,FALSE)</f>
        <v>KOI SLAYER K</v>
      </c>
      <c r="E2320" s="5">
        <v>1</v>
      </c>
      <c r="F2320" s="5">
        <f>VLOOKUP(C2320,[1]master_data!$A$2:$E$495,3,FALSE)</f>
        <v>3500</v>
      </c>
      <c r="G2320" s="5">
        <f>VLOOKUP(C2320,[1]master_data!$A$2:$E$495,4,FALSE)</f>
        <v>10000</v>
      </c>
      <c r="H2320" s="5">
        <f t="shared" si="114"/>
        <v>3500</v>
      </c>
      <c r="I2320" s="5">
        <f t="shared" si="115"/>
        <v>10000</v>
      </c>
      <c r="J2320" s="5">
        <f t="shared" si="116"/>
        <v>6500</v>
      </c>
      <c r="K2320" s="5" t="str">
        <f>VLOOKUP(C2320,[1]master_data!$A$2:$E$495,5,FALSE)</f>
        <v>Ikan</v>
      </c>
      <c r="L2320" s="5" t="s">
        <v>471</v>
      </c>
    </row>
    <row r="2321" spans="1:12" ht="12" customHeight="1" x14ac:dyDescent="0.25">
      <c r="A2321" s="6">
        <v>44687</v>
      </c>
      <c r="B2321" s="1">
        <v>2202242</v>
      </c>
      <c r="C2321" s="5" t="s">
        <v>6</v>
      </c>
      <c r="D2321" s="5" t="str">
        <f>VLOOKUP(C2321,[1]master_data!$A$2:$E$495,2,FALSE)</f>
        <v>MESIN YANG 1200</v>
      </c>
      <c r="E2321" s="5">
        <v>1</v>
      </c>
      <c r="F2321" s="5">
        <f>VLOOKUP(C2321,[1]master_data!$A$2:$E$495,3,FALSE)</f>
        <v>25000</v>
      </c>
      <c r="G2321" s="5">
        <f>VLOOKUP(C2321,[1]master_data!$A$2:$E$495,4,FALSE)</f>
        <v>40000</v>
      </c>
      <c r="H2321" s="5">
        <f t="shared" si="114"/>
        <v>25000</v>
      </c>
      <c r="I2321" s="5">
        <f t="shared" si="115"/>
        <v>40000</v>
      </c>
      <c r="J2321" s="5">
        <f t="shared" si="116"/>
        <v>15000</v>
      </c>
      <c r="K2321" s="5" t="str">
        <f>VLOOKUP(C2321,[1]master_data!$A$2:$E$495,5,FALSE)</f>
        <v>Aksesoris</v>
      </c>
      <c r="L2321" s="5" t="s">
        <v>471</v>
      </c>
    </row>
    <row r="2322" spans="1:12" ht="12" customHeight="1" x14ac:dyDescent="0.25">
      <c r="A2322" s="6">
        <v>44687</v>
      </c>
      <c r="B2322" s="1">
        <v>2202241</v>
      </c>
      <c r="C2322" s="5" t="s">
        <v>418</v>
      </c>
      <c r="D2322" s="5" t="str">
        <f>VLOOKUP(C2322,[1]master_data!$A$2:$E$495,2,FALSE)</f>
        <v>KOI B</v>
      </c>
      <c r="E2322" s="5">
        <v>4</v>
      </c>
      <c r="F2322" s="5">
        <f>VLOOKUP(C2322,[1]master_data!$A$2:$E$495,3,FALSE)</f>
        <v>9000</v>
      </c>
      <c r="G2322" s="5">
        <f>VLOOKUP(C2322,[1]master_data!$A$2:$E$495,4,FALSE)</f>
        <v>30000</v>
      </c>
      <c r="H2322" s="5">
        <f t="shared" si="114"/>
        <v>36000</v>
      </c>
      <c r="I2322" s="5">
        <f t="shared" si="115"/>
        <v>120000</v>
      </c>
      <c r="J2322" s="5">
        <f t="shared" si="116"/>
        <v>84000</v>
      </c>
      <c r="K2322" s="5" t="str">
        <f>VLOOKUP(C2322,[1]master_data!$A$2:$E$495,5,FALSE)</f>
        <v>Ikan</v>
      </c>
      <c r="L2322" s="5" t="s">
        <v>471</v>
      </c>
    </row>
    <row r="2323" spans="1:12" ht="12" customHeight="1" x14ac:dyDescent="0.25">
      <c r="A2323" s="6">
        <v>44687</v>
      </c>
      <c r="B2323" s="1">
        <v>2202240</v>
      </c>
      <c r="C2323" s="5" t="s">
        <v>204</v>
      </c>
      <c r="D2323" s="5" t="str">
        <f>VLOOKUP(C2323,[1]master_data!$A$2:$E$495,2,FALSE)</f>
        <v>MAGOT</v>
      </c>
      <c r="E2323" s="5">
        <v>1</v>
      </c>
      <c r="F2323" s="5">
        <f>VLOOKUP(C2323,[1]master_data!$A$2:$E$495,3,FALSE)</f>
        <v>4500</v>
      </c>
      <c r="G2323" s="5">
        <f>VLOOKUP(C2323,[1]master_data!$A$2:$E$495,4,FALSE)</f>
        <v>10000</v>
      </c>
      <c r="H2323" s="5">
        <f t="shared" si="114"/>
        <v>4500</v>
      </c>
      <c r="I2323" s="5">
        <f t="shared" si="115"/>
        <v>10000</v>
      </c>
      <c r="J2323" s="5">
        <f t="shared" si="116"/>
        <v>5500</v>
      </c>
      <c r="K2323" s="5" t="str">
        <f>VLOOKUP(C2323,[1]master_data!$A$2:$E$495,5,FALSE)</f>
        <v>Aksesoris</v>
      </c>
      <c r="L2323" s="5" t="s">
        <v>471</v>
      </c>
    </row>
    <row r="2324" spans="1:12" ht="12" customHeight="1" x14ac:dyDescent="0.25">
      <c r="A2324" s="6">
        <v>44687</v>
      </c>
      <c r="B2324" s="1">
        <v>2202239</v>
      </c>
      <c r="C2324" s="5" t="s">
        <v>112</v>
      </c>
      <c r="D2324" s="5" t="str">
        <f>VLOOKUP(C2324,[1]master_data!$A$2:$E$495,2,FALSE)</f>
        <v>LED ROSTON 20 CM</v>
      </c>
      <c r="E2324" s="5">
        <v>1</v>
      </c>
      <c r="F2324" s="5">
        <f>VLOOKUP(C2324,[1]master_data!$A$2:$E$495,3,FALSE)</f>
        <v>21000</v>
      </c>
      <c r="G2324" s="5">
        <f>VLOOKUP(C2324,[1]master_data!$A$2:$E$495,4,FALSE)</f>
        <v>30000</v>
      </c>
      <c r="H2324" s="5">
        <f t="shared" si="114"/>
        <v>21000</v>
      </c>
      <c r="I2324" s="5">
        <f t="shared" si="115"/>
        <v>30000</v>
      </c>
      <c r="J2324" s="5">
        <f t="shared" si="116"/>
        <v>9000</v>
      </c>
      <c r="K2324" s="5" t="str">
        <f>VLOOKUP(C2324,[1]master_data!$A$2:$E$495,5,FALSE)</f>
        <v>Aksesoris</v>
      </c>
      <c r="L2324" s="5" t="s">
        <v>471</v>
      </c>
    </row>
    <row r="2325" spans="1:12" ht="12" customHeight="1" x14ac:dyDescent="0.25">
      <c r="A2325" s="6">
        <v>44687</v>
      </c>
      <c r="B2325" s="1">
        <v>2202238</v>
      </c>
      <c r="C2325" s="5" t="s">
        <v>285</v>
      </c>
      <c r="D2325" s="5" t="str">
        <f>VLOOKUP(C2325,[1]master_data!$A$2:$E$495,2,FALSE)</f>
        <v>KAPAS 4 LAPIS</v>
      </c>
      <c r="E2325" s="5">
        <v>1</v>
      </c>
      <c r="F2325" s="5">
        <f>VLOOKUP(C2325,[1]master_data!$A$2:$E$495,3,FALSE)</f>
        <v>6500</v>
      </c>
      <c r="G2325" s="5">
        <f>VLOOKUP(C2325,[1]master_data!$A$2:$E$495,4,FALSE)</f>
        <v>10000</v>
      </c>
      <c r="H2325" s="5">
        <f t="shared" si="114"/>
        <v>6500</v>
      </c>
      <c r="I2325" s="5">
        <f t="shared" si="115"/>
        <v>10000</v>
      </c>
      <c r="J2325" s="5">
        <f t="shared" si="116"/>
        <v>3500</v>
      </c>
      <c r="K2325" s="5" t="str">
        <f>VLOOKUP(C2325,[1]master_data!$A$2:$E$495,5,FALSE)</f>
        <v>Aksesoris</v>
      </c>
      <c r="L2325" s="5" t="s">
        <v>471</v>
      </c>
    </row>
    <row r="2326" spans="1:12" ht="12" customHeight="1" x14ac:dyDescent="0.25">
      <c r="A2326" s="6">
        <v>44687</v>
      </c>
      <c r="B2326" s="1">
        <v>2202237</v>
      </c>
      <c r="C2326" s="5" t="s">
        <v>115</v>
      </c>
      <c r="D2326" s="5" t="str">
        <f>VLOOKUP(C2326,[1]master_data!$A$2:$E$495,2,FALSE)</f>
        <v>LED ROSTON 30 CM</v>
      </c>
      <c r="E2326" s="5">
        <v>1</v>
      </c>
      <c r="F2326" s="5">
        <f>VLOOKUP(C2326,[1]master_data!$A$2:$E$495,3,FALSE)</f>
        <v>21000</v>
      </c>
      <c r="G2326" s="5">
        <f>VLOOKUP(C2326,[1]master_data!$A$2:$E$495,4,FALSE)</f>
        <v>35000</v>
      </c>
      <c r="H2326" s="5">
        <f t="shared" si="114"/>
        <v>21000</v>
      </c>
      <c r="I2326" s="5">
        <f t="shared" si="115"/>
        <v>35000</v>
      </c>
      <c r="J2326" s="5">
        <f t="shared" si="116"/>
        <v>14000</v>
      </c>
      <c r="K2326" s="5" t="str">
        <f>VLOOKUP(C2326,[1]master_data!$A$2:$E$495,5,FALSE)</f>
        <v>Aksesoris</v>
      </c>
      <c r="L2326" s="5" t="s">
        <v>471</v>
      </c>
    </row>
    <row r="2327" spans="1:12" ht="12" customHeight="1" x14ac:dyDescent="0.25">
      <c r="A2327" s="6">
        <v>44687</v>
      </c>
      <c r="B2327" s="1">
        <v>2202236</v>
      </c>
      <c r="C2327" s="5" t="s">
        <v>415</v>
      </c>
      <c r="D2327" s="5" t="str">
        <f>VLOOKUP(C2327,[1]master_data!$A$2:$E$495,2,FALSE)</f>
        <v>KOKI B</v>
      </c>
      <c r="E2327" s="5">
        <v>2</v>
      </c>
      <c r="F2327" s="5">
        <f>VLOOKUP(C2327,[1]master_data!$A$2:$E$495,3,FALSE)</f>
        <v>20000</v>
      </c>
      <c r="G2327" s="5">
        <f>VLOOKUP(C2327,[1]master_data!$A$2:$E$495,4,FALSE)</f>
        <v>50000</v>
      </c>
      <c r="H2327" s="5">
        <f t="shared" si="114"/>
        <v>40000</v>
      </c>
      <c r="I2327" s="5">
        <f t="shared" si="115"/>
        <v>100000</v>
      </c>
      <c r="J2327" s="5">
        <f t="shared" si="116"/>
        <v>60000</v>
      </c>
      <c r="K2327" s="5" t="str">
        <f>VLOOKUP(C2327,[1]master_data!$A$2:$E$495,5,FALSE)</f>
        <v>Ikan</v>
      </c>
      <c r="L2327" s="5" t="s">
        <v>471</v>
      </c>
    </row>
    <row r="2328" spans="1:12" ht="12" customHeight="1" x14ac:dyDescent="0.25">
      <c r="A2328" s="6">
        <v>44687</v>
      </c>
      <c r="B2328" s="1">
        <v>2202235</v>
      </c>
      <c r="C2328" s="5" t="s">
        <v>408</v>
      </c>
      <c r="D2328" s="5" t="str">
        <f>VLOOKUP(C2328,[1]master_data!$A$2:$E$495,2,FALSE)</f>
        <v>CATFISH</v>
      </c>
      <c r="E2328" s="5">
        <v>2</v>
      </c>
      <c r="F2328" s="5">
        <f>VLOOKUP(C2328,[1]master_data!$A$2:$E$495,3,FALSE)</f>
        <v>20000</v>
      </c>
      <c r="G2328" s="5">
        <f>VLOOKUP(C2328,[1]master_data!$A$2:$E$495,4,FALSE)</f>
        <v>50000</v>
      </c>
      <c r="H2328" s="5">
        <f t="shared" si="114"/>
        <v>40000</v>
      </c>
      <c r="I2328" s="5">
        <f t="shared" si="115"/>
        <v>100000</v>
      </c>
      <c r="J2328" s="5">
        <f t="shared" si="116"/>
        <v>60000</v>
      </c>
      <c r="K2328" s="5" t="str">
        <f>VLOOKUP(C2328,[1]master_data!$A$2:$E$495,5,FALSE)</f>
        <v>Ikan</v>
      </c>
      <c r="L2328" s="5" t="s">
        <v>471</v>
      </c>
    </row>
    <row r="2329" spans="1:12" ht="12" customHeight="1" x14ac:dyDescent="0.25">
      <c r="A2329" s="6">
        <v>44687</v>
      </c>
      <c r="B2329" s="1">
        <v>2202234</v>
      </c>
      <c r="C2329" s="5" t="s">
        <v>417</v>
      </c>
      <c r="D2329" s="5" t="str">
        <f>VLOOKUP(C2329,[1]master_data!$A$2:$E$495,2,FALSE)</f>
        <v>KOI T</v>
      </c>
      <c r="E2329" s="5">
        <v>1</v>
      </c>
      <c r="F2329" s="5">
        <f>VLOOKUP(C2329,[1]master_data!$A$2:$E$495,3,FALSE)</f>
        <v>7000</v>
      </c>
      <c r="G2329" s="5">
        <f>VLOOKUP(C2329,[1]master_data!$A$2:$E$495,4,FALSE)</f>
        <v>20000</v>
      </c>
      <c r="H2329" s="5">
        <f t="shared" si="114"/>
        <v>7000</v>
      </c>
      <c r="I2329" s="5">
        <f t="shared" si="115"/>
        <v>20000</v>
      </c>
      <c r="J2329" s="5">
        <f t="shared" si="116"/>
        <v>13000</v>
      </c>
      <c r="K2329" s="5" t="str">
        <f>VLOOKUP(C2329,[1]master_data!$A$2:$E$495,5,FALSE)</f>
        <v>Ikan</v>
      </c>
      <c r="L2329" s="5" t="s">
        <v>471</v>
      </c>
    </row>
    <row r="2330" spans="1:12" ht="12" customHeight="1" x14ac:dyDescent="0.25">
      <c r="A2330" s="6">
        <v>44687</v>
      </c>
      <c r="B2330" s="1">
        <v>2202233</v>
      </c>
      <c r="C2330" s="5" t="s">
        <v>432</v>
      </c>
      <c r="D2330" s="5" t="str">
        <f>VLOOKUP(C2330,[1]master_data!$A$2:$E$495,2,FALSE)</f>
        <v>MARU K</v>
      </c>
      <c r="E2330" s="5">
        <v>1</v>
      </c>
      <c r="F2330" s="5">
        <f>VLOOKUP(C2330,[1]master_data!$A$2:$E$495,3,FALSE)</f>
        <v>23000</v>
      </c>
      <c r="G2330" s="5">
        <f>VLOOKUP(C2330,[1]master_data!$A$2:$E$495,4,FALSE)</f>
        <v>50000</v>
      </c>
      <c r="H2330" s="5">
        <f t="shared" si="114"/>
        <v>23000</v>
      </c>
      <c r="I2330" s="5">
        <f t="shared" si="115"/>
        <v>50000</v>
      </c>
      <c r="J2330" s="5">
        <f t="shared" si="116"/>
        <v>27000</v>
      </c>
      <c r="K2330" s="5" t="str">
        <f>VLOOKUP(C2330,[1]master_data!$A$2:$E$495,5,FALSE)</f>
        <v>Ikan</v>
      </c>
      <c r="L2330" s="5" t="s">
        <v>471</v>
      </c>
    </row>
    <row r="2331" spans="1:12" ht="12" customHeight="1" x14ac:dyDescent="0.25">
      <c r="A2331" s="6">
        <v>44687</v>
      </c>
      <c r="B2331" s="1">
        <v>2202232</v>
      </c>
      <c r="C2331" s="5" t="s">
        <v>248</v>
      </c>
      <c r="D2331" s="5" t="str">
        <f>VLOOKUP(C2331,[1]master_data!$A$2:$E$495,2,FALSE)</f>
        <v>MATLINE BLUE</v>
      </c>
      <c r="E2331" s="5">
        <v>2</v>
      </c>
      <c r="F2331" s="5">
        <f>VLOOKUP(C2331,[1]master_data!$A$2:$E$495,3,FALSE)</f>
        <v>7000</v>
      </c>
      <c r="G2331" s="5">
        <f>VLOOKUP(C2331,[1]master_data!$A$2:$E$495,4,FALSE)</f>
        <v>10000</v>
      </c>
      <c r="H2331" s="5">
        <f t="shared" si="114"/>
        <v>14000</v>
      </c>
      <c r="I2331" s="5">
        <f t="shared" si="115"/>
        <v>20000</v>
      </c>
      <c r="J2331" s="5">
        <f t="shared" si="116"/>
        <v>6000</v>
      </c>
      <c r="K2331" s="5" t="str">
        <f>VLOOKUP(C2331,[1]master_data!$A$2:$E$495,5,FALSE)</f>
        <v>Aksesoris</v>
      </c>
      <c r="L2331" s="5" t="s">
        <v>471</v>
      </c>
    </row>
    <row r="2332" spans="1:12" ht="12" customHeight="1" x14ac:dyDescent="0.25">
      <c r="A2332" s="6">
        <v>44686</v>
      </c>
      <c r="B2332" s="1">
        <v>2202231</v>
      </c>
      <c r="C2332" s="5" t="s">
        <v>208</v>
      </c>
      <c r="D2332" s="5" t="str">
        <f>VLOOKUP(C2332,[1]master_data!$A$2:$E$495,2,FALSE)</f>
        <v>TOP VIT</v>
      </c>
      <c r="E2332" s="5">
        <v>1</v>
      </c>
      <c r="F2332" s="5">
        <f>VLOOKUP(C2332,[1]master_data!$A$2:$E$495,3,FALSE)</f>
        <v>4000</v>
      </c>
      <c r="G2332" s="5">
        <f>VLOOKUP(C2332,[1]master_data!$A$2:$E$495,4,FALSE)</f>
        <v>7000</v>
      </c>
      <c r="H2332" s="5">
        <f t="shared" si="114"/>
        <v>4000</v>
      </c>
      <c r="I2332" s="5">
        <f t="shared" si="115"/>
        <v>7000</v>
      </c>
      <c r="J2332" s="5">
        <f t="shared" si="116"/>
        <v>3000</v>
      </c>
      <c r="K2332" s="5" t="str">
        <f>VLOOKUP(C2332,[1]master_data!$A$2:$E$495,5,FALSE)</f>
        <v>Aksesoris</v>
      </c>
      <c r="L2332" s="5" t="s">
        <v>471</v>
      </c>
    </row>
    <row r="2333" spans="1:12" ht="12" customHeight="1" x14ac:dyDescent="0.25">
      <c r="A2333" s="6">
        <v>44686</v>
      </c>
      <c r="B2333" s="1">
        <v>2202230</v>
      </c>
      <c r="C2333" s="5" t="s">
        <v>432</v>
      </c>
      <c r="D2333" s="5" t="str">
        <f>VLOOKUP(C2333,[1]master_data!$A$2:$E$495,2,FALSE)</f>
        <v>MARU K</v>
      </c>
      <c r="E2333" s="5">
        <v>1</v>
      </c>
      <c r="F2333" s="5">
        <f>VLOOKUP(C2333,[1]master_data!$A$2:$E$495,3,FALSE)</f>
        <v>23000</v>
      </c>
      <c r="G2333" s="5">
        <f>VLOOKUP(C2333,[1]master_data!$A$2:$E$495,4,FALSE)</f>
        <v>50000</v>
      </c>
      <c r="H2333" s="5">
        <f t="shared" si="114"/>
        <v>23000</v>
      </c>
      <c r="I2333" s="5">
        <f t="shared" si="115"/>
        <v>50000</v>
      </c>
      <c r="J2333" s="5">
        <f t="shared" si="116"/>
        <v>27000</v>
      </c>
      <c r="K2333" s="5" t="str">
        <f>VLOOKUP(C2333,[1]master_data!$A$2:$E$495,5,FALSE)</f>
        <v>Ikan</v>
      </c>
      <c r="L2333" s="5" t="s">
        <v>471</v>
      </c>
    </row>
    <row r="2334" spans="1:12" ht="12" customHeight="1" x14ac:dyDescent="0.25">
      <c r="A2334" s="6">
        <v>44686</v>
      </c>
      <c r="B2334" s="1">
        <v>2202229</v>
      </c>
      <c r="C2334" s="5" t="s">
        <v>100</v>
      </c>
      <c r="D2334" s="5" t="str">
        <f>VLOOKUP(C2334,[1]master_data!$A$2:$E$495,2,FALSE)</f>
        <v>AIRATOR AMARA LUB 1</v>
      </c>
      <c r="E2334" s="5">
        <v>1</v>
      </c>
      <c r="F2334" s="5">
        <f>VLOOKUP(C2334,[1]master_data!$A$2:$E$495,3,FALSE)</f>
        <v>17500</v>
      </c>
      <c r="G2334" s="5">
        <f>VLOOKUP(C2334,[1]master_data!$A$2:$E$495,4,FALSE)</f>
        <v>30000</v>
      </c>
      <c r="H2334" s="5">
        <f t="shared" si="114"/>
        <v>17500</v>
      </c>
      <c r="I2334" s="5">
        <f t="shared" si="115"/>
        <v>30000</v>
      </c>
      <c r="J2334" s="5">
        <f t="shared" si="116"/>
        <v>12500</v>
      </c>
      <c r="K2334" s="5" t="str">
        <f>VLOOKUP(C2334,[1]master_data!$A$2:$E$495,5,FALSE)</f>
        <v>Aksesoris</v>
      </c>
      <c r="L2334" s="5" t="s">
        <v>471</v>
      </c>
    </row>
    <row r="2335" spans="1:12" ht="12" customHeight="1" x14ac:dyDescent="0.25">
      <c r="A2335" s="6">
        <v>44686</v>
      </c>
      <c r="B2335" s="1">
        <v>2202228</v>
      </c>
      <c r="C2335" s="5" t="s">
        <v>423</v>
      </c>
      <c r="D2335" s="5" t="str">
        <f>VLOOKUP(C2335,[1]master_data!$A$2:$E$495,2,FALSE)</f>
        <v>KOI SLAYER K</v>
      </c>
      <c r="E2335" s="5">
        <v>1</v>
      </c>
      <c r="F2335" s="5">
        <f>VLOOKUP(C2335,[1]master_data!$A$2:$E$495,3,FALSE)</f>
        <v>3500</v>
      </c>
      <c r="G2335" s="5">
        <f>VLOOKUP(C2335,[1]master_data!$A$2:$E$495,4,FALSE)</f>
        <v>10000</v>
      </c>
      <c r="H2335" s="5">
        <f t="shared" si="114"/>
        <v>3500</v>
      </c>
      <c r="I2335" s="5">
        <f t="shared" si="115"/>
        <v>10000</v>
      </c>
      <c r="J2335" s="5">
        <f t="shared" si="116"/>
        <v>6500</v>
      </c>
      <c r="K2335" s="5" t="str">
        <f>VLOOKUP(C2335,[1]master_data!$A$2:$E$495,5,FALSE)</f>
        <v>Ikan</v>
      </c>
      <c r="L2335" s="5" t="s">
        <v>471</v>
      </c>
    </row>
    <row r="2336" spans="1:12" ht="12" customHeight="1" x14ac:dyDescent="0.25">
      <c r="A2336" s="6">
        <v>44686</v>
      </c>
      <c r="B2336" s="1">
        <v>2202227</v>
      </c>
      <c r="C2336" s="5" t="s">
        <v>255</v>
      </c>
      <c r="D2336" s="5" t="str">
        <f>VLOOKUP(C2336,[1]master_data!$A$2:$E$495,2,FALSE)</f>
        <v>ACRIPLAVIN</v>
      </c>
      <c r="E2336" s="5">
        <v>1</v>
      </c>
      <c r="F2336" s="5">
        <f>VLOOKUP(C2336,[1]master_data!$A$2:$E$495,3,FALSE)</f>
        <v>3000</v>
      </c>
      <c r="G2336" s="5">
        <f>VLOOKUP(C2336,[1]master_data!$A$2:$E$495,4,FALSE)</f>
        <v>8000</v>
      </c>
      <c r="H2336" s="5">
        <f t="shared" si="114"/>
        <v>3000</v>
      </c>
      <c r="I2336" s="5">
        <f t="shared" si="115"/>
        <v>8000</v>
      </c>
      <c r="J2336" s="5">
        <f t="shared" si="116"/>
        <v>5000</v>
      </c>
      <c r="K2336" s="5" t="str">
        <f>VLOOKUP(C2336,[1]master_data!$A$2:$E$495,5,FALSE)</f>
        <v>Aksesoris</v>
      </c>
      <c r="L2336" s="5" t="s">
        <v>471</v>
      </c>
    </row>
    <row r="2337" spans="1:12" ht="12" customHeight="1" x14ac:dyDescent="0.25">
      <c r="A2337" s="6">
        <v>44686</v>
      </c>
      <c r="B2337" s="1">
        <v>2202226</v>
      </c>
      <c r="C2337" s="5" t="s">
        <v>418</v>
      </c>
      <c r="D2337" s="5" t="str">
        <f>VLOOKUP(C2337,[1]master_data!$A$2:$E$495,2,FALSE)</f>
        <v>KOI B</v>
      </c>
      <c r="E2337" s="5">
        <v>4</v>
      </c>
      <c r="F2337" s="5">
        <f>VLOOKUP(C2337,[1]master_data!$A$2:$E$495,3,FALSE)</f>
        <v>9000</v>
      </c>
      <c r="G2337" s="5">
        <f>VLOOKUP(C2337,[1]master_data!$A$2:$E$495,4,FALSE)</f>
        <v>30000</v>
      </c>
      <c r="H2337" s="5">
        <f t="shared" si="114"/>
        <v>36000</v>
      </c>
      <c r="I2337" s="5">
        <f t="shared" si="115"/>
        <v>120000</v>
      </c>
      <c r="J2337" s="5">
        <f t="shared" si="116"/>
        <v>84000</v>
      </c>
      <c r="K2337" s="5" t="str">
        <f>VLOOKUP(C2337,[1]master_data!$A$2:$E$495,5,FALSE)</f>
        <v>Ikan</v>
      </c>
      <c r="L2337" s="5" t="s">
        <v>471</v>
      </c>
    </row>
    <row r="2338" spans="1:12" ht="12" customHeight="1" x14ac:dyDescent="0.25">
      <c r="A2338" s="6">
        <v>44686</v>
      </c>
      <c r="B2338" s="1">
        <v>2202225</v>
      </c>
      <c r="C2338" s="5" t="s">
        <v>408</v>
      </c>
      <c r="D2338" s="5" t="str">
        <f>VLOOKUP(C2338,[1]master_data!$A$2:$E$495,2,FALSE)</f>
        <v>CATFISH</v>
      </c>
      <c r="E2338" s="5">
        <v>2</v>
      </c>
      <c r="F2338" s="5">
        <f>VLOOKUP(C2338,[1]master_data!$A$2:$E$495,3,FALSE)</f>
        <v>20000</v>
      </c>
      <c r="G2338" s="5">
        <f>VLOOKUP(C2338,[1]master_data!$A$2:$E$495,4,FALSE)</f>
        <v>50000</v>
      </c>
      <c r="H2338" s="5">
        <f t="shared" si="114"/>
        <v>40000</v>
      </c>
      <c r="I2338" s="5">
        <f t="shared" si="115"/>
        <v>100000</v>
      </c>
      <c r="J2338" s="5">
        <f t="shared" si="116"/>
        <v>60000</v>
      </c>
      <c r="K2338" s="5" t="str">
        <f>VLOOKUP(C2338,[1]master_data!$A$2:$E$495,5,FALSE)</f>
        <v>Ikan</v>
      </c>
      <c r="L2338" s="5" t="s">
        <v>471</v>
      </c>
    </row>
    <row r="2339" spans="1:12" ht="12" customHeight="1" x14ac:dyDescent="0.25">
      <c r="A2339" s="6">
        <v>44686</v>
      </c>
      <c r="B2339" s="1">
        <v>2202224</v>
      </c>
      <c r="C2339" s="5" t="s">
        <v>407</v>
      </c>
      <c r="D2339" s="5" t="str">
        <f>VLOOKUP(C2339,[1]master_data!$A$2:$E$495,2,FALSE)</f>
        <v>CUPANG</v>
      </c>
      <c r="E2339" s="5">
        <v>2</v>
      </c>
      <c r="F2339" s="5">
        <f>VLOOKUP(C2339,[1]master_data!$A$2:$E$495,3,FALSE)</f>
        <v>2000</v>
      </c>
      <c r="G2339" s="5">
        <f>VLOOKUP(C2339,[1]master_data!$A$2:$E$495,4,FALSE)</f>
        <v>5000</v>
      </c>
      <c r="H2339" s="5">
        <f t="shared" si="114"/>
        <v>4000</v>
      </c>
      <c r="I2339" s="5">
        <f t="shared" si="115"/>
        <v>10000</v>
      </c>
      <c r="J2339" s="5">
        <f t="shared" si="116"/>
        <v>6000</v>
      </c>
      <c r="K2339" s="5" t="str">
        <f>VLOOKUP(C2339,[1]master_data!$A$2:$E$495,5,FALSE)</f>
        <v>Ikan</v>
      </c>
      <c r="L2339" s="5" t="s">
        <v>471</v>
      </c>
    </row>
    <row r="2340" spans="1:12" ht="12" customHeight="1" x14ac:dyDescent="0.25">
      <c r="A2340" s="6">
        <v>44686</v>
      </c>
      <c r="B2340" s="1">
        <v>2202223</v>
      </c>
      <c r="C2340" s="5" t="s">
        <v>310</v>
      </c>
      <c r="D2340" s="5" t="str">
        <f>VLOOKUP(C2340,[1]master_data!$A$2:$E$495,2,FALSE)</f>
        <v>SELANG FUSO</v>
      </c>
      <c r="E2340" s="5">
        <v>2</v>
      </c>
      <c r="F2340" s="5">
        <f>VLOOKUP(C2340,[1]master_data!$A$2:$E$495,3,FALSE)</f>
        <v>800</v>
      </c>
      <c r="G2340" s="5">
        <f>VLOOKUP(C2340,[1]master_data!$A$2:$E$495,4,FALSE)</f>
        <v>2000</v>
      </c>
      <c r="H2340" s="5">
        <f t="shared" si="114"/>
        <v>1600</v>
      </c>
      <c r="I2340" s="5">
        <f t="shared" si="115"/>
        <v>4000</v>
      </c>
      <c r="J2340" s="5">
        <f t="shared" si="116"/>
        <v>2400</v>
      </c>
      <c r="K2340" s="5" t="str">
        <f>VLOOKUP(C2340,[1]master_data!$A$2:$E$495,5,FALSE)</f>
        <v>Aksesoris</v>
      </c>
      <c r="L2340" s="5" t="s">
        <v>471</v>
      </c>
    </row>
    <row r="2341" spans="1:12" ht="12" customHeight="1" x14ac:dyDescent="0.25">
      <c r="A2341" s="6">
        <v>44686</v>
      </c>
      <c r="B2341" s="1">
        <v>2202222</v>
      </c>
      <c r="C2341" s="5" t="s">
        <v>233</v>
      </c>
      <c r="D2341" s="5" t="str">
        <f>VLOOKUP(C2341,[1]master_data!$A$2:$E$495,2,FALSE)</f>
        <v>FISH LOVE PAKAN</v>
      </c>
      <c r="E2341" s="5">
        <v>1</v>
      </c>
      <c r="F2341" s="5">
        <f>VLOOKUP(C2341,[1]master_data!$A$2:$E$495,3,FALSE)</f>
        <v>2500</v>
      </c>
      <c r="G2341" s="5">
        <f>VLOOKUP(C2341,[1]master_data!$A$2:$E$495,4,FALSE)</f>
        <v>5000</v>
      </c>
      <c r="H2341" s="5">
        <f t="shared" si="114"/>
        <v>2500</v>
      </c>
      <c r="I2341" s="5">
        <f t="shared" si="115"/>
        <v>5000</v>
      </c>
      <c r="J2341" s="5">
        <f t="shared" si="116"/>
        <v>2500</v>
      </c>
      <c r="K2341" s="5" t="str">
        <f>VLOOKUP(C2341,[1]master_data!$A$2:$E$495,5,FALSE)</f>
        <v>Aksesoris</v>
      </c>
      <c r="L2341" s="5" t="s">
        <v>471</v>
      </c>
    </row>
    <row r="2342" spans="1:12" ht="12" customHeight="1" x14ac:dyDescent="0.25">
      <c r="A2342" s="6">
        <v>44685</v>
      </c>
      <c r="B2342" s="1">
        <v>2202221</v>
      </c>
      <c r="C2342" s="5" t="s">
        <v>248</v>
      </c>
      <c r="D2342" s="5" t="str">
        <f>VLOOKUP(C2342,[1]master_data!$A$2:$E$495,2,FALSE)</f>
        <v>MATLINE BLUE</v>
      </c>
      <c r="E2342" s="5">
        <v>2</v>
      </c>
      <c r="F2342" s="5">
        <f>VLOOKUP(C2342,[1]master_data!$A$2:$E$495,3,FALSE)</f>
        <v>7000</v>
      </c>
      <c r="G2342" s="5">
        <f>VLOOKUP(C2342,[1]master_data!$A$2:$E$495,4,FALSE)</f>
        <v>10000</v>
      </c>
      <c r="H2342" s="5">
        <f t="shared" si="114"/>
        <v>14000</v>
      </c>
      <c r="I2342" s="5">
        <f t="shared" si="115"/>
        <v>20000</v>
      </c>
      <c r="J2342" s="5">
        <f t="shared" si="116"/>
        <v>6000</v>
      </c>
      <c r="K2342" s="5" t="str">
        <f>VLOOKUP(C2342,[1]master_data!$A$2:$E$495,5,FALSE)</f>
        <v>Aksesoris</v>
      </c>
      <c r="L2342" s="5" t="s">
        <v>471</v>
      </c>
    </row>
    <row r="2343" spans="1:12" ht="12" customHeight="1" x14ac:dyDescent="0.25">
      <c r="A2343" s="6">
        <v>44685</v>
      </c>
      <c r="B2343" s="1">
        <v>2202220</v>
      </c>
      <c r="C2343" s="5" t="s">
        <v>423</v>
      </c>
      <c r="D2343" s="5" t="str">
        <f>VLOOKUP(C2343,[1]master_data!$A$2:$E$495,2,FALSE)</f>
        <v>KOI SLAYER K</v>
      </c>
      <c r="E2343" s="5">
        <v>1</v>
      </c>
      <c r="F2343" s="5">
        <f>VLOOKUP(C2343,[1]master_data!$A$2:$E$495,3,FALSE)</f>
        <v>3500</v>
      </c>
      <c r="G2343" s="5">
        <f>VLOOKUP(C2343,[1]master_data!$A$2:$E$495,4,FALSE)</f>
        <v>10000</v>
      </c>
      <c r="H2343" s="5">
        <f t="shared" si="114"/>
        <v>3500</v>
      </c>
      <c r="I2343" s="5">
        <f t="shared" si="115"/>
        <v>10000</v>
      </c>
      <c r="J2343" s="5">
        <f t="shared" si="116"/>
        <v>6500</v>
      </c>
      <c r="K2343" s="5" t="str">
        <f>VLOOKUP(C2343,[1]master_data!$A$2:$E$495,5,FALSE)</f>
        <v>Ikan</v>
      </c>
      <c r="L2343" s="5" t="s">
        <v>471</v>
      </c>
    </row>
    <row r="2344" spans="1:12" ht="12" customHeight="1" x14ac:dyDescent="0.25">
      <c r="A2344" s="6">
        <v>44685</v>
      </c>
      <c r="B2344" s="1">
        <v>2202219</v>
      </c>
      <c r="C2344" s="5" t="s">
        <v>418</v>
      </c>
      <c r="D2344" s="5" t="str">
        <f>VLOOKUP(C2344,[1]master_data!$A$2:$E$495,2,FALSE)</f>
        <v>KOI B</v>
      </c>
      <c r="E2344" s="5">
        <v>4</v>
      </c>
      <c r="F2344" s="5">
        <f>VLOOKUP(C2344,[1]master_data!$A$2:$E$495,3,FALSE)</f>
        <v>9000</v>
      </c>
      <c r="G2344" s="5">
        <f>VLOOKUP(C2344,[1]master_data!$A$2:$E$495,4,FALSE)</f>
        <v>30000</v>
      </c>
      <c r="H2344" s="5">
        <f t="shared" si="114"/>
        <v>36000</v>
      </c>
      <c r="I2344" s="5">
        <f t="shared" si="115"/>
        <v>120000</v>
      </c>
      <c r="J2344" s="5">
        <f t="shared" si="116"/>
        <v>84000</v>
      </c>
      <c r="K2344" s="5" t="str">
        <f>VLOOKUP(C2344,[1]master_data!$A$2:$E$495,5,FALSE)</f>
        <v>Ikan</v>
      </c>
      <c r="L2344" s="5" t="s">
        <v>471</v>
      </c>
    </row>
    <row r="2345" spans="1:12" ht="12" customHeight="1" x14ac:dyDescent="0.25">
      <c r="A2345" s="6">
        <v>44685</v>
      </c>
      <c r="B2345" s="1">
        <v>2202218</v>
      </c>
      <c r="C2345" s="5" t="s">
        <v>432</v>
      </c>
      <c r="D2345" s="5" t="str">
        <f>VLOOKUP(C2345,[1]master_data!$A$2:$E$495,2,FALSE)</f>
        <v>MARU K</v>
      </c>
      <c r="E2345" s="5">
        <v>1</v>
      </c>
      <c r="F2345" s="5">
        <f>VLOOKUP(C2345,[1]master_data!$A$2:$E$495,3,FALSE)</f>
        <v>23000</v>
      </c>
      <c r="G2345" s="5">
        <f>VLOOKUP(C2345,[1]master_data!$A$2:$E$495,4,FALSE)</f>
        <v>50000</v>
      </c>
      <c r="H2345" s="5">
        <f t="shared" si="114"/>
        <v>23000</v>
      </c>
      <c r="I2345" s="5">
        <f t="shared" si="115"/>
        <v>50000</v>
      </c>
      <c r="J2345" s="5">
        <f t="shared" si="116"/>
        <v>27000</v>
      </c>
      <c r="K2345" s="5" t="str">
        <f>VLOOKUP(C2345,[1]master_data!$A$2:$E$495,5,FALSE)</f>
        <v>Ikan</v>
      </c>
      <c r="L2345" s="5" t="s">
        <v>471</v>
      </c>
    </row>
    <row r="2346" spans="1:12" ht="12" customHeight="1" x14ac:dyDescent="0.25">
      <c r="A2346" s="6">
        <v>44685</v>
      </c>
      <c r="B2346" s="1">
        <v>2202217</v>
      </c>
      <c r="C2346" s="5" t="s">
        <v>285</v>
      </c>
      <c r="D2346" s="5" t="str">
        <f>VLOOKUP(C2346,[1]master_data!$A$2:$E$495,2,FALSE)</f>
        <v>KAPAS 4 LAPIS</v>
      </c>
      <c r="E2346" s="5">
        <v>1</v>
      </c>
      <c r="F2346" s="5">
        <f>VLOOKUP(C2346,[1]master_data!$A$2:$E$495,3,FALSE)</f>
        <v>6500</v>
      </c>
      <c r="G2346" s="5">
        <f>VLOOKUP(C2346,[1]master_data!$A$2:$E$495,4,FALSE)</f>
        <v>10000</v>
      </c>
      <c r="H2346" s="5">
        <f t="shared" si="114"/>
        <v>6500</v>
      </c>
      <c r="I2346" s="5">
        <f t="shared" si="115"/>
        <v>10000</v>
      </c>
      <c r="J2346" s="5">
        <f t="shared" si="116"/>
        <v>3500</v>
      </c>
      <c r="K2346" s="5" t="str">
        <f>VLOOKUP(C2346,[1]master_data!$A$2:$E$495,5,FALSE)</f>
        <v>Aksesoris</v>
      </c>
      <c r="L2346" s="5" t="s">
        <v>471</v>
      </c>
    </row>
    <row r="2347" spans="1:12" ht="12" customHeight="1" x14ac:dyDescent="0.25">
      <c r="A2347" s="6">
        <v>44685</v>
      </c>
      <c r="B2347" s="1">
        <v>2202216</v>
      </c>
      <c r="C2347" s="5" t="s">
        <v>208</v>
      </c>
      <c r="D2347" s="5" t="str">
        <f>VLOOKUP(C2347,[1]master_data!$A$2:$E$495,2,FALSE)</f>
        <v>TOP VIT</v>
      </c>
      <c r="E2347" s="5">
        <v>1</v>
      </c>
      <c r="F2347" s="5">
        <f>VLOOKUP(C2347,[1]master_data!$A$2:$E$495,3,FALSE)</f>
        <v>4000</v>
      </c>
      <c r="G2347" s="5">
        <f>VLOOKUP(C2347,[1]master_data!$A$2:$E$495,4,FALSE)</f>
        <v>7000</v>
      </c>
      <c r="H2347" s="5">
        <f t="shared" si="114"/>
        <v>4000</v>
      </c>
      <c r="I2347" s="5">
        <f t="shared" si="115"/>
        <v>7000</v>
      </c>
      <c r="J2347" s="5">
        <f t="shared" si="116"/>
        <v>3000</v>
      </c>
      <c r="K2347" s="5" t="str">
        <f>VLOOKUP(C2347,[1]master_data!$A$2:$E$495,5,FALSE)</f>
        <v>Aksesoris</v>
      </c>
      <c r="L2347" s="5" t="s">
        <v>471</v>
      </c>
    </row>
    <row r="2348" spans="1:12" ht="12" customHeight="1" x14ac:dyDescent="0.25">
      <c r="A2348" s="6">
        <v>44685</v>
      </c>
      <c r="B2348" s="1">
        <v>2202215</v>
      </c>
      <c r="C2348" s="5" t="s">
        <v>212</v>
      </c>
      <c r="D2348" s="5" t="str">
        <f>VLOOKUP(C2348,[1]master_data!$A$2:$E$495,2,FALSE)</f>
        <v>UDANG KERING</v>
      </c>
      <c r="E2348" s="5">
        <v>1</v>
      </c>
      <c r="F2348" s="5">
        <f>VLOOKUP(C2348,[1]master_data!$A$2:$E$495,3,FALSE)</f>
        <v>4500</v>
      </c>
      <c r="G2348" s="5">
        <f>VLOOKUP(C2348,[1]master_data!$A$2:$E$495,4,FALSE)</f>
        <v>10000</v>
      </c>
      <c r="H2348" s="5">
        <f t="shared" si="114"/>
        <v>4500</v>
      </c>
      <c r="I2348" s="5">
        <f t="shared" si="115"/>
        <v>10000</v>
      </c>
      <c r="J2348" s="5">
        <f t="shared" si="116"/>
        <v>5500</v>
      </c>
      <c r="K2348" s="5" t="str">
        <f>VLOOKUP(C2348,[1]master_data!$A$2:$E$495,5,FALSE)</f>
        <v>Aksesoris</v>
      </c>
      <c r="L2348" s="5" t="s">
        <v>471</v>
      </c>
    </row>
    <row r="2349" spans="1:12" ht="12" customHeight="1" x14ac:dyDescent="0.25">
      <c r="A2349" s="6">
        <v>44685</v>
      </c>
      <c r="B2349" s="1">
        <v>2202214</v>
      </c>
      <c r="C2349" s="5" t="s">
        <v>6</v>
      </c>
      <c r="D2349" s="5" t="str">
        <f>VLOOKUP(C2349,[1]master_data!$A$2:$E$495,2,FALSE)</f>
        <v>MESIN YANG 1200</v>
      </c>
      <c r="E2349" s="5">
        <v>1</v>
      </c>
      <c r="F2349" s="5">
        <f>VLOOKUP(C2349,[1]master_data!$A$2:$E$495,3,FALSE)</f>
        <v>25000</v>
      </c>
      <c r="G2349" s="5">
        <f>VLOOKUP(C2349,[1]master_data!$A$2:$E$495,4,FALSE)</f>
        <v>40000</v>
      </c>
      <c r="H2349" s="5">
        <f t="shared" si="114"/>
        <v>25000</v>
      </c>
      <c r="I2349" s="5">
        <f t="shared" si="115"/>
        <v>40000</v>
      </c>
      <c r="J2349" s="5">
        <f t="shared" si="116"/>
        <v>15000</v>
      </c>
      <c r="K2349" s="5" t="str">
        <f>VLOOKUP(C2349,[1]master_data!$A$2:$E$495,5,FALSE)</f>
        <v>Aksesoris</v>
      </c>
      <c r="L2349" s="5" t="s">
        <v>471</v>
      </c>
    </row>
    <row r="2350" spans="1:12" ht="12" customHeight="1" x14ac:dyDescent="0.25">
      <c r="A2350" s="6">
        <v>44685</v>
      </c>
      <c r="B2350" s="1">
        <v>2202213</v>
      </c>
      <c r="C2350" s="5" t="s">
        <v>204</v>
      </c>
      <c r="D2350" s="5" t="str">
        <f>VLOOKUP(C2350,[1]master_data!$A$2:$E$495,2,FALSE)</f>
        <v>MAGOT</v>
      </c>
      <c r="E2350" s="5">
        <v>1</v>
      </c>
      <c r="F2350" s="5">
        <f>VLOOKUP(C2350,[1]master_data!$A$2:$E$495,3,FALSE)</f>
        <v>4500</v>
      </c>
      <c r="G2350" s="5">
        <f>VLOOKUP(C2350,[1]master_data!$A$2:$E$495,4,FALSE)</f>
        <v>10000</v>
      </c>
      <c r="H2350" s="5">
        <f t="shared" si="114"/>
        <v>4500</v>
      </c>
      <c r="I2350" s="5">
        <f t="shared" si="115"/>
        <v>10000</v>
      </c>
      <c r="J2350" s="5">
        <f t="shared" si="116"/>
        <v>5500</v>
      </c>
      <c r="K2350" s="5" t="str">
        <f>VLOOKUP(C2350,[1]master_data!$A$2:$E$495,5,FALSE)</f>
        <v>Aksesoris</v>
      </c>
      <c r="L2350" s="5" t="s">
        <v>471</v>
      </c>
    </row>
    <row r="2351" spans="1:12" ht="12" customHeight="1" x14ac:dyDescent="0.25">
      <c r="A2351" s="6">
        <v>44684</v>
      </c>
      <c r="B2351" s="1">
        <v>2202212</v>
      </c>
      <c r="C2351" s="5" t="s">
        <v>204</v>
      </c>
      <c r="D2351" s="5" t="str">
        <f>VLOOKUP(C2351,[1]master_data!$A$2:$E$495,2,FALSE)</f>
        <v>MAGOT</v>
      </c>
      <c r="E2351" s="5">
        <v>1</v>
      </c>
      <c r="F2351" s="5">
        <f>VLOOKUP(C2351,[1]master_data!$A$2:$E$495,3,FALSE)</f>
        <v>4500</v>
      </c>
      <c r="G2351" s="5">
        <f>VLOOKUP(C2351,[1]master_data!$A$2:$E$495,4,FALSE)</f>
        <v>10000</v>
      </c>
      <c r="H2351" s="5">
        <f t="shared" si="114"/>
        <v>4500</v>
      </c>
      <c r="I2351" s="5">
        <f t="shared" si="115"/>
        <v>10000</v>
      </c>
      <c r="J2351" s="5">
        <f t="shared" si="116"/>
        <v>5500</v>
      </c>
      <c r="K2351" s="5" t="str">
        <f>VLOOKUP(C2351,[1]master_data!$A$2:$E$495,5,FALSE)</f>
        <v>Aksesoris</v>
      </c>
      <c r="L2351" s="5" t="s">
        <v>471</v>
      </c>
    </row>
    <row r="2352" spans="1:12" ht="12" customHeight="1" x14ac:dyDescent="0.25">
      <c r="A2352" s="6">
        <v>44684</v>
      </c>
      <c r="B2352" s="1">
        <v>2202211</v>
      </c>
      <c r="C2352" s="5" t="s">
        <v>248</v>
      </c>
      <c r="D2352" s="5" t="str">
        <f>VLOOKUP(C2352,[1]master_data!$A$2:$E$495,2,FALSE)</f>
        <v>MATLINE BLUE</v>
      </c>
      <c r="E2352" s="5">
        <v>2</v>
      </c>
      <c r="F2352" s="5">
        <f>VLOOKUP(C2352,[1]master_data!$A$2:$E$495,3,FALSE)</f>
        <v>7000</v>
      </c>
      <c r="G2352" s="5">
        <f>VLOOKUP(C2352,[1]master_data!$A$2:$E$495,4,FALSE)</f>
        <v>10000</v>
      </c>
      <c r="H2352" s="5">
        <f t="shared" si="114"/>
        <v>14000</v>
      </c>
      <c r="I2352" s="5">
        <f t="shared" si="115"/>
        <v>20000</v>
      </c>
      <c r="J2352" s="5">
        <f t="shared" si="116"/>
        <v>6000</v>
      </c>
      <c r="K2352" s="5" t="str">
        <f>VLOOKUP(C2352,[1]master_data!$A$2:$E$495,5,FALSE)</f>
        <v>Aksesoris</v>
      </c>
      <c r="L2352" s="5" t="s">
        <v>471</v>
      </c>
    </row>
    <row r="2353" spans="1:12" ht="12" customHeight="1" x14ac:dyDescent="0.25">
      <c r="A2353" s="6">
        <v>44684</v>
      </c>
      <c r="B2353" s="1">
        <v>2202210</v>
      </c>
      <c r="C2353" s="5" t="s">
        <v>7</v>
      </c>
      <c r="D2353" s="5" t="str">
        <f>VLOOKUP(C2353,[1]master_data!$A$2:$E$495,2,FALSE)</f>
        <v>MESIN YANG 1600</v>
      </c>
      <c r="E2353" s="5">
        <v>1</v>
      </c>
      <c r="F2353" s="5">
        <f>VLOOKUP(C2353,[1]master_data!$A$2:$E$495,3,FALSE)</f>
        <v>64000</v>
      </c>
      <c r="G2353" s="5">
        <f>VLOOKUP(C2353,[1]master_data!$A$2:$E$495,4,FALSE)</f>
        <v>90000</v>
      </c>
      <c r="H2353" s="5">
        <f t="shared" si="114"/>
        <v>64000</v>
      </c>
      <c r="I2353" s="5">
        <f t="shared" si="115"/>
        <v>90000</v>
      </c>
      <c r="J2353" s="5">
        <f t="shared" si="116"/>
        <v>26000</v>
      </c>
      <c r="K2353" s="5" t="str">
        <f>VLOOKUP(C2353,[1]master_data!$A$2:$E$495,5,FALSE)</f>
        <v>Aksesoris</v>
      </c>
      <c r="L2353" s="5" t="s">
        <v>471</v>
      </c>
    </row>
    <row r="2354" spans="1:12" ht="12" customHeight="1" x14ac:dyDescent="0.25">
      <c r="A2354" s="6">
        <v>44684</v>
      </c>
      <c r="B2354" s="1">
        <v>2202209</v>
      </c>
      <c r="C2354" s="5" t="s">
        <v>304</v>
      </c>
      <c r="D2354" s="5" t="str">
        <f>VLOOKUP(C2354,[1]master_data!$A$2:$E$495,2,FALSE)</f>
        <v>PINSET KANDILA</v>
      </c>
      <c r="E2354" s="5">
        <v>1</v>
      </c>
      <c r="F2354" s="5">
        <f>VLOOKUP(C2354,[1]master_data!$A$2:$E$495,3,FALSE)</f>
        <v>18000</v>
      </c>
      <c r="G2354" s="5">
        <f>VLOOKUP(C2354,[1]master_data!$A$2:$E$495,4,FALSE)</f>
        <v>35000</v>
      </c>
      <c r="H2354" s="5">
        <f t="shared" si="114"/>
        <v>18000</v>
      </c>
      <c r="I2354" s="5">
        <f t="shared" si="115"/>
        <v>35000</v>
      </c>
      <c r="J2354" s="5">
        <f t="shared" si="116"/>
        <v>17000</v>
      </c>
      <c r="K2354" s="5" t="str">
        <f>VLOOKUP(C2354,[1]master_data!$A$2:$E$495,5,FALSE)</f>
        <v>Aksesoris</v>
      </c>
      <c r="L2354" s="5" t="s">
        <v>471</v>
      </c>
    </row>
    <row r="2355" spans="1:12" ht="12" customHeight="1" x14ac:dyDescent="0.25">
      <c r="A2355" s="6">
        <v>44684</v>
      </c>
      <c r="B2355" s="1">
        <v>2202208</v>
      </c>
      <c r="C2355" s="5" t="s">
        <v>335</v>
      </c>
      <c r="D2355" s="5" t="str">
        <f>VLOOKUP(C2355,[1]master_data!$A$2:$E$495,2,FALSE)</f>
        <v>PENJERNIH</v>
      </c>
      <c r="E2355" s="5">
        <v>1</v>
      </c>
      <c r="F2355" s="5">
        <f>VLOOKUP(C2355,[1]master_data!$A$2:$E$495,3,FALSE)</f>
        <v>3000</v>
      </c>
      <c r="G2355" s="5">
        <f>VLOOKUP(C2355,[1]master_data!$A$2:$E$495,4,FALSE)</f>
        <v>8000</v>
      </c>
      <c r="H2355" s="5">
        <f t="shared" si="114"/>
        <v>3000</v>
      </c>
      <c r="I2355" s="5">
        <f t="shared" si="115"/>
        <v>8000</v>
      </c>
      <c r="J2355" s="5">
        <f t="shared" si="116"/>
        <v>5000</v>
      </c>
      <c r="K2355" s="5" t="str">
        <f>VLOOKUP(C2355,[1]master_data!$A$2:$E$495,5,FALSE)</f>
        <v>Aksesoris</v>
      </c>
      <c r="L2355" s="5" t="s">
        <v>471</v>
      </c>
    </row>
    <row r="2356" spans="1:12" ht="12" customHeight="1" x14ac:dyDescent="0.25">
      <c r="A2356" s="6">
        <v>44684</v>
      </c>
      <c r="B2356" s="1">
        <v>2202207</v>
      </c>
      <c r="C2356" s="5" t="s">
        <v>212</v>
      </c>
      <c r="D2356" s="5" t="str">
        <f>VLOOKUP(C2356,[1]master_data!$A$2:$E$495,2,FALSE)</f>
        <v>UDANG KERING</v>
      </c>
      <c r="E2356" s="5">
        <v>1</v>
      </c>
      <c r="F2356" s="5">
        <f>VLOOKUP(C2356,[1]master_data!$A$2:$E$495,3,FALSE)</f>
        <v>4500</v>
      </c>
      <c r="G2356" s="5">
        <f>VLOOKUP(C2356,[1]master_data!$A$2:$E$495,4,FALSE)</f>
        <v>10000</v>
      </c>
      <c r="H2356" s="5">
        <f t="shared" si="114"/>
        <v>4500</v>
      </c>
      <c r="I2356" s="5">
        <f t="shared" si="115"/>
        <v>10000</v>
      </c>
      <c r="J2356" s="5">
        <f t="shared" si="116"/>
        <v>5500</v>
      </c>
      <c r="K2356" s="5" t="str">
        <f>VLOOKUP(C2356,[1]master_data!$A$2:$E$495,5,FALSE)</f>
        <v>Aksesoris</v>
      </c>
      <c r="L2356" s="5" t="s">
        <v>471</v>
      </c>
    </row>
    <row r="2357" spans="1:12" ht="12" customHeight="1" x14ac:dyDescent="0.25">
      <c r="A2357" s="6">
        <v>44684</v>
      </c>
      <c r="B2357" s="1">
        <v>2202206</v>
      </c>
      <c r="C2357" s="5" t="s">
        <v>432</v>
      </c>
      <c r="D2357" s="5" t="str">
        <f>VLOOKUP(C2357,[1]master_data!$A$2:$E$495,2,FALSE)</f>
        <v>MARU K</v>
      </c>
      <c r="E2357" s="5">
        <v>1</v>
      </c>
      <c r="F2357" s="5">
        <f>VLOOKUP(C2357,[1]master_data!$A$2:$E$495,3,FALSE)</f>
        <v>23000</v>
      </c>
      <c r="G2357" s="5">
        <f>VLOOKUP(C2357,[1]master_data!$A$2:$E$495,4,FALSE)</f>
        <v>50000</v>
      </c>
      <c r="H2357" s="5">
        <f t="shared" si="114"/>
        <v>23000</v>
      </c>
      <c r="I2357" s="5">
        <f t="shared" si="115"/>
        <v>50000</v>
      </c>
      <c r="J2357" s="5">
        <f t="shared" si="116"/>
        <v>27000</v>
      </c>
      <c r="K2357" s="5" t="str">
        <f>VLOOKUP(C2357,[1]master_data!$A$2:$E$495,5,FALSE)</f>
        <v>Ikan</v>
      </c>
      <c r="L2357" s="5" t="s">
        <v>471</v>
      </c>
    </row>
    <row r="2358" spans="1:12" ht="12" customHeight="1" x14ac:dyDescent="0.25">
      <c r="A2358" s="6">
        <v>44684</v>
      </c>
      <c r="B2358" s="1">
        <v>2202205</v>
      </c>
      <c r="C2358" s="5" t="s">
        <v>418</v>
      </c>
      <c r="D2358" s="5" t="str">
        <f>VLOOKUP(C2358,[1]master_data!$A$2:$E$495,2,FALSE)</f>
        <v>KOI B</v>
      </c>
      <c r="E2358" s="5">
        <v>4</v>
      </c>
      <c r="F2358" s="5">
        <f>VLOOKUP(C2358,[1]master_data!$A$2:$E$495,3,FALSE)</f>
        <v>9000</v>
      </c>
      <c r="G2358" s="5">
        <f>VLOOKUP(C2358,[1]master_data!$A$2:$E$495,4,FALSE)</f>
        <v>30000</v>
      </c>
      <c r="H2358" s="5">
        <f t="shared" si="114"/>
        <v>36000</v>
      </c>
      <c r="I2358" s="5">
        <f t="shared" si="115"/>
        <v>120000</v>
      </c>
      <c r="J2358" s="5">
        <f t="shared" si="116"/>
        <v>84000</v>
      </c>
      <c r="K2358" s="5" t="str">
        <f>VLOOKUP(C2358,[1]master_data!$A$2:$E$495,5,FALSE)</f>
        <v>Ikan</v>
      </c>
      <c r="L2358" s="5" t="s">
        <v>471</v>
      </c>
    </row>
    <row r="2359" spans="1:12" ht="12" customHeight="1" x14ac:dyDescent="0.25">
      <c r="A2359" s="6">
        <v>44683</v>
      </c>
      <c r="B2359" s="1">
        <v>2202204</v>
      </c>
      <c r="C2359" s="5" t="s">
        <v>329</v>
      </c>
      <c r="D2359" s="5" t="str">
        <f>VLOOKUP(C2359,[1]master_data!$A$2:$E$495,2,FALSE)</f>
        <v>AIRSTONE D2L5</v>
      </c>
      <c r="E2359" s="5">
        <v>1</v>
      </c>
      <c r="F2359" s="5">
        <f>VLOOKUP(C2359,[1]master_data!$A$2:$E$495,3,FALSE)</f>
        <v>1850</v>
      </c>
      <c r="G2359" s="5">
        <f>VLOOKUP(C2359,[1]master_data!$A$2:$E$495,4,FALSE)</f>
        <v>5000</v>
      </c>
      <c r="H2359" s="5">
        <f t="shared" si="114"/>
        <v>1850</v>
      </c>
      <c r="I2359" s="5">
        <f t="shared" si="115"/>
        <v>5000</v>
      </c>
      <c r="J2359" s="5">
        <f t="shared" si="116"/>
        <v>3150</v>
      </c>
      <c r="K2359" s="5" t="str">
        <f>VLOOKUP(C2359,[1]master_data!$A$2:$E$495,5,FALSE)</f>
        <v>Aksesoris</v>
      </c>
      <c r="L2359" s="5" t="s">
        <v>471</v>
      </c>
    </row>
    <row r="2360" spans="1:12" ht="12" customHeight="1" x14ac:dyDescent="0.25">
      <c r="A2360" s="6">
        <v>44683</v>
      </c>
      <c r="B2360" s="1">
        <v>2202203</v>
      </c>
      <c r="C2360" s="5" t="s">
        <v>407</v>
      </c>
      <c r="D2360" s="5" t="str">
        <f>VLOOKUP(C2360,[1]master_data!$A$2:$E$495,2,FALSE)</f>
        <v>CUPANG</v>
      </c>
      <c r="E2360" s="5">
        <v>2</v>
      </c>
      <c r="F2360" s="5">
        <f>VLOOKUP(C2360,[1]master_data!$A$2:$E$495,3,FALSE)</f>
        <v>2000</v>
      </c>
      <c r="G2360" s="5">
        <f>VLOOKUP(C2360,[1]master_data!$A$2:$E$495,4,FALSE)</f>
        <v>5000</v>
      </c>
      <c r="H2360" s="5">
        <f t="shared" si="114"/>
        <v>4000</v>
      </c>
      <c r="I2360" s="5">
        <f t="shared" si="115"/>
        <v>10000</v>
      </c>
      <c r="J2360" s="5">
        <f t="shared" si="116"/>
        <v>6000</v>
      </c>
      <c r="K2360" s="5" t="str">
        <f>VLOOKUP(C2360,[1]master_data!$A$2:$E$495,5,FALSE)</f>
        <v>Ikan</v>
      </c>
      <c r="L2360" s="5" t="s">
        <v>471</v>
      </c>
    </row>
    <row r="2361" spans="1:12" ht="12" customHeight="1" x14ac:dyDescent="0.25">
      <c r="A2361" s="6">
        <v>44683</v>
      </c>
      <c r="B2361" s="1">
        <v>2202202</v>
      </c>
      <c r="C2361" s="5" t="s">
        <v>285</v>
      </c>
      <c r="D2361" s="5" t="str">
        <f>VLOOKUP(C2361,[1]master_data!$A$2:$E$495,2,FALSE)</f>
        <v>KAPAS 4 LAPIS</v>
      </c>
      <c r="E2361" s="5">
        <v>1</v>
      </c>
      <c r="F2361" s="5">
        <f>VLOOKUP(C2361,[1]master_data!$A$2:$E$495,3,FALSE)</f>
        <v>6500</v>
      </c>
      <c r="G2361" s="5">
        <f>VLOOKUP(C2361,[1]master_data!$A$2:$E$495,4,FALSE)</f>
        <v>10000</v>
      </c>
      <c r="H2361" s="5">
        <f t="shared" si="114"/>
        <v>6500</v>
      </c>
      <c r="I2361" s="5">
        <f t="shared" si="115"/>
        <v>10000</v>
      </c>
      <c r="J2361" s="5">
        <f t="shared" si="116"/>
        <v>3500</v>
      </c>
      <c r="K2361" s="5" t="str">
        <f>VLOOKUP(C2361,[1]master_data!$A$2:$E$495,5,FALSE)</f>
        <v>Aksesoris</v>
      </c>
      <c r="L2361" s="5" t="s">
        <v>471</v>
      </c>
    </row>
    <row r="2362" spans="1:12" ht="12" customHeight="1" x14ac:dyDescent="0.25">
      <c r="A2362" s="6">
        <v>44683</v>
      </c>
      <c r="B2362" s="1">
        <v>2202201</v>
      </c>
      <c r="C2362" s="5" t="s">
        <v>432</v>
      </c>
      <c r="D2362" s="5" t="str">
        <f>VLOOKUP(C2362,[1]master_data!$A$2:$E$495,2,FALSE)</f>
        <v>MARU K</v>
      </c>
      <c r="E2362" s="5">
        <v>1</v>
      </c>
      <c r="F2362" s="5">
        <f>VLOOKUP(C2362,[1]master_data!$A$2:$E$495,3,FALSE)</f>
        <v>23000</v>
      </c>
      <c r="G2362" s="5">
        <f>VLOOKUP(C2362,[1]master_data!$A$2:$E$495,4,FALSE)</f>
        <v>50000</v>
      </c>
      <c r="H2362" s="5">
        <f t="shared" si="114"/>
        <v>23000</v>
      </c>
      <c r="I2362" s="5">
        <f t="shared" si="115"/>
        <v>50000</v>
      </c>
      <c r="J2362" s="5">
        <f t="shared" si="116"/>
        <v>27000</v>
      </c>
      <c r="K2362" s="5" t="str">
        <f>VLOOKUP(C2362,[1]master_data!$A$2:$E$495,5,FALSE)</f>
        <v>Ikan</v>
      </c>
      <c r="L2362" s="5" t="s">
        <v>471</v>
      </c>
    </row>
    <row r="2363" spans="1:12" ht="12" customHeight="1" x14ac:dyDescent="0.25">
      <c r="A2363" s="6">
        <v>44683</v>
      </c>
      <c r="B2363" s="1">
        <v>2202200</v>
      </c>
      <c r="C2363" s="5" t="s">
        <v>204</v>
      </c>
      <c r="D2363" s="5" t="str">
        <f>VLOOKUP(C2363,[1]master_data!$A$2:$E$495,2,FALSE)</f>
        <v>MAGOT</v>
      </c>
      <c r="E2363" s="5">
        <v>1</v>
      </c>
      <c r="F2363" s="5">
        <f>VLOOKUP(C2363,[1]master_data!$A$2:$E$495,3,FALSE)</f>
        <v>4500</v>
      </c>
      <c r="G2363" s="5">
        <f>VLOOKUP(C2363,[1]master_data!$A$2:$E$495,4,FALSE)</f>
        <v>10000</v>
      </c>
      <c r="H2363" s="5">
        <f t="shared" si="114"/>
        <v>4500</v>
      </c>
      <c r="I2363" s="5">
        <f t="shared" si="115"/>
        <v>10000</v>
      </c>
      <c r="J2363" s="5">
        <f t="shared" si="116"/>
        <v>5500</v>
      </c>
      <c r="K2363" s="5" t="str">
        <f>VLOOKUP(C2363,[1]master_data!$A$2:$E$495,5,FALSE)</f>
        <v>Aksesoris</v>
      </c>
      <c r="L2363" s="5" t="s">
        <v>471</v>
      </c>
    </row>
    <row r="2364" spans="1:12" ht="12" customHeight="1" x14ac:dyDescent="0.25">
      <c r="A2364" s="6">
        <v>44683</v>
      </c>
      <c r="B2364" s="1">
        <v>2202199</v>
      </c>
      <c r="C2364" s="5" t="s">
        <v>423</v>
      </c>
      <c r="D2364" s="5" t="str">
        <f>VLOOKUP(C2364,[1]master_data!$A$2:$E$495,2,FALSE)</f>
        <v>KOI SLAYER K</v>
      </c>
      <c r="E2364" s="5">
        <v>1</v>
      </c>
      <c r="F2364" s="5">
        <f>VLOOKUP(C2364,[1]master_data!$A$2:$E$495,3,FALSE)</f>
        <v>3500</v>
      </c>
      <c r="G2364" s="5">
        <f>VLOOKUP(C2364,[1]master_data!$A$2:$E$495,4,FALSE)</f>
        <v>10000</v>
      </c>
      <c r="H2364" s="5">
        <f t="shared" si="114"/>
        <v>3500</v>
      </c>
      <c r="I2364" s="5">
        <f t="shared" si="115"/>
        <v>10000</v>
      </c>
      <c r="J2364" s="5">
        <f t="shared" si="116"/>
        <v>6500</v>
      </c>
      <c r="K2364" s="5" t="str">
        <f>VLOOKUP(C2364,[1]master_data!$A$2:$E$495,5,FALSE)</f>
        <v>Ikan</v>
      </c>
      <c r="L2364" s="5" t="s">
        <v>471</v>
      </c>
    </row>
    <row r="2365" spans="1:12" ht="12" customHeight="1" x14ac:dyDescent="0.25">
      <c r="A2365" s="6">
        <v>44683</v>
      </c>
      <c r="B2365" s="1">
        <v>2202198</v>
      </c>
      <c r="C2365" s="5" t="s">
        <v>310</v>
      </c>
      <c r="D2365" s="5" t="str">
        <f>VLOOKUP(C2365,[1]master_data!$A$2:$E$495,2,FALSE)</f>
        <v>SELANG FUSO</v>
      </c>
      <c r="E2365" s="5">
        <v>3</v>
      </c>
      <c r="F2365" s="5">
        <f>VLOOKUP(C2365,[1]master_data!$A$2:$E$495,3,FALSE)</f>
        <v>800</v>
      </c>
      <c r="G2365" s="5">
        <f>VLOOKUP(C2365,[1]master_data!$A$2:$E$495,4,FALSE)</f>
        <v>2000</v>
      </c>
      <c r="H2365" s="5">
        <f t="shared" si="114"/>
        <v>2400</v>
      </c>
      <c r="I2365" s="5">
        <f t="shared" si="115"/>
        <v>6000</v>
      </c>
      <c r="J2365" s="5">
        <f t="shared" si="116"/>
        <v>3600</v>
      </c>
      <c r="K2365" s="5" t="str">
        <f>VLOOKUP(C2365,[1]master_data!$A$2:$E$495,5,FALSE)</f>
        <v>Aksesoris</v>
      </c>
      <c r="L2365" s="5" t="s">
        <v>471</v>
      </c>
    </row>
    <row r="2366" spans="1:12" ht="12" customHeight="1" x14ac:dyDescent="0.25">
      <c r="A2366" s="6">
        <v>44683</v>
      </c>
      <c r="B2366" s="1">
        <v>2202197</v>
      </c>
      <c r="C2366" s="5" t="s">
        <v>233</v>
      </c>
      <c r="D2366" s="5" t="str">
        <f>VLOOKUP(C2366,[1]master_data!$A$2:$E$495,2,FALSE)</f>
        <v>FISH LOVE PAKAN</v>
      </c>
      <c r="E2366" s="5">
        <v>2</v>
      </c>
      <c r="F2366" s="5">
        <f>VLOOKUP(C2366,[1]master_data!$A$2:$E$495,3,FALSE)</f>
        <v>2500</v>
      </c>
      <c r="G2366" s="5">
        <f>VLOOKUP(C2366,[1]master_data!$A$2:$E$495,4,FALSE)</f>
        <v>5000</v>
      </c>
      <c r="H2366" s="5">
        <f t="shared" si="114"/>
        <v>5000</v>
      </c>
      <c r="I2366" s="5">
        <f t="shared" si="115"/>
        <v>10000</v>
      </c>
      <c r="J2366" s="5">
        <f t="shared" si="116"/>
        <v>5000</v>
      </c>
      <c r="K2366" s="5" t="str">
        <f>VLOOKUP(C2366,[1]master_data!$A$2:$E$495,5,FALSE)</f>
        <v>Aksesoris</v>
      </c>
      <c r="L2366" s="5" t="s">
        <v>471</v>
      </c>
    </row>
    <row r="2367" spans="1:12" ht="12" customHeight="1" x14ac:dyDescent="0.25">
      <c r="A2367" s="6">
        <v>44683</v>
      </c>
      <c r="B2367" s="1">
        <v>2202196</v>
      </c>
      <c r="C2367" s="5" t="s">
        <v>418</v>
      </c>
      <c r="D2367" s="5" t="str">
        <f>VLOOKUP(C2367,[1]master_data!$A$2:$E$495,2,FALSE)</f>
        <v>KOI B</v>
      </c>
      <c r="E2367" s="5">
        <v>4</v>
      </c>
      <c r="F2367" s="5">
        <f>VLOOKUP(C2367,[1]master_data!$A$2:$E$495,3,FALSE)</f>
        <v>9000</v>
      </c>
      <c r="G2367" s="5">
        <f>VLOOKUP(C2367,[1]master_data!$A$2:$E$495,4,FALSE)</f>
        <v>30000</v>
      </c>
      <c r="H2367" s="5">
        <f t="shared" si="114"/>
        <v>36000</v>
      </c>
      <c r="I2367" s="5">
        <f t="shared" si="115"/>
        <v>120000</v>
      </c>
      <c r="J2367" s="5">
        <f t="shared" si="116"/>
        <v>84000</v>
      </c>
      <c r="K2367" s="5" t="str">
        <f>VLOOKUP(C2367,[1]master_data!$A$2:$E$495,5,FALSE)</f>
        <v>Ikan</v>
      </c>
      <c r="L2367" s="5" t="s">
        <v>471</v>
      </c>
    </row>
    <row r="2368" spans="1:12" ht="12" customHeight="1" x14ac:dyDescent="0.25">
      <c r="A2368" s="6">
        <v>44683</v>
      </c>
      <c r="B2368" s="1">
        <v>2202195</v>
      </c>
      <c r="C2368" s="5" t="s">
        <v>208</v>
      </c>
      <c r="D2368" s="5" t="str">
        <f>VLOOKUP(C2368,[1]master_data!$A$2:$E$495,2,FALSE)</f>
        <v>TOP VIT</v>
      </c>
      <c r="E2368" s="5">
        <v>1</v>
      </c>
      <c r="F2368" s="5">
        <f>VLOOKUP(C2368,[1]master_data!$A$2:$E$495,3,FALSE)</f>
        <v>4000</v>
      </c>
      <c r="G2368" s="5">
        <f>VLOOKUP(C2368,[1]master_data!$A$2:$E$495,4,FALSE)</f>
        <v>7000</v>
      </c>
      <c r="H2368" s="5">
        <f t="shared" si="114"/>
        <v>4000</v>
      </c>
      <c r="I2368" s="5">
        <f t="shared" si="115"/>
        <v>7000</v>
      </c>
      <c r="J2368" s="5">
        <f t="shared" si="116"/>
        <v>3000</v>
      </c>
      <c r="K2368" s="5" t="str">
        <f>VLOOKUP(C2368,[1]master_data!$A$2:$E$495,5,FALSE)</f>
        <v>Aksesoris</v>
      </c>
      <c r="L2368" s="5" t="s">
        <v>471</v>
      </c>
    </row>
    <row r="2369" spans="1:12" ht="12" customHeight="1" x14ac:dyDescent="0.25">
      <c r="A2369" s="6">
        <v>44682</v>
      </c>
      <c r="B2369" s="1">
        <v>2202194</v>
      </c>
      <c r="C2369" s="5" t="s">
        <v>105</v>
      </c>
      <c r="D2369" s="5" t="str">
        <f>VLOOKUP(C2369,[1]master_data!$A$2:$E$495,2,FALSE)</f>
        <v>AIRATOR NIKITA LUB 2</v>
      </c>
      <c r="E2369" s="5">
        <v>1</v>
      </c>
      <c r="F2369" s="5">
        <f>VLOOKUP(C2369,[1]master_data!$A$2:$E$495,3,FALSE)</f>
        <v>30000</v>
      </c>
      <c r="G2369" s="5">
        <f>VLOOKUP(C2369,[1]master_data!$A$2:$E$495,4,FALSE)</f>
        <v>50000</v>
      </c>
      <c r="H2369" s="5">
        <f t="shared" si="114"/>
        <v>30000</v>
      </c>
      <c r="I2369" s="5">
        <f t="shared" si="115"/>
        <v>50000</v>
      </c>
      <c r="J2369" s="5">
        <f t="shared" si="116"/>
        <v>20000</v>
      </c>
      <c r="K2369" s="5" t="str">
        <f>VLOOKUP(C2369,[1]master_data!$A$2:$E$495,5,FALSE)</f>
        <v>Aksesoris</v>
      </c>
      <c r="L2369" s="5" t="s">
        <v>471</v>
      </c>
    </row>
    <row r="2370" spans="1:12" ht="12" customHeight="1" x14ac:dyDescent="0.25">
      <c r="A2370" s="6">
        <v>44682</v>
      </c>
      <c r="B2370" s="1">
        <v>2202193</v>
      </c>
      <c r="C2370" s="5" t="s">
        <v>208</v>
      </c>
      <c r="D2370" s="5" t="str">
        <f>VLOOKUP(C2370,[1]master_data!$A$2:$E$495,2,FALSE)</f>
        <v>TOP VIT</v>
      </c>
      <c r="E2370" s="5">
        <v>1</v>
      </c>
      <c r="F2370" s="5">
        <f>VLOOKUP(C2370,[1]master_data!$A$2:$E$495,3,FALSE)</f>
        <v>4000</v>
      </c>
      <c r="G2370" s="5">
        <f>VLOOKUP(C2370,[1]master_data!$A$2:$E$495,4,FALSE)</f>
        <v>7000</v>
      </c>
      <c r="H2370" s="5">
        <f t="shared" si="114"/>
        <v>4000</v>
      </c>
      <c r="I2370" s="5">
        <f t="shared" si="115"/>
        <v>7000</v>
      </c>
      <c r="J2370" s="5">
        <f t="shared" si="116"/>
        <v>3000</v>
      </c>
      <c r="K2370" s="5" t="str">
        <f>VLOOKUP(C2370,[1]master_data!$A$2:$E$495,5,FALSE)</f>
        <v>Aksesoris</v>
      </c>
      <c r="L2370" s="5" t="s">
        <v>471</v>
      </c>
    </row>
    <row r="2371" spans="1:12" ht="12" customHeight="1" x14ac:dyDescent="0.25">
      <c r="A2371" s="6">
        <v>44682</v>
      </c>
      <c r="B2371" s="1">
        <v>2202192</v>
      </c>
      <c r="C2371" s="5" t="s">
        <v>9</v>
      </c>
      <c r="D2371" s="5" t="str">
        <f>VLOOKUP(C2371,[1]master_data!$A$2:$E$495,2,FALSE)</f>
        <v>TOP FILTER YANG 910</v>
      </c>
      <c r="E2371" s="5">
        <v>1</v>
      </c>
      <c r="F2371" s="5">
        <f>VLOOKUP(C2371,[1]master_data!$A$2:$E$495,3,FALSE)</f>
        <v>41000</v>
      </c>
      <c r="G2371" s="5">
        <f>VLOOKUP(C2371,[1]master_data!$A$2:$E$495,4,FALSE)</f>
        <v>65000</v>
      </c>
      <c r="H2371" s="5">
        <f t="shared" si="114"/>
        <v>41000</v>
      </c>
      <c r="I2371" s="5">
        <f t="shared" si="115"/>
        <v>65000</v>
      </c>
      <c r="J2371" s="5">
        <f t="shared" si="116"/>
        <v>24000</v>
      </c>
      <c r="K2371" s="5" t="str">
        <f>VLOOKUP(C2371,[1]master_data!$A$2:$E$495,5,FALSE)</f>
        <v>Aksesoris</v>
      </c>
      <c r="L2371" s="5" t="s">
        <v>471</v>
      </c>
    </row>
    <row r="2372" spans="1:12" ht="12" customHeight="1" x14ac:dyDescent="0.25">
      <c r="A2372" s="6">
        <v>44682</v>
      </c>
      <c r="B2372" s="1">
        <v>2202191</v>
      </c>
      <c r="C2372" s="5" t="s">
        <v>282</v>
      </c>
      <c r="D2372" s="5" t="str">
        <f>VLOOKUP(C2372,[1]master_data!$A$2:$E$495,2,FALSE)</f>
        <v>HIASAN KELAPA</v>
      </c>
      <c r="E2372" s="5">
        <v>1</v>
      </c>
      <c r="F2372" s="5">
        <f>VLOOKUP(C2372,[1]master_data!$A$2:$E$495,3,FALSE)</f>
        <v>8000</v>
      </c>
      <c r="G2372" s="5">
        <f>VLOOKUP(C2372,[1]master_data!$A$2:$E$495,4,FALSE)</f>
        <v>15000</v>
      </c>
      <c r="H2372" s="5">
        <f t="shared" si="114"/>
        <v>8000</v>
      </c>
      <c r="I2372" s="5">
        <f t="shared" si="115"/>
        <v>15000</v>
      </c>
      <c r="J2372" s="5">
        <f t="shared" si="116"/>
        <v>7000</v>
      </c>
      <c r="K2372" s="5" t="str">
        <f>VLOOKUP(C2372,[1]master_data!$A$2:$E$495,5,FALSE)</f>
        <v>Aksesoris</v>
      </c>
      <c r="L2372" s="5" t="s">
        <v>471</v>
      </c>
    </row>
    <row r="2373" spans="1:12" ht="12" customHeight="1" x14ac:dyDescent="0.25">
      <c r="A2373" s="6">
        <v>44682</v>
      </c>
      <c r="B2373" s="1">
        <v>2202190</v>
      </c>
      <c r="C2373" s="5" t="s">
        <v>208</v>
      </c>
      <c r="D2373" s="5" t="str">
        <f>VLOOKUP(C2373,[1]master_data!$A$2:$E$495,2,FALSE)</f>
        <v>TOP VIT</v>
      </c>
      <c r="E2373" s="5">
        <v>1</v>
      </c>
      <c r="F2373" s="5">
        <f>VLOOKUP(C2373,[1]master_data!$A$2:$E$495,3,FALSE)</f>
        <v>4000</v>
      </c>
      <c r="G2373" s="5">
        <f>VLOOKUP(C2373,[1]master_data!$A$2:$E$495,4,FALSE)</f>
        <v>7000</v>
      </c>
      <c r="H2373" s="5">
        <f t="shared" ref="H2373:H2436" si="117">E2373*F2373</f>
        <v>4000</v>
      </c>
      <c r="I2373" s="5">
        <f t="shared" ref="I2373:I2436" si="118">E2373*G2373</f>
        <v>7000</v>
      </c>
      <c r="J2373" s="5">
        <f t="shared" ref="J2373:J2436" si="119">I2373-H2373</f>
        <v>3000</v>
      </c>
      <c r="K2373" s="5" t="str">
        <f>VLOOKUP(C2373,[1]master_data!$A$2:$E$495,5,FALSE)</f>
        <v>Aksesoris</v>
      </c>
      <c r="L2373" s="5" t="s">
        <v>471</v>
      </c>
    </row>
    <row r="2374" spans="1:12" ht="12" customHeight="1" x14ac:dyDescent="0.25">
      <c r="A2374" s="6">
        <v>44682</v>
      </c>
      <c r="B2374" s="1">
        <v>2202189</v>
      </c>
      <c r="C2374" s="5" t="s">
        <v>407</v>
      </c>
      <c r="D2374" s="5" t="str">
        <f>VLOOKUP(C2374,[1]master_data!$A$2:$E$495,2,FALSE)</f>
        <v>CUPANG</v>
      </c>
      <c r="E2374" s="5">
        <v>2</v>
      </c>
      <c r="F2374" s="5">
        <f>VLOOKUP(C2374,[1]master_data!$A$2:$E$495,3,FALSE)</f>
        <v>2000</v>
      </c>
      <c r="G2374" s="5">
        <f>VLOOKUP(C2374,[1]master_data!$A$2:$E$495,4,FALSE)</f>
        <v>5000</v>
      </c>
      <c r="H2374" s="5">
        <f t="shared" si="117"/>
        <v>4000</v>
      </c>
      <c r="I2374" s="5">
        <f t="shared" si="118"/>
        <v>10000</v>
      </c>
      <c r="J2374" s="5">
        <f t="shared" si="119"/>
        <v>6000</v>
      </c>
      <c r="K2374" s="5" t="str">
        <f>VLOOKUP(C2374,[1]master_data!$A$2:$E$495,5,FALSE)</f>
        <v>Ikan</v>
      </c>
      <c r="L2374" s="5" t="s">
        <v>471</v>
      </c>
    </row>
    <row r="2375" spans="1:12" ht="12" customHeight="1" x14ac:dyDescent="0.25">
      <c r="A2375" s="6">
        <v>44682</v>
      </c>
      <c r="B2375" s="1">
        <v>2202188</v>
      </c>
      <c r="C2375" s="5" t="s">
        <v>285</v>
      </c>
      <c r="D2375" s="5" t="str">
        <f>VLOOKUP(C2375,[1]master_data!$A$2:$E$495,2,FALSE)</f>
        <v>KAPAS 4 LAPIS</v>
      </c>
      <c r="E2375" s="5">
        <v>1</v>
      </c>
      <c r="F2375" s="5">
        <f>VLOOKUP(C2375,[1]master_data!$A$2:$E$495,3,FALSE)</f>
        <v>6500</v>
      </c>
      <c r="G2375" s="5">
        <f>VLOOKUP(C2375,[1]master_data!$A$2:$E$495,4,FALSE)</f>
        <v>10000</v>
      </c>
      <c r="H2375" s="5">
        <f t="shared" si="117"/>
        <v>6500</v>
      </c>
      <c r="I2375" s="5">
        <f t="shared" si="118"/>
        <v>10000</v>
      </c>
      <c r="J2375" s="5">
        <f t="shared" si="119"/>
        <v>3500</v>
      </c>
      <c r="K2375" s="5" t="str">
        <f>VLOOKUP(C2375,[1]master_data!$A$2:$E$495,5,FALSE)</f>
        <v>Aksesoris</v>
      </c>
      <c r="L2375" s="5" t="s">
        <v>471</v>
      </c>
    </row>
    <row r="2376" spans="1:12" ht="12" customHeight="1" x14ac:dyDescent="0.25">
      <c r="A2376" s="6">
        <v>44682</v>
      </c>
      <c r="B2376" s="1">
        <v>2202187</v>
      </c>
      <c r="C2376" s="5" t="s">
        <v>212</v>
      </c>
      <c r="D2376" s="5" t="str">
        <f>VLOOKUP(C2376,[1]master_data!$A$2:$E$495,2,FALSE)</f>
        <v>UDANG KERING</v>
      </c>
      <c r="E2376" s="5">
        <v>1</v>
      </c>
      <c r="F2376" s="5">
        <f>VLOOKUP(C2376,[1]master_data!$A$2:$E$495,3,FALSE)</f>
        <v>4500</v>
      </c>
      <c r="G2376" s="5">
        <f>VLOOKUP(C2376,[1]master_data!$A$2:$E$495,4,FALSE)</f>
        <v>10000</v>
      </c>
      <c r="H2376" s="5">
        <f t="shared" si="117"/>
        <v>4500</v>
      </c>
      <c r="I2376" s="5">
        <f t="shared" si="118"/>
        <v>10000</v>
      </c>
      <c r="J2376" s="5">
        <f t="shared" si="119"/>
        <v>5500</v>
      </c>
      <c r="K2376" s="5" t="str">
        <f>VLOOKUP(C2376,[1]master_data!$A$2:$E$495,5,FALSE)</f>
        <v>Aksesoris</v>
      </c>
      <c r="L2376" s="5" t="s">
        <v>471</v>
      </c>
    </row>
    <row r="2377" spans="1:12" ht="12" customHeight="1" x14ac:dyDescent="0.25">
      <c r="A2377" s="6">
        <v>44682</v>
      </c>
      <c r="B2377" s="1">
        <v>2202186</v>
      </c>
      <c r="C2377" s="5" t="s">
        <v>432</v>
      </c>
      <c r="D2377" s="5" t="str">
        <f>VLOOKUP(C2377,[1]master_data!$A$2:$E$495,2,FALSE)</f>
        <v>MARU K</v>
      </c>
      <c r="E2377" s="5">
        <v>1</v>
      </c>
      <c r="F2377" s="5">
        <f>VLOOKUP(C2377,[1]master_data!$A$2:$E$495,3,FALSE)</f>
        <v>23000</v>
      </c>
      <c r="G2377" s="5">
        <f>VLOOKUP(C2377,[1]master_data!$A$2:$E$495,4,FALSE)</f>
        <v>50000</v>
      </c>
      <c r="H2377" s="5">
        <f t="shared" si="117"/>
        <v>23000</v>
      </c>
      <c r="I2377" s="5">
        <f t="shared" si="118"/>
        <v>50000</v>
      </c>
      <c r="J2377" s="5">
        <f t="shared" si="119"/>
        <v>27000</v>
      </c>
      <c r="K2377" s="5" t="str">
        <f>VLOOKUP(C2377,[1]master_data!$A$2:$E$495,5,FALSE)</f>
        <v>Ikan</v>
      </c>
      <c r="L2377" s="5" t="s">
        <v>471</v>
      </c>
    </row>
    <row r="2378" spans="1:12" ht="12" customHeight="1" x14ac:dyDescent="0.25">
      <c r="A2378" s="6">
        <v>44682</v>
      </c>
      <c r="B2378" s="1">
        <v>2202185</v>
      </c>
      <c r="C2378" s="5" t="s">
        <v>418</v>
      </c>
      <c r="D2378" s="5" t="str">
        <f>VLOOKUP(C2378,[1]master_data!$A$2:$E$495,2,FALSE)</f>
        <v>KOI B</v>
      </c>
      <c r="E2378" s="5">
        <v>4</v>
      </c>
      <c r="F2378" s="5">
        <f>VLOOKUP(C2378,[1]master_data!$A$2:$E$495,3,FALSE)</f>
        <v>9000</v>
      </c>
      <c r="G2378" s="5">
        <f>VLOOKUP(C2378,[1]master_data!$A$2:$E$495,4,FALSE)</f>
        <v>30000</v>
      </c>
      <c r="H2378" s="5">
        <f t="shared" si="117"/>
        <v>36000</v>
      </c>
      <c r="I2378" s="5">
        <f t="shared" si="118"/>
        <v>120000</v>
      </c>
      <c r="J2378" s="5">
        <f t="shared" si="119"/>
        <v>84000</v>
      </c>
      <c r="K2378" s="5" t="str">
        <f>VLOOKUP(C2378,[1]master_data!$A$2:$E$495,5,FALSE)</f>
        <v>Ikan</v>
      </c>
      <c r="L2378" s="5" t="s">
        <v>471</v>
      </c>
    </row>
    <row r="2379" spans="1:12" ht="12" customHeight="1" x14ac:dyDescent="0.25">
      <c r="A2379" s="6">
        <v>44681</v>
      </c>
      <c r="B2379" s="1">
        <v>2202184</v>
      </c>
      <c r="C2379" s="5" t="s">
        <v>285</v>
      </c>
      <c r="D2379" s="5" t="str">
        <f>VLOOKUP(C2379,[1]master_data!$A$2:$E$495,2,FALSE)</f>
        <v>KAPAS 4 LAPIS</v>
      </c>
      <c r="E2379" s="5">
        <v>1</v>
      </c>
      <c r="F2379" s="5">
        <f>VLOOKUP(C2379,[1]master_data!$A$2:$E$495,3,FALSE)</f>
        <v>6500</v>
      </c>
      <c r="G2379" s="5">
        <f>VLOOKUP(C2379,[1]master_data!$A$2:$E$495,4,FALSE)</f>
        <v>10000</v>
      </c>
      <c r="H2379" s="5">
        <f t="shared" si="117"/>
        <v>6500</v>
      </c>
      <c r="I2379" s="5">
        <f t="shared" si="118"/>
        <v>10000</v>
      </c>
      <c r="J2379" s="5">
        <f t="shared" si="119"/>
        <v>3500</v>
      </c>
      <c r="K2379" s="5" t="str">
        <f>VLOOKUP(C2379,[1]master_data!$A$2:$E$495,5,FALSE)</f>
        <v>Aksesoris</v>
      </c>
      <c r="L2379" s="5" t="s">
        <v>471</v>
      </c>
    </row>
    <row r="2380" spans="1:12" ht="12" customHeight="1" x14ac:dyDescent="0.25">
      <c r="A2380" s="6">
        <v>44681</v>
      </c>
      <c r="B2380" s="1">
        <v>2202183</v>
      </c>
      <c r="C2380" s="5" t="s">
        <v>255</v>
      </c>
      <c r="D2380" s="5" t="str">
        <f>VLOOKUP(C2380,[1]master_data!$A$2:$E$495,2,FALSE)</f>
        <v>ACRIPLAVIN</v>
      </c>
      <c r="E2380" s="5">
        <v>1</v>
      </c>
      <c r="F2380" s="5">
        <f>VLOOKUP(C2380,[1]master_data!$A$2:$E$495,3,FALSE)</f>
        <v>3000</v>
      </c>
      <c r="G2380" s="5">
        <f>VLOOKUP(C2380,[1]master_data!$A$2:$E$495,4,FALSE)</f>
        <v>8000</v>
      </c>
      <c r="H2380" s="5">
        <f t="shared" si="117"/>
        <v>3000</v>
      </c>
      <c r="I2380" s="5">
        <f t="shared" si="118"/>
        <v>8000</v>
      </c>
      <c r="J2380" s="5">
        <f t="shared" si="119"/>
        <v>5000</v>
      </c>
      <c r="K2380" s="5" t="str">
        <f>VLOOKUP(C2380,[1]master_data!$A$2:$E$495,5,FALSE)</f>
        <v>Aksesoris</v>
      </c>
      <c r="L2380" s="5" t="s">
        <v>471</v>
      </c>
    </row>
    <row r="2381" spans="1:12" ht="12" customHeight="1" x14ac:dyDescent="0.25">
      <c r="A2381" s="6">
        <v>44681</v>
      </c>
      <c r="B2381" s="1">
        <v>2202182</v>
      </c>
      <c r="C2381" s="5" t="s">
        <v>318</v>
      </c>
      <c r="D2381" s="5" t="str">
        <f>VLOOKUP(C2381,[1]master_data!$A$2:$E$495,2,FALSE)</f>
        <v>TEMPAT CACING</v>
      </c>
      <c r="E2381" s="5">
        <v>1</v>
      </c>
      <c r="F2381" s="5">
        <f>VLOOKUP(C2381,[1]master_data!$A$2:$E$495,3,FALSE)</f>
        <v>1500</v>
      </c>
      <c r="G2381" s="5">
        <f>VLOOKUP(C2381,[1]master_data!$A$2:$E$495,4,FALSE)</f>
        <v>5000</v>
      </c>
      <c r="H2381" s="5">
        <f t="shared" si="117"/>
        <v>1500</v>
      </c>
      <c r="I2381" s="5">
        <f t="shared" si="118"/>
        <v>5000</v>
      </c>
      <c r="J2381" s="5">
        <f t="shared" si="119"/>
        <v>3500</v>
      </c>
      <c r="K2381" s="5" t="str">
        <f>VLOOKUP(C2381,[1]master_data!$A$2:$E$495,5,FALSE)</f>
        <v>Aksesoris</v>
      </c>
      <c r="L2381" s="5" t="s">
        <v>471</v>
      </c>
    </row>
    <row r="2382" spans="1:12" ht="12" customHeight="1" x14ac:dyDescent="0.25">
      <c r="A2382" s="6">
        <v>44681</v>
      </c>
      <c r="B2382" s="1">
        <v>2202181</v>
      </c>
      <c r="C2382" s="5" t="s">
        <v>19</v>
      </c>
      <c r="D2382" s="5" t="str">
        <f>VLOOKUP(C2382,[1]master_data!$A$2:$E$495,2,FALSE)</f>
        <v>MESIN ROSTON 1000 L</v>
      </c>
      <c r="E2382" s="5">
        <v>1</v>
      </c>
      <c r="F2382" s="5">
        <f>VLOOKUP(C2382,[1]master_data!$A$2:$E$495,3,FALSE)</f>
        <v>30000</v>
      </c>
      <c r="G2382" s="5">
        <f>VLOOKUP(C2382,[1]master_data!$A$2:$E$495,4,FALSE)</f>
        <v>45000</v>
      </c>
      <c r="H2382" s="5">
        <f t="shared" si="117"/>
        <v>30000</v>
      </c>
      <c r="I2382" s="5">
        <f t="shared" si="118"/>
        <v>45000</v>
      </c>
      <c r="J2382" s="5">
        <f t="shared" si="119"/>
        <v>15000</v>
      </c>
      <c r="K2382" s="5" t="str">
        <f>VLOOKUP(C2382,[1]master_data!$A$2:$E$495,5,FALSE)</f>
        <v>Aksesoris</v>
      </c>
      <c r="L2382" s="5" t="s">
        <v>471</v>
      </c>
    </row>
    <row r="2383" spans="1:12" ht="12" customHeight="1" x14ac:dyDescent="0.25">
      <c r="A2383" s="6">
        <v>44681</v>
      </c>
      <c r="B2383" s="1">
        <v>2202180</v>
      </c>
      <c r="C2383" s="5" t="s">
        <v>44</v>
      </c>
      <c r="D2383" s="5" t="str">
        <f>VLOOKUP(C2383,[1]master_data!$A$2:$E$495,2,FALSE)</f>
        <v>TOP FILTER NIKITA B</v>
      </c>
      <c r="E2383" s="5">
        <v>1</v>
      </c>
      <c r="F2383" s="5">
        <f>VLOOKUP(C2383,[1]master_data!$A$2:$E$495,3,FALSE)</f>
        <v>45000</v>
      </c>
      <c r="G2383" s="5">
        <f>VLOOKUP(C2383,[1]master_data!$A$2:$E$495,4,FALSE)</f>
        <v>70000</v>
      </c>
      <c r="H2383" s="5">
        <f t="shared" si="117"/>
        <v>45000</v>
      </c>
      <c r="I2383" s="5">
        <f t="shared" si="118"/>
        <v>70000</v>
      </c>
      <c r="J2383" s="5">
        <f t="shared" si="119"/>
        <v>25000</v>
      </c>
      <c r="K2383" s="5" t="str">
        <f>VLOOKUP(C2383,[1]master_data!$A$2:$E$495,5,FALSE)</f>
        <v>Aksesoris</v>
      </c>
      <c r="L2383" s="5" t="s">
        <v>471</v>
      </c>
    </row>
    <row r="2384" spans="1:12" ht="12" customHeight="1" x14ac:dyDescent="0.25">
      <c r="A2384" s="6">
        <v>44681</v>
      </c>
      <c r="B2384" s="1">
        <v>2202179</v>
      </c>
      <c r="C2384" s="5" t="s">
        <v>260</v>
      </c>
      <c r="D2384" s="5" t="str">
        <f>VLOOKUP(C2384,[1]master_data!$A$2:$E$495,2,FALSE)</f>
        <v>BUNGA K</v>
      </c>
      <c r="E2384" s="5">
        <v>2</v>
      </c>
      <c r="F2384" s="5">
        <f>VLOOKUP(C2384,[1]master_data!$A$2:$E$495,3,FALSE)</f>
        <v>2500</v>
      </c>
      <c r="G2384" s="5">
        <f>VLOOKUP(C2384,[1]master_data!$A$2:$E$495,4,FALSE)</f>
        <v>5000</v>
      </c>
      <c r="H2384" s="5">
        <f t="shared" si="117"/>
        <v>5000</v>
      </c>
      <c r="I2384" s="5">
        <f t="shared" si="118"/>
        <v>10000</v>
      </c>
      <c r="J2384" s="5">
        <f t="shared" si="119"/>
        <v>5000</v>
      </c>
      <c r="K2384" s="5" t="str">
        <f>VLOOKUP(C2384,[1]master_data!$A$2:$E$495,5,FALSE)</f>
        <v>Aksesoris</v>
      </c>
      <c r="L2384" s="5" t="s">
        <v>471</v>
      </c>
    </row>
    <row r="2385" spans="1:12" ht="12" customHeight="1" x14ac:dyDescent="0.25">
      <c r="A2385" s="6">
        <v>44681</v>
      </c>
      <c r="B2385" s="1">
        <v>2202178</v>
      </c>
      <c r="C2385" s="5" t="s">
        <v>432</v>
      </c>
      <c r="D2385" s="5" t="str">
        <f>VLOOKUP(C2385,[1]master_data!$A$2:$E$495,2,FALSE)</f>
        <v>MARU K</v>
      </c>
      <c r="E2385" s="5">
        <v>1</v>
      </c>
      <c r="F2385" s="5">
        <f>VLOOKUP(C2385,[1]master_data!$A$2:$E$495,3,FALSE)</f>
        <v>23000</v>
      </c>
      <c r="G2385" s="5">
        <f>VLOOKUP(C2385,[1]master_data!$A$2:$E$495,4,FALSE)</f>
        <v>50000</v>
      </c>
      <c r="H2385" s="5">
        <f t="shared" si="117"/>
        <v>23000</v>
      </c>
      <c r="I2385" s="5">
        <f t="shared" si="118"/>
        <v>50000</v>
      </c>
      <c r="J2385" s="5">
        <f t="shared" si="119"/>
        <v>27000</v>
      </c>
      <c r="K2385" s="5" t="str">
        <f>VLOOKUP(C2385,[1]master_data!$A$2:$E$495,5,FALSE)</f>
        <v>Ikan</v>
      </c>
      <c r="L2385" s="5" t="s">
        <v>471</v>
      </c>
    </row>
    <row r="2386" spans="1:12" ht="12" customHeight="1" x14ac:dyDescent="0.25">
      <c r="A2386" s="6">
        <v>44681</v>
      </c>
      <c r="B2386" s="1">
        <v>2202177</v>
      </c>
      <c r="C2386" s="5" t="s">
        <v>418</v>
      </c>
      <c r="D2386" s="5" t="str">
        <f>VLOOKUP(C2386,[1]master_data!$A$2:$E$495,2,FALSE)</f>
        <v>KOI B</v>
      </c>
      <c r="E2386" s="5">
        <v>4</v>
      </c>
      <c r="F2386" s="5">
        <f>VLOOKUP(C2386,[1]master_data!$A$2:$E$495,3,FALSE)</f>
        <v>9000</v>
      </c>
      <c r="G2386" s="5">
        <f>VLOOKUP(C2386,[1]master_data!$A$2:$E$495,4,FALSE)</f>
        <v>30000</v>
      </c>
      <c r="H2386" s="5">
        <f t="shared" si="117"/>
        <v>36000</v>
      </c>
      <c r="I2386" s="5">
        <f t="shared" si="118"/>
        <v>120000</v>
      </c>
      <c r="J2386" s="5">
        <f t="shared" si="119"/>
        <v>84000</v>
      </c>
      <c r="K2386" s="5" t="str">
        <f>VLOOKUP(C2386,[1]master_data!$A$2:$E$495,5,FALSE)</f>
        <v>Ikan</v>
      </c>
      <c r="L2386" s="5" t="s">
        <v>471</v>
      </c>
    </row>
    <row r="2387" spans="1:12" ht="12" customHeight="1" x14ac:dyDescent="0.25">
      <c r="A2387" s="6">
        <v>44681</v>
      </c>
      <c r="B2387" s="1">
        <v>2202176</v>
      </c>
      <c r="C2387" s="5" t="s">
        <v>303</v>
      </c>
      <c r="D2387" s="5" t="str">
        <f>VLOOKUP(C2387,[1]master_data!$A$2:$E$495,2,FALSE)</f>
        <v>PIPA LONJOR 2 M</v>
      </c>
      <c r="E2387" s="5">
        <v>1</v>
      </c>
      <c r="F2387" s="5">
        <f>VLOOKUP(C2387,[1]master_data!$A$2:$E$495,3,FALSE)</f>
        <v>5000</v>
      </c>
      <c r="G2387" s="5">
        <f>VLOOKUP(C2387,[1]master_data!$A$2:$E$495,4,FALSE)</f>
        <v>10000</v>
      </c>
      <c r="H2387" s="5">
        <f t="shared" si="117"/>
        <v>5000</v>
      </c>
      <c r="I2387" s="5">
        <f t="shared" si="118"/>
        <v>10000</v>
      </c>
      <c r="J2387" s="5">
        <f t="shared" si="119"/>
        <v>5000</v>
      </c>
      <c r="K2387" s="5" t="str">
        <f>VLOOKUP(C2387,[1]master_data!$A$2:$E$495,5,FALSE)</f>
        <v>Aksesoris</v>
      </c>
      <c r="L2387" s="5" t="s">
        <v>471</v>
      </c>
    </row>
    <row r="2388" spans="1:12" ht="12" customHeight="1" x14ac:dyDescent="0.25">
      <c r="A2388" s="6">
        <v>44681</v>
      </c>
      <c r="B2388" s="1">
        <v>2202175</v>
      </c>
      <c r="C2388" s="5" t="s">
        <v>375</v>
      </c>
      <c r="D2388" s="5" t="str">
        <f>VLOOKUP(C2388,[1]master_data!$A$2:$E$495,2,FALSE)</f>
        <v>PASIR MERAH K</v>
      </c>
      <c r="E2388" s="5">
        <v>1</v>
      </c>
      <c r="F2388" s="5">
        <f>VLOOKUP(C2388,[1]master_data!$A$2:$E$495,3,FALSE)</f>
        <v>2500</v>
      </c>
      <c r="G2388" s="5">
        <f>VLOOKUP(C2388,[1]master_data!$A$2:$E$495,4,FALSE)</f>
        <v>5000</v>
      </c>
      <c r="H2388" s="5">
        <f t="shared" si="117"/>
        <v>2500</v>
      </c>
      <c r="I2388" s="5">
        <f t="shared" si="118"/>
        <v>5000</v>
      </c>
      <c r="J2388" s="5">
        <f t="shared" si="119"/>
        <v>2500</v>
      </c>
      <c r="K2388" s="5" t="str">
        <f>VLOOKUP(C2388,[1]master_data!$A$2:$E$495,5,FALSE)</f>
        <v>Aksesoris</v>
      </c>
      <c r="L2388" s="5" t="s">
        <v>471</v>
      </c>
    </row>
    <row r="2389" spans="1:12" ht="12" customHeight="1" x14ac:dyDescent="0.25">
      <c r="A2389" s="6">
        <v>44680</v>
      </c>
      <c r="B2389" s="1">
        <v>2202174</v>
      </c>
      <c r="C2389" s="5" t="s">
        <v>256</v>
      </c>
      <c r="D2389" s="5" t="str">
        <f>VLOOKUP(C2389,[1]master_data!$A$2:$E$495,2,FALSE)</f>
        <v>BACKGROUND</v>
      </c>
      <c r="E2389" s="5">
        <v>1</v>
      </c>
      <c r="F2389" s="5">
        <f>VLOOKUP(C2389,[1]master_data!$A$2:$E$495,3,FALSE)</f>
        <v>8000</v>
      </c>
      <c r="G2389" s="5">
        <f>VLOOKUP(C2389,[1]master_data!$A$2:$E$495,4,FALSE)</f>
        <v>15000</v>
      </c>
      <c r="H2389" s="5">
        <f t="shared" si="117"/>
        <v>8000</v>
      </c>
      <c r="I2389" s="5">
        <f t="shared" si="118"/>
        <v>15000</v>
      </c>
      <c r="J2389" s="5">
        <f t="shared" si="119"/>
        <v>7000</v>
      </c>
      <c r="K2389" s="5" t="str">
        <f>VLOOKUP(C2389,[1]master_data!$A$2:$E$495,5,FALSE)</f>
        <v>Aksesoris</v>
      </c>
      <c r="L2389" s="5" t="s">
        <v>471</v>
      </c>
    </row>
    <row r="2390" spans="1:12" ht="12" customHeight="1" x14ac:dyDescent="0.25">
      <c r="A2390" s="6">
        <v>44680</v>
      </c>
      <c r="B2390" s="1">
        <v>2202173</v>
      </c>
      <c r="C2390" s="5" t="s">
        <v>120</v>
      </c>
      <c r="D2390" s="5" t="str">
        <f>VLOOKUP(C2390,[1]master_data!$A$2:$E$495,2,FALSE)</f>
        <v>LED ROSTON 50 CM</v>
      </c>
      <c r="E2390" s="5">
        <v>1</v>
      </c>
      <c r="F2390" s="5">
        <f>VLOOKUP(C2390,[1]master_data!$A$2:$E$495,3,FALSE)</f>
        <v>27000</v>
      </c>
      <c r="G2390" s="5">
        <f>VLOOKUP(C2390,[1]master_data!$A$2:$E$495,4,FALSE)</f>
        <v>50000</v>
      </c>
      <c r="H2390" s="5">
        <f t="shared" si="117"/>
        <v>27000</v>
      </c>
      <c r="I2390" s="5">
        <f t="shared" si="118"/>
        <v>50000</v>
      </c>
      <c r="J2390" s="5">
        <f t="shared" si="119"/>
        <v>23000</v>
      </c>
      <c r="K2390" s="5" t="str">
        <f>VLOOKUP(C2390,[1]master_data!$A$2:$E$495,5,FALSE)</f>
        <v>Aksesoris</v>
      </c>
      <c r="L2390" s="5" t="s">
        <v>471</v>
      </c>
    </row>
    <row r="2391" spans="1:12" ht="12" customHeight="1" x14ac:dyDescent="0.25">
      <c r="A2391" s="6">
        <v>44680</v>
      </c>
      <c r="B2391" s="1">
        <v>2202172</v>
      </c>
      <c r="C2391" s="5" t="s">
        <v>334</v>
      </c>
      <c r="D2391" s="5" t="str">
        <f>VLOOKUP(C2391,[1]master_data!$A$2:$E$495,2,FALSE)</f>
        <v>KARPET RUMPUT</v>
      </c>
      <c r="E2391" s="5">
        <v>1</v>
      </c>
      <c r="F2391" s="5">
        <f>VLOOKUP(C2391,[1]master_data!$A$2:$E$495,3,FALSE)</f>
        <v>15000</v>
      </c>
      <c r="G2391" s="5">
        <f>VLOOKUP(C2391,[1]master_data!$A$2:$E$495,4,FALSE)</f>
        <v>25000</v>
      </c>
      <c r="H2391" s="5">
        <f t="shared" si="117"/>
        <v>15000</v>
      </c>
      <c r="I2391" s="5">
        <f t="shared" si="118"/>
        <v>25000</v>
      </c>
      <c r="J2391" s="5">
        <f t="shared" si="119"/>
        <v>10000</v>
      </c>
      <c r="K2391" s="5" t="str">
        <f>VLOOKUP(C2391,[1]master_data!$A$2:$E$495,5,FALSE)</f>
        <v>Aksesoris</v>
      </c>
      <c r="L2391" s="5" t="s">
        <v>471</v>
      </c>
    </row>
    <row r="2392" spans="1:12" ht="12" customHeight="1" x14ac:dyDescent="0.25">
      <c r="A2392" s="6">
        <v>44680</v>
      </c>
      <c r="B2392" s="1">
        <v>2202171</v>
      </c>
      <c r="C2392" s="5" t="s">
        <v>380</v>
      </c>
      <c r="D2392" s="5" t="str">
        <f>VLOOKUP(C2392,[1]master_data!$A$2:$E$495,2,FALSE)</f>
        <v>BATU WARNA BIASA</v>
      </c>
      <c r="E2392" s="5">
        <v>1</v>
      </c>
      <c r="F2392" s="5">
        <f>VLOOKUP(C2392,[1]master_data!$A$2:$E$495,3,FALSE)</f>
        <v>3500</v>
      </c>
      <c r="G2392" s="5">
        <f>VLOOKUP(C2392,[1]master_data!$A$2:$E$495,4,FALSE)</f>
        <v>8000</v>
      </c>
      <c r="H2392" s="5">
        <f t="shared" si="117"/>
        <v>3500</v>
      </c>
      <c r="I2392" s="5">
        <f t="shared" si="118"/>
        <v>8000</v>
      </c>
      <c r="J2392" s="5">
        <f t="shared" si="119"/>
        <v>4500</v>
      </c>
      <c r="K2392" s="5" t="str">
        <f>VLOOKUP(C2392,[1]master_data!$A$2:$E$495,5,FALSE)</f>
        <v>Aksesoris</v>
      </c>
      <c r="L2392" s="5" t="s">
        <v>471</v>
      </c>
    </row>
    <row r="2393" spans="1:12" ht="12" customHeight="1" x14ac:dyDescent="0.25">
      <c r="A2393" s="6">
        <v>44680</v>
      </c>
      <c r="B2393" s="1">
        <v>2202170</v>
      </c>
      <c r="C2393" s="5" t="s">
        <v>386</v>
      </c>
      <c r="D2393" s="5" t="str">
        <f>VLOOKUP(C2393,[1]master_data!$A$2:$E$495,2,FALSE)</f>
        <v>BATU KARANG JAHE</v>
      </c>
      <c r="E2393" s="5">
        <v>1</v>
      </c>
      <c r="F2393" s="5">
        <f>VLOOKUP(C2393,[1]master_data!$A$2:$E$495,3,FALSE)</f>
        <v>15000</v>
      </c>
      <c r="G2393" s="5">
        <f>VLOOKUP(C2393,[1]master_data!$A$2:$E$495,4,FALSE)</f>
        <v>25000</v>
      </c>
      <c r="H2393" s="5">
        <f t="shared" si="117"/>
        <v>15000</v>
      </c>
      <c r="I2393" s="5">
        <f t="shared" si="118"/>
        <v>25000</v>
      </c>
      <c r="J2393" s="5">
        <f t="shared" si="119"/>
        <v>10000</v>
      </c>
      <c r="K2393" s="5" t="str">
        <f>VLOOKUP(C2393,[1]master_data!$A$2:$E$495,5,FALSE)</f>
        <v>Aksesoris</v>
      </c>
      <c r="L2393" s="5" t="s">
        <v>471</v>
      </c>
    </row>
    <row r="2394" spans="1:12" ht="12" customHeight="1" x14ac:dyDescent="0.25">
      <c r="A2394" s="6">
        <v>44680</v>
      </c>
      <c r="B2394" s="1">
        <v>2202169</v>
      </c>
      <c r="C2394" s="5" t="s">
        <v>432</v>
      </c>
      <c r="D2394" s="5" t="str">
        <f>VLOOKUP(C2394,[1]master_data!$A$2:$E$495,2,FALSE)</f>
        <v>MARU K</v>
      </c>
      <c r="E2394" s="5">
        <v>1</v>
      </c>
      <c r="F2394" s="5">
        <f>VLOOKUP(C2394,[1]master_data!$A$2:$E$495,3,FALSE)</f>
        <v>23000</v>
      </c>
      <c r="G2394" s="5">
        <f>VLOOKUP(C2394,[1]master_data!$A$2:$E$495,4,FALSE)</f>
        <v>50000</v>
      </c>
      <c r="H2394" s="5">
        <f t="shared" si="117"/>
        <v>23000</v>
      </c>
      <c r="I2394" s="5">
        <f t="shared" si="118"/>
        <v>50000</v>
      </c>
      <c r="J2394" s="5">
        <f t="shared" si="119"/>
        <v>27000</v>
      </c>
      <c r="K2394" s="5" t="str">
        <f>VLOOKUP(C2394,[1]master_data!$A$2:$E$495,5,FALSE)</f>
        <v>Ikan</v>
      </c>
      <c r="L2394" s="5" t="s">
        <v>471</v>
      </c>
    </row>
    <row r="2395" spans="1:12" ht="12" customHeight="1" x14ac:dyDescent="0.25">
      <c r="A2395" s="6">
        <v>44680</v>
      </c>
      <c r="B2395" s="1">
        <v>2202168</v>
      </c>
      <c r="C2395" s="5" t="s">
        <v>407</v>
      </c>
      <c r="D2395" s="5" t="str">
        <f>VLOOKUP(C2395,[1]master_data!$A$2:$E$495,2,FALSE)</f>
        <v>CUPANG</v>
      </c>
      <c r="E2395" s="5">
        <v>2</v>
      </c>
      <c r="F2395" s="5">
        <f>VLOOKUP(C2395,[1]master_data!$A$2:$E$495,3,FALSE)</f>
        <v>2000</v>
      </c>
      <c r="G2395" s="5">
        <f>VLOOKUP(C2395,[1]master_data!$A$2:$E$495,4,FALSE)</f>
        <v>5000</v>
      </c>
      <c r="H2395" s="5">
        <f t="shared" si="117"/>
        <v>4000</v>
      </c>
      <c r="I2395" s="5">
        <f t="shared" si="118"/>
        <v>10000</v>
      </c>
      <c r="J2395" s="5">
        <f t="shared" si="119"/>
        <v>6000</v>
      </c>
      <c r="K2395" s="5" t="str">
        <f>VLOOKUP(C2395,[1]master_data!$A$2:$E$495,5,FALSE)</f>
        <v>Ikan</v>
      </c>
      <c r="L2395" s="5" t="s">
        <v>471</v>
      </c>
    </row>
    <row r="2396" spans="1:12" ht="12" customHeight="1" x14ac:dyDescent="0.25">
      <c r="A2396" s="6">
        <v>44680</v>
      </c>
      <c r="B2396" s="1">
        <v>2202167</v>
      </c>
      <c r="C2396" s="5" t="s">
        <v>215</v>
      </c>
      <c r="D2396" s="5" t="str">
        <f>VLOOKUP(C2396,[1]master_data!$A$2:$E$495,2,FALSE)</f>
        <v>MEM PRIME 10 GR</v>
      </c>
      <c r="E2396" s="5">
        <v>1</v>
      </c>
      <c r="F2396" s="5">
        <f>VLOOKUP(C2396,[1]master_data!$A$2:$E$495,3,FALSE)</f>
        <v>5000</v>
      </c>
      <c r="G2396" s="5">
        <f>VLOOKUP(C2396,[1]master_data!$A$2:$E$495,4,FALSE)</f>
        <v>10000</v>
      </c>
      <c r="H2396" s="5">
        <f t="shared" si="117"/>
        <v>5000</v>
      </c>
      <c r="I2396" s="5">
        <f t="shared" si="118"/>
        <v>10000</v>
      </c>
      <c r="J2396" s="5">
        <f t="shared" si="119"/>
        <v>5000</v>
      </c>
      <c r="K2396" s="5" t="str">
        <f>VLOOKUP(C2396,[1]master_data!$A$2:$E$495,5,FALSE)</f>
        <v>Aksesoris</v>
      </c>
      <c r="L2396" s="5" t="s">
        <v>471</v>
      </c>
    </row>
    <row r="2397" spans="1:12" ht="12" customHeight="1" x14ac:dyDescent="0.25">
      <c r="A2397" s="6">
        <v>44680</v>
      </c>
      <c r="B2397" s="1">
        <v>2202166</v>
      </c>
      <c r="C2397" s="5" t="s">
        <v>379</v>
      </c>
      <c r="D2397" s="5" t="str">
        <f>VLOOKUP(C2397,[1]master_data!$A$2:$E$495,2,FALSE)</f>
        <v>PASIR SILICA</v>
      </c>
      <c r="E2397" s="5">
        <v>1</v>
      </c>
      <c r="F2397" s="5">
        <f>VLOOKUP(C2397,[1]master_data!$A$2:$E$495,3,FALSE)</f>
        <v>5000</v>
      </c>
      <c r="G2397" s="5">
        <f>VLOOKUP(C2397,[1]master_data!$A$2:$E$495,4,FALSE)</f>
        <v>10000</v>
      </c>
      <c r="H2397" s="5">
        <f t="shared" si="117"/>
        <v>5000</v>
      </c>
      <c r="I2397" s="5">
        <f t="shared" si="118"/>
        <v>10000</v>
      </c>
      <c r="J2397" s="5">
        <f t="shared" si="119"/>
        <v>5000</v>
      </c>
      <c r="K2397" s="5" t="str">
        <f>VLOOKUP(C2397,[1]master_data!$A$2:$E$495,5,FALSE)</f>
        <v>Aksesoris</v>
      </c>
      <c r="L2397" s="5" t="s">
        <v>471</v>
      </c>
    </row>
    <row r="2398" spans="1:12" ht="12" customHeight="1" x14ac:dyDescent="0.25">
      <c r="A2398" s="6">
        <v>44680</v>
      </c>
      <c r="B2398" s="1">
        <v>2202165</v>
      </c>
      <c r="C2398" s="5" t="s">
        <v>335</v>
      </c>
      <c r="D2398" s="5" t="str">
        <f>VLOOKUP(C2398,[1]master_data!$A$2:$E$495,2,FALSE)</f>
        <v>PENJERNIH</v>
      </c>
      <c r="E2398" s="5">
        <v>1</v>
      </c>
      <c r="F2398" s="5">
        <f>VLOOKUP(C2398,[1]master_data!$A$2:$E$495,3,FALSE)</f>
        <v>3000</v>
      </c>
      <c r="G2398" s="5">
        <f>VLOOKUP(C2398,[1]master_data!$A$2:$E$495,4,FALSE)</f>
        <v>8000</v>
      </c>
      <c r="H2398" s="5">
        <f t="shared" si="117"/>
        <v>3000</v>
      </c>
      <c r="I2398" s="5">
        <f t="shared" si="118"/>
        <v>8000</v>
      </c>
      <c r="J2398" s="5">
        <f t="shared" si="119"/>
        <v>5000</v>
      </c>
      <c r="K2398" s="5" t="str">
        <f>VLOOKUP(C2398,[1]master_data!$A$2:$E$495,5,FALSE)</f>
        <v>Aksesoris</v>
      </c>
      <c r="L2398" s="5" t="s">
        <v>471</v>
      </c>
    </row>
    <row r="2399" spans="1:12" ht="12" customHeight="1" x14ac:dyDescent="0.25">
      <c r="A2399" s="6">
        <v>44680</v>
      </c>
      <c r="B2399" s="1">
        <v>2202164</v>
      </c>
      <c r="C2399" s="5" t="s">
        <v>333</v>
      </c>
      <c r="D2399" s="5" t="str">
        <f>VLOOKUP(C2399,[1]master_data!$A$2:$E$495,2,FALSE)</f>
        <v>KAPAS 2 LAPIS</v>
      </c>
      <c r="E2399" s="5">
        <v>1</v>
      </c>
      <c r="F2399" s="5">
        <f>VLOOKUP(C2399,[1]master_data!$A$2:$E$495,3,FALSE)</f>
        <v>2000</v>
      </c>
      <c r="G2399" s="5">
        <f>VLOOKUP(C2399,[1]master_data!$A$2:$E$495,4,FALSE)</f>
        <v>4000</v>
      </c>
      <c r="H2399" s="5">
        <f t="shared" si="117"/>
        <v>2000</v>
      </c>
      <c r="I2399" s="5">
        <f t="shared" si="118"/>
        <v>4000</v>
      </c>
      <c r="J2399" s="5">
        <f t="shared" si="119"/>
        <v>2000</v>
      </c>
      <c r="K2399" s="5" t="str">
        <f>VLOOKUP(C2399,[1]master_data!$A$2:$E$495,5,FALSE)</f>
        <v>Aksesoris</v>
      </c>
      <c r="L2399" s="5" t="s">
        <v>471</v>
      </c>
    </row>
    <row r="2400" spans="1:12" ht="12" customHeight="1" x14ac:dyDescent="0.25">
      <c r="A2400" s="6">
        <v>44680</v>
      </c>
      <c r="B2400" s="1">
        <v>2202163</v>
      </c>
      <c r="C2400" s="5" t="s">
        <v>208</v>
      </c>
      <c r="D2400" s="5" t="str">
        <f>VLOOKUP(C2400,[1]master_data!$A$2:$E$495,2,FALSE)</f>
        <v>TOP VIT</v>
      </c>
      <c r="E2400" s="5">
        <v>1</v>
      </c>
      <c r="F2400" s="5">
        <f>VLOOKUP(C2400,[1]master_data!$A$2:$E$495,3,FALSE)</f>
        <v>4000</v>
      </c>
      <c r="G2400" s="5">
        <f>VLOOKUP(C2400,[1]master_data!$A$2:$E$495,4,FALSE)</f>
        <v>7000</v>
      </c>
      <c r="H2400" s="5">
        <f t="shared" si="117"/>
        <v>4000</v>
      </c>
      <c r="I2400" s="5">
        <f t="shared" si="118"/>
        <v>7000</v>
      </c>
      <c r="J2400" s="5">
        <f t="shared" si="119"/>
        <v>3000</v>
      </c>
      <c r="K2400" s="5" t="str">
        <f>VLOOKUP(C2400,[1]master_data!$A$2:$E$495,5,FALSE)</f>
        <v>Aksesoris</v>
      </c>
      <c r="L2400" s="5" t="s">
        <v>471</v>
      </c>
    </row>
    <row r="2401" spans="1:12" ht="12" customHeight="1" x14ac:dyDescent="0.25">
      <c r="A2401" s="6">
        <v>44680</v>
      </c>
      <c r="B2401" s="1">
        <v>2202162</v>
      </c>
      <c r="C2401" s="5" t="s">
        <v>418</v>
      </c>
      <c r="D2401" s="5" t="str">
        <f>VLOOKUP(C2401,[1]master_data!$A$2:$E$495,2,FALSE)</f>
        <v>KOI B</v>
      </c>
      <c r="E2401" s="5">
        <v>4</v>
      </c>
      <c r="F2401" s="5">
        <f>VLOOKUP(C2401,[1]master_data!$A$2:$E$495,3,FALSE)</f>
        <v>9000</v>
      </c>
      <c r="G2401" s="5">
        <f>VLOOKUP(C2401,[1]master_data!$A$2:$E$495,4,FALSE)</f>
        <v>30000</v>
      </c>
      <c r="H2401" s="5">
        <f t="shared" si="117"/>
        <v>36000</v>
      </c>
      <c r="I2401" s="5">
        <f t="shared" si="118"/>
        <v>120000</v>
      </c>
      <c r="J2401" s="5">
        <f t="shared" si="119"/>
        <v>84000</v>
      </c>
      <c r="K2401" s="5" t="str">
        <f>VLOOKUP(C2401,[1]master_data!$A$2:$E$495,5,FALSE)</f>
        <v>Ikan</v>
      </c>
      <c r="L2401" s="5" t="s">
        <v>471</v>
      </c>
    </row>
    <row r="2402" spans="1:12" ht="12" customHeight="1" x14ac:dyDescent="0.25">
      <c r="A2402" s="6">
        <v>44679</v>
      </c>
      <c r="B2402" s="1">
        <v>2202161</v>
      </c>
      <c r="C2402" s="5" t="s">
        <v>258</v>
      </c>
      <c r="D2402" s="5" t="str">
        <f>VLOOKUP(C2402,[1]master_data!$A$2:$E$495,2,FALSE)</f>
        <v>BIOBOL</v>
      </c>
      <c r="E2402" s="5">
        <v>1</v>
      </c>
      <c r="F2402" s="5">
        <f>VLOOKUP(C2402,[1]master_data!$A$2:$E$495,3,FALSE)</f>
        <v>4000</v>
      </c>
      <c r="G2402" s="5">
        <f>VLOOKUP(C2402,[1]master_data!$A$2:$E$495,4,FALSE)</f>
        <v>7500</v>
      </c>
      <c r="H2402" s="5">
        <f t="shared" si="117"/>
        <v>4000</v>
      </c>
      <c r="I2402" s="5">
        <f t="shared" si="118"/>
        <v>7500</v>
      </c>
      <c r="J2402" s="5">
        <f t="shared" si="119"/>
        <v>3500</v>
      </c>
      <c r="K2402" s="5" t="str">
        <f>VLOOKUP(C2402,[1]master_data!$A$2:$E$495,5,FALSE)</f>
        <v>Aksesoris</v>
      </c>
      <c r="L2402" s="5" t="s">
        <v>471</v>
      </c>
    </row>
    <row r="2403" spans="1:12" ht="12" customHeight="1" x14ac:dyDescent="0.25">
      <c r="A2403" s="6">
        <v>44679</v>
      </c>
      <c r="B2403" s="1">
        <v>2202160</v>
      </c>
      <c r="C2403" s="5" t="s">
        <v>45</v>
      </c>
      <c r="D2403" s="5" t="str">
        <f>VLOOKUP(C2403,[1]master_data!$A$2:$E$495,2,FALSE)</f>
        <v>TOP FILTER NIKITA K</v>
      </c>
      <c r="E2403" s="5">
        <v>1</v>
      </c>
      <c r="F2403" s="5">
        <f>VLOOKUP(C2403,[1]master_data!$A$2:$E$495,3,FALSE)</f>
        <v>36000</v>
      </c>
      <c r="G2403" s="5">
        <f>VLOOKUP(C2403,[1]master_data!$A$2:$E$495,4,FALSE)</f>
        <v>55000</v>
      </c>
      <c r="H2403" s="5">
        <f t="shared" si="117"/>
        <v>36000</v>
      </c>
      <c r="I2403" s="5">
        <f t="shared" si="118"/>
        <v>55000</v>
      </c>
      <c r="J2403" s="5">
        <f t="shared" si="119"/>
        <v>19000</v>
      </c>
      <c r="K2403" s="5" t="str">
        <f>VLOOKUP(C2403,[1]master_data!$A$2:$E$495,5,FALSE)</f>
        <v>Aksesoris</v>
      </c>
      <c r="L2403" s="5" t="s">
        <v>471</v>
      </c>
    </row>
    <row r="2404" spans="1:12" ht="12" customHeight="1" x14ac:dyDescent="0.25">
      <c r="A2404" s="6">
        <v>44679</v>
      </c>
      <c r="B2404" s="1">
        <v>2202159</v>
      </c>
      <c r="C2404" s="5" t="s">
        <v>303</v>
      </c>
      <c r="D2404" s="5" t="str">
        <f>VLOOKUP(C2404,[1]master_data!$A$2:$E$495,2,FALSE)</f>
        <v>PIPA LONJOR 2 M</v>
      </c>
      <c r="E2404" s="5">
        <v>1</v>
      </c>
      <c r="F2404" s="5">
        <f>VLOOKUP(C2404,[1]master_data!$A$2:$E$495,3,FALSE)</f>
        <v>5000</v>
      </c>
      <c r="G2404" s="5">
        <f>VLOOKUP(C2404,[1]master_data!$A$2:$E$495,4,FALSE)</f>
        <v>10000</v>
      </c>
      <c r="H2404" s="5">
        <f t="shared" si="117"/>
        <v>5000</v>
      </c>
      <c r="I2404" s="5">
        <f t="shared" si="118"/>
        <v>10000</v>
      </c>
      <c r="J2404" s="5">
        <f t="shared" si="119"/>
        <v>5000</v>
      </c>
      <c r="K2404" s="5" t="str">
        <f>VLOOKUP(C2404,[1]master_data!$A$2:$E$495,5,FALSE)</f>
        <v>Aksesoris</v>
      </c>
      <c r="L2404" s="5" t="s">
        <v>471</v>
      </c>
    </row>
    <row r="2405" spans="1:12" ht="12" customHeight="1" x14ac:dyDescent="0.25">
      <c r="A2405" s="6">
        <v>44679</v>
      </c>
      <c r="B2405" s="1">
        <v>2202158</v>
      </c>
      <c r="C2405" s="5" t="s">
        <v>333</v>
      </c>
      <c r="D2405" s="5" t="str">
        <f>VLOOKUP(C2405,[1]master_data!$A$2:$E$495,2,FALSE)</f>
        <v>KAPAS 2 LAPIS</v>
      </c>
      <c r="E2405" s="5">
        <v>1</v>
      </c>
      <c r="F2405" s="5">
        <f>VLOOKUP(C2405,[1]master_data!$A$2:$E$495,3,FALSE)</f>
        <v>2000</v>
      </c>
      <c r="G2405" s="5">
        <f>VLOOKUP(C2405,[1]master_data!$A$2:$E$495,4,FALSE)</f>
        <v>4000</v>
      </c>
      <c r="H2405" s="5">
        <f t="shared" si="117"/>
        <v>2000</v>
      </c>
      <c r="I2405" s="5">
        <f t="shared" si="118"/>
        <v>4000</v>
      </c>
      <c r="J2405" s="5">
        <f t="shared" si="119"/>
        <v>2000</v>
      </c>
      <c r="K2405" s="5" t="str">
        <f>VLOOKUP(C2405,[1]master_data!$A$2:$E$495,5,FALSE)</f>
        <v>Aksesoris</v>
      </c>
      <c r="L2405" s="5" t="s">
        <v>471</v>
      </c>
    </row>
    <row r="2406" spans="1:12" ht="12" customHeight="1" x14ac:dyDescent="0.25">
      <c r="A2406" s="6">
        <v>44679</v>
      </c>
      <c r="B2406" s="1">
        <v>2202157</v>
      </c>
      <c r="C2406" s="5" t="s">
        <v>136</v>
      </c>
      <c r="D2406" s="5" t="str">
        <f>VLOOKUP(C2406,[1]master_data!$A$2:$E$495,2,FALSE)</f>
        <v>LED NIKITA NS 600</v>
      </c>
      <c r="E2406" s="5">
        <v>1</v>
      </c>
      <c r="F2406" s="5">
        <f>VLOOKUP(C2406,[1]master_data!$A$2:$E$495,3,FALSE)</f>
        <v>50000</v>
      </c>
      <c r="G2406" s="5">
        <f>VLOOKUP(C2406,[1]master_data!$A$2:$E$495,4,FALSE)</f>
        <v>75000</v>
      </c>
      <c r="H2406" s="5">
        <f t="shared" si="117"/>
        <v>50000</v>
      </c>
      <c r="I2406" s="5">
        <f t="shared" si="118"/>
        <v>75000</v>
      </c>
      <c r="J2406" s="5">
        <f t="shared" si="119"/>
        <v>25000</v>
      </c>
      <c r="K2406" s="5" t="str">
        <f>VLOOKUP(C2406,[1]master_data!$A$2:$E$495,5,FALSE)</f>
        <v>Aksesoris</v>
      </c>
      <c r="L2406" s="5" t="s">
        <v>471</v>
      </c>
    </row>
    <row r="2407" spans="1:12" ht="12" customHeight="1" x14ac:dyDescent="0.25">
      <c r="A2407" s="6">
        <v>44679</v>
      </c>
      <c r="B2407" s="1">
        <v>2202156</v>
      </c>
      <c r="C2407" s="5" t="s">
        <v>233</v>
      </c>
      <c r="D2407" s="5" t="str">
        <f>VLOOKUP(C2407,[1]master_data!$A$2:$E$495,2,FALSE)</f>
        <v>FISH LOVE PAKAN</v>
      </c>
      <c r="E2407" s="5">
        <v>1</v>
      </c>
      <c r="F2407" s="5">
        <f>VLOOKUP(C2407,[1]master_data!$A$2:$E$495,3,FALSE)</f>
        <v>2500</v>
      </c>
      <c r="G2407" s="5">
        <f>VLOOKUP(C2407,[1]master_data!$A$2:$E$495,4,FALSE)</f>
        <v>5000</v>
      </c>
      <c r="H2407" s="5">
        <f t="shared" si="117"/>
        <v>2500</v>
      </c>
      <c r="I2407" s="5">
        <f t="shared" si="118"/>
        <v>5000</v>
      </c>
      <c r="J2407" s="5">
        <f t="shared" si="119"/>
        <v>2500</v>
      </c>
      <c r="K2407" s="5" t="str">
        <f>VLOOKUP(C2407,[1]master_data!$A$2:$E$495,5,FALSE)</f>
        <v>Aksesoris</v>
      </c>
      <c r="L2407" s="5" t="s">
        <v>471</v>
      </c>
    </row>
    <row r="2408" spans="1:12" ht="12" customHeight="1" x14ac:dyDescent="0.25">
      <c r="A2408" s="6">
        <v>44679</v>
      </c>
      <c r="B2408" s="1">
        <v>2202155</v>
      </c>
      <c r="C2408" s="5" t="s">
        <v>407</v>
      </c>
      <c r="D2408" s="5" t="str">
        <f>VLOOKUP(C2408,[1]master_data!$A$2:$E$495,2,FALSE)</f>
        <v>CUPANG</v>
      </c>
      <c r="E2408" s="5">
        <v>2</v>
      </c>
      <c r="F2408" s="5">
        <f>VLOOKUP(C2408,[1]master_data!$A$2:$E$495,3,FALSE)</f>
        <v>2000</v>
      </c>
      <c r="G2408" s="5">
        <f>VLOOKUP(C2408,[1]master_data!$A$2:$E$495,4,FALSE)</f>
        <v>5000</v>
      </c>
      <c r="H2408" s="5">
        <f t="shared" si="117"/>
        <v>4000</v>
      </c>
      <c r="I2408" s="5">
        <f t="shared" si="118"/>
        <v>10000</v>
      </c>
      <c r="J2408" s="5">
        <f t="shared" si="119"/>
        <v>6000</v>
      </c>
      <c r="K2408" s="5" t="str">
        <f>VLOOKUP(C2408,[1]master_data!$A$2:$E$495,5,FALSE)</f>
        <v>Ikan</v>
      </c>
      <c r="L2408" s="5" t="s">
        <v>471</v>
      </c>
    </row>
    <row r="2409" spans="1:12" ht="12" customHeight="1" x14ac:dyDescent="0.25">
      <c r="A2409" s="6">
        <v>44679</v>
      </c>
      <c r="B2409" s="1">
        <v>2202154</v>
      </c>
      <c r="C2409" s="5" t="s">
        <v>418</v>
      </c>
      <c r="D2409" s="5" t="str">
        <f>VLOOKUP(C2409,[1]master_data!$A$2:$E$495,2,FALSE)</f>
        <v>KOI B</v>
      </c>
      <c r="E2409" s="5">
        <v>4</v>
      </c>
      <c r="F2409" s="5">
        <f>VLOOKUP(C2409,[1]master_data!$A$2:$E$495,3,FALSE)</f>
        <v>9000</v>
      </c>
      <c r="G2409" s="5">
        <f>VLOOKUP(C2409,[1]master_data!$A$2:$E$495,4,FALSE)</f>
        <v>30000</v>
      </c>
      <c r="H2409" s="5">
        <f t="shared" si="117"/>
        <v>36000</v>
      </c>
      <c r="I2409" s="5">
        <f t="shared" si="118"/>
        <v>120000</v>
      </c>
      <c r="J2409" s="5">
        <f t="shared" si="119"/>
        <v>84000</v>
      </c>
      <c r="K2409" s="5" t="str">
        <f>VLOOKUP(C2409,[1]master_data!$A$2:$E$495,5,FALSE)</f>
        <v>Ikan</v>
      </c>
      <c r="L2409" s="5" t="s">
        <v>471</v>
      </c>
    </row>
    <row r="2410" spans="1:12" ht="12" customHeight="1" x14ac:dyDescent="0.25">
      <c r="A2410" s="6">
        <v>44679</v>
      </c>
      <c r="B2410" s="1">
        <v>2202153</v>
      </c>
      <c r="C2410" s="5" t="s">
        <v>463</v>
      </c>
      <c r="D2410" s="5" t="str">
        <f>VLOOKUP(C2410,[1]master_data!$A$2:$E$495,2,FALSE)</f>
        <v>CHANNA STEWARTI</v>
      </c>
      <c r="E2410" s="5">
        <v>1</v>
      </c>
      <c r="F2410" s="5">
        <f>VLOOKUP(C2410,[1]master_data!$A$2:$E$495,3,FALSE)</f>
        <v>15000</v>
      </c>
      <c r="G2410" s="5">
        <f>VLOOKUP(C2410,[1]master_data!$A$2:$E$495,4,FALSE)</f>
        <v>40000</v>
      </c>
      <c r="H2410" s="5">
        <f t="shared" si="117"/>
        <v>15000</v>
      </c>
      <c r="I2410" s="5">
        <f t="shared" si="118"/>
        <v>40000</v>
      </c>
      <c r="J2410" s="5">
        <f t="shared" si="119"/>
        <v>25000</v>
      </c>
      <c r="K2410" s="5" t="str">
        <f>VLOOKUP(C2410,[1]master_data!$A$2:$E$495,5,FALSE)</f>
        <v>Ikan</v>
      </c>
      <c r="L2410" s="5" t="s">
        <v>471</v>
      </c>
    </row>
    <row r="2411" spans="1:12" ht="12" customHeight="1" x14ac:dyDescent="0.25">
      <c r="A2411" s="6">
        <v>44679</v>
      </c>
      <c r="B2411" s="1">
        <v>2202152</v>
      </c>
      <c r="C2411" s="5" t="s">
        <v>432</v>
      </c>
      <c r="D2411" s="5" t="str">
        <f>VLOOKUP(C2411,[1]master_data!$A$2:$E$495,2,FALSE)</f>
        <v>MARU K</v>
      </c>
      <c r="E2411" s="5">
        <v>1</v>
      </c>
      <c r="F2411" s="5">
        <f>VLOOKUP(C2411,[1]master_data!$A$2:$E$495,3,FALSE)</f>
        <v>23000</v>
      </c>
      <c r="G2411" s="5">
        <f>VLOOKUP(C2411,[1]master_data!$A$2:$E$495,4,FALSE)</f>
        <v>50000</v>
      </c>
      <c r="H2411" s="5">
        <f t="shared" si="117"/>
        <v>23000</v>
      </c>
      <c r="I2411" s="5">
        <f t="shared" si="118"/>
        <v>50000</v>
      </c>
      <c r="J2411" s="5">
        <f t="shared" si="119"/>
        <v>27000</v>
      </c>
      <c r="K2411" s="5" t="str">
        <f>VLOOKUP(C2411,[1]master_data!$A$2:$E$495,5,FALSE)</f>
        <v>Ikan</v>
      </c>
      <c r="L2411" s="5" t="s">
        <v>471</v>
      </c>
    </row>
    <row r="2412" spans="1:12" ht="12" customHeight="1" x14ac:dyDescent="0.25">
      <c r="A2412" s="6">
        <v>44679</v>
      </c>
      <c r="B2412" s="1">
        <v>2202151</v>
      </c>
      <c r="C2412" s="5" t="s">
        <v>9</v>
      </c>
      <c r="D2412" s="5" t="str">
        <f>VLOOKUP(C2412,[1]master_data!$A$2:$E$495,2,FALSE)</f>
        <v>TOP FILTER YANG 910</v>
      </c>
      <c r="E2412" s="5">
        <v>1</v>
      </c>
      <c r="F2412" s="5">
        <f>VLOOKUP(C2412,[1]master_data!$A$2:$E$495,3,FALSE)</f>
        <v>41000</v>
      </c>
      <c r="G2412" s="5">
        <f>VLOOKUP(C2412,[1]master_data!$A$2:$E$495,4,FALSE)</f>
        <v>65000</v>
      </c>
      <c r="H2412" s="5">
        <f t="shared" si="117"/>
        <v>41000</v>
      </c>
      <c r="I2412" s="5">
        <f t="shared" si="118"/>
        <v>65000</v>
      </c>
      <c r="J2412" s="5">
        <f t="shared" si="119"/>
        <v>24000</v>
      </c>
      <c r="K2412" s="5" t="str">
        <f>VLOOKUP(C2412,[1]master_data!$A$2:$E$495,5,FALSE)</f>
        <v>Aksesoris</v>
      </c>
      <c r="L2412" s="5" t="s">
        <v>471</v>
      </c>
    </row>
    <row r="2413" spans="1:12" ht="12" customHeight="1" x14ac:dyDescent="0.25">
      <c r="A2413" s="6">
        <v>44678</v>
      </c>
      <c r="B2413" s="1">
        <v>2202150</v>
      </c>
      <c r="C2413" s="5" t="s">
        <v>463</v>
      </c>
      <c r="D2413" s="5" t="str">
        <f>VLOOKUP(C2413,[1]master_data!$A$2:$E$495,2,FALSE)</f>
        <v>CHANNA STEWARTI</v>
      </c>
      <c r="E2413" s="5">
        <v>1</v>
      </c>
      <c r="F2413" s="5">
        <f>VLOOKUP(C2413,[1]master_data!$A$2:$E$495,3,FALSE)</f>
        <v>15000</v>
      </c>
      <c r="G2413" s="5">
        <f>VLOOKUP(C2413,[1]master_data!$A$2:$E$495,4,FALSE)</f>
        <v>40000</v>
      </c>
      <c r="H2413" s="5">
        <f t="shared" si="117"/>
        <v>15000</v>
      </c>
      <c r="I2413" s="5">
        <f t="shared" si="118"/>
        <v>40000</v>
      </c>
      <c r="J2413" s="5">
        <f t="shared" si="119"/>
        <v>25000</v>
      </c>
      <c r="K2413" s="5" t="str">
        <f>VLOOKUP(C2413,[1]master_data!$A$2:$E$495,5,FALSE)</f>
        <v>Ikan</v>
      </c>
      <c r="L2413" s="5" t="s">
        <v>471</v>
      </c>
    </row>
    <row r="2414" spans="1:12" ht="12" customHeight="1" x14ac:dyDescent="0.25">
      <c r="A2414" s="6">
        <v>44678</v>
      </c>
      <c r="B2414" s="1">
        <v>2202149</v>
      </c>
      <c r="C2414" s="5" t="s">
        <v>9</v>
      </c>
      <c r="D2414" s="5" t="str">
        <f>VLOOKUP(C2414,[1]master_data!$A$2:$E$495,2,FALSE)</f>
        <v>TOP FILTER YANG 910</v>
      </c>
      <c r="E2414" s="5">
        <v>1</v>
      </c>
      <c r="F2414" s="5">
        <f>VLOOKUP(C2414,[1]master_data!$A$2:$E$495,3,FALSE)</f>
        <v>41000</v>
      </c>
      <c r="G2414" s="5">
        <f>VLOOKUP(C2414,[1]master_data!$A$2:$E$495,4,FALSE)</f>
        <v>65000</v>
      </c>
      <c r="H2414" s="5">
        <f t="shared" si="117"/>
        <v>41000</v>
      </c>
      <c r="I2414" s="5">
        <f t="shared" si="118"/>
        <v>65000</v>
      </c>
      <c r="J2414" s="5">
        <f t="shared" si="119"/>
        <v>24000</v>
      </c>
      <c r="K2414" s="5" t="str">
        <f>VLOOKUP(C2414,[1]master_data!$A$2:$E$495,5,FALSE)</f>
        <v>Aksesoris</v>
      </c>
      <c r="L2414" s="5" t="s">
        <v>471</v>
      </c>
    </row>
    <row r="2415" spans="1:12" ht="12" customHeight="1" x14ac:dyDescent="0.25">
      <c r="A2415" s="6">
        <v>44678</v>
      </c>
      <c r="B2415" s="1">
        <v>2202148</v>
      </c>
      <c r="C2415" s="5" t="s">
        <v>9</v>
      </c>
      <c r="D2415" s="5" t="str">
        <f>VLOOKUP(C2415,[1]master_data!$A$2:$E$495,2,FALSE)</f>
        <v>TOP FILTER YANG 910</v>
      </c>
      <c r="E2415" s="5">
        <v>1</v>
      </c>
      <c r="F2415" s="5">
        <f>VLOOKUP(C2415,[1]master_data!$A$2:$E$495,3,FALSE)</f>
        <v>41000</v>
      </c>
      <c r="G2415" s="5">
        <f>VLOOKUP(C2415,[1]master_data!$A$2:$E$495,4,FALSE)</f>
        <v>65000</v>
      </c>
      <c r="H2415" s="5">
        <f t="shared" si="117"/>
        <v>41000</v>
      </c>
      <c r="I2415" s="5">
        <f t="shared" si="118"/>
        <v>65000</v>
      </c>
      <c r="J2415" s="5">
        <f t="shared" si="119"/>
        <v>24000</v>
      </c>
      <c r="K2415" s="5" t="str">
        <f>VLOOKUP(C2415,[1]master_data!$A$2:$E$495,5,FALSE)</f>
        <v>Aksesoris</v>
      </c>
      <c r="L2415" s="5" t="s">
        <v>471</v>
      </c>
    </row>
    <row r="2416" spans="1:12" ht="12" customHeight="1" x14ac:dyDescent="0.25">
      <c r="A2416" s="6">
        <v>44678</v>
      </c>
      <c r="B2416" s="1">
        <v>2202147</v>
      </c>
      <c r="C2416" s="5" t="s">
        <v>118</v>
      </c>
      <c r="D2416" s="5" t="str">
        <f>VLOOKUP(C2416,[1]master_data!$A$2:$E$495,2,FALSE)</f>
        <v>LED ROSTON 40 CM</v>
      </c>
      <c r="E2416" s="5">
        <v>1</v>
      </c>
      <c r="F2416" s="5">
        <f>VLOOKUP(C2416,[1]master_data!$A$2:$E$495,3,FALSE)</f>
        <v>23000</v>
      </c>
      <c r="G2416" s="5">
        <f>VLOOKUP(C2416,[1]master_data!$A$2:$E$495,4,FALSE)</f>
        <v>40000</v>
      </c>
      <c r="H2416" s="5">
        <f t="shared" si="117"/>
        <v>23000</v>
      </c>
      <c r="I2416" s="5">
        <f t="shared" si="118"/>
        <v>40000</v>
      </c>
      <c r="J2416" s="5">
        <f t="shared" si="119"/>
        <v>17000</v>
      </c>
      <c r="K2416" s="5" t="str">
        <f>VLOOKUP(C2416,[1]master_data!$A$2:$E$495,5,FALSE)</f>
        <v>Aksesoris</v>
      </c>
      <c r="L2416" s="5" t="s">
        <v>471</v>
      </c>
    </row>
    <row r="2417" spans="1:12" ht="12" customHeight="1" x14ac:dyDescent="0.25">
      <c r="A2417" s="6">
        <v>44678</v>
      </c>
      <c r="B2417" s="1">
        <v>2202146</v>
      </c>
      <c r="C2417" s="5" t="s">
        <v>204</v>
      </c>
      <c r="D2417" s="5" t="str">
        <f>VLOOKUP(C2417,[1]master_data!$A$2:$E$495,2,FALSE)</f>
        <v>MAGOT</v>
      </c>
      <c r="E2417" s="5">
        <v>1</v>
      </c>
      <c r="F2417" s="5">
        <f>VLOOKUP(C2417,[1]master_data!$A$2:$E$495,3,FALSE)</f>
        <v>4500</v>
      </c>
      <c r="G2417" s="5">
        <f>VLOOKUP(C2417,[1]master_data!$A$2:$E$495,4,FALSE)</f>
        <v>10000</v>
      </c>
      <c r="H2417" s="5">
        <f t="shared" si="117"/>
        <v>4500</v>
      </c>
      <c r="I2417" s="5">
        <f t="shared" si="118"/>
        <v>10000</v>
      </c>
      <c r="J2417" s="5">
        <f t="shared" si="119"/>
        <v>5500</v>
      </c>
      <c r="K2417" s="5" t="str">
        <f>VLOOKUP(C2417,[1]master_data!$A$2:$E$495,5,FALSE)</f>
        <v>Aksesoris</v>
      </c>
      <c r="L2417" s="5" t="s">
        <v>471</v>
      </c>
    </row>
    <row r="2418" spans="1:12" ht="12" customHeight="1" x14ac:dyDescent="0.25">
      <c r="A2418" s="6">
        <v>44678</v>
      </c>
      <c r="B2418" s="1">
        <v>2202145</v>
      </c>
      <c r="C2418" s="5" t="s">
        <v>282</v>
      </c>
      <c r="D2418" s="5" t="str">
        <f>VLOOKUP(C2418,[1]master_data!$A$2:$E$495,2,FALSE)</f>
        <v>HIASAN KELAPA</v>
      </c>
      <c r="E2418" s="5">
        <v>1</v>
      </c>
      <c r="F2418" s="5">
        <f>VLOOKUP(C2418,[1]master_data!$A$2:$E$495,3,FALSE)</f>
        <v>8000</v>
      </c>
      <c r="G2418" s="5">
        <f>VLOOKUP(C2418,[1]master_data!$A$2:$E$495,4,FALSE)</f>
        <v>15000</v>
      </c>
      <c r="H2418" s="5">
        <f t="shared" si="117"/>
        <v>8000</v>
      </c>
      <c r="I2418" s="5">
        <f t="shared" si="118"/>
        <v>15000</v>
      </c>
      <c r="J2418" s="5">
        <f t="shared" si="119"/>
        <v>7000</v>
      </c>
      <c r="K2418" s="5" t="str">
        <f>VLOOKUP(C2418,[1]master_data!$A$2:$E$495,5,FALSE)</f>
        <v>Aksesoris</v>
      </c>
      <c r="L2418" s="5" t="s">
        <v>471</v>
      </c>
    </row>
    <row r="2419" spans="1:12" ht="12" customHeight="1" x14ac:dyDescent="0.25">
      <c r="A2419" s="6">
        <v>44678</v>
      </c>
      <c r="B2419" s="1">
        <v>2202144</v>
      </c>
      <c r="C2419" s="5" t="s">
        <v>333</v>
      </c>
      <c r="D2419" s="5" t="str">
        <f>VLOOKUP(C2419,[1]master_data!$A$2:$E$495,2,FALSE)</f>
        <v>KAPAS 2 LAPIS</v>
      </c>
      <c r="E2419" s="5">
        <v>1</v>
      </c>
      <c r="F2419" s="5">
        <f>VLOOKUP(C2419,[1]master_data!$A$2:$E$495,3,FALSE)</f>
        <v>2000</v>
      </c>
      <c r="G2419" s="5">
        <f>VLOOKUP(C2419,[1]master_data!$A$2:$E$495,4,FALSE)</f>
        <v>4000</v>
      </c>
      <c r="H2419" s="5">
        <f t="shared" si="117"/>
        <v>2000</v>
      </c>
      <c r="I2419" s="5">
        <f t="shared" si="118"/>
        <v>4000</v>
      </c>
      <c r="J2419" s="5">
        <f t="shared" si="119"/>
        <v>2000</v>
      </c>
      <c r="K2419" s="5" t="str">
        <f>VLOOKUP(C2419,[1]master_data!$A$2:$E$495,5,FALSE)</f>
        <v>Aksesoris</v>
      </c>
      <c r="L2419" s="5" t="s">
        <v>471</v>
      </c>
    </row>
    <row r="2420" spans="1:12" ht="12" customHeight="1" x14ac:dyDescent="0.25">
      <c r="A2420" s="6">
        <v>44678</v>
      </c>
      <c r="B2420" s="1">
        <v>2202143</v>
      </c>
      <c r="C2420" s="5" t="s">
        <v>418</v>
      </c>
      <c r="D2420" s="5" t="str">
        <f>VLOOKUP(C2420,[1]master_data!$A$2:$E$495,2,FALSE)</f>
        <v>KOI B</v>
      </c>
      <c r="E2420" s="5">
        <v>4</v>
      </c>
      <c r="F2420" s="5">
        <f>VLOOKUP(C2420,[1]master_data!$A$2:$E$495,3,FALSE)</f>
        <v>9000</v>
      </c>
      <c r="G2420" s="5">
        <f>VLOOKUP(C2420,[1]master_data!$A$2:$E$495,4,FALSE)</f>
        <v>30000</v>
      </c>
      <c r="H2420" s="5">
        <f t="shared" si="117"/>
        <v>36000</v>
      </c>
      <c r="I2420" s="5">
        <f t="shared" si="118"/>
        <v>120000</v>
      </c>
      <c r="J2420" s="5">
        <f t="shared" si="119"/>
        <v>84000</v>
      </c>
      <c r="K2420" s="5" t="str">
        <f>VLOOKUP(C2420,[1]master_data!$A$2:$E$495,5,FALSE)</f>
        <v>Ikan</v>
      </c>
      <c r="L2420" s="5" t="s">
        <v>471</v>
      </c>
    </row>
    <row r="2421" spans="1:12" ht="12" customHeight="1" x14ac:dyDescent="0.25">
      <c r="A2421" s="6">
        <v>44678</v>
      </c>
      <c r="B2421" s="1">
        <v>2202142</v>
      </c>
      <c r="C2421" s="5" t="s">
        <v>407</v>
      </c>
      <c r="D2421" s="5" t="str">
        <f>VLOOKUP(C2421,[1]master_data!$A$2:$E$495,2,FALSE)</f>
        <v>CUPANG</v>
      </c>
      <c r="E2421" s="5">
        <v>2</v>
      </c>
      <c r="F2421" s="5">
        <f>VLOOKUP(C2421,[1]master_data!$A$2:$E$495,3,FALSE)</f>
        <v>2000</v>
      </c>
      <c r="G2421" s="5">
        <f>VLOOKUP(C2421,[1]master_data!$A$2:$E$495,4,FALSE)</f>
        <v>5000</v>
      </c>
      <c r="H2421" s="5">
        <f t="shared" si="117"/>
        <v>4000</v>
      </c>
      <c r="I2421" s="5">
        <f t="shared" si="118"/>
        <v>10000</v>
      </c>
      <c r="J2421" s="5">
        <f t="shared" si="119"/>
        <v>6000</v>
      </c>
      <c r="K2421" s="5" t="str">
        <f>VLOOKUP(C2421,[1]master_data!$A$2:$E$495,5,FALSE)</f>
        <v>Ikan</v>
      </c>
      <c r="L2421" s="5" t="s">
        <v>471</v>
      </c>
    </row>
    <row r="2422" spans="1:12" ht="12" customHeight="1" x14ac:dyDescent="0.25">
      <c r="A2422" s="6">
        <v>44678</v>
      </c>
      <c r="B2422" s="1">
        <v>2202141</v>
      </c>
      <c r="C2422" s="5" t="s">
        <v>249</v>
      </c>
      <c r="D2422" s="5" t="str">
        <f>VLOOKUP(C2422,[1]master_data!$A$2:$E$495,2,FALSE)</f>
        <v>AIRSTONE BAKSO B</v>
      </c>
      <c r="E2422" s="5">
        <v>4</v>
      </c>
      <c r="F2422" s="5">
        <f>VLOOKUP(C2422,[1]master_data!$A$2:$E$495,3,FALSE)</f>
        <v>7700</v>
      </c>
      <c r="G2422" s="5">
        <f>VLOOKUP(C2422,[1]master_data!$A$2:$E$495,4,FALSE)</f>
        <v>10000</v>
      </c>
      <c r="H2422" s="5">
        <f t="shared" si="117"/>
        <v>30800</v>
      </c>
      <c r="I2422" s="5">
        <f t="shared" si="118"/>
        <v>40000</v>
      </c>
      <c r="J2422" s="5">
        <f t="shared" si="119"/>
        <v>9200</v>
      </c>
      <c r="K2422" s="5" t="str">
        <f>VLOOKUP(C2422,[1]master_data!$A$2:$E$495,5,FALSE)</f>
        <v>Aksesoris</v>
      </c>
      <c r="L2422" s="5" t="s">
        <v>471</v>
      </c>
    </row>
    <row r="2423" spans="1:12" ht="12" customHeight="1" x14ac:dyDescent="0.25">
      <c r="A2423" s="6">
        <v>44678</v>
      </c>
      <c r="B2423" s="1">
        <v>2202140</v>
      </c>
      <c r="C2423" s="5" t="s">
        <v>432</v>
      </c>
      <c r="D2423" s="5" t="str">
        <f>VLOOKUP(C2423,[1]master_data!$A$2:$E$495,2,FALSE)</f>
        <v>MARU K</v>
      </c>
      <c r="E2423" s="5">
        <v>1</v>
      </c>
      <c r="F2423" s="5">
        <f>VLOOKUP(C2423,[1]master_data!$A$2:$E$495,3,FALSE)</f>
        <v>23000</v>
      </c>
      <c r="G2423" s="5">
        <f>VLOOKUP(C2423,[1]master_data!$A$2:$E$495,4,FALSE)</f>
        <v>50000</v>
      </c>
      <c r="H2423" s="5">
        <f t="shared" si="117"/>
        <v>23000</v>
      </c>
      <c r="I2423" s="5">
        <f t="shared" si="118"/>
        <v>50000</v>
      </c>
      <c r="J2423" s="5">
        <f t="shared" si="119"/>
        <v>27000</v>
      </c>
      <c r="K2423" s="5" t="str">
        <f>VLOOKUP(C2423,[1]master_data!$A$2:$E$495,5,FALSE)</f>
        <v>Ikan</v>
      </c>
      <c r="L2423" s="5" t="s">
        <v>471</v>
      </c>
    </row>
    <row r="2424" spans="1:12" ht="12" customHeight="1" x14ac:dyDescent="0.25">
      <c r="A2424" s="6">
        <v>44678</v>
      </c>
      <c r="B2424" s="1">
        <v>2202139</v>
      </c>
      <c r="C2424" s="5" t="s">
        <v>285</v>
      </c>
      <c r="D2424" s="5" t="str">
        <f>VLOOKUP(C2424,[1]master_data!$A$2:$E$495,2,FALSE)</f>
        <v>KAPAS 4 LAPIS</v>
      </c>
      <c r="E2424" s="5">
        <v>1</v>
      </c>
      <c r="F2424" s="5">
        <f>VLOOKUP(C2424,[1]master_data!$A$2:$E$495,3,FALSE)</f>
        <v>6500</v>
      </c>
      <c r="G2424" s="5">
        <f>VLOOKUP(C2424,[1]master_data!$A$2:$E$495,4,FALSE)</f>
        <v>10000</v>
      </c>
      <c r="H2424" s="5">
        <f t="shared" si="117"/>
        <v>6500</v>
      </c>
      <c r="I2424" s="5">
        <f t="shared" si="118"/>
        <v>10000</v>
      </c>
      <c r="J2424" s="5">
        <f t="shared" si="119"/>
        <v>3500</v>
      </c>
      <c r="K2424" s="5" t="str">
        <f>VLOOKUP(C2424,[1]master_data!$A$2:$E$495,5,FALSE)</f>
        <v>Aksesoris</v>
      </c>
      <c r="L2424" s="5" t="s">
        <v>471</v>
      </c>
    </row>
    <row r="2425" spans="1:12" ht="12" customHeight="1" x14ac:dyDescent="0.25">
      <c r="A2425" s="6">
        <v>44677</v>
      </c>
      <c r="B2425" s="1">
        <v>2202138</v>
      </c>
      <c r="C2425" s="5" t="s">
        <v>308</v>
      </c>
      <c r="D2425" s="5" t="str">
        <f>VLOOKUP(C2425,[1]master_data!$A$2:$E$495,2,FALSE)</f>
        <v>SUPER BLUE</v>
      </c>
      <c r="E2425" s="5">
        <v>1</v>
      </c>
      <c r="F2425" s="5">
        <f>VLOOKUP(C2425,[1]master_data!$A$2:$E$495,3,FALSE)</f>
        <v>8000</v>
      </c>
      <c r="G2425" s="5">
        <f>VLOOKUP(C2425,[1]master_data!$A$2:$E$495,4,FALSE)</f>
        <v>12000</v>
      </c>
      <c r="H2425" s="5">
        <f t="shared" si="117"/>
        <v>8000</v>
      </c>
      <c r="I2425" s="5">
        <f t="shared" si="118"/>
        <v>12000</v>
      </c>
      <c r="J2425" s="5">
        <f t="shared" si="119"/>
        <v>4000</v>
      </c>
      <c r="K2425" s="5" t="str">
        <f>VLOOKUP(C2425,[1]master_data!$A$2:$E$495,5,FALSE)</f>
        <v>Aksesoris</v>
      </c>
      <c r="L2425" s="5" t="s">
        <v>471</v>
      </c>
    </row>
    <row r="2426" spans="1:12" ht="12" customHeight="1" x14ac:dyDescent="0.25">
      <c r="A2426" s="6">
        <v>44677</v>
      </c>
      <c r="B2426" s="1">
        <v>2202137</v>
      </c>
      <c r="C2426" s="5" t="s">
        <v>285</v>
      </c>
      <c r="D2426" s="5" t="str">
        <f>VLOOKUP(C2426,[1]master_data!$A$2:$E$495,2,FALSE)</f>
        <v>KAPAS 4 LAPIS</v>
      </c>
      <c r="E2426" s="5">
        <v>1</v>
      </c>
      <c r="F2426" s="5">
        <f>VLOOKUP(C2426,[1]master_data!$A$2:$E$495,3,FALSE)</f>
        <v>6500</v>
      </c>
      <c r="G2426" s="5">
        <f>VLOOKUP(C2426,[1]master_data!$A$2:$E$495,4,FALSE)</f>
        <v>10000</v>
      </c>
      <c r="H2426" s="5">
        <f t="shared" si="117"/>
        <v>6500</v>
      </c>
      <c r="I2426" s="5">
        <f t="shared" si="118"/>
        <v>10000</v>
      </c>
      <c r="J2426" s="5">
        <f t="shared" si="119"/>
        <v>3500</v>
      </c>
      <c r="K2426" s="5" t="str">
        <f>VLOOKUP(C2426,[1]master_data!$A$2:$E$495,5,FALSE)</f>
        <v>Aksesoris</v>
      </c>
      <c r="L2426" s="5" t="s">
        <v>471</v>
      </c>
    </row>
    <row r="2427" spans="1:12" ht="12" customHeight="1" x14ac:dyDescent="0.25">
      <c r="A2427" s="6">
        <v>44677</v>
      </c>
      <c r="B2427" s="1">
        <v>2202136</v>
      </c>
      <c r="C2427" s="5" t="s">
        <v>463</v>
      </c>
      <c r="D2427" s="5" t="str">
        <f>VLOOKUP(C2427,[1]master_data!$A$2:$E$495,2,FALSE)</f>
        <v>CHANNA STEWARTI</v>
      </c>
      <c r="E2427" s="5">
        <v>1</v>
      </c>
      <c r="F2427" s="5">
        <f>VLOOKUP(C2427,[1]master_data!$A$2:$E$495,3,FALSE)</f>
        <v>15000</v>
      </c>
      <c r="G2427" s="5">
        <f>VLOOKUP(C2427,[1]master_data!$A$2:$E$495,4,FALSE)</f>
        <v>40000</v>
      </c>
      <c r="H2427" s="5">
        <f t="shared" si="117"/>
        <v>15000</v>
      </c>
      <c r="I2427" s="5">
        <f t="shared" si="118"/>
        <v>40000</v>
      </c>
      <c r="J2427" s="5">
        <f t="shared" si="119"/>
        <v>25000</v>
      </c>
      <c r="K2427" s="5" t="str">
        <f>VLOOKUP(C2427,[1]master_data!$A$2:$E$495,5,FALSE)</f>
        <v>Ikan</v>
      </c>
      <c r="L2427" s="5" t="s">
        <v>471</v>
      </c>
    </row>
    <row r="2428" spans="1:12" ht="12" customHeight="1" x14ac:dyDescent="0.25">
      <c r="A2428" s="6">
        <v>44677</v>
      </c>
      <c r="B2428" s="1">
        <v>2202135</v>
      </c>
      <c r="C2428" s="5" t="s">
        <v>98</v>
      </c>
      <c r="D2428" s="5" t="str">
        <f>VLOOKUP(C2428,[1]master_data!$A$2:$E$495,2,FALSE)</f>
        <v>AIRATOR ROSTON LUB 2</v>
      </c>
      <c r="E2428" s="5">
        <v>1</v>
      </c>
      <c r="F2428" s="5">
        <f>VLOOKUP(C2428,[1]master_data!$A$2:$E$495,3,FALSE)</f>
        <v>31000</v>
      </c>
      <c r="G2428" s="5">
        <f>VLOOKUP(C2428,[1]master_data!$A$2:$E$495,4,FALSE)</f>
        <v>50000</v>
      </c>
      <c r="H2428" s="5">
        <f t="shared" si="117"/>
        <v>31000</v>
      </c>
      <c r="I2428" s="5">
        <f t="shared" si="118"/>
        <v>50000</v>
      </c>
      <c r="J2428" s="5">
        <f t="shared" si="119"/>
        <v>19000</v>
      </c>
      <c r="K2428" s="5" t="str">
        <f>VLOOKUP(C2428,[1]master_data!$A$2:$E$495,5,FALSE)</f>
        <v>Aksesoris</v>
      </c>
      <c r="L2428" s="5" t="s">
        <v>471</v>
      </c>
    </row>
    <row r="2429" spans="1:12" ht="12" customHeight="1" x14ac:dyDescent="0.25">
      <c r="A2429" s="6">
        <v>44677</v>
      </c>
      <c r="B2429" s="1">
        <v>2202134</v>
      </c>
      <c r="C2429" s="5" t="s">
        <v>38</v>
      </c>
      <c r="D2429" s="5" t="str">
        <f>VLOOKUP(C2429,[1]master_data!$A$2:$E$495,2,FALSE)</f>
        <v>MESIN YAMANO 105</v>
      </c>
      <c r="E2429" s="5">
        <v>1</v>
      </c>
      <c r="F2429" s="5">
        <f>VLOOKUP(C2429,[1]master_data!$A$2:$E$495,3,FALSE)</f>
        <v>125000</v>
      </c>
      <c r="G2429" s="5">
        <f>VLOOKUP(C2429,[1]master_data!$A$2:$E$495,4,FALSE)</f>
        <v>160000</v>
      </c>
      <c r="H2429" s="5">
        <f t="shared" si="117"/>
        <v>125000</v>
      </c>
      <c r="I2429" s="5">
        <f t="shared" si="118"/>
        <v>160000</v>
      </c>
      <c r="J2429" s="5">
        <f t="shared" si="119"/>
        <v>35000</v>
      </c>
      <c r="K2429" s="5" t="str">
        <f>VLOOKUP(C2429,[1]master_data!$A$2:$E$495,5,FALSE)</f>
        <v>Aksesoris</v>
      </c>
      <c r="L2429" s="5" t="s">
        <v>471</v>
      </c>
    </row>
    <row r="2430" spans="1:12" ht="12" customHeight="1" x14ac:dyDescent="0.25">
      <c r="A2430" s="6">
        <v>44677</v>
      </c>
      <c r="B2430" s="1">
        <v>2202133</v>
      </c>
      <c r="C2430" s="5" t="s">
        <v>208</v>
      </c>
      <c r="D2430" s="5" t="str">
        <f>VLOOKUP(C2430,[1]master_data!$A$2:$E$495,2,FALSE)</f>
        <v>TOP VIT</v>
      </c>
      <c r="E2430" s="5">
        <v>1</v>
      </c>
      <c r="F2430" s="5">
        <f>VLOOKUP(C2430,[1]master_data!$A$2:$E$495,3,FALSE)</f>
        <v>4000</v>
      </c>
      <c r="G2430" s="5">
        <f>VLOOKUP(C2430,[1]master_data!$A$2:$E$495,4,FALSE)</f>
        <v>7000</v>
      </c>
      <c r="H2430" s="5">
        <f t="shared" si="117"/>
        <v>4000</v>
      </c>
      <c r="I2430" s="5">
        <f t="shared" si="118"/>
        <v>7000</v>
      </c>
      <c r="J2430" s="5">
        <f t="shared" si="119"/>
        <v>3000</v>
      </c>
      <c r="K2430" s="5" t="str">
        <f>VLOOKUP(C2430,[1]master_data!$A$2:$E$495,5,FALSE)</f>
        <v>Aksesoris</v>
      </c>
      <c r="L2430" s="5" t="s">
        <v>471</v>
      </c>
    </row>
    <row r="2431" spans="1:12" ht="12" customHeight="1" x14ac:dyDescent="0.25">
      <c r="A2431" s="6">
        <v>44677</v>
      </c>
      <c r="B2431" s="1">
        <v>2202132</v>
      </c>
      <c r="C2431" s="5" t="s">
        <v>407</v>
      </c>
      <c r="D2431" s="5" t="str">
        <f>VLOOKUP(C2431,[1]master_data!$A$2:$E$495,2,FALSE)</f>
        <v>CUPANG</v>
      </c>
      <c r="E2431" s="5">
        <v>2</v>
      </c>
      <c r="F2431" s="5">
        <f>VLOOKUP(C2431,[1]master_data!$A$2:$E$495,3,FALSE)</f>
        <v>2000</v>
      </c>
      <c r="G2431" s="5">
        <f>VLOOKUP(C2431,[1]master_data!$A$2:$E$495,4,FALSE)</f>
        <v>5000</v>
      </c>
      <c r="H2431" s="5">
        <f t="shared" si="117"/>
        <v>4000</v>
      </c>
      <c r="I2431" s="5">
        <f t="shared" si="118"/>
        <v>10000</v>
      </c>
      <c r="J2431" s="5">
        <f t="shared" si="119"/>
        <v>6000</v>
      </c>
      <c r="K2431" s="5" t="str">
        <f>VLOOKUP(C2431,[1]master_data!$A$2:$E$495,5,FALSE)</f>
        <v>Ikan</v>
      </c>
      <c r="L2431" s="5" t="s">
        <v>471</v>
      </c>
    </row>
    <row r="2432" spans="1:12" ht="12" customHeight="1" x14ac:dyDescent="0.25">
      <c r="A2432" s="6">
        <v>44677</v>
      </c>
      <c r="B2432" s="1">
        <v>2202131</v>
      </c>
      <c r="C2432" s="5" t="s">
        <v>246</v>
      </c>
      <c r="D2432" s="5" t="str">
        <f>VLOOKUP(C2432,[1]master_data!$A$2:$E$495,2,FALSE)</f>
        <v>BACTERIAL STATER</v>
      </c>
      <c r="E2432" s="5">
        <v>2</v>
      </c>
      <c r="F2432" s="5">
        <f>VLOOKUP(C2432,[1]master_data!$A$2:$E$495,3,FALSE)</f>
        <v>10000</v>
      </c>
      <c r="G2432" s="5">
        <f>VLOOKUP(C2432,[1]master_data!$A$2:$E$495,4,FALSE)</f>
        <v>15000</v>
      </c>
      <c r="H2432" s="5">
        <f t="shared" si="117"/>
        <v>20000</v>
      </c>
      <c r="I2432" s="5">
        <f t="shared" si="118"/>
        <v>30000</v>
      </c>
      <c r="J2432" s="5">
        <f t="shared" si="119"/>
        <v>10000</v>
      </c>
      <c r="K2432" s="5" t="str">
        <f>VLOOKUP(C2432,[1]master_data!$A$2:$E$495,5,FALSE)</f>
        <v>Aksesoris</v>
      </c>
      <c r="L2432" s="5" t="s">
        <v>471</v>
      </c>
    </row>
    <row r="2433" spans="1:12" ht="12" customHeight="1" x14ac:dyDescent="0.25">
      <c r="A2433" s="6">
        <v>44677</v>
      </c>
      <c r="B2433" s="1">
        <v>2202130</v>
      </c>
      <c r="C2433" s="5" t="s">
        <v>432</v>
      </c>
      <c r="D2433" s="5" t="str">
        <f>VLOOKUP(C2433,[1]master_data!$A$2:$E$495,2,FALSE)</f>
        <v>MARU K</v>
      </c>
      <c r="E2433" s="5">
        <v>1</v>
      </c>
      <c r="F2433" s="5">
        <f>VLOOKUP(C2433,[1]master_data!$A$2:$E$495,3,FALSE)</f>
        <v>23000</v>
      </c>
      <c r="G2433" s="5">
        <f>VLOOKUP(C2433,[1]master_data!$A$2:$E$495,4,FALSE)</f>
        <v>50000</v>
      </c>
      <c r="H2433" s="5">
        <f t="shared" si="117"/>
        <v>23000</v>
      </c>
      <c r="I2433" s="5">
        <f t="shared" si="118"/>
        <v>50000</v>
      </c>
      <c r="J2433" s="5">
        <f t="shared" si="119"/>
        <v>27000</v>
      </c>
      <c r="K2433" s="5" t="str">
        <f>VLOOKUP(C2433,[1]master_data!$A$2:$E$495,5,FALSE)</f>
        <v>Ikan</v>
      </c>
      <c r="L2433" s="5" t="s">
        <v>471</v>
      </c>
    </row>
    <row r="2434" spans="1:12" ht="12" customHeight="1" x14ac:dyDescent="0.25">
      <c r="A2434" s="6">
        <v>44677</v>
      </c>
      <c r="B2434" s="1">
        <v>2202129</v>
      </c>
      <c r="C2434" s="5" t="s">
        <v>285</v>
      </c>
      <c r="D2434" s="5" t="str">
        <f>VLOOKUP(C2434,[1]master_data!$A$2:$E$495,2,FALSE)</f>
        <v>KAPAS 4 LAPIS</v>
      </c>
      <c r="E2434" s="5">
        <v>1</v>
      </c>
      <c r="F2434" s="5">
        <f>VLOOKUP(C2434,[1]master_data!$A$2:$E$495,3,FALSE)</f>
        <v>6500</v>
      </c>
      <c r="G2434" s="5">
        <f>VLOOKUP(C2434,[1]master_data!$A$2:$E$495,4,FALSE)</f>
        <v>10000</v>
      </c>
      <c r="H2434" s="5">
        <f t="shared" si="117"/>
        <v>6500</v>
      </c>
      <c r="I2434" s="5">
        <f t="shared" si="118"/>
        <v>10000</v>
      </c>
      <c r="J2434" s="5">
        <f t="shared" si="119"/>
        <v>3500</v>
      </c>
      <c r="K2434" s="5" t="str">
        <f>VLOOKUP(C2434,[1]master_data!$A$2:$E$495,5,FALSE)</f>
        <v>Aksesoris</v>
      </c>
      <c r="L2434" s="5" t="s">
        <v>471</v>
      </c>
    </row>
    <row r="2435" spans="1:12" ht="12" customHeight="1" x14ac:dyDescent="0.25">
      <c r="A2435" s="6">
        <v>44677</v>
      </c>
      <c r="B2435" s="1">
        <v>2202128</v>
      </c>
      <c r="C2435" s="5" t="s">
        <v>212</v>
      </c>
      <c r="D2435" s="5" t="str">
        <f>VLOOKUP(C2435,[1]master_data!$A$2:$E$495,2,FALSE)</f>
        <v>UDANG KERING</v>
      </c>
      <c r="E2435" s="5">
        <v>1</v>
      </c>
      <c r="F2435" s="5">
        <f>VLOOKUP(C2435,[1]master_data!$A$2:$E$495,3,FALSE)</f>
        <v>4500</v>
      </c>
      <c r="G2435" s="5">
        <f>VLOOKUP(C2435,[1]master_data!$A$2:$E$495,4,FALSE)</f>
        <v>10000</v>
      </c>
      <c r="H2435" s="5">
        <f t="shared" si="117"/>
        <v>4500</v>
      </c>
      <c r="I2435" s="5">
        <f t="shared" si="118"/>
        <v>10000</v>
      </c>
      <c r="J2435" s="5">
        <f t="shared" si="119"/>
        <v>5500</v>
      </c>
      <c r="K2435" s="5" t="str">
        <f>VLOOKUP(C2435,[1]master_data!$A$2:$E$495,5,FALSE)</f>
        <v>Aksesoris</v>
      </c>
      <c r="L2435" s="5" t="s">
        <v>471</v>
      </c>
    </row>
    <row r="2436" spans="1:12" ht="12" customHeight="1" x14ac:dyDescent="0.25">
      <c r="A2436" s="6">
        <v>44677</v>
      </c>
      <c r="B2436" s="1">
        <v>2202127</v>
      </c>
      <c r="C2436" s="5" t="s">
        <v>418</v>
      </c>
      <c r="D2436" s="5" t="str">
        <f>VLOOKUP(C2436,[1]master_data!$A$2:$E$495,2,FALSE)</f>
        <v>KOI B</v>
      </c>
      <c r="E2436" s="5">
        <v>4</v>
      </c>
      <c r="F2436" s="5">
        <f>VLOOKUP(C2436,[1]master_data!$A$2:$E$495,3,FALSE)</f>
        <v>9000</v>
      </c>
      <c r="G2436" s="5">
        <f>VLOOKUP(C2436,[1]master_data!$A$2:$E$495,4,FALSE)</f>
        <v>30000</v>
      </c>
      <c r="H2436" s="5">
        <f t="shared" si="117"/>
        <v>36000</v>
      </c>
      <c r="I2436" s="5">
        <f t="shared" si="118"/>
        <v>120000</v>
      </c>
      <c r="J2436" s="5">
        <f t="shared" si="119"/>
        <v>84000</v>
      </c>
      <c r="K2436" s="5" t="str">
        <f>VLOOKUP(C2436,[1]master_data!$A$2:$E$495,5,FALSE)</f>
        <v>Ikan</v>
      </c>
      <c r="L2436" s="5" t="s">
        <v>471</v>
      </c>
    </row>
    <row r="2437" spans="1:12" ht="12" customHeight="1" x14ac:dyDescent="0.25">
      <c r="A2437" s="6">
        <v>44676</v>
      </c>
      <c r="B2437" s="1">
        <v>2202126</v>
      </c>
      <c r="C2437" s="5" t="s">
        <v>432</v>
      </c>
      <c r="D2437" s="5" t="str">
        <f>VLOOKUP(C2437,[1]master_data!$A$2:$E$495,2,FALSE)</f>
        <v>MARU K</v>
      </c>
      <c r="E2437" s="5">
        <v>1</v>
      </c>
      <c r="F2437" s="5">
        <f>VLOOKUP(C2437,[1]master_data!$A$2:$E$495,3,FALSE)</f>
        <v>23000</v>
      </c>
      <c r="G2437" s="5">
        <f>VLOOKUP(C2437,[1]master_data!$A$2:$E$495,4,FALSE)</f>
        <v>50000</v>
      </c>
      <c r="H2437" s="5">
        <f t="shared" ref="H2437:H2500" si="120">E2437*F2437</f>
        <v>23000</v>
      </c>
      <c r="I2437" s="5">
        <f t="shared" ref="I2437:I2500" si="121">E2437*G2437</f>
        <v>50000</v>
      </c>
      <c r="J2437" s="5">
        <f t="shared" ref="J2437:J2500" si="122">I2437-H2437</f>
        <v>27000</v>
      </c>
      <c r="K2437" s="5" t="str">
        <f>VLOOKUP(C2437,[1]master_data!$A$2:$E$495,5,FALSE)</f>
        <v>Ikan</v>
      </c>
      <c r="L2437" s="5" t="s">
        <v>471</v>
      </c>
    </row>
    <row r="2438" spans="1:12" ht="12" customHeight="1" x14ac:dyDescent="0.25">
      <c r="A2438" s="6">
        <v>44676</v>
      </c>
      <c r="B2438" s="1">
        <v>2202125</v>
      </c>
      <c r="C2438" s="5" t="s">
        <v>408</v>
      </c>
      <c r="D2438" s="5" t="str">
        <f>VLOOKUP(C2438,[1]master_data!$A$2:$E$495,2,FALSE)</f>
        <v>CATFISH</v>
      </c>
      <c r="E2438" s="5">
        <v>1</v>
      </c>
      <c r="F2438" s="5">
        <f>VLOOKUP(C2438,[1]master_data!$A$2:$E$495,3,FALSE)</f>
        <v>20000</v>
      </c>
      <c r="G2438" s="5">
        <f>VLOOKUP(C2438,[1]master_data!$A$2:$E$495,4,FALSE)</f>
        <v>50000</v>
      </c>
      <c r="H2438" s="5">
        <f t="shared" si="120"/>
        <v>20000</v>
      </c>
      <c r="I2438" s="5">
        <f t="shared" si="121"/>
        <v>50000</v>
      </c>
      <c r="J2438" s="5">
        <f t="shared" si="122"/>
        <v>30000</v>
      </c>
      <c r="K2438" s="5" t="str">
        <f>VLOOKUP(C2438,[1]master_data!$A$2:$E$495,5,FALSE)</f>
        <v>Ikan</v>
      </c>
      <c r="L2438" s="5" t="s">
        <v>471</v>
      </c>
    </row>
    <row r="2439" spans="1:12" ht="12" customHeight="1" x14ac:dyDescent="0.25">
      <c r="A2439" s="6">
        <v>44676</v>
      </c>
      <c r="B2439" s="1">
        <v>2202124</v>
      </c>
      <c r="C2439" s="5" t="s">
        <v>333</v>
      </c>
      <c r="D2439" s="5" t="str">
        <f>VLOOKUP(C2439,[1]master_data!$A$2:$E$495,2,FALSE)</f>
        <v>KAPAS 2 LAPIS</v>
      </c>
      <c r="E2439" s="5">
        <v>1</v>
      </c>
      <c r="F2439" s="5">
        <f>VLOOKUP(C2439,[1]master_data!$A$2:$E$495,3,FALSE)</f>
        <v>2000</v>
      </c>
      <c r="G2439" s="5">
        <f>VLOOKUP(C2439,[1]master_data!$A$2:$E$495,4,FALSE)</f>
        <v>4000</v>
      </c>
      <c r="H2439" s="5">
        <f t="shared" si="120"/>
        <v>2000</v>
      </c>
      <c r="I2439" s="5">
        <f t="shared" si="121"/>
        <v>4000</v>
      </c>
      <c r="J2439" s="5">
        <f t="shared" si="122"/>
        <v>2000</v>
      </c>
      <c r="K2439" s="5" t="str">
        <f>VLOOKUP(C2439,[1]master_data!$A$2:$E$495,5,FALSE)</f>
        <v>Aksesoris</v>
      </c>
      <c r="L2439" s="5" t="s">
        <v>471</v>
      </c>
    </row>
    <row r="2440" spans="1:12" ht="12" customHeight="1" x14ac:dyDescent="0.25">
      <c r="A2440" s="6">
        <v>44676</v>
      </c>
      <c r="B2440" s="1">
        <v>2202123</v>
      </c>
      <c r="C2440" s="5" t="s">
        <v>103</v>
      </c>
      <c r="D2440" s="5" t="str">
        <f>VLOOKUP(C2440,[1]master_data!$A$2:$E$495,2,FALSE)</f>
        <v>AIRATOR KANDILA LUB 1</v>
      </c>
      <c r="E2440" s="5">
        <v>1</v>
      </c>
      <c r="F2440" s="5">
        <f>VLOOKUP(C2440,[1]master_data!$A$2:$E$495,3,FALSE)</f>
        <v>15000</v>
      </c>
      <c r="G2440" s="5">
        <f>VLOOKUP(C2440,[1]master_data!$A$2:$E$495,4,FALSE)</f>
        <v>25000</v>
      </c>
      <c r="H2440" s="5">
        <f t="shared" si="120"/>
        <v>15000</v>
      </c>
      <c r="I2440" s="5">
        <f t="shared" si="121"/>
        <v>25000</v>
      </c>
      <c r="J2440" s="5">
        <f t="shared" si="122"/>
        <v>10000</v>
      </c>
      <c r="K2440" s="5" t="str">
        <f>VLOOKUP(C2440,[1]master_data!$A$2:$E$495,5,FALSE)</f>
        <v>Aksesoris</v>
      </c>
      <c r="L2440" s="5" t="s">
        <v>471</v>
      </c>
    </row>
    <row r="2441" spans="1:12" ht="12" customHeight="1" x14ac:dyDescent="0.25">
      <c r="A2441" s="6">
        <v>44676</v>
      </c>
      <c r="B2441" s="1">
        <v>2202122</v>
      </c>
      <c r="C2441" s="5" t="s">
        <v>335</v>
      </c>
      <c r="D2441" s="5" t="str">
        <f>VLOOKUP(C2441,[1]master_data!$A$2:$E$495,2,FALSE)</f>
        <v>PENJERNIH</v>
      </c>
      <c r="E2441" s="5">
        <v>1</v>
      </c>
      <c r="F2441" s="5">
        <f>VLOOKUP(C2441,[1]master_data!$A$2:$E$495,3,FALSE)</f>
        <v>3000</v>
      </c>
      <c r="G2441" s="5">
        <f>VLOOKUP(C2441,[1]master_data!$A$2:$E$495,4,FALSE)</f>
        <v>8000</v>
      </c>
      <c r="H2441" s="5">
        <f t="shared" si="120"/>
        <v>3000</v>
      </c>
      <c r="I2441" s="5">
        <f t="shared" si="121"/>
        <v>8000</v>
      </c>
      <c r="J2441" s="5">
        <f t="shared" si="122"/>
        <v>5000</v>
      </c>
      <c r="K2441" s="5" t="str">
        <f>VLOOKUP(C2441,[1]master_data!$A$2:$E$495,5,FALSE)</f>
        <v>Aksesoris</v>
      </c>
      <c r="L2441" s="5" t="s">
        <v>471</v>
      </c>
    </row>
    <row r="2442" spans="1:12" ht="12" customHeight="1" x14ac:dyDescent="0.25">
      <c r="A2442" s="6">
        <v>44676</v>
      </c>
      <c r="B2442" s="1">
        <v>2202121</v>
      </c>
      <c r="C2442" s="5" t="s">
        <v>303</v>
      </c>
      <c r="D2442" s="5" t="str">
        <f>VLOOKUP(C2442,[1]master_data!$A$2:$E$495,2,FALSE)</f>
        <v>PIPA LONJOR 2 M</v>
      </c>
      <c r="E2442" s="5">
        <v>1</v>
      </c>
      <c r="F2442" s="5">
        <f>VLOOKUP(C2442,[1]master_data!$A$2:$E$495,3,FALSE)</f>
        <v>5000</v>
      </c>
      <c r="G2442" s="5">
        <f>VLOOKUP(C2442,[1]master_data!$A$2:$E$495,4,FALSE)</f>
        <v>10000</v>
      </c>
      <c r="H2442" s="5">
        <f t="shared" si="120"/>
        <v>5000</v>
      </c>
      <c r="I2442" s="5">
        <f t="shared" si="121"/>
        <v>10000</v>
      </c>
      <c r="J2442" s="5">
        <f t="shared" si="122"/>
        <v>5000</v>
      </c>
      <c r="K2442" s="5" t="str">
        <f>VLOOKUP(C2442,[1]master_data!$A$2:$E$495,5,FALSE)</f>
        <v>Aksesoris</v>
      </c>
      <c r="L2442" s="5" t="s">
        <v>471</v>
      </c>
    </row>
    <row r="2443" spans="1:12" ht="12" customHeight="1" x14ac:dyDescent="0.25">
      <c r="A2443" s="6">
        <v>44676</v>
      </c>
      <c r="B2443" s="1">
        <v>2202120</v>
      </c>
      <c r="C2443" s="5" t="s">
        <v>204</v>
      </c>
      <c r="D2443" s="5" t="str">
        <f>VLOOKUP(C2443,[1]master_data!$A$2:$E$495,2,FALSE)</f>
        <v>MAGOT</v>
      </c>
      <c r="E2443" s="5">
        <v>1</v>
      </c>
      <c r="F2443" s="5">
        <f>VLOOKUP(C2443,[1]master_data!$A$2:$E$495,3,FALSE)</f>
        <v>4500</v>
      </c>
      <c r="G2443" s="5">
        <f>VLOOKUP(C2443,[1]master_data!$A$2:$E$495,4,FALSE)</f>
        <v>10000</v>
      </c>
      <c r="H2443" s="5">
        <f t="shared" si="120"/>
        <v>4500</v>
      </c>
      <c r="I2443" s="5">
        <f t="shared" si="121"/>
        <v>10000</v>
      </c>
      <c r="J2443" s="5">
        <f t="shared" si="122"/>
        <v>5500</v>
      </c>
      <c r="K2443" s="5" t="str">
        <f>VLOOKUP(C2443,[1]master_data!$A$2:$E$495,5,FALSE)</f>
        <v>Aksesoris</v>
      </c>
      <c r="L2443" s="5" t="s">
        <v>471</v>
      </c>
    </row>
    <row r="2444" spans="1:12" ht="12" customHeight="1" x14ac:dyDescent="0.25">
      <c r="A2444" s="6">
        <v>44676</v>
      </c>
      <c r="B2444" s="1">
        <v>2202119</v>
      </c>
      <c r="C2444" s="5" t="s">
        <v>407</v>
      </c>
      <c r="D2444" s="5" t="str">
        <f>VLOOKUP(C2444,[1]master_data!$A$2:$E$495,2,FALSE)</f>
        <v>CUPANG</v>
      </c>
      <c r="E2444" s="5">
        <v>2</v>
      </c>
      <c r="F2444" s="5">
        <f>VLOOKUP(C2444,[1]master_data!$A$2:$E$495,3,FALSE)</f>
        <v>2000</v>
      </c>
      <c r="G2444" s="5">
        <f>VLOOKUP(C2444,[1]master_data!$A$2:$E$495,4,FALSE)</f>
        <v>5000</v>
      </c>
      <c r="H2444" s="5">
        <f t="shared" si="120"/>
        <v>4000</v>
      </c>
      <c r="I2444" s="5">
        <f t="shared" si="121"/>
        <v>10000</v>
      </c>
      <c r="J2444" s="5">
        <f t="shared" si="122"/>
        <v>6000</v>
      </c>
      <c r="K2444" s="5" t="str">
        <f>VLOOKUP(C2444,[1]master_data!$A$2:$E$495,5,FALSE)</f>
        <v>Ikan</v>
      </c>
      <c r="L2444" s="5" t="s">
        <v>471</v>
      </c>
    </row>
    <row r="2445" spans="1:12" ht="12" customHeight="1" x14ac:dyDescent="0.25">
      <c r="A2445" s="6">
        <v>44676</v>
      </c>
      <c r="B2445" s="1">
        <v>2202118</v>
      </c>
      <c r="C2445" s="5" t="s">
        <v>311</v>
      </c>
      <c r="D2445" s="5" t="str">
        <f>VLOOKUP(C2445,[1]master_data!$A$2:$E$495,2,FALSE)</f>
        <v>L PIPA</v>
      </c>
      <c r="E2445" s="5">
        <v>3</v>
      </c>
      <c r="F2445" s="5">
        <f>VLOOKUP(C2445,[1]master_data!$A$2:$E$495,3,FALSE)</f>
        <v>800</v>
      </c>
      <c r="G2445" s="5">
        <f>VLOOKUP(C2445,[1]master_data!$A$2:$E$495,4,FALSE)</f>
        <v>2000</v>
      </c>
      <c r="H2445" s="5">
        <f t="shared" si="120"/>
        <v>2400</v>
      </c>
      <c r="I2445" s="5">
        <f t="shared" si="121"/>
        <v>6000</v>
      </c>
      <c r="J2445" s="5">
        <f t="shared" si="122"/>
        <v>3600</v>
      </c>
      <c r="K2445" s="5" t="str">
        <f>VLOOKUP(C2445,[1]master_data!$A$2:$E$495,5,FALSE)</f>
        <v>Aksesoris</v>
      </c>
      <c r="L2445" s="5" t="s">
        <v>471</v>
      </c>
    </row>
    <row r="2446" spans="1:12" ht="12" customHeight="1" x14ac:dyDescent="0.25">
      <c r="A2446" s="6">
        <v>44676</v>
      </c>
      <c r="B2446" s="1">
        <v>2202117</v>
      </c>
      <c r="C2446" s="5" t="s">
        <v>418</v>
      </c>
      <c r="D2446" s="5" t="str">
        <f>VLOOKUP(C2446,[1]master_data!$A$2:$E$495,2,FALSE)</f>
        <v>KOI B</v>
      </c>
      <c r="E2446" s="5">
        <v>4</v>
      </c>
      <c r="F2446" s="5">
        <f>VLOOKUP(C2446,[1]master_data!$A$2:$E$495,3,FALSE)</f>
        <v>9000</v>
      </c>
      <c r="G2446" s="5">
        <f>VLOOKUP(C2446,[1]master_data!$A$2:$E$495,4,FALSE)</f>
        <v>30000</v>
      </c>
      <c r="H2446" s="5">
        <f t="shared" si="120"/>
        <v>36000</v>
      </c>
      <c r="I2446" s="5">
        <f t="shared" si="121"/>
        <v>120000</v>
      </c>
      <c r="J2446" s="5">
        <f t="shared" si="122"/>
        <v>84000</v>
      </c>
      <c r="K2446" s="5" t="str">
        <f>VLOOKUP(C2446,[1]master_data!$A$2:$E$495,5,FALSE)</f>
        <v>Ikan</v>
      </c>
      <c r="L2446" s="5" t="s">
        <v>471</v>
      </c>
    </row>
    <row r="2447" spans="1:12" ht="12" customHeight="1" x14ac:dyDescent="0.25">
      <c r="A2447" s="6">
        <v>44676</v>
      </c>
      <c r="B2447" s="1">
        <v>2202116</v>
      </c>
      <c r="C2447" s="5" t="s">
        <v>463</v>
      </c>
      <c r="D2447" s="5" t="str">
        <f>VLOOKUP(C2447,[1]master_data!$A$2:$E$495,2,FALSE)</f>
        <v>CHANNA STEWARTI</v>
      </c>
      <c r="E2447" s="5">
        <v>1</v>
      </c>
      <c r="F2447" s="5">
        <f>VLOOKUP(C2447,[1]master_data!$A$2:$E$495,3,FALSE)</f>
        <v>15000</v>
      </c>
      <c r="G2447" s="5">
        <f>VLOOKUP(C2447,[1]master_data!$A$2:$E$495,4,FALSE)</f>
        <v>40000</v>
      </c>
      <c r="H2447" s="5">
        <f t="shared" si="120"/>
        <v>15000</v>
      </c>
      <c r="I2447" s="5">
        <f t="shared" si="121"/>
        <v>40000</v>
      </c>
      <c r="J2447" s="5">
        <f t="shared" si="122"/>
        <v>25000</v>
      </c>
      <c r="K2447" s="5" t="str">
        <f>VLOOKUP(C2447,[1]master_data!$A$2:$E$495,5,FALSE)</f>
        <v>Ikan</v>
      </c>
      <c r="L2447" s="5" t="s">
        <v>471</v>
      </c>
    </row>
    <row r="2448" spans="1:12" ht="12" customHeight="1" x14ac:dyDescent="0.25">
      <c r="A2448" s="6">
        <v>44676</v>
      </c>
      <c r="B2448" s="1">
        <v>2202115</v>
      </c>
      <c r="C2448" s="5" t="s">
        <v>412</v>
      </c>
      <c r="D2448" s="5" t="str">
        <f>VLOOKUP(C2448,[1]master_data!$A$2:$E$495,2,FALSE)</f>
        <v>HIU TAWAR</v>
      </c>
      <c r="E2448" s="5">
        <v>2</v>
      </c>
      <c r="F2448" s="5">
        <f>VLOOKUP(C2448,[1]master_data!$A$2:$E$495,3,FALSE)</f>
        <v>600</v>
      </c>
      <c r="G2448" s="5">
        <f>VLOOKUP(C2448,[1]master_data!$A$2:$E$495,4,FALSE)</f>
        <v>2000</v>
      </c>
      <c r="H2448" s="5">
        <f t="shared" si="120"/>
        <v>1200</v>
      </c>
      <c r="I2448" s="5">
        <f t="shared" si="121"/>
        <v>4000</v>
      </c>
      <c r="J2448" s="5">
        <f t="shared" si="122"/>
        <v>2800</v>
      </c>
      <c r="K2448" s="5" t="str">
        <f>VLOOKUP(C2448,[1]master_data!$A$2:$E$495,5,FALSE)</f>
        <v>Ikan</v>
      </c>
      <c r="L2448" s="5" t="s">
        <v>471</v>
      </c>
    </row>
    <row r="2449" spans="1:12" ht="12" customHeight="1" x14ac:dyDescent="0.25">
      <c r="A2449" s="6">
        <v>44675</v>
      </c>
      <c r="B2449" s="1">
        <v>2202114</v>
      </c>
      <c r="C2449" s="5" t="s">
        <v>310</v>
      </c>
      <c r="D2449" s="5" t="str">
        <f>VLOOKUP(C2449,[1]master_data!$A$2:$E$495,2,FALSE)</f>
        <v>SELANG FUSO</v>
      </c>
      <c r="E2449" s="5">
        <v>3</v>
      </c>
      <c r="F2449" s="5">
        <f>VLOOKUP(C2449,[1]master_data!$A$2:$E$495,3,FALSE)</f>
        <v>800</v>
      </c>
      <c r="G2449" s="5">
        <f>VLOOKUP(C2449,[1]master_data!$A$2:$E$495,4,FALSE)</f>
        <v>2000</v>
      </c>
      <c r="H2449" s="5">
        <f t="shared" si="120"/>
        <v>2400</v>
      </c>
      <c r="I2449" s="5">
        <f t="shared" si="121"/>
        <v>6000</v>
      </c>
      <c r="J2449" s="5">
        <f t="shared" si="122"/>
        <v>3600</v>
      </c>
      <c r="K2449" s="5" t="str">
        <f>VLOOKUP(C2449,[1]master_data!$A$2:$E$495,5,FALSE)</f>
        <v>Aksesoris</v>
      </c>
      <c r="L2449" s="5" t="s">
        <v>471</v>
      </c>
    </row>
    <row r="2450" spans="1:12" ht="12" customHeight="1" x14ac:dyDescent="0.25">
      <c r="A2450" s="6">
        <v>44675</v>
      </c>
      <c r="B2450" s="1">
        <v>2202113</v>
      </c>
      <c r="C2450" s="5" t="s">
        <v>309</v>
      </c>
      <c r="D2450" s="5" t="str">
        <f>VLOOKUP(C2450,[1]master_data!$A$2:$E$495,2,FALSE)</f>
        <v>SELANG SPIRAL</v>
      </c>
      <c r="E2450" s="5">
        <v>1</v>
      </c>
      <c r="F2450" s="5">
        <f>VLOOKUP(C2450,[1]master_data!$A$2:$E$495,3,FALSE)</f>
        <v>2600</v>
      </c>
      <c r="G2450" s="5">
        <f>VLOOKUP(C2450,[1]master_data!$A$2:$E$495,4,FALSE)</f>
        <v>5000</v>
      </c>
      <c r="H2450" s="5">
        <f t="shared" si="120"/>
        <v>2600</v>
      </c>
      <c r="I2450" s="5">
        <f t="shared" si="121"/>
        <v>5000</v>
      </c>
      <c r="J2450" s="5">
        <f t="shared" si="122"/>
        <v>2400</v>
      </c>
      <c r="K2450" s="5" t="str">
        <f>VLOOKUP(C2450,[1]master_data!$A$2:$E$495,5,FALSE)</f>
        <v>Aksesoris</v>
      </c>
      <c r="L2450" s="5" t="s">
        <v>471</v>
      </c>
    </row>
    <row r="2451" spans="1:12" ht="12" customHeight="1" x14ac:dyDescent="0.25">
      <c r="A2451" s="6">
        <v>44675</v>
      </c>
      <c r="B2451" s="1">
        <v>2202112</v>
      </c>
      <c r="C2451" s="5" t="s">
        <v>315</v>
      </c>
      <c r="D2451" s="5" t="str">
        <f>VLOOKUP(C2451,[1]master_data!$A$2:$E$495,2,FALSE)</f>
        <v>T SELANG</v>
      </c>
      <c r="E2451" s="5">
        <v>3</v>
      </c>
      <c r="F2451" s="5">
        <f>VLOOKUP(C2451,[1]master_data!$A$2:$E$495,3,FALSE)</f>
        <v>750</v>
      </c>
      <c r="G2451" s="5">
        <f>VLOOKUP(C2451,[1]master_data!$A$2:$E$495,4,FALSE)</f>
        <v>1500</v>
      </c>
      <c r="H2451" s="5">
        <f t="shared" si="120"/>
        <v>2250</v>
      </c>
      <c r="I2451" s="5">
        <f t="shared" si="121"/>
        <v>4500</v>
      </c>
      <c r="J2451" s="5">
        <f t="shared" si="122"/>
        <v>2250</v>
      </c>
      <c r="K2451" s="5" t="str">
        <f>VLOOKUP(C2451,[1]master_data!$A$2:$E$495,5,FALSE)</f>
        <v>Aksesoris</v>
      </c>
      <c r="L2451" s="5" t="s">
        <v>471</v>
      </c>
    </row>
    <row r="2452" spans="1:12" ht="12" customHeight="1" x14ac:dyDescent="0.25">
      <c r="A2452" s="6">
        <v>44675</v>
      </c>
      <c r="B2452" s="1">
        <v>2202111</v>
      </c>
      <c r="C2452" s="5" t="s">
        <v>432</v>
      </c>
      <c r="D2452" s="5" t="str">
        <f>VLOOKUP(C2452,[1]master_data!$A$2:$E$495,2,FALSE)</f>
        <v>MARU K</v>
      </c>
      <c r="E2452" s="5">
        <v>1</v>
      </c>
      <c r="F2452" s="5">
        <f>VLOOKUP(C2452,[1]master_data!$A$2:$E$495,3,FALSE)</f>
        <v>23000</v>
      </c>
      <c r="G2452" s="5">
        <f>VLOOKUP(C2452,[1]master_data!$A$2:$E$495,4,FALSE)</f>
        <v>50000</v>
      </c>
      <c r="H2452" s="5">
        <f t="shared" si="120"/>
        <v>23000</v>
      </c>
      <c r="I2452" s="5">
        <f t="shared" si="121"/>
        <v>50000</v>
      </c>
      <c r="J2452" s="5">
        <f t="shared" si="122"/>
        <v>27000</v>
      </c>
      <c r="K2452" s="5" t="str">
        <f>VLOOKUP(C2452,[1]master_data!$A$2:$E$495,5,FALSE)</f>
        <v>Ikan</v>
      </c>
      <c r="L2452" s="5" t="s">
        <v>471</v>
      </c>
    </row>
    <row r="2453" spans="1:12" ht="12" customHeight="1" x14ac:dyDescent="0.25">
      <c r="A2453" s="6">
        <v>44675</v>
      </c>
      <c r="B2453" s="1">
        <v>2202110</v>
      </c>
      <c r="C2453" s="5" t="s">
        <v>267</v>
      </c>
      <c r="D2453" s="5" t="str">
        <f>VLOOKUP(C2453,[1]master_data!$A$2:$E$495,2,FALSE)</f>
        <v>GARAM</v>
      </c>
      <c r="E2453" s="5">
        <v>2</v>
      </c>
      <c r="F2453" s="5">
        <f>VLOOKUP(C2453,[1]master_data!$A$2:$E$495,3,FALSE)</f>
        <v>3000</v>
      </c>
      <c r="G2453" s="5">
        <f>VLOOKUP(C2453,[1]master_data!$A$2:$E$495,4,FALSE)</f>
        <v>5000</v>
      </c>
      <c r="H2453" s="5">
        <f t="shared" si="120"/>
        <v>6000</v>
      </c>
      <c r="I2453" s="5">
        <f t="shared" si="121"/>
        <v>10000</v>
      </c>
      <c r="J2453" s="5">
        <f t="shared" si="122"/>
        <v>4000</v>
      </c>
      <c r="K2453" s="5" t="str">
        <f>VLOOKUP(C2453,[1]master_data!$A$2:$E$495,5,FALSE)</f>
        <v>Aksesoris</v>
      </c>
      <c r="L2453" s="5" t="s">
        <v>471</v>
      </c>
    </row>
    <row r="2454" spans="1:12" ht="12" customHeight="1" x14ac:dyDescent="0.25">
      <c r="A2454" s="6">
        <v>44675</v>
      </c>
      <c r="B2454" s="1">
        <v>2202109</v>
      </c>
      <c r="C2454" s="5" t="s">
        <v>308</v>
      </c>
      <c r="D2454" s="5" t="str">
        <f>VLOOKUP(C2454,[1]master_data!$A$2:$E$495,2,FALSE)</f>
        <v>SUPER BLUE</v>
      </c>
      <c r="E2454" s="5">
        <v>1</v>
      </c>
      <c r="F2454" s="5">
        <f>VLOOKUP(C2454,[1]master_data!$A$2:$E$495,3,FALSE)</f>
        <v>8000</v>
      </c>
      <c r="G2454" s="5">
        <f>VLOOKUP(C2454,[1]master_data!$A$2:$E$495,4,FALSE)</f>
        <v>12000</v>
      </c>
      <c r="H2454" s="5">
        <f t="shared" si="120"/>
        <v>8000</v>
      </c>
      <c r="I2454" s="5">
        <f t="shared" si="121"/>
        <v>12000</v>
      </c>
      <c r="J2454" s="5">
        <f t="shared" si="122"/>
        <v>4000</v>
      </c>
      <c r="K2454" s="5" t="str">
        <f>VLOOKUP(C2454,[1]master_data!$A$2:$E$495,5,FALSE)</f>
        <v>Aksesoris</v>
      </c>
      <c r="L2454" s="5" t="s">
        <v>471</v>
      </c>
    </row>
    <row r="2455" spans="1:12" ht="12" customHeight="1" x14ac:dyDescent="0.25">
      <c r="A2455" s="6">
        <v>44675</v>
      </c>
      <c r="B2455" s="1">
        <v>2202108</v>
      </c>
      <c r="C2455" s="5" t="s">
        <v>104</v>
      </c>
      <c r="D2455" s="5" t="str">
        <f>VLOOKUP(C2455,[1]master_data!$A$2:$E$495,2,FALSE)</f>
        <v>AIRATOR AMARA LUB 2</v>
      </c>
      <c r="E2455" s="5">
        <v>1</v>
      </c>
      <c r="F2455" s="5">
        <f>VLOOKUP(C2455,[1]master_data!$A$2:$E$495,3,FALSE)</f>
        <v>33000</v>
      </c>
      <c r="G2455" s="5">
        <f>VLOOKUP(C2455,[1]master_data!$A$2:$E$495,4,FALSE)</f>
        <v>50000</v>
      </c>
      <c r="H2455" s="5">
        <f t="shared" si="120"/>
        <v>33000</v>
      </c>
      <c r="I2455" s="5">
        <f t="shared" si="121"/>
        <v>50000</v>
      </c>
      <c r="J2455" s="5">
        <f t="shared" si="122"/>
        <v>17000</v>
      </c>
      <c r="K2455" s="5" t="str">
        <f>VLOOKUP(C2455,[1]master_data!$A$2:$E$495,5,FALSE)</f>
        <v>Aksesoris</v>
      </c>
      <c r="L2455" s="5" t="s">
        <v>471</v>
      </c>
    </row>
    <row r="2456" spans="1:12" ht="12" customHeight="1" x14ac:dyDescent="0.25">
      <c r="A2456" s="6">
        <v>44675</v>
      </c>
      <c r="B2456" s="1">
        <v>2202107</v>
      </c>
      <c r="C2456" s="5" t="s">
        <v>407</v>
      </c>
      <c r="D2456" s="5" t="str">
        <f>VLOOKUP(C2456,[1]master_data!$A$2:$E$495,2,FALSE)</f>
        <v>CUPANG</v>
      </c>
      <c r="E2456" s="5">
        <v>2</v>
      </c>
      <c r="F2456" s="5">
        <f>VLOOKUP(C2456,[1]master_data!$A$2:$E$495,3,FALSE)</f>
        <v>2000</v>
      </c>
      <c r="G2456" s="5">
        <f>VLOOKUP(C2456,[1]master_data!$A$2:$E$495,4,FALSE)</f>
        <v>5000</v>
      </c>
      <c r="H2456" s="5">
        <f t="shared" si="120"/>
        <v>4000</v>
      </c>
      <c r="I2456" s="5">
        <f t="shared" si="121"/>
        <v>10000</v>
      </c>
      <c r="J2456" s="5">
        <f t="shared" si="122"/>
        <v>6000</v>
      </c>
      <c r="K2456" s="5" t="str">
        <f>VLOOKUP(C2456,[1]master_data!$A$2:$E$495,5,FALSE)</f>
        <v>Ikan</v>
      </c>
      <c r="L2456" s="5" t="s">
        <v>471</v>
      </c>
    </row>
    <row r="2457" spans="1:12" ht="12" customHeight="1" x14ac:dyDescent="0.25">
      <c r="A2457" s="6">
        <v>44675</v>
      </c>
      <c r="B2457" s="1">
        <v>2202106</v>
      </c>
      <c r="C2457" s="5" t="s">
        <v>463</v>
      </c>
      <c r="D2457" s="5" t="str">
        <f>VLOOKUP(C2457,[1]master_data!$A$2:$E$495,2,FALSE)</f>
        <v>CHANNA STEWARTI</v>
      </c>
      <c r="E2457" s="5">
        <v>1</v>
      </c>
      <c r="F2457" s="5">
        <f>VLOOKUP(C2457,[1]master_data!$A$2:$E$495,3,FALSE)</f>
        <v>15000</v>
      </c>
      <c r="G2457" s="5">
        <f>VLOOKUP(C2457,[1]master_data!$A$2:$E$495,4,FALSE)</f>
        <v>40000</v>
      </c>
      <c r="H2457" s="5">
        <f t="shared" si="120"/>
        <v>15000</v>
      </c>
      <c r="I2457" s="5">
        <f t="shared" si="121"/>
        <v>40000</v>
      </c>
      <c r="J2457" s="5">
        <f t="shared" si="122"/>
        <v>25000</v>
      </c>
      <c r="K2457" s="5" t="str">
        <f>VLOOKUP(C2457,[1]master_data!$A$2:$E$495,5,FALSE)</f>
        <v>Ikan</v>
      </c>
      <c r="L2457" s="5" t="s">
        <v>471</v>
      </c>
    </row>
    <row r="2458" spans="1:12" ht="12" customHeight="1" x14ac:dyDescent="0.25">
      <c r="A2458" s="6">
        <v>44675</v>
      </c>
      <c r="B2458" s="1">
        <v>2202105</v>
      </c>
      <c r="C2458" s="5" t="s">
        <v>408</v>
      </c>
      <c r="D2458" s="5" t="str">
        <f>VLOOKUP(C2458,[1]master_data!$A$2:$E$495,2,FALSE)</f>
        <v>CATFISH</v>
      </c>
      <c r="E2458" s="5">
        <v>1</v>
      </c>
      <c r="F2458" s="5">
        <f>VLOOKUP(C2458,[1]master_data!$A$2:$E$495,3,FALSE)</f>
        <v>20000</v>
      </c>
      <c r="G2458" s="5">
        <f>VLOOKUP(C2458,[1]master_data!$A$2:$E$495,4,FALSE)</f>
        <v>50000</v>
      </c>
      <c r="H2458" s="5">
        <f t="shared" si="120"/>
        <v>20000</v>
      </c>
      <c r="I2458" s="5">
        <f t="shared" si="121"/>
        <v>50000</v>
      </c>
      <c r="J2458" s="5">
        <f t="shared" si="122"/>
        <v>30000</v>
      </c>
      <c r="K2458" s="5" t="str">
        <f>VLOOKUP(C2458,[1]master_data!$A$2:$E$495,5,FALSE)</f>
        <v>Ikan</v>
      </c>
      <c r="L2458" s="5" t="s">
        <v>471</v>
      </c>
    </row>
    <row r="2459" spans="1:12" ht="12" customHeight="1" x14ac:dyDescent="0.25">
      <c r="A2459" s="6">
        <v>44675</v>
      </c>
      <c r="B2459" s="1">
        <v>2202104</v>
      </c>
      <c r="C2459" s="5" t="s">
        <v>329</v>
      </c>
      <c r="D2459" s="5" t="str">
        <f>VLOOKUP(C2459,[1]master_data!$A$2:$E$495,2,FALSE)</f>
        <v>AIRSTONE D2L5</v>
      </c>
      <c r="E2459" s="5">
        <v>2</v>
      </c>
      <c r="F2459" s="5">
        <f>VLOOKUP(C2459,[1]master_data!$A$2:$E$495,3,FALSE)</f>
        <v>1850</v>
      </c>
      <c r="G2459" s="5">
        <f>VLOOKUP(C2459,[1]master_data!$A$2:$E$495,4,FALSE)</f>
        <v>5000</v>
      </c>
      <c r="H2459" s="5">
        <f t="shared" si="120"/>
        <v>3700</v>
      </c>
      <c r="I2459" s="5">
        <f t="shared" si="121"/>
        <v>10000</v>
      </c>
      <c r="J2459" s="5">
        <f t="shared" si="122"/>
        <v>6300</v>
      </c>
      <c r="K2459" s="5" t="str">
        <f>VLOOKUP(C2459,[1]master_data!$A$2:$E$495,5,FALSE)</f>
        <v>Aksesoris</v>
      </c>
      <c r="L2459" s="5" t="s">
        <v>471</v>
      </c>
    </row>
    <row r="2460" spans="1:12" ht="12" customHeight="1" x14ac:dyDescent="0.25">
      <c r="A2460" s="6">
        <v>44675</v>
      </c>
      <c r="B2460" s="1">
        <v>2202103</v>
      </c>
      <c r="C2460" s="5" t="s">
        <v>418</v>
      </c>
      <c r="D2460" s="5" t="str">
        <f>VLOOKUP(C2460,[1]master_data!$A$2:$E$495,2,FALSE)</f>
        <v>KOI B</v>
      </c>
      <c r="E2460" s="5">
        <v>4</v>
      </c>
      <c r="F2460" s="5">
        <f>VLOOKUP(C2460,[1]master_data!$A$2:$E$495,3,FALSE)</f>
        <v>9000</v>
      </c>
      <c r="G2460" s="5">
        <f>VLOOKUP(C2460,[1]master_data!$A$2:$E$495,4,FALSE)</f>
        <v>30000</v>
      </c>
      <c r="H2460" s="5">
        <f t="shared" si="120"/>
        <v>36000</v>
      </c>
      <c r="I2460" s="5">
        <f t="shared" si="121"/>
        <v>120000</v>
      </c>
      <c r="J2460" s="5">
        <f t="shared" si="122"/>
        <v>84000</v>
      </c>
      <c r="K2460" s="5" t="str">
        <f>VLOOKUP(C2460,[1]master_data!$A$2:$E$495,5,FALSE)</f>
        <v>Ikan</v>
      </c>
      <c r="L2460" s="5" t="s">
        <v>471</v>
      </c>
    </row>
    <row r="2461" spans="1:12" ht="12" customHeight="1" x14ac:dyDescent="0.25">
      <c r="A2461" s="6">
        <v>44675</v>
      </c>
      <c r="B2461" s="1">
        <v>2202102</v>
      </c>
      <c r="C2461" s="5" t="s">
        <v>233</v>
      </c>
      <c r="D2461" s="5" t="str">
        <f>VLOOKUP(C2461,[1]master_data!$A$2:$E$495,2,FALSE)</f>
        <v>FISH LOVE PAKAN</v>
      </c>
      <c r="E2461" s="5">
        <v>1</v>
      </c>
      <c r="F2461" s="5">
        <f>VLOOKUP(C2461,[1]master_data!$A$2:$E$495,3,FALSE)</f>
        <v>2500</v>
      </c>
      <c r="G2461" s="5">
        <f>VLOOKUP(C2461,[1]master_data!$A$2:$E$495,4,FALSE)</f>
        <v>5000</v>
      </c>
      <c r="H2461" s="5">
        <f t="shared" si="120"/>
        <v>2500</v>
      </c>
      <c r="I2461" s="5">
        <f t="shared" si="121"/>
        <v>5000</v>
      </c>
      <c r="J2461" s="5">
        <f t="shared" si="122"/>
        <v>2500</v>
      </c>
      <c r="K2461" s="5" t="str">
        <f>VLOOKUP(C2461,[1]master_data!$A$2:$E$495,5,FALSE)</f>
        <v>Aksesoris</v>
      </c>
      <c r="L2461" s="5" t="s">
        <v>471</v>
      </c>
    </row>
    <row r="2462" spans="1:12" ht="12" customHeight="1" x14ac:dyDescent="0.25">
      <c r="A2462" s="6">
        <v>44674</v>
      </c>
      <c r="B2462" s="1">
        <v>2202101</v>
      </c>
      <c r="C2462" s="5" t="s">
        <v>407</v>
      </c>
      <c r="D2462" s="5" t="str">
        <f>VLOOKUP(C2462,[1]master_data!$A$2:$E$495,2,FALSE)</f>
        <v>CUPANG</v>
      </c>
      <c r="E2462" s="5">
        <v>1</v>
      </c>
      <c r="F2462" s="5">
        <f>VLOOKUP(C2462,[1]master_data!$A$2:$E$495,3,FALSE)</f>
        <v>2000</v>
      </c>
      <c r="G2462" s="5">
        <f>VLOOKUP(C2462,[1]master_data!$A$2:$E$495,4,FALSE)</f>
        <v>5000</v>
      </c>
      <c r="H2462" s="5">
        <f t="shared" si="120"/>
        <v>2000</v>
      </c>
      <c r="I2462" s="5">
        <f t="shared" si="121"/>
        <v>5000</v>
      </c>
      <c r="J2462" s="5">
        <f t="shared" si="122"/>
        <v>3000</v>
      </c>
      <c r="K2462" s="5" t="str">
        <f>VLOOKUP(C2462,[1]master_data!$A$2:$E$495,5,FALSE)</f>
        <v>Ikan</v>
      </c>
      <c r="L2462" s="5" t="s">
        <v>471</v>
      </c>
    </row>
    <row r="2463" spans="1:12" ht="12" customHeight="1" x14ac:dyDescent="0.25">
      <c r="A2463" s="6">
        <v>44674</v>
      </c>
      <c r="B2463" s="1">
        <v>2202100</v>
      </c>
      <c r="C2463" s="5" t="s">
        <v>432</v>
      </c>
      <c r="D2463" s="5" t="str">
        <f>VLOOKUP(C2463,[1]master_data!$A$2:$E$495,2,FALSE)</f>
        <v>MARU K</v>
      </c>
      <c r="E2463" s="5">
        <v>1</v>
      </c>
      <c r="F2463" s="5">
        <f>VLOOKUP(C2463,[1]master_data!$A$2:$E$495,3,FALSE)</f>
        <v>23000</v>
      </c>
      <c r="G2463" s="5">
        <f>VLOOKUP(C2463,[1]master_data!$A$2:$E$495,4,FALSE)</f>
        <v>50000</v>
      </c>
      <c r="H2463" s="5">
        <f t="shared" si="120"/>
        <v>23000</v>
      </c>
      <c r="I2463" s="5">
        <f t="shared" si="121"/>
        <v>50000</v>
      </c>
      <c r="J2463" s="5">
        <f t="shared" si="122"/>
        <v>27000</v>
      </c>
      <c r="K2463" s="5" t="str">
        <f>VLOOKUP(C2463,[1]master_data!$A$2:$E$495,5,FALSE)</f>
        <v>Ikan</v>
      </c>
      <c r="L2463" s="5" t="s">
        <v>471</v>
      </c>
    </row>
    <row r="2464" spans="1:12" ht="12" customHeight="1" x14ac:dyDescent="0.25">
      <c r="A2464" s="6">
        <v>44674</v>
      </c>
      <c r="B2464" s="1">
        <v>2202099</v>
      </c>
      <c r="C2464" s="5" t="s">
        <v>285</v>
      </c>
      <c r="D2464" s="5" t="str">
        <f>VLOOKUP(C2464,[1]master_data!$A$2:$E$495,2,FALSE)</f>
        <v>KAPAS 4 LAPIS</v>
      </c>
      <c r="E2464" s="5">
        <v>1</v>
      </c>
      <c r="F2464" s="5">
        <f>VLOOKUP(C2464,[1]master_data!$A$2:$E$495,3,FALSE)</f>
        <v>6500</v>
      </c>
      <c r="G2464" s="5">
        <f>VLOOKUP(C2464,[1]master_data!$A$2:$E$495,4,FALSE)</f>
        <v>10000</v>
      </c>
      <c r="H2464" s="5">
        <f t="shared" si="120"/>
        <v>6500</v>
      </c>
      <c r="I2464" s="5">
        <f t="shared" si="121"/>
        <v>10000</v>
      </c>
      <c r="J2464" s="5">
        <f t="shared" si="122"/>
        <v>3500</v>
      </c>
      <c r="K2464" s="5" t="str">
        <f>VLOOKUP(C2464,[1]master_data!$A$2:$E$495,5,FALSE)</f>
        <v>Aksesoris</v>
      </c>
      <c r="L2464" s="5" t="s">
        <v>471</v>
      </c>
    </row>
    <row r="2465" spans="1:12" ht="12" customHeight="1" x14ac:dyDescent="0.25">
      <c r="A2465" s="6">
        <v>44674</v>
      </c>
      <c r="B2465" s="1">
        <v>2202098</v>
      </c>
      <c r="C2465" s="5" t="s">
        <v>408</v>
      </c>
      <c r="D2465" s="5" t="str">
        <f>VLOOKUP(C2465,[1]master_data!$A$2:$E$495,2,FALSE)</f>
        <v>CATFISH</v>
      </c>
      <c r="E2465" s="5">
        <v>1</v>
      </c>
      <c r="F2465" s="5">
        <f>VLOOKUP(C2465,[1]master_data!$A$2:$E$495,3,FALSE)</f>
        <v>20000</v>
      </c>
      <c r="G2465" s="5">
        <f>VLOOKUP(C2465,[1]master_data!$A$2:$E$495,4,FALSE)</f>
        <v>50000</v>
      </c>
      <c r="H2465" s="5">
        <f t="shared" si="120"/>
        <v>20000</v>
      </c>
      <c r="I2465" s="5">
        <f t="shared" si="121"/>
        <v>50000</v>
      </c>
      <c r="J2465" s="5">
        <f t="shared" si="122"/>
        <v>30000</v>
      </c>
      <c r="K2465" s="5" t="str">
        <f>VLOOKUP(C2465,[1]master_data!$A$2:$E$495,5,FALSE)</f>
        <v>Ikan</v>
      </c>
      <c r="L2465" s="5" t="s">
        <v>471</v>
      </c>
    </row>
    <row r="2466" spans="1:12" ht="12" customHeight="1" x14ac:dyDescent="0.25">
      <c r="A2466" s="6">
        <v>44674</v>
      </c>
      <c r="B2466" s="1">
        <v>2202097</v>
      </c>
      <c r="C2466" s="5" t="s">
        <v>329</v>
      </c>
      <c r="D2466" s="5" t="str">
        <f>VLOOKUP(C2466,[1]master_data!$A$2:$E$495,2,FALSE)</f>
        <v>AIRSTONE D2L5</v>
      </c>
      <c r="E2466" s="5">
        <v>2</v>
      </c>
      <c r="F2466" s="5">
        <f>VLOOKUP(C2466,[1]master_data!$A$2:$E$495,3,FALSE)</f>
        <v>1850</v>
      </c>
      <c r="G2466" s="5">
        <f>VLOOKUP(C2466,[1]master_data!$A$2:$E$495,4,FALSE)</f>
        <v>5000</v>
      </c>
      <c r="H2466" s="5">
        <f t="shared" si="120"/>
        <v>3700</v>
      </c>
      <c r="I2466" s="5">
        <f t="shared" si="121"/>
        <v>10000</v>
      </c>
      <c r="J2466" s="5">
        <f t="shared" si="122"/>
        <v>6300</v>
      </c>
      <c r="K2466" s="5" t="str">
        <f>VLOOKUP(C2466,[1]master_data!$A$2:$E$495,5,FALSE)</f>
        <v>Aksesoris</v>
      </c>
      <c r="L2466" s="5" t="s">
        <v>471</v>
      </c>
    </row>
    <row r="2467" spans="1:12" ht="12" customHeight="1" x14ac:dyDescent="0.25">
      <c r="A2467" s="6">
        <v>44674</v>
      </c>
      <c r="B2467" s="1">
        <v>2202096</v>
      </c>
      <c r="C2467" s="5" t="s">
        <v>424</v>
      </c>
      <c r="D2467" s="5" t="str">
        <f>VLOOKUP(C2467,[1]master_data!$A$2:$E$495,2,FALSE)</f>
        <v>KOI SLAYER B</v>
      </c>
      <c r="E2467" s="5">
        <v>1</v>
      </c>
      <c r="F2467" s="5">
        <f>VLOOKUP(C2467,[1]master_data!$A$2:$E$495,3,FALSE)</f>
        <v>8000</v>
      </c>
      <c r="G2467" s="5">
        <f>VLOOKUP(C2467,[1]master_data!$A$2:$E$495,4,FALSE)</f>
        <v>20000</v>
      </c>
      <c r="H2467" s="5">
        <f t="shared" si="120"/>
        <v>8000</v>
      </c>
      <c r="I2467" s="5">
        <f t="shared" si="121"/>
        <v>20000</v>
      </c>
      <c r="J2467" s="5">
        <f t="shared" si="122"/>
        <v>12000</v>
      </c>
      <c r="K2467" s="5" t="str">
        <f>VLOOKUP(C2467,[1]master_data!$A$2:$E$495,5,FALSE)</f>
        <v>Ikan</v>
      </c>
      <c r="L2467" s="5" t="s">
        <v>471</v>
      </c>
    </row>
    <row r="2468" spans="1:12" ht="12" customHeight="1" x14ac:dyDescent="0.25">
      <c r="A2468" s="6">
        <v>44674</v>
      </c>
      <c r="B2468" s="1">
        <v>2202095</v>
      </c>
      <c r="C2468" s="5" t="s">
        <v>428</v>
      </c>
      <c r="D2468" s="5" t="str">
        <f>VLOOKUP(C2468,[1]master_data!$A$2:$E$495,2,FALSE)</f>
        <v>LOUHAN</v>
      </c>
      <c r="E2468" s="5">
        <v>1</v>
      </c>
      <c r="F2468" s="5">
        <f>VLOOKUP(C2468,[1]master_data!$A$2:$E$495,3,FALSE)</f>
        <v>85000</v>
      </c>
      <c r="G2468" s="5">
        <f>VLOOKUP(C2468,[1]master_data!$A$2:$E$495,4,FALSE)</f>
        <v>200000</v>
      </c>
      <c r="H2468" s="5">
        <f t="shared" si="120"/>
        <v>85000</v>
      </c>
      <c r="I2468" s="5">
        <f t="shared" si="121"/>
        <v>200000</v>
      </c>
      <c r="J2468" s="5">
        <f t="shared" si="122"/>
        <v>115000</v>
      </c>
      <c r="K2468" s="5" t="str">
        <f>VLOOKUP(C2468,[1]master_data!$A$2:$E$495,5,FALSE)</f>
        <v>Ikan</v>
      </c>
      <c r="L2468" s="5" t="s">
        <v>471</v>
      </c>
    </row>
    <row r="2469" spans="1:12" ht="12" customHeight="1" x14ac:dyDescent="0.25">
      <c r="A2469" s="6">
        <v>44674</v>
      </c>
      <c r="B2469" s="1">
        <v>2202094</v>
      </c>
      <c r="C2469" s="5" t="s">
        <v>444</v>
      </c>
      <c r="D2469" s="5" t="str">
        <f>VLOOKUP(C2469,[1]master_data!$A$2:$E$495,2,FALSE)</f>
        <v>PARROT</v>
      </c>
      <c r="E2469" s="5">
        <v>1</v>
      </c>
      <c r="F2469" s="5">
        <f>VLOOKUP(C2469,[1]master_data!$A$2:$E$495,3,FALSE)</f>
        <v>27000</v>
      </c>
      <c r="G2469" s="5">
        <f>VLOOKUP(C2469,[1]master_data!$A$2:$E$495,4,FALSE)</f>
        <v>60000</v>
      </c>
      <c r="H2469" s="5">
        <f t="shared" si="120"/>
        <v>27000</v>
      </c>
      <c r="I2469" s="5">
        <f t="shared" si="121"/>
        <v>60000</v>
      </c>
      <c r="J2469" s="5">
        <f t="shared" si="122"/>
        <v>33000</v>
      </c>
      <c r="K2469" s="5" t="str">
        <f>VLOOKUP(C2469,[1]master_data!$A$2:$E$495,5,FALSE)</f>
        <v>Ikan</v>
      </c>
      <c r="L2469" s="5" t="s">
        <v>471</v>
      </c>
    </row>
    <row r="2470" spans="1:12" ht="12" customHeight="1" x14ac:dyDescent="0.25">
      <c r="A2470" s="6">
        <v>44674</v>
      </c>
      <c r="B2470" s="1">
        <v>2202093</v>
      </c>
      <c r="C2470" s="5" t="s">
        <v>415</v>
      </c>
      <c r="D2470" s="5" t="str">
        <f>VLOOKUP(C2470,[1]master_data!$A$2:$E$495,2,FALSE)</f>
        <v>KOKI B</v>
      </c>
      <c r="E2470" s="5">
        <v>1</v>
      </c>
      <c r="F2470" s="5">
        <f>VLOOKUP(C2470,[1]master_data!$A$2:$E$495,3,FALSE)</f>
        <v>20000</v>
      </c>
      <c r="G2470" s="5">
        <f>VLOOKUP(C2470,[1]master_data!$A$2:$E$495,4,FALSE)</f>
        <v>50000</v>
      </c>
      <c r="H2470" s="5">
        <f t="shared" si="120"/>
        <v>20000</v>
      </c>
      <c r="I2470" s="5">
        <f t="shared" si="121"/>
        <v>50000</v>
      </c>
      <c r="J2470" s="5">
        <f t="shared" si="122"/>
        <v>30000</v>
      </c>
      <c r="K2470" s="5" t="str">
        <f>VLOOKUP(C2470,[1]master_data!$A$2:$E$495,5,FALSE)</f>
        <v>Ikan</v>
      </c>
      <c r="L2470" s="5" t="s">
        <v>471</v>
      </c>
    </row>
    <row r="2471" spans="1:12" ht="12" customHeight="1" x14ac:dyDescent="0.25">
      <c r="A2471" s="6">
        <v>44674</v>
      </c>
      <c r="B2471" s="1">
        <v>2202092</v>
      </c>
      <c r="C2471" s="5" t="s">
        <v>125</v>
      </c>
      <c r="D2471" s="5" t="str">
        <f>VLOOKUP(C2471,[1]master_data!$A$2:$E$495,2,FALSE)</f>
        <v>LAMPU YAMANO UV 9W</v>
      </c>
      <c r="E2471" s="5">
        <v>1</v>
      </c>
      <c r="F2471" s="5">
        <f>VLOOKUP(C2471,[1]master_data!$A$2:$E$495,3,FALSE)</f>
        <v>66000</v>
      </c>
      <c r="G2471" s="5">
        <f>VLOOKUP(C2471,[1]master_data!$A$2:$E$495,4,FALSE)</f>
        <v>85000</v>
      </c>
      <c r="H2471" s="5">
        <f t="shared" si="120"/>
        <v>66000</v>
      </c>
      <c r="I2471" s="5">
        <f t="shared" si="121"/>
        <v>85000</v>
      </c>
      <c r="J2471" s="5">
        <f t="shared" si="122"/>
        <v>19000</v>
      </c>
      <c r="K2471" s="5" t="str">
        <f>VLOOKUP(C2471,[1]master_data!$A$2:$E$495,5,FALSE)</f>
        <v>Aksesoris</v>
      </c>
      <c r="L2471" s="5" t="s">
        <v>471</v>
      </c>
    </row>
    <row r="2472" spans="1:12" ht="12" customHeight="1" x14ac:dyDescent="0.25">
      <c r="A2472" s="6">
        <v>44674</v>
      </c>
      <c r="B2472" s="1">
        <v>2202091</v>
      </c>
      <c r="C2472" s="5" t="s">
        <v>407</v>
      </c>
      <c r="D2472" s="5" t="str">
        <f>VLOOKUP(C2472,[1]master_data!$A$2:$E$495,2,FALSE)</f>
        <v>CUPANG</v>
      </c>
      <c r="E2472" s="5">
        <v>2</v>
      </c>
      <c r="F2472" s="5">
        <f>VLOOKUP(C2472,[1]master_data!$A$2:$E$495,3,FALSE)</f>
        <v>2000</v>
      </c>
      <c r="G2472" s="5">
        <f>VLOOKUP(C2472,[1]master_data!$A$2:$E$495,4,FALSE)</f>
        <v>5000</v>
      </c>
      <c r="H2472" s="5">
        <f t="shared" si="120"/>
        <v>4000</v>
      </c>
      <c r="I2472" s="5">
        <f t="shared" si="121"/>
        <v>10000</v>
      </c>
      <c r="J2472" s="5">
        <f t="shared" si="122"/>
        <v>6000</v>
      </c>
      <c r="K2472" s="5" t="str">
        <f>VLOOKUP(C2472,[1]master_data!$A$2:$E$495,5,FALSE)</f>
        <v>Ikan</v>
      </c>
      <c r="L2472" s="5" t="s">
        <v>471</v>
      </c>
    </row>
    <row r="2473" spans="1:12" ht="12" customHeight="1" x14ac:dyDescent="0.25">
      <c r="A2473" s="6">
        <v>44674</v>
      </c>
      <c r="B2473" s="1">
        <v>2202090</v>
      </c>
      <c r="C2473" s="5" t="s">
        <v>262</v>
      </c>
      <c r="D2473" s="5" t="str">
        <f>VLOOKUP(C2473,[1]master_data!$A$2:$E$495,2,FALSE)</f>
        <v>COP PIPA</v>
      </c>
      <c r="E2473" s="5">
        <v>3</v>
      </c>
      <c r="F2473" s="5">
        <f>VLOOKUP(C2473,[1]master_data!$A$2:$E$495,3,FALSE)</f>
        <v>800</v>
      </c>
      <c r="G2473" s="5">
        <f>VLOOKUP(C2473,[1]master_data!$A$2:$E$495,4,FALSE)</f>
        <v>2000</v>
      </c>
      <c r="H2473" s="5">
        <f t="shared" si="120"/>
        <v>2400</v>
      </c>
      <c r="I2473" s="5">
        <f t="shared" si="121"/>
        <v>6000</v>
      </c>
      <c r="J2473" s="5">
        <f t="shared" si="122"/>
        <v>3600</v>
      </c>
      <c r="K2473" s="5" t="str">
        <f>VLOOKUP(C2473,[1]master_data!$A$2:$E$495,5,FALSE)</f>
        <v>Aksesoris</v>
      </c>
      <c r="L2473" s="5" t="s">
        <v>471</v>
      </c>
    </row>
    <row r="2474" spans="1:12" ht="12" customHeight="1" x14ac:dyDescent="0.25">
      <c r="A2474" s="6">
        <v>44674</v>
      </c>
      <c r="B2474" s="1">
        <v>2202089</v>
      </c>
      <c r="C2474" s="5" t="s">
        <v>318</v>
      </c>
      <c r="D2474" s="5" t="str">
        <f>VLOOKUP(C2474,[1]master_data!$A$2:$E$495,2,FALSE)</f>
        <v>TEMPAT CACING</v>
      </c>
      <c r="E2474" s="5">
        <v>1</v>
      </c>
      <c r="F2474" s="5">
        <f>VLOOKUP(C2474,[1]master_data!$A$2:$E$495,3,FALSE)</f>
        <v>1500</v>
      </c>
      <c r="G2474" s="5">
        <f>VLOOKUP(C2474,[1]master_data!$A$2:$E$495,4,FALSE)</f>
        <v>5000</v>
      </c>
      <c r="H2474" s="5">
        <f t="shared" si="120"/>
        <v>1500</v>
      </c>
      <c r="I2474" s="5">
        <f t="shared" si="121"/>
        <v>5000</v>
      </c>
      <c r="J2474" s="5">
        <f t="shared" si="122"/>
        <v>3500</v>
      </c>
      <c r="K2474" s="5" t="str">
        <f>VLOOKUP(C2474,[1]master_data!$A$2:$E$495,5,FALSE)</f>
        <v>Aksesoris</v>
      </c>
      <c r="L2474" s="5" t="s">
        <v>471</v>
      </c>
    </row>
    <row r="2475" spans="1:12" ht="12" customHeight="1" x14ac:dyDescent="0.25">
      <c r="A2475" s="6">
        <v>44674</v>
      </c>
      <c r="B2475" s="1">
        <v>2202088</v>
      </c>
      <c r="C2475" s="5" t="s">
        <v>418</v>
      </c>
      <c r="D2475" s="5" t="str">
        <f>VLOOKUP(C2475,[1]master_data!$A$2:$E$495,2,FALSE)</f>
        <v>KOI B</v>
      </c>
      <c r="E2475" s="5">
        <v>4</v>
      </c>
      <c r="F2475" s="5">
        <f>VLOOKUP(C2475,[1]master_data!$A$2:$E$495,3,FALSE)</f>
        <v>9000</v>
      </c>
      <c r="G2475" s="5">
        <f>VLOOKUP(C2475,[1]master_data!$A$2:$E$495,4,FALSE)</f>
        <v>30000</v>
      </c>
      <c r="H2475" s="5">
        <f t="shared" si="120"/>
        <v>36000</v>
      </c>
      <c r="I2475" s="5">
        <f t="shared" si="121"/>
        <v>120000</v>
      </c>
      <c r="J2475" s="5">
        <f t="shared" si="122"/>
        <v>84000</v>
      </c>
      <c r="K2475" s="5" t="str">
        <f>VLOOKUP(C2475,[1]master_data!$A$2:$E$495,5,FALSE)</f>
        <v>Ikan</v>
      </c>
      <c r="L2475" s="5" t="s">
        <v>471</v>
      </c>
    </row>
    <row r="2476" spans="1:12" ht="12" customHeight="1" x14ac:dyDescent="0.25">
      <c r="A2476" s="6">
        <v>44674</v>
      </c>
      <c r="B2476" s="1">
        <v>2202087</v>
      </c>
      <c r="C2476" s="5" t="s">
        <v>204</v>
      </c>
      <c r="D2476" s="5" t="str">
        <f>VLOOKUP(C2476,[1]master_data!$A$2:$E$495,2,FALSE)</f>
        <v>MAGOT</v>
      </c>
      <c r="E2476" s="5">
        <v>1</v>
      </c>
      <c r="F2476" s="5">
        <f>VLOOKUP(C2476,[1]master_data!$A$2:$E$495,3,FALSE)</f>
        <v>4500</v>
      </c>
      <c r="G2476" s="5">
        <f>VLOOKUP(C2476,[1]master_data!$A$2:$E$495,4,FALSE)</f>
        <v>10000</v>
      </c>
      <c r="H2476" s="5">
        <f t="shared" si="120"/>
        <v>4500</v>
      </c>
      <c r="I2476" s="5">
        <f t="shared" si="121"/>
        <v>10000</v>
      </c>
      <c r="J2476" s="5">
        <f t="shared" si="122"/>
        <v>5500</v>
      </c>
      <c r="K2476" s="5" t="str">
        <f>VLOOKUP(C2476,[1]master_data!$A$2:$E$495,5,FALSE)</f>
        <v>Aksesoris</v>
      </c>
      <c r="L2476" s="5" t="s">
        <v>471</v>
      </c>
    </row>
    <row r="2477" spans="1:12" ht="12" customHeight="1" x14ac:dyDescent="0.25">
      <c r="A2477" s="6">
        <v>44674</v>
      </c>
      <c r="B2477" s="1">
        <v>2202086</v>
      </c>
      <c r="C2477" s="5" t="s">
        <v>463</v>
      </c>
      <c r="D2477" s="5" t="str">
        <f>VLOOKUP(C2477,[1]master_data!$A$2:$E$495,2,FALSE)</f>
        <v>CHANNA STEWARTI</v>
      </c>
      <c r="E2477" s="5">
        <v>1</v>
      </c>
      <c r="F2477" s="5">
        <f>VLOOKUP(C2477,[1]master_data!$A$2:$E$495,3,FALSE)</f>
        <v>15000</v>
      </c>
      <c r="G2477" s="5">
        <f>VLOOKUP(C2477,[1]master_data!$A$2:$E$495,4,FALSE)</f>
        <v>40000</v>
      </c>
      <c r="H2477" s="5">
        <f t="shared" si="120"/>
        <v>15000</v>
      </c>
      <c r="I2477" s="5">
        <f t="shared" si="121"/>
        <v>40000</v>
      </c>
      <c r="J2477" s="5">
        <f t="shared" si="122"/>
        <v>25000</v>
      </c>
      <c r="K2477" s="5" t="str">
        <f>VLOOKUP(C2477,[1]master_data!$A$2:$E$495,5,FALSE)</f>
        <v>Ikan</v>
      </c>
      <c r="L2477" s="5" t="s">
        <v>471</v>
      </c>
    </row>
    <row r="2478" spans="1:12" ht="12" customHeight="1" x14ac:dyDescent="0.25">
      <c r="A2478" s="6">
        <v>44674</v>
      </c>
      <c r="B2478" s="1">
        <v>2202085</v>
      </c>
      <c r="C2478" s="5" t="s">
        <v>33</v>
      </c>
      <c r="D2478" s="5" t="str">
        <f>VLOOKUP(C2478,[1]master_data!$A$2:$E$495,2,FALSE)</f>
        <v>MESIN YAMANO 1200</v>
      </c>
      <c r="E2478" s="5">
        <v>1</v>
      </c>
      <c r="F2478" s="5">
        <f>VLOOKUP(C2478,[1]master_data!$A$2:$E$495,3,FALSE)</f>
        <v>27000</v>
      </c>
      <c r="G2478" s="5">
        <f>VLOOKUP(C2478,[1]master_data!$A$2:$E$495,4,FALSE)</f>
        <v>40000</v>
      </c>
      <c r="H2478" s="5">
        <f t="shared" si="120"/>
        <v>27000</v>
      </c>
      <c r="I2478" s="5">
        <f t="shared" si="121"/>
        <v>40000</v>
      </c>
      <c r="J2478" s="5">
        <f t="shared" si="122"/>
        <v>13000</v>
      </c>
      <c r="K2478" s="5" t="str">
        <f>VLOOKUP(C2478,[1]master_data!$A$2:$E$495,5,FALSE)</f>
        <v>Aksesoris</v>
      </c>
      <c r="L2478" s="5" t="s">
        <v>471</v>
      </c>
    </row>
    <row r="2479" spans="1:12" ht="12" customHeight="1" x14ac:dyDescent="0.25">
      <c r="A2479" s="6">
        <v>44673</v>
      </c>
      <c r="B2479" s="1">
        <v>2202084</v>
      </c>
      <c r="C2479" s="5" t="s">
        <v>7</v>
      </c>
      <c r="D2479" s="5" t="str">
        <f>VLOOKUP(C2479,[1]master_data!$A$2:$E$495,2,FALSE)</f>
        <v>MESIN YANG 1600</v>
      </c>
      <c r="E2479" s="5">
        <v>1</v>
      </c>
      <c r="F2479" s="5">
        <f>VLOOKUP(C2479,[1]master_data!$A$2:$E$495,3,FALSE)</f>
        <v>64000</v>
      </c>
      <c r="G2479" s="5">
        <f>VLOOKUP(C2479,[1]master_data!$A$2:$E$495,4,FALSE)</f>
        <v>90000</v>
      </c>
      <c r="H2479" s="5">
        <f t="shared" si="120"/>
        <v>64000</v>
      </c>
      <c r="I2479" s="5">
        <f t="shared" si="121"/>
        <v>90000</v>
      </c>
      <c r="J2479" s="5">
        <f t="shared" si="122"/>
        <v>26000</v>
      </c>
      <c r="K2479" s="5" t="str">
        <f>VLOOKUP(C2479,[1]master_data!$A$2:$E$495,5,FALSE)</f>
        <v>Aksesoris</v>
      </c>
      <c r="L2479" s="5" t="s">
        <v>471</v>
      </c>
    </row>
    <row r="2480" spans="1:12" ht="12" customHeight="1" x14ac:dyDescent="0.25">
      <c r="A2480" s="6">
        <v>44673</v>
      </c>
      <c r="B2480" s="1">
        <v>2202083</v>
      </c>
      <c r="C2480" s="5" t="s">
        <v>204</v>
      </c>
      <c r="D2480" s="5" t="str">
        <f>VLOOKUP(C2480,[1]master_data!$A$2:$E$495,2,FALSE)</f>
        <v>MAGOT</v>
      </c>
      <c r="E2480" s="5">
        <v>1</v>
      </c>
      <c r="F2480" s="5">
        <f>VLOOKUP(C2480,[1]master_data!$A$2:$E$495,3,FALSE)</f>
        <v>4500</v>
      </c>
      <c r="G2480" s="5">
        <f>VLOOKUP(C2480,[1]master_data!$A$2:$E$495,4,FALSE)</f>
        <v>10000</v>
      </c>
      <c r="H2480" s="5">
        <f t="shared" si="120"/>
        <v>4500</v>
      </c>
      <c r="I2480" s="5">
        <f t="shared" si="121"/>
        <v>10000</v>
      </c>
      <c r="J2480" s="5">
        <f t="shared" si="122"/>
        <v>5500</v>
      </c>
      <c r="K2480" s="5" t="str">
        <f>VLOOKUP(C2480,[1]master_data!$A$2:$E$495,5,FALSE)</f>
        <v>Aksesoris</v>
      </c>
      <c r="L2480" s="5" t="s">
        <v>471</v>
      </c>
    </row>
    <row r="2481" spans="1:12" ht="12" customHeight="1" x14ac:dyDescent="0.25">
      <c r="A2481" s="6">
        <v>44673</v>
      </c>
      <c r="B2481" s="1">
        <v>2202082</v>
      </c>
      <c r="C2481" s="5" t="s">
        <v>285</v>
      </c>
      <c r="D2481" s="5" t="str">
        <f>VLOOKUP(C2481,[1]master_data!$A$2:$E$495,2,FALSE)</f>
        <v>KAPAS 4 LAPIS</v>
      </c>
      <c r="E2481" s="5">
        <v>1</v>
      </c>
      <c r="F2481" s="5">
        <f>VLOOKUP(C2481,[1]master_data!$A$2:$E$495,3,FALSE)</f>
        <v>6500</v>
      </c>
      <c r="G2481" s="5">
        <f>VLOOKUP(C2481,[1]master_data!$A$2:$E$495,4,FALSE)</f>
        <v>10000</v>
      </c>
      <c r="H2481" s="5">
        <f t="shared" si="120"/>
        <v>6500</v>
      </c>
      <c r="I2481" s="5">
        <f t="shared" si="121"/>
        <v>10000</v>
      </c>
      <c r="J2481" s="5">
        <f t="shared" si="122"/>
        <v>3500</v>
      </c>
      <c r="K2481" s="5" t="str">
        <f>VLOOKUP(C2481,[1]master_data!$A$2:$E$495,5,FALSE)</f>
        <v>Aksesoris</v>
      </c>
      <c r="L2481" s="5" t="s">
        <v>471</v>
      </c>
    </row>
    <row r="2482" spans="1:12" ht="12" customHeight="1" x14ac:dyDescent="0.25">
      <c r="A2482" s="6">
        <v>44673</v>
      </c>
      <c r="B2482" s="1">
        <v>2202081</v>
      </c>
      <c r="C2482" s="5" t="s">
        <v>255</v>
      </c>
      <c r="D2482" s="5" t="str">
        <f>VLOOKUP(C2482,[1]master_data!$A$2:$E$495,2,FALSE)</f>
        <v>ACRIPLAVIN</v>
      </c>
      <c r="E2482" s="5">
        <v>1</v>
      </c>
      <c r="F2482" s="5">
        <f>VLOOKUP(C2482,[1]master_data!$A$2:$E$495,3,FALSE)</f>
        <v>3000</v>
      </c>
      <c r="G2482" s="5">
        <f>VLOOKUP(C2482,[1]master_data!$A$2:$E$495,4,FALSE)</f>
        <v>8000</v>
      </c>
      <c r="H2482" s="5">
        <f t="shared" si="120"/>
        <v>3000</v>
      </c>
      <c r="I2482" s="5">
        <f t="shared" si="121"/>
        <v>8000</v>
      </c>
      <c r="J2482" s="5">
        <f t="shared" si="122"/>
        <v>5000</v>
      </c>
      <c r="K2482" s="5" t="str">
        <f>VLOOKUP(C2482,[1]master_data!$A$2:$E$495,5,FALSE)</f>
        <v>Aksesoris</v>
      </c>
      <c r="L2482" s="5" t="s">
        <v>471</v>
      </c>
    </row>
    <row r="2483" spans="1:12" ht="12" customHeight="1" x14ac:dyDescent="0.25">
      <c r="A2483" s="6">
        <v>44673</v>
      </c>
      <c r="B2483" s="1">
        <v>2202080</v>
      </c>
      <c r="C2483" s="5" t="s">
        <v>335</v>
      </c>
      <c r="D2483" s="5" t="str">
        <f>VLOOKUP(C2483,[1]master_data!$A$2:$E$495,2,FALSE)</f>
        <v>PENJERNIH</v>
      </c>
      <c r="E2483" s="5">
        <v>1</v>
      </c>
      <c r="F2483" s="5">
        <f>VLOOKUP(C2483,[1]master_data!$A$2:$E$495,3,FALSE)</f>
        <v>3000</v>
      </c>
      <c r="G2483" s="5">
        <f>VLOOKUP(C2483,[1]master_data!$A$2:$E$495,4,FALSE)</f>
        <v>8000</v>
      </c>
      <c r="H2483" s="5">
        <f t="shared" si="120"/>
        <v>3000</v>
      </c>
      <c r="I2483" s="5">
        <f t="shared" si="121"/>
        <v>8000</v>
      </c>
      <c r="J2483" s="5">
        <f t="shared" si="122"/>
        <v>5000</v>
      </c>
      <c r="K2483" s="5" t="str">
        <f>VLOOKUP(C2483,[1]master_data!$A$2:$E$495,5,FALSE)</f>
        <v>Aksesoris</v>
      </c>
      <c r="L2483" s="5" t="s">
        <v>471</v>
      </c>
    </row>
    <row r="2484" spans="1:12" ht="12" customHeight="1" x14ac:dyDescent="0.25">
      <c r="A2484" s="6">
        <v>44673</v>
      </c>
      <c r="B2484" s="1">
        <v>2202079</v>
      </c>
      <c r="C2484" s="5" t="s">
        <v>463</v>
      </c>
      <c r="D2484" s="5" t="str">
        <f>VLOOKUP(C2484,[1]master_data!$A$2:$E$495,2,FALSE)</f>
        <v>CHANNA STEWARTI</v>
      </c>
      <c r="E2484" s="5">
        <v>1</v>
      </c>
      <c r="F2484" s="5">
        <f>VLOOKUP(C2484,[1]master_data!$A$2:$E$495,3,FALSE)</f>
        <v>15000</v>
      </c>
      <c r="G2484" s="5">
        <f>VLOOKUP(C2484,[1]master_data!$A$2:$E$495,4,FALSE)</f>
        <v>40000</v>
      </c>
      <c r="H2484" s="5">
        <f t="shared" si="120"/>
        <v>15000</v>
      </c>
      <c r="I2484" s="5">
        <f t="shared" si="121"/>
        <v>40000</v>
      </c>
      <c r="J2484" s="5">
        <f t="shared" si="122"/>
        <v>25000</v>
      </c>
      <c r="K2484" s="5" t="str">
        <f>VLOOKUP(C2484,[1]master_data!$A$2:$E$495,5,FALSE)</f>
        <v>Ikan</v>
      </c>
      <c r="L2484" s="5" t="s">
        <v>471</v>
      </c>
    </row>
    <row r="2485" spans="1:12" ht="12" customHeight="1" x14ac:dyDescent="0.25">
      <c r="A2485" s="6">
        <v>44673</v>
      </c>
      <c r="B2485" s="1">
        <v>2202078</v>
      </c>
      <c r="C2485" s="5" t="s">
        <v>407</v>
      </c>
      <c r="D2485" s="5" t="str">
        <f>VLOOKUP(C2485,[1]master_data!$A$2:$E$495,2,FALSE)</f>
        <v>CUPANG</v>
      </c>
      <c r="E2485" s="5">
        <v>2</v>
      </c>
      <c r="F2485" s="5">
        <f>VLOOKUP(C2485,[1]master_data!$A$2:$E$495,3,FALSE)</f>
        <v>2000</v>
      </c>
      <c r="G2485" s="5">
        <f>VLOOKUP(C2485,[1]master_data!$A$2:$E$495,4,FALSE)</f>
        <v>5000</v>
      </c>
      <c r="H2485" s="5">
        <f t="shared" si="120"/>
        <v>4000</v>
      </c>
      <c r="I2485" s="5">
        <f t="shared" si="121"/>
        <v>10000</v>
      </c>
      <c r="J2485" s="5">
        <f t="shared" si="122"/>
        <v>6000</v>
      </c>
      <c r="K2485" s="5" t="str">
        <f>VLOOKUP(C2485,[1]master_data!$A$2:$E$495,5,FALSE)</f>
        <v>Ikan</v>
      </c>
      <c r="L2485" s="5" t="s">
        <v>471</v>
      </c>
    </row>
    <row r="2486" spans="1:12" ht="12" customHeight="1" x14ac:dyDescent="0.25">
      <c r="A2486" s="6">
        <v>44673</v>
      </c>
      <c r="B2486" s="1">
        <v>2202077</v>
      </c>
      <c r="C2486" s="5" t="s">
        <v>444</v>
      </c>
      <c r="D2486" s="5" t="str">
        <f>VLOOKUP(C2486,[1]master_data!$A$2:$E$495,2,FALSE)</f>
        <v>PARROT</v>
      </c>
      <c r="E2486" s="5">
        <v>1</v>
      </c>
      <c r="F2486" s="5">
        <f>VLOOKUP(C2486,[1]master_data!$A$2:$E$495,3,FALSE)</f>
        <v>27000</v>
      </c>
      <c r="G2486" s="5">
        <f>VLOOKUP(C2486,[1]master_data!$A$2:$E$495,4,FALSE)</f>
        <v>60000</v>
      </c>
      <c r="H2486" s="5">
        <f t="shared" si="120"/>
        <v>27000</v>
      </c>
      <c r="I2486" s="5">
        <f t="shared" si="121"/>
        <v>60000</v>
      </c>
      <c r="J2486" s="5">
        <f t="shared" si="122"/>
        <v>33000</v>
      </c>
      <c r="K2486" s="5" t="str">
        <f>VLOOKUP(C2486,[1]master_data!$A$2:$E$495,5,FALSE)</f>
        <v>Ikan</v>
      </c>
      <c r="L2486" s="5" t="s">
        <v>471</v>
      </c>
    </row>
    <row r="2487" spans="1:12" ht="12" customHeight="1" x14ac:dyDescent="0.25">
      <c r="A2487" s="6">
        <v>44673</v>
      </c>
      <c r="B2487" s="1">
        <v>2202076</v>
      </c>
      <c r="C2487" s="5" t="s">
        <v>432</v>
      </c>
      <c r="D2487" s="5" t="str">
        <f>VLOOKUP(C2487,[1]master_data!$A$2:$E$495,2,FALSE)</f>
        <v>MARU K</v>
      </c>
      <c r="E2487" s="5">
        <v>1</v>
      </c>
      <c r="F2487" s="5">
        <f>VLOOKUP(C2487,[1]master_data!$A$2:$E$495,3,FALSE)</f>
        <v>23000</v>
      </c>
      <c r="G2487" s="5">
        <f>VLOOKUP(C2487,[1]master_data!$A$2:$E$495,4,FALSE)</f>
        <v>50000</v>
      </c>
      <c r="H2487" s="5">
        <f t="shared" si="120"/>
        <v>23000</v>
      </c>
      <c r="I2487" s="5">
        <f t="shared" si="121"/>
        <v>50000</v>
      </c>
      <c r="J2487" s="5">
        <f t="shared" si="122"/>
        <v>27000</v>
      </c>
      <c r="K2487" s="5" t="str">
        <f>VLOOKUP(C2487,[1]master_data!$A$2:$E$495,5,FALSE)</f>
        <v>Ikan</v>
      </c>
      <c r="L2487" s="5" t="s">
        <v>471</v>
      </c>
    </row>
    <row r="2488" spans="1:12" ht="12" customHeight="1" x14ac:dyDescent="0.25">
      <c r="A2488" s="6">
        <v>44673</v>
      </c>
      <c r="B2488" s="1">
        <v>2202075</v>
      </c>
      <c r="C2488" s="5" t="s">
        <v>418</v>
      </c>
      <c r="D2488" s="5" t="str">
        <f>VLOOKUP(C2488,[1]master_data!$A$2:$E$495,2,FALSE)</f>
        <v>KOI B</v>
      </c>
      <c r="E2488" s="5">
        <v>4</v>
      </c>
      <c r="F2488" s="5">
        <f>VLOOKUP(C2488,[1]master_data!$A$2:$E$495,3,FALSE)</f>
        <v>9000</v>
      </c>
      <c r="G2488" s="5">
        <f>VLOOKUP(C2488,[1]master_data!$A$2:$E$495,4,FALSE)</f>
        <v>30000</v>
      </c>
      <c r="H2488" s="5">
        <f t="shared" si="120"/>
        <v>36000</v>
      </c>
      <c r="I2488" s="5">
        <f t="shared" si="121"/>
        <v>120000</v>
      </c>
      <c r="J2488" s="5">
        <f t="shared" si="122"/>
        <v>84000</v>
      </c>
      <c r="K2488" s="5" t="str">
        <f>VLOOKUP(C2488,[1]master_data!$A$2:$E$495,5,FALSE)</f>
        <v>Ikan</v>
      </c>
      <c r="L2488" s="5" t="s">
        <v>471</v>
      </c>
    </row>
    <row r="2489" spans="1:12" ht="12" customHeight="1" x14ac:dyDescent="0.25">
      <c r="A2489" s="6">
        <v>44672</v>
      </c>
      <c r="B2489" s="1">
        <v>2202074</v>
      </c>
      <c r="C2489" s="5" t="s">
        <v>444</v>
      </c>
      <c r="D2489" s="5" t="str">
        <f>VLOOKUP(C2489,[1]master_data!$A$2:$E$495,2,FALSE)</f>
        <v>PARROT</v>
      </c>
      <c r="E2489" s="5">
        <v>1</v>
      </c>
      <c r="F2489" s="5">
        <f>VLOOKUP(C2489,[1]master_data!$A$2:$E$495,3,FALSE)</f>
        <v>27000</v>
      </c>
      <c r="G2489" s="5">
        <f>VLOOKUP(C2489,[1]master_data!$A$2:$E$495,4,FALSE)</f>
        <v>60000</v>
      </c>
      <c r="H2489" s="5">
        <f t="shared" si="120"/>
        <v>27000</v>
      </c>
      <c r="I2489" s="5">
        <f t="shared" si="121"/>
        <v>60000</v>
      </c>
      <c r="J2489" s="5">
        <f t="shared" si="122"/>
        <v>33000</v>
      </c>
      <c r="K2489" s="5" t="str">
        <f>VLOOKUP(C2489,[1]master_data!$A$2:$E$495,5,FALSE)</f>
        <v>Ikan</v>
      </c>
      <c r="L2489" s="5" t="s">
        <v>471</v>
      </c>
    </row>
    <row r="2490" spans="1:12" ht="12" customHeight="1" x14ac:dyDescent="0.25">
      <c r="A2490" s="6">
        <v>44672</v>
      </c>
      <c r="B2490" s="1">
        <v>2202073</v>
      </c>
      <c r="C2490" s="5" t="s">
        <v>314</v>
      </c>
      <c r="D2490" s="5" t="str">
        <f>VLOOKUP(C2490,[1]master_data!$A$2:$E$495,2,FALSE)</f>
        <v>L SELANG</v>
      </c>
      <c r="E2490" s="5">
        <v>5</v>
      </c>
      <c r="F2490" s="5">
        <f>VLOOKUP(C2490,[1]master_data!$A$2:$E$495,3,FALSE)</f>
        <v>750</v>
      </c>
      <c r="G2490" s="5">
        <f>VLOOKUP(C2490,[1]master_data!$A$2:$E$495,4,FALSE)</f>
        <v>1500</v>
      </c>
      <c r="H2490" s="5">
        <f t="shared" si="120"/>
        <v>3750</v>
      </c>
      <c r="I2490" s="5">
        <f t="shared" si="121"/>
        <v>7500</v>
      </c>
      <c r="J2490" s="5">
        <f t="shared" si="122"/>
        <v>3750</v>
      </c>
      <c r="K2490" s="5" t="str">
        <f>VLOOKUP(C2490,[1]master_data!$A$2:$E$495,5,FALSE)</f>
        <v>Aksesoris</v>
      </c>
      <c r="L2490" s="5" t="s">
        <v>471</v>
      </c>
    </row>
    <row r="2491" spans="1:12" ht="12" customHeight="1" x14ac:dyDescent="0.25">
      <c r="A2491" s="6">
        <v>44672</v>
      </c>
      <c r="B2491" s="1">
        <v>2202072</v>
      </c>
      <c r="C2491" s="5" t="s">
        <v>407</v>
      </c>
      <c r="D2491" s="5" t="str">
        <f>VLOOKUP(C2491,[1]master_data!$A$2:$E$495,2,FALSE)</f>
        <v>CUPANG</v>
      </c>
      <c r="E2491" s="5">
        <v>2</v>
      </c>
      <c r="F2491" s="5">
        <f>VLOOKUP(C2491,[1]master_data!$A$2:$E$495,3,FALSE)</f>
        <v>2000</v>
      </c>
      <c r="G2491" s="5">
        <f>VLOOKUP(C2491,[1]master_data!$A$2:$E$495,4,FALSE)</f>
        <v>5000</v>
      </c>
      <c r="H2491" s="5">
        <f t="shared" si="120"/>
        <v>4000</v>
      </c>
      <c r="I2491" s="5">
        <f t="shared" si="121"/>
        <v>10000</v>
      </c>
      <c r="J2491" s="5">
        <f t="shared" si="122"/>
        <v>6000</v>
      </c>
      <c r="K2491" s="5" t="str">
        <f>VLOOKUP(C2491,[1]master_data!$A$2:$E$495,5,FALSE)</f>
        <v>Ikan</v>
      </c>
      <c r="L2491" s="5" t="s">
        <v>471</v>
      </c>
    </row>
    <row r="2492" spans="1:12" ht="12" customHeight="1" x14ac:dyDescent="0.25">
      <c r="A2492" s="6">
        <v>44672</v>
      </c>
      <c r="B2492" s="1">
        <v>2202071</v>
      </c>
      <c r="C2492" s="5" t="s">
        <v>257</v>
      </c>
      <c r="D2492" s="5" t="str">
        <f>VLOOKUP(C2492,[1]master_data!$A$2:$E$495,2,FALSE)</f>
        <v>BILTS K</v>
      </c>
      <c r="E2492" s="5">
        <v>1</v>
      </c>
      <c r="F2492" s="5">
        <f>VLOOKUP(C2492,[1]master_data!$A$2:$E$495,3,FALSE)</f>
        <v>5000</v>
      </c>
      <c r="G2492" s="5">
        <f>VLOOKUP(C2492,[1]master_data!$A$2:$E$495,4,FALSE)</f>
        <v>7000</v>
      </c>
      <c r="H2492" s="5">
        <f t="shared" si="120"/>
        <v>5000</v>
      </c>
      <c r="I2492" s="5">
        <f t="shared" si="121"/>
        <v>7000</v>
      </c>
      <c r="J2492" s="5">
        <f t="shared" si="122"/>
        <v>2000</v>
      </c>
      <c r="K2492" s="5" t="str">
        <f>VLOOKUP(C2492,[1]master_data!$A$2:$E$495,5,FALSE)</f>
        <v>Aksesoris</v>
      </c>
      <c r="L2492" s="5" t="s">
        <v>471</v>
      </c>
    </row>
    <row r="2493" spans="1:12" ht="12" customHeight="1" x14ac:dyDescent="0.25">
      <c r="A2493" s="6">
        <v>44672</v>
      </c>
      <c r="B2493" s="1">
        <v>2202070</v>
      </c>
      <c r="C2493" s="5" t="s">
        <v>308</v>
      </c>
      <c r="D2493" s="5" t="str">
        <f>VLOOKUP(C2493,[1]master_data!$A$2:$E$495,2,FALSE)</f>
        <v>SUPER BLUE</v>
      </c>
      <c r="E2493" s="5">
        <v>1</v>
      </c>
      <c r="F2493" s="5">
        <f>VLOOKUP(C2493,[1]master_data!$A$2:$E$495,3,FALSE)</f>
        <v>8000</v>
      </c>
      <c r="G2493" s="5">
        <f>VLOOKUP(C2493,[1]master_data!$A$2:$E$495,4,FALSE)</f>
        <v>12000</v>
      </c>
      <c r="H2493" s="5">
        <f t="shared" si="120"/>
        <v>8000</v>
      </c>
      <c r="I2493" s="5">
        <f t="shared" si="121"/>
        <v>12000</v>
      </c>
      <c r="J2493" s="5">
        <f t="shared" si="122"/>
        <v>4000</v>
      </c>
      <c r="K2493" s="5" t="str">
        <f>VLOOKUP(C2493,[1]master_data!$A$2:$E$495,5,FALSE)</f>
        <v>Aksesoris</v>
      </c>
      <c r="L2493" s="5" t="s">
        <v>471</v>
      </c>
    </row>
    <row r="2494" spans="1:12" ht="12" customHeight="1" x14ac:dyDescent="0.25">
      <c r="A2494" s="6">
        <v>44672</v>
      </c>
      <c r="B2494" s="1">
        <v>2202069</v>
      </c>
      <c r="C2494" s="5" t="s">
        <v>34</v>
      </c>
      <c r="D2494" s="5" t="str">
        <f>VLOOKUP(C2494,[1]master_data!$A$2:$E$495,2,FALSE)</f>
        <v>MESIN YAMANO 1600</v>
      </c>
      <c r="E2494" s="5">
        <v>1</v>
      </c>
      <c r="F2494" s="5">
        <f>VLOOKUP(C2494,[1]master_data!$A$2:$E$495,3,FALSE)</f>
        <v>55000</v>
      </c>
      <c r="G2494" s="5">
        <f>VLOOKUP(C2494,[1]master_data!$A$2:$E$495,4,FALSE)</f>
        <v>75000</v>
      </c>
      <c r="H2494" s="5">
        <f t="shared" si="120"/>
        <v>55000</v>
      </c>
      <c r="I2494" s="5">
        <f t="shared" si="121"/>
        <v>75000</v>
      </c>
      <c r="J2494" s="5">
        <f t="shared" si="122"/>
        <v>20000</v>
      </c>
      <c r="K2494" s="5" t="str">
        <f>VLOOKUP(C2494,[1]master_data!$A$2:$E$495,5,FALSE)</f>
        <v>Aksesoris</v>
      </c>
      <c r="L2494" s="5" t="s">
        <v>471</v>
      </c>
    </row>
    <row r="2495" spans="1:12" ht="12" customHeight="1" x14ac:dyDescent="0.25">
      <c r="A2495" s="6">
        <v>44672</v>
      </c>
      <c r="B2495" s="1">
        <v>2202068</v>
      </c>
      <c r="C2495" s="5" t="s">
        <v>285</v>
      </c>
      <c r="D2495" s="5" t="str">
        <f>VLOOKUP(C2495,[1]master_data!$A$2:$E$495,2,FALSE)</f>
        <v>KAPAS 4 LAPIS</v>
      </c>
      <c r="E2495" s="5">
        <v>1</v>
      </c>
      <c r="F2495" s="5">
        <f>VLOOKUP(C2495,[1]master_data!$A$2:$E$495,3,FALSE)</f>
        <v>6500</v>
      </c>
      <c r="G2495" s="5">
        <f>VLOOKUP(C2495,[1]master_data!$A$2:$E$495,4,FALSE)</f>
        <v>10000</v>
      </c>
      <c r="H2495" s="5">
        <f t="shared" si="120"/>
        <v>6500</v>
      </c>
      <c r="I2495" s="5">
        <f t="shared" si="121"/>
        <v>10000</v>
      </c>
      <c r="J2495" s="5">
        <f t="shared" si="122"/>
        <v>3500</v>
      </c>
      <c r="K2495" s="5" t="str">
        <f>VLOOKUP(C2495,[1]master_data!$A$2:$E$495,5,FALSE)</f>
        <v>Aksesoris</v>
      </c>
      <c r="L2495" s="5" t="s">
        <v>471</v>
      </c>
    </row>
    <row r="2496" spans="1:12" ht="12" customHeight="1" x14ac:dyDescent="0.25">
      <c r="A2496" s="6">
        <v>44672</v>
      </c>
      <c r="B2496" s="1">
        <v>2202067</v>
      </c>
      <c r="C2496" s="5" t="s">
        <v>455</v>
      </c>
      <c r="D2496" s="5" t="str">
        <f>VLOOKUP(C2496,[1]master_data!$A$2:$E$495,2,FALSE)</f>
        <v>TETRA</v>
      </c>
      <c r="E2496" s="5">
        <v>10</v>
      </c>
      <c r="F2496" s="5">
        <f>VLOOKUP(C2496,[1]master_data!$A$2:$E$495,3,FALSE)</f>
        <v>800</v>
      </c>
      <c r="G2496" s="5">
        <f>VLOOKUP(C2496,[1]master_data!$A$2:$E$495,4,FALSE)</f>
        <v>2000</v>
      </c>
      <c r="H2496" s="5">
        <f t="shared" si="120"/>
        <v>8000</v>
      </c>
      <c r="I2496" s="5">
        <f t="shared" si="121"/>
        <v>20000</v>
      </c>
      <c r="J2496" s="5">
        <f t="shared" si="122"/>
        <v>12000</v>
      </c>
      <c r="K2496" s="5" t="str">
        <f>VLOOKUP(C2496,[1]master_data!$A$2:$E$495,5,FALSE)</f>
        <v>Ikan</v>
      </c>
      <c r="L2496" s="5" t="s">
        <v>471</v>
      </c>
    </row>
    <row r="2497" spans="1:12" ht="12" customHeight="1" x14ac:dyDescent="0.25">
      <c r="A2497" s="6">
        <v>44672</v>
      </c>
      <c r="B2497" s="1">
        <v>2202066</v>
      </c>
      <c r="C2497" s="5" t="s">
        <v>32</v>
      </c>
      <c r="D2497" s="5" t="str">
        <f>VLOOKUP(C2497,[1]master_data!$A$2:$E$495,2,FALSE)</f>
        <v>MESIN YAMANO 1000L</v>
      </c>
      <c r="E2497" s="5">
        <v>1</v>
      </c>
      <c r="F2497" s="5">
        <f>VLOOKUP(C2497,[1]master_data!$A$2:$E$495,3,FALSE)</f>
        <v>40000</v>
      </c>
      <c r="G2497" s="5">
        <f>VLOOKUP(C2497,[1]master_data!$A$2:$E$495,4,FALSE)</f>
        <v>60000</v>
      </c>
      <c r="H2497" s="5">
        <f t="shared" si="120"/>
        <v>40000</v>
      </c>
      <c r="I2497" s="5">
        <f t="shared" si="121"/>
        <v>60000</v>
      </c>
      <c r="J2497" s="5">
        <f t="shared" si="122"/>
        <v>20000</v>
      </c>
      <c r="K2497" s="5" t="str">
        <f>VLOOKUP(C2497,[1]master_data!$A$2:$E$495,5,FALSE)</f>
        <v>Aksesoris</v>
      </c>
      <c r="L2497" s="5" t="s">
        <v>471</v>
      </c>
    </row>
    <row r="2498" spans="1:12" ht="12" customHeight="1" x14ac:dyDescent="0.25">
      <c r="A2498" s="6">
        <v>44672</v>
      </c>
      <c r="B2498" s="1">
        <v>2202065</v>
      </c>
      <c r="C2498" s="5" t="s">
        <v>432</v>
      </c>
      <c r="D2498" s="5" t="str">
        <f>VLOOKUP(C2498,[1]master_data!$A$2:$E$495,2,FALSE)</f>
        <v>MARU K</v>
      </c>
      <c r="E2498" s="5">
        <v>1</v>
      </c>
      <c r="F2498" s="5">
        <f>VLOOKUP(C2498,[1]master_data!$A$2:$E$495,3,FALSE)</f>
        <v>23000</v>
      </c>
      <c r="G2498" s="5">
        <f>VLOOKUP(C2498,[1]master_data!$A$2:$E$495,4,FALSE)</f>
        <v>50000</v>
      </c>
      <c r="H2498" s="5">
        <f t="shared" si="120"/>
        <v>23000</v>
      </c>
      <c r="I2498" s="5">
        <f t="shared" si="121"/>
        <v>50000</v>
      </c>
      <c r="J2498" s="5">
        <f t="shared" si="122"/>
        <v>27000</v>
      </c>
      <c r="K2498" s="5" t="str">
        <f>VLOOKUP(C2498,[1]master_data!$A$2:$E$495,5,FALSE)</f>
        <v>Ikan</v>
      </c>
      <c r="L2498" s="5" t="s">
        <v>471</v>
      </c>
    </row>
    <row r="2499" spans="1:12" ht="12" customHeight="1" x14ac:dyDescent="0.25">
      <c r="A2499" s="6">
        <v>44672</v>
      </c>
      <c r="B2499" s="1">
        <v>2202064</v>
      </c>
      <c r="C2499" s="5" t="s">
        <v>261</v>
      </c>
      <c r="D2499" s="5" t="str">
        <f>VLOOKUP(C2499,[1]master_data!$A$2:$E$495,2,FALSE)</f>
        <v>BONSAI</v>
      </c>
      <c r="E2499" s="5">
        <v>1</v>
      </c>
      <c r="F2499" s="5">
        <f>VLOOKUP(C2499,[1]master_data!$A$2:$E$495,3,FALSE)</f>
        <v>15000</v>
      </c>
      <c r="G2499" s="5">
        <f>VLOOKUP(C2499,[1]master_data!$A$2:$E$495,4,FALSE)</f>
        <v>20000</v>
      </c>
      <c r="H2499" s="5">
        <f t="shared" si="120"/>
        <v>15000</v>
      </c>
      <c r="I2499" s="5">
        <f t="shared" si="121"/>
        <v>20000</v>
      </c>
      <c r="J2499" s="5">
        <f t="shared" si="122"/>
        <v>5000</v>
      </c>
      <c r="K2499" s="5" t="str">
        <f>VLOOKUP(C2499,[1]master_data!$A$2:$E$495,5,FALSE)</f>
        <v>Aksesoris</v>
      </c>
      <c r="L2499" s="5" t="s">
        <v>471</v>
      </c>
    </row>
    <row r="2500" spans="1:12" ht="12" customHeight="1" x14ac:dyDescent="0.25">
      <c r="A2500" s="6">
        <v>44672</v>
      </c>
      <c r="B2500" s="1">
        <v>2202063</v>
      </c>
      <c r="C2500" s="5" t="s">
        <v>418</v>
      </c>
      <c r="D2500" s="5" t="str">
        <f>VLOOKUP(C2500,[1]master_data!$A$2:$E$495,2,FALSE)</f>
        <v>KOI B</v>
      </c>
      <c r="E2500" s="5">
        <v>4</v>
      </c>
      <c r="F2500" s="5">
        <f>VLOOKUP(C2500,[1]master_data!$A$2:$E$495,3,FALSE)</f>
        <v>9000</v>
      </c>
      <c r="G2500" s="5">
        <f>VLOOKUP(C2500,[1]master_data!$A$2:$E$495,4,FALSE)</f>
        <v>30000</v>
      </c>
      <c r="H2500" s="5">
        <f t="shared" si="120"/>
        <v>36000</v>
      </c>
      <c r="I2500" s="5">
        <f t="shared" si="121"/>
        <v>120000</v>
      </c>
      <c r="J2500" s="5">
        <f t="shared" si="122"/>
        <v>84000</v>
      </c>
      <c r="K2500" s="5" t="str">
        <f>VLOOKUP(C2500,[1]master_data!$A$2:$E$495,5,FALSE)</f>
        <v>Ikan</v>
      </c>
      <c r="L2500" s="5" t="s">
        <v>471</v>
      </c>
    </row>
    <row r="2501" spans="1:12" ht="12" customHeight="1" x14ac:dyDescent="0.25">
      <c r="A2501" s="6">
        <v>44672</v>
      </c>
      <c r="B2501" s="1">
        <v>2202062</v>
      </c>
      <c r="C2501" s="5" t="s">
        <v>33</v>
      </c>
      <c r="D2501" s="5" t="str">
        <f>VLOOKUP(C2501,[1]master_data!$A$2:$E$495,2,FALSE)</f>
        <v>MESIN YAMANO 1200</v>
      </c>
      <c r="E2501" s="5">
        <v>1</v>
      </c>
      <c r="F2501" s="5">
        <f>VLOOKUP(C2501,[1]master_data!$A$2:$E$495,3,FALSE)</f>
        <v>27000</v>
      </c>
      <c r="G2501" s="5">
        <f>VLOOKUP(C2501,[1]master_data!$A$2:$E$495,4,FALSE)</f>
        <v>40000</v>
      </c>
      <c r="H2501" s="5">
        <f t="shared" ref="H2501:H2564" si="123">E2501*F2501</f>
        <v>27000</v>
      </c>
      <c r="I2501" s="5">
        <f t="shared" ref="I2501:I2564" si="124">E2501*G2501</f>
        <v>40000</v>
      </c>
      <c r="J2501" s="5">
        <f t="shared" ref="J2501:J2564" si="125">I2501-H2501</f>
        <v>13000</v>
      </c>
      <c r="K2501" s="5" t="str">
        <f>VLOOKUP(C2501,[1]master_data!$A$2:$E$495,5,FALSE)</f>
        <v>Aksesoris</v>
      </c>
      <c r="L2501" s="5" t="s">
        <v>471</v>
      </c>
    </row>
    <row r="2502" spans="1:12" ht="12" customHeight="1" x14ac:dyDescent="0.25">
      <c r="A2502" s="6">
        <v>44672</v>
      </c>
      <c r="B2502" s="1">
        <v>2202061</v>
      </c>
      <c r="C2502" s="5" t="s">
        <v>463</v>
      </c>
      <c r="D2502" s="5" t="str">
        <f>VLOOKUP(C2502,[1]master_data!$A$2:$E$495,2,FALSE)</f>
        <v>CHANNA STEWARTI</v>
      </c>
      <c r="E2502" s="5">
        <v>1</v>
      </c>
      <c r="F2502" s="5">
        <f>VLOOKUP(C2502,[1]master_data!$A$2:$E$495,3,FALSE)</f>
        <v>15000</v>
      </c>
      <c r="G2502" s="5">
        <f>VLOOKUP(C2502,[1]master_data!$A$2:$E$495,4,FALSE)</f>
        <v>40000</v>
      </c>
      <c r="H2502" s="5">
        <f t="shared" si="123"/>
        <v>15000</v>
      </c>
      <c r="I2502" s="5">
        <f t="shared" si="124"/>
        <v>40000</v>
      </c>
      <c r="J2502" s="5">
        <f t="shared" si="125"/>
        <v>25000</v>
      </c>
      <c r="K2502" s="5" t="str">
        <f>VLOOKUP(C2502,[1]master_data!$A$2:$E$495,5,FALSE)</f>
        <v>Ikan</v>
      </c>
      <c r="L2502" s="5" t="s">
        <v>471</v>
      </c>
    </row>
    <row r="2503" spans="1:12" ht="12" customHeight="1" x14ac:dyDescent="0.25">
      <c r="A2503" s="6">
        <v>44672</v>
      </c>
      <c r="B2503" s="1">
        <v>2202060</v>
      </c>
      <c r="C2503" s="5" t="s">
        <v>280</v>
      </c>
      <c r="D2503" s="5" t="str">
        <f>VLOOKUP(C2503,[1]master_data!$A$2:$E$495,2,FALSE)</f>
        <v>KRAN 2 W</v>
      </c>
      <c r="E2503" s="5">
        <v>1</v>
      </c>
      <c r="F2503" s="5">
        <f>VLOOKUP(C2503,[1]master_data!$A$2:$E$495,3,FALSE)</f>
        <v>4000</v>
      </c>
      <c r="G2503" s="5">
        <f>VLOOKUP(C2503,[1]master_data!$A$2:$E$495,4,FALSE)</f>
        <v>6000</v>
      </c>
      <c r="H2503" s="5">
        <f t="shared" si="123"/>
        <v>4000</v>
      </c>
      <c r="I2503" s="5">
        <f t="shared" si="124"/>
        <v>6000</v>
      </c>
      <c r="J2503" s="5">
        <f t="shared" si="125"/>
        <v>2000</v>
      </c>
      <c r="K2503" s="5" t="str">
        <f>VLOOKUP(C2503,[1]master_data!$A$2:$E$495,5,FALSE)</f>
        <v>Aksesoris</v>
      </c>
      <c r="L2503" s="5" t="s">
        <v>471</v>
      </c>
    </row>
    <row r="2504" spans="1:12" ht="12" customHeight="1" x14ac:dyDescent="0.25">
      <c r="A2504" s="6">
        <v>44671</v>
      </c>
      <c r="B2504" s="1">
        <v>2202059</v>
      </c>
      <c r="C2504" s="5" t="s">
        <v>233</v>
      </c>
      <c r="D2504" s="5" t="str">
        <f>VLOOKUP(C2504,[1]master_data!$A$2:$E$495,2,FALSE)</f>
        <v>FISH LOVE PAKAN</v>
      </c>
      <c r="E2504" s="5">
        <v>1</v>
      </c>
      <c r="F2504" s="5">
        <f>VLOOKUP(C2504,[1]master_data!$A$2:$E$495,3,FALSE)</f>
        <v>2500</v>
      </c>
      <c r="G2504" s="5">
        <f>VLOOKUP(C2504,[1]master_data!$A$2:$E$495,4,FALSE)</f>
        <v>5000</v>
      </c>
      <c r="H2504" s="5">
        <f t="shared" si="123"/>
        <v>2500</v>
      </c>
      <c r="I2504" s="5">
        <f t="shared" si="124"/>
        <v>5000</v>
      </c>
      <c r="J2504" s="5">
        <f t="shared" si="125"/>
        <v>2500</v>
      </c>
      <c r="K2504" s="5" t="str">
        <f>VLOOKUP(C2504,[1]master_data!$A$2:$E$495,5,FALSE)</f>
        <v>Aksesoris</v>
      </c>
      <c r="L2504" s="5" t="s">
        <v>471</v>
      </c>
    </row>
    <row r="2505" spans="1:12" ht="12" customHeight="1" x14ac:dyDescent="0.25">
      <c r="A2505" s="6">
        <v>44671</v>
      </c>
      <c r="B2505" s="1">
        <v>2202058</v>
      </c>
      <c r="C2505" s="5" t="s">
        <v>335</v>
      </c>
      <c r="D2505" s="5" t="str">
        <f>VLOOKUP(C2505,[1]master_data!$A$2:$E$495,2,FALSE)</f>
        <v>PENJERNIH</v>
      </c>
      <c r="E2505" s="5">
        <v>1</v>
      </c>
      <c r="F2505" s="5">
        <f>VLOOKUP(C2505,[1]master_data!$A$2:$E$495,3,FALSE)</f>
        <v>3000</v>
      </c>
      <c r="G2505" s="5">
        <f>VLOOKUP(C2505,[1]master_data!$A$2:$E$495,4,FALSE)</f>
        <v>8000</v>
      </c>
      <c r="H2505" s="5">
        <f t="shared" si="123"/>
        <v>3000</v>
      </c>
      <c r="I2505" s="5">
        <f t="shared" si="124"/>
        <v>8000</v>
      </c>
      <c r="J2505" s="5">
        <f t="shared" si="125"/>
        <v>5000</v>
      </c>
      <c r="K2505" s="5" t="str">
        <f>VLOOKUP(C2505,[1]master_data!$A$2:$E$495,5,FALSE)</f>
        <v>Aksesoris</v>
      </c>
      <c r="L2505" s="5" t="s">
        <v>471</v>
      </c>
    </row>
    <row r="2506" spans="1:12" ht="12" customHeight="1" x14ac:dyDescent="0.25">
      <c r="A2506" s="6">
        <v>44671</v>
      </c>
      <c r="B2506" s="1">
        <v>2202057</v>
      </c>
      <c r="C2506" s="5" t="s">
        <v>463</v>
      </c>
      <c r="D2506" s="5" t="str">
        <f>VLOOKUP(C2506,[1]master_data!$A$2:$E$495,2,FALSE)</f>
        <v>CHANNA STEWARTI</v>
      </c>
      <c r="E2506" s="5">
        <v>1</v>
      </c>
      <c r="F2506" s="5">
        <f>VLOOKUP(C2506,[1]master_data!$A$2:$E$495,3,FALSE)</f>
        <v>15000</v>
      </c>
      <c r="G2506" s="5">
        <f>VLOOKUP(C2506,[1]master_data!$A$2:$E$495,4,FALSE)</f>
        <v>40000</v>
      </c>
      <c r="H2506" s="5">
        <f t="shared" si="123"/>
        <v>15000</v>
      </c>
      <c r="I2506" s="5">
        <f t="shared" si="124"/>
        <v>40000</v>
      </c>
      <c r="J2506" s="5">
        <f t="shared" si="125"/>
        <v>25000</v>
      </c>
      <c r="K2506" s="5" t="str">
        <f>VLOOKUP(C2506,[1]master_data!$A$2:$E$495,5,FALSE)</f>
        <v>Ikan</v>
      </c>
      <c r="L2506" s="5" t="s">
        <v>471</v>
      </c>
    </row>
    <row r="2507" spans="1:12" ht="12" customHeight="1" x14ac:dyDescent="0.25">
      <c r="A2507" s="6">
        <v>44671</v>
      </c>
      <c r="B2507" s="1">
        <v>2202056</v>
      </c>
      <c r="C2507" s="5" t="s">
        <v>7</v>
      </c>
      <c r="D2507" s="5" t="str">
        <f>VLOOKUP(C2507,[1]master_data!$A$2:$E$495,2,FALSE)</f>
        <v>MESIN YANG 1600</v>
      </c>
      <c r="E2507" s="5">
        <v>1</v>
      </c>
      <c r="F2507" s="5">
        <f>VLOOKUP(C2507,[1]master_data!$A$2:$E$495,3,FALSE)</f>
        <v>64000</v>
      </c>
      <c r="G2507" s="5">
        <f>VLOOKUP(C2507,[1]master_data!$A$2:$E$495,4,FALSE)</f>
        <v>90000</v>
      </c>
      <c r="H2507" s="5">
        <f t="shared" si="123"/>
        <v>64000</v>
      </c>
      <c r="I2507" s="5">
        <f t="shared" si="124"/>
        <v>90000</v>
      </c>
      <c r="J2507" s="5">
        <f t="shared" si="125"/>
        <v>26000</v>
      </c>
      <c r="K2507" s="5" t="str">
        <f>VLOOKUP(C2507,[1]master_data!$A$2:$E$495,5,FALSE)</f>
        <v>Aksesoris</v>
      </c>
      <c r="L2507" s="5" t="s">
        <v>471</v>
      </c>
    </row>
    <row r="2508" spans="1:12" ht="12" customHeight="1" x14ac:dyDescent="0.25">
      <c r="A2508" s="6">
        <v>44671</v>
      </c>
      <c r="B2508" s="1">
        <v>2202055</v>
      </c>
      <c r="C2508" s="5" t="s">
        <v>13</v>
      </c>
      <c r="D2508" s="5" t="str">
        <f>VLOOKUP(C2508,[1]master_data!$A$2:$E$495,2,FALSE)</f>
        <v>MESIN YANG 105</v>
      </c>
      <c r="E2508" s="5">
        <v>1</v>
      </c>
      <c r="F2508" s="5">
        <f>VLOOKUP(C2508,[1]master_data!$A$2:$E$495,3,FALSE)</f>
        <v>140000</v>
      </c>
      <c r="G2508" s="5">
        <f>VLOOKUP(C2508,[1]master_data!$A$2:$E$495,4,FALSE)</f>
        <v>190000</v>
      </c>
      <c r="H2508" s="5">
        <f t="shared" si="123"/>
        <v>140000</v>
      </c>
      <c r="I2508" s="5">
        <f t="shared" si="124"/>
        <v>190000</v>
      </c>
      <c r="J2508" s="5">
        <f t="shared" si="125"/>
        <v>50000</v>
      </c>
      <c r="K2508" s="5" t="str">
        <f>VLOOKUP(C2508,[1]master_data!$A$2:$E$495,5,FALSE)</f>
        <v>Aksesoris</v>
      </c>
      <c r="L2508" s="5" t="s">
        <v>471</v>
      </c>
    </row>
    <row r="2509" spans="1:12" ht="12" customHeight="1" x14ac:dyDescent="0.25">
      <c r="A2509" s="6">
        <v>44671</v>
      </c>
      <c r="B2509" s="1">
        <v>2202054</v>
      </c>
      <c r="C2509" s="5" t="s">
        <v>45</v>
      </c>
      <c r="D2509" s="5" t="str">
        <f>VLOOKUP(C2509,[1]master_data!$A$2:$E$495,2,FALSE)</f>
        <v>TOP FILTER NIKITA K</v>
      </c>
      <c r="E2509" s="5">
        <v>1</v>
      </c>
      <c r="F2509" s="5">
        <f>VLOOKUP(C2509,[1]master_data!$A$2:$E$495,3,FALSE)</f>
        <v>36000</v>
      </c>
      <c r="G2509" s="5">
        <f>VLOOKUP(C2509,[1]master_data!$A$2:$E$495,4,FALSE)</f>
        <v>55000</v>
      </c>
      <c r="H2509" s="5">
        <f t="shared" si="123"/>
        <v>36000</v>
      </c>
      <c r="I2509" s="5">
        <f t="shared" si="124"/>
        <v>55000</v>
      </c>
      <c r="J2509" s="5">
        <f t="shared" si="125"/>
        <v>19000</v>
      </c>
      <c r="K2509" s="5" t="str">
        <f>VLOOKUP(C2509,[1]master_data!$A$2:$E$495,5,FALSE)</f>
        <v>Aksesoris</v>
      </c>
      <c r="L2509" s="5" t="s">
        <v>471</v>
      </c>
    </row>
    <row r="2510" spans="1:12" ht="12" customHeight="1" x14ac:dyDescent="0.25">
      <c r="A2510" s="6">
        <v>44671</v>
      </c>
      <c r="B2510" s="1">
        <v>2202053</v>
      </c>
      <c r="C2510" s="5" t="s">
        <v>407</v>
      </c>
      <c r="D2510" s="5" t="str">
        <f>VLOOKUP(C2510,[1]master_data!$A$2:$E$495,2,FALSE)</f>
        <v>CUPANG</v>
      </c>
      <c r="E2510" s="5">
        <v>2</v>
      </c>
      <c r="F2510" s="5">
        <f>VLOOKUP(C2510,[1]master_data!$A$2:$E$495,3,FALSE)</f>
        <v>2000</v>
      </c>
      <c r="G2510" s="5">
        <f>VLOOKUP(C2510,[1]master_data!$A$2:$E$495,4,FALSE)</f>
        <v>5000</v>
      </c>
      <c r="H2510" s="5">
        <f t="shared" si="123"/>
        <v>4000</v>
      </c>
      <c r="I2510" s="5">
        <f t="shared" si="124"/>
        <v>10000</v>
      </c>
      <c r="J2510" s="5">
        <f t="shared" si="125"/>
        <v>6000</v>
      </c>
      <c r="K2510" s="5" t="str">
        <f>VLOOKUP(C2510,[1]master_data!$A$2:$E$495,5,FALSE)</f>
        <v>Ikan</v>
      </c>
      <c r="L2510" s="5" t="s">
        <v>471</v>
      </c>
    </row>
    <row r="2511" spans="1:12" ht="12" customHeight="1" x14ac:dyDescent="0.25">
      <c r="A2511" s="6">
        <v>44671</v>
      </c>
      <c r="B2511" s="1">
        <v>2202052</v>
      </c>
      <c r="C2511" s="5" t="s">
        <v>432</v>
      </c>
      <c r="D2511" s="5" t="str">
        <f>VLOOKUP(C2511,[1]master_data!$A$2:$E$495,2,FALSE)</f>
        <v>MARU K</v>
      </c>
      <c r="E2511" s="5">
        <v>1</v>
      </c>
      <c r="F2511" s="5">
        <f>VLOOKUP(C2511,[1]master_data!$A$2:$E$495,3,FALSE)</f>
        <v>23000</v>
      </c>
      <c r="G2511" s="5">
        <f>VLOOKUP(C2511,[1]master_data!$A$2:$E$495,4,FALSE)</f>
        <v>50000</v>
      </c>
      <c r="H2511" s="5">
        <f t="shared" si="123"/>
        <v>23000</v>
      </c>
      <c r="I2511" s="5">
        <f t="shared" si="124"/>
        <v>50000</v>
      </c>
      <c r="J2511" s="5">
        <f t="shared" si="125"/>
        <v>27000</v>
      </c>
      <c r="K2511" s="5" t="str">
        <f>VLOOKUP(C2511,[1]master_data!$A$2:$E$495,5,FALSE)</f>
        <v>Ikan</v>
      </c>
      <c r="L2511" s="5" t="s">
        <v>471</v>
      </c>
    </row>
    <row r="2512" spans="1:12" ht="12" customHeight="1" x14ac:dyDescent="0.25">
      <c r="A2512" s="6">
        <v>44671</v>
      </c>
      <c r="B2512" s="1">
        <v>2202051</v>
      </c>
      <c r="C2512" s="5" t="s">
        <v>99</v>
      </c>
      <c r="D2512" s="5" t="str">
        <f>VLOOKUP(C2512,[1]master_data!$A$2:$E$495,2,FALSE)</f>
        <v>AIRATOR ROSTON LUB 4</v>
      </c>
      <c r="E2512" s="5">
        <v>1</v>
      </c>
      <c r="F2512" s="5">
        <f>VLOOKUP(C2512,[1]master_data!$A$2:$E$495,3,FALSE)</f>
        <v>85000</v>
      </c>
      <c r="G2512" s="5">
        <f>VLOOKUP(C2512,[1]master_data!$A$2:$E$495,4,FALSE)</f>
        <v>125000</v>
      </c>
      <c r="H2512" s="5">
        <f t="shared" si="123"/>
        <v>85000</v>
      </c>
      <c r="I2512" s="5">
        <f t="shared" si="124"/>
        <v>125000</v>
      </c>
      <c r="J2512" s="5">
        <f t="shared" si="125"/>
        <v>40000</v>
      </c>
      <c r="K2512" s="5" t="str">
        <f>VLOOKUP(C2512,[1]master_data!$A$2:$E$495,5,FALSE)</f>
        <v>Aksesoris</v>
      </c>
      <c r="L2512" s="5" t="s">
        <v>471</v>
      </c>
    </row>
    <row r="2513" spans="1:12" ht="12" customHeight="1" x14ac:dyDescent="0.25">
      <c r="A2513" s="6">
        <v>44671</v>
      </c>
      <c r="B2513" s="1">
        <v>2202050</v>
      </c>
      <c r="C2513" s="5" t="s">
        <v>418</v>
      </c>
      <c r="D2513" s="5" t="str">
        <f>VLOOKUP(C2513,[1]master_data!$A$2:$E$495,2,FALSE)</f>
        <v>KOI B</v>
      </c>
      <c r="E2513" s="5">
        <v>4</v>
      </c>
      <c r="F2513" s="5">
        <f>VLOOKUP(C2513,[1]master_data!$A$2:$E$495,3,FALSE)</f>
        <v>9000</v>
      </c>
      <c r="G2513" s="5">
        <f>VLOOKUP(C2513,[1]master_data!$A$2:$E$495,4,FALSE)</f>
        <v>30000</v>
      </c>
      <c r="H2513" s="5">
        <f t="shared" si="123"/>
        <v>36000</v>
      </c>
      <c r="I2513" s="5">
        <f t="shared" si="124"/>
        <v>120000</v>
      </c>
      <c r="J2513" s="5">
        <f t="shared" si="125"/>
        <v>84000</v>
      </c>
      <c r="K2513" s="5" t="str">
        <f>VLOOKUP(C2513,[1]master_data!$A$2:$E$495,5,FALSE)</f>
        <v>Ikan</v>
      </c>
      <c r="L2513" s="5" t="s">
        <v>471</v>
      </c>
    </row>
    <row r="2514" spans="1:12" ht="12" customHeight="1" x14ac:dyDescent="0.25">
      <c r="A2514" s="6">
        <v>44671</v>
      </c>
      <c r="B2514" s="1">
        <v>2202049</v>
      </c>
      <c r="C2514" s="5" t="s">
        <v>455</v>
      </c>
      <c r="D2514" s="5" t="str">
        <f>VLOOKUP(C2514,[1]master_data!$A$2:$E$495,2,FALSE)</f>
        <v>TETRA</v>
      </c>
      <c r="E2514" s="5">
        <v>10</v>
      </c>
      <c r="F2514" s="5">
        <f>VLOOKUP(C2514,[1]master_data!$A$2:$E$495,3,FALSE)</f>
        <v>800</v>
      </c>
      <c r="G2514" s="5">
        <f>VLOOKUP(C2514,[1]master_data!$A$2:$E$495,4,FALSE)</f>
        <v>2000</v>
      </c>
      <c r="H2514" s="5">
        <f t="shared" si="123"/>
        <v>8000</v>
      </c>
      <c r="I2514" s="5">
        <f t="shared" si="124"/>
        <v>20000</v>
      </c>
      <c r="J2514" s="5">
        <f t="shared" si="125"/>
        <v>12000</v>
      </c>
      <c r="K2514" s="5" t="str">
        <f>VLOOKUP(C2514,[1]master_data!$A$2:$E$495,5,FALSE)</f>
        <v>Ikan</v>
      </c>
      <c r="L2514" s="5" t="s">
        <v>471</v>
      </c>
    </row>
    <row r="2515" spans="1:12" ht="12" customHeight="1" x14ac:dyDescent="0.25">
      <c r="A2515" s="6">
        <v>44671</v>
      </c>
      <c r="B2515" s="1">
        <v>2202048</v>
      </c>
      <c r="C2515" s="5" t="s">
        <v>444</v>
      </c>
      <c r="D2515" s="5" t="str">
        <f>VLOOKUP(C2515,[1]master_data!$A$2:$E$495,2,FALSE)</f>
        <v>PARROT</v>
      </c>
      <c r="E2515" s="5">
        <v>1</v>
      </c>
      <c r="F2515" s="5">
        <f>VLOOKUP(C2515,[1]master_data!$A$2:$E$495,3,FALSE)</f>
        <v>27000</v>
      </c>
      <c r="G2515" s="5">
        <f>VLOOKUP(C2515,[1]master_data!$A$2:$E$495,4,FALSE)</f>
        <v>60000</v>
      </c>
      <c r="H2515" s="5">
        <f t="shared" si="123"/>
        <v>27000</v>
      </c>
      <c r="I2515" s="5">
        <f t="shared" si="124"/>
        <v>60000</v>
      </c>
      <c r="J2515" s="5">
        <f t="shared" si="125"/>
        <v>33000</v>
      </c>
      <c r="K2515" s="5" t="str">
        <f>VLOOKUP(C2515,[1]master_data!$A$2:$E$495,5,FALSE)</f>
        <v>Ikan</v>
      </c>
      <c r="L2515" s="5" t="s">
        <v>471</v>
      </c>
    </row>
    <row r="2516" spans="1:12" ht="12" customHeight="1" x14ac:dyDescent="0.25">
      <c r="A2516" s="6">
        <v>44671</v>
      </c>
      <c r="B2516" s="1">
        <v>2202047</v>
      </c>
      <c r="C2516" s="5" t="s">
        <v>255</v>
      </c>
      <c r="D2516" s="5" t="str">
        <f>VLOOKUP(C2516,[1]master_data!$A$2:$E$495,2,FALSE)</f>
        <v>ACRIPLAVIN</v>
      </c>
      <c r="E2516" s="5">
        <v>1</v>
      </c>
      <c r="F2516" s="5">
        <f>VLOOKUP(C2516,[1]master_data!$A$2:$E$495,3,FALSE)</f>
        <v>3000</v>
      </c>
      <c r="G2516" s="5">
        <f>VLOOKUP(C2516,[1]master_data!$A$2:$E$495,4,FALSE)</f>
        <v>8000</v>
      </c>
      <c r="H2516" s="5">
        <f t="shared" si="123"/>
        <v>3000</v>
      </c>
      <c r="I2516" s="5">
        <f t="shared" si="124"/>
        <v>8000</v>
      </c>
      <c r="J2516" s="5">
        <f t="shared" si="125"/>
        <v>5000</v>
      </c>
      <c r="K2516" s="5" t="str">
        <f>VLOOKUP(C2516,[1]master_data!$A$2:$E$495,5,FALSE)</f>
        <v>Aksesoris</v>
      </c>
      <c r="L2516" s="5" t="s">
        <v>471</v>
      </c>
    </row>
    <row r="2517" spans="1:12" ht="12" customHeight="1" x14ac:dyDescent="0.25">
      <c r="A2517" s="6">
        <v>44671</v>
      </c>
      <c r="B2517" s="1">
        <v>2202046</v>
      </c>
      <c r="C2517" s="5" t="s">
        <v>409</v>
      </c>
      <c r="D2517" s="5" t="str">
        <f>VLOOKUP(C2517,[1]master_data!$A$2:$E$495,2,FALSE)</f>
        <v>GOLD FISH</v>
      </c>
      <c r="E2517" s="5">
        <v>10</v>
      </c>
      <c r="F2517" s="5">
        <f>VLOOKUP(C2517,[1]master_data!$A$2:$E$495,3,FALSE)</f>
        <v>800</v>
      </c>
      <c r="G2517" s="5">
        <f>VLOOKUP(C2517,[1]master_data!$A$2:$E$495,4,FALSE)</f>
        <v>2000</v>
      </c>
      <c r="H2517" s="5">
        <f t="shared" si="123"/>
        <v>8000</v>
      </c>
      <c r="I2517" s="5">
        <f t="shared" si="124"/>
        <v>20000</v>
      </c>
      <c r="J2517" s="5">
        <f t="shared" si="125"/>
        <v>12000</v>
      </c>
      <c r="K2517" s="5" t="str">
        <f>VLOOKUP(C2517,[1]master_data!$A$2:$E$495,5,FALSE)</f>
        <v>Ikan</v>
      </c>
      <c r="L2517" s="5" t="s">
        <v>471</v>
      </c>
    </row>
    <row r="2518" spans="1:12" ht="12" customHeight="1" x14ac:dyDescent="0.25">
      <c r="A2518" s="6">
        <v>44670</v>
      </c>
      <c r="B2518" s="1">
        <v>2202045</v>
      </c>
      <c r="C2518" s="5" t="s">
        <v>11</v>
      </c>
      <c r="D2518" s="5" t="str">
        <f>VLOOKUP(C2518,[1]master_data!$A$2:$E$495,2,FALSE)</f>
        <v>MESIN YANG 103</v>
      </c>
      <c r="E2518" s="5">
        <v>1</v>
      </c>
      <c r="F2518" s="5">
        <f>VLOOKUP(C2518,[1]master_data!$A$2:$E$495,3,FALSE)</f>
        <v>66000</v>
      </c>
      <c r="G2518" s="5">
        <f>VLOOKUP(C2518,[1]master_data!$A$2:$E$495,4,FALSE)</f>
        <v>95000</v>
      </c>
      <c r="H2518" s="5">
        <f t="shared" si="123"/>
        <v>66000</v>
      </c>
      <c r="I2518" s="5">
        <f t="shared" si="124"/>
        <v>95000</v>
      </c>
      <c r="J2518" s="5">
        <f t="shared" si="125"/>
        <v>29000</v>
      </c>
      <c r="K2518" s="5" t="str">
        <f>VLOOKUP(C2518,[1]master_data!$A$2:$E$495,5,FALSE)</f>
        <v>Aksesoris</v>
      </c>
      <c r="L2518" s="5" t="s">
        <v>471</v>
      </c>
    </row>
    <row r="2519" spans="1:12" ht="12" customHeight="1" x14ac:dyDescent="0.25">
      <c r="A2519" s="6">
        <v>44670</v>
      </c>
      <c r="B2519" s="1">
        <v>2202044</v>
      </c>
      <c r="C2519" s="5" t="s">
        <v>432</v>
      </c>
      <c r="D2519" s="5" t="str">
        <f>VLOOKUP(C2519,[1]master_data!$A$2:$E$495,2,FALSE)</f>
        <v>MARU K</v>
      </c>
      <c r="E2519" s="5">
        <v>1</v>
      </c>
      <c r="F2519" s="5">
        <f>VLOOKUP(C2519,[1]master_data!$A$2:$E$495,3,FALSE)</f>
        <v>23000</v>
      </c>
      <c r="G2519" s="5">
        <f>VLOOKUP(C2519,[1]master_data!$A$2:$E$495,4,FALSE)</f>
        <v>50000</v>
      </c>
      <c r="H2519" s="5">
        <f t="shared" si="123"/>
        <v>23000</v>
      </c>
      <c r="I2519" s="5">
        <f t="shared" si="124"/>
        <v>50000</v>
      </c>
      <c r="J2519" s="5">
        <f t="shared" si="125"/>
        <v>27000</v>
      </c>
      <c r="K2519" s="5" t="str">
        <f>VLOOKUP(C2519,[1]master_data!$A$2:$E$495,5,FALSE)</f>
        <v>Ikan</v>
      </c>
      <c r="L2519" s="5" t="s">
        <v>471</v>
      </c>
    </row>
    <row r="2520" spans="1:12" ht="12" customHeight="1" x14ac:dyDescent="0.25">
      <c r="A2520" s="6">
        <v>44670</v>
      </c>
      <c r="B2520" s="1">
        <v>2202043</v>
      </c>
      <c r="C2520" s="5" t="s">
        <v>100</v>
      </c>
      <c r="D2520" s="5" t="str">
        <f>VLOOKUP(C2520,[1]master_data!$A$2:$E$495,2,FALSE)</f>
        <v>AIRATOR AMARA LUB 1</v>
      </c>
      <c r="E2520" s="5">
        <v>1</v>
      </c>
      <c r="F2520" s="5">
        <f>VLOOKUP(C2520,[1]master_data!$A$2:$E$495,3,FALSE)</f>
        <v>17500</v>
      </c>
      <c r="G2520" s="5">
        <f>VLOOKUP(C2520,[1]master_data!$A$2:$E$495,4,FALSE)</f>
        <v>30000</v>
      </c>
      <c r="H2520" s="5">
        <f t="shared" si="123"/>
        <v>17500</v>
      </c>
      <c r="I2520" s="5">
        <f t="shared" si="124"/>
        <v>30000</v>
      </c>
      <c r="J2520" s="5">
        <f t="shared" si="125"/>
        <v>12500</v>
      </c>
      <c r="K2520" s="5" t="str">
        <f>VLOOKUP(C2520,[1]master_data!$A$2:$E$495,5,FALSE)</f>
        <v>Aksesoris</v>
      </c>
      <c r="L2520" s="5" t="s">
        <v>471</v>
      </c>
    </row>
    <row r="2521" spans="1:12" ht="12" customHeight="1" x14ac:dyDescent="0.25">
      <c r="A2521" s="6">
        <v>44670</v>
      </c>
      <c r="B2521" s="1">
        <v>2202042</v>
      </c>
      <c r="C2521" s="5" t="s">
        <v>258</v>
      </c>
      <c r="D2521" s="5" t="str">
        <f>VLOOKUP(C2521,[1]master_data!$A$2:$E$495,2,FALSE)</f>
        <v>BIOBOL</v>
      </c>
      <c r="E2521" s="5">
        <v>40</v>
      </c>
      <c r="F2521" s="5">
        <f>VLOOKUP(C2521,[1]master_data!$A$2:$E$495,3,FALSE)</f>
        <v>4000</v>
      </c>
      <c r="G2521" s="5">
        <f>VLOOKUP(C2521,[1]master_data!$A$2:$E$495,4,FALSE)</f>
        <v>7500</v>
      </c>
      <c r="H2521" s="5">
        <f t="shared" si="123"/>
        <v>160000</v>
      </c>
      <c r="I2521" s="5">
        <f t="shared" si="124"/>
        <v>300000</v>
      </c>
      <c r="J2521" s="5">
        <f t="shared" si="125"/>
        <v>140000</v>
      </c>
      <c r="K2521" s="5" t="str">
        <f>VLOOKUP(C2521,[1]master_data!$A$2:$E$495,5,FALSE)</f>
        <v>Aksesoris</v>
      </c>
      <c r="L2521" s="5" t="s">
        <v>471</v>
      </c>
    </row>
    <row r="2522" spans="1:12" ht="12" customHeight="1" x14ac:dyDescent="0.25">
      <c r="A2522" s="6">
        <v>44670</v>
      </c>
      <c r="B2522" s="1">
        <v>2202041</v>
      </c>
      <c r="C2522" s="5" t="s">
        <v>310</v>
      </c>
      <c r="D2522" s="5" t="str">
        <f>VLOOKUP(C2522,[1]master_data!$A$2:$E$495,2,FALSE)</f>
        <v>SELANG FUSO</v>
      </c>
      <c r="E2522" s="5">
        <v>10</v>
      </c>
      <c r="F2522" s="5">
        <f>VLOOKUP(C2522,[1]master_data!$A$2:$E$495,3,FALSE)</f>
        <v>800</v>
      </c>
      <c r="G2522" s="5">
        <f>VLOOKUP(C2522,[1]master_data!$A$2:$E$495,4,FALSE)</f>
        <v>2000</v>
      </c>
      <c r="H2522" s="5">
        <f t="shared" si="123"/>
        <v>8000</v>
      </c>
      <c r="I2522" s="5">
        <f t="shared" si="124"/>
        <v>20000</v>
      </c>
      <c r="J2522" s="5">
        <f t="shared" si="125"/>
        <v>12000</v>
      </c>
      <c r="K2522" s="5" t="str">
        <f>VLOOKUP(C2522,[1]master_data!$A$2:$E$495,5,FALSE)</f>
        <v>Aksesoris</v>
      </c>
      <c r="L2522" s="5" t="s">
        <v>471</v>
      </c>
    </row>
    <row r="2523" spans="1:12" ht="12" customHeight="1" x14ac:dyDescent="0.25">
      <c r="A2523" s="6">
        <v>44670</v>
      </c>
      <c r="B2523" s="1">
        <v>2202040</v>
      </c>
      <c r="C2523" s="5" t="s">
        <v>329</v>
      </c>
      <c r="D2523" s="5" t="str">
        <f>VLOOKUP(C2523,[1]master_data!$A$2:$E$495,2,FALSE)</f>
        <v>AIRSTONE D2L5</v>
      </c>
      <c r="E2523" s="5">
        <v>2</v>
      </c>
      <c r="F2523" s="5">
        <f>VLOOKUP(C2523,[1]master_data!$A$2:$E$495,3,FALSE)</f>
        <v>1850</v>
      </c>
      <c r="G2523" s="5">
        <f>VLOOKUP(C2523,[1]master_data!$A$2:$E$495,4,FALSE)</f>
        <v>5000</v>
      </c>
      <c r="H2523" s="5">
        <f t="shared" si="123"/>
        <v>3700</v>
      </c>
      <c r="I2523" s="5">
        <f t="shared" si="124"/>
        <v>10000</v>
      </c>
      <c r="J2523" s="5">
        <f t="shared" si="125"/>
        <v>6300</v>
      </c>
      <c r="K2523" s="5" t="str">
        <f>VLOOKUP(C2523,[1]master_data!$A$2:$E$495,5,FALSE)</f>
        <v>Aksesoris</v>
      </c>
      <c r="L2523" s="5" t="s">
        <v>471</v>
      </c>
    </row>
    <row r="2524" spans="1:12" ht="12" customHeight="1" x14ac:dyDescent="0.25">
      <c r="A2524" s="6">
        <v>44670</v>
      </c>
      <c r="B2524" s="1">
        <v>2202039</v>
      </c>
      <c r="C2524" s="5" t="s">
        <v>407</v>
      </c>
      <c r="D2524" s="5" t="str">
        <f>VLOOKUP(C2524,[1]master_data!$A$2:$E$495,2,FALSE)</f>
        <v>CUPANG</v>
      </c>
      <c r="E2524" s="5">
        <v>2</v>
      </c>
      <c r="F2524" s="5">
        <f>VLOOKUP(C2524,[1]master_data!$A$2:$E$495,3,FALSE)</f>
        <v>2000</v>
      </c>
      <c r="G2524" s="5">
        <f>VLOOKUP(C2524,[1]master_data!$A$2:$E$495,4,FALSE)</f>
        <v>5000</v>
      </c>
      <c r="H2524" s="5">
        <f t="shared" si="123"/>
        <v>4000</v>
      </c>
      <c r="I2524" s="5">
        <f t="shared" si="124"/>
        <v>10000</v>
      </c>
      <c r="J2524" s="5">
        <f t="shared" si="125"/>
        <v>6000</v>
      </c>
      <c r="K2524" s="5" t="str">
        <f>VLOOKUP(C2524,[1]master_data!$A$2:$E$495,5,FALSE)</f>
        <v>Ikan</v>
      </c>
      <c r="L2524" s="5" t="s">
        <v>471</v>
      </c>
    </row>
    <row r="2525" spans="1:12" ht="12" customHeight="1" x14ac:dyDescent="0.25">
      <c r="A2525" s="6">
        <v>44670</v>
      </c>
      <c r="B2525" s="1">
        <v>2202038</v>
      </c>
      <c r="C2525" s="5" t="s">
        <v>463</v>
      </c>
      <c r="D2525" s="5" t="str">
        <f>VLOOKUP(C2525,[1]master_data!$A$2:$E$495,2,FALSE)</f>
        <v>CHANNA STEWARTI</v>
      </c>
      <c r="E2525" s="5">
        <v>1</v>
      </c>
      <c r="F2525" s="5">
        <f>VLOOKUP(C2525,[1]master_data!$A$2:$E$495,3,FALSE)</f>
        <v>15000</v>
      </c>
      <c r="G2525" s="5">
        <f>VLOOKUP(C2525,[1]master_data!$A$2:$E$495,4,FALSE)</f>
        <v>40000</v>
      </c>
      <c r="H2525" s="5">
        <f t="shared" si="123"/>
        <v>15000</v>
      </c>
      <c r="I2525" s="5">
        <f t="shared" si="124"/>
        <v>40000</v>
      </c>
      <c r="J2525" s="5">
        <f t="shared" si="125"/>
        <v>25000</v>
      </c>
      <c r="K2525" s="5" t="str">
        <f>VLOOKUP(C2525,[1]master_data!$A$2:$E$495,5,FALSE)</f>
        <v>Ikan</v>
      </c>
      <c r="L2525" s="5" t="s">
        <v>471</v>
      </c>
    </row>
    <row r="2526" spans="1:12" ht="12" customHeight="1" x14ac:dyDescent="0.25">
      <c r="A2526" s="6">
        <v>44670</v>
      </c>
      <c r="B2526" s="1">
        <v>2202037</v>
      </c>
      <c r="C2526" s="5" t="s">
        <v>455</v>
      </c>
      <c r="D2526" s="5" t="str">
        <f>VLOOKUP(C2526,[1]master_data!$A$2:$E$495,2,FALSE)</f>
        <v>TETRA</v>
      </c>
      <c r="E2526" s="5">
        <v>10</v>
      </c>
      <c r="F2526" s="5">
        <f>VLOOKUP(C2526,[1]master_data!$A$2:$E$495,3,FALSE)</f>
        <v>800</v>
      </c>
      <c r="G2526" s="5">
        <f>VLOOKUP(C2526,[1]master_data!$A$2:$E$495,4,FALSE)</f>
        <v>2000</v>
      </c>
      <c r="H2526" s="5">
        <f t="shared" si="123"/>
        <v>8000</v>
      </c>
      <c r="I2526" s="5">
        <f t="shared" si="124"/>
        <v>20000</v>
      </c>
      <c r="J2526" s="5">
        <f t="shared" si="125"/>
        <v>12000</v>
      </c>
      <c r="K2526" s="5" t="str">
        <f>VLOOKUP(C2526,[1]master_data!$A$2:$E$495,5,FALSE)</f>
        <v>Ikan</v>
      </c>
      <c r="L2526" s="5" t="s">
        <v>471</v>
      </c>
    </row>
    <row r="2527" spans="1:12" ht="12" customHeight="1" x14ac:dyDescent="0.25">
      <c r="A2527" s="6">
        <v>44670</v>
      </c>
      <c r="B2527" s="1">
        <v>2202036</v>
      </c>
      <c r="C2527" s="5" t="s">
        <v>311</v>
      </c>
      <c r="D2527" s="5" t="str">
        <f>VLOOKUP(C2527,[1]master_data!$A$2:$E$495,2,FALSE)</f>
        <v>L PIPA</v>
      </c>
      <c r="E2527" s="5">
        <v>10</v>
      </c>
      <c r="F2527" s="5">
        <f>VLOOKUP(C2527,[1]master_data!$A$2:$E$495,3,FALSE)</f>
        <v>800</v>
      </c>
      <c r="G2527" s="5">
        <f>VLOOKUP(C2527,[1]master_data!$A$2:$E$495,4,FALSE)</f>
        <v>2000</v>
      </c>
      <c r="H2527" s="5">
        <f t="shared" si="123"/>
        <v>8000</v>
      </c>
      <c r="I2527" s="5">
        <f t="shared" si="124"/>
        <v>20000</v>
      </c>
      <c r="J2527" s="5">
        <f t="shared" si="125"/>
        <v>12000</v>
      </c>
      <c r="K2527" s="5" t="str">
        <f>VLOOKUP(C2527,[1]master_data!$A$2:$E$495,5,FALSE)</f>
        <v>Aksesoris</v>
      </c>
      <c r="L2527" s="5" t="s">
        <v>471</v>
      </c>
    </row>
    <row r="2528" spans="1:12" ht="12" customHeight="1" x14ac:dyDescent="0.25">
      <c r="A2528" s="6">
        <v>44670</v>
      </c>
      <c r="B2528" s="1">
        <v>2202035</v>
      </c>
      <c r="C2528" s="5" t="s">
        <v>444</v>
      </c>
      <c r="D2528" s="5" t="str">
        <f>VLOOKUP(C2528,[1]master_data!$A$2:$E$495,2,FALSE)</f>
        <v>PARROT</v>
      </c>
      <c r="E2528" s="5">
        <v>1</v>
      </c>
      <c r="F2528" s="5">
        <f>VLOOKUP(C2528,[1]master_data!$A$2:$E$495,3,FALSE)</f>
        <v>27000</v>
      </c>
      <c r="G2528" s="5">
        <f>VLOOKUP(C2528,[1]master_data!$A$2:$E$495,4,FALSE)</f>
        <v>60000</v>
      </c>
      <c r="H2528" s="5">
        <f t="shared" si="123"/>
        <v>27000</v>
      </c>
      <c r="I2528" s="5">
        <f t="shared" si="124"/>
        <v>60000</v>
      </c>
      <c r="J2528" s="5">
        <f t="shared" si="125"/>
        <v>33000</v>
      </c>
      <c r="K2528" s="5" t="str">
        <f>VLOOKUP(C2528,[1]master_data!$A$2:$E$495,5,FALSE)</f>
        <v>Ikan</v>
      </c>
      <c r="L2528" s="5" t="s">
        <v>471</v>
      </c>
    </row>
    <row r="2529" spans="1:12" ht="12" customHeight="1" x14ac:dyDescent="0.25">
      <c r="A2529" s="6">
        <v>44670</v>
      </c>
      <c r="B2529" s="1">
        <v>2202034</v>
      </c>
      <c r="C2529" s="5" t="s">
        <v>418</v>
      </c>
      <c r="D2529" s="5" t="str">
        <f>VLOOKUP(C2529,[1]master_data!$A$2:$E$495,2,FALSE)</f>
        <v>KOI B</v>
      </c>
      <c r="E2529" s="5">
        <v>4</v>
      </c>
      <c r="F2529" s="5">
        <f>VLOOKUP(C2529,[1]master_data!$A$2:$E$495,3,FALSE)</f>
        <v>9000</v>
      </c>
      <c r="G2529" s="5">
        <f>VLOOKUP(C2529,[1]master_data!$A$2:$E$495,4,FALSE)</f>
        <v>30000</v>
      </c>
      <c r="H2529" s="5">
        <f t="shared" si="123"/>
        <v>36000</v>
      </c>
      <c r="I2529" s="5">
        <f t="shared" si="124"/>
        <v>120000</v>
      </c>
      <c r="J2529" s="5">
        <f t="shared" si="125"/>
        <v>84000</v>
      </c>
      <c r="K2529" s="5" t="str">
        <f>VLOOKUP(C2529,[1]master_data!$A$2:$E$495,5,FALSE)</f>
        <v>Ikan</v>
      </c>
      <c r="L2529" s="5" t="s">
        <v>471</v>
      </c>
    </row>
    <row r="2530" spans="1:12" ht="12" customHeight="1" x14ac:dyDescent="0.25">
      <c r="A2530" s="6">
        <v>44670</v>
      </c>
      <c r="B2530" s="1">
        <v>2202033</v>
      </c>
      <c r="C2530" s="5" t="s">
        <v>256</v>
      </c>
      <c r="D2530" s="5" t="str">
        <f>VLOOKUP(C2530,[1]master_data!$A$2:$E$495,2,FALSE)</f>
        <v>BACKGROUND</v>
      </c>
      <c r="E2530" s="5">
        <v>1</v>
      </c>
      <c r="F2530" s="5">
        <f>VLOOKUP(C2530,[1]master_data!$A$2:$E$495,3,FALSE)</f>
        <v>8000</v>
      </c>
      <c r="G2530" s="5">
        <f>VLOOKUP(C2530,[1]master_data!$A$2:$E$495,4,FALSE)</f>
        <v>15000</v>
      </c>
      <c r="H2530" s="5">
        <f t="shared" si="123"/>
        <v>8000</v>
      </c>
      <c r="I2530" s="5">
        <f t="shared" si="124"/>
        <v>15000</v>
      </c>
      <c r="J2530" s="5">
        <f t="shared" si="125"/>
        <v>7000</v>
      </c>
      <c r="K2530" s="5" t="str">
        <f>VLOOKUP(C2530,[1]master_data!$A$2:$E$495,5,FALSE)</f>
        <v>Aksesoris</v>
      </c>
      <c r="L2530" s="5" t="s">
        <v>471</v>
      </c>
    </row>
    <row r="2531" spans="1:12" ht="12" customHeight="1" x14ac:dyDescent="0.25">
      <c r="A2531" s="6">
        <v>44670</v>
      </c>
      <c r="B2531" s="1">
        <v>2202032</v>
      </c>
      <c r="C2531" s="5" t="s">
        <v>424</v>
      </c>
      <c r="D2531" s="5" t="str">
        <f>VLOOKUP(C2531,[1]master_data!$A$2:$E$495,2,FALSE)</f>
        <v>KOI SLAYER B</v>
      </c>
      <c r="E2531" s="5">
        <v>1</v>
      </c>
      <c r="F2531" s="5">
        <f>VLOOKUP(C2531,[1]master_data!$A$2:$E$495,3,FALSE)</f>
        <v>8000</v>
      </c>
      <c r="G2531" s="5">
        <f>VLOOKUP(C2531,[1]master_data!$A$2:$E$495,4,FALSE)</f>
        <v>20000</v>
      </c>
      <c r="H2531" s="5">
        <f t="shared" si="123"/>
        <v>8000</v>
      </c>
      <c r="I2531" s="5">
        <f t="shared" si="124"/>
        <v>20000</v>
      </c>
      <c r="J2531" s="5">
        <f t="shared" si="125"/>
        <v>12000</v>
      </c>
      <c r="K2531" s="5" t="str">
        <f>VLOOKUP(C2531,[1]master_data!$A$2:$E$495,5,FALSE)</f>
        <v>Ikan</v>
      </c>
      <c r="L2531" s="5" t="s">
        <v>471</v>
      </c>
    </row>
    <row r="2532" spans="1:12" ht="12" customHeight="1" x14ac:dyDescent="0.25">
      <c r="A2532" s="6">
        <v>44669</v>
      </c>
      <c r="B2532" s="1">
        <v>2202031</v>
      </c>
      <c r="C2532" s="5" t="s">
        <v>418</v>
      </c>
      <c r="D2532" s="5" t="str">
        <f>VLOOKUP(C2532,[1]master_data!$A$2:$E$495,2,FALSE)</f>
        <v>KOI B</v>
      </c>
      <c r="E2532" s="5">
        <v>4</v>
      </c>
      <c r="F2532" s="5">
        <f>VLOOKUP(C2532,[1]master_data!$A$2:$E$495,3,FALSE)</f>
        <v>9000</v>
      </c>
      <c r="G2532" s="5">
        <f>VLOOKUP(C2532,[1]master_data!$A$2:$E$495,4,FALSE)</f>
        <v>30000</v>
      </c>
      <c r="H2532" s="5">
        <f t="shared" si="123"/>
        <v>36000</v>
      </c>
      <c r="I2532" s="5">
        <f t="shared" si="124"/>
        <v>120000</v>
      </c>
      <c r="J2532" s="5">
        <f t="shared" si="125"/>
        <v>84000</v>
      </c>
      <c r="K2532" s="5" t="str">
        <f>VLOOKUP(C2532,[1]master_data!$A$2:$E$495,5,FALSE)</f>
        <v>Ikan</v>
      </c>
      <c r="L2532" s="5" t="s">
        <v>471</v>
      </c>
    </row>
    <row r="2533" spans="1:12" ht="12" customHeight="1" x14ac:dyDescent="0.25">
      <c r="A2533" s="6">
        <v>44669</v>
      </c>
      <c r="B2533" s="1">
        <v>2202030</v>
      </c>
      <c r="C2533" s="5" t="s">
        <v>412</v>
      </c>
      <c r="D2533" s="5" t="str">
        <f>VLOOKUP(C2533,[1]master_data!$A$2:$E$495,2,FALSE)</f>
        <v>HIU TAWAR</v>
      </c>
      <c r="E2533" s="5">
        <v>2</v>
      </c>
      <c r="F2533" s="5">
        <f>VLOOKUP(C2533,[1]master_data!$A$2:$E$495,3,FALSE)</f>
        <v>600</v>
      </c>
      <c r="G2533" s="5">
        <f>VLOOKUP(C2533,[1]master_data!$A$2:$E$495,4,FALSE)</f>
        <v>2000</v>
      </c>
      <c r="H2533" s="5">
        <f t="shared" si="123"/>
        <v>1200</v>
      </c>
      <c r="I2533" s="5">
        <f t="shared" si="124"/>
        <v>4000</v>
      </c>
      <c r="J2533" s="5">
        <f t="shared" si="125"/>
        <v>2800</v>
      </c>
      <c r="K2533" s="5" t="str">
        <f>VLOOKUP(C2533,[1]master_data!$A$2:$E$495,5,FALSE)</f>
        <v>Ikan</v>
      </c>
      <c r="L2533" s="5" t="s">
        <v>471</v>
      </c>
    </row>
    <row r="2534" spans="1:12" ht="12" customHeight="1" x14ac:dyDescent="0.25">
      <c r="A2534" s="6">
        <v>44669</v>
      </c>
      <c r="B2534" s="1">
        <v>2202029</v>
      </c>
      <c r="C2534" s="5" t="s">
        <v>444</v>
      </c>
      <c r="D2534" s="5" t="str">
        <f>VLOOKUP(C2534,[1]master_data!$A$2:$E$495,2,FALSE)</f>
        <v>PARROT</v>
      </c>
      <c r="E2534" s="5">
        <v>1</v>
      </c>
      <c r="F2534" s="5">
        <f>VLOOKUP(C2534,[1]master_data!$A$2:$E$495,3,FALSE)</f>
        <v>27000</v>
      </c>
      <c r="G2534" s="5">
        <f>VLOOKUP(C2534,[1]master_data!$A$2:$E$495,4,FALSE)</f>
        <v>60000</v>
      </c>
      <c r="H2534" s="5">
        <f t="shared" si="123"/>
        <v>27000</v>
      </c>
      <c r="I2534" s="5">
        <f t="shared" si="124"/>
        <v>60000</v>
      </c>
      <c r="J2534" s="5">
        <f t="shared" si="125"/>
        <v>33000</v>
      </c>
      <c r="K2534" s="5" t="str">
        <f>VLOOKUP(C2534,[1]master_data!$A$2:$E$495,5,FALSE)</f>
        <v>Ikan</v>
      </c>
      <c r="L2534" s="5" t="s">
        <v>471</v>
      </c>
    </row>
    <row r="2535" spans="1:12" ht="12" customHeight="1" x14ac:dyDescent="0.25">
      <c r="A2535" s="6">
        <v>44669</v>
      </c>
      <c r="B2535" s="1">
        <v>2202028</v>
      </c>
      <c r="C2535" s="5" t="s">
        <v>303</v>
      </c>
      <c r="D2535" s="5" t="str">
        <f>VLOOKUP(C2535,[1]master_data!$A$2:$E$495,2,FALSE)</f>
        <v>PIPA LONJOR 2 M</v>
      </c>
      <c r="E2535" s="5">
        <v>1</v>
      </c>
      <c r="F2535" s="5">
        <f>VLOOKUP(C2535,[1]master_data!$A$2:$E$495,3,FALSE)</f>
        <v>5000</v>
      </c>
      <c r="G2535" s="5">
        <f>VLOOKUP(C2535,[1]master_data!$A$2:$E$495,4,FALSE)</f>
        <v>10000</v>
      </c>
      <c r="H2535" s="5">
        <f t="shared" si="123"/>
        <v>5000</v>
      </c>
      <c r="I2535" s="5">
        <f t="shared" si="124"/>
        <v>10000</v>
      </c>
      <c r="J2535" s="5">
        <f t="shared" si="125"/>
        <v>5000</v>
      </c>
      <c r="K2535" s="5" t="str">
        <f>VLOOKUP(C2535,[1]master_data!$A$2:$E$495,5,FALSE)</f>
        <v>Aksesoris</v>
      </c>
      <c r="L2535" s="5" t="s">
        <v>471</v>
      </c>
    </row>
    <row r="2536" spans="1:12" ht="12" customHeight="1" x14ac:dyDescent="0.25">
      <c r="A2536" s="6">
        <v>44669</v>
      </c>
      <c r="B2536" s="1">
        <v>2202027</v>
      </c>
      <c r="C2536" s="5" t="s">
        <v>310</v>
      </c>
      <c r="D2536" s="5" t="str">
        <f>VLOOKUP(C2536,[1]master_data!$A$2:$E$495,2,FALSE)</f>
        <v>SELANG FUSO</v>
      </c>
      <c r="E2536" s="5">
        <v>10</v>
      </c>
      <c r="F2536" s="5">
        <f>VLOOKUP(C2536,[1]master_data!$A$2:$E$495,3,FALSE)</f>
        <v>800</v>
      </c>
      <c r="G2536" s="5">
        <f>VLOOKUP(C2536,[1]master_data!$A$2:$E$495,4,FALSE)</f>
        <v>2000</v>
      </c>
      <c r="H2536" s="5">
        <f t="shared" si="123"/>
        <v>8000</v>
      </c>
      <c r="I2536" s="5">
        <f t="shared" si="124"/>
        <v>20000</v>
      </c>
      <c r="J2536" s="5">
        <f t="shared" si="125"/>
        <v>12000</v>
      </c>
      <c r="K2536" s="5" t="str">
        <f>VLOOKUP(C2536,[1]master_data!$A$2:$E$495,5,FALSE)</f>
        <v>Aksesoris</v>
      </c>
      <c r="L2536" s="5" t="s">
        <v>471</v>
      </c>
    </row>
    <row r="2537" spans="1:12" ht="12" customHeight="1" x14ac:dyDescent="0.25">
      <c r="A2537" s="6">
        <v>44669</v>
      </c>
      <c r="B2537" s="1">
        <v>2202026</v>
      </c>
      <c r="C2537" s="5" t="s">
        <v>333</v>
      </c>
      <c r="D2537" s="5" t="str">
        <f>VLOOKUP(C2537,[1]master_data!$A$2:$E$495,2,FALSE)</f>
        <v>KAPAS 2 LAPIS</v>
      </c>
      <c r="E2537" s="5">
        <v>2</v>
      </c>
      <c r="F2537" s="5">
        <f>VLOOKUP(C2537,[1]master_data!$A$2:$E$495,3,FALSE)</f>
        <v>2000</v>
      </c>
      <c r="G2537" s="5">
        <f>VLOOKUP(C2537,[1]master_data!$A$2:$E$495,4,FALSE)</f>
        <v>4000</v>
      </c>
      <c r="H2537" s="5">
        <f t="shared" si="123"/>
        <v>4000</v>
      </c>
      <c r="I2537" s="5">
        <f t="shared" si="124"/>
        <v>8000</v>
      </c>
      <c r="J2537" s="5">
        <f t="shared" si="125"/>
        <v>4000</v>
      </c>
      <c r="K2537" s="5" t="str">
        <f>VLOOKUP(C2537,[1]master_data!$A$2:$E$495,5,FALSE)</f>
        <v>Aksesoris</v>
      </c>
      <c r="L2537" s="5" t="s">
        <v>471</v>
      </c>
    </row>
    <row r="2538" spans="1:12" ht="12" customHeight="1" x14ac:dyDescent="0.25">
      <c r="A2538" s="6">
        <v>44669</v>
      </c>
      <c r="B2538" s="1">
        <v>2202025</v>
      </c>
      <c r="C2538" s="5" t="s">
        <v>233</v>
      </c>
      <c r="D2538" s="5" t="str">
        <f>VLOOKUP(C2538,[1]master_data!$A$2:$E$495,2,FALSE)</f>
        <v>FISH LOVE PAKAN</v>
      </c>
      <c r="E2538" s="5">
        <v>2</v>
      </c>
      <c r="F2538" s="5">
        <f>VLOOKUP(C2538,[1]master_data!$A$2:$E$495,3,FALSE)</f>
        <v>2500</v>
      </c>
      <c r="G2538" s="5">
        <f>VLOOKUP(C2538,[1]master_data!$A$2:$E$495,4,FALSE)</f>
        <v>5000</v>
      </c>
      <c r="H2538" s="5">
        <f t="shared" si="123"/>
        <v>5000</v>
      </c>
      <c r="I2538" s="5">
        <f t="shared" si="124"/>
        <v>10000</v>
      </c>
      <c r="J2538" s="5">
        <f t="shared" si="125"/>
        <v>5000</v>
      </c>
      <c r="K2538" s="5" t="str">
        <f>VLOOKUP(C2538,[1]master_data!$A$2:$E$495,5,FALSE)</f>
        <v>Aksesoris</v>
      </c>
      <c r="L2538" s="5" t="s">
        <v>471</v>
      </c>
    </row>
    <row r="2539" spans="1:12" ht="12" customHeight="1" x14ac:dyDescent="0.25">
      <c r="A2539" s="6">
        <v>44669</v>
      </c>
      <c r="B2539" s="1">
        <v>2202024</v>
      </c>
      <c r="C2539" s="5" t="s">
        <v>204</v>
      </c>
      <c r="D2539" s="5" t="str">
        <f>VLOOKUP(C2539,[1]master_data!$A$2:$E$495,2,FALSE)</f>
        <v>MAGOT</v>
      </c>
      <c r="E2539" s="5">
        <v>2</v>
      </c>
      <c r="F2539" s="5">
        <f>VLOOKUP(C2539,[1]master_data!$A$2:$E$495,3,FALSE)</f>
        <v>4500</v>
      </c>
      <c r="G2539" s="5">
        <f>VLOOKUP(C2539,[1]master_data!$A$2:$E$495,4,FALSE)</f>
        <v>10000</v>
      </c>
      <c r="H2539" s="5">
        <f t="shared" si="123"/>
        <v>9000</v>
      </c>
      <c r="I2539" s="5">
        <f t="shared" si="124"/>
        <v>20000</v>
      </c>
      <c r="J2539" s="5">
        <f t="shared" si="125"/>
        <v>11000</v>
      </c>
      <c r="K2539" s="5" t="str">
        <f>VLOOKUP(C2539,[1]master_data!$A$2:$E$495,5,FALSE)</f>
        <v>Aksesoris</v>
      </c>
      <c r="L2539" s="5" t="s">
        <v>471</v>
      </c>
    </row>
    <row r="2540" spans="1:12" ht="12" customHeight="1" x14ac:dyDescent="0.25">
      <c r="A2540" s="6">
        <v>44669</v>
      </c>
      <c r="B2540" s="1">
        <v>2202023</v>
      </c>
      <c r="C2540" s="5" t="s">
        <v>463</v>
      </c>
      <c r="D2540" s="5" t="str">
        <f>VLOOKUP(C2540,[1]master_data!$A$2:$E$495,2,FALSE)</f>
        <v>CHANNA STEWARTI</v>
      </c>
      <c r="E2540" s="5">
        <v>1</v>
      </c>
      <c r="F2540" s="5">
        <f>VLOOKUP(C2540,[1]master_data!$A$2:$E$495,3,FALSE)</f>
        <v>15000</v>
      </c>
      <c r="G2540" s="5">
        <f>VLOOKUP(C2540,[1]master_data!$A$2:$E$495,4,FALSE)</f>
        <v>40000</v>
      </c>
      <c r="H2540" s="5">
        <f t="shared" si="123"/>
        <v>15000</v>
      </c>
      <c r="I2540" s="5">
        <f t="shared" si="124"/>
        <v>40000</v>
      </c>
      <c r="J2540" s="5">
        <f t="shared" si="125"/>
        <v>25000</v>
      </c>
      <c r="K2540" s="5" t="str">
        <f>VLOOKUP(C2540,[1]master_data!$A$2:$E$495,5,FALSE)</f>
        <v>Ikan</v>
      </c>
      <c r="L2540" s="5" t="s">
        <v>471</v>
      </c>
    </row>
    <row r="2541" spans="1:12" ht="12" customHeight="1" x14ac:dyDescent="0.25">
      <c r="A2541" s="6">
        <v>44669</v>
      </c>
      <c r="B2541" s="1">
        <v>2202022</v>
      </c>
      <c r="C2541" s="5" t="s">
        <v>212</v>
      </c>
      <c r="D2541" s="5" t="str">
        <f>VLOOKUP(C2541,[1]master_data!$A$2:$E$495,2,FALSE)</f>
        <v>UDANG KERING</v>
      </c>
      <c r="E2541" s="5">
        <v>1</v>
      </c>
      <c r="F2541" s="5">
        <f>VLOOKUP(C2541,[1]master_data!$A$2:$E$495,3,FALSE)</f>
        <v>4500</v>
      </c>
      <c r="G2541" s="5">
        <f>VLOOKUP(C2541,[1]master_data!$A$2:$E$495,4,FALSE)</f>
        <v>10000</v>
      </c>
      <c r="H2541" s="5">
        <f t="shared" si="123"/>
        <v>4500</v>
      </c>
      <c r="I2541" s="5">
        <f t="shared" si="124"/>
        <v>10000</v>
      </c>
      <c r="J2541" s="5">
        <f t="shared" si="125"/>
        <v>5500</v>
      </c>
      <c r="K2541" s="5" t="str">
        <f>VLOOKUP(C2541,[1]master_data!$A$2:$E$495,5,FALSE)</f>
        <v>Aksesoris</v>
      </c>
      <c r="L2541" s="5" t="s">
        <v>471</v>
      </c>
    </row>
    <row r="2542" spans="1:12" ht="12" customHeight="1" x14ac:dyDescent="0.25">
      <c r="A2542" s="6">
        <v>44669</v>
      </c>
      <c r="B2542" s="1">
        <v>2202021</v>
      </c>
      <c r="C2542" s="5" t="s">
        <v>104</v>
      </c>
      <c r="D2542" s="5" t="str">
        <f>VLOOKUP(C2542,[1]master_data!$A$2:$E$495,2,FALSE)</f>
        <v>AIRATOR AMARA LUB 2</v>
      </c>
      <c r="E2542" s="5">
        <v>1</v>
      </c>
      <c r="F2542" s="5">
        <f>VLOOKUP(C2542,[1]master_data!$A$2:$E$495,3,FALSE)</f>
        <v>33000</v>
      </c>
      <c r="G2542" s="5">
        <f>VLOOKUP(C2542,[1]master_data!$A$2:$E$495,4,FALSE)</f>
        <v>50000</v>
      </c>
      <c r="H2542" s="5">
        <f t="shared" si="123"/>
        <v>33000</v>
      </c>
      <c r="I2542" s="5">
        <f t="shared" si="124"/>
        <v>50000</v>
      </c>
      <c r="J2542" s="5">
        <f t="shared" si="125"/>
        <v>17000</v>
      </c>
      <c r="K2542" s="5" t="str">
        <f>VLOOKUP(C2542,[1]master_data!$A$2:$E$495,5,FALSE)</f>
        <v>Aksesoris</v>
      </c>
      <c r="L2542" s="5" t="s">
        <v>471</v>
      </c>
    </row>
    <row r="2543" spans="1:12" ht="12" customHeight="1" x14ac:dyDescent="0.25">
      <c r="A2543" s="6">
        <v>44669</v>
      </c>
      <c r="B2543" s="1">
        <v>2202020</v>
      </c>
      <c r="C2543" s="5" t="s">
        <v>407</v>
      </c>
      <c r="D2543" s="5" t="str">
        <f>VLOOKUP(C2543,[1]master_data!$A$2:$E$495,2,FALSE)</f>
        <v>CUPANG</v>
      </c>
      <c r="E2543" s="5">
        <v>2</v>
      </c>
      <c r="F2543" s="5">
        <f>VLOOKUP(C2543,[1]master_data!$A$2:$E$495,3,FALSE)</f>
        <v>2000</v>
      </c>
      <c r="G2543" s="5">
        <f>VLOOKUP(C2543,[1]master_data!$A$2:$E$495,4,FALSE)</f>
        <v>5000</v>
      </c>
      <c r="H2543" s="5">
        <f t="shared" si="123"/>
        <v>4000</v>
      </c>
      <c r="I2543" s="5">
        <f t="shared" si="124"/>
        <v>10000</v>
      </c>
      <c r="J2543" s="5">
        <f t="shared" si="125"/>
        <v>6000</v>
      </c>
      <c r="K2543" s="5" t="str">
        <f>VLOOKUP(C2543,[1]master_data!$A$2:$E$495,5,FALSE)</f>
        <v>Ikan</v>
      </c>
      <c r="L2543" s="5" t="s">
        <v>471</v>
      </c>
    </row>
    <row r="2544" spans="1:12" ht="12" customHeight="1" x14ac:dyDescent="0.25">
      <c r="A2544" s="6">
        <v>44669</v>
      </c>
      <c r="B2544" s="1">
        <v>2202019</v>
      </c>
      <c r="C2544" s="5" t="s">
        <v>432</v>
      </c>
      <c r="D2544" s="5" t="str">
        <f>VLOOKUP(C2544,[1]master_data!$A$2:$E$495,2,FALSE)</f>
        <v>MARU K</v>
      </c>
      <c r="E2544" s="5">
        <v>1</v>
      </c>
      <c r="F2544" s="5">
        <f>VLOOKUP(C2544,[1]master_data!$A$2:$E$495,3,FALSE)</f>
        <v>23000</v>
      </c>
      <c r="G2544" s="5">
        <f>VLOOKUP(C2544,[1]master_data!$A$2:$E$495,4,FALSE)</f>
        <v>50000</v>
      </c>
      <c r="H2544" s="5">
        <f t="shared" si="123"/>
        <v>23000</v>
      </c>
      <c r="I2544" s="5">
        <f t="shared" si="124"/>
        <v>50000</v>
      </c>
      <c r="J2544" s="5">
        <f t="shared" si="125"/>
        <v>27000</v>
      </c>
      <c r="K2544" s="5" t="str">
        <f>VLOOKUP(C2544,[1]master_data!$A$2:$E$495,5,FALSE)</f>
        <v>Ikan</v>
      </c>
      <c r="L2544" s="5" t="s">
        <v>471</v>
      </c>
    </row>
    <row r="2545" spans="1:12" ht="12" customHeight="1" x14ac:dyDescent="0.25">
      <c r="A2545" s="6">
        <v>44669</v>
      </c>
      <c r="B2545" s="1">
        <v>2202018</v>
      </c>
      <c r="C2545" s="5" t="s">
        <v>455</v>
      </c>
      <c r="D2545" s="5" t="str">
        <f>VLOOKUP(C2545,[1]master_data!$A$2:$E$495,2,FALSE)</f>
        <v>TETRA</v>
      </c>
      <c r="E2545" s="5">
        <v>10</v>
      </c>
      <c r="F2545" s="5">
        <f>VLOOKUP(C2545,[1]master_data!$A$2:$E$495,3,FALSE)</f>
        <v>800</v>
      </c>
      <c r="G2545" s="5">
        <f>VLOOKUP(C2545,[1]master_data!$A$2:$E$495,4,FALSE)</f>
        <v>2000</v>
      </c>
      <c r="H2545" s="5">
        <f t="shared" si="123"/>
        <v>8000</v>
      </c>
      <c r="I2545" s="5">
        <f t="shared" si="124"/>
        <v>20000</v>
      </c>
      <c r="J2545" s="5">
        <f t="shared" si="125"/>
        <v>12000</v>
      </c>
      <c r="K2545" s="5" t="str">
        <f>VLOOKUP(C2545,[1]master_data!$A$2:$E$495,5,FALSE)</f>
        <v>Ikan</v>
      </c>
      <c r="L2545" s="5" t="s">
        <v>471</v>
      </c>
    </row>
    <row r="2546" spans="1:12" ht="12" customHeight="1" x14ac:dyDescent="0.25">
      <c r="A2546" s="6">
        <v>44669</v>
      </c>
      <c r="B2546" s="1">
        <v>2202017</v>
      </c>
      <c r="C2546" s="5" t="s">
        <v>310</v>
      </c>
      <c r="D2546" s="5" t="str">
        <f>VLOOKUP(C2546,[1]master_data!$A$2:$E$495,2,FALSE)</f>
        <v>SELANG FUSO</v>
      </c>
      <c r="E2546" s="5">
        <v>10</v>
      </c>
      <c r="F2546" s="5">
        <f>VLOOKUP(C2546,[1]master_data!$A$2:$E$495,3,FALSE)</f>
        <v>800</v>
      </c>
      <c r="G2546" s="5">
        <f>VLOOKUP(C2546,[1]master_data!$A$2:$E$495,4,FALSE)</f>
        <v>2000</v>
      </c>
      <c r="H2546" s="5">
        <f t="shared" si="123"/>
        <v>8000</v>
      </c>
      <c r="I2546" s="5">
        <f t="shared" si="124"/>
        <v>20000</v>
      </c>
      <c r="J2546" s="5">
        <f t="shared" si="125"/>
        <v>12000</v>
      </c>
      <c r="K2546" s="5" t="str">
        <f>VLOOKUP(C2546,[1]master_data!$A$2:$E$495,5,FALSE)</f>
        <v>Aksesoris</v>
      </c>
      <c r="L2546" s="5" t="s">
        <v>471</v>
      </c>
    </row>
    <row r="2547" spans="1:12" ht="12" customHeight="1" x14ac:dyDescent="0.25">
      <c r="A2547" s="6">
        <v>44669</v>
      </c>
      <c r="B2547" s="1">
        <v>2202016</v>
      </c>
      <c r="C2547" s="5" t="s">
        <v>208</v>
      </c>
      <c r="D2547" s="5" t="str">
        <f>VLOOKUP(C2547,[1]master_data!$A$2:$E$495,2,FALSE)</f>
        <v>TOP VIT</v>
      </c>
      <c r="E2547" s="5">
        <v>1</v>
      </c>
      <c r="F2547" s="5">
        <f>VLOOKUP(C2547,[1]master_data!$A$2:$E$495,3,FALSE)</f>
        <v>4000</v>
      </c>
      <c r="G2547" s="5">
        <f>VLOOKUP(C2547,[1]master_data!$A$2:$E$495,4,FALSE)</f>
        <v>7000</v>
      </c>
      <c r="H2547" s="5">
        <f t="shared" si="123"/>
        <v>4000</v>
      </c>
      <c r="I2547" s="5">
        <f t="shared" si="124"/>
        <v>7000</v>
      </c>
      <c r="J2547" s="5">
        <f t="shared" si="125"/>
        <v>3000</v>
      </c>
      <c r="K2547" s="5" t="str">
        <f>VLOOKUP(C2547,[1]master_data!$A$2:$E$495,5,FALSE)</f>
        <v>Aksesoris</v>
      </c>
      <c r="L2547" s="5" t="s">
        <v>471</v>
      </c>
    </row>
    <row r="2548" spans="1:12" ht="12" customHeight="1" x14ac:dyDescent="0.25">
      <c r="A2548" s="6">
        <v>44669</v>
      </c>
      <c r="B2548" s="1">
        <v>2202015</v>
      </c>
      <c r="C2548" s="5" t="s">
        <v>421</v>
      </c>
      <c r="D2548" s="5" t="str">
        <f>VLOOKUP(C2548,[1]master_data!$A$2:$E$495,2,FALSE)</f>
        <v>KOMET PAKAN</v>
      </c>
      <c r="E2548" s="5">
        <v>30</v>
      </c>
      <c r="F2548" s="5">
        <f>VLOOKUP(C2548,[1]master_data!$A$2:$E$495,3,FALSE)</f>
        <v>300</v>
      </c>
      <c r="G2548" s="5">
        <f>VLOOKUP(C2548,[1]master_data!$A$2:$E$495,4,FALSE)</f>
        <v>1000</v>
      </c>
      <c r="H2548" s="5">
        <f t="shared" si="123"/>
        <v>9000</v>
      </c>
      <c r="I2548" s="5">
        <f t="shared" si="124"/>
        <v>30000</v>
      </c>
      <c r="J2548" s="5">
        <f t="shared" si="125"/>
        <v>21000</v>
      </c>
      <c r="K2548" s="5" t="str">
        <f>VLOOKUP(C2548,[1]master_data!$A$2:$E$495,5,FALSE)</f>
        <v>Ikan</v>
      </c>
      <c r="L2548" s="5" t="s">
        <v>471</v>
      </c>
    </row>
    <row r="2549" spans="1:12" ht="12" customHeight="1" x14ac:dyDescent="0.25">
      <c r="A2549" s="6">
        <v>44668</v>
      </c>
      <c r="B2549" s="1">
        <v>2202014</v>
      </c>
      <c r="C2549" s="5" t="s">
        <v>313</v>
      </c>
      <c r="D2549" s="5" t="str">
        <f>VLOOKUP(C2549,[1]master_data!$A$2:$E$495,2,FALSE)</f>
        <v>LURUS PIPA</v>
      </c>
      <c r="E2549" s="5">
        <v>10</v>
      </c>
      <c r="F2549" s="5">
        <f>VLOOKUP(C2549,[1]master_data!$A$2:$E$495,3,FALSE)</f>
        <v>800</v>
      </c>
      <c r="G2549" s="5">
        <f>VLOOKUP(C2549,[1]master_data!$A$2:$E$495,4,FALSE)</f>
        <v>2000</v>
      </c>
      <c r="H2549" s="5">
        <f t="shared" si="123"/>
        <v>8000</v>
      </c>
      <c r="I2549" s="5">
        <f t="shared" si="124"/>
        <v>20000</v>
      </c>
      <c r="J2549" s="5">
        <f t="shared" si="125"/>
        <v>12000</v>
      </c>
      <c r="K2549" s="5" t="str">
        <f>VLOOKUP(C2549,[1]master_data!$A$2:$E$495,5,FALSE)</f>
        <v>Aksesoris</v>
      </c>
      <c r="L2549" s="5" t="s">
        <v>471</v>
      </c>
    </row>
    <row r="2550" spans="1:12" ht="12" customHeight="1" x14ac:dyDescent="0.25">
      <c r="A2550" s="6">
        <v>44668</v>
      </c>
      <c r="B2550" s="1">
        <v>2202013</v>
      </c>
      <c r="C2550" s="5" t="s">
        <v>455</v>
      </c>
      <c r="D2550" s="5" t="str">
        <f>VLOOKUP(C2550,[1]master_data!$A$2:$E$495,2,FALSE)</f>
        <v>TETRA</v>
      </c>
      <c r="E2550" s="5">
        <v>10</v>
      </c>
      <c r="F2550" s="5">
        <f>VLOOKUP(C2550,[1]master_data!$A$2:$E$495,3,FALSE)</f>
        <v>800</v>
      </c>
      <c r="G2550" s="5">
        <f>VLOOKUP(C2550,[1]master_data!$A$2:$E$495,4,FALSE)</f>
        <v>2000</v>
      </c>
      <c r="H2550" s="5">
        <f t="shared" si="123"/>
        <v>8000</v>
      </c>
      <c r="I2550" s="5">
        <f t="shared" si="124"/>
        <v>20000</v>
      </c>
      <c r="J2550" s="5">
        <f t="shared" si="125"/>
        <v>12000</v>
      </c>
      <c r="K2550" s="5" t="str">
        <f>VLOOKUP(C2550,[1]master_data!$A$2:$E$495,5,FALSE)</f>
        <v>Ikan</v>
      </c>
      <c r="L2550" s="5" t="s">
        <v>471</v>
      </c>
    </row>
    <row r="2551" spans="1:12" ht="12" customHeight="1" x14ac:dyDescent="0.25">
      <c r="A2551" s="6">
        <v>44668</v>
      </c>
      <c r="B2551" s="1">
        <v>2202012</v>
      </c>
      <c r="C2551" s="5" t="s">
        <v>421</v>
      </c>
      <c r="D2551" s="5" t="str">
        <f>VLOOKUP(C2551,[1]master_data!$A$2:$E$495,2,FALSE)</f>
        <v>KOMET PAKAN</v>
      </c>
      <c r="E2551" s="5">
        <v>30</v>
      </c>
      <c r="F2551" s="5">
        <f>VLOOKUP(C2551,[1]master_data!$A$2:$E$495,3,FALSE)</f>
        <v>300</v>
      </c>
      <c r="G2551" s="5">
        <f>VLOOKUP(C2551,[1]master_data!$A$2:$E$495,4,FALSE)</f>
        <v>1000</v>
      </c>
      <c r="H2551" s="5">
        <f t="shared" si="123"/>
        <v>9000</v>
      </c>
      <c r="I2551" s="5">
        <f t="shared" si="124"/>
        <v>30000</v>
      </c>
      <c r="J2551" s="5">
        <f t="shared" si="125"/>
        <v>21000</v>
      </c>
      <c r="K2551" s="5" t="str">
        <f>VLOOKUP(C2551,[1]master_data!$A$2:$E$495,5,FALSE)</f>
        <v>Ikan</v>
      </c>
      <c r="L2551" s="5" t="s">
        <v>471</v>
      </c>
    </row>
    <row r="2552" spans="1:12" ht="12" customHeight="1" x14ac:dyDescent="0.25">
      <c r="A2552" s="6">
        <v>44668</v>
      </c>
      <c r="B2552" s="1">
        <v>2202011</v>
      </c>
      <c r="C2552" s="5" t="s">
        <v>409</v>
      </c>
      <c r="D2552" s="5" t="str">
        <f>VLOOKUP(C2552,[1]master_data!$A$2:$E$495,2,FALSE)</f>
        <v>GOLD FISH</v>
      </c>
      <c r="E2552" s="5">
        <v>10</v>
      </c>
      <c r="F2552" s="5">
        <f>VLOOKUP(C2552,[1]master_data!$A$2:$E$495,3,FALSE)</f>
        <v>800</v>
      </c>
      <c r="G2552" s="5">
        <f>VLOOKUP(C2552,[1]master_data!$A$2:$E$495,4,FALSE)</f>
        <v>2000</v>
      </c>
      <c r="H2552" s="5">
        <f t="shared" si="123"/>
        <v>8000</v>
      </c>
      <c r="I2552" s="5">
        <f t="shared" si="124"/>
        <v>20000</v>
      </c>
      <c r="J2552" s="5">
        <f t="shared" si="125"/>
        <v>12000</v>
      </c>
      <c r="K2552" s="5" t="str">
        <f>VLOOKUP(C2552,[1]master_data!$A$2:$E$495,5,FALSE)</f>
        <v>Ikan</v>
      </c>
      <c r="L2552" s="5" t="s">
        <v>471</v>
      </c>
    </row>
    <row r="2553" spans="1:12" ht="12" customHeight="1" x14ac:dyDescent="0.25">
      <c r="A2553" s="6">
        <v>44668</v>
      </c>
      <c r="B2553" s="1">
        <v>2202010</v>
      </c>
      <c r="C2553" s="5" t="s">
        <v>413</v>
      </c>
      <c r="D2553" s="5" t="str">
        <f>VLOOKUP(C2553,[1]master_data!$A$2:$E$495,2,FALSE)</f>
        <v>KOKI K</v>
      </c>
      <c r="E2553" s="5">
        <v>5</v>
      </c>
      <c r="F2553" s="5">
        <f>VLOOKUP(C2553,[1]master_data!$A$2:$E$495,3,FALSE)</f>
        <v>3500</v>
      </c>
      <c r="G2553" s="5">
        <f>VLOOKUP(C2553,[1]master_data!$A$2:$E$495,4,FALSE)</f>
        <v>10000</v>
      </c>
      <c r="H2553" s="5">
        <f t="shared" si="123"/>
        <v>17500</v>
      </c>
      <c r="I2553" s="5">
        <f t="shared" si="124"/>
        <v>50000</v>
      </c>
      <c r="J2553" s="5">
        <f t="shared" si="125"/>
        <v>32500</v>
      </c>
      <c r="K2553" s="5" t="str">
        <f>VLOOKUP(C2553,[1]master_data!$A$2:$E$495,5,FALSE)</f>
        <v>Ikan</v>
      </c>
      <c r="L2553" s="5" t="s">
        <v>471</v>
      </c>
    </row>
    <row r="2554" spans="1:12" ht="12" customHeight="1" x14ac:dyDescent="0.25">
      <c r="A2554" s="6">
        <v>44668</v>
      </c>
      <c r="B2554" s="1">
        <v>2202009</v>
      </c>
      <c r="C2554" s="5" t="s">
        <v>420</v>
      </c>
      <c r="D2554" s="5" t="str">
        <f>VLOOKUP(C2554,[1]master_data!$A$2:$E$495,2,FALSE)</f>
        <v>KAVIAT</v>
      </c>
      <c r="E2554" s="5">
        <v>4</v>
      </c>
      <c r="F2554" s="5">
        <f>VLOOKUP(C2554,[1]master_data!$A$2:$E$495,3,FALSE)</f>
        <v>3500</v>
      </c>
      <c r="G2554" s="5">
        <f>VLOOKUP(C2554,[1]master_data!$A$2:$E$495,4,FALSE)</f>
        <v>8000</v>
      </c>
      <c r="H2554" s="5">
        <f t="shared" si="123"/>
        <v>14000</v>
      </c>
      <c r="I2554" s="5">
        <f t="shared" si="124"/>
        <v>32000</v>
      </c>
      <c r="J2554" s="5">
        <f t="shared" si="125"/>
        <v>18000</v>
      </c>
      <c r="K2554" s="5" t="str">
        <f>VLOOKUP(C2554,[1]master_data!$A$2:$E$495,5,FALSE)</f>
        <v>Ikan</v>
      </c>
      <c r="L2554" s="5" t="s">
        <v>471</v>
      </c>
    </row>
    <row r="2555" spans="1:12" ht="12" customHeight="1" x14ac:dyDescent="0.25">
      <c r="A2555" s="6">
        <v>44668</v>
      </c>
      <c r="B2555" s="1">
        <v>2202008</v>
      </c>
      <c r="C2555" s="5" t="s">
        <v>296</v>
      </c>
      <c r="D2555" s="5" t="str">
        <f>VLOOKUP(C2555,[1]master_data!$A$2:$E$495,2,FALSE)</f>
        <v>MAGNET S</v>
      </c>
      <c r="E2555" s="5">
        <v>1</v>
      </c>
      <c r="F2555" s="5">
        <f>VLOOKUP(C2555,[1]master_data!$A$2:$E$495,3,FALSE)</f>
        <v>20000</v>
      </c>
      <c r="G2555" s="5">
        <f>VLOOKUP(C2555,[1]master_data!$A$2:$E$495,4,FALSE)</f>
        <v>30000</v>
      </c>
      <c r="H2555" s="5">
        <f t="shared" si="123"/>
        <v>20000</v>
      </c>
      <c r="I2555" s="5">
        <f t="shared" si="124"/>
        <v>30000</v>
      </c>
      <c r="J2555" s="5">
        <f t="shared" si="125"/>
        <v>10000</v>
      </c>
      <c r="K2555" s="5" t="str">
        <f>VLOOKUP(C2555,[1]master_data!$A$2:$E$495,5,FALSE)</f>
        <v>Aksesoris</v>
      </c>
      <c r="L2555" s="5" t="s">
        <v>471</v>
      </c>
    </row>
    <row r="2556" spans="1:12" ht="12" customHeight="1" x14ac:dyDescent="0.25">
      <c r="A2556" s="6">
        <v>44668</v>
      </c>
      <c r="B2556" s="1">
        <v>2202007</v>
      </c>
      <c r="C2556" s="5" t="s">
        <v>432</v>
      </c>
      <c r="D2556" s="5" t="str">
        <f>VLOOKUP(C2556,[1]master_data!$A$2:$E$495,2,FALSE)</f>
        <v>MARU K</v>
      </c>
      <c r="E2556" s="5">
        <v>1</v>
      </c>
      <c r="F2556" s="5">
        <f>VLOOKUP(C2556,[1]master_data!$A$2:$E$495,3,FALSE)</f>
        <v>23000</v>
      </c>
      <c r="G2556" s="5">
        <f>VLOOKUP(C2556,[1]master_data!$A$2:$E$495,4,FALSE)</f>
        <v>50000</v>
      </c>
      <c r="H2556" s="5">
        <f t="shared" si="123"/>
        <v>23000</v>
      </c>
      <c r="I2556" s="5">
        <f t="shared" si="124"/>
        <v>50000</v>
      </c>
      <c r="J2556" s="5">
        <f t="shared" si="125"/>
        <v>27000</v>
      </c>
      <c r="K2556" s="5" t="str">
        <f>VLOOKUP(C2556,[1]master_data!$A$2:$E$495,5,FALSE)</f>
        <v>Ikan</v>
      </c>
      <c r="L2556" s="5" t="s">
        <v>471</v>
      </c>
    </row>
    <row r="2557" spans="1:12" ht="12" customHeight="1" x14ac:dyDescent="0.25">
      <c r="A2557" s="6">
        <v>44668</v>
      </c>
      <c r="B2557" s="1">
        <v>2202006</v>
      </c>
      <c r="C2557" s="5" t="s">
        <v>104</v>
      </c>
      <c r="D2557" s="5" t="str">
        <f>VLOOKUP(C2557,[1]master_data!$A$2:$E$495,2,FALSE)</f>
        <v>AIRATOR AMARA LUB 2</v>
      </c>
      <c r="E2557" s="5">
        <v>1</v>
      </c>
      <c r="F2557" s="5">
        <f>VLOOKUP(C2557,[1]master_data!$A$2:$E$495,3,FALSE)</f>
        <v>33000</v>
      </c>
      <c r="G2557" s="5">
        <f>VLOOKUP(C2557,[1]master_data!$A$2:$E$495,4,FALSE)</f>
        <v>50000</v>
      </c>
      <c r="H2557" s="5">
        <f t="shared" si="123"/>
        <v>33000</v>
      </c>
      <c r="I2557" s="5">
        <f t="shared" si="124"/>
        <v>50000</v>
      </c>
      <c r="J2557" s="5">
        <f t="shared" si="125"/>
        <v>17000</v>
      </c>
      <c r="K2557" s="5" t="str">
        <f>VLOOKUP(C2557,[1]master_data!$A$2:$E$495,5,FALSE)</f>
        <v>Aksesoris</v>
      </c>
      <c r="L2557" s="5" t="s">
        <v>471</v>
      </c>
    </row>
    <row r="2558" spans="1:12" ht="12" customHeight="1" x14ac:dyDescent="0.25">
      <c r="A2558" s="6">
        <v>44668</v>
      </c>
      <c r="B2558" s="1">
        <v>2202005</v>
      </c>
      <c r="C2558" s="5" t="s">
        <v>418</v>
      </c>
      <c r="D2558" s="5" t="str">
        <f>VLOOKUP(C2558,[1]master_data!$A$2:$E$495,2,FALSE)</f>
        <v>KOI B</v>
      </c>
      <c r="E2558" s="5">
        <v>4</v>
      </c>
      <c r="F2558" s="5">
        <f>VLOOKUP(C2558,[1]master_data!$A$2:$E$495,3,FALSE)</f>
        <v>9000</v>
      </c>
      <c r="G2558" s="5">
        <f>VLOOKUP(C2558,[1]master_data!$A$2:$E$495,4,FALSE)</f>
        <v>30000</v>
      </c>
      <c r="H2558" s="5">
        <f t="shared" si="123"/>
        <v>36000</v>
      </c>
      <c r="I2558" s="5">
        <f t="shared" si="124"/>
        <v>120000</v>
      </c>
      <c r="J2558" s="5">
        <f t="shared" si="125"/>
        <v>84000</v>
      </c>
      <c r="K2558" s="5" t="str">
        <f>VLOOKUP(C2558,[1]master_data!$A$2:$E$495,5,FALSE)</f>
        <v>Ikan</v>
      </c>
      <c r="L2558" s="5" t="s">
        <v>471</v>
      </c>
    </row>
    <row r="2559" spans="1:12" ht="12" customHeight="1" x14ac:dyDescent="0.25">
      <c r="A2559" s="6">
        <v>44668</v>
      </c>
      <c r="B2559" s="1">
        <v>2202004</v>
      </c>
      <c r="C2559" s="5" t="s">
        <v>444</v>
      </c>
      <c r="D2559" s="5" t="str">
        <f>VLOOKUP(C2559,[1]master_data!$A$2:$E$495,2,FALSE)</f>
        <v>PARROT</v>
      </c>
      <c r="E2559" s="5">
        <v>1</v>
      </c>
      <c r="F2559" s="5">
        <f>VLOOKUP(C2559,[1]master_data!$A$2:$E$495,3,FALSE)</f>
        <v>27000</v>
      </c>
      <c r="G2559" s="5">
        <f>VLOOKUP(C2559,[1]master_data!$A$2:$E$495,4,FALSE)</f>
        <v>60000</v>
      </c>
      <c r="H2559" s="5">
        <f t="shared" si="123"/>
        <v>27000</v>
      </c>
      <c r="I2559" s="5">
        <f t="shared" si="124"/>
        <v>60000</v>
      </c>
      <c r="J2559" s="5">
        <f t="shared" si="125"/>
        <v>33000</v>
      </c>
      <c r="K2559" s="5" t="str">
        <f>VLOOKUP(C2559,[1]master_data!$A$2:$E$495,5,FALSE)</f>
        <v>Ikan</v>
      </c>
      <c r="L2559" s="5" t="s">
        <v>471</v>
      </c>
    </row>
    <row r="2560" spans="1:12" ht="12" customHeight="1" x14ac:dyDescent="0.25">
      <c r="A2560" s="6">
        <v>44668</v>
      </c>
      <c r="B2560" s="1">
        <v>2202003</v>
      </c>
      <c r="C2560" s="5" t="s">
        <v>7</v>
      </c>
      <c r="D2560" s="5" t="str">
        <f>VLOOKUP(C2560,[1]master_data!$A$2:$E$495,2,FALSE)</f>
        <v>MESIN YANG 1600</v>
      </c>
      <c r="E2560" s="5">
        <v>1</v>
      </c>
      <c r="F2560" s="5">
        <f>VLOOKUP(C2560,[1]master_data!$A$2:$E$495,3,FALSE)</f>
        <v>64000</v>
      </c>
      <c r="G2560" s="5">
        <f>VLOOKUP(C2560,[1]master_data!$A$2:$E$495,4,FALSE)</f>
        <v>90000</v>
      </c>
      <c r="H2560" s="5">
        <f t="shared" si="123"/>
        <v>64000</v>
      </c>
      <c r="I2560" s="5">
        <f t="shared" si="124"/>
        <v>90000</v>
      </c>
      <c r="J2560" s="5">
        <f t="shared" si="125"/>
        <v>26000</v>
      </c>
      <c r="K2560" s="5" t="str">
        <f>VLOOKUP(C2560,[1]master_data!$A$2:$E$495,5,FALSE)</f>
        <v>Aksesoris</v>
      </c>
      <c r="L2560" s="5" t="s">
        <v>471</v>
      </c>
    </row>
    <row r="2561" spans="1:12" ht="12" customHeight="1" x14ac:dyDescent="0.25">
      <c r="A2561" s="6">
        <v>44668</v>
      </c>
      <c r="B2561" s="1">
        <v>2202002</v>
      </c>
      <c r="C2561" s="5" t="s">
        <v>463</v>
      </c>
      <c r="D2561" s="5" t="str">
        <f>VLOOKUP(C2561,[1]master_data!$A$2:$E$495,2,FALSE)</f>
        <v>CHANNA STEWARTI</v>
      </c>
      <c r="E2561" s="5">
        <v>1</v>
      </c>
      <c r="F2561" s="5">
        <f>VLOOKUP(C2561,[1]master_data!$A$2:$E$495,3,FALSE)</f>
        <v>15000</v>
      </c>
      <c r="G2561" s="5">
        <f>VLOOKUP(C2561,[1]master_data!$A$2:$E$495,4,FALSE)</f>
        <v>40000</v>
      </c>
      <c r="H2561" s="5">
        <f t="shared" si="123"/>
        <v>15000</v>
      </c>
      <c r="I2561" s="5">
        <f t="shared" si="124"/>
        <v>40000</v>
      </c>
      <c r="J2561" s="5">
        <f t="shared" si="125"/>
        <v>25000</v>
      </c>
      <c r="K2561" s="5" t="str">
        <f>VLOOKUP(C2561,[1]master_data!$A$2:$E$495,5,FALSE)</f>
        <v>Ikan</v>
      </c>
      <c r="L2561" s="5" t="s">
        <v>471</v>
      </c>
    </row>
    <row r="2562" spans="1:12" ht="12" customHeight="1" x14ac:dyDescent="0.25">
      <c r="A2562" s="6">
        <v>44668</v>
      </c>
      <c r="B2562" s="1">
        <v>2202001</v>
      </c>
      <c r="C2562" s="5" t="s">
        <v>412</v>
      </c>
      <c r="D2562" s="5" t="str">
        <f>VLOOKUP(C2562,[1]master_data!$A$2:$E$495,2,FALSE)</f>
        <v>HIU TAWAR</v>
      </c>
      <c r="E2562" s="5">
        <v>2</v>
      </c>
      <c r="F2562" s="5">
        <f>VLOOKUP(C2562,[1]master_data!$A$2:$E$495,3,FALSE)</f>
        <v>600</v>
      </c>
      <c r="G2562" s="5">
        <f>VLOOKUP(C2562,[1]master_data!$A$2:$E$495,4,FALSE)</f>
        <v>2000</v>
      </c>
      <c r="H2562" s="5">
        <f t="shared" si="123"/>
        <v>1200</v>
      </c>
      <c r="I2562" s="5">
        <f t="shared" si="124"/>
        <v>4000</v>
      </c>
      <c r="J2562" s="5">
        <f t="shared" si="125"/>
        <v>2800</v>
      </c>
      <c r="K2562" s="5" t="str">
        <f>VLOOKUP(C2562,[1]master_data!$A$2:$E$495,5,FALSE)</f>
        <v>Ikan</v>
      </c>
      <c r="L2562" s="5" t="s">
        <v>471</v>
      </c>
    </row>
    <row r="2563" spans="1:12" ht="12" customHeight="1" x14ac:dyDescent="0.25">
      <c r="A2563" s="6">
        <v>44668</v>
      </c>
      <c r="B2563" s="1">
        <v>2202000</v>
      </c>
      <c r="C2563" s="5" t="s">
        <v>407</v>
      </c>
      <c r="D2563" s="5" t="str">
        <f>VLOOKUP(C2563,[1]master_data!$A$2:$E$495,2,FALSE)</f>
        <v>CUPANG</v>
      </c>
      <c r="E2563" s="5">
        <v>2</v>
      </c>
      <c r="F2563" s="5">
        <f>VLOOKUP(C2563,[1]master_data!$A$2:$E$495,3,FALSE)</f>
        <v>2000</v>
      </c>
      <c r="G2563" s="5">
        <f>VLOOKUP(C2563,[1]master_data!$A$2:$E$495,4,FALSE)</f>
        <v>5000</v>
      </c>
      <c r="H2563" s="5">
        <f t="shared" si="123"/>
        <v>4000</v>
      </c>
      <c r="I2563" s="5">
        <f t="shared" si="124"/>
        <v>10000</v>
      </c>
      <c r="J2563" s="5">
        <f t="shared" si="125"/>
        <v>6000</v>
      </c>
      <c r="K2563" s="5" t="str">
        <f>VLOOKUP(C2563,[1]master_data!$A$2:$E$495,5,FALSE)</f>
        <v>Ikan</v>
      </c>
      <c r="L2563" s="5" t="s">
        <v>471</v>
      </c>
    </row>
    <row r="2564" spans="1:12" ht="12" customHeight="1" x14ac:dyDescent="0.25">
      <c r="A2564" s="6">
        <v>44668</v>
      </c>
      <c r="B2564" s="1">
        <v>2201999</v>
      </c>
      <c r="C2564" s="5" t="s">
        <v>37</v>
      </c>
      <c r="D2564" s="5" t="str">
        <f>VLOOKUP(C2564,[1]master_data!$A$2:$E$495,2,FALSE)</f>
        <v>MESIN YAMANO 104</v>
      </c>
      <c r="E2564" s="5">
        <v>1</v>
      </c>
      <c r="F2564" s="5">
        <f>VLOOKUP(C2564,[1]master_data!$A$2:$E$495,3,FALSE)</f>
        <v>98000</v>
      </c>
      <c r="G2564" s="5">
        <f>VLOOKUP(C2564,[1]master_data!$A$2:$E$495,4,FALSE)</f>
        <v>135000</v>
      </c>
      <c r="H2564" s="5">
        <f t="shared" si="123"/>
        <v>98000</v>
      </c>
      <c r="I2564" s="5">
        <f t="shared" si="124"/>
        <v>135000</v>
      </c>
      <c r="J2564" s="5">
        <f t="shared" si="125"/>
        <v>37000</v>
      </c>
      <c r="K2564" s="5" t="str">
        <f>VLOOKUP(C2564,[1]master_data!$A$2:$E$495,5,FALSE)</f>
        <v>Aksesoris</v>
      </c>
      <c r="L2564" s="5" t="s">
        <v>471</v>
      </c>
    </row>
    <row r="2565" spans="1:12" ht="12" customHeight="1" x14ac:dyDescent="0.25">
      <c r="A2565" s="6">
        <v>44668</v>
      </c>
      <c r="B2565" s="1">
        <v>2201998</v>
      </c>
      <c r="C2565" s="5" t="s">
        <v>451</v>
      </c>
      <c r="D2565" s="5" t="str">
        <f>VLOOKUP(C2565,[1]master_data!$A$2:$E$495,2,FALSE)</f>
        <v>SUMATRA GOLD FISH</v>
      </c>
      <c r="E2565" s="5">
        <v>10</v>
      </c>
      <c r="F2565" s="5">
        <f>VLOOKUP(C2565,[1]master_data!$A$2:$E$495,3,FALSE)</f>
        <v>2500</v>
      </c>
      <c r="G2565" s="5">
        <f>VLOOKUP(C2565,[1]master_data!$A$2:$E$495,4,FALSE)</f>
        <v>4000</v>
      </c>
      <c r="H2565" s="5">
        <f t="shared" ref="H2565:H2628" si="126">E2565*F2565</f>
        <v>25000</v>
      </c>
      <c r="I2565" s="5">
        <f t="shared" ref="I2565:I2628" si="127">E2565*G2565</f>
        <v>40000</v>
      </c>
      <c r="J2565" s="5">
        <f t="shared" ref="J2565:J2628" si="128">I2565-H2565</f>
        <v>15000</v>
      </c>
      <c r="K2565" s="5" t="str">
        <f>VLOOKUP(C2565,[1]master_data!$A$2:$E$495,5,FALSE)</f>
        <v>Ikan</v>
      </c>
      <c r="L2565" s="5" t="s">
        <v>471</v>
      </c>
    </row>
    <row r="2566" spans="1:12" ht="12" customHeight="1" x14ac:dyDescent="0.25">
      <c r="A2566" s="6">
        <v>44668</v>
      </c>
      <c r="B2566" s="1">
        <v>2201997</v>
      </c>
      <c r="C2566" s="5" t="s">
        <v>398</v>
      </c>
      <c r="D2566" s="5" t="str">
        <f>VLOOKUP(C2566,[1]master_data!$A$2:$E$495,2,FALSE)</f>
        <v>BIPOLAR</v>
      </c>
      <c r="E2566" s="5">
        <v>6</v>
      </c>
      <c r="F2566" s="5">
        <f>VLOOKUP(C2566,[1]master_data!$A$2:$E$495,3,FALSE)</f>
        <v>1000</v>
      </c>
      <c r="G2566" s="5">
        <f>VLOOKUP(C2566,[1]master_data!$A$2:$E$495,4,FALSE)</f>
        <v>2500</v>
      </c>
      <c r="H2566" s="5">
        <f t="shared" si="126"/>
        <v>6000</v>
      </c>
      <c r="I2566" s="5">
        <f t="shared" si="127"/>
        <v>15000</v>
      </c>
      <c r="J2566" s="5">
        <f t="shared" si="128"/>
        <v>9000</v>
      </c>
      <c r="K2566" s="5" t="str">
        <f>VLOOKUP(C2566,[1]master_data!$A$2:$E$495,5,FALSE)</f>
        <v>Ikan</v>
      </c>
      <c r="L2566" s="5" t="s">
        <v>471</v>
      </c>
    </row>
    <row r="2567" spans="1:12" ht="12" customHeight="1" x14ac:dyDescent="0.25">
      <c r="A2567" s="6">
        <v>44668</v>
      </c>
      <c r="B2567" s="1">
        <v>2201996</v>
      </c>
      <c r="C2567" s="5" t="s">
        <v>424</v>
      </c>
      <c r="D2567" s="5" t="str">
        <f>VLOOKUP(C2567,[1]master_data!$A$2:$E$495,2,FALSE)</f>
        <v>KOI SLAYER B</v>
      </c>
      <c r="E2567" s="5">
        <v>1</v>
      </c>
      <c r="F2567" s="5">
        <f>VLOOKUP(C2567,[1]master_data!$A$2:$E$495,3,FALSE)</f>
        <v>8000</v>
      </c>
      <c r="G2567" s="5">
        <f>VLOOKUP(C2567,[1]master_data!$A$2:$E$495,4,FALSE)</f>
        <v>20000</v>
      </c>
      <c r="H2567" s="5">
        <f t="shared" si="126"/>
        <v>8000</v>
      </c>
      <c r="I2567" s="5">
        <f t="shared" si="127"/>
        <v>20000</v>
      </c>
      <c r="J2567" s="5">
        <f t="shared" si="128"/>
        <v>12000</v>
      </c>
      <c r="K2567" s="5" t="str">
        <f>VLOOKUP(C2567,[1]master_data!$A$2:$E$495,5,FALSE)</f>
        <v>Ikan</v>
      </c>
      <c r="L2567" s="5" t="s">
        <v>471</v>
      </c>
    </row>
    <row r="2568" spans="1:12" ht="12" customHeight="1" x14ac:dyDescent="0.25">
      <c r="A2568" s="6">
        <v>44668</v>
      </c>
      <c r="B2568" s="1">
        <v>2201995</v>
      </c>
      <c r="C2568" s="5" t="s">
        <v>42</v>
      </c>
      <c r="D2568" s="5" t="str">
        <f>VLOOKUP(C2568,[1]master_data!$A$2:$E$495,2,FALSE)</f>
        <v>MESIN YAMANO MP 44</v>
      </c>
      <c r="E2568" s="5">
        <v>1</v>
      </c>
      <c r="F2568" s="5">
        <f>VLOOKUP(C2568,[1]master_data!$A$2:$E$495,3,FALSE)</f>
        <v>40000</v>
      </c>
      <c r="G2568" s="5">
        <f>VLOOKUP(C2568,[1]master_data!$A$2:$E$495,4,FALSE)</f>
        <v>60000</v>
      </c>
      <c r="H2568" s="5">
        <f t="shared" si="126"/>
        <v>40000</v>
      </c>
      <c r="I2568" s="5">
        <f t="shared" si="127"/>
        <v>60000</v>
      </c>
      <c r="J2568" s="5">
        <f t="shared" si="128"/>
        <v>20000</v>
      </c>
      <c r="K2568" s="5" t="str">
        <f>VLOOKUP(C2568,[1]master_data!$A$2:$E$495,5,FALSE)</f>
        <v>Aksesoris</v>
      </c>
      <c r="L2568" s="5" t="s">
        <v>471</v>
      </c>
    </row>
    <row r="2569" spans="1:12" ht="12" customHeight="1" x14ac:dyDescent="0.25">
      <c r="A2569" s="6">
        <v>44668</v>
      </c>
      <c r="B2569" s="1">
        <v>2201994</v>
      </c>
      <c r="C2569" s="5" t="s">
        <v>269</v>
      </c>
      <c r="D2569" s="5" t="str">
        <f>VLOOKUP(C2569,[1]master_data!$A$2:$E$495,2,FALSE)</f>
        <v>HEATER KACA 50 W</v>
      </c>
      <c r="E2569" s="5">
        <v>1</v>
      </c>
      <c r="F2569" s="5">
        <f>VLOOKUP(C2569,[1]master_data!$A$2:$E$495,3,FALSE)</f>
        <v>33000</v>
      </c>
      <c r="G2569" s="5">
        <f>VLOOKUP(C2569,[1]master_data!$A$2:$E$495,4,FALSE)</f>
        <v>50000</v>
      </c>
      <c r="H2569" s="5">
        <f t="shared" si="126"/>
        <v>33000</v>
      </c>
      <c r="I2569" s="5">
        <f t="shared" si="127"/>
        <v>50000</v>
      </c>
      <c r="J2569" s="5">
        <f t="shared" si="128"/>
        <v>17000</v>
      </c>
      <c r="K2569" s="5" t="str">
        <f>VLOOKUP(C2569,[1]master_data!$A$2:$E$495,5,FALSE)</f>
        <v>Aksesoris</v>
      </c>
      <c r="L2569" s="5" t="s">
        <v>471</v>
      </c>
    </row>
    <row r="2570" spans="1:12" ht="12" customHeight="1" x14ac:dyDescent="0.25">
      <c r="A2570" s="6">
        <v>44667</v>
      </c>
      <c r="B2570" s="1">
        <v>2201993</v>
      </c>
      <c r="C2570" s="5" t="s">
        <v>332</v>
      </c>
      <c r="D2570" s="5" t="str">
        <f>VLOOKUP(C2570,[1]master_data!$A$2:$E$495,2,FALSE)</f>
        <v>TERMOMETER</v>
      </c>
      <c r="E2570" s="5">
        <v>1</v>
      </c>
      <c r="F2570" s="5">
        <f>VLOOKUP(C2570,[1]master_data!$A$2:$E$495,3,FALSE)</f>
        <v>5250</v>
      </c>
      <c r="G2570" s="5">
        <f>VLOOKUP(C2570,[1]master_data!$A$2:$E$495,4,FALSE)</f>
        <v>10000</v>
      </c>
      <c r="H2570" s="5">
        <f t="shared" si="126"/>
        <v>5250</v>
      </c>
      <c r="I2570" s="5">
        <f t="shared" si="127"/>
        <v>10000</v>
      </c>
      <c r="J2570" s="5">
        <f t="shared" si="128"/>
        <v>4750</v>
      </c>
      <c r="K2570" s="5" t="str">
        <f>VLOOKUP(C2570,[1]master_data!$A$2:$E$495,5,FALSE)</f>
        <v>Aksesoris</v>
      </c>
      <c r="L2570" s="5" t="s">
        <v>471</v>
      </c>
    </row>
    <row r="2571" spans="1:12" ht="12" customHeight="1" x14ac:dyDescent="0.25">
      <c r="A2571" s="6">
        <v>44667</v>
      </c>
      <c r="B2571" s="1">
        <v>2201992</v>
      </c>
      <c r="C2571" s="5" t="s">
        <v>282</v>
      </c>
      <c r="D2571" s="5" t="str">
        <f>VLOOKUP(C2571,[1]master_data!$A$2:$E$495,2,FALSE)</f>
        <v>HIASAN KELAPA</v>
      </c>
      <c r="E2571" s="5">
        <v>1</v>
      </c>
      <c r="F2571" s="5">
        <f>VLOOKUP(C2571,[1]master_data!$A$2:$E$495,3,FALSE)</f>
        <v>8000</v>
      </c>
      <c r="G2571" s="5">
        <f>VLOOKUP(C2571,[1]master_data!$A$2:$E$495,4,FALSE)</f>
        <v>15000</v>
      </c>
      <c r="H2571" s="5">
        <f t="shared" si="126"/>
        <v>8000</v>
      </c>
      <c r="I2571" s="5">
        <f t="shared" si="127"/>
        <v>15000</v>
      </c>
      <c r="J2571" s="5">
        <f t="shared" si="128"/>
        <v>7000</v>
      </c>
      <c r="K2571" s="5" t="str">
        <f>VLOOKUP(C2571,[1]master_data!$A$2:$E$495,5,FALSE)</f>
        <v>Aksesoris</v>
      </c>
      <c r="L2571" s="5" t="s">
        <v>471</v>
      </c>
    </row>
    <row r="2572" spans="1:12" ht="12" customHeight="1" x14ac:dyDescent="0.25">
      <c r="A2572" s="6">
        <v>44667</v>
      </c>
      <c r="B2572" s="1">
        <v>2201991</v>
      </c>
      <c r="C2572" s="5" t="s">
        <v>444</v>
      </c>
      <c r="D2572" s="5" t="str">
        <f>VLOOKUP(C2572,[1]master_data!$A$2:$E$495,2,FALSE)</f>
        <v>PARROT</v>
      </c>
      <c r="E2572" s="5">
        <v>1</v>
      </c>
      <c r="F2572" s="5">
        <f>VLOOKUP(C2572,[1]master_data!$A$2:$E$495,3,FALSE)</f>
        <v>27000</v>
      </c>
      <c r="G2572" s="5">
        <f>VLOOKUP(C2572,[1]master_data!$A$2:$E$495,4,FALSE)</f>
        <v>60000</v>
      </c>
      <c r="H2572" s="5">
        <f t="shared" si="126"/>
        <v>27000</v>
      </c>
      <c r="I2572" s="5">
        <f t="shared" si="127"/>
        <v>60000</v>
      </c>
      <c r="J2572" s="5">
        <f t="shared" si="128"/>
        <v>33000</v>
      </c>
      <c r="K2572" s="5" t="str">
        <f>VLOOKUP(C2572,[1]master_data!$A$2:$E$495,5,FALSE)</f>
        <v>Ikan</v>
      </c>
      <c r="L2572" s="5" t="s">
        <v>471</v>
      </c>
    </row>
    <row r="2573" spans="1:12" ht="12" customHeight="1" x14ac:dyDescent="0.25">
      <c r="A2573" s="6">
        <v>44667</v>
      </c>
      <c r="B2573" s="1">
        <v>2201990</v>
      </c>
      <c r="C2573" s="5" t="s">
        <v>451</v>
      </c>
      <c r="D2573" s="5" t="str">
        <f>VLOOKUP(C2573,[1]master_data!$A$2:$E$495,2,FALSE)</f>
        <v>SUMATRA GOLD FISH</v>
      </c>
      <c r="E2573" s="5">
        <v>10</v>
      </c>
      <c r="F2573" s="5">
        <f>VLOOKUP(C2573,[1]master_data!$A$2:$E$495,3,FALSE)</f>
        <v>2500</v>
      </c>
      <c r="G2573" s="5">
        <f>VLOOKUP(C2573,[1]master_data!$A$2:$E$495,4,FALSE)</f>
        <v>4000</v>
      </c>
      <c r="H2573" s="5">
        <f t="shared" si="126"/>
        <v>25000</v>
      </c>
      <c r="I2573" s="5">
        <f t="shared" si="127"/>
        <v>40000</v>
      </c>
      <c r="J2573" s="5">
        <f t="shared" si="128"/>
        <v>15000</v>
      </c>
      <c r="K2573" s="5" t="str">
        <f>VLOOKUP(C2573,[1]master_data!$A$2:$E$495,5,FALSE)</f>
        <v>Ikan</v>
      </c>
      <c r="L2573" s="5" t="s">
        <v>471</v>
      </c>
    </row>
    <row r="2574" spans="1:12" ht="12" customHeight="1" x14ac:dyDescent="0.25">
      <c r="A2574" s="6">
        <v>44667</v>
      </c>
      <c r="B2574" s="1">
        <v>2201989</v>
      </c>
      <c r="C2574" s="5" t="s">
        <v>413</v>
      </c>
      <c r="D2574" s="5" t="str">
        <f>VLOOKUP(C2574,[1]master_data!$A$2:$E$495,2,FALSE)</f>
        <v>KOKI K</v>
      </c>
      <c r="E2574" s="5">
        <v>5</v>
      </c>
      <c r="F2574" s="5">
        <f>VLOOKUP(C2574,[1]master_data!$A$2:$E$495,3,FALSE)</f>
        <v>3500</v>
      </c>
      <c r="G2574" s="5">
        <f>VLOOKUP(C2574,[1]master_data!$A$2:$E$495,4,FALSE)</f>
        <v>10000</v>
      </c>
      <c r="H2574" s="5">
        <f t="shared" si="126"/>
        <v>17500</v>
      </c>
      <c r="I2574" s="5">
        <f t="shared" si="127"/>
        <v>50000</v>
      </c>
      <c r="J2574" s="5">
        <f t="shared" si="128"/>
        <v>32500</v>
      </c>
      <c r="K2574" s="5" t="str">
        <f>VLOOKUP(C2574,[1]master_data!$A$2:$E$495,5,FALSE)</f>
        <v>Ikan</v>
      </c>
      <c r="L2574" s="5" t="s">
        <v>471</v>
      </c>
    </row>
    <row r="2575" spans="1:12" ht="12" customHeight="1" x14ac:dyDescent="0.25">
      <c r="A2575" s="6">
        <v>44667</v>
      </c>
      <c r="B2575" s="1">
        <v>2201988</v>
      </c>
      <c r="C2575" s="5" t="s">
        <v>455</v>
      </c>
      <c r="D2575" s="5" t="str">
        <f>VLOOKUP(C2575,[1]master_data!$A$2:$E$495,2,FALSE)</f>
        <v>TETRA</v>
      </c>
      <c r="E2575" s="5">
        <v>10</v>
      </c>
      <c r="F2575" s="5">
        <f>VLOOKUP(C2575,[1]master_data!$A$2:$E$495,3,FALSE)</f>
        <v>800</v>
      </c>
      <c r="G2575" s="5">
        <f>VLOOKUP(C2575,[1]master_data!$A$2:$E$495,4,FALSE)</f>
        <v>2000</v>
      </c>
      <c r="H2575" s="5">
        <f t="shared" si="126"/>
        <v>8000</v>
      </c>
      <c r="I2575" s="5">
        <f t="shared" si="127"/>
        <v>20000</v>
      </c>
      <c r="J2575" s="5">
        <f t="shared" si="128"/>
        <v>12000</v>
      </c>
      <c r="K2575" s="5" t="str">
        <f>VLOOKUP(C2575,[1]master_data!$A$2:$E$495,5,FALSE)</f>
        <v>Ikan</v>
      </c>
      <c r="L2575" s="5" t="s">
        <v>471</v>
      </c>
    </row>
    <row r="2576" spans="1:12" ht="12" customHeight="1" x14ac:dyDescent="0.25">
      <c r="A2576" s="6">
        <v>44667</v>
      </c>
      <c r="B2576" s="1">
        <v>2201987</v>
      </c>
      <c r="C2576" s="5" t="s">
        <v>312</v>
      </c>
      <c r="D2576" s="5" t="str">
        <f>VLOOKUP(C2576,[1]master_data!$A$2:$E$495,2,FALSE)</f>
        <v>T PIPA</v>
      </c>
      <c r="E2576" s="5">
        <v>10</v>
      </c>
      <c r="F2576" s="5">
        <f>VLOOKUP(C2576,[1]master_data!$A$2:$E$495,3,FALSE)</f>
        <v>800</v>
      </c>
      <c r="G2576" s="5">
        <f>VLOOKUP(C2576,[1]master_data!$A$2:$E$495,4,FALSE)</f>
        <v>2000</v>
      </c>
      <c r="H2576" s="5">
        <f t="shared" si="126"/>
        <v>8000</v>
      </c>
      <c r="I2576" s="5">
        <f t="shared" si="127"/>
        <v>20000</v>
      </c>
      <c r="J2576" s="5">
        <f t="shared" si="128"/>
        <v>12000</v>
      </c>
      <c r="K2576" s="5" t="str">
        <f>VLOOKUP(C2576,[1]master_data!$A$2:$E$495,5,FALSE)</f>
        <v>Aksesoris</v>
      </c>
      <c r="L2576" s="5" t="s">
        <v>471</v>
      </c>
    </row>
    <row r="2577" spans="1:12" ht="12" customHeight="1" x14ac:dyDescent="0.25">
      <c r="A2577" s="6">
        <v>44667</v>
      </c>
      <c r="B2577" s="1">
        <v>2201986</v>
      </c>
      <c r="C2577" s="5" t="s">
        <v>455</v>
      </c>
      <c r="D2577" s="5" t="str">
        <f>VLOOKUP(C2577,[1]master_data!$A$2:$E$495,2,FALSE)</f>
        <v>TETRA</v>
      </c>
      <c r="E2577" s="5">
        <v>10</v>
      </c>
      <c r="F2577" s="5">
        <f>VLOOKUP(C2577,[1]master_data!$A$2:$E$495,3,FALSE)</f>
        <v>800</v>
      </c>
      <c r="G2577" s="5">
        <f>VLOOKUP(C2577,[1]master_data!$A$2:$E$495,4,FALSE)</f>
        <v>2000</v>
      </c>
      <c r="H2577" s="5">
        <f t="shared" si="126"/>
        <v>8000</v>
      </c>
      <c r="I2577" s="5">
        <f t="shared" si="127"/>
        <v>20000</v>
      </c>
      <c r="J2577" s="5">
        <f t="shared" si="128"/>
        <v>12000</v>
      </c>
      <c r="K2577" s="5" t="str">
        <f>VLOOKUP(C2577,[1]master_data!$A$2:$E$495,5,FALSE)</f>
        <v>Ikan</v>
      </c>
      <c r="L2577" s="5" t="s">
        <v>471</v>
      </c>
    </row>
    <row r="2578" spans="1:12" ht="12" customHeight="1" x14ac:dyDescent="0.25">
      <c r="A2578" s="6">
        <v>44667</v>
      </c>
      <c r="B2578" s="1">
        <v>2201985</v>
      </c>
      <c r="C2578" s="5" t="s">
        <v>311</v>
      </c>
      <c r="D2578" s="5" t="str">
        <f>VLOOKUP(C2578,[1]master_data!$A$2:$E$495,2,FALSE)</f>
        <v>L PIPA</v>
      </c>
      <c r="E2578" s="5">
        <v>10</v>
      </c>
      <c r="F2578" s="5">
        <f>VLOOKUP(C2578,[1]master_data!$A$2:$E$495,3,FALSE)</f>
        <v>800</v>
      </c>
      <c r="G2578" s="5">
        <f>VLOOKUP(C2578,[1]master_data!$A$2:$E$495,4,FALSE)</f>
        <v>2000</v>
      </c>
      <c r="H2578" s="5">
        <f t="shared" si="126"/>
        <v>8000</v>
      </c>
      <c r="I2578" s="5">
        <f t="shared" si="127"/>
        <v>20000</v>
      </c>
      <c r="J2578" s="5">
        <f t="shared" si="128"/>
        <v>12000</v>
      </c>
      <c r="K2578" s="5" t="str">
        <f>VLOOKUP(C2578,[1]master_data!$A$2:$E$495,5,FALSE)</f>
        <v>Aksesoris</v>
      </c>
      <c r="L2578" s="5" t="s">
        <v>471</v>
      </c>
    </row>
    <row r="2579" spans="1:12" ht="12" customHeight="1" x14ac:dyDescent="0.25">
      <c r="A2579" s="6">
        <v>44667</v>
      </c>
      <c r="B2579" s="1">
        <v>2201984</v>
      </c>
      <c r="C2579" s="5" t="s">
        <v>6</v>
      </c>
      <c r="D2579" s="5" t="str">
        <f>VLOOKUP(C2579,[1]master_data!$A$2:$E$495,2,FALSE)</f>
        <v>MESIN YANG 1200</v>
      </c>
      <c r="E2579" s="5">
        <v>1</v>
      </c>
      <c r="F2579" s="5">
        <f>VLOOKUP(C2579,[1]master_data!$A$2:$E$495,3,FALSE)</f>
        <v>25000</v>
      </c>
      <c r="G2579" s="5">
        <f>VLOOKUP(C2579,[1]master_data!$A$2:$E$495,4,FALSE)</f>
        <v>40000</v>
      </c>
      <c r="H2579" s="5">
        <f t="shared" si="126"/>
        <v>25000</v>
      </c>
      <c r="I2579" s="5">
        <f t="shared" si="127"/>
        <v>40000</v>
      </c>
      <c r="J2579" s="5">
        <f t="shared" si="128"/>
        <v>15000</v>
      </c>
      <c r="K2579" s="5" t="str">
        <f>VLOOKUP(C2579,[1]master_data!$A$2:$E$495,5,FALSE)</f>
        <v>Aksesoris</v>
      </c>
      <c r="L2579" s="5" t="s">
        <v>471</v>
      </c>
    </row>
    <row r="2580" spans="1:12" ht="12" customHeight="1" x14ac:dyDescent="0.25">
      <c r="A2580" s="6">
        <v>44667</v>
      </c>
      <c r="B2580" s="1">
        <v>2201983</v>
      </c>
      <c r="C2580" s="5" t="s">
        <v>285</v>
      </c>
      <c r="D2580" s="5" t="str">
        <f>VLOOKUP(C2580,[1]master_data!$A$2:$E$495,2,FALSE)</f>
        <v>KAPAS 4 LAPIS</v>
      </c>
      <c r="E2580" s="5">
        <v>1</v>
      </c>
      <c r="F2580" s="5">
        <f>VLOOKUP(C2580,[1]master_data!$A$2:$E$495,3,FALSE)</f>
        <v>6500</v>
      </c>
      <c r="G2580" s="5">
        <f>VLOOKUP(C2580,[1]master_data!$A$2:$E$495,4,FALSE)</f>
        <v>10000</v>
      </c>
      <c r="H2580" s="5">
        <f t="shared" si="126"/>
        <v>6500</v>
      </c>
      <c r="I2580" s="5">
        <f t="shared" si="127"/>
        <v>10000</v>
      </c>
      <c r="J2580" s="5">
        <f t="shared" si="128"/>
        <v>3500</v>
      </c>
      <c r="K2580" s="5" t="str">
        <f>VLOOKUP(C2580,[1]master_data!$A$2:$E$495,5,FALSE)</f>
        <v>Aksesoris</v>
      </c>
      <c r="L2580" s="5" t="s">
        <v>471</v>
      </c>
    </row>
    <row r="2581" spans="1:12" ht="12" customHeight="1" x14ac:dyDescent="0.25">
      <c r="A2581" s="6">
        <v>44667</v>
      </c>
      <c r="B2581" s="1">
        <v>2201982</v>
      </c>
      <c r="C2581" s="5" t="s">
        <v>407</v>
      </c>
      <c r="D2581" s="5" t="str">
        <f>VLOOKUP(C2581,[1]master_data!$A$2:$E$495,2,FALSE)</f>
        <v>CUPANG</v>
      </c>
      <c r="E2581" s="5">
        <v>2</v>
      </c>
      <c r="F2581" s="5">
        <f>VLOOKUP(C2581,[1]master_data!$A$2:$E$495,3,FALSE)</f>
        <v>2000</v>
      </c>
      <c r="G2581" s="5">
        <f>VLOOKUP(C2581,[1]master_data!$A$2:$E$495,4,FALSE)</f>
        <v>5000</v>
      </c>
      <c r="H2581" s="5">
        <f t="shared" si="126"/>
        <v>4000</v>
      </c>
      <c r="I2581" s="5">
        <f t="shared" si="127"/>
        <v>10000</v>
      </c>
      <c r="J2581" s="5">
        <f t="shared" si="128"/>
        <v>6000</v>
      </c>
      <c r="K2581" s="5" t="str">
        <f>VLOOKUP(C2581,[1]master_data!$A$2:$E$495,5,FALSE)</f>
        <v>Ikan</v>
      </c>
      <c r="L2581" s="5" t="s">
        <v>471</v>
      </c>
    </row>
    <row r="2582" spans="1:12" ht="12" customHeight="1" x14ac:dyDescent="0.25">
      <c r="A2582" s="6">
        <v>44667</v>
      </c>
      <c r="B2582" s="1">
        <v>2201981</v>
      </c>
      <c r="C2582" s="5" t="s">
        <v>418</v>
      </c>
      <c r="D2582" s="5" t="str">
        <f>VLOOKUP(C2582,[1]master_data!$A$2:$E$495,2,FALSE)</f>
        <v>KOI B</v>
      </c>
      <c r="E2582" s="5">
        <v>4</v>
      </c>
      <c r="F2582" s="5">
        <f>VLOOKUP(C2582,[1]master_data!$A$2:$E$495,3,FALSE)</f>
        <v>9000</v>
      </c>
      <c r="G2582" s="5">
        <f>VLOOKUP(C2582,[1]master_data!$A$2:$E$495,4,FALSE)</f>
        <v>30000</v>
      </c>
      <c r="H2582" s="5">
        <f t="shared" si="126"/>
        <v>36000</v>
      </c>
      <c r="I2582" s="5">
        <f t="shared" si="127"/>
        <v>120000</v>
      </c>
      <c r="J2582" s="5">
        <f t="shared" si="128"/>
        <v>84000</v>
      </c>
      <c r="K2582" s="5" t="str">
        <f>VLOOKUP(C2582,[1]master_data!$A$2:$E$495,5,FALSE)</f>
        <v>Ikan</v>
      </c>
      <c r="L2582" s="5" t="s">
        <v>471</v>
      </c>
    </row>
    <row r="2583" spans="1:12" ht="12" customHeight="1" x14ac:dyDescent="0.25">
      <c r="A2583" s="6">
        <v>44667</v>
      </c>
      <c r="B2583" s="1">
        <v>2201980</v>
      </c>
      <c r="C2583" s="5" t="s">
        <v>398</v>
      </c>
      <c r="D2583" s="5" t="str">
        <f>VLOOKUP(C2583,[1]master_data!$A$2:$E$495,2,FALSE)</f>
        <v>BIPOLAR</v>
      </c>
      <c r="E2583" s="5">
        <v>6</v>
      </c>
      <c r="F2583" s="5">
        <f>VLOOKUP(C2583,[1]master_data!$A$2:$E$495,3,FALSE)</f>
        <v>1000</v>
      </c>
      <c r="G2583" s="5">
        <f>VLOOKUP(C2583,[1]master_data!$A$2:$E$495,4,FALSE)</f>
        <v>2500</v>
      </c>
      <c r="H2583" s="5">
        <f t="shared" si="126"/>
        <v>6000</v>
      </c>
      <c r="I2583" s="5">
        <f t="shared" si="127"/>
        <v>15000</v>
      </c>
      <c r="J2583" s="5">
        <f t="shared" si="128"/>
        <v>9000</v>
      </c>
      <c r="K2583" s="5" t="str">
        <f>VLOOKUP(C2583,[1]master_data!$A$2:$E$495,5,FALSE)</f>
        <v>Ikan</v>
      </c>
      <c r="L2583" s="5" t="s">
        <v>471</v>
      </c>
    </row>
    <row r="2584" spans="1:12" ht="12" customHeight="1" x14ac:dyDescent="0.25">
      <c r="A2584" s="6">
        <v>44667</v>
      </c>
      <c r="B2584" s="1">
        <v>2201979</v>
      </c>
      <c r="C2584" s="5" t="s">
        <v>463</v>
      </c>
      <c r="D2584" s="5" t="str">
        <f>VLOOKUP(C2584,[1]master_data!$A$2:$E$495,2,FALSE)</f>
        <v>CHANNA STEWARTI</v>
      </c>
      <c r="E2584" s="5">
        <v>1</v>
      </c>
      <c r="F2584" s="5">
        <f>VLOOKUP(C2584,[1]master_data!$A$2:$E$495,3,FALSE)</f>
        <v>15000</v>
      </c>
      <c r="G2584" s="5">
        <f>VLOOKUP(C2584,[1]master_data!$A$2:$E$495,4,FALSE)</f>
        <v>40000</v>
      </c>
      <c r="H2584" s="5">
        <f t="shared" si="126"/>
        <v>15000</v>
      </c>
      <c r="I2584" s="5">
        <f t="shared" si="127"/>
        <v>40000</v>
      </c>
      <c r="J2584" s="5">
        <f t="shared" si="128"/>
        <v>25000</v>
      </c>
      <c r="K2584" s="5" t="str">
        <f>VLOOKUP(C2584,[1]master_data!$A$2:$E$495,5,FALSE)</f>
        <v>Ikan</v>
      </c>
      <c r="L2584" s="5" t="s">
        <v>471</v>
      </c>
    </row>
    <row r="2585" spans="1:12" ht="12" customHeight="1" x14ac:dyDescent="0.25">
      <c r="A2585" s="6">
        <v>44667</v>
      </c>
      <c r="B2585" s="1">
        <v>2201978</v>
      </c>
      <c r="C2585" s="5" t="s">
        <v>420</v>
      </c>
      <c r="D2585" s="5" t="str">
        <f>VLOOKUP(C2585,[1]master_data!$A$2:$E$495,2,FALSE)</f>
        <v>KAVIAT</v>
      </c>
      <c r="E2585" s="5">
        <v>4</v>
      </c>
      <c r="F2585" s="5">
        <f>VLOOKUP(C2585,[1]master_data!$A$2:$E$495,3,FALSE)</f>
        <v>3500</v>
      </c>
      <c r="G2585" s="5">
        <f>VLOOKUP(C2585,[1]master_data!$A$2:$E$495,4,FALSE)</f>
        <v>8000</v>
      </c>
      <c r="H2585" s="5">
        <f t="shared" si="126"/>
        <v>14000</v>
      </c>
      <c r="I2585" s="5">
        <f t="shared" si="127"/>
        <v>32000</v>
      </c>
      <c r="J2585" s="5">
        <f t="shared" si="128"/>
        <v>18000</v>
      </c>
      <c r="K2585" s="5" t="str">
        <f>VLOOKUP(C2585,[1]master_data!$A$2:$E$495,5,FALSE)</f>
        <v>Ikan</v>
      </c>
      <c r="L2585" s="5" t="s">
        <v>471</v>
      </c>
    </row>
    <row r="2586" spans="1:12" ht="12" customHeight="1" x14ac:dyDescent="0.25">
      <c r="A2586" s="6">
        <v>44667</v>
      </c>
      <c r="B2586" s="1">
        <v>2201977</v>
      </c>
      <c r="C2586" s="5" t="s">
        <v>20</v>
      </c>
      <c r="D2586" s="5" t="str">
        <f>VLOOKUP(C2586,[1]master_data!$A$2:$E$495,2,FALSE)</f>
        <v>MESIN ROSTON 1200</v>
      </c>
      <c r="E2586" s="5">
        <v>1</v>
      </c>
      <c r="F2586" s="5">
        <f>VLOOKUP(C2586,[1]master_data!$A$2:$E$495,3,FALSE)</f>
        <v>23000</v>
      </c>
      <c r="G2586" s="5">
        <f>VLOOKUP(C2586,[1]master_data!$A$2:$E$495,4,FALSE)</f>
        <v>35000</v>
      </c>
      <c r="H2586" s="5">
        <f t="shared" si="126"/>
        <v>23000</v>
      </c>
      <c r="I2586" s="5">
        <f t="shared" si="127"/>
        <v>35000</v>
      </c>
      <c r="J2586" s="5">
        <f t="shared" si="128"/>
        <v>12000</v>
      </c>
      <c r="K2586" s="5" t="str">
        <f>VLOOKUP(C2586,[1]master_data!$A$2:$E$495,5,FALSE)</f>
        <v>Aksesoris</v>
      </c>
      <c r="L2586" s="5" t="s">
        <v>471</v>
      </c>
    </row>
    <row r="2587" spans="1:12" ht="12" customHeight="1" x14ac:dyDescent="0.25">
      <c r="A2587" s="6">
        <v>44667</v>
      </c>
      <c r="B2587" s="1">
        <v>2201976</v>
      </c>
      <c r="C2587" s="5" t="s">
        <v>432</v>
      </c>
      <c r="D2587" s="5" t="str">
        <f>VLOOKUP(C2587,[1]master_data!$A$2:$E$495,2,FALSE)</f>
        <v>MARU K</v>
      </c>
      <c r="E2587" s="5">
        <v>1</v>
      </c>
      <c r="F2587" s="5">
        <f>VLOOKUP(C2587,[1]master_data!$A$2:$E$495,3,FALSE)</f>
        <v>23000</v>
      </c>
      <c r="G2587" s="5">
        <f>VLOOKUP(C2587,[1]master_data!$A$2:$E$495,4,FALSE)</f>
        <v>50000</v>
      </c>
      <c r="H2587" s="5">
        <f t="shared" si="126"/>
        <v>23000</v>
      </c>
      <c r="I2587" s="5">
        <f t="shared" si="127"/>
        <v>50000</v>
      </c>
      <c r="J2587" s="5">
        <f t="shared" si="128"/>
        <v>27000</v>
      </c>
      <c r="K2587" s="5" t="str">
        <f>VLOOKUP(C2587,[1]master_data!$A$2:$E$495,5,FALSE)</f>
        <v>Ikan</v>
      </c>
      <c r="L2587" s="5" t="s">
        <v>471</v>
      </c>
    </row>
    <row r="2588" spans="1:12" ht="12" customHeight="1" x14ac:dyDescent="0.25">
      <c r="A2588" s="6">
        <v>44666</v>
      </c>
      <c r="B2588" s="1">
        <v>2201975</v>
      </c>
      <c r="C2588" s="5" t="s">
        <v>9</v>
      </c>
      <c r="D2588" s="5" t="str">
        <f>VLOOKUP(C2588,[1]master_data!$A$2:$E$495,2,FALSE)</f>
        <v>TOP FILTER YANG 910</v>
      </c>
      <c r="E2588" s="5">
        <v>1</v>
      </c>
      <c r="F2588" s="5">
        <f>VLOOKUP(C2588,[1]master_data!$A$2:$E$495,3,FALSE)</f>
        <v>41000</v>
      </c>
      <c r="G2588" s="5">
        <f>VLOOKUP(C2588,[1]master_data!$A$2:$E$495,4,FALSE)</f>
        <v>65000</v>
      </c>
      <c r="H2588" s="5">
        <f t="shared" si="126"/>
        <v>41000</v>
      </c>
      <c r="I2588" s="5">
        <f t="shared" si="127"/>
        <v>65000</v>
      </c>
      <c r="J2588" s="5">
        <f t="shared" si="128"/>
        <v>24000</v>
      </c>
      <c r="K2588" s="5" t="str">
        <f>VLOOKUP(C2588,[1]master_data!$A$2:$E$495,5,FALSE)</f>
        <v>Aksesoris</v>
      </c>
      <c r="L2588" s="5" t="s">
        <v>471</v>
      </c>
    </row>
    <row r="2589" spans="1:12" ht="12" customHeight="1" x14ac:dyDescent="0.25">
      <c r="A2589" s="6">
        <v>44666</v>
      </c>
      <c r="B2589" s="1">
        <v>2201974</v>
      </c>
      <c r="C2589" s="5" t="s">
        <v>127</v>
      </c>
      <c r="D2589" s="5" t="str">
        <f>VLOOKUP(C2589,[1]master_data!$A$2:$E$495,2,FALSE)</f>
        <v>LED YAMANO 3W</v>
      </c>
      <c r="E2589" s="5">
        <v>1</v>
      </c>
      <c r="F2589" s="5">
        <f>VLOOKUP(C2589,[1]master_data!$A$2:$E$495,3,FALSE)</f>
        <v>37000</v>
      </c>
      <c r="G2589" s="5">
        <f>VLOOKUP(C2589,[1]master_data!$A$2:$E$495,4,FALSE)</f>
        <v>60000</v>
      </c>
      <c r="H2589" s="5">
        <f t="shared" si="126"/>
        <v>37000</v>
      </c>
      <c r="I2589" s="5">
        <f t="shared" si="127"/>
        <v>60000</v>
      </c>
      <c r="J2589" s="5">
        <f t="shared" si="128"/>
        <v>23000</v>
      </c>
      <c r="K2589" s="5" t="str">
        <f>VLOOKUP(C2589,[1]master_data!$A$2:$E$495,5,FALSE)</f>
        <v>Aksesoris</v>
      </c>
      <c r="L2589" s="5" t="s">
        <v>471</v>
      </c>
    </row>
    <row r="2590" spans="1:12" ht="12" customHeight="1" x14ac:dyDescent="0.25">
      <c r="A2590" s="6">
        <v>44666</v>
      </c>
      <c r="B2590" s="1">
        <v>2201973</v>
      </c>
      <c r="C2590" s="5" t="s">
        <v>451</v>
      </c>
      <c r="D2590" s="5" t="str">
        <f>VLOOKUP(C2590,[1]master_data!$A$2:$E$495,2,FALSE)</f>
        <v>SUMATRA GOLD FISH</v>
      </c>
      <c r="E2590" s="5">
        <v>10</v>
      </c>
      <c r="F2590" s="5">
        <f>VLOOKUP(C2590,[1]master_data!$A$2:$E$495,3,FALSE)</f>
        <v>2500</v>
      </c>
      <c r="G2590" s="5">
        <f>VLOOKUP(C2590,[1]master_data!$A$2:$E$495,4,FALSE)</f>
        <v>4000</v>
      </c>
      <c r="H2590" s="5">
        <f t="shared" si="126"/>
        <v>25000</v>
      </c>
      <c r="I2590" s="5">
        <f t="shared" si="127"/>
        <v>40000</v>
      </c>
      <c r="J2590" s="5">
        <f t="shared" si="128"/>
        <v>15000</v>
      </c>
      <c r="K2590" s="5" t="str">
        <f>VLOOKUP(C2590,[1]master_data!$A$2:$E$495,5,FALSE)</f>
        <v>Ikan</v>
      </c>
      <c r="L2590" s="5" t="s">
        <v>471</v>
      </c>
    </row>
    <row r="2591" spans="1:12" ht="12" customHeight="1" x14ac:dyDescent="0.25">
      <c r="A2591" s="6">
        <v>44666</v>
      </c>
      <c r="B2591" s="1">
        <v>2201972</v>
      </c>
      <c r="C2591" s="5" t="s">
        <v>285</v>
      </c>
      <c r="D2591" s="5" t="str">
        <f>VLOOKUP(C2591,[1]master_data!$A$2:$E$495,2,FALSE)</f>
        <v>KAPAS 4 LAPIS</v>
      </c>
      <c r="E2591" s="5">
        <v>1</v>
      </c>
      <c r="F2591" s="5">
        <f>VLOOKUP(C2591,[1]master_data!$A$2:$E$495,3,FALSE)</f>
        <v>6500</v>
      </c>
      <c r="G2591" s="5">
        <f>VLOOKUP(C2591,[1]master_data!$A$2:$E$495,4,FALSE)</f>
        <v>10000</v>
      </c>
      <c r="H2591" s="5">
        <f t="shared" si="126"/>
        <v>6500</v>
      </c>
      <c r="I2591" s="5">
        <f t="shared" si="127"/>
        <v>10000</v>
      </c>
      <c r="J2591" s="5">
        <f t="shared" si="128"/>
        <v>3500</v>
      </c>
      <c r="K2591" s="5" t="str">
        <f>VLOOKUP(C2591,[1]master_data!$A$2:$E$495,5,FALSE)</f>
        <v>Aksesoris</v>
      </c>
      <c r="L2591" s="5" t="s">
        <v>471</v>
      </c>
    </row>
    <row r="2592" spans="1:12" ht="12" customHeight="1" x14ac:dyDescent="0.25">
      <c r="A2592" s="6">
        <v>44666</v>
      </c>
      <c r="B2592" s="1">
        <v>2201971</v>
      </c>
      <c r="C2592" s="5" t="s">
        <v>444</v>
      </c>
      <c r="D2592" s="5" t="str">
        <f>VLOOKUP(C2592,[1]master_data!$A$2:$E$495,2,FALSE)</f>
        <v>PARROT</v>
      </c>
      <c r="E2592" s="5">
        <v>1</v>
      </c>
      <c r="F2592" s="5">
        <f>VLOOKUP(C2592,[1]master_data!$A$2:$E$495,3,FALSE)</f>
        <v>27000</v>
      </c>
      <c r="G2592" s="5">
        <f>VLOOKUP(C2592,[1]master_data!$A$2:$E$495,4,FALSE)</f>
        <v>60000</v>
      </c>
      <c r="H2592" s="5">
        <f t="shared" si="126"/>
        <v>27000</v>
      </c>
      <c r="I2592" s="5">
        <f t="shared" si="127"/>
        <v>60000</v>
      </c>
      <c r="J2592" s="5">
        <f t="shared" si="128"/>
        <v>33000</v>
      </c>
      <c r="K2592" s="5" t="str">
        <f>VLOOKUP(C2592,[1]master_data!$A$2:$E$495,5,FALSE)</f>
        <v>Ikan</v>
      </c>
      <c r="L2592" s="5" t="s">
        <v>471</v>
      </c>
    </row>
    <row r="2593" spans="1:12" ht="12" customHeight="1" x14ac:dyDescent="0.25">
      <c r="A2593" s="6">
        <v>44666</v>
      </c>
      <c r="B2593" s="1">
        <v>2201970</v>
      </c>
      <c r="C2593" s="5" t="s">
        <v>398</v>
      </c>
      <c r="D2593" s="5" t="str">
        <f>VLOOKUP(C2593,[1]master_data!$A$2:$E$495,2,FALSE)</f>
        <v>BIPOLAR</v>
      </c>
      <c r="E2593" s="5">
        <v>6</v>
      </c>
      <c r="F2593" s="5">
        <f>VLOOKUP(C2593,[1]master_data!$A$2:$E$495,3,FALSE)</f>
        <v>1000</v>
      </c>
      <c r="G2593" s="5">
        <f>VLOOKUP(C2593,[1]master_data!$A$2:$E$495,4,FALSE)</f>
        <v>2500</v>
      </c>
      <c r="H2593" s="5">
        <f t="shared" si="126"/>
        <v>6000</v>
      </c>
      <c r="I2593" s="5">
        <f t="shared" si="127"/>
        <v>15000</v>
      </c>
      <c r="J2593" s="5">
        <f t="shared" si="128"/>
        <v>9000</v>
      </c>
      <c r="K2593" s="5" t="str">
        <f>VLOOKUP(C2593,[1]master_data!$A$2:$E$495,5,FALSE)</f>
        <v>Ikan</v>
      </c>
      <c r="L2593" s="5" t="s">
        <v>471</v>
      </c>
    </row>
    <row r="2594" spans="1:12" ht="12" customHeight="1" x14ac:dyDescent="0.25">
      <c r="A2594" s="6">
        <v>44666</v>
      </c>
      <c r="B2594" s="1">
        <v>2201969</v>
      </c>
      <c r="C2594" s="5" t="s">
        <v>261</v>
      </c>
      <c r="D2594" s="5" t="str">
        <f>VLOOKUP(C2594,[1]master_data!$A$2:$E$495,2,FALSE)</f>
        <v>BONSAI</v>
      </c>
      <c r="E2594" s="5">
        <v>1</v>
      </c>
      <c r="F2594" s="5">
        <f>VLOOKUP(C2594,[1]master_data!$A$2:$E$495,3,FALSE)</f>
        <v>15000</v>
      </c>
      <c r="G2594" s="5">
        <f>VLOOKUP(C2594,[1]master_data!$A$2:$E$495,4,FALSE)</f>
        <v>20000</v>
      </c>
      <c r="H2594" s="5">
        <f t="shared" si="126"/>
        <v>15000</v>
      </c>
      <c r="I2594" s="5">
        <f t="shared" si="127"/>
        <v>20000</v>
      </c>
      <c r="J2594" s="5">
        <f t="shared" si="128"/>
        <v>5000</v>
      </c>
      <c r="K2594" s="5" t="str">
        <f>VLOOKUP(C2594,[1]master_data!$A$2:$E$495,5,FALSE)</f>
        <v>Aksesoris</v>
      </c>
      <c r="L2594" s="5" t="s">
        <v>471</v>
      </c>
    </row>
    <row r="2595" spans="1:12" ht="12" customHeight="1" x14ac:dyDescent="0.25">
      <c r="A2595" s="6">
        <v>44666</v>
      </c>
      <c r="B2595" s="1">
        <v>2201968</v>
      </c>
      <c r="C2595" s="5" t="s">
        <v>100</v>
      </c>
      <c r="D2595" s="5" t="str">
        <f>VLOOKUP(C2595,[1]master_data!$A$2:$E$495,2,FALSE)</f>
        <v>AIRATOR AMARA LUB 1</v>
      </c>
      <c r="E2595" s="5">
        <v>1</v>
      </c>
      <c r="F2595" s="5">
        <f>VLOOKUP(C2595,[1]master_data!$A$2:$E$495,3,FALSE)</f>
        <v>17500</v>
      </c>
      <c r="G2595" s="5">
        <f>VLOOKUP(C2595,[1]master_data!$A$2:$E$495,4,FALSE)</f>
        <v>30000</v>
      </c>
      <c r="H2595" s="5">
        <f t="shared" si="126"/>
        <v>17500</v>
      </c>
      <c r="I2595" s="5">
        <f t="shared" si="127"/>
        <v>30000</v>
      </c>
      <c r="J2595" s="5">
        <f t="shared" si="128"/>
        <v>12500</v>
      </c>
      <c r="K2595" s="5" t="str">
        <f>VLOOKUP(C2595,[1]master_data!$A$2:$E$495,5,FALSE)</f>
        <v>Aksesoris</v>
      </c>
      <c r="L2595" s="5" t="s">
        <v>471</v>
      </c>
    </row>
    <row r="2596" spans="1:12" ht="12" customHeight="1" x14ac:dyDescent="0.25">
      <c r="A2596" s="6">
        <v>44666</v>
      </c>
      <c r="B2596" s="1">
        <v>2201967</v>
      </c>
      <c r="C2596" s="5" t="s">
        <v>432</v>
      </c>
      <c r="D2596" s="5" t="str">
        <f>VLOOKUP(C2596,[1]master_data!$A$2:$E$495,2,FALSE)</f>
        <v>MARU K</v>
      </c>
      <c r="E2596" s="5">
        <v>1</v>
      </c>
      <c r="F2596" s="5">
        <f>VLOOKUP(C2596,[1]master_data!$A$2:$E$495,3,FALSE)</f>
        <v>23000</v>
      </c>
      <c r="G2596" s="5">
        <f>VLOOKUP(C2596,[1]master_data!$A$2:$E$495,4,FALSE)</f>
        <v>50000</v>
      </c>
      <c r="H2596" s="5">
        <f t="shared" si="126"/>
        <v>23000</v>
      </c>
      <c r="I2596" s="5">
        <f t="shared" si="127"/>
        <v>50000</v>
      </c>
      <c r="J2596" s="5">
        <f t="shared" si="128"/>
        <v>27000</v>
      </c>
      <c r="K2596" s="5" t="str">
        <f>VLOOKUP(C2596,[1]master_data!$A$2:$E$495,5,FALSE)</f>
        <v>Ikan</v>
      </c>
      <c r="L2596" s="5" t="s">
        <v>471</v>
      </c>
    </row>
    <row r="2597" spans="1:12" ht="12" customHeight="1" x14ac:dyDescent="0.25">
      <c r="A2597" s="6">
        <v>44666</v>
      </c>
      <c r="B2597" s="1">
        <v>2201966</v>
      </c>
      <c r="C2597" s="5" t="s">
        <v>409</v>
      </c>
      <c r="D2597" s="5" t="str">
        <f>VLOOKUP(C2597,[1]master_data!$A$2:$E$495,2,FALSE)</f>
        <v>GOLD FISH</v>
      </c>
      <c r="E2597" s="5">
        <v>10</v>
      </c>
      <c r="F2597" s="5">
        <f>VLOOKUP(C2597,[1]master_data!$A$2:$E$495,3,FALSE)</f>
        <v>800</v>
      </c>
      <c r="G2597" s="5">
        <f>VLOOKUP(C2597,[1]master_data!$A$2:$E$495,4,FALSE)</f>
        <v>2000</v>
      </c>
      <c r="H2597" s="5">
        <f t="shared" si="126"/>
        <v>8000</v>
      </c>
      <c r="I2597" s="5">
        <f t="shared" si="127"/>
        <v>20000</v>
      </c>
      <c r="J2597" s="5">
        <f t="shared" si="128"/>
        <v>12000</v>
      </c>
      <c r="K2597" s="5" t="str">
        <f>VLOOKUP(C2597,[1]master_data!$A$2:$E$495,5,FALSE)</f>
        <v>Ikan</v>
      </c>
      <c r="L2597" s="5" t="s">
        <v>471</v>
      </c>
    </row>
    <row r="2598" spans="1:12" ht="12" customHeight="1" x14ac:dyDescent="0.25">
      <c r="A2598" s="6">
        <v>44666</v>
      </c>
      <c r="B2598" s="1">
        <v>2201965</v>
      </c>
      <c r="C2598" s="5" t="s">
        <v>282</v>
      </c>
      <c r="D2598" s="5" t="str">
        <f>VLOOKUP(C2598,[1]master_data!$A$2:$E$495,2,FALSE)</f>
        <v>HIASAN KELAPA</v>
      </c>
      <c r="E2598" s="5">
        <v>1</v>
      </c>
      <c r="F2598" s="5">
        <f>VLOOKUP(C2598,[1]master_data!$A$2:$E$495,3,FALSE)</f>
        <v>8000</v>
      </c>
      <c r="G2598" s="5">
        <f>VLOOKUP(C2598,[1]master_data!$A$2:$E$495,4,FALSE)</f>
        <v>15000</v>
      </c>
      <c r="H2598" s="5">
        <f t="shared" si="126"/>
        <v>8000</v>
      </c>
      <c r="I2598" s="5">
        <f t="shared" si="127"/>
        <v>15000</v>
      </c>
      <c r="J2598" s="5">
        <f t="shared" si="128"/>
        <v>7000</v>
      </c>
      <c r="K2598" s="5" t="str">
        <f>VLOOKUP(C2598,[1]master_data!$A$2:$E$495,5,FALSE)</f>
        <v>Aksesoris</v>
      </c>
      <c r="L2598" s="5" t="s">
        <v>471</v>
      </c>
    </row>
    <row r="2599" spans="1:12" ht="12" customHeight="1" x14ac:dyDescent="0.25">
      <c r="A2599" s="6">
        <v>44666</v>
      </c>
      <c r="B2599" s="1">
        <v>2201964</v>
      </c>
      <c r="C2599" s="5" t="s">
        <v>418</v>
      </c>
      <c r="D2599" s="5" t="str">
        <f>VLOOKUP(C2599,[1]master_data!$A$2:$E$495,2,FALSE)</f>
        <v>KOI B</v>
      </c>
      <c r="E2599" s="5">
        <v>4</v>
      </c>
      <c r="F2599" s="5">
        <f>VLOOKUP(C2599,[1]master_data!$A$2:$E$495,3,FALSE)</f>
        <v>9000</v>
      </c>
      <c r="G2599" s="5">
        <f>VLOOKUP(C2599,[1]master_data!$A$2:$E$495,4,FALSE)</f>
        <v>30000</v>
      </c>
      <c r="H2599" s="5">
        <f t="shared" si="126"/>
        <v>36000</v>
      </c>
      <c r="I2599" s="5">
        <f t="shared" si="127"/>
        <v>120000</v>
      </c>
      <c r="J2599" s="5">
        <f t="shared" si="128"/>
        <v>84000</v>
      </c>
      <c r="K2599" s="5" t="str">
        <f>VLOOKUP(C2599,[1]master_data!$A$2:$E$495,5,FALSE)</f>
        <v>Ikan</v>
      </c>
      <c r="L2599" s="5" t="s">
        <v>471</v>
      </c>
    </row>
    <row r="2600" spans="1:12" ht="12" customHeight="1" x14ac:dyDescent="0.25">
      <c r="A2600" s="6">
        <v>44666</v>
      </c>
      <c r="B2600" s="1">
        <v>2201963</v>
      </c>
      <c r="C2600" s="5" t="s">
        <v>407</v>
      </c>
      <c r="D2600" s="5" t="str">
        <f>VLOOKUP(C2600,[1]master_data!$A$2:$E$495,2,FALSE)</f>
        <v>CUPANG</v>
      </c>
      <c r="E2600" s="5">
        <v>2</v>
      </c>
      <c r="F2600" s="5">
        <f>VLOOKUP(C2600,[1]master_data!$A$2:$E$495,3,FALSE)</f>
        <v>2000</v>
      </c>
      <c r="G2600" s="5">
        <f>VLOOKUP(C2600,[1]master_data!$A$2:$E$495,4,FALSE)</f>
        <v>5000</v>
      </c>
      <c r="H2600" s="5">
        <f t="shared" si="126"/>
        <v>4000</v>
      </c>
      <c r="I2600" s="5">
        <f t="shared" si="127"/>
        <v>10000</v>
      </c>
      <c r="J2600" s="5">
        <f t="shared" si="128"/>
        <v>6000</v>
      </c>
      <c r="K2600" s="5" t="str">
        <f>VLOOKUP(C2600,[1]master_data!$A$2:$E$495,5,FALSE)</f>
        <v>Ikan</v>
      </c>
      <c r="L2600" s="5" t="s">
        <v>471</v>
      </c>
    </row>
    <row r="2601" spans="1:12" ht="12" customHeight="1" x14ac:dyDescent="0.25">
      <c r="A2601" s="6">
        <v>44666</v>
      </c>
      <c r="B2601" s="1">
        <v>2201962</v>
      </c>
      <c r="C2601" s="5" t="s">
        <v>420</v>
      </c>
      <c r="D2601" s="5" t="str">
        <f>VLOOKUP(C2601,[1]master_data!$A$2:$E$495,2,FALSE)</f>
        <v>KAVIAT</v>
      </c>
      <c r="E2601" s="5">
        <v>4</v>
      </c>
      <c r="F2601" s="5">
        <f>VLOOKUP(C2601,[1]master_data!$A$2:$E$495,3,FALSE)</f>
        <v>3500</v>
      </c>
      <c r="G2601" s="5">
        <f>VLOOKUP(C2601,[1]master_data!$A$2:$E$495,4,FALSE)</f>
        <v>8000</v>
      </c>
      <c r="H2601" s="5">
        <f t="shared" si="126"/>
        <v>14000</v>
      </c>
      <c r="I2601" s="5">
        <f t="shared" si="127"/>
        <v>32000</v>
      </c>
      <c r="J2601" s="5">
        <f t="shared" si="128"/>
        <v>18000</v>
      </c>
      <c r="K2601" s="5" t="str">
        <f>VLOOKUP(C2601,[1]master_data!$A$2:$E$495,5,FALSE)</f>
        <v>Ikan</v>
      </c>
      <c r="L2601" s="5" t="s">
        <v>471</v>
      </c>
    </row>
    <row r="2602" spans="1:12" ht="12" customHeight="1" x14ac:dyDescent="0.25">
      <c r="A2602" s="6">
        <v>44666</v>
      </c>
      <c r="B2602" s="1">
        <v>2201961</v>
      </c>
      <c r="C2602" s="5" t="s">
        <v>463</v>
      </c>
      <c r="D2602" s="5" t="str">
        <f>VLOOKUP(C2602,[1]master_data!$A$2:$E$495,2,FALSE)</f>
        <v>CHANNA STEWARTI</v>
      </c>
      <c r="E2602" s="5">
        <v>1</v>
      </c>
      <c r="F2602" s="5">
        <f>VLOOKUP(C2602,[1]master_data!$A$2:$E$495,3,FALSE)</f>
        <v>15000</v>
      </c>
      <c r="G2602" s="5">
        <f>VLOOKUP(C2602,[1]master_data!$A$2:$E$495,4,FALSE)</f>
        <v>40000</v>
      </c>
      <c r="H2602" s="5">
        <f t="shared" si="126"/>
        <v>15000</v>
      </c>
      <c r="I2602" s="5">
        <f t="shared" si="127"/>
        <v>40000</v>
      </c>
      <c r="J2602" s="5">
        <f t="shared" si="128"/>
        <v>25000</v>
      </c>
      <c r="K2602" s="5" t="str">
        <f>VLOOKUP(C2602,[1]master_data!$A$2:$E$495,5,FALSE)</f>
        <v>Ikan</v>
      </c>
      <c r="L2602" s="5" t="s">
        <v>471</v>
      </c>
    </row>
    <row r="2603" spans="1:12" ht="12" customHeight="1" x14ac:dyDescent="0.25">
      <c r="A2603" s="6">
        <v>44666</v>
      </c>
      <c r="B2603" s="1">
        <v>2201960</v>
      </c>
      <c r="C2603" s="5" t="s">
        <v>413</v>
      </c>
      <c r="D2603" s="5" t="str">
        <f>VLOOKUP(C2603,[1]master_data!$A$2:$E$495,2,FALSE)</f>
        <v>KOKI K</v>
      </c>
      <c r="E2603" s="5">
        <v>5</v>
      </c>
      <c r="F2603" s="5">
        <f>VLOOKUP(C2603,[1]master_data!$A$2:$E$495,3,FALSE)</f>
        <v>3500</v>
      </c>
      <c r="G2603" s="5">
        <f>VLOOKUP(C2603,[1]master_data!$A$2:$E$495,4,FALSE)</f>
        <v>10000</v>
      </c>
      <c r="H2603" s="5">
        <f t="shared" si="126"/>
        <v>17500</v>
      </c>
      <c r="I2603" s="5">
        <f t="shared" si="127"/>
        <v>50000</v>
      </c>
      <c r="J2603" s="5">
        <f t="shared" si="128"/>
        <v>32500</v>
      </c>
      <c r="K2603" s="5" t="str">
        <f>VLOOKUP(C2603,[1]master_data!$A$2:$E$495,5,FALSE)</f>
        <v>Ikan</v>
      </c>
      <c r="L2603" s="5" t="s">
        <v>471</v>
      </c>
    </row>
    <row r="2604" spans="1:12" ht="12" customHeight="1" x14ac:dyDescent="0.25">
      <c r="A2604" s="6">
        <v>44666</v>
      </c>
      <c r="B2604" s="1">
        <v>2201959</v>
      </c>
      <c r="C2604" s="5" t="s">
        <v>52</v>
      </c>
      <c r="D2604" s="5" t="str">
        <f>VLOOKUP(C2604,[1]master_data!$A$2:$E$495,2,FALSE)</f>
        <v>TOP FILTER LENGKAP B</v>
      </c>
      <c r="E2604" s="5">
        <v>1</v>
      </c>
      <c r="F2604" s="5">
        <f>VLOOKUP(C2604,[1]master_data!$A$2:$E$495,3,FALSE)</f>
        <v>37500</v>
      </c>
      <c r="G2604" s="5">
        <f>VLOOKUP(C2604,[1]master_data!$A$2:$E$495,4,FALSE)</f>
        <v>65000</v>
      </c>
      <c r="H2604" s="5">
        <f t="shared" si="126"/>
        <v>37500</v>
      </c>
      <c r="I2604" s="5">
        <f t="shared" si="127"/>
        <v>65000</v>
      </c>
      <c r="J2604" s="5">
        <f t="shared" si="128"/>
        <v>27500</v>
      </c>
      <c r="K2604" s="5" t="str">
        <f>VLOOKUP(C2604,[1]master_data!$A$2:$E$495,5,FALSE)</f>
        <v>Aksesoris</v>
      </c>
      <c r="L2604" s="5" t="s">
        <v>471</v>
      </c>
    </row>
    <row r="2605" spans="1:12" ht="12" customHeight="1" x14ac:dyDescent="0.25">
      <c r="A2605" s="6">
        <v>44665</v>
      </c>
      <c r="B2605" s="1">
        <v>2201958</v>
      </c>
      <c r="C2605" s="5" t="s">
        <v>303</v>
      </c>
      <c r="D2605" s="5" t="str">
        <f>VLOOKUP(C2605,[1]master_data!$A$2:$E$495,2,FALSE)</f>
        <v>PIPA LONJOR 2 M</v>
      </c>
      <c r="E2605" s="5">
        <v>1</v>
      </c>
      <c r="F2605" s="5">
        <f>VLOOKUP(C2605,[1]master_data!$A$2:$E$495,3,FALSE)</f>
        <v>5000</v>
      </c>
      <c r="G2605" s="5">
        <f>VLOOKUP(C2605,[1]master_data!$A$2:$E$495,4,FALSE)</f>
        <v>10000</v>
      </c>
      <c r="H2605" s="5">
        <f t="shared" si="126"/>
        <v>5000</v>
      </c>
      <c r="I2605" s="5">
        <f t="shared" si="127"/>
        <v>10000</v>
      </c>
      <c r="J2605" s="5">
        <f t="shared" si="128"/>
        <v>5000</v>
      </c>
      <c r="K2605" s="5" t="str">
        <f>VLOOKUP(C2605,[1]master_data!$A$2:$E$495,5,FALSE)</f>
        <v>Aksesoris</v>
      </c>
      <c r="L2605" s="5" t="s">
        <v>471</v>
      </c>
    </row>
    <row r="2606" spans="1:12" ht="12" customHeight="1" x14ac:dyDescent="0.25">
      <c r="A2606" s="6">
        <v>44665</v>
      </c>
      <c r="B2606" s="1">
        <v>2201957</v>
      </c>
      <c r="C2606" s="5" t="s">
        <v>409</v>
      </c>
      <c r="D2606" s="5" t="str">
        <f>VLOOKUP(C2606,[1]master_data!$A$2:$E$495,2,FALSE)</f>
        <v>GOLD FISH</v>
      </c>
      <c r="E2606" s="5">
        <v>10</v>
      </c>
      <c r="F2606" s="5">
        <f>VLOOKUP(C2606,[1]master_data!$A$2:$E$495,3,FALSE)</f>
        <v>800</v>
      </c>
      <c r="G2606" s="5">
        <f>VLOOKUP(C2606,[1]master_data!$A$2:$E$495,4,FALSE)</f>
        <v>2000</v>
      </c>
      <c r="H2606" s="5">
        <f t="shared" si="126"/>
        <v>8000</v>
      </c>
      <c r="I2606" s="5">
        <f t="shared" si="127"/>
        <v>20000</v>
      </c>
      <c r="J2606" s="5">
        <f t="shared" si="128"/>
        <v>12000</v>
      </c>
      <c r="K2606" s="5" t="str">
        <f>VLOOKUP(C2606,[1]master_data!$A$2:$E$495,5,FALSE)</f>
        <v>Ikan</v>
      </c>
      <c r="L2606" s="5" t="s">
        <v>471</v>
      </c>
    </row>
    <row r="2607" spans="1:12" ht="12" customHeight="1" x14ac:dyDescent="0.25">
      <c r="A2607" s="6">
        <v>44665</v>
      </c>
      <c r="B2607" s="1">
        <v>2201956</v>
      </c>
      <c r="C2607" s="5" t="s">
        <v>310</v>
      </c>
      <c r="D2607" s="5" t="str">
        <f>VLOOKUP(C2607,[1]master_data!$A$2:$E$495,2,FALSE)</f>
        <v>SELANG FUSO</v>
      </c>
      <c r="E2607" s="5">
        <v>10</v>
      </c>
      <c r="F2607" s="5">
        <f>VLOOKUP(C2607,[1]master_data!$A$2:$E$495,3,FALSE)</f>
        <v>800</v>
      </c>
      <c r="G2607" s="5">
        <f>VLOOKUP(C2607,[1]master_data!$A$2:$E$495,4,FALSE)</f>
        <v>2000</v>
      </c>
      <c r="H2607" s="5">
        <f t="shared" si="126"/>
        <v>8000</v>
      </c>
      <c r="I2607" s="5">
        <f t="shared" si="127"/>
        <v>20000</v>
      </c>
      <c r="J2607" s="5">
        <f t="shared" si="128"/>
        <v>12000</v>
      </c>
      <c r="K2607" s="5" t="str">
        <f>VLOOKUP(C2607,[1]master_data!$A$2:$E$495,5,FALSE)</f>
        <v>Aksesoris</v>
      </c>
      <c r="L2607" s="5" t="s">
        <v>471</v>
      </c>
    </row>
    <row r="2608" spans="1:12" ht="12" customHeight="1" x14ac:dyDescent="0.25">
      <c r="A2608" s="6">
        <v>44665</v>
      </c>
      <c r="B2608" s="1">
        <v>2201955</v>
      </c>
      <c r="C2608" s="5" t="s">
        <v>418</v>
      </c>
      <c r="D2608" s="5" t="str">
        <f>VLOOKUP(C2608,[1]master_data!$A$2:$E$495,2,FALSE)</f>
        <v>KOI B</v>
      </c>
      <c r="E2608" s="5">
        <v>4</v>
      </c>
      <c r="F2608" s="5">
        <f>VLOOKUP(C2608,[1]master_data!$A$2:$E$495,3,FALSE)</f>
        <v>9000</v>
      </c>
      <c r="G2608" s="5">
        <f>VLOOKUP(C2608,[1]master_data!$A$2:$E$495,4,FALSE)</f>
        <v>30000</v>
      </c>
      <c r="H2608" s="5">
        <f t="shared" si="126"/>
        <v>36000</v>
      </c>
      <c r="I2608" s="5">
        <f t="shared" si="127"/>
        <v>120000</v>
      </c>
      <c r="J2608" s="5">
        <f t="shared" si="128"/>
        <v>84000</v>
      </c>
      <c r="K2608" s="5" t="str">
        <f>VLOOKUP(C2608,[1]master_data!$A$2:$E$495,5,FALSE)</f>
        <v>Ikan</v>
      </c>
      <c r="L2608" s="5" t="s">
        <v>471</v>
      </c>
    </row>
    <row r="2609" spans="1:12" ht="12" customHeight="1" x14ac:dyDescent="0.25">
      <c r="A2609" s="6">
        <v>44665</v>
      </c>
      <c r="B2609" s="1">
        <v>2201954</v>
      </c>
      <c r="C2609" s="5" t="s">
        <v>413</v>
      </c>
      <c r="D2609" s="5" t="str">
        <f>VLOOKUP(C2609,[1]master_data!$A$2:$E$495,2,FALSE)</f>
        <v>KOKI K</v>
      </c>
      <c r="E2609" s="5">
        <v>5</v>
      </c>
      <c r="F2609" s="5">
        <f>VLOOKUP(C2609,[1]master_data!$A$2:$E$495,3,FALSE)</f>
        <v>3500</v>
      </c>
      <c r="G2609" s="5">
        <f>VLOOKUP(C2609,[1]master_data!$A$2:$E$495,4,FALSE)</f>
        <v>10000</v>
      </c>
      <c r="H2609" s="5">
        <f t="shared" si="126"/>
        <v>17500</v>
      </c>
      <c r="I2609" s="5">
        <f t="shared" si="127"/>
        <v>50000</v>
      </c>
      <c r="J2609" s="5">
        <f t="shared" si="128"/>
        <v>32500</v>
      </c>
      <c r="K2609" s="5" t="str">
        <f>VLOOKUP(C2609,[1]master_data!$A$2:$E$495,5,FALSE)</f>
        <v>Ikan</v>
      </c>
      <c r="L2609" s="5" t="s">
        <v>471</v>
      </c>
    </row>
    <row r="2610" spans="1:12" ht="12" customHeight="1" x14ac:dyDescent="0.25">
      <c r="A2610" s="6">
        <v>44665</v>
      </c>
      <c r="B2610" s="1">
        <v>2201953</v>
      </c>
      <c r="C2610" s="5" t="s">
        <v>269</v>
      </c>
      <c r="D2610" s="5" t="str">
        <f>VLOOKUP(C2610,[1]master_data!$A$2:$E$495,2,FALSE)</f>
        <v>HEATER KACA 50 W</v>
      </c>
      <c r="E2610" s="5">
        <v>1</v>
      </c>
      <c r="F2610" s="5">
        <f>VLOOKUP(C2610,[1]master_data!$A$2:$E$495,3,FALSE)</f>
        <v>33000</v>
      </c>
      <c r="G2610" s="5">
        <f>VLOOKUP(C2610,[1]master_data!$A$2:$E$495,4,FALSE)</f>
        <v>50000</v>
      </c>
      <c r="H2610" s="5">
        <f t="shared" si="126"/>
        <v>33000</v>
      </c>
      <c r="I2610" s="5">
        <f t="shared" si="127"/>
        <v>50000</v>
      </c>
      <c r="J2610" s="5">
        <f t="shared" si="128"/>
        <v>17000</v>
      </c>
      <c r="K2610" s="5" t="str">
        <f>VLOOKUP(C2610,[1]master_data!$A$2:$E$495,5,FALSE)</f>
        <v>Aksesoris</v>
      </c>
      <c r="L2610" s="5" t="s">
        <v>471</v>
      </c>
    </row>
    <row r="2611" spans="1:12" ht="12" customHeight="1" x14ac:dyDescent="0.25">
      <c r="A2611" s="6">
        <v>44665</v>
      </c>
      <c r="B2611" s="1">
        <v>2201952</v>
      </c>
      <c r="C2611" s="5" t="s">
        <v>285</v>
      </c>
      <c r="D2611" s="5" t="str">
        <f>VLOOKUP(C2611,[1]master_data!$A$2:$E$495,2,FALSE)</f>
        <v>KAPAS 4 LAPIS</v>
      </c>
      <c r="E2611" s="5">
        <v>1</v>
      </c>
      <c r="F2611" s="5">
        <f>VLOOKUP(C2611,[1]master_data!$A$2:$E$495,3,FALSE)</f>
        <v>6500</v>
      </c>
      <c r="G2611" s="5">
        <f>VLOOKUP(C2611,[1]master_data!$A$2:$E$495,4,FALSE)</f>
        <v>10000</v>
      </c>
      <c r="H2611" s="5">
        <f t="shared" si="126"/>
        <v>6500</v>
      </c>
      <c r="I2611" s="5">
        <f t="shared" si="127"/>
        <v>10000</v>
      </c>
      <c r="J2611" s="5">
        <f t="shared" si="128"/>
        <v>3500</v>
      </c>
      <c r="K2611" s="5" t="str">
        <f>VLOOKUP(C2611,[1]master_data!$A$2:$E$495,5,FALSE)</f>
        <v>Aksesoris</v>
      </c>
      <c r="L2611" s="5" t="s">
        <v>471</v>
      </c>
    </row>
    <row r="2612" spans="1:12" ht="12" customHeight="1" x14ac:dyDescent="0.25">
      <c r="A2612" s="6">
        <v>44665</v>
      </c>
      <c r="B2612" s="1">
        <v>2201951</v>
      </c>
      <c r="C2612" s="5" t="s">
        <v>451</v>
      </c>
      <c r="D2612" s="5" t="str">
        <f>VLOOKUP(C2612,[1]master_data!$A$2:$E$495,2,FALSE)</f>
        <v>SUMATRA GOLD FISH</v>
      </c>
      <c r="E2612" s="5">
        <v>10</v>
      </c>
      <c r="F2612" s="5">
        <f>VLOOKUP(C2612,[1]master_data!$A$2:$E$495,3,FALSE)</f>
        <v>2500</v>
      </c>
      <c r="G2612" s="5">
        <f>VLOOKUP(C2612,[1]master_data!$A$2:$E$495,4,FALSE)</f>
        <v>4000</v>
      </c>
      <c r="H2612" s="5">
        <f t="shared" si="126"/>
        <v>25000</v>
      </c>
      <c r="I2612" s="5">
        <f t="shared" si="127"/>
        <v>40000</v>
      </c>
      <c r="J2612" s="5">
        <f t="shared" si="128"/>
        <v>15000</v>
      </c>
      <c r="K2612" s="5" t="str">
        <f>VLOOKUP(C2612,[1]master_data!$A$2:$E$495,5,FALSE)</f>
        <v>Ikan</v>
      </c>
      <c r="L2612" s="5" t="s">
        <v>471</v>
      </c>
    </row>
    <row r="2613" spans="1:12" ht="12" customHeight="1" x14ac:dyDescent="0.25">
      <c r="A2613" s="6">
        <v>44665</v>
      </c>
      <c r="B2613" s="1">
        <v>2201950</v>
      </c>
      <c r="C2613" s="5" t="s">
        <v>104</v>
      </c>
      <c r="D2613" s="5" t="str">
        <f>VLOOKUP(C2613,[1]master_data!$A$2:$E$495,2,FALSE)</f>
        <v>AIRATOR AMARA LUB 2</v>
      </c>
      <c r="E2613" s="5">
        <v>1</v>
      </c>
      <c r="F2613" s="5">
        <f>VLOOKUP(C2613,[1]master_data!$A$2:$E$495,3,FALSE)</f>
        <v>33000</v>
      </c>
      <c r="G2613" s="5">
        <f>VLOOKUP(C2613,[1]master_data!$A$2:$E$495,4,FALSE)</f>
        <v>50000</v>
      </c>
      <c r="H2613" s="5">
        <f t="shared" si="126"/>
        <v>33000</v>
      </c>
      <c r="I2613" s="5">
        <f t="shared" si="127"/>
        <v>50000</v>
      </c>
      <c r="J2613" s="5">
        <f t="shared" si="128"/>
        <v>17000</v>
      </c>
      <c r="K2613" s="5" t="str">
        <f>VLOOKUP(C2613,[1]master_data!$A$2:$E$495,5,FALSE)</f>
        <v>Aksesoris</v>
      </c>
      <c r="L2613" s="5" t="s">
        <v>471</v>
      </c>
    </row>
    <row r="2614" spans="1:12" ht="12" customHeight="1" x14ac:dyDescent="0.25">
      <c r="A2614" s="6">
        <v>44665</v>
      </c>
      <c r="B2614" s="1">
        <v>2201949</v>
      </c>
      <c r="C2614" s="5" t="s">
        <v>407</v>
      </c>
      <c r="D2614" s="5" t="str">
        <f>VLOOKUP(C2614,[1]master_data!$A$2:$E$495,2,FALSE)</f>
        <v>CUPANG</v>
      </c>
      <c r="E2614" s="5">
        <v>2</v>
      </c>
      <c r="F2614" s="5">
        <f>VLOOKUP(C2614,[1]master_data!$A$2:$E$495,3,FALSE)</f>
        <v>2000</v>
      </c>
      <c r="G2614" s="5">
        <f>VLOOKUP(C2614,[1]master_data!$A$2:$E$495,4,FALSE)</f>
        <v>5000</v>
      </c>
      <c r="H2614" s="5">
        <f t="shared" si="126"/>
        <v>4000</v>
      </c>
      <c r="I2614" s="5">
        <f t="shared" si="127"/>
        <v>10000</v>
      </c>
      <c r="J2614" s="5">
        <f t="shared" si="128"/>
        <v>6000</v>
      </c>
      <c r="K2614" s="5" t="str">
        <f>VLOOKUP(C2614,[1]master_data!$A$2:$E$495,5,FALSE)</f>
        <v>Ikan</v>
      </c>
      <c r="L2614" s="5" t="s">
        <v>471</v>
      </c>
    </row>
    <row r="2615" spans="1:12" ht="12" customHeight="1" x14ac:dyDescent="0.25">
      <c r="A2615" s="6">
        <v>44665</v>
      </c>
      <c r="B2615" s="1">
        <v>2201948</v>
      </c>
      <c r="C2615" s="5" t="s">
        <v>310</v>
      </c>
      <c r="D2615" s="5" t="str">
        <f>VLOOKUP(C2615,[1]master_data!$A$2:$E$495,2,FALSE)</f>
        <v>SELANG FUSO</v>
      </c>
      <c r="E2615" s="5">
        <v>10</v>
      </c>
      <c r="F2615" s="5">
        <f>VLOOKUP(C2615,[1]master_data!$A$2:$E$495,3,FALSE)</f>
        <v>800</v>
      </c>
      <c r="G2615" s="5">
        <f>VLOOKUP(C2615,[1]master_data!$A$2:$E$495,4,FALSE)</f>
        <v>2000</v>
      </c>
      <c r="H2615" s="5">
        <f t="shared" si="126"/>
        <v>8000</v>
      </c>
      <c r="I2615" s="5">
        <f t="shared" si="127"/>
        <v>20000</v>
      </c>
      <c r="J2615" s="5">
        <f t="shared" si="128"/>
        <v>12000</v>
      </c>
      <c r="K2615" s="5" t="str">
        <f>VLOOKUP(C2615,[1]master_data!$A$2:$E$495,5,FALSE)</f>
        <v>Aksesoris</v>
      </c>
      <c r="L2615" s="5" t="s">
        <v>471</v>
      </c>
    </row>
    <row r="2616" spans="1:12" ht="12" customHeight="1" x14ac:dyDescent="0.25">
      <c r="A2616" s="6">
        <v>44665</v>
      </c>
      <c r="B2616" s="1">
        <v>2201947</v>
      </c>
      <c r="C2616" s="5" t="s">
        <v>398</v>
      </c>
      <c r="D2616" s="5" t="str">
        <f>VLOOKUP(C2616,[1]master_data!$A$2:$E$495,2,FALSE)</f>
        <v>BIPOLAR</v>
      </c>
      <c r="E2616" s="5">
        <v>6</v>
      </c>
      <c r="F2616" s="5">
        <f>VLOOKUP(C2616,[1]master_data!$A$2:$E$495,3,FALSE)</f>
        <v>1000</v>
      </c>
      <c r="G2616" s="5">
        <f>VLOOKUP(C2616,[1]master_data!$A$2:$E$495,4,FALSE)</f>
        <v>2500</v>
      </c>
      <c r="H2616" s="5">
        <f t="shared" si="126"/>
        <v>6000</v>
      </c>
      <c r="I2616" s="5">
        <f t="shared" si="127"/>
        <v>15000</v>
      </c>
      <c r="J2616" s="5">
        <f t="shared" si="128"/>
        <v>9000</v>
      </c>
      <c r="K2616" s="5" t="str">
        <f>VLOOKUP(C2616,[1]master_data!$A$2:$E$495,5,FALSE)</f>
        <v>Ikan</v>
      </c>
      <c r="L2616" s="5" t="s">
        <v>471</v>
      </c>
    </row>
    <row r="2617" spans="1:12" ht="12" customHeight="1" x14ac:dyDescent="0.25">
      <c r="A2617" s="6">
        <v>44665</v>
      </c>
      <c r="B2617" s="1">
        <v>2201946</v>
      </c>
      <c r="C2617" s="5" t="s">
        <v>463</v>
      </c>
      <c r="D2617" s="5" t="str">
        <f>VLOOKUP(C2617,[1]master_data!$A$2:$E$495,2,FALSE)</f>
        <v>CHANNA STEWARTI</v>
      </c>
      <c r="E2617" s="5">
        <v>1</v>
      </c>
      <c r="F2617" s="5">
        <f>VLOOKUP(C2617,[1]master_data!$A$2:$E$495,3,FALSE)</f>
        <v>15000</v>
      </c>
      <c r="G2617" s="5">
        <f>VLOOKUP(C2617,[1]master_data!$A$2:$E$495,4,FALSE)</f>
        <v>40000</v>
      </c>
      <c r="H2617" s="5">
        <f t="shared" si="126"/>
        <v>15000</v>
      </c>
      <c r="I2617" s="5">
        <f t="shared" si="127"/>
        <v>40000</v>
      </c>
      <c r="J2617" s="5">
        <f t="shared" si="128"/>
        <v>25000</v>
      </c>
      <c r="K2617" s="5" t="str">
        <f>VLOOKUP(C2617,[1]master_data!$A$2:$E$495,5,FALSE)</f>
        <v>Ikan</v>
      </c>
      <c r="L2617" s="5" t="s">
        <v>471</v>
      </c>
    </row>
    <row r="2618" spans="1:12" ht="12" customHeight="1" x14ac:dyDescent="0.25">
      <c r="A2618" s="6">
        <v>44665</v>
      </c>
      <c r="B2618" s="1">
        <v>2201945</v>
      </c>
      <c r="C2618" s="5" t="s">
        <v>455</v>
      </c>
      <c r="D2618" s="5" t="str">
        <f>VLOOKUP(C2618,[1]master_data!$A$2:$E$495,2,FALSE)</f>
        <v>TETRA</v>
      </c>
      <c r="E2618" s="5">
        <v>10</v>
      </c>
      <c r="F2618" s="5">
        <f>VLOOKUP(C2618,[1]master_data!$A$2:$E$495,3,FALSE)</f>
        <v>800</v>
      </c>
      <c r="G2618" s="5">
        <f>VLOOKUP(C2618,[1]master_data!$A$2:$E$495,4,FALSE)</f>
        <v>2000</v>
      </c>
      <c r="H2618" s="5">
        <f t="shared" si="126"/>
        <v>8000</v>
      </c>
      <c r="I2618" s="5">
        <f t="shared" si="127"/>
        <v>20000</v>
      </c>
      <c r="J2618" s="5">
        <f t="shared" si="128"/>
        <v>12000</v>
      </c>
      <c r="K2618" s="5" t="str">
        <f>VLOOKUP(C2618,[1]master_data!$A$2:$E$495,5,FALSE)</f>
        <v>Ikan</v>
      </c>
      <c r="L2618" s="5" t="s">
        <v>471</v>
      </c>
    </row>
    <row r="2619" spans="1:12" ht="12" customHeight="1" x14ac:dyDescent="0.25">
      <c r="A2619" s="6">
        <v>44665</v>
      </c>
      <c r="B2619" s="1">
        <v>2201944</v>
      </c>
      <c r="C2619" s="5" t="s">
        <v>444</v>
      </c>
      <c r="D2619" s="5" t="str">
        <f>VLOOKUP(C2619,[1]master_data!$A$2:$E$495,2,FALSE)</f>
        <v>PARROT</v>
      </c>
      <c r="E2619" s="5">
        <v>1</v>
      </c>
      <c r="F2619" s="5">
        <f>VLOOKUP(C2619,[1]master_data!$A$2:$E$495,3,FALSE)</f>
        <v>27000</v>
      </c>
      <c r="G2619" s="5">
        <f>VLOOKUP(C2619,[1]master_data!$A$2:$E$495,4,FALSE)</f>
        <v>60000</v>
      </c>
      <c r="H2619" s="5">
        <f t="shared" si="126"/>
        <v>27000</v>
      </c>
      <c r="I2619" s="5">
        <f t="shared" si="127"/>
        <v>60000</v>
      </c>
      <c r="J2619" s="5">
        <f t="shared" si="128"/>
        <v>33000</v>
      </c>
      <c r="K2619" s="5" t="str">
        <f>VLOOKUP(C2619,[1]master_data!$A$2:$E$495,5,FALSE)</f>
        <v>Ikan</v>
      </c>
      <c r="L2619" s="5" t="s">
        <v>471</v>
      </c>
    </row>
    <row r="2620" spans="1:12" ht="12" customHeight="1" x14ac:dyDescent="0.25">
      <c r="A2620" s="6">
        <v>44665</v>
      </c>
      <c r="B2620" s="1">
        <v>2201943</v>
      </c>
      <c r="C2620" s="5" t="s">
        <v>420</v>
      </c>
      <c r="D2620" s="5" t="str">
        <f>VLOOKUP(C2620,[1]master_data!$A$2:$E$495,2,FALSE)</f>
        <v>KAVIAT</v>
      </c>
      <c r="E2620" s="5">
        <v>4</v>
      </c>
      <c r="F2620" s="5">
        <f>VLOOKUP(C2620,[1]master_data!$A$2:$E$495,3,FALSE)</f>
        <v>3500</v>
      </c>
      <c r="G2620" s="5">
        <f>VLOOKUP(C2620,[1]master_data!$A$2:$E$495,4,FALSE)</f>
        <v>8000</v>
      </c>
      <c r="H2620" s="5">
        <f t="shared" si="126"/>
        <v>14000</v>
      </c>
      <c r="I2620" s="5">
        <f t="shared" si="127"/>
        <v>32000</v>
      </c>
      <c r="J2620" s="5">
        <f t="shared" si="128"/>
        <v>18000</v>
      </c>
      <c r="K2620" s="5" t="str">
        <f>VLOOKUP(C2620,[1]master_data!$A$2:$E$495,5,FALSE)</f>
        <v>Ikan</v>
      </c>
      <c r="L2620" s="5" t="s">
        <v>471</v>
      </c>
    </row>
    <row r="2621" spans="1:12" ht="12" customHeight="1" x14ac:dyDescent="0.25">
      <c r="A2621" s="6">
        <v>44665</v>
      </c>
      <c r="B2621" s="1">
        <v>2201942</v>
      </c>
      <c r="C2621" s="5" t="s">
        <v>100</v>
      </c>
      <c r="D2621" s="5" t="str">
        <f>VLOOKUP(C2621,[1]master_data!$A$2:$E$495,2,FALSE)</f>
        <v>AIRATOR AMARA LUB 1</v>
      </c>
      <c r="E2621" s="5">
        <v>1</v>
      </c>
      <c r="F2621" s="5">
        <f>VLOOKUP(C2621,[1]master_data!$A$2:$E$495,3,FALSE)</f>
        <v>17500</v>
      </c>
      <c r="G2621" s="5">
        <f>VLOOKUP(C2621,[1]master_data!$A$2:$E$495,4,FALSE)</f>
        <v>30000</v>
      </c>
      <c r="H2621" s="5">
        <f t="shared" si="126"/>
        <v>17500</v>
      </c>
      <c r="I2621" s="5">
        <f t="shared" si="127"/>
        <v>30000</v>
      </c>
      <c r="J2621" s="5">
        <f t="shared" si="128"/>
        <v>12500</v>
      </c>
      <c r="K2621" s="5" t="str">
        <f>VLOOKUP(C2621,[1]master_data!$A$2:$E$495,5,FALSE)</f>
        <v>Aksesoris</v>
      </c>
      <c r="L2621" s="5" t="s">
        <v>471</v>
      </c>
    </row>
    <row r="2622" spans="1:12" ht="12" customHeight="1" x14ac:dyDescent="0.25">
      <c r="A2622" s="6">
        <v>44665</v>
      </c>
      <c r="B2622" s="1">
        <v>2201941</v>
      </c>
      <c r="C2622" s="5" t="s">
        <v>432</v>
      </c>
      <c r="D2622" s="5" t="str">
        <f>VLOOKUP(C2622,[1]master_data!$A$2:$E$495,2,FALSE)</f>
        <v>MARU K</v>
      </c>
      <c r="E2622" s="5">
        <v>1</v>
      </c>
      <c r="F2622" s="5">
        <f>VLOOKUP(C2622,[1]master_data!$A$2:$E$495,3,FALSE)</f>
        <v>23000</v>
      </c>
      <c r="G2622" s="5">
        <f>VLOOKUP(C2622,[1]master_data!$A$2:$E$495,4,FALSE)</f>
        <v>50000</v>
      </c>
      <c r="H2622" s="5">
        <f t="shared" si="126"/>
        <v>23000</v>
      </c>
      <c r="I2622" s="5">
        <f t="shared" si="127"/>
        <v>50000</v>
      </c>
      <c r="J2622" s="5">
        <f t="shared" si="128"/>
        <v>27000</v>
      </c>
      <c r="K2622" s="5" t="str">
        <f>VLOOKUP(C2622,[1]master_data!$A$2:$E$495,5,FALSE)</f>
        <v>Ikan</v>
      </c>
      <c r="L2622" s="5" t="s">
        <v>471</v>
      </c>
    </row>
    <row r="2623" spans="1:12" ht="12" customHeight="1" x14ac:dyDescent="0.25">
      <c r="A2623" s="6">
        <v>44664</v>
      </c>
      <c r="B2623" s="1">
        <v>2201940</v>
      </c>
      <c r="C2623" s="5" t="s">
        <v>430</v>
      </c>
      <c r="D2623" s="5" t="str">
        <f>VLOOKUP(C2623,[1]master_data!$A$2:$E$495,2,FALSE)</f>
        <v>MANFISH K</v>
      </c>
      <c r="E2623" s="5">
        <v>2</v>
      </c>
      <c r="F2623" s="5">
        <f>VLOOKUP(C2623,[1]master_data!$A$2:$E$495,3,FALSE)</f>
        <v>2000</v>
      </c>
      <c r="G2623" s="5">
        <f>VLOOKUP(C2623,[1]master_data!$A$2:$E$495,4,FALSE)</f>
        <v>5000</v>
      </c>
      <c r="H2623" s="5">
        <f t="shared" si="126"/>
        <v>4000</v>
      </c>
      <c r="I2623" s="5">
        <f t="shared" si="127"/>
        <v>10000</v>
      </c>
      <c r="J2623" s="5">
        <f t="shared" si="128"/>
        <v>6000</v>
      </c>
      <c r="K2623" s="5" t="str">
        <f>VLOOKUP(C2623,[1]master_data!$A$2:$E$495,5,FALSE)</f>
        <v>Ikan</v>
      </c>
      <c r="L2623" s="5" t="s">
        <v>471</v>
      </c>
    </row>
    <row r="2624" spans="1:12" ht="12" customHeight="1" x14ac:dyDescent="0.25">
      <c r="A2624" s="6">
        <v>44664</v>
      </c>
      <c r="B2624" s="1">
        <v>2201939</v>
      </c>
      <c r="C2624" s="5" t="s">
        <v>415</v>
      </c>
      <c r="D2624" s="5" t="str">
        <f>VLOOKUP(C2624,[1]master_data!$A$2:$E$495,2,FALSE)</f>
        <v>KOKI B</v>
      </c>
      <c r="E2624" s="5">
        <v>2</v>
      </c>
      <c r="F2624" s="5">
        <f>VLOOKUP(C2624,[1]master_data!$A$2:$E$495,3,FALSE)</f>
        <v>20000</v>
      </c>
      <c r="G2624" s="5">
        <f>VLOOKUP(C2624,[1]master_data!$A$2:$E$495,4,FALSE)</f>
        <v>50000</v>
      </c>
      <c r="H2624" s="5">
        <f t="shared" si="126"/>
        <v>40000</v>
      </c>
      <c r="I2624" s="5">
        <f t="shared" si="127"/>
        <v>100000</v>
      </c>
      <c r="J2624" s="5">
        <f t="shared" si="128"/>
        <v>60000</v>
      </c>
      <c r="K2624" s="5" t="str">
        <f>VLOOKUP(C2624,[1]master_data!$A$2:$E$495,5,FALSE)</f>
        <v>Ikan</v>
      </c>
      <c r="L2624" s="5" t="s">
        <v>471</v>
      </c>
    </row>
    <row r="2625" spans="1:12" ht="12" customHeight="1" x14ac:dyDescent="0.25">
      <c r="A2625" s="6">
        <v>44664</v>
      </c>
      <c r="B2625" s="1">
        <v>2201938</v>
      </c>
      <c r="C2625" s="5" t="s">
        <v>285</v>
      </c>
      <c r="D2625" s="5" t="str">
        <f>VLOOKUP(C2625,[1]master_data!$A$2:$E$495,2,FALSE)</f>
        <v>KAPAS 4 LAPIS</v>
      </c>
      <c r="E2625" s="5">
        <v>1</v>
      </c>
      <c r="F2625" s="5">
        <f>VLOOKUP(C2625,[1]master_data!$A$2:$E$495,3,FALSE)</f>
        <v>6500</v>
      </c>
      <c r="G2625" s="5">
        <f>VLOOKUP(C2625,[1]master_data!$A$2:$E$495,4,FALSE)</f>
        <v>10000</v>
      </c>
      <c r="H2625" s="5">
        <f t="shared" si="126"/>
        <v>6500</v>
      </c>
      <c r="I2625" s="5">
        <f t="shared" si="127"/>
        <v>10000</v>
      </c>
      <c r="J2625" s="5">
        <f t="shared" si="128"/>
        <v>3500</v>
      </c>
      <c r="K2625" s="5" t="str">
        <f>VLOOKUP(C2625,[1]master_data!$A$2:$E$495,5,FALSE)</f>
        <v>Aksesoris</v>
      </c>
      <c r="L2625" s="5" t="s">
        <v>471</v>
      </c>
    </row>
    <row r="2626" spans="1:12" ht="12" customHeight="1" x14ac:dyDescent="0.25">
      <c r="A2626" s="6">
        <v>44664</v>
      </c>
      <c r="B2626" s="1">
        <v>2201937</v>
      </c>
      <c r="C2626" s="5" t="s">
        <v>5</v>
      </c>
      <c r="D2626" s="5" t="str">
        <f>VLOOKUP(C2626,[1]master_data!$A$2:$E$495,2,FALSE)</f>
        <v>MESIN YANG 1000 L</v>
      </c>
      <c r="E2626" s="5">
        <v>1</v>
      </c>
      <c r="F2626" s="5">
        <f>VLOOKUP(C2626,[1]master_data!$A$2:$E$495,3,FALSE)</f>
        <v>31000</v>
      </c>
      <c r="G2626" s="5">
        <f>VLOOKUP(C2626,[1]master_data!$A$2:$E$495,4,FALSE)</f>
        <v>50000</v>
      </c>
      <c r="H2626" s="5">
        <f t="shared" si="126"/>
        <v>31000</v>
      </c>
      <c r="I2626" s="5">
        <f t="shared" si="127"/>
        <v>50000</v>
      </c>
      <c r="J2626" s="5">
        <f t="shared" si="128"/>
        <v>19000</v>
      </c>
      <c r="K2626" s="5" t="str">
        <f>VLOOKUP(C2626,[1]master_data!$A$2:$E$495,5,FALSE)</f>
        <v>Aksesoris</v>
      </c>
      <c r="L2626" s="5" t="s">
        <v>471</v>
      </c>
    </row>
    <row r="2627" spans="1:12" ht="12" customHeight="1" x14ac:dyDescent="0.25">
      <c r="A2627" s="6">
        <v>44664</v>
      </c>
      <c r="B2627" s="1">
        <v>2201936</v>
      </c>
      <c r="C2627" s="5" t="s">
        <v>33</v>
      </c>
      <c r="D2627" s="5" t="str">
        <f>VLOOKUP(C2627,[1]master_data!$A$2:$E$495,2,FALSE)</f>
        <v>MESIN YAMANO 1200</v>
      </c>
      <c r="E2627" s="5">
        <v>1</v>
      </c>
      <c r="F2627" s="5">
        <f>VLOOKUP(C2627,[1]master_data!$A$2:$E$495,3,FALSE)</f>
        <v>27000</v>
      </c>
      <c r="G2627" s="5">
        <f>VLOOKUP(C2627,[1]master_data!$A$2:$E$495,4,FALSE)</f>
        <v>40000</v>
      </c>
      <c r="H2627" s="5">
        <f t="shared" si="126"/>
        <v>27000</v>
      </c>
      <c r="I2627" s="5">
        <f t="shared" si="127"/>
        <v>40000</v>
      </c>
      <c r="J2627" s="5">
        <f t="shared" si="128"/>
        <v>13000</v>
      </c>
      <c r="K2627" s="5" t="str">
        <f>VLOOKUP(C2627,[1]master_data!$A$2:$E$495,5,FALSE)</f>
        <v>Aksesoris</v>
      </c>
      <c r="L2627" s="5" t="s">
        <v>471</v>
      </c>
    </row>
    <row r="2628" spans="1:12" ht="12" customHeight="1" x14ac:dyDescent="0.25">
      <c r="A2628" s="6">
        <v>44664</v>
      </c>
      <c r="B2628" s="1">
        <v>2201935</v>
      </c>
      <c r="C2628" s="5" t="s">
        <v>333</v>
      </c>
      <c r="D2628" s="5" t="str">
        <f>VLOOKUP(C2628,[1]master_data!$A$2:$E$495,2,FALSE)</f>
        <v>KAPAS 2 LAPIS</v>
      </c>
      <c r="E2628" s="5">
        <v>1</v>
      </c>
      <c r="F2628" s="5">
        <f>VLOOKUP(C2628,[1]master_data!$A$2:$E$495,3,FALSE)</f>
        <v>2000</v>
      </c>
      <c r="G2628" s="5">
        <f>VLOOKUP(C2628,[1]master_data!$A$2:$E$495,4,FALSE)</f>
        <v>4000</v>
      </c>
      <c r="H2628" s="5">
        <f t="shared" si="126"/>
        <v>2000</v>
      </c>
      <c r="I2628" s="5">
        <f t="shared" si="127"/>
        <v>4000</v>
      </c>
      <c r="J2628" s="5">
        <f t="shared" si="128"/>
        <v>2000</v>
      </c>
      <c r="K2628" s="5" t="str">
        <f>VLOOKUP(C2628,[1]master_data!$A$2:$E$495,5,FALSE)</f>
        <v>Aksesoris</v>
      </c>
      <c r="L2628" s="5" t="s">
        <v>471</v>
      </c>
    </row>
    <row r="2629" spans="1:12" ht="12" customHeight="1" x14ac:dyDescent="0.25">
      <c r="A2629" s="6">
        <v>44664</v>
      </c>
      <c r="B2629" s="1">
        <v>2201934</v>
      </c>
      <c r="C2629" s="5" t="s">
        <v>100</v>
      </c>
      <c r="D2629" s="5" t="str">
        <f>VLOOKUP(C2629,[1]master_data!$A$2:$E$495,2,FALSE)</f>
        <v>AIRATOR AMARA LUB 1</v>
      </c>
      <c r="E2629" s="5">
        <v>1</v>
      </c>
      <c r="F2629" s="5">
        <f>VLOOKUP(C2629,[1]master_data!$A$2:$E$495,3,FALSE)</f>
        <v>17500</v>
      </c>
      <c r="G2629" s="5">
        <f>VLOOKUP(C2629,[1]master_data!$A$2:$E$495,4,FALSE)</f>
        <v>30000</v>
      </c>
      <c r="H2629" s="5">
        <f t="shared" ref="H2629:H2692" si="129">E2629*F2629</f>
        <v>17500</v>
      </c>
      <c r="I2629" s="5">
        <f t="shared" ref="I2629:I2692" si="130">E2629*G2629</f>
        <v>30000</v>
      </c>
      <c r="J2629" s="5">
        <f t="shared" ref="J2629:J2692" si="131">I2629-H2629</f>
        <v>12500</v>
      </c>
      <c r="K2629" s="5" t="str">
        <f>VLOOKUP(C2629,[1]master_data!$A$2:$E$495,5,FALSE)</f>
        <v>Aksesoris</v>
      </c>
      <c r="L2629" s="5" t="s">
        <v>471</v>
      </c>
    </row>
    <row r="2630" spans="1:12" ht="12" customHeight="1" x14ac:dyDescent="0.25">
      <c r="A2630" s="6">
        <v>44664</v>
      </c>
      <c r="B2630" s="1">
        <v>2201933</v>
      </c>
      <c r="C2630" s="5" t="s">
        <v>313</v>
      </c>
      <c r="D2630" s="5" t="str">
        <f>VLOOKUP(C2630,[1]master_data!$A$2:$E$495,2,FALSE)</f>
        <v>LURUS PIPA</v>
      </c>
      <c r="E2630" s="5">
        <v>10</v>
      </c>
      <c r="F2630" s="5">
        <f>VLOOKUP(C2630,[1]master_data!$A$2:$E$495,3,FALSE)</f>
        <v>800</v>
      </c>
      <c r="G2630" s="5">
        <f>VLOOKUP(C2630,[1]master_data!$A$2:$E$495,4,FALSE)</f>
        <v>2000</v>
      </c>
      <c r="H2630" s="5">
        <f t="shared" si="129"/>
        <v>8000</v>
      </c>
      <c r="I2630" s="5">
        <f t="shared" si="130"/>
        <v>20000</v>
      </c>
      <c r="J2630" s="5">
        <f t="shared" si="131"/>
        <v>12000</v>
      </c>
      <c r="K2630" s="5" t="str">
        <f>VLOOKUP(C2630,[1]master_data!$A$2:$E$495,5,FALSE)</f>
        <v>Aksesoris</v>
      </c>
      <c r="L2630" s="5" t="s">
        <v>471</v>
      </c>
    </row>
    <row r="2631" spans="1:12" ht="12" customHeight="1" x14ac:dyDescent="0.25">
      <c r="A2631" s="6">
        <v>44664</v>
      </c>
      <c r="B2631" s="1">
        <v>2201932</v>
      </c>
      <c r="C2631" s="5" t="s">
        <v>402</v>
      </c>
      <c r="D2631" s="5" t="str">
        <f>VLOOKUP(C2631,[1]master_data!$A$2:$E$495,2,FALSE)</f>
        <v>BLACK GHOST</v>
      </c>
      <c r="E2631" s="5">
        <v>2</v>
      </c>
      <c r="F2631" s="5">
        <f>VLOOKUP(C2631,[1]master_data!$A$2:$E$495,3,FALSE)</f>
        <v>4000</v>
      </c>
      <c r="G2631" s="5">
        <f>VLOOKUP(C2631,[1]master_data!$A$2:$E$495,4,FALSE)</f>
        <v>10000</v>
      </c>
      <c r="H2631" s="5">
        <f t="shared" si="129"/>
        <v>8000</v>
      </c>
      <c r="I2631" s="5">
        <f t="shared" si="130"/>
        <v>20000</v>
      </c>
      <c r="J2631" s="5">
        <f t="shared" si="131"/>
        <v>12000</v>
      </c>
      <c r="K2631" s="5" t="str">
        <f>VLOOKUP(C2631,[1]master_data!$A$2:$E$495,5,FALSE)</f>
        <v>Ikan</v>
      </c>
      <c r="L2631" s="5" t="s">
        <v>471</v>
      </c>
    </row>
    <row r="2632" spans="1:12" ht="12" customHeight="1" x14ac:dyDescent="0.25">
      <c r="A2632" s="6">
        <v>44664</v>
      </c>
      <c r="B2632" s="1">
        <v>2201931</v>
      </c>
      <c r="C2632" s="5" t="s">
        <v>400</v>
      </c>
      <c r="D2632" s="5" t="str">
        <f>VLOOKUP(C2632,[1]master_data!$A$2:$E$495,2,FALSE)</f>
        <v>BALA BALA K</v>
      </c>
      <c r="E2632" s="5">
        <v>2</v>
      </c>
      <c r="F2632" s="5">
        <f>VLOOKUP(C2632,[1]master_data!$A$2:$E$495,3,FALSE)</f>
        <v>4000</v>
      </c>
      <c r="G2632" s="5">
        <f>VLOOKUP(C2632,[1]master_data!$A$2:$E$495,4,FALSE)</f>
        <v>8000</v>
      </c>
      <c r="H2632" s="5">
        <f t="shared" si="129"/>
        <v>8000</v>
      </c>
      <c r="I2632" s="5">
        <f t="shared" si="130"/>
        <v>16000</v>
      </c>
      <c r="J2632" s="5">
        <f t="shared" si="131"/>
        <v>8000</v>
      </c>
      <c r="K2632" s="5" t="str">
        <f>VLOOKUP(C2632,[1]master_data!$A$2:$E$495,5,FALSE)</f>
        <v>Ikan</v>
      </c>
      <c r="L2632" s="5" t="s">
        <v>471</v>
      </c>
    </row>
    <row r="2633" spans="1:12" ht="12" customHeight="1" x14ac:dyDescent="0.25">
      <c r="A2633" s="6">
        <v>44664</v>
      </c>
      <c r="B2633" s="1">
        <v>2201930</v>
      </c>
      <c r="C2633" s="5" t="s">
        <v>432</v>
      </c>
      <c r="D2633" s="5" t="str">
        <f>VLOOKUP(C2633,[1]master_data!$A$2:$E$495,2,FALSE)</f>
        <v>MARU K</v>
      </c>
      <c r="E2633" s="5">
        <v>1</v>
      </c>
      <c r="F2633" s="5">
        <f>VLOOKUP(C2633,[1]master_data!$A$2:$E$495,3,FALSE)</f>
        <v>23000</v>
      </c>
      <c r="G2633" s="5">
        <f>VLOOKUP(C2633,[1]master_data!$A$2:$E$495,4,FALSE)</f>
        <v>50000</v>
      </c>
      <c r="H2633" s="5">
        <f t="shared" si="129"/>
        <v>23000</v>
      </c>
      <c r="I2633" s="5">
        <f t="shared" si="130"/>
        <v>50000</v>
      </c>
      <c r="J2633" s="5">
        <f t="shared" si="131"/>
        <v>27000</v>
      </c>
      <c r="K2633" s="5" t="str">
        <f>VLOOKUP(C2633,[1]master_data!$A$2:$E$495,5,FALSE)</f>
        <v>Ikan</v>
      </c>
      <c r="L2633" s="5" t="s">
        <v>471</v>
      </c>
    </row>
    <row r="2634" spans="1:12" ht="12" customHeight="1" x14ac:dyDescent="0.25">
      <c r="A2634" s="6">
        <v>44664</v>
      </c>
      <c r="B2634" s="1">
        <v>2201929</v>
      </c>
      <c r="C2634" s="5" t="s">
        <v>413</v>
      </c>
      <c r="D2634" s="5" t="str">
        <f>VLOOKUP(C2634,[1]master_data!$A$2:$E$495,2,FALSE)</f>
        <v>KOKI K</v>
      </c>
      <c r="E2634" s="5">
        <v>5</v>
      </c>
      <c r="F2634" s="5">
        <f>VLOOKUP(C2634,[1]master_data!$A$2:$E$495,3,FALSE)</f>
        <v>3500</v>
      </c>
      <c r="G2634" s="5">
        <f>VLOOKUP(C2634,[1]master_data!$A$2:$E$495,4,FALSE)</f>
        <v>10000</v>
      </c>
      <c r="H2634" s="5">
        <f t="shared" si="129"/>
        <v>17500</v>
      </c>
      <c r="I2634" s="5">
        <f t="shared" si="130"/>
        <v>50000</v>
      </c>
      <c r="J2634" s="5">
        <f t="shared" si="131"/>
        <v>32500</v>
      </c>
      <c r="K2634" s="5" t="str">
        <f>VLOOKUP(C2634,[1]master_data!$A$2:$E$495,5,FALSE)</f>
        <v>Ikan</v>
      </c>
      <c r="L2634" s="5" t="s">
        <v>471</v>
      </c>
    </row>
    <row r="2635" spans="1:12" ht="12" customHeight="1" x14ac:dyDescent="0.25">
      <c r="A2635" s="6">
        <v>44664</v>
      </c>
      <c r="B2635" s="1">
        <v>2201928</v>
      </c>
      <c r="C2635" s="5" t="s">
        <v>407</v>
      </c>
      <c r="D2635" s="5" t="str">
        <f>VLOOKUP(C2635,[1]master_data!$A$2:$E$495,2,FALSE)</f>
        <v>CUPANG</v>
      </c>
      <c r="E2635" s="5">
        <v>6</v>
      </c>
      <c r="F2635" s="5">
        <f>VLOOKUP(C2635,[1]master_data!$A$2:$E$495,3,FALSE)</f>
        <v>2000</v>
      </c>
      <c r="G2635" s="5">
        <f>VLOOKUP(C2635,[1]master_data!$A$2:$E$495,4,FALSE)</f>
        <v>5000</v>
      </c>
      <c r="H2635" s="5">
        <f t="shared" si="129"/>
        <v>12000</v>
      </c>
      <c r="I2635" s="5">
        <f t="shared" si="130"/>
        <v>30000</v>
      </c>
      <c r="J2635" s="5">
        <f t="shared" si="131"/>
        <v>18000</v>
      </c>
      <c r="K2635" s="5" t="str">
        <f>VLOOKUP(C2635,[1]master_data!$A$2:$E$495,5,FALSE)</f>
        <v>Ikan</v>
      </c>
      <c r="L2635" s="5" t="s">
        <v>471</v>
      </c>
    </row>
    <row r="2636" spans="1:12" ht="12" customHeight="1" x14ac:dyDescent="0.25">
      <c r="A2636" s="6">
        <v>44664</v>
      </c>
      <c r="B2636" s="1">
        <v>2201927</v>
      </c>
      <c r="C2636" s="5" t="s">
        <v>421</v>
      </c>
      <c r="D2636" s="5" t="str">
        <f>VLOOKUP(C2636,[1]master_data!$A$2:$E$495,2,FALSE)</f>
        <v>KOMET PAKAN</v>
      </c>
      <c r="E2636" s="5">
        <v>20</v>
      </c>
      <c r="F2636" s="5">
        <f>VLOOKUP(C2636,[1]master_data!$A$2:$E$495,3,FALSE)</f>
        <v>300</v>
      </c>
      <c r="G2636" s="5">
        <f>VLOOKUP(C2636,[1]master_data!$A$2:$E$495,4,FALSE)</f>
        <v>1000</v>
      </c>
      <c r="H2636" s="5">
        <f t="shared" si="129"/>
        <v>6000</v>
      </c>
      <c r="I2636" s="5">
        <f t="shared" si="130"/>
        <v>20000</v>
      </c>
      <c r="J2636" s="5">
        <f t="shared" si="131"/>
        <v>14000</v>
      </c>
      <c r="K2636" s="5" t="str">
        <f>VLOOKUP(C2636,[1]master_data!$A$2:$E$495,5,FALSE)</f>
        <v>Ikan</v>
      </c>
      <c r="L2636" s="5" t="s">
        <v>471</v>
      </c>
    </row>
    <row r="2637" spans="1:12" ht="12" customHeight="1" x14ac:dyDescent="0.25">
      <c r="A2637" s="6">
        <v>44663</v>
      </c>
      <c r="B2637" s="1">
        <v>2201926</v>
      </c>
      <c r="C2637" s="5" t="s">
        <v>394</v>
      </c>
      <c r="D2637" s="5" t="str">
        <f>VLOOKUP(C2637,[1]master_data!$A$2:$E$495,2,FALSE)</f>
        <v>ARWANA SILVER K</v>
      </c>
      <c r="E2637" s="5">
        <v>1</v>
      </c>
      <c r="F2637" s="5">
        <f>VLOOKUP(C2637,[1]master_data!$A$2:$E$495,3,FALSE)</f>
        <v>100000</v>
      </c>
      <c r="G2637" s="5">
        <f>VLOOKUP(C2637,[1]master_data!$A$2:$E$495,4,FALSE)</f>
        <v>200000</v>
      </c>
      <c r="H2637" s="5">
        <f t="shared" si="129"/>
        <v>100000</v>
      </c>
      <c r="I2637" s="5">
        <f t="shared" si="130"/>
        <v>200000</v>
      </c>
      <c r="J2637" s="5">
        <f t="shared" si="131"/>
        <v>100000</v>
      </c>
      <c r="K2637" s="5" t="str">
        <f>VLOOKUP(C2637,[1]master_data!$A$2:$E$495,5,FALSE)</f>
        <v>Ikan</v>
      </c>
      <c r="L2637" s="5" t="s">
        <v>471</v>
      </c>
    </row>
    <row r="2638" spans="1:12" ht="12" customHeight="1" x14ac:dyDescent="0.25">
      <c r="A2638" s="6">
        <v>44663</v>
      </c>
      <c r="B2638" s="1">
        <v>2201925</v>
      </c>
      <c r="C2638" s="5" t="s">
        <v>312</v>
      </c>
      <c r="D2638" s="5" t="str">
        <f>VLOOKUP(C2638,[1]master_data!$A$2:$E$495,2,FALSE)</f>
        <v>T PIPA</v>
      </c>
      <c r="E2638" s="5">
        <v>10</v>
      </c>
      <c r="F2638" s="5">
        <f>VLOOKUP(C2638,[1]master_data!$A$2:$E$495,3,FALSE)</f>
        <v>800</v>
      </c>
      <c r="G2638" s="5">
        <f>VLOOKUP(C2638,[1]master_data!$A$2:$E$495,4,FALSE)</f>
        <v>2000</v>
      </c>
      <c r="H2638" s="5">
        <f t="shared" si="129"/>
        <v>8000</v>
      </c>
      <c r="I2638" s="5">
        <f t="shared" si="130"/>
        <v>20000</v>
      </c>
      <c r="J2638" s="5">
        <f t="shared" si="131"/>
        <v>12000</v>
      </c>
      <c r="K2638" s="5" t="str">
        <f>VLOOKUP(C2638,[1]master_data!$A$2:$E$495,5,FALSE)</f>
        <v>Aksesoris</v>
      </c>
      <c r="L2638" s="5" t="s">
        <v>471</v>
      </c>
    </row>
    <row r="2639" spans="1:12" ht="12" customHeight="1" x14ac:dyDescent="0.25">
      <c r="A2639" s="6">
        <v>44663</v>
      </c>
      <c r="B2639" s="1">
        <v>2201924</v>
      </c>
      <c r="C2639" s="5" t="s">
        <v>407</v>
      </c>
      <c r="D2639" s="5" t="str">
        <f>VLOOKUP(C2639,[1]master_data!$A$2:$E$495,2,FALSE)</f>
        <v>CUPANG</v>
      </c>
      <c r="E2639" s="5">
        <v>6</v>
      </c>
      <c r="F2639" s="5">
        <f>VLOOKUP(C2639,[1]master_data!$A$2:$E$495,3,FALSE)</f>
        <v>2000</v>
      </c>
      <c r="G2639" s="5">
        <f>VLOOKUP(C2639,[1]master_data!$A$2:$E$495,4,FALSE)</f>
        <v>5000</v>
      </c>
      <c r="H2639" s="5">
        <f t="shared" si="129"/>
        <v>12000</v>
      </c>
      <c r="I2639" s="5">
        <f t="shared" si="130"/>
        <v>30000</v>
      </c>
      <c r="J2639" s="5">
        <f t="shared" si="131"/>
        <v>18000</v>
      </c>
      <c r="K2639" s="5" t="str">
        <f>VLOOKUP(C2639,[1]master_data!$A$2:$E$495,5,FALSE)</f>
        <v>Ikan</v>
      </c>
      <c r="L2639" s="5" t="s">
        <v>471</v>
      </c>
    </row>
    <row r="2640" spans="1:12" ht="12" customHeight="1" x14ac:dyDescent="0.25">
      <c r="A2640" s="6">
        <v>44663</v>
      </c>
      <c r="B2640" s="1">
        <v>2201923</v>
      </c>
      <c r="C2640" s="5" t="s">
        <v>432</v>
      </c>
      <c r="D2640" s="5" t="str">
        <f>VLOOKUP(C2640,[1]master_data!$A$2:$E$495,2,FALSE)</f>
        <v>MARU K</v>
      </c>
      <c r="E2640" s="5">
        <v>5</v>
      </c>
      <c r="F2640" s="5">
        <f>VLOOKUP(C2640,[1]master_data!$A$2:$E$495,3,FALSE)</f>
        <v>23000</v>
      </c>
      <c r="G2640" s="5">
        <f>VLOOKUP(C2640,[1]master_data!$A$2:$E$495,4,FALSE)</f>
        <v>50000</v>
      </c>
      <c r="H2640" s="5">
        <f t="shared" si="129"/>
        <v>115000</v>
      </c>
      <c r="I2640" s="5">
        <f t="shared" si="130"/>
        <v>250000</v>
      </c>
      <c r="J2640" s="5">
        <f t="shared" si="131"/>
        <v>135000</v>
      </c>
      <c r="K2640" s="5" t="str">
        <f>VLOOKUP(C2640,[1]master_data!$A$2:$E$495,5,FALSE)</f>
        <v>Ikan</v>
      </c>
      <c r="L2640" s="5" t="s">
        <v>471</v>
      </c>
    </row>
    <row r="2641" spans="1:12" ht="12" customHeight="1" x14ac:dyDescent="0.25">
      <c r="A2641" s="6">
        <v>44663</v>
      </c>
      <c r="B2641" s="1">
        <v>2201922</v>
      </c>
      <c r="C2641" s="5" t="s">
        <v>208</v>
      </c>
      <c r="D2641" s="5" t="str">
        <f>VLOOKUP(C2641,[1]master_data!$A$2:$E$495,2,FALSE)</f>
        <v>TOP VIT</v>
      </c>
      <c r="E2641" s="5">
        <v>2</v>
      </c>
      <c r="F2641" s="5">
        <f>VLOOKUP(C2641,[1]master_data!$A$2:$E$495,3,FALSE)</f>
        <v>4000</v>
      </c>
      <c r="G2641" s="5">
        <f>VLOOKUP(C2641,[1]master_data!$A$2:$E$495,4,FALSE)</f>
        <v>7000</v>
      </c>
      <c r="H2641" s="5">
        <f t="shared" si="129"/>
        <v>8000</v>
      </c>
      <c r="I2641" s="5">
        <f t="shared" si="130"/>
        <v>14000</v>
      </c>
      <c r="J2641" s="5">
        <f t="shared" si="131"/>
        <v>6000</v>
      </c>
      <c r="K2641" s="5" t="str">
        <f>VLOOKUP(C2641,[1]master_data!$A$2:$E$495,5,FALSE)</f>
        <v>Aksesoris</v>
      </c>
      <c r="L2641" s="5" t="s">
        <v>471</v>
      </c>
    </row>
    <row r="2642" spans="1:12" ht="12" customHeight="1" x14ac:dyDescent="0.25">
      <c r="A2642" s="6">
        <v>44663</v>
      </c>
      <c r="B2642" s="1">
        <v>2201921</v>
      </c>
      <c r="C2642" s="5" t="s">
        <v>285</v>
      </c>
      <c r="D2642" s="5" t="str">
        <f>VLOOKUP(C2642,[1]master_data!$A$2:$E$495,2,FALSE)</f>
        <v>KAPAS 4 LAPIS</v>
      </c>
      <c r="E2642" s="5">
        <v>2</v>
      </c>
      <c r="F2642" s="5">
        <f>VLOOKUP(C2642,[1]master_data!$A$2:$E$495,3,FALSE)</f>
        <v>6500</v>
      </c>
      <c r="G2642" s="5">
        <f>VLOOKUP(C2642,[1]master_data!$A$2:$E$495,4,FALSE)</f>
        <v>10000</v>
      </c>
      <c r="H2642" s="5">
        <f t="shared" si="129"/>
        <v>13000</v>
      </c>
      <c r="I2642" s="5">
        <f t="shared" si="130"/>
        <v>20000</v>
      </c>
      <c r="J2642" s="5">
        <f t="shared" si="131"/>
        <v>7000</v>
      </c>
      <c r="K2642" s="5" t="str">
        <f>VLOOKUP(C2642,[1]master_data!$A$2:$E$495,5,FALSE)</f>
        <v>Aksesoris</v>
      </c>
      <c r="L2642" s="5" t="s">
        <v>471</v>
      </c>
    </row>
    <row r="2643" spans="1:12" ht="12" customHeight="1" x14ac:dyDescent="0.25">
      <c r="A2643" s="6">
        <v>44663</v>
      </c>
      <c r="B2643" s="1">
        <v>2201920</v>
      </c>
      <c r="C2643" s="5" t="s">
        <v>421</v>
      </c>
      <c r="D2643" s="5" t="str">
        <f>VLOOKUP(C2643,[1]master_data!$A$2:$E$495,2,FALSE)</f>
        <v>KOMET PAKAN</v>
      </c>
      <c r="E2643" s="5">
        <v>20</v>
      </c>
      <c r="F2643" s="5">
        <f>VLOOKUP(C2643,[1]master_data!$A$2:$E$495,3,FALSE)</f>
        <v>300</v>
      </c>
      <c r="G2643" s="5">
        <f>VLOOKUP(C2643,[1]master_data!$A$2:$E$495,4,FALSE)</f>
        <v>1000</v>
      </c>
      <c r="H2643" s="5">
        <f t="shared" si="129"/>
        <v>6000</v>
      </c>
      <c r="I2643" s="5">
        <f t="shared" si="130"/>
        <v>20000</v>
      </c>
      <c r="J2643" s="5">
        <f t="shared" si="131"/>
        <v>14000</v>
      </c>
      <c r="K2643" s="5" t="str">
        <f>VLOOKUP(C2643,[1]master_data!$A$2:$E$495,5,FALSE)</f>
        <v>Ikan</v>
      </c>
      <c r="L2643" s="5" t="s">
        <v>471</v>
      </c>
    </row>
    <row r="2644" spans="1:12" ht="12" customHeight="1" x14ac:dyDescent="0.25">
      <c r="A2644" s="6">
        <v>44663</v>
      </c>
      <c r="B2644" s="1">
        <v>2201919</v>
      </c>
      <c r="C2644" s="5" t="s">
        <v>333</v>
      </c>
      <c r="D2644" s="5" t="str">
        <f>VLOOKUP(C2644,[1]master_data!$A$2:$E$495,2,FALSE)</f>
        <v>KAPAS 2 LAPIS</v>
      </c>
      <c r="E2644" s="5">
        <v>2</v>
      </c>
      <c r="F2644" s="5">
        <f>VLOOKUP(C2644,[1]master_data!$A$2:$E$495,3,FALSE)</f>
        <v>2000</v>
      </c>
      <c r="G2644" s="5">
        <f>VLOOKUP(C2644,[1]master_data!$A$2:$E$495,4,FALSE)</f>
        <v>4000</v>
      </c>
      <c r="H2644" s="5">
        <f t="shared" si="129"/>
        <v>4000</v>
      </c>
      <c r="I2644" s="5">
        <f t="shared" si="130"/>
        <v>8000</v>
      </c>
      <c r="J2644" s="5">
        <f t="shared" si="131"/>
        <v>4000</v>
      </c>
      <c r="K2644" s="5" t="str">
        <f>VLOOKUP(C2644,[1]master_data!$A$2:$E$495,5,FALSE)</f>
        <v>Aksesoris</v>
      </c>
      <c r="L2644" s="5" t="s">
        <v>471</v>
      </c>
    </row>
    <row r="2645" spans="1:12" ht="12" customHeight="1" x14ac:dyDescent="0.25">
      <c r="A2645" s="6">
        <v>44663</v>
      </c>
      <c r="B2645" s="1">
        <v>2201918</v>
      </c>
      <c r="C2645" s="5" t="s">
        <v>413</v>
      </c>
      <c r="D2645" s="5" t="str">
        <f>VLOOKUP(C2645,[1]master_data!$A$2:$E$495,2,FALSE)</f>
        <v>KOKI K</v>
      </c>
      <c r="E2645" s="5">
        <v>5</v>
      </c>
      <c r="F2645" s="5">
        <f>VLOOKUP(C2645,[1]master_data!$A$2:$E$495,3,FALSE)</f>
        <v>3500</v>
      </c>
      <c r="G2645" s="5">
        <f>VLOOKUP(C2645,[1]master_data!$A$2:$E$495,4,FALSE)</f>
        <v>10000</v>
      </c>
      <c r="H2645" s="5">
        <f t="shared" si="129"/>
        <v>17500</v>
      </c>
      <c r="I2645" s="5">
        <f t="shared" si="130"/>
        <v>50000</v>
      </c>
      <c r="J2645" s="5">
        <f t="shared" si="131"/>
        <v>32500</v>
      </c>
      <c r="K2645" s="5" t="str">
        <f>VLOOKUP(C2645,[1]master_data!$A$2:$E$495,5,FALSE)</f>
        <v>Ikan</v>
      </c>
      <c r="L2645" s="5" t="s">
        <v>471</v>
      </c>
    </row>
    <row r="2646" spans="1:12" ht="12" customHeight="1" x14ac:dyDescent="0.25">
      <c r="A2646" s="6">
        <v>44663</v>
      </c>
      <c r="B2646" s="1">
        <v>2201917</v>
      </c>
      <c r="C2646" s="5" t="s">
        <v>430</v>
      </c>
      <c r="D2646" s="5" t="str">
        <f>VLOOKUP(C2646,[1]master_data!$A$2:$E$495,2,FALSE)</f>
        <v>MANFISH K</v>
      </c>
      <c r="E2646" s="5">
        <v>2</v>
      </c>
      <c r="F2646" s="5">
        <f>VLOOKUP(C2646,[1]master_data!$A$2:$E$495,3,FALSE)</f>
        <v>2000</v>
      </c>
      <c r="G2646" s="5">
        <f>VLOOKUP(C2646,[1]master_data!$A$2:$E$495,4,FALSE)</f>
        <v>5000</v>
      </c>
      <c r="H2646" s="5">
        <f t="shared" si="129"/>
        <v>4000</v>
      </c>
      <c r="I2646" s="5">
        <f t="shared" si="130"/>
        <v>10000</v>
      </c>
      <c r="J2646" s="5">
        <f t="shared" si="131"/>
        <v>6000</v>
      </c>
      <c r="K2646" s="5" t="str">
        <f>VLOOKUP(C2646,[1]master_data!$A$2:$E$495,5,FALSE)</f>
        <v>Ikan</v>
      </c>
      <c r="L2646" s="5" t="s">
        <v>471</v>
      </c>
    </row>
    <row r="2647" spans="1:12" ht="12" customHeight="1" x14ac:dyDescent="0.25">
      <c r="A2647" s="6">
        <v>44663</v>
      </c>
      <c r="B2647" s="1">
        <v>2201916</v>
      </c>
      <c r="C2647" s="5" t="s">
        <v>255</v>
      </c>
      <c r="D2647" s="5" t="str">
        <f>VLOOKUP(C2647,[1]master_data!$A$2:$E$495,2,FALSE)</f>
        <v>ACRIPLAVIN</v>
      </c>
      <c r="E2647" s="5">
        <v>1</v>
      </c>
      <c r="F2647" s="5">
        <f>VLOOKUP(C2647,[1]master_data!$A$2:$E$495,3,FALSE)</f>
        <v>3000</v>
      </c>
      <c r="G2647" s="5">
        <f>VLOOKUP(C2647,[1]master_data!$A$2:$E$495,4,FALSE)</f>
        <v>8000</v>
      </c>
      <c r="H2647" s="5">
        <f t="shared" si="129"/>
        <v>3000</v>
      </c>
      <c r="I2647" s="5">
        <f t="shared" si="130"/>
        <v>8000</v>
      </c>
      <c r="J2647" s="5">
        <f t="shared" si="131"/>
        <v>5000</v>
      </c>
      <c r="K2647" s="5" t="str">
        <f>VLOOKUP(C2647,[1]master_data!$A$2:$E$495,5,FALSE)</f>
        <v>Aksesoris</v>
      </c>
      <c r="L2647" s="5" t="s">
        <v>471</v>
      </c>
    </row>
    <row r="2648" spans="1:12" ht="12" customHeight="1" x14ac:dyDescent="0.25">
      <c r="A2648" s="6">
        <v>44663</v>
      </c>
      <c r="B2648" s="1">
        <v>2201915</v>
      </c>
      <c r="C2648" s="5" t="s">
        <v>255</v>
      </c>
      <c r="D2648" s="5" t="str">
        <f>VLOOKUP(C2648,[1]master_data!$A$2:$E$495,2,FALSE)</f>
        <v>ACRIPLAVIN</v>
      </c>
      <c r="E2648" s="5">
        <v>1</v>
      </c>
      <c r="F2648" s="5">
        <f>VLOOKUP(C2648,[1]master_data!$A$2:$E$495,3,FALSE)</f>
        <v>3000</v>
      </c>
      <c r="G2648" s="5">
        <f>VLOOKUP(C2648,[1]master_data!$A$2:$E$495,4,FALSE)</f>
        <v>8000</v>
      </c>
      <c r="H2648" s="5">
        <f t="shared" si="129"/>
        <v>3000</v>
      </c>
      <c r="I2648" s="5">
        <f t="shared" si="130"/>
        <v>8000</v>
      </c>
      <c r="J2648" s="5">
        <f t="shared" si="131"/>
        <v>5000</v>
      </c>
      <c r="K2648" s="5" t="str">
        <f>VLOOKUP(C2648,[1]master_data!$A$2:$E$495,5,FALSE)</f>
        <v>Aksesoris</v>
      </c>
      <c r="L2648" s="5" t="s">
        <v>471</v>
      </c>
    </row>
    <row r="2649" spans="1:12" ht="12" customHeight="1" x14ac:dyDescent="0.25">
      <c r="A2649" s="6">
        <v>44663</v>
      </c>
      <c r="B2649" s="1">
        <v>2201914</v>
      </c>
      <c r="C2649" s="5" t="s">
        <v>402</v>
      </c>
      <c r="D2649" s="5" t="str">
        <f>VLOOKUP(C2649,[1]master_data!$A$2:$E$495,2,FALSE)</f>
        <v>BLACK GHOST</v>
      </c>
      <c r="E2649" s="5">
        <v>2</v>
      </c>
      <c r="F2649" s="5">
        <f>VLOOKUP(C2649,[1]master_data!$A$2:$E$495,3,FALSE)</f>
        <v>4000</v>
      </c>
      <c r="G2649" s="5">
        <f>VLOOKUP(C2649,[1]master_data!$A$2:$E$495,4,FALSE)</f>
        <v>10000</v>
      </c>
      <c r="H2649" s="5">
        <f t="shared" si="129"/>
        <v>8000</v>
      </c>
      <c r="I2649" s="5">
        <f t="shared" si="130"/>
        <v>20000</v>
      </c>
      <c r="J2649" s="5">
        <f t="shared" si="131"/>
        <v>12000</v>
      </c>
      <c r="K2649" s="5" t="str">
        <f>VLOOKUP(C2649,[1]master_data!$A$2:$E$495,5,FALSE)</f>
        <v>Ikan</v>
      </c>
      <c r="L2649" s="5" t="s">
        <v>471</v>
      </c>
    </row>
    <row r="2650" spans="1:12" ht="12" customHeight="1" x14ac:dyDescent="0.25">
      <c r="A2650" s="6">
        <v>44663</v>
      </c>
      <c r="B2650" s="1">
        <v>2201913</v>
      </c>
      <c r="C2650" s="5" t="s">
        <v>400</v>
      </c>
      <c r="D2650" s="5" t="str">
        <f>VLOOKUP(C2650,[1]master_data!$A$2:$E$495,2,FALSE)</f>
        <v>BALA BALA K</v>
      </c>
      <c r="E2650" s="5">
        <v>2</v>
      </c>
      <c r="F2650" s="5">
        <f>VLOOKUP(C2650,[1]master_data!$A$2:$E$495,3,FALSE)</f>
        <v>4000</v>
      </c>
      <c r="G2650" s="5">
        <f>VLOOKUP(C2650,[1]master_data!$A$2:$E$495,4,FALSE)</f>
        <v>8000</v>
      </c>
      <c r="H2650" s="5">
        <f t="shared" si="129"/>
        <v>8000</v>
      </c>
      <c r="I2650" s="5">
        <f t="shared" si="130"/>
        <v>16000</v>
      </c>
      <c r="J2650" s="5">
        <f t="shared" si="131"/>
        <v>8000</v>
      </c>
      <c r="K2650" s="5" t="str">
        <f>VLOOKUP(C2650,[1]master_data!$A$2:$E$495,5,FALSE)</f>
        <v>Ikan</v>
      </c>
      <c r="L2650" s="5" t="s">
        <v>471</v>
      </c>
    </row>
    <row r="2651" spans="1:12" ht="12" customHeight="1" x14ac:dyDescent="0.25">
      <c r="A2651" s="6">
        <v>44663</v>
      </c>
      <c r="B2651" s="1">
        <v>2201912</v>
      </c>
      <c r="C2651" s="5" t="s">
        <v>285</v>
      </c>
      <c r="D2651" s="5" t="str">
        <f>VLOOKUP(C2651,[1]master_data!$A$2:$E$495,2,FALSE)</f>
        <v>KAPAS 4 LAPIS</v>
      </c>
      <c r="E2651" s="5">
        <v>1</v>
      </c>
      <c r="F2651" s="5">
        <f>VLOOKUP(C2651,[1]master_data!$A$2:$E$495,3,FALSE)</f>
        <v>6500</v>
      </c>
      <c r="G2651" s="5">
        <f>VLOOKUP(C2651,[1]master_data!$A$2:$E$495,4,FALSE)</f>
        <v>10000</v>
      </c>
      <c r="H2651" s="5">
        <f t="shared" si="129"/>
        <v>6500</v>
      </c>
      <c r="I2651" s="5">
        <f t="shared" si="130"/>
        <v>10000</v>
      </c>
      <c r="J2651" s="5">
        <f t="shared" si="131"/>
        <v>3500</v>
      </c>
      <c r="K2651" s="5" t="str">
        <f>VLOOKUP(C2651,[1]master_data!$A$2:$E$495,5,FALSE)</f>
        <v>Aksesoris</v>
      </c>
      <c r="L2651" s="5" t="s">
        <v>471</v>
      </c>
    </row>
    <row r="2652" spans="1:12" ht="12" customHeight="1" x14ac:dyDescent="0.25">
      <c r="A2652" s="6">
        <v>44663</v>
      </c>
      <c r="B2652" s="1">
        <v>2201911</v>
      </c>
      <c r="C2652" s="5" t="s">
        <v>415</v>
      </c>
      <c r="D2652" s="5" t="str">
        <f>VLOOKUP(C2652,[1]master_data!$A$2:$E$495,2,FALSE)</f>
        <v>KOKI B</v>
      </c>
      <c r="E2652" s="5">
        <v>2</v>
      </c>
      <c r="F2652" s="5">
        <f>VLOOKUP(C2652,[1]master_data!$A$2:$E$495,3,FALSE)</f>
        <v>20000</v>
      </c>
      <c r="G2652" s="5">
        <f>VLOOKUP(C2652,[1]master_data!$A$2:$E$495,4,FALSE)</f>
        <v>50000</v>
      </c>
      <c r="H2652" s="5">
        <f t="shared" si="129"/>
        <v>40000</v>
      </c>
      <c r="I2652" s="5">
        <f t="shared" si="130"/>
        <v>100000</v>
      </c>
      <c r="J2652" s="5">
        <f t="shared" si="131"/>
        <v>60000</v>
      </c>
      <c r="K2652" s="5" t="str">
        <f>VLOOKUP(C2652,[1]master_data!$A$2:$E$495,5,FALSE)</f>
        <v>Ikan</v>
      </c>
      <c r="L2652" s="5" t="s">
        <v>471</v>
      </c>
    </row>
    <row r="2653" spans="1:12" ht="12" customHeight="1" x14ac:dyDescent="0.25">
      <c r="A2653" s="6">
        <v>44662</v>
      </c>
      <c r="B2653" s="1">
        <v>2201910</v>
      </c>
      <c r="C2653" s="5" t="s">
        <v>455</v>
      </c>
      <c r="D2653" s="5" t="str">
        <f>VLOOKUP(C2653,[1]master_data!$A$2:$E$495,2,FALSE)</f>
        <v>TETRA</v>
      </c>
      <c r="E2653" s="5">
        <v>10</v>
      </c>
      <c r="F2653" s="5">
        <f>VLOOKUP(C2653,[1]master_data!$A$2:$E$495,3,FALSE)</f>
        <v>800</v>
      </c>
      <c r="G2653" s="5">
        <f>VLOOKUP(C2653,[1]master_data!$A$2:$E$495,4,FALSE)</f>
        <v>2000</v>
      </c>
      <c r="H2653" s="5">
        <f t="shared" si="129"/>
        <v>8000</v>
      </c>
      <c r="I2653" s="5">
        <f t="shared" si="130"/>
        <v>20000</v>
      </c>
      <c r="J2653" s="5">
        <f t="shared" si="131"/>
        <v>12000</v>
      </c>
      <c r="K2653" s="5" t="str">
        <f>VLOOKUP(C2653,[1]master_data!$A$2:$E$495,5,FALSE)</f>
        <v>Ikan</v>
      </c>
      <c r="L2653" s="5" t="s">
        <v>471</v>
      </c>
    </row>
    <row r="2654" spans="1:12" ht="12" customHeight="1" x14ac:dyDescent="0.25">
      <c r="A2654" s="6">
        <v>44662</v>
      </c>
      <c r="B2654" s="1">
        <v>2201909</v>
      </c>
      <c r="C2654" s="5" t="s">
        <v>272</v>
      </c>
      <c r="D2654" s="5" t="str">
        <f>VLOOKUP(C2654,[1]master_data!$A$2:$E$495,2,FALSE)</f>
        <v>JARING 10</v>
      </c>
      <c r="E2654" s="5">
        <v>1</v>
      </c>
      <c r="F2654" s="5">
        <f>VLOOKUP(C2654,[1]master_data!$A$2:$E$495,3,FALSE)</f>
        <v>2900</v>
      </c>
      <c r="G2654" s="5">
        <f>VLOOKUP(C2654,[1]master_data!$A$2:$E$495,4,FALSE)</f>
        <v>6000</v>
      </c>
      <c r="H2654" s="5">
        <f t="shared" si="129"/>
        <v>2900</v>
      </c>
      <c r="I2654" s="5">
        <f t="shared" si="130"/>
        <v>6000</v>
      </c>
      <c r="J2654" s="5">
        <f t="shared" si="131"/>
        <v>3100</v>
      </c>
      <c r="K2654" s="5" t="str">
        <f>VLOOKUP(C2654,[1]master_data!$A$2:$E$495,5,FALSE)</f>
        <v>Aksesoris</v>
      </c>
      <c r="L2654" s="5" t="s">
        <v>471</v>
      </c>
    </row>
    <row r="2655" spans="1:12" ht="12" customHeight="1" x14ac:dyDescent="0.25">
      <c r="A2655" s="6">
        <v>44662</v>
      </c>
      <c r="B2655" s="1">
        <v>2201908</v>
      </c>
      <c r="C2655" s="5" t="s">
        <v>413</v>
      </c>
      <c r="D2655" s="5" t="str">
        <f>VLOOKUP(C2655,[1]master_data!$A$2:$E$495,2,FALSE)</f>
        <v>KOKI K</v>
      </c>
      <c r="E2655" s="5">
        <v>5</v>
      </c>
      <c r="F2655" s="5">
        <f>VLOOKUP(C2655,[1]master_data!$A$2:$E$495,3,FALSE)</f>
        <v>3500</v>
      </c>
      <c r="G2655" s="5">
        <f>VLOOKUP(C2655,[1]master_data!$A$2:$E$495,4,FALSE)</f>
        <v>10000</v>
      </c>
      <c r="H2655" s="5">
        <f t="shared" si="129"/>
        <v>17500</v>
      </c>
      <c r="I2655" s="5">
        <f t="shared" si="130"/>
        <v>50000</v>
      </c>
      <c r="J2655" s="5">
        <f t="shared" si="131"/>
        <v>32500</v>
      </c>
      <c r="K2655" s="5" t="str">
        <f>VLOOKUP(C2655,[1]master_data!$A$2:$E$495,5,FALSE)</f>
        <v>Ikan</v>
      </c>
      <c r="L2655" s="5" t="s">
        <v>471</v>
      </c>
    </row>
    <row r="2656" spans="1:12" ht="12" customHeight="1" x14ac:dyDescent="0.25">
      <c r="A2656" s="6">
        <v>44662</v>
      </c>
      <c r="B2656" s="1">
        <v>2201907</v>
      </c>
      <c r="C2656" s="5" t="s">
        <v>451</v>
      </c>
      <c r="D2656" s="5" t="str">
        <f>VLOOKUP(C2656,[1]master_data!$A$2:$E$495,2,FALSE)</f>
        <v>SUMATRA GOLD FISH</v>
      </c>
      <c r="E2656" s="5">
        <v>10</v>
      </c>
      <c r="F2656" s="5">
        <f>VLOOKUP(C2656,[1]master_data!$A$2:$E$495,3,FALSE)</f>
        <v>2500</v>
      </c>
      <c r="G2656" s="5">
        <f>VLOOKUP(C2656,[1]master_data!$A$2:$E$495,4,FALSE)</f>
        <v>4000</v>
      </c>
      <c r="H2656" s="5">
        <f t="shared" si="129"/>
        <v>25000</v>
      </c>
      <c r="I2656" s="5">
        <f t="shared" si="130"/>
        <v>40000</v>
      </c>
      <c r="J2656" s="5">
        <f t="shared" si="131"/>
        <v>15000</v>
      </c>
      <c r="K2656" s="5" t="str">
        <f>VLOOKUP(C2656,[1]master_data!$A$2:$E$495,5,FALSE)</f>
        <v>Ikan</v>
      </c>
      <c r="L2656" s="5" t="s">
        <v>471</v>
      </c>
    </row>
    <row r="2657" spans="1:12" ht="12" customHeight="1" x14ac:dyDescent="0.25">
      <c r="A2657" s="6">
        <v>44662</v>
      </c>
      <c r="B2657" s="1">
        <v>2201906</v>
      </c>
      <c r="C2657" s="5" t="s">
        <v>310</v>
      </c>
      <c r="D2657" s="5" t="str">
        <f>VLOOKUP(C2657,[1]master_data!$A$2:$E$495,2,FALSE)</f>
        <v>SELANG FUSO</v>
      </c>
      <c r="E2657" s="5">
        <v>2</v>
      </c>
      <c r="F2657" s="5">
        <f>VLOOKUP(C2657,[1]master_data!$A$2:$E$495,3,FALSE)</f>
        <v>800</v>
      </c>
      <c r="G2657" s="5">
        <f>VLOOKUP(C2657,[1]master_data!$A$2:$E$495,4,FALSE)</f>
        <v>2000</v>
      </c>
      <c r="H2657" s="5">
        <f t="shared" si="129"/>
        <v>1600</v>
      </c>
      <c r="I2657" s="5">
        <f t="shared" si="130"/>
        <v>4000</v>
      </c>
      <c r="J2657" s="5">
        <f t="shared" si="131"/>
        <v>2400</v>
      </c>
      <c r="K2657" s="5" t="str">
        <f>VLOOKUP(C2657,[1]master_data!$A$2:$E$495,5,FALSE)</f>
        <v>Aksesoris</v>
      </c>
      <c r="L2657" s="5" t="s">
        <v>471</v>
      </c>
    </row>
    <row r="2658" spans="1:12" ht="12" customHeight="1" x14ac:dyDescent="0.25">
      <c r="A2658" s="6">
        <v>44662</v>
      </c>
      <c r="B2658" s="1">
        <v>2201905</v>
      </c>
      <c r="C2658" s="5" t="s">
        <v>409</v>
      </c>
      <c r="D2658" s="5" t="str">
        <f>VLOOKUP(C2658,[1]master_data!$A$2:$E$495,2,FALSE)</f>
        <v>GOLD FISH</v>
      </c>
      <c r="E2658" s="5">
        <v>10</v>
      </c>
      <c r="F2658" s="5">
        <f>VLOOKUP(C2658,[1]master_data!$A$2:$E$495,3,FALSE)</f>
        <v>800</v>
      </c>
      <c r="G2658" s="5">
        <f>VLOOKUP(C2658,[1]master_data!$A$2:$E$495,4,FALSE)</f>
        <v>2000</v>
      </c>
      <c r="H2658" s="5">
        <f t="shared" si="129"/>
        <v>8000</v>
      </c>
      <c r="I2658" s="5">
        <f t="shared" si="130"/>
        <v>20000</v>
      </c>
      <c r="J2658" s="5">
        <f t="shared" si="131"/>
        <v>12000</v>
      </c>
      <c r="K2658" s="5" t="str">
        <f>VLOOKUP(C2658,[1]master_data!$A$2:$E$495,5,FALSE)</f>
        <v>Ikan</v>
      </c>
      <c r="L2658" s="5" t="s">
        <v>471</v>
      </c>
    </row>
    <row r="2659" spans="1:12" ht="12" customHeight="1" x14ac:dyDescent="0.25">
      <c r="A2659" s="6">
        <v>44662</v>
      </c>
      <c r="B2659" s="1">
        <v>2201904</v>
      </c>
      <c r="C2659" s="5" t="s">
        <v>8</v>
      </c>
      <c r="D2659" s="5" t="str">
        <f>VLOOKUP(C2659,[1]master_data!$A$2:$E$495,2,FALSE)</f>
        <v>MESIN YANG 1800</v>
      </c>
      <c r="E2659" s="5">
        <v>1</v>
      </c>
      <c r="F2659" s="5">
        <f>VLOOKUP(C2659,[1]master_data!$A$2:$E$495,3,FALSE)</f>
        <v>75000</v>
      </c>
      <c r="G2659" s="5">
        <f>VLOOKUP(C2659,[1]master_data!$A$2:$E$495,4,FALSE)</f>
        <v>110000</v>
      </c>
      <c r="H2659" s="5">
        <f t="shared" si="129"/>
        <v>75000</v>
      </c>
      <c r="I2659" s="5">
        <f t="shared" si="130"/>
        <v>110000</v>
      </c>
      <c r="J2659" s="5">
        <f t="shared" si="131"/>
        <v>35000</v>
      </c>
      <c r="K2659" s="5" t="str">
        <f>VLOOKUP(C2659,[1]master_data!$A$2:$E$495,5,FALSE)</f>
        <v>Aksesoris</v>
      </c>
      <c r="L2659" s="5" t="s">
        <v>471</v>
      </c>
    </row>
    <row r="2660" spans="1:12" ht="12" customHeight="1" x14ac:dyDescent="0.25">
      <c r="A2660" s="6">
        <v>44662</v>
      </c>
      <c r="B2660" s="1">
        <v>2201903</v>
      </c>
      <c r="C2660" s="5" t="s">
        <v>418</v>
      </c>
      <c r="D2660" s="5" t="str">
        <f>VLOOKUP(C2660,[1]master_data!$A$2:$E$495,2,FALSE)</f>
        <v>KOI B</v>
      </c>
      <c r="E2660" s="5">
        <v>4</v>
      </c>
      <c r="F2660" s="5">
        <f>VLOOKUP(C2660,[1]master_data!$A$2:$E$495,3,FALSE)</f>
        <v>9000</v>
      </c>
      <c r="G2660" s="5">
        <f>VLOOKUP(C2660,[1]master_data!$A$2:$E$495,4,FALSE)</f>
        <v>30000</v>
      </c>
      <c r="H2660" s="5">
        <f t="shared" si="129"/>
        <v>36000</v>
      </c>
      <c r="I2660" s="5">
        <f t="shared" si="130"/>
        <v>120000</v>
      </c>
      <c r="J2660" s="5">
        <f t="shared" si="131"/>
        <v>84000</v>
      </c>
      <c r="K2660" s="5" t="str">
        <f>VLOOKUP(C2660,[1]master_data!$A$2:$E$495,5,FALSE)</f>
        <v>Ikan</v>
      </c>
      <c r="L2660" s="5" t="s">
        <v>471</v>
      </c>
    </row>
    <row r="2661" spans="1:12" ht="12" customHeight="1" x14ac:dyDescent="0.25">
      <c r="A2661" s="6">
        <v>44662</v>
      </c>
      <c r="B2661" s="1">
        <v>2201902</v>
      </c>
      <c r="C2661" s="5" t="s">
        <v>204</v>
      </c>
      <c r="D2661" s="5" t="str">
        <f>VLOOKUP(C2661,[1]master_data!$A$2:$E$495,2,FALSE)</f>
        <v>MAGOT</v>
      </c>
      <c r="E2661" s="5">
        <v>1</v>
      </c>
      <c r="F2661" s="5">
        <f>VLOOKUP(C2661,[1]master_data!$A$2:$E$495,3,FALSE)</f>
        <v>4500</v>
      </c>
      <c r="G2661" s="5">
        <f>VLOOKUP(C2661,[1]master_data!$A$2:$E$495,4,FALSE)</f>
        <v>10000</v>
      </c>
      <c r="H2661" s="5">
        <f t="shared" si="129"/>
        <v>4500</v>
      </c>
      <c r="I2661" s="5">
        <f t="shared" si="130"/>
        <v>10000</v>
      </c>
      <c r="J2661" s="5">
        <f t="shared" si="131"/>
        <v>5500</v>
      </c>
      <c r="K2661" s="5" t="str">
        <f>VLOOKUP(C2661,[1]master_data!$A$2:$E$495,5,FALSE)</f>
        <v>Aksesoris</v>
      </c>
      <c r="L2661" s="5" t="s">
        <v>471</v>
      </c>
    </row>
    <row r="2662" spans="1:12" ht="12" customHeight="1" x14ac:dyDescent="0.25">
      <c r="A2662" s="6">
        <v>44662</v>
      </c>
      <c r="B2662" s="1">
        <v>2201901</v>
      </c>
      <c r="C2662" s="5" t="s">
        <v>463</v>
      </c>
      <c r="D2662" s="5" t="str">
        <f>VLOOKUP(C2662,[1]master_data!$A$2:$E$495,2,FALSE)</f>
        <v>CHANNA STEWARTI</v>
      </c>
      <c r="E2662" s="5">
        <v>1</v>
      </c>
      <c r="F2662" s="5">
        <f>VLOOKUP(C2662,[1]master_data!$A$2:$E$495,3,FALSE)</f>
        <v>15000</v>
      </c>
      <c r="G2662" s="5">
        <f>VLOOKUP(C2662,[1]master_data!$A$2:$E$495,4,FALSE)</f>
        <v>40000</v>
      </c>
      <c r="H2662" s="5">
        <f t="shared" si="129"/>
        <v>15000</v>
      </c>
      <c r="I2662" s="5">
        <f t="shared" si="130"/>
        <v>40000</v>
      </c>
      <c r="J2662" s="5">
        <f t="shared" si="131"/>
        <v>25000</v>
      </c>
      <c r="K2662" s="5" t="str">
        <f>VLOOKUP(C2662,[1]master_data!$A$2:$E$495,5,FALSE)</f>
        <v>Ikan</v>
      </c>
      <c r="L2662" s="5" t="s">
        <v>471</v>
      </c>
    </row>
    <row r="2663" spans="1:12" ht="12" customHeight="1" x14ac:dyDescent="0.25">
      <c r="A2663" s="6">
        <v>44662</v>
      </c>
      <c r="B2663" s="1">
        <v>2201900</v>
      </c>
      <c r="C2663" s="5" t="s">
        <v>311</v>
      </c>
      <c r="D2663" s="5" t="str">
        <f>VLOOKUP(C2663,[1]master_data!$A$2:$E$495,2,FALSE)</f>
        <v>L PIPA</v>
      </c>
      <c r="E2663" s="5">
        <v>10</v>
      </c>
      <c r="F2663" s="5">
        <f>VLOOKUP(C2663,[1]master_data!$A$2:$E$495,3,FALSE)</f>
        <v>800</v>
      </c>
      <c r="G2663" s="5">
        <f>VLOOKUP(C2663,[1]master_data!$A$2:$E$495,4,FALSE)</f>
        <v>2000</v>
      </c>
      <c r="H2663" s="5">
        <f t="shared" si="129"/>
        <v>8000</v>
      </c>
      <c r="I2663" s="5">
        <f t="shared" si="130"/>
        <v>20000</v>
      </c>
      <c r="J2663" s="5">
        <f t="shared" si="131"/>
        <v>12000</v>
      </c>
      <c r="K2663" s="5" t="str">
        <f>VLOOKUP(C2663,[1]master_data!$A$2:$E$495,5,FALSE)</f>
        <v>Aksesoris</v>
      </c>
      <c r="L2663" s="5" t="s">
        <v>471</v>
      </c>
    </row>
    <row r="2664" spans="1:12" ht="12" customHeight="1" x14ac:dyDescent="0.25">
      <c r="A2664" s="6">
        <v>44662</v>
      </c>
      <c r="B2664" s="1">
        <v>2201899</v>
      </c>
      <c r="C2664" s="5" t="s">
        <v>420</v>
      </c>
      <c r="D2664" s="5" t="str">
        <f>VLOOKUP(C2664,[1]master_data!$A$2:$E$495,2,FALSE)</f>
        <v>KAVIAT</v>
      </c>
      <c r="E2664" s="5">
        <v>4</v>
      </c>
      <c r="F2664" s="5">
        <f>VLOOKUP(C2664,[1]master_data!$A$2:$E$495,3,FALSE)</f>
        <v>3500</v>
      </c>
      <c r="G2664" s="5">
        <f>VLOOKUP(C2664,[1]master_data!$A$2:$E$495,4,FALSE)</f>
        <v>8000</v>
      </c>
      <c r="H2664" s="5">
        <f t="shared" si="129"/>
        <v>14000</v>
      </c>
      <c r="I2664" s="5">
        <f t="shared" si="130"/>
        <v>32000</v>
      </c>
      <c r="J2664" s="5">
        <f t="shared" si="131"/>
        <v>18000</v>
      </c>
      <c r="K2664" s="5" t="str">
        <f>VLOOKUP(C2664,[1]master_data!$A$2:$E$495,5,FALSE)</f>
        <v>Ikan</v>
      </c>
      <c r="L2664" s="5" t="s">
        <v>471</v>
      </c>
    </row>
    <row r="2665" spans="1:12" ht="12" customHeight="1" x14ac:dyDescent="0.25">
      <c r="A2665" s="6">
        <v>44662</v>
      </c>
      <c r="B2665" s="1">
        <v>2201898</v>
      </c>
      <c r="C2665" s="5" t="s">
        <v>444</v>
      </c>
      <c r="D2665" s="5" t="str">
        <f>VLOOKUP(C2665,[1]master_data!$A$2:$E$495,2,FALSE)</f>
        <v>PARROT</v>
      </c>
      <c r="E2665" s="5">
        <v>1</v>
      </c>
      <c r="F2665" s="5">
        <f>VLOOKUP(C2665,[1]master_data!$A$2:$E$495,3,FALSE)</f>
        <v>27000</v>
      </c>
      <c r="G2665" s="5">
        <f>VLOOKUP(C2665,[1]master_data!$A$2:$E$495,4,FALSE)</f>
        <v>60000</v>
      </c>
      <c r="H2665" s="5">
        <f t="shared" si="129"/>
        <v>27000</v>
      </c>
      <c r="I2665" s="5">
        <f t="shared" si="130"/>
        <v>60000</v>
      </c>
      <c r="J2665" s="5">
        <f t="shared" si="131"/>
        <v>33000</v>
      </c>
      <c r="K2665" s="5" t="str">
        <f>VLOOKUP(C2665,[1]master_data!$A$2:$E$495,5,FALSE)</f>
        <v>Ikan</v>
      </c>
      <c r="L2665" s="5" t="s">
        <v>471</v>
      </c>
    </row>
    <row r="2666" spans="1:12" ht="12" customHeight="1" x14ac:dyDescent="0.25">
      <c r="A2666" s="6">
        <v>44662</v>
      </c>
      <c r="B2666" s="1">
        <v>2201897</v>
      </c>
      <c r="C2666" s="5" t="s">
        <v>432</v>
      </c>
      <c r="D2666" s="5" t="str">
        <f>VLOOKUP(C2666,[1]master_data!$A$2:$E$495,2,FALSE)</f>
        <v>MARU K</v>
      </c>
      <c r="E2666" s="5">
        <v>1</v>
      </c>
      <c r="F2666" s="5">
        <f>VLOOKUP(C2666,[1]master_data!$A$2:$E$495,3,FALSE)</f>
        <v>23000</v>
      </c>
      <c r="G2666" s="5">
        <f>VLOOKUP(C2666,[1]master_data!$A$2:$E$495,4,FALSE)</f>
        <v>50000</v>
      </c>
      <c r="H2666" s="5">
        <f t="shared" si="129"/>
        <v>23000</v>
      </c>
      <c r="I2666" s="5">
        <f t="shared" si="130"/>
        <v>50000</v>
      </c>
      <c r="J2666" s="5">
        <f t="shared" si="131"/>
        <v>27000</v>
      </c>
      <c r="K2666" s="5" t="str">
        <f>VLOOKUP(C2666,[1]master_data!$A$2:$E$495,5,FALSE)</f>
        <v>Ikan</v>
      </c>
      <c r="L2666" s="5" t="s">
        <v>471</v>
      </c>
    </row>
    <row r="2667" spans="1:12" ht="12" customHeight="1" x14ac:dyDescent="0.25">
      <c r="A2667" s="6">
        <v>44662</v>
      </c>
      <c r="B2667" s="1">
        <v>2201896</v>
      </c>
      <c r="C2667" s="5" t="s">
        <v>398</v>
      </c>
      <c r="D2667" s="5" t="str">
        <f>VLOOKUP(C2667,[1]master_data!$A$2:$E$495,2,FALSE)</f>
        <v>BIPOLAR</v>
      </c>
      <c r="E2667" s="5">
        <v>6</v>
      </c>
      <c r="F2667" s="5">
        <f>VLOOKUP(C2667,[1]master_data!$A$2:$E$495,3,FALSE)</f>
        <v>1000</v>
      </c>
      <c r="G2667" s="5">
        <f>VLOOKUP(C2667,[1]master_data!$A$2:$E$495,4,FALSE)</f>
        <v>2500</v>
      </c>
      <c r="H2667" s="5">
        <f t="shared" si="129"/>
        <v>6000</v>
      </c>
      <c r="I2667" s="5">
        <f t="shared" si="130"/>
        <v>15000</v>
      </c>
      <c r="J2667" s="5">
        <f t="shared" si="131"/>
        <v>9000</v>
      </c>
      <c r="K2667" s="5" t="str">
        <f>VLOOKUP(C2667,[1]master_data!$A$2:$E$495,5,FALSE)</f>
        <v>Ikan</v>
      </c>
      <c r="L2667" s="5" t="s">
        <v>471</v>
      </c>
    </row>
    <row r="2668" spans="1:12" ht="12" customHeight="1" x14ac:dyDescent="0.25">
      <c r="A2668" s="6">
        <v>44662</v>
      </c>
      <c r="B2668" s="1">
        <v>2201895</v>
      </c>
      <c r="C2668" s="5" t="s">
        <v>407</v>
      </c>
      <c r="D2668" s="5" t="str">
        <f>VLOOKUP(C2668,[1]master_data!$A$2:$E$495,2,FALSE)</f>
        <v>CUPANG</v>
      </c>
      <c r="E2668" s="5">
        <v>2</v>
      </c>
      <c r="F2668" s="5">
        <f>VLOOKUP(C2668,[1]master_data!$A$2:$E$495,3,FALSE)</f>
        <v>2000</v>
      </c>
      <c r="G2668" s="5">
        <f>VLOOKUP(C2668,[1]master_data!$A$2:$E$495,4,FALSE)</f>
        <v>5000</v>
      </c>
      <c r="H2668" s="5">
        <f t="shared" si="129"/>
        <v>4000</v>
      </c>
      <c r="I2668" s="5">
        <f t="shared" si="130"/>
        <v>10000</v>
      </c>
      <c r="J2668" s="5">
        <f t="shared" si="131"/>
        <v>6000</v>
      </c>
      <c r="K2668" s="5" t="str">
        <f>VLOOKUP(C2668,[1]master_data!$A$2:$E$495,5,FALSE)</f>
        <v>Ikan</v>
      </c>
      <c r="L2668" s="5" t="s">
        <v>471</v>
      </c>
    </row>
    <row r="2669" spans="1:12" ht="12" customHeight="1" x14ac:dyDescent="0.25">
      <c r="A2669" s="6">
        <v>44661</v>
      </c>
      <c r="B2669" s="1">
        <v>2201894</v>
      </c>
      <c r="C2669" s="5" t="s">
        <v>401</v>
      </c>
      <c r="D2669" s="5" t="str">
        <f>VLOOKUP(C2669,[1]master_data!$A$2:$E$495,2,FALSE)</f>
        <v>BALA BALA B</v>
      </c>
      <c r="E2669" s="5">
        <v>1</v>
      </c>
      <c r="F2669" s="5">
        <f>VLOOKUP(C2669,[1]master_data!$A$2:$E$495,3,FALSE)</f>
        <v>7000</v>
      </c>
      <c r="G2669" s="5">
        <f>VLOOKUP(C2669,[1]master_data!$A$2:$E$495,4,FALSE)</f>
        <v>15000</v>
      </c>
      <c r="H2669" s="5">
        <f t="shared" si="129"/>
        <v>7000</v>
      </c>
      <c r="I2669" s="5">
        <f t="shared" si="130"/>
        <v>15000</v>
      </c>
      <c r="J2669" s="5">
        <f t="shared" si="131"/>
        <v>8000</v>
      </c>
      <c r="K2669" s="5" t="str">
        <f>VLOOKUP(C2669,[1]master_data!$A$2:$E$495,5,FALSE)</f>
        <v>Ikan</v>
      </c>
      <c r="L2669" s="5" t="s">
        <v>471</v>
      </c>
    </row>
    <row r="2670" spans="1:12" ht="12" customHeight="1" x14ac:dyDescent="0.25">
      <c r="A2670" s="6">
        <v>44661</v>
      </c>
      <c r="B2670" s="1">
        <v>2201893</v>
      </c>
      <c r="C2670" s="5" t="s">
        <v>285</v>
      </c>
      <c r="D2670" s="5" t="str">
        <f>VLOOKUP(C2670,[1]master_data!$A$2:$E$495,2,FALSE)</f>
        <v>KAPAS 4 LAPIS</v>
      </c>
      <c r="E2670" s="5">
        <v>1</v>
      </c>
      <c r="F2670" s="5">
        <f>VLOOKUP(C2670,[1]master_data!$A$2:$E$495,3,FALSE)</f>
        <v>6500</v>
      </c>
      <c r="G2670" s="5">
        <f>VLOOKUP(C2670,[1]master_data!$A$2:$E$495,4,FALSE)</f>
        <v>10000</v>
      </c>
      <c r="H2670" s="5">
        <f t="shared" si="129"/>
        <v>6500</v>
      </c>
      <c r="I2670" s="5">
        <f t="shared" si="130"/>
        <v>10000</v>
      </c>
      <c r="J2670" s="5">
        <f t="shared" si="131"/>
        <v>3500</v>
      </c>
      <c r="K2670" s="5" t="str">
        <f>VLOOKUP(C2670,[1]master_data!$A$2:$E$495,5,FALSE)</f>
        <v>Aksesoris</v>
      </c>
      <c r="L2670" s="5" t="s">
        <v>471</v>
      </c>
    </row>
    <row r="2671" spans="1:12" ht="12" customHeight="1" x14ac:dyDescent="0.25">
      <c r="A2671" s="6">
        <v>44661</v>
      </c>
      <c r="B2671" s="1">
        <v>2201892</v>
      </c>
      <c r="C2671" s="5" t="s">
        <v>203</v>
      </c>
      <c r="D2671" s="5" t="str">
        <f>VLOOKUP(C2671,[1]master_data!$A$2:$E$495,2,FALSE)</f>
        <v>HOKKY 3 IN 1</v>
      </c>
      <c r="E2671" s="5">
        <v>1</v>
      </c>
      <c r="F2671" s="5">
        <f>VLOOKUP(C2671,[1]master_data!$A$2:$E$495,3,FALSE)</f>
        <v>20000</v>
      </c>
      <c r="G2671" s="5">
        <f>VLOOKUP(C2671,[1]master_data!$A$2:$E$495,4,FALSE)</f>
        <v>30000</v>
      </c>
      <c r="H2671" s="5">
        <f t="shared" si="129"/>
        <v>20000</v>
      </c>
      <c r="I2671" s="5">
        <f t="shared" si="130"/>
        <v>30000</v>
      </c>
      <c r="J2671" s="5">
        <f t="shared" si="131"/>
        <v>10000</v>
      </c>
      <c r="K2671" s="5" t="str">
        <f>VLOOKUP(C2671,[1]master_data!$A$2:$E$495,5,FALSE)</f>
        <v>Aksesoris</v>
      </c>
      <c r="L2671" s="5" t="s">
        <v>471</v>
      </c>
    </row>
    <row r="2672" spans="1:12" ht="12" customHeight="1" x14ac:dyDescent="0.25">
      <c r="A2672" s="6">
        <v>44661</v>
      </c>
      <c r="B2672" s="1">
        <v>2201891</v>
      </c>
      <c r="C2672" s="5" t="s">
        <v>441</v>
      </c>
      <c r="D2672" s="5" t="str">
        <f>VLOOKUP(C2672,[1]master_data!$A$2:$E$495,2,FALSE)</f>
        <v>PEMBERSIH KACA BIASA</v>
      </c>
      <c r="E2672" s="5">
        <v>3</v>
      </c>
      <c r="F2672" s="5">
        <f>VLOOKUP(C2672,[1]master_data!$A$2:$E$495,3,FALSE)</f>
        <v>2000</v>
      </c>
      <c r="G2672" s="5">
        <f>VLOOKUP(C2672,[1]master_data!$A$2:$E$495,4,FALSE)</f>
        <v>5000</v>
      </c>
      <c r="H2672" s="5">
        <f t="shared" si="129"/>
        <v>6000</v>
      </c>
      <c r="I2672" s="5">
        <f t="shared" si="130"/>
        <v>15000</v>
      </c>
      <c r="J2672" s="5">
        <f t="shared" si="131"/>
        <v>9000</v>
      </c>
      <c r="K2672" s="5" t="str">
        <f>VLOOKUP(C2672,[1]master_data!$A$2:$E$495,5,FALSE)</f>
        <v>Ikan</v>
      </c>
      <c r="L2672" s="5" t="s">
        <v>471</v>
      </c>
    </row>
    <row r="2673" spans="1:12" ht="12" customHeight="1" x14ac:dyDescent="0.25">
      <c r="A2673" s="6">
        <v>44661</v>
      </c>
      <c r="B2673" s="1">
        <v>2201890</v>
      </c>
      <c r="C2673" s="5" t="s">
        <v>98</v>
      </c>
      <c r="D2673" s="5" t="str">
        <f>VLOOKUP(C2673,[1]master_data!$A$2:$E$495,2,FALSE)</f>
        <v>AIRATOR ROSTON LUB 2</v>
      </c>
      <c r="E2673" s="5">
        <v>1</v>
      </c>
      <c r="F2673" s="5">
        <f>VLOOKUP(C2673,[1]master_data!$A$2:$E$495,3,FALSE)</f>
        <v>31000</v>
      </c>
      <c r="G2673" s="5">
        <f>VLOOKUP(C2673,[1]master_data!$A$2:$E$495,4,FALSE)</f>
        <v>50000</v>
      </c>
      <c r="H2673" s="5">
        <f t="shared" si="129"/>
        <v>31000</v>
      </c>
      <c r="I2673" s="5">
        <f t="shared" si="130"/>
        <v>50000</v>
      </c>
      <c r="J2673" s="5">
        <f t="shared" si="131"/>
        <v>19000</v>
      </c>
      <c r="K2673" s="5" t="str">
        <f>VLOOKUP(C2673,[1]master_data!$A$2:$E$495,5,FALSE)</f>
        <v>Aksesoris</v>
      </c>
      <c r="L2673" s="5" t="s">
        <v>471</v>
      </c>
    </row>
    <row r="2674" spans="1:12" ht="12" customHeight="1" x14ac:dyDescent="0.25">
      <c r="A2674" s="6">
        <v>44661</v>
      </c>
      <c r="B2674" s="1">
        <v>2201889</v>
      </c>
      <c r="C2674" s="5" t="s">
        <v>396</v>
      </c>
      <c r="D2674" s="5" t="str">
        <f>VLOOKUP(C2674,[1]master_data!$A$2:$E$495,2,FALSE)</f>
        <v>ALGA EATER</v>
      </c>
      <c r="E2674" s="5">
        <v>2</v>
      </c>
      <c r="F2674" s="5">
        <f>VLOOKUP(C2674,[1]master_data!$A$2:$E$495,3,FALSE)</f>
        <v>1750</v>
      </c>
      <c r="G2674" s="5">
        <f>VLOOKUP(C2674,[1]master_data!$A$2:$E$495,4,FALSE)</f>
        <v>5000</v>
      </c>
      <c r="H2674" s="5">
        <f t="shared" si="129"/>
        <v>3500</v>
      </c>
      <c r="I2674" s="5">
        <f t="shared" si="130"/>
        <v>10000</v>
      </c>
      <c r="J2674" s="5">
        <f t="shared" si="131"/>
        <v>6500</v>
      </c>
      <c r="K2674" s="5" t="str">
        <f>VLOOKUP(C2674,[1]master_data!$A$2:$E$495,5,FALSE)</f>
        <v>Ikan</v>
      </c>
      <c r="L2674" s="5" t="s">
        <v>471</v>
      </c>
    </row>
    <row r="2675" spans="1:12" ht="12" customHeight="1" x14ac:dyDescent="0.25">
      <c r="A2675" s="6">
        <v>44661</v>
      </c>
      <c r="B2675" s="1">
        <v>2201888</v>
      </c>
      <c r="C2675" s="5" t="s">
        <v>399</v>
      </c>
      <c r="D2675" s="5" t="str">
        <f>VLOOKUP(C2675,[1]master_data!$A$2:$E$495,2,FALSE)</f>
        <v>BUENOS AIRES TETRA</v>
      </c>
      <c r="E2675" s="5">
        <v>10</v>
      </c>
      <c r="F2675" s="5">
        <f>VLOOKUP(C2675,[1]master_data!$A$2:$E$495,3,FALSE)</f>
        <v>800</v>
      </c>
      <c r="G2675" s="5">
        <f>VLOOKUP(C2675,[1]master_data!$A$2:$E$495,4,FALSE)</f>
        <v>2000</v>
      </c>
      <c r="H2675" s="5">
        <f t="shared" si="129"/>
        <v>8000</v>
      </c>
      <c r="I2675" s="5">
        <f t="shared" si="130"/>
        <v>20000</v>
      </c>
      <c r="J2675" s="5">
        <f t="shared" si="131"/>
        <v>12000</v>
      </c>
      <c r="K2675" s="5" t="str">
        <f>VLOOKUP(C2675,[1]master_data!$A$2:$E$495,5,FALSE)</f>
        <v>Ikan</v>
      </c>
      <c r="L2675" s="5" t="s">
        <v>471</v>
      </c>
    </row>
    <row r="2676" spans="1:12" ht="12" customHeight="1" x14ac:dyDescent="0.25">
      <c r="A2676" s="6">
        <v>44661</v>
      </c>
      <c r="B2676" s="1">
        <v>2201887</v>
      </c>
      <c r="C2676" s="5" t="s">
        <v>415</v>
      </c>
      <c r="D2676" s="5" t="str">
        <f>VLOOKUP(C2676,[1]master_data!$A$2:$E$495,2,FALSE)</f>
        <v>KOKI B</v>
      </c>
      <c r="E2676" s="5">
        <v>2</v>
      </c>
      <c r="F2676" s="5">
        <f>VLOOKUP(C2676,[1]master_data!$A$2:$E$495,3,FALSE)</f>
        <v>20000</v>
      </c>
      <c r="G2676" s="5">
        <f>VLOOKUP(C2676,[1]master_data!$A$2:$E$495,4,FALSE)</f>
        <v>50000</v>
      </c>
      <c r="H2676" s="5">
        <f t="shared" si="129"/>
        <v>40000</v>
      </c>
      <c r="I2676" s="5">
        <f t="shared" si="130"/>
        <v>100000</v>
      </c>
      <c r="J2676" s="5">
        <f t="shared" si="131"/>
        <v>60000</v>
      </c>
      <c r="K2676" s="5" t="str">
        <f>VLOOKUP(C2676,[1]master_data!$A$2:$E$495,5,FALSE)</f>
        <v>Ikan</v>
      </c>
      <c r="L2676" s="5" t="s">
        <v>471</v>
      </c>
    </row>
    <row r="2677" spans="1:12" ht="12" customHeight="1" x14ac:dyDescent="0.25">
      <c r="A2677" s="6">
        <v>44661</v>
      </c>
      <c r="B2677" s="1">
        <v>2201886</v>
      </c>
      <c r="C2677" s="5" t="s">
        <v>104</v>
      </c>
      <c r="D2677" s="5" t="str">
        <f>VLOOKUP(C2677,[1]master_data!$A$2:$E$495,2,FALSE)</f>
        <v>AIRATOR AMARA LUB 2</v>
      </c>
      <c r="E2677" s="5">
        <v>1</v>
      </c>
      <c r="F2677" s="5">
        <f>VLOOKUP(C2677,[1]master_data!$A$2:$E$495,3,FALSE)</f>
        <v>33000</v>
      </c>
      <c r="G2677" s="5">
        <f>VLOOKUP(C2677,[1]master_data!$A$2:$E$495,4,FALSE)</f>
        <v>50000</v>
      </c>
      <c r="H2677" s="5">
        <f t="shared" si="129"/>
        <v>33000</v>
      </c>
      <c r="I2677" s="5">
        <f t="shared" si="130"/>
        <v>50000</v>
      </c>
      <c r="J2677" s="5">
        <f t="shared" si="131"/>
        <v>17000</v>
      </c>
      <c r="K2677" s="5" t="str">
        <f>VLOOKUP(C2677,[1]master_data!$A$2:$E$495,5,FALSE)</f>
        <v>Aksesoris</v>
      </c>
      <c r="L2677" s="5" t="s">
        <v>471</v>
      </c>
    </row>
    <row r="2678" spans="1:12" ht="12" customHeight="1" x14ac:dyDescent="0.25">
      <c r="A2678" s="6">
        <v>44661</v>
      </c>
      <c r="B2678" s="1">
        <v>2201885</v>
      </c>
      <c r="C2678" s="5" t="s">
        <v>446</v>
      </c>
      <c r="D2678" s="5" t="str">
        <f>VLOOKUP(C2678,[1]master_data!$A$2:$E$495,2,FALSE)</f>
        <v>REDFIN HITAM</v>
      </c>
      <c r="E2678" s="5">
        <v>5</v>
      </c>
      <c r="F2678" s="5">
        <f>VLOOKUP(C2678,[1]master_data!$A$2:$E$495,3,FALSE)</f>
        <v>1500</v>
      </c>
      <c r="G2678" s="5">
        <f>VLOOKUP(C2678,[1]master_data!$A$2:$E$495,4,FALSE)</f>
        <v>4000</v>
      </c>
      <c r="H2678" s="5">
        <f t="shared" si="129"/>
        <v>7500</v>
      </c>
      <c r="I2678" s="5">
        <f t="shared" si="130"/>
        <v>20000</v>
      </c>
      <c r="J2678" s="5">
        <f t="shared" si="131"/>
        <v>12500</v>
      </c>
      <c r="K2678" s="5" t="str">
        <f>VLOOKUP(C2678,[1]master_data!$A$2:$E$495,5,FALSE)</f>
        <v>Ikan</v>
      </c>
      <c r="L2678" s="5" t="s">
        <v>471</v>
      </c>
    </row>
    <row r="2679" spans="1:12" ht="12" customHeight="1" x14ac:dyDescent="0.25">
      <c r="A2679" s="6">
        <v>44661</v>
      </c>
      <c r="B2679" s="1">
        <v>2201884</v>
      </c>
      <c r="C2679" s="5" t="s">
        <v>416</v>
      </c>
      <c r="D2679" s="5" t="str">
        <f>VLOOKUP(C2679,[1]master_data!$A$2:$E$495,2,FALSE)</f>
        <v>KOI K</v>
      </c>
      <c r="E2679" s="5">
        <v>5</v>
      </c>
      <c r="F2679" s="5">
        <f>VLOOKUP(C2679,[1]master_data!$A$2:$E$495,3,FALSE)</f>
        <v>2500</v>
      </c>
      <c r="G2679" s="5">
        <f>VLOOKUP(C2679,[1]master_data!$A$2:$E$495,4,FALSE)</f>
        <v>10000</v>
      </c>
      <c r="H2679" s="5">
        <f t="shared" si="129"/>
        <v>12500</v>
      </c>
      <c r="I2679" s="5">
        <f t="shared" si="130"/>
        <v>50000</v>
      </c>
      <c r="J2679" s="5">
        <f t="shared" si="131"/>
        <v>37500</v>
      </c>
      <c r="K2679" s="5" t="str">
        <f>VLOOKUP(C2679,[1]master_data!$A$2:$E$495,5,FALSE)</f>
        <v>Ikan</v>
      </c>
      <c r="L2679" s="5" t="s">
        <v>471</v>
      </c>
    </row>
    <row r="2680" spans="1:12" ht="12" customHeight="1" x14ac:dyDescent="0.25">
      <c r="A2680" s="6">
        <v>44661</v>
      </c>
      <c r="B2680" s="1">
        <v>2201883</v>
      </c>
      <c r="C2680" s="5" t="s">
        <v>423</v>
      </c>
      <c r="D2680" s="5" t="str">
        <f>VLOOKUP(C2680,[1]master_data!$A$2:$E$495,2,FALSE)</f>
        <v>KOI SLAYER K</v>
      </c>
      <c r="E2680" s="5">
        <v>5</v>
      </c>
      <c r="F2680" s="5">
        <f>VLOOKUP(C2680,[1]master_data!$A$2:$E$495,3,FALSE)</f>
        <v>3500</v>
      </c>
      <c r="G2680" s="5">
        <f>VLOOKUP(C2680,[1]master_data!$A$2:$E$495,4,FALSE)</f>
        <v>10000</v>
      </c>
      <c r="H2680" s="5">
        <f t="shared" si="129"/>
        <v>17500</v>
      </c>
      <c r="I2680" s="5">
        <f t="shared" si="130"/>
        <v>50000</v>
      </c>
      <c r="J2680" s="5">
        <f t="shared" si="131"/>
        <v>32500</v>
      </c>
      <c r="K2680" s="5" t="str">
        <f>VLOOKUP(C2680,[1]master_data!$A$2:$E$495,5,FALSE)</f>
        <v>Ikan</v>
      </c>
      <c r="L2680" s="5" t="s">
        <v>471</v>
      </c>
    </row>
    <row r="2681" spans="1:12" ht="12" customHeight="1" x14ac:dyDescent="0.25">
      <c r="A2681" s="6">
        <v>44661</v>
      </c>
      <c r="B2681" s="1">
        <v>2201882</v>
      </c>
      <c r="C2681" s="5" t="s">
        <v>399</v>
      </c>
      <c r="D2681" s="5" t="str">
        <f>VLOOKUP(C2681,[1]master_data!$A$2:$E$495,2,FALSE)</f>
        <v>BUENOS AIRES TETRA</v>
      </c>
      <c r="E2681" s="5">
        <v>10</v>
      </c>
      <c r="F2681" s="5">
        <f>VLOOKUP(C2681,[1]master_data!$A$2:$E$495,3,FALSE)</f>
        <v>800</v>
      </c>
      <c r="G2681" s="5">
        <f>VLOOKUP(C2681,[1]master_data!$A$2:$E$495,4,FALSE)</f>
        <v>2000</v>
      </c>
      <c r="H2681" s="5">
        <f t="shared" si="129"/>
        <v>8000</v>
      </c>
      <c r="I2681" s="5">
        <f t="shared" si="130"/>
        <v>20000</v>
      </c>
      <c r="J2681" s="5">
        <f t="shared" si="131"/>
        <v>12000</v>
      </c>
      <c r="K2681" s="5" t="str">
        <f>VLOOKUP(C2681,[1]master_data!$A$2:$E$495,5,FALSE)</f>
        <v>Ikan</v>
      </c>
      <c r="L2681" s="5" t="s">
        <v>471</v>
      </c>
    </row>
    <row r="2682" spans="1:12" ht="12" customHeight="1" x14ac:dyDescent="0.25">
      <c r="A2682" s="6">
        <v>44661</v>
      </c>
      <c r="B2682" s="1">
        <v>2201881</v>
      </c>
      <c r="C2682" s="5" t="s">
        <v>451</v>
      </c>
      <c r="D2682" s="5" t="str">
        <f>VLOOKUP(C2682,[1]master_data!$A$2:$E$495,2,FALSE)</f>
        <v>SUMATRA GOLD FISH</v>
      </c>
      <c r="E2682" s="5">
        <v>10</v>
      </c>
      <c r="F2682" s="5">
        <f>VLOOKUP(C2682,[1]master_data!$A$2:$E$495,3,FALSE)</f>
        <v>2500</v>
      </c>
      <c r="G2682" s="5">
        <f>VLOOKUP(C2682,[1]master_data!$A$2:$E$495,4,FALSE)</f>
        <v>4000</v>
      </c>
      <c r="H2682" s="5">
        <f t="shared" si="129"/>
        <v>25000</v>
      </c>
      <c r="I2682" s="5">
        <f t="shared" si="130"/>
        <v>40000</v>
      </c>
      <c r="J2682" s="5">
        <f t="shared" si="131"/>
        <v>15000</v>
      </c>
      <c r="K2682" s="5" t="str">
        <f>VLOOKUP(C2682,[1]master_data!$A$2:$E$495,5,FALSE)</f>
        <v>Ikan</v>
      </c>
      <c r="L2682" s="5" t="s">
        <v>471</v>
      </c>
    </row>
    <row r="2683" spans="1:12" ht="12" customHeight="1" x14ac:dyDescent="0.25">
      <c r="A2683" s="6">
        <v>44661</v>
      </c>
      <c r="B2683" s="1">
        <v>2201880</v>
      </c>
      <c r="C2683" s="5" t="s">
        <v>463</v>
      </c>
      <c r="D2683" s="5" t="str">
        <f>VLOOKUP(C2683,[1]master_data!$A$2:$E$495,2,FALSE)</f>
        <v>CHANNA STEWARTI</v>
      </c>
      <c r="E2683" s="5">
        <v>1</v>
      </c>
      <c r="F2683" s="5">
        <f>VLOOKUP(C2683,[1]master_data!$A$2:$E$495,3,FALSE)</f>
        <v>15000</v>
      </c>
      <c r="G2683" s="5">
        <f>VLOOKUP(C2683,[1]master_data!$A$2:$E$495,4,FALSE)</f>
        <v>40000</v>
      </c>
      <c r="H2683" s="5">
        <f t="shared" si="129"/>
        <v>15000</v>
      </c>
      <c r="I2683" s="5">
        <f t="shared" si="130"/>
        <v>40000</v>
      </c>
      <c r="J2683" s="5">
        <f t="shared" si="131"/>
        <v>25000</v>
      </c>
      <c r="K2683" s="5" t="str">
        <f>VLOOKUP(C2683,[1]master_data!$A$2:$E$495,5,FALSE)</f>
        <v>Ikan</v>
      </c>
      <c r="L2683" s="5" t="s">
        <v>471</v>
      </c>
    </row>
    <row r="2684" spans="1:12" ht="12" customHeight="1" x14ac:dyDescent="0.25">
      <c r="A2684" s="6">
        <v>44661</v>
      </c>
      <c r="B2684" s="1">
        <v>2201879</v>
      </c>
      <c r="C2684" s="5" t="s">
        <v>419</v>
      </c>
      <c r="D2684" s="5" t="str">
        <f>VLOOKUP(C2684,[1]master_data!$A$2:$E$495,2,FALSE)</f>
        <v>KURA - KURA</v>
      </c>
      <c r="E2684" s="5">
        <v>2</v>
      </c>
      <c r="F2684" s="5">
        <f>VLOOKUP(C2684,[1]master_data!$A$2:$E$495,3,FALSE)</f>
        <v>25000</v>
      </c>
      <c r="G2684" s="5">
        <f>VLOOKUP(C2684,[1]master_data!$A$2:$E$495,4,FALSE)</f>
        <v>35000</v>
      </c>
      <c r="H2684" s="5">
        <f t="shared" si="129"/>
        <v>50000</v>
      </c>
      <c r="I2684" s="5">
        <f t="shared" si="130"/>
        <v>70000</v>
      </c>
      <c r="J2684" s="5">
        <f t="shared" si="131"/>
        <v>20000</v>
      </c>
      <c r="K2684" s="5" t="str">
        <f>VLOOKUP(C2684,[1]master_data!$A$2:$E$495,5,FALSE)</f>
        <v>Ikan</v>
      </c>
      <c r="L2684" s="5" t="s">
        <v>471</v>
      </c>
    </row>
    <row r="2685" spans="1:12" ht="12" customHeight="1" x14ac:dyDescent="0.25">
      <c r="A2685" s="6">
        <v>44661</v>
      </c>
      <c r="B2685" s="1">
        <v>2201878</v>
      </c>
      <c r="C2685" s="5" t="s">
        <v>391</v>
      </c>
      <c r="D2685" s="5" t="str">
        <f>VLOOKUP(C2685,[1]master_data!$A$2:$E$495,2,FALSE)</f>
        <v>CHANNA ANDRAO K</v>
      </c>
      <c r="E2685" s="5">
        <v>1</v>
      </c>
      <c r="F2685" s="5">
        <f>VLOOKUP(C2685,[1]master_data!$A$2:$E$495,3,FALSE)</f>
        <v>20000</v>
      </c>
      <c r="G2685" s="5">
        <f>VLOOKUP(C2685,[1]master_data!$A$2:$E$495,4,FALSE)</f>
        <v>50000</v>
      </c>
      <c r="H2685" s="5">
        <f t="shared" si="129"/>
        <v>20000</v>
      </c>
      <c r="I2685" s="5">
        <f t="shared" si="130"/>
        <v>50000</v>
      </c>
      <c r="J2685" s="5">
        <f t="shared" si="131"/>
        <v>30000</v>
      </c>
      <c r="K2685" s="5" t="str">
        <f>VLOOKUP(C2685,[1]master_data!$A$2:$E$495,5,FALSE)</f>
        <v>Ikan</v>
      </c>
      <c r="L2685" s="5" t="s">
        <v>471</v>
      </c>
    </row>
    <row r="2686" spans="1:12" ht="12" customHeight="1" x14ac:dyDescent="0.25">
      <c r="A2686" s="6">
        <v>44661</v>
      </c>
      <c r="B2686" s="1">
        <v>2201877</v>
      </c>
      <c r="C2686" s="5" t="s">
        <v>424</v>
      </c>
      <c r="D2686" s="5" t="str">
        <f>VLOOKUP(C2686,[1]master_data!$A$2:$E$495,2,FALSE)</f>
        <v>KOI SLAYER B</v>
      </c>
      <c r="E2686" s="5">
        <v>5</v>
      </c>
      <c r="F2686" s="5">
        <f>VLOOKUP(C2686,[1]master_data!$A$2:$E$495,3,FALSE)</f>
        <v>8000</v>
      </c>
      <c r="G2686" s="5">
        <f>VLOOKUP(C2686,[1]master_data!$A$2:$E$495,4,FALSE)</f>
        <v>20000</v>
      </c>
      <c r="H2686" s="5">
        <f t="shared" si="129"/>
        <v>40000</v>
      </c>
      <c r="I2686" s="5">
        <f t="shared" si="130"/>
        <v>100000</v>
      </c>
      <c r="J2686" s="5">
        <f t="shared" si="131"/>
        <v>60000</v>
      </c>
      <c r="K2686" s="5" t="str">
        <f>VLOOKUP(C2686,[1]master_data!$A$2:$E$495,5,FALSE)</f>
        <v>Ikan</v>
      </c>
      <c r="L2686" s="5" t="s">
        <v>471</v>
      </c>
    </row>
    <row r="2687" spans="1:12" ht="12" customHeight="1" x14ac:dyDescent="0.25">
      <c r="A2687" s="6">
        <v>44660</v>
      </c>
      <c r="B2687" s="1">
        <v>2201876</v>
      </c>
      <c r="C2687" s="5" t="s">
        <v>310</v>
      </c>
      <c r="D2687" s="5" t="str">
        <f>VLOOKUP(C2687,[1]master_data!$A$2:$E$495,2,FALSE)</f>
        <v>SELANG FUSO</v>
      </c>
      <c r="E2687" s="5">
        <v>5</v>
      </c>
      <c r="F2687" s="5">
        <f>VLOOKUP(C2687,[1]master_data!$A$2:$E$495,3,FALSE)</f>
        <v>800</v>
      </c>
      <c r="G2687" s="5">
        <f>VLOOKUP(C2687,[1]master_data!$A$2:$E$495,4,FALSE)</f>
        <v>2000</v>
      </c>
      <c r="H2687" s="5">
        <f t="shared" si="129"/>
        <v>4000</v>
      </c>
      <c r="I2687" s="5">
        <f t="shared" si="130"/>
        <v>10000</v>
      </c>
      <c r="J2687" s="5">
        <f t="shared" si="131"/>
        <v>6000</v>
      </c>
      <c r="K2687" s="5" t="str">
        <f>VLOOKUP(C2687,[1]master_data!$A$2:$E$495,5,FALSE)</f>
        <v>Aksesoris</v>
      </c>
      <c r="L2687" s="5" t="s">
        <v>471</v>
      </c>
    </row>
    <row r="2688" spans="1:12" ht="12" customHeight="1" x14ac:dyDescent="0.25">
      <c r="A2688" s="6">
        <v>44660</v>
      </c>
      <c r="B2688" s="1">
        <v>2201875</v>
      </c>
      <c r="C2688" s="5" t="s">
        <v>394</v>
      </c>
      <c r="D2688" s="5" t="str">
        <f>VLOOKUP(C2688,[1]master_data!$A$2:$E$495,2,FALSE)</f>
        <v>ARWANA SILVER K</v>
      </c>
      <c r="E2688" s="5">
        <v>1</v>
      </c>
      <c r="F2688" s="5">
        <f>VLOOKUP(C2688,[1]master_data!$A$2:$E$495,3,FALSE)</f>
        <v>100000</v>
      </c>
      <c r="G2688" s="5">
        <f>VLOOKUP(C2688,[1]master_data!$A$2:$E$495,4,FALSE)</f>
        <v>200000</v>
      </c>
      <c r="H2688" s="5">
        <f t="shared" si="129"/>
        <v>100000</v>
      </c>
      <c r="I2688" s="5">
        <f t="shared" si="130"/>
        <v>200000</v>
      </c>
      <c r="J2688" s="5">
        <f t="shared" si="131"/>
        <v>100000</v>
      </c>
      <c r="K2688" s="5" t="str">
        <f>VLOOKUP(C2688,[1]master_data!$A$2:$E$495,5,FALSE)</f>
        <v>Ikan</v>
      </c>
      <c r="L2688" s="5" t="s">
        <v>471</v>
      </c>
    </row>
    <row r="2689" spans="1:12" ht="12" customHeight="1" x14ac:dyDescent="0.25">
      <c r="A2689" s="6">
        <v>44660</v>
      </c>
      <c r="B2689" s="1">
        <v>2201874</v>
      </c>
      <c r="C2689" s="5" t="s">
        <v>6</v>
      </c>
      <c r="D2689" s="5" t="str">
        <f>VLOOKUP(C2689,[1]master_data!$A$2:$E$495,2,FALSE)</f>
        <v>MESIN YANG 1200</v>
      </c>
      <c r="E2689" s="5">
        <v>1</v>
      </c>
      <c r="F2689" s="5">
        <f>VLOOKUP(C2689,[1]master_data!$A$2:$E$495,3,FALSE)</f>
        <v>25000</v>
      </c>
      <c r="G2689" s="5">
        <f>VLOOKUP(C2689,[1]master_data!$A$2:$E$495,4,FALSE)</f>
        <v>40000</v>
      </c>
      <c r="H2689" s="5">
        <f t="shared" si="129"/>
        <v>25000</v>
      </c>
      <c r="I2689" s="5">
        <f t="shared" si="130"/>
        <v>40000</v>
      </c>
      <c r="J2689" s="5">
        <f t="shared" si="131"/>
        <v>15000</v>
      </c>
      <c r="K2689" s="5" t="str">
        <f>VLOOKUP(C2689,[1]master_data!$A$2:$E$495,5,FALSE)</f>
        <v>Aksesoris</v>
      </c>
      <c r="L2689" s="5" t="s">
        <v>471</v>
      </c>
    </row>
    <row r="2690" spans="1:12" ht="12" customHeight="1" x14ac:dyDescent="0.25">
      <c r="A2690" s="6">
        <v>44660</v>
      </c>
      <c r="B2690" s="1">
        <v>2201873</v>
      </c>
      <c r="C2690" s="5" t="s">
        <v>310</v>
      </c>
      <c r="D2690" s="5" t="str">
        <f>VLOOKUP(C2690,[1]master_data!$A$2:$E$495,2,FALSE)</f>
        <v>SELANG FUSO</v>
      </c>
      <c r="E2690" s="5">
        <v>5</v>
      </c>
      <c r="F2690" s="5">
        <f>VLOOKUP(C2690,[1]master_data!$A$2:$E$495,3,FALSE)</f>
        <v>800</v>
      </c>
      <c r="G2690" s="5">
        <f>VLOOKUP(C2690,[1]master_data!$A$2:$E$495,4,FALSE)</f>
        <v>2000</v>
      </c>
      <c r="H2690" s="5">
        <f t="shared" si="129"/>
        <v>4000</v>
      </c>
      <c r="I2690" s="5">
        <f t="shared" si="130"/>
        <v>10000</v>
      </c>
      <c r="J2690" s="5">
        <f t="shared" si="131"/>
        <v>6000</v>
      </c>
      <c r="K2690" s="5" t="str">
        <f>VLOOKUP(C2690,[1]master_data!$A$2:$E$495,5,FALSE)</f>
        <v>Aksesoris</v>
      </c>
      <c r="L2690" s="5" t="s">
        <v>471</v>
      </c>
    </row>
    <row r="2691" spans="1:12" ht="12" customHeight="1" x14ac:dyDescent="0.25">
      <c r="A2691" s="6">
        <v>44660</v>
      </c>
      <c r="B2691" s="1">
        <v>2201872</v>
      </c>
      <c r="C2691" s="5" t="s">
        <v>434</v>
      </c>
      <c r="D2691" s="5" t="str">
        <f>VLOOKUP(C2691,[1]master_data!$A$2:$E$495,2,FALSE)</f>
        <v>MOLI PAKAN</v>
      </c>
      <c r="E2691" s="5">
        <v>30</v>
      </c>
      <c r="F2691" s="5">
        <f>VLOOKUP(C2691,[1]master_data!$A$2:$E$495,3,FALSE)</f>
        <v>100</v>
      </c>
      <c r="G2691" s="5">
        <f>VLOOKUP(C2691,[1]master_data!$A$2:$E$495,4,FALSE)</f>
        <v>200</v>
      </c>
      <c r="H2691" s="5">
        <f t="shared" si="129"/>
        <v>3000</v>
      </c>
      <c r="I2691" s="5">
        <f t="shared" si="130"/>
        <v>6000</v>
      </c>
      <c r="J2691" s="5">
        <f t="shared" si="131"/>
        <v>3000</v>
      </c>
      <c r="K2691" s="5" t="str">
        <f>VLOOKUP(C2691,[1]master_data!$A$2:$E$495,5,FALSE)</f>
        <v>Ikan</v>
      </c>
      <c r="L2691" s="5" t="s">
        <v>471</v>
      </c>
    </row>
    <row r="2692" spans="1:12" ht="12" customHeight="1" x14ac:dyDescent="0.25">
      <c r="A2692" s="6">
        <v>44660</v>
      </c>
      <c r="B2692" s="1">
        <v>2201871</v>
      </c>
      <c r="C2692" s="5" t="s">
        <v>431</v>
      </c>
      <c r="D2692" s="5" t="str">
        <f>VLOOKUP(C2692,[1]master_data!$A$2:$E$495,2,FALSE)</f>
        <v>MANFISH B</v>
      </c>
      <c r="E2692" s="5">
        <v>3</v>
      </c>
      <c r="F2692" s="5">
        <f>VLOOKUP(C2692,[1]master_data!$A$2:$E$495,3,FALSE)</f>
        <v>4000</v>
      </c>
      <c r="G2692" s="5">
        <f>VLOOKUP(C2692,[1]master_data!$A$2:$E$495,4,FALSE)</f>
        <v>10000</v>
      </c>
      <c r="H2692" s="5">
        <f t="shared" si="129"/>
        <v>12000</v>
      </c>
      <c r="I2692" s="5">
        <f t="shared" si="130"/>
        <v>30000</v>
      </c>
      <c r="J2692" s="5">
        <f t="shared" si="131"/>
        <v>18000</v>
      </c>
      <c r="K2692" s="5" t="str">
        <f>VLOOKUP(C2692,[1]master_data!$A$2:$E$495,5,FALSE)</f>
        <v>Ikan</v>
      </c>
      <c r="L2692" s="5" t="s">
        <v>471</v>
      </c>
    </row>
    <row r="2693" spans="1:12" ht="12" customHeight="1" x14ac:dyDescent="0.25">
      <c r="A2693" s="6">
        <v>44660</v>
      </c>
      <c r="B2693" s="1">
        <v>2201870</v>
      </c>
      <c r="C2693" s="5" t="s">
        <v>402</v>
      </c>
      <c r="D2693" s="5" t="str">
        <f>VLOOKUP(C2693,[1]master_data!$A$2:$E$495,2,FALSE)</f>
        <v>BLACK GHOST</v>
      </c>
      <c r="E2693" s="5">
        <v>1</v>
      </c>
      <c r="F2693" s="5">
        <f>VLOOKUP(C2693,[1]master_data!$A$2:$E$495,3,FALSE)</f>
        <v>4000</v>
      </c>
      <c r="G2693" s="5">
        <f>VLOOKUP(C2693,[1]master_data!$A$2:$E$495,4,FALSE)</f>
        <v>10000</v>
      </c>
      <c r="H2693" s="5">
        <f t="shared" ref="H2693:H2756" si="132">E2693*F2693</f>
        <v>4000</v>
      </c>
      <c r="I2693" s="5">
        <f t="shared" ref="I2693:I2756" si="133">E2693*G2693</f>
        <v>10000</v>
      </c>
      <c r="J2693" s="5">
        <f t="shared" ref="J2693:J2756" si="134">I2693-H2693</f>
        <v>6000</v>
      </c>
      <c r="K2693" s="5" t="str">
        <f>VLOOKUP(C2693,[1]master_data!$A$2:$E$495,5,FALSE)</f>
        <v>Ikan</v>
      </c>
      <c r="L2693" s="5" t="s">
        <v>471</v>
      </c>
    </row>
    <row r="2694" spans="1:12" ht="12" customHeight="1" x14ac:dyDescent="0.25">
      <c r="A2694" s="6">
        <v>44660</v>
      </c>
      <c r="B2694" s="1">
        <v>2201869</v>
      </c>
      <c r="C2694" s="5" t="s">
        <v>33</v>
      </c>
      <c r="D2694" s="5" t="str">
        <f>VLOOKUP(C2694,[1]master_data!$A$2:$E$495,2,FALSE)</f>
        <v>MESIN YAMANO 1200</v>
      </c>
      <c r="E2694" s="5">
        <v>1</v>
      </c>
      <c r="F2694" s="5">
        <f>VLOOKUP(C2694,[1]master_data!$A$2:$E$495,3,FALSE)</f>
        <v>27000</v>
      </c>
      <c r="G2694" s="5">
        <f>VLOOKUP(C2694,[1]master_data!$A$2:$E$495,4,FALSE)</f>
        <v>40000</v>
      </c>
      <c r="H2694" s="5">
        <f t="shared" si="132"/>
        <v>27000</v>
      </c>
      <c r="I2694" s="5">
        <f t="shared" si="133"/>
        <v>40000</v>
      </c>
      <c r="J2694" s="5">
        <f t="shared" si="134"/>
        <v>13000</v>
      </c>
      <c r="K2694" s="5" t="str">
        <f>VLOOKUP(C2694,[1]master_data!$A$2:$E$495,5,FALSE)</f>
        <v>Aksesoris</v>
      </c>
      <c r="L2694" s="5" t="s">
        <v>471</v>
      </c>
    </row>
    <row r="2695" spans="1:12" ht="12" customHeight="1" x14ac:dyDescent="0.25">
      <c r="A2695" s="6">
        <v>44660</v>
      </c>
      <c r="B2695" s="1">
        <v>2201868</v>
      </c>
      <c r="C2695" s="5" t="s">
        <v>433</v>
      </c>
      <c r="D2695" s="5" t="str">
        <f>VLOOKUP(C2695,[1]master_data!$A$2:$E$495,2,FALSE)</f>
        <v>MARU B</v>
      </c>
      <c r="E2695" s="5">
        <v>1</v>
      </c>
      <c r="F2695" s="5">
        <f>VLOOKUP(C2695,[1]master_data!$A$2:$E$495,3,FALSE)</f>
        <v>90000</v>
      </c>
      <c r="G2695" s="5">
        <f>VLOOKUP(C2695,[1]master_data!$A$2:$E$495,4,FALSE)</f>
        <v>150000</v>
      </c>
      <c r="H2695" s="5">
        <f t="shared" si="132"/>
        <v>90000</v>
      </c>
      <c r="I2695" s="5">
        <f t="shared" si="133"/>
        <v>150000</v>
      </c>
      <c r="J2695" s="5">
        <f t="shared" si="134"/>
        <v>60000</v>
      </c>
      <c r="K2695" s="5" t="str">
        <f>VLOOKUP(C2695,[1]master_data!$A$2:$E$495,5,FALSE)</f>
        <v>Ikan</v>
      </c>
      <c r="L2695" s="5" t="s">
        <v>471</v>
      </c>
    </row>
    <row r="2696" spans="1:12" ht="12" customHeight="1" x14ac:dyDescent="0.25">
      <c r="A2696" s="6">
        <v>44660</v>
      </c>
      <c r="B2696" s="1">
        <v>2201867</v>
      </c>
      <c r="C2696" s="5" t="s">
        <v>18</v>
      </c>
      <c r="D2696" s="5" t="str">
        <f>VLOOKUP(C2696,[1]master_data!$A$2:$E$495,2,FALSE)</f>
        <v>MESIN YANG WAVE MAKER 200</v>
      </c>
      <c r="E2696" s="5">
        <v>1</v>
      </c>
      <c r="F2696" s="5">
        <f>VLOOKUP(C2696,[1]master_data!$A$2:$E$495,3,FALSE)</f>
        <v>118000</v>
      </c>
      <c r="G2696" s="5">
        <f>VLOOKUP(C2696,[1]master_data!$A$2:$E$495,4,FALSE)</f>
        <v>150000</v>
      </c>
      <c r="H2696" s="5">
        <f t="shared" si="132"/>
        <v>118000</v>
      </c>
      <c r="I2696" s="5">
        <f t="shared" si="133"/>
        <v>150000</v>
      </c>
      <c r="J2696" s="5">
        <f t="shared" si="134"/>
        <v>32000</v>
      </c>
      <c r="K2696" s="5" t="str">
        <f>VLOOKUP(C2696,[1]master_data!$A$2:$E$495,5,FALSE)</f>
        <v>Aksesoris</v>
      </c>
      <c r="L2696" s="5" t="s">
        <v>471</v>
      </c>
    </row>
    <row r="2697" spans="1:12" ht="12" customHeight="1" x14ac:dyDescent="0.25">
      <c r="A2697" s="6">
        <v>44660</v>
      </c>
      <c r="B2697" s="1">
        <v>2201866</v>
      </c>
      <c r="C2697" s="5" t="s">
        <v>409</v>
      </c>
      <c r="D2697" s="5" t="str">
        <f>VLOOKUP(C2697,[1]master_data!$A$2:$E$495,2,FALSE)</f>
        <v>GOLD FISH</v>
      </c>
      <c r="E2697" s="5">
        <v>10</v>
      </c>
      <c r="F2697" s="5">
        <f>VLOOKUP(C2697,[1]master_data!$A$2:$E$495,3,FALSE)</f>
        <v>800</v>
      </c>
      <c r="G2697" s="5">
        <f>VLOOKUP(C2697,[1]master_data!$A$2:$E$495,4,FALSE)</f>
        <v>2000</v>
      </c>
      <c r="H2697" s="5">
        <f t="shared" si="132"/>
        <v>8000</v>
      </c>
      <c r="I2697" s="5">
        <f t="shared" si="133"/>
        <v>20000</v>
      </c>
      <c r="J2697" s="5">
        <f t="shared" si="134"/>
        <v>12000</v>
      </c>
      <c r="K2697" s="5" t="str">
        <f>VLOOKUP(C2697,[1]master_data!$A$2:$E$495,5,FALSE)</f>
        <v>Ikan</v>
      </c>
      <c r="L2697" s="5" t="s">
        <v>471</v>
      </c>
    </row>
    <row r="2698" spans="1:12" ht="12" customHeight="1" x14ac:dyDescent="0.25">
      <c r="A2698" s="6">
        <v>44660</v>
      </c>
      <c r="B2698" s="1">
        <v>2201865</v>
      </c>
      <c r="C2698" s="5" t="s">
        <v>420</v>
      </c>
      <c r="D2698" s="5" t="str">
        <f>VLOOKUP(C2698,[1]master_data!$A$2:$E$495,2,FALSE)</f>
        <v>KAVIAT</v>
      </c>
      <c r="E2698" s="5">
        <v>2</v>
      </c>
      <c r="F2698" s="5">
        <f>VLOOKUP(C2698,[1]master_data!$A$2:$E$495,3,FALSE)</f>
        <v>3500</v>
      </c>
      <c r="G2698" s="5">
        <f>VLOOKUP(C2698,[1]master_data!$A$2:$E$495,4,FALSE)</f>
        <v>8000</v>
      </c>
      <c r="H2698" s="5">
        <f t="shared" si="132"/>
        <v>7000</v>
      </c>
      <c r="I2698" s="5">
        <f t="shared" si="133"/>
        <v>16000</v>
      </c>
      <c r="J2698" s="5">
        <f t="shared" si="134"/>
        <v>9000</v>
      </c>
      <c r="K2698" s="5" t="str">
        <f>VLOOKUP(C2698,[1]master_data!$A$2:$E$495,5,FALSE)</f>
        <v>Ikan</v>
      </c>
      <c r="L2698" s="5" t="s">
        <v>471</v>
      </c>
    </row>
    <row r="2699" spans="1:12" ht="12" customHeight="1" x14ac:dyDescent="0.25">
      <c r="A2699" s="6">
        <v>44660</v>
      </c>
      <c r="B2699" s="1">
        <v>2201864</v>
      </c>
      <c r="C2699" s="5" t="s">
        <v>419</v>
      </c>
      <c r="D2699" s="5" t="str">
        <f>VLOOKUP(C2699,[1]master_data!$A$2:$E$495,2,FALSE)</f>
        <v>KURA - KURA</v>
      </c>
      <c r="E2699" s="5">
        <v>1</v>
      </c>
      <c r="F2699" s="5">
        <f>VLOOKUP(C2699,[1]master_data!$A$2:$E$495,3,FALSE)</f>
        <v>25000</v>
      </c>
      <c r="G2699" s="5">
        <f>VLOOKUP(C2699,[1]master_data!$A$2:$E$495,4,FALSE)</f>
        <v>35000</v>
      </c>
      <c r="H2699" s="5">
        <f t="shared" si="132"/>
        <v>25000</v>
      </c>
      <c r="I2699" s="5">
        <f t="shared" si="133"/>
        <v>35000</v>
      </c>
      <c r="J2699" s="5">
        <f t="shared" si="134"/>
        <v>10000</v>
      </c>
      <c r="K2699" s="5" t="str">
        <f>VLOOKUP(C2699,[1]master_data!$A$2:$E$495,5,FALSE)</f>
        <v>Ikan</v>
      </c>
      <c r="L2699" s="5" t="s">
        <v>471</v>
      </c>
    </row>
    <row r="2700" spans="1:12" ht="12" customHeight="1" x14ac:dyDescent="0.25">
      <c r="A2700" s="6">
        <v>44660</v>
      </c>
      <c r="B2700" s="1">
        <v>2201863</v>
      </c>
      <c r="C2700" s="5" t="s">
        <v>408</v>
      </c>
      <c r="D2700" s="5" t="str">
        <f>VLOOKUP(C2700,[1]master_data!$A$2:$E$495,2,FALSE)</f>
        <v>CATFISH</v>
      </c>
      <c r="E2700" s="5">
        <v>1</v>
      </c>
      <c r="F2700" s="5">
        <f>VLOOKUP(C2700,[1]master_data!$A$2:$E$495,3,FALSE)</f>
        <v>20000</v>
      </c>
      <c r="G2700" s="5">
        <f>VLOOKUP(C2700,[1]master_data!$A$2:$E$495,4,FALSE)</f>
        <v>50000</v>
      </c>
      <c r="H2700" s="5">
        <f t="shared" si="132"/>
        <v>20000</v>
      </c>
      <c r="I2700" s="5">
        <f t="shared" si="133"/>
        <v>50000</v>
      </c>
      <c r="J2700" s="5">
        <f t="shared" si="134"/>
        <v>30000</v>
      </c>
      <c r="K2700" s="5" t="str">
        <f>VLOOKUP(C2700,[1]master_data!$A$2:$E$495,5,FALSE)</f>
        <v>Ikan</v>
      </c>
      <c r="L2700" s="5" t="s">
        <v>471</v>
      </c>
    </row>
    <row r="2701" spans="1:12" ht="12" customHeight="1" x14ac:dyDescent="0.25">
      <c r="A2701" s="6">
        <v>44660</v>
      </c>
      <c r="B2701" s="1">
        <v>2201862</v>
      </c>
      <c r="C2701" s="5" t="s">
        <v>427</v>
      </c>
      <c r="D2701" s="5" t="str">
        <f>VLOOKUP(C2701,[1]master_data!$A$2:$E$495,2,FALSE)</f>
        <v>LEMON</v>
      </c>
      <c r="E2701" s="5">
        <v>10</v>
      </c>
      <c r="F2701" s="5">
        <f>VLOOKUP(C2701,[1]master_data!$A$2:$E$495,3,FALSE)</f>
        <v>1000</v>
      </c>
      <c r="G2701" s="5">
        <f>VLOOKUP(C2701,[1]master_data!$A$2:$E$495,4,FALSE)</f>
        <v>2000</v>
      </c>
      <c r="H2701" s="5">
        <f t="shared" si="132"/>
        <v>10000</v>
      </c>
      <c r="I2701" s="5">
        <f t="shared" si="133"/>
        <v>20000</v>
      </c>
      <c r="J2701" s="5">
        <f t="shared" si="134"/>
        <v>10000</v>
      </c>
      <c r="K2701" s="5" t="str">
        <f>VLOOKUP(C2701,[1]master_data!$A$2:$E$495,5,FALSE)</f>
        <v>Ikan</v>
      </c>
      <c r="L2701" s="5" t="s">
        <v>471</v>
      </c>
    </row>
    <row r="2702" spans="1:12" ht="12" customHeight="1" x14ac:dyDescent="0.25">
      <c r="A2702" s="6">
        <v>44660</v>
      </c>
      <c r="B2702" s="1">
        <v>2201861</v>
      </c>
      <c r="C2702" s="5" t="s">
        <v>329</v>
      </c>
      <c r="D2702" s="5" t="str">
        <f>VLOOKUP(C2702,[1]master_data!$A$2:$E$495,2,FALSE)</f>
        <v>AIRSTONE D2L5</v>
      </c>
      <c r="E2702" s="5">
        <v>4</v>
      </c>
      <c r="F2702" s="5">
        <f>VLOOKUP(C2702,[1]master_data!$A$2:$E$495,3,FALSE)</f>
        <v>1850</v>
      </c>
      <c r="G2702" s="5">
        <f>VLOOKUP(C2702,[1]master_data!$A$2:$E$495,4,FALSE)</f>
        <v>5000</v>
      </c>
      <c r="H2702" s="5">
        <f t="shared" si="132"/>
        <v>7400</v>
      </c>
      <c r="I2702" s="5">
        <f t="shared" si="133"/>
        <v>20000</v>
      </c>
      <c r="J2702" s="5">
        <f t="shared" si="134"/>
        <v>12600</v>
      </c>
      <c r="K2702" s="5" t="str">
        <f>VLOOKUP(C2702,[1]master_data!$A$2:$E$495,5,FALSE)</f>
        <v>Aksesoris</v>
      </c>
      <c r="L2702" s="5" t="s">
        <v>471</v>
      </c>
    </row>
    <row r="2703" spans="1:12" ht="12" customHeight="1" x14ac:dyDescent="0.25">
      <c r="A2703" s="6">
        <v>44660</v>
      </c>
      <c r="B2703" s="1">
        <v>2201860</v>
      </c>
      <c r="C2703" s="5" t="s">
        <v>413</v>
      </c>
      <c r="D2703" s="5" t="str">
        <f>VLOOKUP(C2703,[1]master_data!$A$2:$E$495,2,FALSE)</f>
        <v>KOKI K</v>
      </c>
      <c r="E2703" s="5">
        <v>5</v>
      </c>
      <c r="F2703" s="5">
        <f>VLOOKUP(C2703,[1]master_data!$A$2:$E$495,3,FALSE)</f>
        <v>3500</v>
      </c>
      <c r="G2703" s="5">
        <f>VLOOKUP(C2703,[1]master_data!$A$2:$E$495,4,FALSE)</f>
        <v>10000</v>
      </c>
      <c r="H2703" s="5">
        <f t="shared" si="132"/>
        <v>17500</v>
      </c>
      <c r="I2703" s="5">
        <f t="shared" si="133"/>
        <v>50000</v>
      </c>
      <c r="J2703" s="5">
        <f t="shared" si="134"/>
        <v>32500</v>
      </c>
      <c r="K2703" s="5" t="str">
        <f>VLOOKUP(C2703,[1]master_data!$A$2:$E$495,5,FALSE)</f>
        <v>Ikan</v>
      </c>
      <c r="L2703" s="5" t="s">
        <v>471</v>
      </c>
    </row>
    <row r="2704" spans="1:12" ht="12" customHeight="1" x14ac:dyDescent="0.25">
      <c r="A2704" s="6">
        <v>44659</v>
      </c>
      <c r="B2704" s="1">
        <v>2201859</v>
      </c>
      <c r="C2704" s="5" t="s">
        <v>432</v>
      </c>
      <c r="D2704" s="5" t="str">
        <f>VLOOKUP(C2704,[1]master_data!$A$2:$E$495,2,FALSE)</f>
        <v>MARU K</v>
      </c>
      <c r="E2704" s="5">
        <v>1</v>
      </c>
      <c r="F2704" s="5">
        <f>VLOOKUP(C2704,[1]master_data!$A$2:$E$495,3,FALSE)</f>
        <v>23000</v>
      </c>
      <c r="G2704" s="5">
        <f>VLOOKUP(C2704,[1]master_data!$A$2:$E$495,4,FALSE)</f>
        <v>50000</v>
      </c>
      <c r="H2704" s="5">
        <f t="shared" si="132"/>
        <v>23000</v>
      </c>
      <c r="I2704" s="5">
        <f t="shared" si="133"/>
        <v>50000</v>
      </c>
      <c r="J2704" s="5">
        <f t="shared" si="134"/>
        <v>27000</v>
      </c>
      <c r="K2704" s="5" t="str">
        <f>VLOOKUP(C2704,[1]master_data!$A$2:$E$495,5,FALSE)</f>
        <v>Ikan</v>
      </c>
      <c r="L2704" s="5" t="s">
        <v>471</v>
      </c>
    </row>
    <row r="2705" spans="1:12" ht="12" customHeight="1" x14ac:dyDescent="0.25">
      <c r="A2705" s="6">
        <v>44659</v>
      </c>
      <c r="B2705" s="1">
        <v>2201858</v>
      </c>
      <c r="C2705" s="5" t="s">
        <v>410</v>
      </c>
      <c r="D2705" s="5" t="str">
        <f>VLOOKUP(C2705,[1]master_data!$A$2:$E$495,2,FALSE)</f>
        <v>GUPY</v>
      </c>
      <c r="E2705" s="5">
        <v>10</v>
      </c>
      <c r="F2705" s="5">
        <f>VLOOKUP(C2705,[1]master_data!$A$2:$E$495,3,FALSE)</f>
        <v>1200</v>
      </c>
      <c r="G2705" s="5">
        <f>VLOOKUP(C2705,[1]master_data!$A$2:$E$495,4,FALSE)</f>
        <v>2500</v>
      </c>
      <c r="H2705" s="5">
        <f t="shared" si="132"/>
        <v>12000</v>
      </c>
      <c r="I2705" s="5">
        <f t="shared" si="133"/>
        <v>25000</v>
      </c>
      <c r="J2705" s="5">
        <f t="shared" si="134"/>
        <v>13000</v>
      </c>
      <c r="K2705" s="5" t="str">
        <f>VLOOKUP(C2705,[1]master_data!$A$2:$E$495,5,FALSE)</f>
        <v>Ikan</v>
      </c>
      <c r="L2705" s="5" t="s">
        <v>471</v>
      </c>
    </row>
    <row r="2706" spans="1:12" ht="12" customHeight="1" x14ac:dyDescent="0.25">
      <c r="A2706" s="6">
        <v>44659</v>
      </c>
      <c r="B2706" s="1">
        <v>2201857</v>
      </c>
      <c r="C2706" s="5" t="s">
        <v>280</v>
      </c>
      <c r="D2706" s="5" t="str">
        <f>VLOOKUP(C2706,[1]master_data!$A$2:$E$495,2,FALSE)</f>
        <v>KRAN 2 W</v>
      </c>
      <c r="E2706" s="5">
        <v>1</v>
      </c>
      <c r="F2706" s="5">
        <f>VLOOKUP(C2706,[1]master_data!$A$2:$E$495,3,FALSE)</f>
        <v>4000</v>
      </c>
      <c r="G2706" s="5">
        <f>VLOOKUP(C2706,[1]master_data!$A$2:$E$495,4,FALSE)</f>
        <v>6000</v>
      </c>
      <c r="H2706" s="5">
        <f t="shared" si="132"/>
        <v>4000</v>
      </c>
      <c r="I2706" s="5">
        <f t="shared" si="133"/>
        <v>6000</v>
      </c>
      <c r="J2706" s="5">
        <f t="shared" si="134"/>
        <v>2000</v>
      </c>
      <c r="K2706" s="5" t="str">
        <f>VLOOKUP(C2706,[1]master_data!$A$2:$E$495,5,FALSE)</f>
        <v>Aksesoris</v>
      </c>
      <c r="L2706" s="5" t="s">
        <v>471</v>
      </c>
    </row>
    <row r="2707" spans="1:12" ht="12" customHeight="1" x14ac:dyDescent="0.25">
      <c r="A2707" s="6">
        <v>44659</v>
      </c>
      <c r="B2707" s="1">
        <v>2201856</v>
      </c>
      <c r="C2707" s="5" t="s">
        <v>452</v>
      </c>
      <c r="D2707" s="5" t="str">
        <f>VLOOKUP(C2707,[1]master_data!$A$2:$E$495,2,FALSE)</f>
        <v>SNOW WHITE</v>
      </c>
      <c r="E2707" s="5">
        <v>5</v>
      </c>
      <c r="F2707" s="5">
        <f>VLOOKUP(C2707,[1]master_data!$A$2:$E$495,3,FALSE)</f>
        <v>1500</v>
      </c>
      <c r="G2707" s="5">
        <f>VLOOKUP(C2707,[1]master_data!$A$2:$E$495,4,FALSE)</f>
        <v>3000</v>
      </c>
      <c r="H2707" s="5">
        <f t="shared" si="132"/>
        <v>7500</v>
      </c>
      <c r="I2707" s="5">
        <f t="shared" si="133"/>
        <v>15000</v>
      </c>
      <c r="J2707" s="5">
        <f t="shared" si="134"/>
        <v>7500</v>
      </c>
      <c r="K2707" s="5" t="str">
        <f>VLOOKUP(C2707,[1]master_data!$A$2:$E$495,5,FALSE)</f>
        <v>Ikan</v>
      </c>
      <c r="L2707" s="5" t="s">
        <v>471</v>
      </c>
    </row>
    <row r="2708" spans="1:12" ht="12" customHeight="1" x14ac:dyDescent="0.25">
      <c r="A2708" s="6">
        <v>44659</v>
      </c>
      <c r="B2708" s="1">
        <v>2201855</v>
      </c>
      <c r="C2708" s="5" t="s">
        <v>427</v>
      </c>
      <c r="D2708" s="5" t="str">
        <f>VLOOKUP(C2708,[1]master_data!$A$2:$E$495,2,FALSE)</f>
        <v>LEMON</v>
      </c>
      <c r="E2708" s="5">
        <v>5</v>
      </c>
      <c r="F2708" s="5">
        <f>VLOOKUP(C2708,[1]master_data!$A$2:$E$495,3,FALSE)</f>
        <v>1000</v>
      </c>
      <c r="G2708" s="5">
        <f>VLOOKUP(C2708,[1]master_data!$A$2:$E$495,4,FALSE)</f>
        <v>2000</v>
      </c>
      <c r="H2708" s="5">
        <f t="shared" si="132"/>
        <v>5000</v>
      </c>
      <c r="I2708" s="5">
        <f t="shared" si="133"/>
        <v>10000</v>
      </c>
      <c r="J2708" s="5">
        <f t="shared" si="134"/>
        <v>5000</v>
      </c>
      <c r="K2708" s="5" t="str">
        <f>VLOOKUP(C2708,[1]master_data!$A$2:$E$495,5,FALSE)</f>
        <v>Ikan</v>
      </c>
      <c r="L2708" s="5" t="s">
        <v>471</v>
      </c>
    </row>
    <row r="2709" spans="1:12" ht="12" customHeight="1" x14ac:dyDescent="0.25">
      <c r="A2709" s="6">
        <v>44659</v>
      </c>
      <c r="B2709" s="1">
        <v>2201854</v>
      </c>
      <c r="C2709" s="5" t="s">
        <v>262</v>
      </c>
      <c r="D2709" s="5" t="str">
        <f>VLOOKUP(C2709,[1]master_data!$A$2:$E$495,2,FALSE)</f>
        <v>COP PIPA</v>
      </c>
      <c r="E2709" s="5">
        <v>2</v>
      </c>
      <c r="F2709" s="5">
        <f>VLOOKUP(C2709,[1]master_data!$A$2:$E$495,3,FALSE)</f>
        <v>800</v>
      </c>
      <c r="G2709" s="5">
        <f>VLOOKUP(C2709,[1]master_data!$A$2:$E$495,4,FALSE)</f>
        <v>2000</v>
      </c>
      <c r="H2709" s="5">
        <f t="shared" si="132"/>
        <v>1600</v>
      </c>
      <c r="I2709" s="5">
        <f t="shared" si="133"/>
        <v>4000</v>
      </c>
      <c r="J2709" s="5">
        <f t="shared" si="134"/>
        <v>2400</v>
      </c>
      <c r="K2709" s="5" t="str">
        <f>VLOOKUP(C2709,[1]master_data!$A$2:$E$495,5,FALSE)</f>
        <v>Aksesoris</v>
      </c>
      <c r="L2709" s="5" t="s">
        <v>471</v>
      </c>
    </row>
    <row r="2710" spans="1:12" ht="12" customHeight="1" x14ac:dyDescent="0.25">
      <c r="A2710" s="6">
        <v>44659</v>
      </c>
      <c r="B2710" s="1">
        <v>2201853</v>
      </c>
      <c r="C2710" s="5" t="s">
        <v>437</v>
      </c>
      <c r="D2710" s="5" t="str">
        <f>VLOOKUP(C2710,[1]master_data!$A$2:$E$495,2,FALSE)</f>
        <v>RED EYE TETRA</v>
      </c>
      <c r="E2710" s="5">
        <v>10</v>
      </c>
      <c r="F2710" s="5">
        <f>VLOOKUP(C2710,[1]master_data!$A$2:$E$495,3,FALSE)</f>
        <v>900</v>
      </c>
      <c r="G2710" s="5">
        <f>VLOOKUP(C2710,[1]master_data!$A$2:$E$495,4,FALSE)</f>
        <v>2000</v>
      </c>
      <c r="H2710" s="5">
        <f t="shared" si="132"/>
        <v>9000</v>
      </c>
      <c r="I2710" s="5">
        <f t="shared" si="133"/>
        <v>20000</v>
      </c>
      <c r="J2710" s="5">
        <f t="shared" si="134"/>
        <v>11000</v>
      </c>
      <c r="K2710" s="5" t="str">
        <f>VLOOKUP(C2710,[1]master_data!$A$2:$E$495,5,FALSE)</f>
        <v>Ikan</v>
      </c>
      <c r="L2710" s="5" t="s">
        <v>471</v>
      </c>
    </row>
    <row r="2711" spans="1:12" ht="12" customHeight="1" x14ac:dyDescent="0.25">
      <c r="A2711" s="6">
        <v>44659</v>
      </c>
      <c r="B2711" s="1">
        <v>2201852</v>
      </c>
      <c r="C2711" s="5" t="s">
        <v>434</v>
      </c>
      <c r="D2711" s="5" t="str">
        <f>VLOOKUP(C2711,[1]master_data!$A$2:$E$495,2,FALSE)</f>
        <v>MOLI PAKAN</v>
      </c>
      <c r="E2711" s="5">
        <v>50</v>
      </c>
      <c r="F2711" s="5">
        <f>VLOOKUP(C2711,[1]master_data!$A$2:$E$495,3,FALSE)</f>
        <v>100</v>
      </c>
      <c r="G2711" s="5">
        <f>VLOOKUP(C2711,[1]master_data!$A$2:$E$495,4,FALSE)</f>
        <v>200</v>
      </c>
      <c r="H2711" s="5">
        <f t="shared" si="132"/>
        <v>5000</v>
      </c>
      <c r="I2711" s="5">
        <f t="shared" si="133"/>
        <v>10000</v>
      </c>
      <c r="J2711" s="5">
        <f t="shared" si="134"/>
        <v>5000</v>
      </c>
      <c r="K2711" s="5" t="str">
        <f>VLOOKUP(C2711,[1]master_data!$A$2:$E$495,5,FALSE)</f>
        <v>Ikan</v>
      </c>
      <c r="L2711" s="5" t="s">
        <v>471</v>
      </c>
    </row>
    <row r="2712" spans="1:12" ht="12" customHeight="1" x14ac:dyDescent="0.25">
      <c r="A2712" s="6">
        <v>44659</v>
      </c>
      <c r="B2712" s="1">
        <v>2201851</v>
      </c>
      <c r="C2712" s="5" t="s">
        <v>431</v>
      </c>
      <c r="D2712" s="5" t="str">
        <f>VLOOKUP(C2712,[1]master_data!$A$2:$E$495,2,FALSE)</f>
        <v>MANFISH B</v>
      </c>
      <c r="E2712" s="5">
        <v>2</v>
      </c>
      <c r="F2712" s="5">
        <f>VLOOKUP(C2712,[1]master_data!$A$2:$E$495,3,FALSE)</f>
        <v>4000</v>
      </c>
      <c r="G2712" s="5">
        <f>VLOOKUP(C2712,[1]master_data!$A$2:$E$495,4,FALSE)</f>
        <v>10000</v>
      </c>
      <c r="H2712" s="5">
        <f t="shared" si="132"/>
        <v>8000</v>
      </c>
      <c r="I2712" s="5">
        <f t="shared" si="133"/>
        <v>20000</v>
      </c>
      <c r="J2712" s="5">
        <f t="shared" si="134"/>
        <v>12000</v>
      </c>
      <c r="K2712" s="5" t="str">
        <f>VLOOKUP(C2712,[1]master_data!$A$2:$E$495,5,FALSE)</f>
        <v>Ikan</v>
      </c>
      <c r="L2712" s="5" t="s">
        <v>471</v>
      </c>
    </row>
    <row r="2713" spans="1:12" ht="12" customHeight="1" x14ac:dyDescent="0.25">
      <c r="A2713" s="6">
        <v>44659</v>
      </c>
      <c r="B2713" s="1">
        <v>2201850</v>
      </c>
      <c r="C2713" s="5" t="s">
        <v>422</v>
      </c>
      <c r="D2713" s="5" t="str">
        <f>VLOOKUP(C2713,[1]master_data!$A$2:$E$495,2,FALSE)</f>
        <v>KOMET SLAYER</v>
      </c>
      <c r="E2713" s="5">
        <v>10</v>
      </c>
      <c r="F2713" s="5">
        <f>VLOOKUP(C2713,[1]master_data!$A$2:$E$495,3,FALSE)</f>
        <v>2000</v>
      </c>
      <c r="G2713" s="5">
        <f>VLOOKUP(C2713,[1]master_data!$A$2:$E$495,4,FALSE)</f>
        <v>5000</v>
      </c>
      <c r="H2713" s="5">
        <f t="shared" si="132"/>
        <v>20000</v>
      </c>
      <c r="I2713" s="5">
        <f t="shared" si="133"/>
        <v>50000</v>
      </c>
      <c r="J2713" s="5">
        <f t="shared" si="134"/>
        <v>30000</v>
      </c>
      <c r="K2713" s="5" t="str">
        <f>VLOOKUP(C2713,[1]master_data!$A$2:$E$495,5,FALSE)</f>
        <v>Ikan</v>
      </c>
      <c r="L2713" s="5" t="s">
        <v>471</v>
      </c>
    </row>
    <row r="2714" spans="1:12" ht="12" customHeight="1" x14ac:dyDescent="0.25">
      <c r="A2714" s="6">
        <v>44659</v>
      </c>
      <c r="B2714" s="1">
        <v>2201849</v>
      </c>
      <c r="C2714" s="5" t="s">
        <v>413</v>
      </c>
      <c r="D2714" s="5" t="str">
        <f>VLOOKUP(C2714,[1]master_data!$A$2:$E$495,2,FALSE)</f>
        <v>KOKI K</v>
      </c>
      <c r="E2714" s="5">
        <v>3</v>
      </c>
      <c r="F2714" s="5">
        <f>VLOOKUP(C2714,[1]master_data!$A$2:$E$495,3,FALSE)</f>
        <v>3500</v>
      </c>
      <c r="G2714" s="5">
        <f>VLOOKUP(C2714,[1]master_data!$A$2:$E$495,4,FALSE)</f>
        <v>10000</v>
      </c>
      <c r="H2714" s="5">
        <f t="shared" si="132"/>
        <v>10500</v>
      </c>
      <c r="I2714" s="5">
        <f t="shared" si="133"/>
        <v>30000</v>
      </c>
      <c r="J2714" s="5">
        <f t="shared" si="134"/>
        <v>19500</v>
      </c>
      <c r="K2714" s="5" t="str">
        <f>VLOOKUP(C2714,[1]master_data!$A$2:$E$495,5,FALSE)</f>
        <v>Ikan</v>
      </c>
      <c r="L2714" s="5" t="s">
        <v>471</v>
      </c>
    </row>
    <row r="2715" spans="1:12" ht="12" customHeight="1" x14ac:dyDescent="0.25">
      <c r="A2715" s="6">
        <v>44659</v>
      </c>
      <c r="B2715" s="1">
        <v>2201848</v>
      </c>
      <c r="C2715" s="5" t="s">
        <v>455</v>
      </c>
      <c r="D2715" s="5" t="str">
        <f>VLOOKUP(C2715,[1]master_data!$A$2:$E$495,2,FALSE)</f>
        <v>TETRA</v>
      </c>
      <c r="E2715" s="5">
        <v>10</v>
      </c>
      <c r="F2715" s="5">
        <f>VLOOKUP(C2715,[1]master_data!$A$2:$E$495,3,FALSE)</f>
        <v>800</v>
      </c>
      <c r="G2715" s="5">
        <f>VLOOKUP(C2715,[1]master_data!$A$2:$E$495,4,FALSE)</f>
        <v>2000</v>
      </c>
      <c r="H2715" s="5">
        <f t="shared" si="132"/>
        <v>8000</v>
      </c>
      <c r="I2715" s="5">
        <f t="shared" si="133"/>
        <v>20000</v>
      </c>
      <c r="J2715" s="5">
        <f t="shared" si="134"/>
        <v>12000</v>
      </c>
      <c r="K2715" s="5" t="str">
        <f>VLOOKUP(C2715,[1]master_data!$A$2:$E$495,5,FALSE)</f>
        <v>Ikan</v>
      </c>
      <c r="L2715" s="5" t="s">
        <v>471</v>
      </c>
    </row>
    <row r="2716" spans="1:12" ht="12" customHeight="1" x14ac:dyDescent="0.25">
      <c r="A2716" s="6">
        <v>44659</v>
      </c>
      <c r="B2716" s="1">
        <v>2201847</v>
      </c>
      <c r="C2716" s="5" t="s">
        <v>263</v>
      </c>
      <c r="D2716" s="5" t="str">
        <f>VLOOKUP(C2716,[1]master_data!$A$2:$E$495,2,FALSE)</f>
        <v>COP SEKAT KACA</v>
      </c>
      <c r="E2716" s="5">
        <v>3</v>
      </c>
      <c r="F2716" s="5">
        <f>VLOOKUP(C2716,[1]master_data!$A$2:$E$495,3,FALSE)</f>
        <v>800</v>
      </c>
      <c r="G2716" s="5">
        <f>VLOOKUP(C2716,[1]master_data!$A$2:$E$495,4,FALSE)</f>
        <v>2000</v>
      </c>
      <c r="H2716" s="5">
        <f t="shared" si="132"/>
        <v>2400</v>
      </c>
      <c r="I2716" s="5">
        <f t="shared" si="133"/>
        <v>6000</v>
      </c>
      <c r="J2716" s="5">
        <f t="shared" si="134"/>
        <v>3600</v>
      </c>
      <c r="K2716" s="5" t="str">
        <f>VLOOKUP(C2716,[1]master_data!$A$2:$E$495,5,FALSE)</f>
        <v>Aksesoris</v>
      </c>
      <c r="L2716" s="5" t="s">
        <v>471</v>
      </c>
    </row>
    <row r="2717" spans="1:12" ht="12" customHeight="1" x14ac:dyDescent="0.25">
      <c r="A2717" s="6">
        <v>44659</v>
      </c>
      <c r="B2717" s="1">
        <v>2201846</v>
      </c>
      <c r="C2717" s="5" t="s">
        <v>52</v>
      </c>
      <c r="D2717" s="5" t="str">
        <f>VLOOKUP(C2717,[1]master_data!$A$2:$E$495,2,FALSE)</f>
        <v>TOP FILTER LENGKAP B</v>
      </c>
      <c r="E2717" s="5">
        <v>1</v>
      </c>
      <c r="F2717" s="5">
        <f>VLOOKUP(C2717,[1]master_data!$A$2:$E$495,3,FALSE)</f>
        <v>37500</v>
      </c>
      <c r="G2717" s="5">
        <f>VLOOKUP(C2717,[1]master_data!$A$2:$E$495,4,FALSE)</f>
        <v>65000</v>
      </c>
      <c r="H2717" s="5">
        <f t="shared" si="132"/>
        <v>37500</v>
      </c>
      <c r="I2717" s="5">
        <f t="shared" si="133"/>
        <v>65000</v>
      </c>
      <c r="J2717" s="5">
        <f t="shared" si="134"/>
        <v>27500</v>
      </c>
      <c r="K2717" s="5" t="str">
        <f>VLOOKUP(C2717,[1]master_data!$A$2:$E$495,5,FALSE)</f>
        <v>Aksesoris</v>
      </c>
      <c r="L2717" s="5" t="s">
        <v>471</v>
      </c>
    </row>
    <row r="2718" spans="1:12" ht="12" customHeight="1" x14ac:dyDescent="0.25">
      <c r="A2718" s="6">
        <v>44659</v>
      </c>
      <c r="B2718" s="1">
        <v>2201845</v>
      </c>
      <c r="C2718" s="5" t="s">
        <v>285</v>
      </c>
      <c r="D2718" s="5" t="str">
        <f>VLOOKUP(C2718,[1]master_data!$A$2:$E$495,2,FALSE)</f>
        <v>KAPAS 4 LAPIS</v>
      </c>
      <c r="E2718" s="5">
        <v>1</v>
      </c>
      <c r="F2718" s="5">
        <f>VLOOKUP(C2718,[1]master_data!$A$2:$E$495,3,FALSE)</f>
        <v>6500</v>
      </c>
      <c r="G2718" s="5">
        <f>VLOOKUP(C2718,[1]master_data!$A$2:$E$495,4,FALSE)</f>
        <v>10000</v>
      </c>
      <c r="H2718" s="5">
        <f t="shared" si="132"/>
        <v>6500</v>
      </c>
      <c r="I2718" s="5">
        <f t="shared" si="133"/>
        <v>10000</v>
      </c>
      <c r="J2718" s="5">
        <f t="shared" si="134"/>
        <v>3500</v>
      </c>
      <c r="K2718" s="5" t="str">
        <f>VLOOKUP(C2718,[1]master_data!$A$2:$E$495,5,FALSE)</f>
        <v>Aksesoris</v>
      </c>
      <c r="L2718" s="5" t="s">
        <v>471</v>
      </c>
    </row>
    <row r="2719" spans="1:12" ht="12" customHeight="1" x14ac:dyDescent="0.25">
      <c r="A2719" s="6">
        <v>44659</v>
      </c>
      <c r="B2719" s="1">
        <v>2201844</v>
      </c>
      <c r="C2719" s="5" t="s">
        <v>425</v>
      </c>
      <c r="D2719" s="5" t="str">
        <f>VLOOKUP(C2719,[1]master_data!$A$2:$E$495,2,FALSE)</f>
        <v>CAROLINE</v>
      </c>
      <c r="E2719" s="5">
        <v>5</v>
      </c>
      <c r="F2719" s="5">
        <f>VLOOKUP(C2719,[1]master_data!$A$2:$E$495,3,FALSE)</f>
        <v>900</v>
      </c>
      <c r="G2719" s="5">
        <f>VLOOKUP(C2719,[1]master_data!$A$2:$E$495,4,FALSE)</f>
        <v>2000</v>
      </c>
      <c r="H2719" s="5">
        <f t="shared" si="132"/>
        <v>4500</v>
      </c>
      <c r="I2719" s="5">
        <f t="shared" si="133"/>
        <v>10000</v>
      </c>
      <c r="J2719" s="5">
        <f t="shared" si="134"/>
        <v>5500</v>
      </c>
      <c r="K2719" s="5" t="str">
        <f>VLOOKUP(C2719,[1]master_data!$A$2:$E$495,5,FALSE)</f>
        <v>Ikan</v>
      </c>
      <c r="L2719" s="5" t="s">
        <v>471</v>
      </c>
    </row>
    <row r="2720" spans="1:12" ht="12" customHeight="1" x14ac:dyDescent="0.25">
      <c r="A2720" s="6">
        <v>44659</v>
      </c>
      <c r="B2720" s="1">
        <v>2201843</v>
      </c>
      <c r="C2720" s="5" t="s">
        <v>411</v>
      </c>
      <c r="D2720" s="5" t="str">
        <f>VLOOKUP(C2720,[1]master_data!$A$2:$E$495,2,FALSE)</f>
        <v>GOLDEN BLACK</v>
      </c>
      <c r="E2720" s="5">
        <v>5</v>
      </c>
      <c r="F2720" s="5">
        <f>VLOOKUP(C2720,[1]master_data!$A$2:$E$495,3,FALSE)</f>
        <v>800</v>
      </c>
      <c r="G2720" s="5">
        <f>VLOOKUP(C2720,[1]master_data!$A$2:$E$495,4,FALSE)</f>
        <v>2000</v>
      </c>
      <c r="H2720" s="5">
        <f t="shared" si="132"/>
        <v>4000</v>
      </c>
      <c r="I2720" s="5">
        <f t="shared" si="133"/>
        <v>10000</v>
      </c>
      <c r="J2720" s="5">
        <f t="shared" si="134"/>
        <v>6000</v>
      </c>
      <c r="K2720" s="5" t="str">
        <f>VLOOKUP(C2720,[1]master_data!$A$2:$E$495,5,FALSE)</f>
        <v>Ikan</v>
      </c>
      <c r="L2720" s="5" t="s">
        <v>471</v>
      </c>
    </row>
    <row r="2721" spans="1:12" ht="12" customHeight="1" x14ac:dyDescent="0.25">
      <c r="A2721" s="6">
        <v>44659</v>
      </c>
      <c r="B2721" s="1">
        <v>2201842</v>
      </c>
      <c r="C2721" s="5" t="s">
        <v>405</v>
      </c>
      <c r="D2721" s="5" t="str">
        <f>VLOOKUP(C2721,[1]master_data!$A$2:$E$495,2,FALSE)</f>
        <v>KOMET BOKIM</v>
      </c>
      <c r="E2721" s="5">
        <v>10</v>
      </c>
      <c r="F2721" s="5">
        <f>VLOOKUP(C2721,[1]master_data!$A$2:$E$495,3,FALSE)</f>
        <v>1500</v>
      </c>
      <c r="G2721" s="5">
        <f>VLOOKUP(C2721,[1]master_data!$A$2:$E$495,4,FALSE)</f>
        <v>5000</v>
      </c>
      <c r="H2721" s="5">
        <f t="shared" si="132"/>
        <v>15000</v>
      </c>
      <c r="I2721" s="5">
        <f t="shared" si="133"/>
        <v>50000</v>
      </c>
      <c r="J2721" s="5">
        <f t="shared" si="134"/>
        <v>35000</v>
      </c>
      <c r="K2721" s="5" t="str">
        <f>VLOOKUP(C2721,[1]master_data!$A$2:$E$495,5,FALSE)</f>
        <v>Ikan</v>
      </c>
      <c r="L2721" s="5" t="s">
        <v>471</v>
      </c>
    </row>
    <row r="2722" spans="1:12" ht="12" customHeight="1" x14ac:dyDescent="0.25">
      <c r="A2722" s="6">
        <v>44659</v>
      </c>
      <c r="B2722" s="1">
        <v>2201841</v>
      </c>
      <c r="C2722" s="5" t="s">
        <v>407</v>
      </c>
      <c r="D2722" s="5" t="str">
        <f>VLOOKUP(C2722,[1]master_data!$A$2:$E$495,2,FALSE)</f>
        <v>CUPANG</v>
      </c>
      <c r="E2722" s="5">
        <v>1</v>
      </c>
      <c r="F2722" s="5">
        <f>VLOOKUP(C2722,[1]master_data!$A$2:$E$495,3,FALSE)</f>
        <v>2000</v>
      </c>
      <c r="G2722" s="5">
        <f>VLOOKUP(C2722,[1]master_data!$A$2:$E$495,4,FALSE)</f>
        <v>5000</v>
      </c>
      <c r="H2722" s="5">
        <f t="shared" si="132"/>
        <v>2000</v>
      </c>
      <c r="I2722" s="5">
        <f t="shared" si="133"/>
        <v>5000</v>
      </c>
      <c r="J2722" s="5">
        <f t="shared" si="134"/>
        <v>3000</v>
      </c>
      <c r="K2722" s="5" t="str">
        <f>VLOOKUP(C2722,[1]master_data!$A$2:$E$495,5,FALSE)</f>
        <v>Ikan</v>
      </c>
      <c r="L2722" s="5" t="s">
        <v>471</v>
      </c>
    </row>
    <row r="2723" spans="1:12" ht="12" customHeight="1" x14ac:dyDescent="0.25">
      <c r="A2723" s="6">
        <v>44659</v>
      </c>
      <c r="B2723" s="1">
        <v>2201840</v>
      </c>
      <c r="C2723" s="5" t="s">
        <v>414</v>
      </c>
      <c r="D2723" s="5" t="str">
        <f>VLOOKUP(C2723,[1]master_data!$A$2:$E$495,2,FALSE)</f>
        <v>KOKI T</v>
      </c>
      <c r="E2723" s="5">
        <v>3</v>
      </c>
      <c r="F2723" s="5">
        <f>VLOOKUP(C2723,[1]master_data!$A$2:$E$495,3,FALSE)</f>
        <v>8000</v>
      </c>
      <c r="G2723" s="5">
        <f>VLOOKUP(C2723,[1]master_data!$A$2:$E$495,4,FALSE)</f>
        <v>15000</v>
      </c>
      <c r="H2723" s="5">
        <f t="shared" si="132"/>
        <v>24000</v>
      </c>
      <c r="I2723" s="5">
        <f t="shared" si="133"/>
        <v>45000</v>
      </c>
      <c r="J2723" s="5">
        <f t="shared" si="134"/>
        <v>21000</v>
      </c>
      <c r="K2723" s="5" t="str">
        <f>VLOOKUP(C2723,[1]master_data!$A$2:$E$495,5,FALSE)</f>
        <v>Ikan</v>
      </c>
      <c r="L2723" s="5" t="s">
        <v>471</v>
      </c>
    </row>
    <row r="2724" spans="1:12" ht="12" customHeight="1" x14ac:dyDescent="0.25">
      <c r="A2724" s="6">
        <v>44659</v>
      </c>
      <c r="B2724" s="1">
        <v>2201839</v>
      </c>
      <c r="C2724" s="5" t="s">
        <v>432</v>
      </c>
      <c r="D2724" s="5" t="str">
        <f>VLOOKUP(C2724,[1]master_data!$A$2:$E$495,2,FALSE)</f>
        <v>MARU K</v>
      </c>
      <c r="E2724" s="5">
        <v>1</v>
      </c>
      <c r="F2724" s="5">
        <f>VLOOKUP(C2724,[1]master_data!$A$2:$E$495,3,FALSE)</f>
        <v>23000</v>
      </c>
      <c r="G2724" s="5">
        <f>VLOOKUP(C2724,[1]master_data!$A$2:$E$495,4,FALSE)</f>
        <v>50000</v>
      </c>
      <c r="H2724" s="5">
        <f t="shared" si="132"/>
        <v>23000</v>
      </c>
      <c r="I2724" s="5">
        <f t="shared" si="133"/>
        <v>50000</v>
      </c>
      <c r="J2724" s="5">
        <f t="shared" si="134"/>
        <v>27000</v>
      </c>
      <c r="K2724" s="5" t="str">
        <f>VLOOKUP(C2724,[1]master_data!$A$2:$E$495,5,FALSE)</f>
        <v>Ikan</v>
      </c>
      <c r="L2724" s="5" t="s">
        <v>471</v>
      </c>
    </row>
    <row r="2725" spans="1:12" ht="12" customHeight="1" x14ac:dyDescent="0.25">
      <c r="A2725" s="6">
        <v>44659</v>
      </c>
      <c r="B2725" s="1">
        <v>2201838</v>
      </c>
      <c r="C2725" s="5" t="s">
        <v>397</v>
      </c>
      <c r="D2725" s="5" t="str">
        <f>VLOOKUP(C2725,[1]master_data!$A$2:$E$495,2,FALSE)</f>
        <v>ALIGATOR</v>
      </c>
      <c r="E2725" s="5">
        <v>1</v>
      </c>
      <c r="F2725" s="5">
        <f>VLOOKUP(C2725,[1]master_data!$A$2:$E$495,3,FALSE)</f>
        <v>17000</v>
      </c>
      <c r="G2725" s="5">
        <f>VLOOKUP(C2725,[1]master_data!$A$2:$E$495,4,FALSE)</f>
        <v>35000</v>
      </c>
      <c r="H2725" s="5">
        <f t="shared" si="132"/>
        <v>17000</v>
      </c>
      <c r="I2725" s="5">
        <f t="shared" si="133"/>
        <v>35000</v>
      </c>
      <c r="J2725" s="5">
        <f t="shared" si="134"/>
        <v>18000</v>
      </c>
      <c r="K2725" s="5" t="str">
        <f>VLOOKUP(C2725,[1]master_data!$A$2:$E$495,5,FALSE)</f>
        <v>Ikan</v>
      </c>
      <c r="L2725" s="5" t="s">
        <v>471</v>
      </c>
    </row>
    <row r="2726" spans="1:12" ht="12" customHeight="1" x14ac:dyDescent="0.25">
      <c r="A2726" s="6">
        <v>44659</v>
      </c>
      <c r="B2726" s="1">
        <v>2201837</v>
      </c>
      <c r="C2726" s="5" t="s">
        <v>463</v>
      </c>
      <c r="D2726" s="5" t="str">
        <f>VLOOKUP(C2726,[1]master_data!$A$2:$E$495,2,FALSE)</f>
        <v>CHANNA STEWARTI</v>
      </c>
      <c r="E2726" s="5">
        <v>1</v>
      </c>
      <c r="F2726" s="5">
        <f>VLOOKUP(C2726,[1]master_data!$A$2:$E$495,3,FALSE)</f>
        <v>15000</v>
      </c>
      <c r="G2726" s="5">
        <f>VLOOKUP(C2726,[1]master_data!$A$2:$E$495,4,FALSE)</f>
        <v>40000</v>
      </c>
      <c r="H2726" s="5">
        <f t="shared" si="132"/>
        <v>15000</v>
      </c>
      <c r="I2726" s="5">
        <f t="shared" si="133"/>
        <v>40000</v>
      </c>
      <c r="J2726" s="5">
        <f t="shared" si="134"/>
        <v>25000</v>
      </c>
      <c r="K2726" s="5" t="str">
        <f>VLOOKUP(C2726,[1]master_data!$A$2:$E$495,5,FALSE)</f>
        <v>Ikan</v>
      </c>
      <c r="L2726" s="5" t="s">
        <v>471</v>
      </c>
    </row>
    <row r="2727" spans="1:12" ht="12" customHeight="1" x14ac:dyDescent="0.25">
      <c r="A2727" s="6">
        <v>44658</v>
      </c>
      <c r="B2727" s="1">
        <v>2201836</v>
      </c>
      <c r="C2727" s="5" t="s">
        <v>421</v>
      </c>
      <c r="D2727" s="5" t="str">
        <f>VLOOKUP(C2727,[1]master_data!$A$2:$E$495,2,FALSE)</f>
        <v>KOMET PAKAN</v>
      </c>
      <c r="E2727" s="5">
        <v>10</v>
      </c>
      <c r="F2727" s="5">
        <f>VLOOKUP(C2727,[1]master_data!$A$2:$E$495,3,FALSE)</f>
        <v>300</v>
      </c>
      <c r="G2727" s="5">
        <f>VLOOKUP(C2727,[1]master_data!$A$2:$E$495,4,FALSE)</f>
        <v>1000</v>
      </c>
      <c r="H2727" s="5">
        <f t="shared" si="132"/>
        <v>3000</v>
      </c>
      <c r="I2727" s="5">
        <f t="shared" si="133"/>
        <v>10000</v>
      </c>
      <c r="J2727" s="5">
        <f t="shared" si="134"/>
        <v>7000</v>
      </c>
      <c r="K2727" s="5" t="str">
        <f>VLOOKUP(C2727,[1]master_data!$A$2:$E$495,5,FALSE)</f>
        <v>Ikan</v>
      </c>
      <c r="L2727" s="5" t="s">
        <v>471</v>
      </c>
    </row>
    <row r="2728" spans="1:12" ht="12" customHeight="1" x14ac:dyDescent="0.25">
      <c r="A2728" s="6">
        <v>44658</v>
      </c>
      <c r="B2728" s="1">
        <v>2201835</v>
      </c>
      <c r="C2728" s="5" t="s">
        <v>419</v>
      </c>
      <c r="D2728" s="5" t="str">
        <f>VLOOKUP(C2728,[1]master_data!$A$2:$E$495,2,FALSE)</f>
        <v>KURA - KURA</v>
      </c>
      <c r="E2728" s="5">
        <v>2</v>
      </c>
      <c r="F2728" s="5">
        <f>VLOOKUP(C2728,[1]master_data!$A$2:$E$495,3,FALSE)</f>
        <v>25000</v>
      </c>
      <c r="G2728" s="5">
        <f>VLOOKUP(C2728,[1]master_data!$A$2:$E$495,4,FALSE)</f>
        <v>35000</v>
      </c>
      <c r="H2728" s="5">
        <f t="shared" si="132"/>
        <v>50000</v>
      </c>
      <c r="I2728" s="5">
        <f t="shared" si="133"/>
        <v>70000</v>
      </c>
      <c r="J2728" s="5">
        <f t="shared" si="134"/>
        <v>20000</v>
      </c>
      <c r="K2728" s="5" t="str">
        <f>VLOOKUP(C2728,[1]master_data!$A$2:$E$495,5,FALSE)</f>
        <v>Ikan</v>
      </c>
      <c r="L2728" s="5" t="s">
        <v>471</v>
      </c>
    </row>
    <row r="2729" spans="1:12" ht="12" customHeight="1" x14ac:dyDescent="0.25">
      <c r="A2729" s="6">
        <v>44658</v>
      </c>
      <c r="B2729" s="1">
        <v>2201834</v>
      </c>
      <c r="C2729" s="5" t="s">
        <v>405</v>
      </c>
      <c r="D2729" s="5" t="str">
        <f>VLOOKUP(C2729,[1]master_data!$A$2:$E$495,2,FALSE)</f>
        <v>KOMET BOKIM</v>
      </c>
      <c r="E2729" s="5">
        <v>5</v>
      </c>
      <c r="F2729" s="5">
        <f>VLOOKUP(C2729,[1]master_data!$A$2:$E$495,3,FALSE)</f>
        <v>1500</v>
      </c>
      <c r="G2729" s="5">
        <f>VLOOKUP(C2729,[1]master_data!$A$2:$E$495,4,FALSE)</f>
        <v>5000</v>
      </c>
      <c r="H2729" s="5">
        <f t="shared" si="132"/>
        <v>7500</v>
      </c>
      <c r="I2729" s="5">
        <f t="shared" si="133"/>
        <v>25000</v>
      </c>
      <c r="J2729" s="5">
        <f t="shared" si="134"/>
        <v>17500</v>
      </c>
      <c r="K2729" s="5" t="str">
        <f>VLOOKUP(C2729,[1]master_data!$A$2:$E$495,5,FALSE)</f>
        <v>Ikan</v>
      </c>
      <c r="L2729" s="5" t="s">
        <v>471</v>
      </c>
    </row>
    <row r="2730" spans="1:12" ht="12" customHeight="1" x14ac:dyDescent="0.25">
      <c r="A2730" s="6">
        <v>44658</v>
      </c>
      <c r="B2730" s="1">
        <v>2201833</v>
      </c>
      <c r="C2730" s="5" t="s">
        <v>285</v>
      </c>
      <c r="D2730" s="5" t="str">
        <f>VLOOKUP(C2730,[1]master_data!$A$2:$E$495,2,FALSE)</f>
        <v>KAPAS 4 LAPIS</v>
      </c>
      <c r="E2730" s="5">
        <v>1</v>
      </c>
      <c r="F2730" s="5">
        <f>VLOOKUP(C2730,[1]master_data!$A$2:$E$495,3,FALSE)</f>
        <v>6500</v>
      </c>
      <c r="G2730" s="5">
        <f>VLOOKUP(C2730,[1]master_data!$A$2:$E$495,4,FALSE)</f>
        <v>10000</v>
      </c>
      <c r="H2730" s="5">
        <f t="shared" si="132"/>
        <v>6500</v>
      </c>
      <c r="I2730" s="5">
        <f t="shared" si="133"/>
        <v>10000</v>
      </c>
      <c r="J2730" s="5">
        <f t="shared" si="134"/>
        <v>3500</v>
      </c>
      <c r="K2730" s="5" t="str">
        <f>VLOOKUP(C2730,[1]master_data!$A$2:$E$495,5,FALSE)</f>
        <v>Aksesoris</v>
      </c>
      <c r="L2730" s="5" t="s">
        <v>471</v>
      </c>
    </row>
    <row r="2731" spans="1:12" ht="12" customHeight="1" x14ac:dyDescent="0.25">
      <c r="A2731" s="6">
        <v>44658</v>
      </c>
      <c r="B2731" s="1">
        <v>2201832</v>
      </c>
      <c r="C2731" s="5" t="s">
        <v>414</v>
      </c>
      <c r="D2731" s="5" t="str">
        <f>VLOOKUP(C2731,[1]master_data!$A$2:$E$495,2,FALSE)</f>
        <v>KOKI T</v>
      </c>
      <c r="E2731" s="5">
        <v>3</v>
      </c>
      <c r="F2731" s="5">
        <f>VLOOKUP(C2731,[1]master_data!$A$2:$E$495,3,FALSE)</f>
        <v>8000</v>
      </c>
      <c r="G2731" s="5">
        <f>VLOOKUP(C2731,[1]master_data!$A$2:$E$495,4,FALSE)</f>
        <v>15000</v>
      </c>
      <c r="H2731" s="5">
        <f t="shared" si="132"/>
        <v>24000</v>
      </c>
      <c r="I2731" s="5">
        <f t="shared" si="133"/>
        <v>45000</v>
      </c>
      <c r="J2731" s="5">
        <f t="shared" si="134"/>
        <v>21000</v>
      </c>
      <c r="K2731" s="5" t="str">
        <f>VLOOKUP(C2731,[1]master_data!$A$2:$E$495,5,FALSE)</f>
        <v>Ikan</v>
      </c>
      <c r="L2731" s="5" t="s">
        <v>471</v>
      </c>
    </row>
    <row r="2732" spans="1:12" ht="12" customHeight="1" x14ac:dyDescent="0.25">
      <c r="A2732" s="6">
        <v>44658</v>
      </c>
      <c r="B2732" s="1">
        <v>2201831</v>
      </c>
      <c r="C2732" s="5" t="s">
        <v>111</v>
      </c>
      <c r="D2732" s="5" t="str">
        <f>VLOOKUP(C2732,[1]master_data!$A$2:$E$495,2,FALSE)</f>
        <v>AIRATOR ROSTON LUB 1</v>
      </c>
      <c r="E2732" s="5">
        <v>1</v>
      </c>
      <c r="F2732" s="5">
        <f>VLOOKUP(C2732,[1]master_data!$A$2:$E$495,3,FALSE)</f>
        <v>20000</v>
      </c>
      <c r="G2732" s="5">
        <f>VLOOKUP(C2732,[1]master_data!$A$2:$E$495,4,FALSE)</f>
        <v>30000</v>
      </c>
      <c r="H2732" s="5">
        <f t="shared" si="132"/>
        <v>20000</v>
      </c>
      <c r="I2732" s="5">
        <f t="shared" si="133"/>
        <v>30000</v>
      </c>
      <c r="J2732" s="5">
        <f t="shared" si="134"/>
        <v>10000</v>
      </c>
      <c r="K2732" s="5" t="str">
        <f>VLOOKUP(C2732,[1]master_data!$A$2:$E$495,5,FALSE)</f>
        <v>Aksesoris</v>
      </c>
      <c r="L2732" s="5" t="s">
        <v>471</v>
      </c>
    </row>
    <row r="2733" spans="1:12" ht="12" customHeight="1" x14ac:dyDescent="0.25">
      <c r="A2733" s="6">
        <v>44658</v>
      </c>
      <c r="B2733" s="1">
        <v>2201830</v>
      </c>
      <c r="C2733" s="5" t="s">
        <v>313</v>
      </c>
      <c r="D2733" s="5" t="str">
        <f>VLOOKUP(C2733,[1]master_data!$A$2:$E$495,2,FALSE)</f>
        <v>LURUS PIPA</v>
      </c>
      <c r="E2733" s="5">
        <v>20</v>
      </c>
      <c r="F2733" s="5">
        <f>VLOOKUP(C2733,[1]master_data!$A$2:$E$495,3,FALSE)</f>
        <v>800</v>
      </c>
      <c r="G2733" s="5">
        <f>VLOOKUP(C2733,[1]master_data!$A$2:$E$495,4,FALSE)</f>
        <v>2000</v>
      </c>
      <c r="H2733" s="5">
        <f t="shared" si="132"/>
        <v>16000</v>
      </c>
      <c r="I2733" s="5">
        <f t="shared" si="133"/>
        <v>40000</v>
      </c>
      <c r="J2733" s="5">
        <f t="shared" si="134"/>
        <v>24000</v>
      </c>
      <c r="K2733" s="5" t="str">
        <f>VLOOKUP(C2733,[1]master_data!$A$2:$E$495,5,FALSE)</f>
        <v>Aksesoris</v>
      </c>
      <c r="L2733" s="5" t="s">
        <v>471</v>
      </c>
    </row>
    <row r="2734" spans="1:12" ht="12" customHeight="1" x14ac:dyDescent="0.25">
      <c r="A2734" s="6">
        <v>44658</v>
      </c>
      <c r="B2734" s="1">
        <v>2201829</v>
      </c>
      <c r="C2734" s="5" t="s">
        <v>434</v>
      </c>
      <c r="D2734" s="5" t="str">
        <f>VLOOKUP(C2734,[1]master_data!$A$2:$E$495,2,FALSE)</f>
        <v>MOLI PAKAN</v>
      </c>
      <c r="E2734" s="5">
        <v>25</v>
      </c>
      <c r="F2734" s="5">
        <f>VLOOKUP(C2734,[1]master_data!$A$2:$E$495,3,FALSE)</f>
        <v>100</v>
      </c>
      <c r="G2734" s="5">
        <f>VLOOKUP(C2734,[1]master_data!$A$2:$E$495,4,FALSE)</f>
        <v>200</v>
      </c>
      <c r="H2734" s="5">
        <f t="shared" si="132"/>
        <v>2500</v>
      </c>
      <c r="I2734" s="5">
        <f t="shared" si="133"/>
        <v>5000</v>
      </c>
      <c r="J2734" s="5">
        <f t="shared" si="134"/>
        <v>2500</v>
      </c>
      <c r="K2734" s="5" t="str">
        <f>VLOOKUP(C2734,[1]master_data!$A$2:$E$495,5,FALSE)</f>
        <v>Ikan</v>
      </c>
      <c r="L2734" s="5" t="s">
        <v>471</v>
      </c>
    </row>
    <row r="2735" spans="1:12" ht="12" customHeight="1" x14ac:dyDescent="0.25">
      <c r="A2735" s="6">
        <v>44658</v>
      </c>
      <c r="B2735" s="1">
        <v>2201828</v>
      </c>
      <c r="C2735" s="5" t="s">
        <v>415</v>
      </c>
      <c r="D2735" s="5" t="str">
        <f>VLOOKUP(C2735,[1]master_data!$A$2:$E$495,2,FALSE)</f>
        <v>KOKI B</v>
      </c>
      <c r="E2735" s="5">
        <v>2</v>
      </c>
      <c r="F2735" s="5">
        <f>VLOOKUP(C2735,[1]master_data!$A$2:$E$495,3,FALSE)</f>
        <v>20000</v>
      </c>
      <c r="G2735" s="5">
        <f>VLOOKUP(C2735,[1]master_data!$A$2:$E$495,4,FALSE)</f>
        <v>50000</v>
      </c>
      <c r="H2735" s="5">
        <f t="shared" si="132"/>
        <v>40000</v>
      </c>
      <c r="I2735" s="5">
        <f t="shared" si="133"/>
        <v>100000</v>
      </c>
      <c r="J2735" s="5">
        <f t="shared" si="134"/>
        <v>60000</v>
      </c>
      <c r="K2735" s="5" t="str">
        <f>VLOOKUP(C2735,[1]master_data!$A$2:$E$495,5,FALSE)</f>
        <v>Ikan</v>
      </c>
      <c r="L2735" s="5" t="s">
        <v>471</v>
      </c>
    </row>
    <row r="2736" spans="1:12" ht="12" customHeight="1" x14ac:dyDescent="0.25">
      <c r="A2736" s="6">
        <v>44658</v>
      </c>
      <c r="B2736" s="1">
        <v>2201827</v>
      </c>
      <c r="C2736" s="5" t="s">
        <v>455</v>
      </c>
      <c r="D2736" s="5" t="str">
        <f>VLOOKUP(C2736,[1]master_data!$A$2:$E$495,2,FALSE)</f>
        <v>TETRA</v>
      </c>
      <c r="E2736" s="5">
        <v>10</v>
      </c>
      <c r="F2736" s="5">
        <f>VLOOKUP(C2736,[1]master_data!$A$2:$E$495,3,FALSE)</f>
        <v>800</v>
      </c>
      <c r="G2736" s="5">
        <f>VLOOKUP(C2736,[1]master_data!$A$2:$E$495,4,FALSE)</f>
        <v>2000</v>
      </c>
      <c r="H2736" s="5">
        <f t="shared" si="132"/>
        <v>8000</v>
      </c>
      <c r="I2736" s="5">
        <f t="shared" si="133"/>
        <v>20000</v>
      </c>
      <c r="J2736" s="5">
        <f t="shared" si="134"/>
        <v>12000</v>
      </c>
      <c r="K2736" s="5" t="str">
        <f>VLOOKUP(C2736,[1]master_data!$A$2:$E$495,5,FALSE)</f>
        <v>Ikan</v>
      </c>
      <c r="L2736" s="5" t="s">
        <v>471</v>
      </c>
    </row>
    <row r="2737" spans="1:12" ht="12" customHeight="1" x14ac:dyDescent="0.25">
      <c r="A2737" s="6">
        <v>44658</v>
      </c>
      <c r="B2737" s="1">
        <v>2201826</v>
      </c>
      <c r="C2737" s="5" t="s">
        <v>422</v>
      </c>
      <c r="D2737" s="5" t="str">
        <f>VLOOKUP(C2737,[1]master_data!$A$2:$E$495,2,FALSE)</f>
        <v>KOMET SLAYER</v>
      </c>
      <c r="E2737" s="5">
        <v>5</v>
      </c>
      <c r="F2737" s="5">
        <f>VLOOKUP(C2737,[1]master_data!$A$2:$E$495,3,FALSE)</f>
        <v>2000</v>
      </c>
      <c r="G2737" s="5">
        <f>VLOOKUP(C2737,[1]master_data!$A$2:$E$495,4,FALSE)</f>
        <v>5000</v>
      </c>
      <c r="H2737" s="5">
        <f t="shared" si="132"/>
        <v>10000</v>
      </c>
      <c r="I2737" s="5">
        <f t="shared" si="133"/>
        <v>25000</v>
      </c>
      <c r="J2737" s="5">
        <f t="shared" si="134"/>
        <v>15000</v>
      </c>
      <c r="K2737" s="5" t="str">
        <f>VLOOKUP(C2737,[1]master_data!$A$2:$E$495,5,FALSE)</f>
        <v>Ikan</v>
      </c>
      <c r="L2737" s="5" t="s">
        <v>471</v>
      </c>
    </row>
    <row r="2738" spans="1:12" ht="12" customHeight="1" x14ac:dyDescent="0.25">
      <c r="A2738" s="6">
        <v>44658</v>
      </c>
      <c r="B2738" s="1">
        <v>2201825</v>
      </c>
      <c r="C2738" s="5" t="s">
        <v>428</v>
      </c>
      <c r="D2738" s="5" t="str">
        <f>VLOOKUP(C2738,[1]master_data!$A$2:$E$495,2,FALSE)</f>
        <v>LOUHAN</v>
      </c>
      <c r="E2738" s="5">
        <v>1</v>
      </c>
      <c r="F2738" s="5">
        <f>VLOOKUP(C2738,[1]master_data!$A$2:$E$495,3,FALSE)</f>
        <v>85000</v>
      </c>
      <c r="G2738" s="5">
        <f>VLOOKUP(C2738,[1]master_data!$A$2:$E$495,4,FALSE)</f>
        <v>200000</v>
      </c>
      <c r="H2738" s="5">
        <f t="shared" si="132"/>
        <v>85000</v>
      </c>
      <c r="I2738" s="5">
        <f t="shared" si="133"/>
        <v>200000</v>
      </c>
      <c r="J2738" s="5">
        <f t="shared" si="134"/>
        <v>115000</v>
      </c>
      <c r="K2738" s="5" t="str">
        <f>VLOOKUP(C2738,[1]master_data!$A$2:$E$495,5,FALSE)</f>
        <v>Ikan</v>
      </c>
      <c r="L2738" s="5" t="s">
        <v>471</v>
      </c>
    </row>
    <row r="2739" spans="1:12" ht="12" customHeight="1" x14ac:dyDescent="0.25">
      <c r="A2739" s="6">
        <v>44658</v>
      </c>
      <c r="B2739" s="1">
        <v>2201824</v>
      </c>
      <c r="C2739" s="5" t="s">
        <v>445</v>
      </c>
      <c r="D2739" s="5" t="str">
        <f>VLOOKUP(C2739,[1]master_data!$A$2:$E$495,2,FALSE)</f>
        <v>PESO</v>
      </c>
      <c r="E2739" s="5">
        <v>1</v>
      </c>
      <c r="F2739" s="5">
        <f>VLOOKUP(C2739,[1]master_data!$A$2:$E$495,3,FALSE)</f>
        <v>19000</v>
      </c>
      <c r="G2739" s="5">
        <f>VLOOKUP(C2739,[1]master_data!$A$2:$E$495,4,FALSE)</f>
        <v>40000</v>
      </c>
      <c r="H2739" s="5">
        <f t="shared" si="132"/>
        <v>19000</v>
      </c>
      <c r="I2739" s="5">
        <f t="shared" si="133"/>
        <v>40000</v>
      </c>
      <c r="J2739" s="5">
        <f t="shared" si="134"/>
        <v>21000</v>
      </c>
      <c r="K2739" s="5" t="str">
        <f>VLOOKUP(C2739,[1]master_data!$A$2:$E$495,5,FALSE)</f>
        <v>Ikan</v>
      </c>
      <c r="L2739" s="5" t="s">
        <v>471</v>
      </c>
    </row>
    <row r="2740" spans="1:12" ht="12" customHeight="1" x14ac:dyDescent="0.25">
      <c r="A2740" s="6">
        <v>44658</v>
      </c>
      <c r="B2740" s="1">
        <v>2201823</v>
      </c>
      <c r="C2740" s="5" t="s">
        <v>408</v>
      </c>
      <c r="D2740" s="5" t="str">
        <f>VLOOKUP(C2740,[1]master_data!$A$2:$E$495,2,FALSE)</f>
        <v>CATFISH</v>
      </c>
      <c r="E2740" s="5">
        <v>1</v>
      </c>
      <c r="F2740" s="5">
        <f>VLOOKUP(C2740,[1]master_data!$A$2:$E$495,3,FALSE)</f>
        <v>20000</v>
      </c>
      <c r="G2740" s="5">
        <f>VLOOKUP(C2740,[1]master_data!$A$2:$E$495,4,FALSE)</f>
        <v>50000</v>
      </c>
      <c r="H2740" s="5">
        <f t="shared" si="132"/>
        <v>20000</v>
      </c>
      <c r="I2740" s="5">
        <f t="shared" si="133"/>
        <v>50000</v>
      </c>
      <c r="J2740" s="5">
        <f t="shared" si="134"/>
        <v>30000</v>
      </c>
      <c r="K2740" s="5" t="str">
        <f>VLOOKUP(C2740,[1]master_data!$A$2:$E$495,5,FALSE)</f>
        <v>Ikan</v>
      </c>
      <c r="L2740" s="5" t="s">
        <v>471</v>
      </c>
    </row>
    <row r="2741" spans="1:12" ht="12" customHeight="1" x14ac:dyDescent="0.25">
      <c r="A2741" s="6">
        <v>44658</v>
      </c>
      <c r="B2741" s="1">
        <v>2201822</v>
      </c>
      <c r="C2741" s="5" t="s">
        <v>433</v>
      </c>
      <c r="D2741" s="5" t="str">
        <f>VLOOKUP(C2741,[1]master_data!$A$2:$E$495,2,FALSE)</f>
        <v>MARU B</v>
      </c>
      <c r="E2741" s="5">
        <v>1</v>
      </c>
      <c r="F2741" s="5">
        <f>VLOOKUP(C2741,[1]master_data!$A$2:$E$495,3,FALSE)</f>
        <v>90000</v>
      </c>
      <c r="G2741" s="5">
        <f>VLOOKUP(C2741,[1]master_data!$A$2:$E$495,4,FALSE)</f>
        <v>150000</v>
      </c>
      <c r="H2741" s="5">
        <f t="shared" si="132"/>
        <v>90000</v>
      </c>
      <c r="I2741" s="5">
        <f t="shared" si="133"/>
        <v>150000</v>
      </c>
      <c r="J2741" s="5">
        <f t="shared" si="134"/>
        <v>60000</v>
      </c>
      <c r="K2741" s="5" t="str">
        <f>VLOOKUP(C2741,[1]master_data!$A$2:$E$495,5,FALSE)</f>
        <v>Ikan</v>
      </c>
      <c r="L2741" s="5" t="s">
        <v>471</v>
      </c>
    </row>
    <row r="2742" spans="1:12" ht="12" customHeight="1" x14ac:dyDescent="0.25">
      <c r="A2742" s="6">
        <v>44658</v>
      </c>
      <c r="B2742" s="1">
        <v>2201821</v>
      </c>
      <c r="C2742" s="5" t="s">
        <v>111</v>
      </c>
      <c r="D2742" s="5" t="str">
        <f>VLOOKUP(C2742,[1]master_data!$A$2:$E$495,2,FALSE)</f>
        <v>AIRATOR ROSTON LUB 1</v>
      </c>
      <c r="E2742" s="5">
        <v>1</v>
      </c>
      <c r="F2742" s="5">
        <f>VLOOKUP(C2742,[1]master_data!$A$2:$E$495,3,FALSE)</f>
        <v>20000</v>
      </c>
      <c r="G2742" s="5">
        <f>VLOOKUP(C2742,[1]master_data!$A$2:$E$495,4,FALSE)</f>
        <v>30000</v>
      </c>
      <c r="H2742" s="5">
        <f t="shared" si="132"/>
        <v>20000</v>
      </c>
      <c r="I2742" s="5">
        <f t="shared" si="133"/>
        <v>30000</v>
      </c>
      <c r="J2742" s="5">
        <f t="shared" si="134"/>
        <v>10000</v>
      </c>
      <c r="K2742" s="5" t="str">
        <f>VLOOKUP(C2742,[1]master_data!$A$2:$E$495,5,FALSE)</f>
        <v>Aksesoris</v>
      </c>
      <c r="L2742" s="5" t="s">
        <v>471</v>
      </c>
    </row>
    <row r="2743" spans="1:12" ht="12" customHeight="1" x14ac:dyDescent="0.25">
      <c r="A2743" s="6">
        <v>44658</v>
      </c>
      <c r="B2743" s="1">
        <v>2201820</v>
      </c>
      <c r="C2743" s="5" t="s">
        <v>398</v>
      </c>
      <c r="D2743" s="5" t="str">
        <f>VLOOKUP(C2743,[1]master_data!$A$2:$E$495,2,FALSE)</f>
        <v>BIPOLAR</v>
      </c>
      <c r="E2743" s="5">
        <v>5</v>
      </c>
      <c r="F2743" s="5">
        <f>VLOOKUP(C2743,[1]master_data!$A$2:$E$495,3,FALSE)</f>
        <v>1000</v>
      </c>
      <c r="G2743" s="5">
        <f>VLOOKUP(C2743,[1]master_data!$A$2:$E$495,4,FALSE)</f>
        <v>2500</v>
      </c>
      <c r="H2743" s="5">
        <f t="shared" si="132"/>
        <v>5000</v>
      </c>
      <c r="I2743" s="5">
        <f t="shared" si="133"/>
        <v>12500</v>
      </c>
      <c r="J2743" s="5">
        <f t="shared" si="134"/>
        <v>7500</v>
      </c>
      <c r="K2743" s="5" t="str">
        <f>VLOOKUP(C2743,[1]master_data!$A$2:$E$495,5,FALSE)</f>
        <v>Ikan</v>
      </c>
      <c r="L2743" s="5" t="s">
        <v>471</v>
      </c>
    </row>
    <row r="2744" spans="1:12" ht="12" customHeight="1" x14ac:dyDescent="0.25">
      <c r="A2744" s="6">
        <v>44658</v>
      </c>
      <c r="B2744" s="1">
        <v>2201819</v>
      </c>
      <c r="C2744" s="5" t="s">
        <v>423</v>
      </c>
      <c r="D2744" s="5" t="str">
        <f>VLOOKUP(C2744,[1]master_data!$A$2:$E$495,2,FALSE)</f>
        <v>KOI SLAYER K</v>
      </c>
      <c r="E2744" s="5">
        <v>5</v>
      </c>
      <c r="F2744" s="5">
        <f>VLOOKUP(C2744,[1]master_data!$A$2:$E$495,3,FALSE)</f>
        <v>3500</v>
      </c>
      <c r="G2744" s="5">
        <f>VLOOKUP(C2744,[1]master_data!$A$2:$E$495,4,FALSE)</f>
        <v>10000</v>
      </c>
      <c r="H2744" s="5">
        <f t="shared" si="132"/>
        <v>17500</v>
      </c>
      <c r="I2744" s="5">
        <f t="shared" si="133"/>
        <v>50000</v>
      </c>
      <c r="J2744" s="5">
        <f t="shared" si="134"/>
        <v>32500</v>
      </c>
      <c r="K2744" s="5" t="str">
        <f>VLOOKUP(C2744,[1]master_data!$A$2:$E$495,5,FALSE)</f>
        <v>Ikan</v>
      </c>
      <c r="L2744" s="5" t="s">
        <v>471</v>
      </c>
    </row>
    <row r="2745" spans="1:12" ht="12" customHeight="1" x14ac:dyDescent="0.25">
      <c r="A2745" s="6">
        <v>44658</v>
      </c>
      <c r="B2745" s="1">
        <v>2201818</v>
      </c>
      <c r="C2745" s="5" t="s">
        <v>431</v>
      </c>
      <c r="D2745" s="5" t="str">
        <f>VLOOKUP(C2745,[1]master_data!$A$2:$E$495,2,FALSE)</f>
        <v>MANFISH B</v>
      </c>
      <c r="E2745" s="5">
        <v>2</v>
      </c>
      <c r="F2745" s="5">
        <f>VLOOKUP(C2745,[1]master_data!$A$2:$E$495,3,FALSE)</f>
        <v>4000</v>
      </c>
      <c r="G2745" s="5">
        <f>VLOOKUP(C2745,[1]master_data!$A$2:$E$495,4,FALSE)</f>
        <v>10000</v>
      </c>
      <c r="H2745" s="5">
        <f t="shared" si="132"/>
        <v>8000</v>
      </c>
      <c r="I2745" s="5">
        <f t="shared" si="133"/>
        <v>20000</v>
      </c>
      <c r="J2745" s="5">
        <f t="shared" si="134"/>
        <v>12000</v>
      </c>
      <c r="K2745" s="5" t="str">
        <f>VLOOKUP(C2745,[1]master_data!$A$2:$E$495,5,FALSE)</f>
        <v>Ikan</v>
      </c>
      <c r="L2745" s="5" t="s">
        <v>471</v>
      </c>
    </row>
    <row r="2746" spans="1:12" ht="12" customHeight="1" x14ac:dyDescent="0.25">
      <c r="A2746" s="6">
        <v>44658</v>
      </c>
      <c r="B2746" s="1">
        <v>2201817</v>
      </c>
      <c r="C2746" s="5" t="s">
        <v>451</v>
      </c>
      <c r="D2746" s="5" t="str">
        <f>VLOOKUP(C2746,[1]master_data!$A$2:$E$495,2,FALSE)</f>
        <v>SUMATRA GOLD FISH</v>
      </c>
      <c r="E2746" s="5">
        <v>5</v>
      </c>
      <c r="F2746" s="5">
        <f>VLOOKUP(C2746,[1]master_data!$A$2:$E$495,3,FALSE)</f>
        <v>2500</v>
      </c>
      <c r="G2746" s="5">
        <f>VLOOKUP(C2746,[1]master_data!$A$2:$E$495,4,FALSE)</f>
        <v>4000</v>
      </c>
      <c r="H2746" s="5">
        <f t="shared" si="132"/>
        <v>12500</v>
      </c>
      <c r="I2746" s="5">
        <f t="shared" si="133"/>
        <v>20000</v>
      </c>
      <c r="J2746" s="5">
        <f t="shared" si="134"/>
        <v>7500</v>
      </c>
      <c r="K2746" s="5" t="str">
        <f>VLOOKUP(C2746,[1]master_data!$A$2:$E$495,5,FALSE)</f>
        <v>Ikan</v>
      </c>
      <c r="L2746" s="5" t="s">
        <v>471</v>
      </c>
    </row>
    <row r="2747" spans="1:12" ht="12" customHeight="1" x14ac:dyDescent="0.25">
      <c r="A2747" s="6">
        <v>44657</v>
      </c>
      <c r="B2747" s="1">
        <v>2201816</v>
      </c>
      <c r="C2747" s="5" t="s">
        <v>411</v>
      </c>
      <c r="D2747" s="5" t="str">
        <f>VLOOKUP(C2747,[1]master_data!$A$2:$E$495,2,FALSE)</f>
        <v>GOLDEN BLACK</v>
      </c>
      <c r="E2747" s="5">
        <v>5</v>
      </c>
      <c r="F2747" s="5">
        <f>VLOOKUP(C2747,[1]master_data!$A$2:$E$495,3,FALSE)</f>
        <v>800</v>
      </c>
      <c r="G2747" s="5">
        <f>VLOOKUP(C2747,[1]master_data!$A$2:$E$495,4,FALSE)</f>
        <v>2000</v>
      </c>
      <c r="H2747" s="5">
        <f t="shared" si="132"/>
        <v>4000</v>
      </c>
      <c r="I2747" s="5">
        <f t="shared" si="133"/>
        <v>10000</v>
      </c>
      <c r="J2747" s="5">
        <f t="shared" si="134"/>
        <v>6000</v>
      </c>
      <c r="K2747" s="5" t="str">
        <f>VLOOKUP(C2747,[1]master_data!$A$2:$E$495,5,FALSE)</f>
        <v>Ikan</v>
      </c>
      <c r="L2747" s="5" t="s">
        <v>471</v>
      </c>
    </row>
    <row r="2748" spans="1:12" ht="12" customHeight="1" x14ac:dyDescent="0.25">
      <c r="A2748" s="6">
        <v>44657</v>
      </c>
      <c r="B2748" s="1">
        <v>2201815</v>
      </c>
      <c r="C2748" s="5" t="s">
        <v>455</v>
      </c>
      <c r="D2748" s="5" t="str">
        <f>VLOOKUP(C2748,[1]master_data!$A$2:$E$495,2,FALSE)</f>
        <v>TETRA</v>
      </c>
      <c r="E2748" s="5">
        <v>10</v>
      </c>
      <c r="F2748" s="5">
        <f>VLOOKUP(C2748,[1]master_data!$A$2:$E$495,3,FALSE)</f>
        <v>800</v>
      </c>
      <c r="G2748" s="5">
        <f>VLOOKUP(C2748,[1]master_data!$A$2:$E$495,4,FALSE)</f>
        <v>2000</v>
      </c>
      <c r="H2748" s="5">
        <f t="shared" si="132"/>
        <v>8000</v>
      </c>
      <c r="I2748" s="5">
        <f t="shared" si="133"/>
        <v>20000</v>
      </c>
      <c r="J2748" s="5">
        <f t="shared" si="134"/>
        <v>12000</v>
      </c>
      <c r="K2748" s="5" t="str">
        <f>VLOOKUP(C2748,[1]master_data!$A$2:$E$495,5,FALSE)</f>
        <v>Ikan</v>
      </c>
      <c r="L2748" s="5" t="s">
        <v>471</v>
      </c>
    </row>
    <row r="2749" spans="1:12" ht="12" customHeight="1" x14ac:dyDescent="0.25">
      <c r="A2749" s="6">
        <v>44657</v>
      </c>
      <c r="B2749" s="1">
        <v>2201814</v>
      </c>
      <c r="C2749" s="5" t="s">
        <v>409</v>
      </c>
      <c r="D2749" s="5" t="str">
        <f>VLOOKUP(C2749,[1]master_data!$A$2:$E$495,2,FALSE)</f>
        <v>GOLD FISH</v>
      </c>
      <c r="E2749" s="5">
        <v>15</v>
      </c>
      <c r="F2749" s="5">
        <f>VLOOKUP(C2749,[1]master_data!$A$2:$E$495,3,FALSE)</f>
        <v>800</v>
      </c>
      <c r="G2749" s="5">
        <f>VLOOKUP(C2749,[1]master_data!$A$2:$E$495,4,FALSE)</f>
        <v>2000</v>
      </c>
      <c r="H2749" s="5">
        <f t="shared" si="132"/>
        <v>12000</v>
      </c>
      <c r="I2749" s="5">
        <f t="shared" si="133"/>
        <v>30000</v>
      </c>
      <c r="J2749" s="5">
        <f t="shared" si="134"/>
        <v>18000</v>
      </c>
      <c r="K2749" s="5" t="str">
        <f>VLOOKUP(C2749,[1]master_data!$A$2:$E$495,5,FALSE)</f>
        <v>Ikan</v>
      </c>
      <c r="L2749" s="5" t="s">
        <v>471</v>
      </c>
    </row>
    <row r="2750" spans="1:12" ht="12" customHeight="1" x14ac:dyDescent="0.25">
      <c r="A2750" s="6">
        <v>44657</v>
      </c>
      <c r="B2750" s="1">
        <v>2201813</v>
      </c>
      <c r="C2750" s="5" t="s">
        <v>392</v>
      </c>
      <c r="D2750" s="5" t="str">
        <f>VLOOKUP(C2750,[1]master_data!$A$2:$E$495,2,FALSE)</f>
        <v>CHANNA ASIATICA B</v>
      </c>
      <c r="E2750" s="5">
        <v>1</v>
      </c>
      <c r="F2750" s="5">
        <f>VLOOKUP(C2750,[1]master_data!$A$2:$E$495,3,FALSE)</f>
        <v>40000</v>
      </c>
      <c r="G2750" s="5">
        <f>VLOOKUP(C2750,[1]master_data!$A$2:$E$495,4,FALSE)</f>
        <v>100000</v>
      </c>
      <c r="H2750" s="5">
        <f t="shared" si="132"/>
        <v>40000</v>
      </c>
      <c r="I2750" s="5">
        <f t="shared" si="133"/>
        <v>100000</v>
      </c>
      <c r="J2750" s="5">
        <f t="shared" si="134"/>
        <v>60000</v>
      </c>
      <c r="K2750" s="5" t="str">
        <f>VLOOKUP(C2750,[1]master_data!$A$2:$E$495,5,FALSE)</f>
        <v>Ikan</v>
      </c>
      <c r="L2750" s="5" t="s">
        <v>471</v>
      </c>
    </row>
    <row r="2751" spans="1:12" ht="12" customHeight="1" x14ac:dyDescent="0.25">
      <c r="A2751" s="6">
        <v>44657</v>
      </c>
      <c r="B2751" s="1">
        <v>2201812</v>
      </c>
      <c r="C2751" s="5" t="s">
        <v>446</v>
      </c>
      <c r="D2751" s="5" t="str">
        <f>VLOOKUP(C2751,[1]master_data!$A$2:$E$495,2,FALSE)</f>
        <v>REDFIN HITAM</v>
      </c>
      <c r="E2751" s="5">
        <v>2</v>
      </c>
      <c r="F2751" s="5">
        <f>VLOOKUP(C2751,[1]master_data!$A$2:$E$495,3,FALSE)</f>
        <v>1500</v>
      </c>
      <c r="G2751" s="5">
        <f>VLOOKUP(C2751,[1]master_data!$A$2:$E$495,4,FALSE)</f>
        <v>4000</v>
      </c>
      <c r="H2751" s="5">
        <f t="shared" si="132"/>
        <v>3000</v>
      </c>
      <c r="I2751" s="5">
        <f t="shared" si="133"/>
        <v>8000</v>
      </c>
      <c r="J2751" s="5">
        <f t="shared" si="134"/>
        <v>5000</v>
      </c>
      <c r="K2751" s="5" t="str">
        <f>VLOOKUP(C2751,[1]master_data!$A$2:$E$495,5,FALSE)</f>
        <v>Ikan</v>
      </c>
      <c r="L2751" s="5" t="s">
        <v>471</v>
      </c>
    </row>
    <row r="2752" spans="1:12" ht="12" customHeight="1" x14ac:dyDescent="0.25">
      <c r="A2752" s="6">
        <v>44657</v>
      </c>
      <c r="B2752" s="1">
        <v>2201811</v>
      </c>
      <c r="C2752" s="5" t="s">
        <v>257</v>
      </c>
      <c r="D2752" s="5" t="str">
        <f>VLOOKUP(C2752,[1]master_data!$A$2:$E$495,2,FALSE)</f>
        <v>BILTS K</v>
      </c>
      <c r="E2752" s="5">
        <v>1</v>
      </c>
      <c r="F2752" s="5">
        <f>VLOOKUP(C2752,[1]master_data!$A$2:$E$495,3,FALSE)</f>
        <v>5000</v>
      </c>
      <c r="G2752" s="5">
        <f>VLOOKUP(C2752,[1]master_data!$A$2:$E$495,4,FALSE)</f>
        <v>7000</v>
      </c>
      <c r="H2752" s="5">
        <f t="shared" si="132"/>
        <v>5000</v>
      </c>
      <c r="I2752" s="5">
        <f t="shared" si="133"/>
        <v>7000</v>
      </c>
      <c r="J2752" s="5">
        <f t="shared" si="134"/>
        <v>2000</v>
      </c>
      <c r="K2752" s="5" t="str">
        <f>VLOOKUP(C2752,[1]master_data!$A$2:$E$495,5,FALSE)</f>
        <v>Aksesoris</v>
      </c>
      <c r="L2752" s="5" t="s">
        <v>471</v>
      </c>
    </row>
    <row r="2753" spans="1:12" ht="12" customHeight="1" x14ac:dyDescent="0.25">
      <c r="A2753" s="6">
        <v>44657</v>
      </c>
      <c r="B2753" s="1">
        <v>2201810</v>
      </c>
      <c r="C2753" s="5" t="s">
        <v>451</v>
      </c>
      <c r="D2753" s="5" t="str">
        <f>VLOOKUP(C2753,[1]master_data!$A$2:$E$495,2,FALSE)</f>
        <v>SUMATRA GOLD FISH</v>
      </c>
      <c r="E2753" s="5">
        <v>4</v>
      </c>
      <c r="F2753" s="5">
        <f>VLOOKUP(C2753,[1]master_data!$A$2:$E$495,3,FALSE)</f>
        <v>2500</v>
      </c>
      <c r="G2753" s="5">
        <f>VLOOKUP(C2753,[1]master_data!$A$2:$E$495,4,FALSE)</f>
        <v>4000</v>
      </c>
      <c r="H2753" s="5">
        <f t="shared" si="132"/>
        <v>10000</v>
      </c>
      <c r="I2753" s="5">
        <f t="shared" si="133"/>
        <v>16000</v>
      </c>
      <c r="J2753" s="5">
        <f t="shared" si="134"/>
        <v>6000</v>
      </c>
      <c r="K2753" s="5" t="str">
        <f>VLOOKUP(C2753,[1]master_data!$A$2:$E$495,5,FALSE)</f>
        <v>Ikan</v>
      </c>
      <c r="L2753" s="5" t="s">
        <v>471</v>
      </c>
    </row>
    <row r="2754" spans="1:12" ht="12" customHeight="1" x14ac:dyDescent="0.25">
      <c r="A2754" s="6">
        <v>44657</v>
      </c>
      <c r="B2754" s="1">
        <v>2201809</v>
      </c>
      <c r="C2754" s="5" t="s">
        <v>333</v>
      </c>
      <c r="D2754" s="5" t="str">
        <f>VLOOKUP(C2754,[1]master_data!$A$2:$E$495,2,FALSE)</f>
        <v>KAPAS 2 LAPIS</v>
      </c>
      <c r="E2754" s="5">
        <v>1</v>
      </c>
      <c r="F2754" s="5">
        <f>VLOOKUP(C2754,[1]master_data!$A$2:$E$495,3,FALSE)</f>
        <v>2000</v>
      </c>
      <c r="G2754" s="5">
        <f>VLOOKUP(C2754,[1]master_data!$A$2:$E$495,4,FALSE)</f>
        <v>4000</v>
      </c>
      <c r="H2754" s="5">
        <f t="shared" si="132"/>
        <v>2000</v>
      </c>
      <c r="I2754" s="5">
        <f t="shared" si="133"/>
        <v>4000</v>
      </c>
      <c r="J2754" s="5">
        <f t="shared" si="134"/>
        <v>2000</v>
      </c>
      <c r="K2754" s="5" t="str">
        <f>VLOOKUP(C2754,[1]master_data!$A$2:$E$495,5,FALSE)</f>
        <v>Aksesoris</v>
      </c>
      <c r="L2754" s="5" t="s">
        <v>471</v>
      </c>
    </row>
    <row r="2755" spans="1:12" ht="12" customHeight="1" x14ac:dyDescent="0.25">
      <c r="A2755" s="6">
        <v>44657</v>
      </c>
      <c r="B2755" s="1">
        <v>2201808</v>
      </c>
      <c r="C2755" s="5" t="s">
        <v>261</v>
      </c>
      <c r="D2755" s="5" t="str">
        <f>VLOOKUP(C2755,[1]master_data!$A$2:$E$495,2,FALSE)</f>
        <v>BONSAI</v>
      </c>
      <c r="E2755" s="5">
        <v>1</v>
      </c>
      <c r="F2755" s="5">
        <f>VLOOKUP(C2755,[1]master_data!$A$2:$E$495,3,FALSE)</f>
        <v>15000</v>
      </c>
      <c r="G2755" s="5">
        <f>VLOOKUP(C2755,[1]master_data!$A$2:$E$495,4,FALSE)</f>
        <v>20000</v>
      </c>
      <c r="H2755" s="5">
        <f t="shared" si="132"/>
        <v>15000</v>
      </c>
      <c r="I2755" s="5">
        <f t="shared" si="133"/>
        <v>20000</v>
      </c>
      <c r="J2755" s="5">
        <f t="shared" si="134"/>
        <v>5000</v>
      </c>
      <c r="K2755" s="5" t="str">
        <f>VLOOKUP(C2755,[1]master_data!$A$2:$E$495,5,FALSE)</f>
        <v>Aksesoris</v>
      </c>
      <c r="L2755" s="5" t="s">
        <v>471</v>
      </c>
    </row>
    <row r="2756" spans="1:12" ht="12" customHeight="1" x14ac:dyDescent="0.25">
      <c r="A2756" s="6">
        <v>44657</v>
      </c>
      <c r="B2756" s="1">
        <v>2201807</v>
      </c>
      <c r="C2756" s="5" t="s">
        <v>397</v>
      </c>
      <c r="D2756" s="5" t="str">
        <f>VLOOKUP(C2756,[1]master_data!$A$2:$E$495,2,FALSE)</f>
        <v>ALIGATOR</v>
      </c>
      <c r="E2756" s="5">
        <v>1</v>
      </c>
      <c r="F2756" s="5">
        <f>VLOOKUP(C2756,[1]master_data!$A$2:$E$495,3,FALSE)</f>
        <v>17000</v>
      </c>
      <c r="G2756" s="5">
        <f>VLOOKUP(C2756,[1]master_data!$A$2:$E$495,4,FALSE)</f>
        <v>35000</v>
      </c>
      <c r="H2756" s="5">
        <f t="shared" si="132"/>
        <v>17000</v>
      </c>
      <c r="I2756" s="5">
        <f t="shared" si="133"/>
        <v>35000</v>
      </c>
      <c r="J2756" s="5">
        <f t="shared" si="134"/>
        <v>18000</v>
      </c>
      <c r="K2756" s="5" t="str">
        <f>VLOOKUP(C2756,[1]master_data!$A$2:$E$495,5,FALSE)</f>
        <v>Ikan</v>
      </c>
      <c r="L2756" s="5" t="s">
        <v>471</v>
      </c>
    </row>
    <row r="2757" spans="1:12" ht="12" customHeight="1" x14ac:dyDescent="0.25">
      <c r="A2757" s="6">
        <v>44657</v>
      </c>
      <c r="B2757" s="1">
        <v>2201806</v>
      </c>
      <c r="C2757" s="5" t="s">
        <v>288</v>
      </c>
      <c r="D2757" s="5" t="str">
        <f>VLOOKUP(C2757,[1]master_data!$A$2:$E$495,2,FALSE)</f>
        <v>JARING 8</v>
      </c>
      <c r="E2757" s="5">
        <v>1</v>
      </c>
      <c r="F2757" s="5">
        <f>VLOOKUP(C2757,[1]master_data!$A$2:$E$495,3,FALSE)</f>
        <v>3000</v>
      </c>
      <c r="G2757" s="5">
        <f>VLOOKUP(C2757,[1]master_data!$A$2:$E$495,4,FALSE)</f>
        <v>5000</v>
      </c>
      <c r="H2757" s="5">
        <f t="shared" ref="H2757:H2820" si="135">E2757*F2757</f>
        <v>3000</v>
      </c>
      <c r="I2757" s="5">
        <f t="shared" ref="I2757:I2820" si="136">E2757*G2757</f>
        <v>5000</v>
      </c>
      <c r="J2757" s="5">
        <f t="shared" ref="J2757:J2820" si="137">I2757-H2757</f>
        <v>2000</v>
      </c>
      <c r="K2757" s="5" t="str">
        <f>VLOOKUP(C2757,[1]master_data!$A$2:$E$495,5,FALSE)</f>
        <v>Aksesoris</v>
      </c>
      <c r="L2757" s="5" t="s">
        <v>471</v>
      </c>
    </row>
    <row r="2758" spans="1:12" ht="12" customHeight="1" x14ac:dyDescent="0.25">
      <c r="A2758" s="6">
        <v>44657</v>
      </c>
      <c r="B2758" s="1">
        <v>2201805</v>
      </c>
      <c r="C2758" s="5" t="s">
        <v>457</v>
      </c>
      <c r="D2758" s="5" t="str">
        <f>VLOOKUP(C2758,[1]master_data!$A$2:$E$495,2,FALSE)</f>
        <v>ZEBRA PINK</v>
      </c>
      <c r="E2758" s="5">
        <v>10</v>
      </c>
      <c r="F2758" s="5">
        <f>VLOOKUP(C2758,[1]master_data!$A$2:$E$495,3,FALSE)</f>
        <v>800</v>
      </c>
      <c r="G2758" s="5">
        <f>VLOOKUP(C2758,[1]master_data!$A$2:$E$495,4,FALSE)</f>
        <v>2000</v>
      </c>
      <c r="H2758" s="5">
        <f t="shared" si="135"/>
        <v>8000</v>
      </c>
      <c r="I2758" s="5">
        <f t="shared" si="136"/>
        <v>20000</v>
      </c>
      <c r="J2758" s="5">
        <f t="shared" si="137"/>
        <v>12000</v>
      </c>
      <c r="K2758" s="5" t="str">
        <f>VLOOKUP(C2758,[1]master_data!$A$2:$E$495,5,FALSE)</f>
        <v>Ikan</v>
      </c>
      <c r="L2758" s="5" t="s">
        <v>471</v>
      </c>
    </row>
    <row r="2759" spans="1:12" ht="12" customHeight="1" x14ac:dyDescent="0.25">
      <c r="A2759" s="6">
        <v>44657</v>
      </c>
      <c r="B2759" s="1">
        <v>2201804</v>
      </c>
      <c r="C2759" s="5" t="s">
        <v>402</v>
      </c>
      <c r="D2759" s="5" t="str">
        <f>VLOOKUP(C2759,[1]master_data!$A$2:$E$495,2,FALSE)</f>
        <v>BLACK GHOST</v>
      </c>
      <c r="E2759" s="5">
        <v>2</v>
      </c>
      <c r="F2759" s="5">
        <f>VLOOKUP(C2759,[1]master_data!$A$2:$E$495,3,FALSE)</f>
        <v>4000</v>
      </c>
      <c r="G2759" s="5">
        <f>VLOOKUP(C2759,[1]master_data!$A$2:$E$495,4,FALSE)</f>
        <v>10000</v>
      </c>
      <c r="H2759" s="5">
        <f t="shared" si="135"/>
        <v>8000</v>
      </c>
      <c r="I2759" s="5">
        <f t="shared" si="136"/>
        <v>20000</v>
      </c>
      <c r="J2759" s="5">
        <f t="shared" si="137"/>
        <v>12000</v>
      </c>
      <c r="K2759" s="5" t="str">
        <f>VLOOKUP(C2759,[1]master_data!$A$2:$E$495,5,FALSE)</f>
        <v>Ikan</v>
      </c>
      <c r="L2759" s="5" t="s">
        <v>471</v>
      </c>
    </row>
    <row r="2760" spans="1:12" ht="12" customHeight="1" x14ac:dyDescent="0.25">
      <c r="A2760" s="6">
        <v>44657</v>
      </c>
      <c r="B2760" s="1">
        <v>2201803</v>
      </c>
      <c r="C2760" s="5" t="s">
        <v>438</v>
      </c>
      <c r="D2760" s="5" t="str">
        <f>VLOOKUP(C2760,[1]master_data!$A$2:$E$495,2,FALSE)</f>
        <v>NENTINEN</v>
      </c>
      <c r="E2760" s="5">
        <v>5</v>
      </c>
      <c r="F2760" s="5">
        <f>VLOOKUP(C2760,[1]master_data!$A$2:$E$495,3,FALSE)</f>
        <v>1000</v>
      </c>
      <c r="G2760" s="5">
        <f>VLOOKUP(C2760,[1]master_data!$A$2:$E$495,4,FALSE)</f>
        <v>2500</v>
      </c>
      <c r="H2760" s="5">
        <f t="shared" si="135"/>
        <v>5000</v>
      </c>
      <c r="I2760" s="5">
        <f t="shared" si="136"/>
        <v>12500</v>
      </c>
      <c r="J2760" s="5">
        <f t="shared" si="137"/>
        <v>7500</v>
      </c>
      <c r="K2760" s="5" t="str">
        <f>VLOOKUP(C2760,[1]master_data!$A$2:$E$495,5,FALSE)</f>
        <v>Ikan</v>
      </c>
      <c r="L2760" s="5" t="s">
        <v>471</v>
      </c>
    </row>
    <row r="2761" spans="1:12" ht="12" customHeight="1" x14ac:dyDescent="0.25">
      <c r="A2761" s="6">
        <v>44657</v>
      </c>
      <c r="B2761" s="1">
        <v>2201802</v>
      </c>
      <c r="C2761" s="5" t="s">
        <v>463</v>
      </c>
      <c r="D2761" s="5" t="str">
        <f>VLOOKUP(C2761,[1]master_data!$A$2:$E$495,2,FALSE)</f>
        <v>CHANNA STEWARTI</v>
      </c>
      <c r="E2761" s="5">
        <v>2</v>
      </c>
      <c r="F2761" s="5">
        <f>VLOOKUP(C2761,[1]master_data!$A$2:$E$495,3,FALSE)</f>
        <v>15000</v>
      </c>
      <c r="G2761" s="5">
        <f>VLOOKUP(C2761,[1]master_data!$A$2:$E$495,4,FALSE)</f>
        <v>40000</v>
      </c>
      <c r="H2761" s="5">
        <f t="shared" si="135"/>
        <v>30000</v>
      </c>
      <c r="I2761" s="5">
        <f t="shared" si="136"/>
        <v>80000</v>
      </c>
      <c r="J2761" s="5">
        <f t="shared" si="137"/>
        <v>50000</v>
      </c>
      <c r="K2761" s="5" t="str">
        <f>VLOOKUP(C2761,[1]master_data!$A$2:$E$495,5,FALSE)</f>
        <v>Ikan</v>
      </c>
      <c r="L2761" s="5" t="s">
        <v>471</v>
      </c>
    </row>
    <row r="2762" spans="1:12" ht="12" customHeight="1" x14ac:dyDescent="0.25">
      <c r="A2762" s="6">
        <v>44657</v>
      </c>
      <c r="B2762" s="1">
        <v>2201801</v>
      </c>
      <c r="C2762" s="5" t="s">
        <v>425</v>
      </c>
      <c r="D2762" s="5" t="str">
        <f>VLOOKUP(C2762,[1]master_data!$A$2:$E$495,2,FALSE)</f>
        <v>CAROLINE</v>
      </c>
      <c r="E2762" s="5">
        <v>5</v>
      </c>
      <c r="F2762" s="5">
        <f>VLOOKUP(C2762,[1]master_data!$A$2:$E$495,3,FALSE)</f>
        <v>900</v>
      </c>
      <c r="G2762" s="5">
        <f>VLOOKUP(C2762,[1]master_data!$A$2:$E$495,4,FALSE)</f>
        <v>2000</v>
      </c>
      <c r="H2762" s="5">
        <f t="shared" si="135"/>
        <v>4500</v>
      </c>
      <c r="I2762" s="5">
        <f t="shared" si="136"/>
        <v>10000</v>
      </c>
      <c r="J2762" s="5">
        <f t="shared" si="137"/>
        <v>5500</v>
      </c>
      <c r="K2762" s="5" t="str">
        <f>VLOOKUP(C2762,[1]master_data!$A$2:$E$495,5,FALSE)</f>
        <v>Ikan</v>
      </c>
      <c r="L2762" s="5" t="s">
        <v>471</v>
      </c>
    </row>
    <row r="2763" spans="1:12" ht="12" customHeight="1" x14ac:dyDescent="0.25">
      <c r="A2763" s="6">
        <v>44657</v>
      </c>
      <c r="B2763" s="1">
        <v>2201800</v>
      </c>
      <c r="C2763" s="5" t="s">
        <v>443</v>
      </c>
      <c r="D2763" s="5" t="str">
        <f>VLOOKUP(C2763,[1]master_data!$A$2:$E$495,2,FALSE)</f>
        <v>PALMAS</v>
      </c>
      <c r="E2763" s="5">
        <v>2</v>
      </c>
      <c r="F2763" s="5">
        <f>VLOOKUP(C2763,[1]master_data!$A$2:$E$495,3,FALSE)</f>
        <v>10000</v>
      </c>
      <c r="G2763" s="5">
        <f>VLOOKUP(C2763,[1]master_data!$A$2:$E$495,4,FALSE)</f>
        <v>25000</v>
      </c>
      <c r="H2763" s="5">
        <f t="shared" si="135"/>
        <v>20000</v>
      </c>
      <c r="I2763" s="5">
        <f t="shared" si="136"/>
        <v>50000</v>
      </c>
      <c r="J2763" s="5">
        <f t="shared" si="137"/>
        <v>30000</v>
      </c>
      <c r="K2763" s="5" t="str">
        <f>VLOOKUP(C2763,[1]master_data!$A$2:$E$495,5,FALSE)</f>
        <v>Ikan</v>
      </c>
      <c r="L2763" s="5" t="s">
        <v>471</v>
      </c>
    </row>
    <row r="2764" spans="1:12" ht="12" customHeight="1" x14ac:dyDescent="0.25">
      <c r="A2764" s="6">
        <v>44657</v>
      </c>
      <c r="B2764" s="1">
        <v>2201799</v>
      </c>
      <c r="C2764" s="5" t="s">
        <v>398</v>
      </c>
      <c r="D2764" s="5" t="str">
        <f>VLOOKUP(C2764,[1]master_data!$A$2:$E$495,2,FALSE)</f>
        <v>BIPOLAR</v>
      </c>
      <c r="E2764" s="5">
        <v>10</v>
      </c>
      <c r="F2764" s="5">
        <f>VLOOKUP(C2764,[1]master_data!$A$2:$E$495,3,FALSE)</f>
        <v>1000</v>
      </c>
      <c r="G2764" s="5">
        <f>VLOOKUP(C2764,[1]master_data!$A$2:$E$495,4,FALSE)</f>
        <v>2500</v>
      </c>
      <c r="H2764" s="5">
        <f t="shared" si="135"/>
        <v>10000</v>
      </c>
      <c r="I2764" s="5">
        <f t="shared" si="136"/>
        <v>25000</v>
      </c>
      <c r="J2764" s="5">
        <f t="shared" si="137"/>
        <v>15000</v>
      </c>
      <c r="K2764" s="5" t="str">
        <f>VLOOKUP(C2764,[1]master_data!$A$2:$E$495,5,FALSE)</f>
        <v>Ikan</v>
      </c>
      <c r="L2764" s="5" t="s">
        <v>471</v>
      </c>
    </row>
    <row r="2765" spans="1:12" ht="12" customHeight="1" x14ac:dyDescent="0.25">
      <c r="A2765" s="6">
        <v>44657</v>
      </c>
      <c r="B2765" s="1">
        <v>2201798</v>
      </c>
      <c r="C2765" s="5" t="s">
        <v>447</v>
      </c>
      <c r="D2765" s="5" t="str">
        <f>VLOOKUP(C2765,[1]master_data!$A$2:$E$495,2,FALSE)</f>
        <v>REDFIN ALBINO</v>
      </c>
      <c r="E2765" s="5">
        <v>2</v>
      </c>
      <c r="F2765" s="5">
        <f>VLOOKUP(C2765,[1]master_data!$A$2:$E$495,3,FALSE)</f>
        <v>1500</v>
      </c>
      <c r="G2765" s="5">
        <f>VLOOKUP(C2765,[1]master_data!$A$2:$E$495,4,FALSE)</f>
        <v>4000</v>
      </c>
      <c r="H2765" s="5">
        <f t="shared" si="135"/>
        <v>3000</v>
      </c>
      <c r="I2765" s="5">
        <f t="shared" si="136"/>
        <v>8000</v>
      </c>
      <c r="J2765" s="5">
        <f t="shared" si="137"/>
        <v>5000</v>
      </c>
      <c r="K2765" s="5" t="str">
        <f>VLOOKUP(C2765,[1]master_data!$A$2:$E$495,5,FALSE)</f>
        <v>Ikan</v>
      </c>
      <c r="L2765" s="5" t="s">
        <v>471</v>
      </c>
    </row>
    <row r="2766" spans="1:12" ht="12" customHeight="1" x14ac:dyDescent="0.25">
      <c r="A2766" s="6">
        <v>44656</v>
      </c>
      <c r="B2766" s="1">
        <v>2201797</v>
      </c>
      <c r="C2766" s="5" t="s">
        <v>208</v>
      </c>
      <c r="D2766" s="5" t="str">
        <f>VLOOKUP(C2766,[1]master_data!$A$2:$E$495,2,FALSE)</f>
        <v>TOP VIT</v>
      </c>
      <c r="E2766" s="5">
        <v>1</v>
      </c>
      <c r="F2766" s="5">
        <f>VLOOKUP(C2766,[1]master_data!$A$2:$E$495,3,FALSE)</f>
        <v>4000</v>
      </c>
      <c r="G2766" s="5">
        <f>VLOOKUP(C2766,[1]master_data!$A$2:$E$495,4,FALSE)</f>
        <v>7000</v>
      </c>
      <c r="H2766" s="5">
        <f t="shared" si="135"/>
        <v>4000</v>
      </c>
      <c r="I2766" s="5">
        <f t="shared" si="136"/>
        <v>7000</v>
      </c>
      <c r="J2766" s="5">
        <f t="shared" si="137"/>
        <v>3000</v>
      </c>
      <c r="K2766" s="5" t="str">
        <f>VLOOKUP(C2766,[1]master_data!$A$2:$E$495,5,FALSE)</f>
        <v>Aksesoris</v>
      </c>
      <c r="L2766" s="5" t="s">
        <v>471</v>
      </c>
    </row>
    <row r="2767" spans="1:12" ht="12" customHeight="1" x14ac:dyDescent="0.25">
      <c r="A2767" s="6">
        <v>44656</v>
      </c>
      <c r="B2767" s="1">
        <v>2201796</v>
      </c>
      <c r="C2767" s="5" t="s">
        <v>421</v>
      </c>
      <c r="D2767" s="5" t="str">
        <f>VLOOKUP(C2767,[1]master_data!$A$2:$E$495,2,FALSE)</f>
        <v>KOMET PAKAN</v>
      </c>
      <c r="E2767" s="5">
        <v>20</v>
      </c>
      <c r="F2767" s="5">
        <f>VLOOKUP(C2767,[1]master_data!$A$2:$E$495,3,FALSE)</f>
        <v>300</v>
      </c>
      <c r="G2767" s="5">
        <f>VLOOKUP(C2767,[1]master_data!$A$2:$E$495,4,FALSE)</f>
        <v>1000</v>
      </c>
      <c r="H2767" s="5">
        <f t="shared" si="135"/>
        <v>6000</v>
      </c>
      <c r="I2767" s="5">
        <f t="shared" si="136"/>
        <v>20000</v>
      </c>
      <c r="J2767" s="5">
        <f t="shared" si="137"/>
        <v>14000</v>
      </c>
      <c r="K2767" s="5" t="str">
        <f>VLOOKUP(C2767,[1]master_data!$A$2:$E$495,5,FALSE)</f>
        <v>Ikan</v>
      </c>
      <c r="L2767" s="5" t="s">
        <v>471</v>
      </c>
    </row>
    <row r="2768" spans="1:12" ht="12" customHeight="1" x14ac:dyDescent="0.25">
      <c r="A2768" s="6">
        <v>44656</v>
      </c>
      <c r="B2768" s="1">
        <v>2201795</v>
      </c>
      <c r="C2768" s="5" t="s">
        <v>101</v>
      </c>
      <c r="D2768" s="5" t="str">
        <f>VLOOKUP(C2768,[1]master_data!$A$2:$E$495,2,FALSE)</f>
        <v>AIRATOR JINGYE LUB 1</v>
      </c>
      <c r="E2768" s="5">
        <v>1</v>
      </c>
      <c r="F2768" s="5">
        <f>VLOOKUP(C2768,[1]master_data!$A$2:$E$495,3,FALSE)</f>
        <v>20500</v>
      </c>
      <c r="G2768" s="5">
        <f>VLOOKUP(C2768,[1]master_data!$A$2:$E$495,4,FALSE)</f>
        <v>30000</v>
      </c>
      <c r="H2768" s="5">
        <f t="shared" si="135"/>
        <v>20500</v>
      </c>
      <c r="I2768" s="5">
        <f t="shared" si="136"/>
        <v>30000</v>
      </c>
      <c r="J2768" s="5">
        <f t="shared" si="137"/>
        <v>9500</v>
      </c>
      <c r="K2768" s="5" t="str">
        <f>VLOOKUP(C2768,[1]master_data!$A$2:$E$495,5,FALSE)</f>
        <v>Aksesoris</v>
      </c>
      <c r="L2768" s="5" t="s">
        <v>471</v>
      </c>
    </row>
    <row r="2769" spans="1:12" ht="12" customHeight="1" x14ac:dyDescent="0.25">
      <c r="A2769" s="6">
        <v>44656</v>
      </c>
      <c r="B2769" s="1">
        <v>2201794</v>
      </c>
      <c r="C2769" s="5" t="s">
        <v>294</v>
      </c>
      <c r="D2769" s="5" t="str">
        <f>VLOOKUP(C2769,[1]master_data!$A$2:$E$495,2,FALSE)</f>
        <v>LEM SEALANT</v>
      </c>
      <c r="E2769" s="5">
        <v>2</v>
      </c>
      <c r="F2769" s="5">
        <f>VLOOKUP(C2769,[1]master_data!$A$2:$E$495,3,FALSE)</f>
        <v>7000</v>
      </c>
      <c r="G2769" s="5">
        <f>VLOOKUP(C2769,[1]master_data!$A$2:$E$495,4,FALSE)</f>
        <v>10000</v>
      </c>
      <c r="H2769" s="5">
        <f t="shared" si="135"/>
        <v>14000</v>
      </c>
      <c r="I2769" s="5">
        <f t="shared" si="136"/>
        <v>20000</v>
      </c>
      <c r="J2769" s="5">
        <f t="shared" si="137"/>
        <v>6000</v>
      </c>
      <c r="K2769" s="5" t="str">
        <f>VLOOKUP(C2769,[1]master_data!$A$2:$E$495,5,FALSE)</f>
        <v>Aksesoris</v>
      </c>
      <c r="L2769" s="5" t="s">
        <v>471</v>
      </c>
    </row>
    <row r="2770" spans="1:12" ht="12" customHeight="1" x14ac:dyDescent="0.25">
      <c r="A2770" s="6">
        <v>44656</v>
      </c>
      <c r="B2770" s="1">
        <v>2201793</v>
      </c>
      <c r="C2770" s="5" t="s">
        <v>419</v>
      </c>
      <c r="D2770" s="5" t="str">
        <f>VLOOKUP(C2770,[1]master_data!$A$2:$E$495,2,FALSE)</f>
        <v>KURA - KURA</v>
      </c>
      <c r="E2770" s="5">
        <v>1</v>
      </c>
      <c r="F2770" s="5">
        <f>VLOOKUP(C2770,[1]master_data!$A$2:$E$495,3,FALSE)</f>
        <v>25000</v>
      </c>
      <c r="G2770" s="5">
        <f>VLOOKUP(C2770,[1]master_data!$A$2:$E$495,4,FALSE)</f>
        <v>35000</v>
      </c>
      <c r="H2770" s="5">
        <f t="shared" si="135"/>
        <v>25000</v>
      </c>
      <c r="I2770" s="5">
        <f t="shared" si="136"/>
        <v>35000</v>
      </c>
      <c r="J2770" s="5">
        <f t="shared" si="137"/>
        <v>10000</v>
      </c>
      <c r="K2770" s="5" t="str">
        <f>VLOOKUP(C2770,[1]master_data!$A$2:$E$495,5,FALSE)</f>
        <v>Ikan</v>
      </c>
      <c r="L2770" s="5" t="s">
        <v>471</v>
      </c>
    </row>
    <row r="2771" spans="1:12" ht="12" customHeight="1" x14ac:dyDescent="0.25">
      <c r="A2771" s="6">
        <v>44656</v>
      </c>
      <c r="B2771" s="1">
        <v>2201792</v>
      </c>
      <c r="C2771" s="5" t="s">
        <v>104</v>
      </c>
      <c r="D2771" s="5" t="str">
        <f>VLOOKUP(C2771,[1]master_data!$A$2:$E$495,2,FALSE)</f>
        <v>AIRATOR AMARA LUB 2</v>
      </c>
      <c r="E2771" s="5">
        <v>1</v>
      </c>
      <c r="F2771" s="5">
        <f>VLOOKUP(C2771,[1]master_data!$A$2:$E$495,3,FALSE)</f>
        <v>33000</v>
      </c>
      <c r="G2771" s="5">
        <f>VLOOKUP(C2771,[1]master_data!$A$2:$E$495,4,FALSE)</f>
        <v>50000</v>
      </c>
      <c r="H2771" s="5">
        <f t="shared" si="135"/>
        <v>33000</v>
      </c>
      <c r="I2771" s="5">
        <f t="shared" si="136"/>
        <v>50000</v>
      </c>
      <c r="J2771" s="5">
        <f t="shared" si="137"/>
        <v>17000</v>
      </c>
      <c r="K2771" s="5" t="str">
        <f>VLOOKUP(C2771,[1]master_data!$A$2:$E$495,5,FALSE)</f>
        <v>Aksesoris</v>
      </c>
      <c r="L2771" s="5" t="s">
        <v>471</v>
      </c>
    </row>
    <row r="2772" spans="1:12" ht="12" customHeight="1" x14ac:dyDescent="0.25">
      <c r="A2772" s="6">
        <v>44656</v>
      </c>
      <c r="B2772" s="1">
        <v>2201791</v>
      </c>
      <c r="C2772" s="5" t="s">
        <v>415</v>
      </c>
      <c r="D2772" s="5" t="str">
        <f>VLOOKUP(C2772,[1]master_data!$A$2:$E$495,2,FALSE)</f>
        <v>KOKI B</v>
      </c>
      <c r="E2772" s="5">
        <v>2</v>
      </c>
      <c r="F2772" s="5">
        <f>VLOOKUP(C2772,[1]master_data!$A$2:$E$495,3,FALSE)</f>
        <v>20000</v>
      </c>
      <c r="G2772" s="5">
        <f>VLOOKUP(C2772,[1]master_data!$A$2:$E$495,4,FALSE)</f>
        <v>50000</v>
      </c>
      <c r="H2772" s="5">
        <f t="shared" si="135"/>
        <v>40000</v>
      </c>
      <c r="I2772" s="5">
        <f t="shared" si="136"/>
        <v>100000</v>
      </c>
      <c r="J2772" s="5">
        <f t="shared" si="137"/>
        <v>60000</v>
      </c>
      <c r="K2772" s="5" t="str">
        <f>VLOOKUP(C2772,[1]master_data!$A$2:$E$495,5,FALSE)</f>
        <v>Ikan</v>
      </c>
      <c r="L2772" s="5" t="s">
        <v>471</v>
      </c>
    </row>
    <row r="2773" spans="1:12" ht="12" customHeight="1" x14ac:dyDescent="0.25">
      <c r="A2773" s="6">
        <v>44656</v>
      </c>
      <c r="B2773" s="1">
        <v>2201790</v>
      </c>
      <c r="C2773" s="5" t="s">
        <v>413</v>
      </c>
      <c r="D2773" s="5" t="str">
        <f>VLOOKUP(C2773,[1]master_data!$A$2:$E$495,2,FALSE)</f>
        <v>KOKI K</v>
      </c>
      <c r="E2773" s="5">
        <v>5</v>
      </c>
      <c r="F2773" s="5">
        <f>VLOOKUP(C2773,[1]master_data!$A$2:$E$495,3,FALSE)</f>
        <v>3500</v>
      </c>
      <c r="G2773" s="5">
        <f>VLOOKUP(C2773,[1]master_data!$A$2:$E$495,4,FALSE)</f>
        <v>10000</v>
      </c>
      <c r="H2773" s="5">
        <f t="shared" si="135"/>
        <v>17500</v>
      </c>
      <c r="I2773" s="5">
        <f t="shared" si="136"/>
        <v>50000</v>
      </c>
      <c r="J2773" s="5">
        <f t="shared" si="137"/>
        <v>32500</v>
      </c>
      <c r="K2773" s="5" t="str">
        <f>VLOOKUP(C2773,[1]master_data!$A$2:$E$495,5,FALSE)</f>
        <v>Ikan</v>
      </c>
      <c r="L2773" s="5" t="s">
        <v>471</v>
      </c>
    </row>
    <row r="2774" spans="1:12" ht="12" customHeight="1" x14ac:dyDescent="0.25">
      <c r="A2774" s="6">
        <v>44656</v>
      </c>
      <c r="B2774" s="1">
        <v>2201789</v>
      </c>
      <c r="C2774" s="5" t="s">
        <v>407</v>
      </c>
      <c r="D2774" s="5" t="str">
        <f>VLOOKUP(C2774,[1]master_data!$A$2:$E$495,2,FALSE)</f>
        <v>CUPANG</v>
      </c>
      <c r="E2774" s="5">
        <v>6</v>
      </c>
      <c r="F2774" s="5">
        <f>VLOOKUP(C2774,[1]master_data!$A$2:$E$495,3,FALSE)</f>
        <v>2000</v>
      </c>
      <c r="G2774" s="5">
        <f>VLOOKUP(C2774,[1]master_data!$A$2:$E$495,4,FALSE)</f>
        <v>5000</v>
      </c>
      <c r="H2774" s="5">
        <f t="shared" si="135"/>
        <v>12000</v>
      </c>
      <c r="I2774" s="5">
        <f t="shared" si="136"/>
        <v>30000</v>
      </c>
      <c r="J2774" s="5">
        <f t="shared" si="137"/>
        <v>18000</v>
      </c>
      <c r="K2774" s="5" t="str">
        <f>VLOOKUP(C2774,[1]master_data!$A$2:$E$495,5,FALSE)</f>
        <v>Ikan</v>
      </c>
      <c r="L2774" s="5" t="s">
        <v>471</v>
      </c>
    </row>
    <row r="2775" spans="1:12" ht="12" customHeight="1" x14ac:dyDescent="0.25">
      <c r="A2775" s="6">
        <v>44656</v>
      </c>
      <c r="B2775" s="1">
        <v>2201788</v>
      </c>
      <c r="C2775" s="5" t="s">
        <v>432</v>
      </c>
      <c r="D2775" s="5" t="str">
        <f>VLOOKUP(C2775,[1]master_data!$A$2:$E$495,2,FALSE)</f>
        <v>MARU K</v>
      </c>
      <c r="E2775" s="5">
        <v>1</v>
      </c>
      <c r="F2775" s="5">
        <f>VLOOKUP(C2775,[1]master_data!$A$2:$E$495,3,FALSE)</f>
        <v>23000</v>
      </c>
      <c r="G2775" s="5">
        <f>VLOOKUP(C2775,[1]master_data!$A$2:$E$495,4,FALSE)</f>
        <v>50000</v>
      </c>
      <c r="H2775" s="5">
        <f t="shared" si="135"/>
        <v>23000</v>
      </c>
      <c r="I2775" s="5">
        <f t="shared" si="136"/>
        <v>50000</v>
      </c>
      <c r="J2775" s="5">
        <f t="shared" si="137"/>
        <v>27000</v>
      </c>
      <c r="K2775" s="5" t="str">
        <f>VLOOKUP(C2775,[1]master_data!$A$2:$E$495,5,FALSE)</f>
        <v>Ikan</v>
      </c>
      <c r="L2775" s="5" t="s">
        <v>471</v>
      </c>
    </row>
    <row r="2776" spans="1:12" ht="12" customHeight="1" x14ac:dyDescent="0.25">
      <c r="A2776" s="6">
        <v>44656</v>
      </c>
      <c r="B2776" s="1">
        <v>2201787</v>
      </c>
      <c r="C2776" s="5" t="s">
        <v>435</v>
      </c>
      <c r="D2776" s="5" t="str">
        <f>VLOOKUP(C2776,[1]master_data!$A$2:$E$495,2,FALSE)</f>
        <v>MOLI BALON</v>
      </c>
      <c r="E2776" s="5">
        <v>10</v>
      </c>
      <c r="F2776" s="5">
        <f>VLOOKUP(C2776,[1]master_data!$A$2:$E$495,3,FALSE)</f>
        <v>800</v>
      </c>
      <c r="G2776" s="5">
        <f>VLOOKUP(C2776,[1]master_data!$A$2:$E$495,4,FALSE)</f>
        <v>2000</v>
      </c>
      <c r="H2776" s="5">
        <f t="shared" si="135"/>
        <v>8000</v>
      </c>
      <c r="I2776" s="5">
        <f t="shared" si="136"/>
        <v>20000</v>
      </c>
      <c r="J2776" s="5">
        <f t="shared" si="137"/>
        <v>12000</v>
      </c>
      <c r="K2776" s="5" t="str">
        <f>VLOOKUP(C2776,[1]master_data!$A$2:$E$495,5,FALSE)</f>
        <v>Ikan</v>
      </c>
      <c r="L2776" s="5" t="s">
        <v>471</v>
      </c>
    </row>
    <row r="2777" spans="1:12" ht="12" customHeight="1" x14ac:dyDescent="0.25">
      <c r="A2777" s="6">
        <v>44656</v>
      </c>
      <c r="B2777" s="1">
        <v>2201786</v>
      </c>
      <c r="C2777" s="5" t="s">
        <v>463</v>
      </c>
      <c r="D2777" s="5" t="str">
        <f>VLOOKUP(C2777,[1]master_data!$A$2:$E$495,2,FALSE)</f>
        <v>CHANNA STEWARTI</v>
      </c>
      <c r="E2777" s="5">
        <v>1</v>
      </c>
      <c r="F2777" s="5">
        <f>VLOOKUP(C2777,[1]master_data!$A$2:$E$495,3,FALSE)</f>
        <v>15000</v>
      </c>
      <c r="G2777" s="5">
        <f>VLOOKUP(C2777,[1]master_data!$A$2:$E$495,4,FALSE)</f>
        <v>40000</v>
      </c>
      <c r="H2777" s="5">
        <f t="shared" si="135"/>
        <v>15000</v>
      </c>
      <c r="I2777" s="5">
        <f t="shared" si="136"/>
        <v>40000</v>
      </c>
      <c r="J2777" s="5">
        <f t="shared" si="137"/>
        <v>25000</v>
      </c>
      <c r="K2777" s="5" t="str">
        <f>VLOOKUP(C2777,[1]master_data!$A$2:$E$495,5,FALSE)</f>
        <v>Ikan</v>
      </c>
      <c r="L2777" s="5" t="s">
        <v>471</v>
      </c>
    </row>
    <row r="2778" spans="1:12" ht="12" customHeight="1" x14ac:dyDescent="0.25">
      <c r="A2778" s="6">
        <v>44656</v>
      </c>
      <c r="B2778" s="1">
        <v>2201785</v>
      </c>
      <c r="C2778" s="5" t="s">
        <v>402</v>
      </c>
      <c r="D2778" s="5" t="str">
        <f>VLOOKUP(C2778,[1]master_data!$A$2:$E$495,2,FALSE)</f>
        <v>BLACK GHOST</v>
      </c>
      <c r="E2778" s="5">
        <v>2</v>
      </c>
      <c r="F2778" s="5">
        <f>VLOOKUP(C2778,[1]master_data!$A$2:$E$495,3,FALSE)</f>
        <v>4000</v>
      </c>
      <c r="G2778" s="5">
        <f>VLOOKUP(C2778,[1]master_data!$A$2:$E$495,4,FALSE)</f>
        <v>10000</v>
      </c>
      <c r="H2778" s="5">
        <f t="shared" si="135"/>
        <v>8000</v>
      </c>
      <c r="I2778" s="5">
        <f t="shared" si="136"/>
        <v>20000</v>
      </c>
      <c r="J2778" s="5">
        <f t="shared" si="137"/>
        <v>12000</v>
      </c>
      <c r="K2778" s="5" t="str">
        <f>VLOOKUP(C2778,[1]master_data!$A$2:$E$495,5,FALSE)</f>
        <v>Ikan</v>
      </c>
      <c r="L2778" s="5" t="s">
        <v>471</v>
      </c>
    </row>
    <row r="2779" spans="1:12" ht="12" customHeight="1" x14ac:dyDescent="0.25">
      <c r="A2779" s="6">
        <v>44656</v>
      </c>
      <c r="B2779" s="1">
        <v>2201784</v>
      </c>
      <c r="C2779" s="5" t="s">
        <v>394</v>
      </c>
      <c r="D2779" s="5" t="str">
        <f>VLOOKUP(C2779,[1]master_data!$A$2:$E$495,2,FALSE)</f>
        <v>ARWANA SILVER K</v>
      </c>
      <c r="E2779" s="5">
        <v>1</v>
      </c>
      <c r="F2779" s="5">
        <f>VLOOKUP(C2779,[1]master_data!$A$2:$E$495,3,FALSE)</f>
        <v>100000</v>
      </c>
      <c r="G2779" s="5">
        <f>VLOOKUP(C2779,[1]master_data!$A$2:$E$495,4,FALSE)</f>
        <v>200000</v>
      </c>
      <c r="H2779" s="5">
        <f t="shared" si="135"/>
        <v>100000</v>
      </c>
      <c r="I2779" s="5">
        <f t="shared" si="136"/>
        <v>200000</v>
      </c>
      <c r="J2779" s="5">
        <f t="shared" si="137"/>
        <v>100000</v>
      </c>
      <c r="K2779" s="5" t="str">
        <f>VLOOKUP(C2779,[1]master_data!$A$2:$E$495,5,FALSE)</f>
        <v>Ikan</v>
      </c>
      <c r="L2779" s="5" t="s">
        <v>471</v>
      </c>
    </row>
    <row r="2780" spans="1:12" ht="12" customHeight="1" x14ac:dyDescent="0.25">
      <c r="A2780" s="6">
        <v>44656</v>
      </c>
      <c r="B2780" s="1">
        <v>2201783</v>
      </c>
      <c r="C2780" s="5" t="s">
        <v>312</v>
      </c>
      <c r="D2780" s="5" t="str">
        <f>VLOOKUP(C2780,[1]master_data!$A$2:$E$495,2,FALSE)</f>
        <v>T PIPA</v>
      </c>
      <c r="E2780" s="5">
        <v>10</v>
      </c>
      <c r="F2780" s="5">
        <f>VLOOKUP(C2780,[1]master_data!$A$2:$E$495,3,FALSE)</f>
        <v>800</v>
      </c>
      <c r="G2780" s="5">
        <f>VLOOKUP(C2780,[1]master_data!$A$2:$E$495,4,FALSE)</f>
        <v>2000</v>
      </c>
      <c r="H2780" s="5">
        <f t="shared" si="135"/>
        <v>8000</v>
      </c>
      <c r="I2780" s="5">
        <f t="shared" si="136"/>
        <v>20000</v>
      </c>
      <c r="J2780" s="5">
        <f t="shared" si="137"/>
        <v>12000</v>
      </c>
      <c r="K2780" s="5" t="str">
        <f>VLOOKUP(C2780,[1]master_data!$A$2:$E$495,5,FALSE)</f>
        <v>Aksesoris</v>
      </c>
      <c r="L2780" s="5" t="s">
        <v>471</v>
      </c>
    </row>
    <row r="2781" spans="1:12" ht="12" customHeight="1" x14ac:dyDescent="0.25">
      <c r="A2781" s="6">
        <v>44656</v>
      </c>
      <c r="B2781" s="1">
        <v>2201782</v>
      </c>
      <c r="C2781" s="5" t="s">
        <v>118</v>
      </c>
      <c r="D2781" s="5" t="str">
        <f>VLOOKUP(C2781,[1]master_data!$A$2:$E$495,2,FALSE)</f>
        <v>LED ROSTON 40 CM</v>
      </c>
      <c r="E2781" s="5">
        <v>2</v>
      </c>
      <c r="F2781" s="5">
        <f>VLOOKUP(C2781,[1]master_data!$A$2:$E$495,3,FALSE)</f>
        <v>23000</v>
      </c>
      <c r="G2781" s="5">
        <f>VLOOKUP(C2781,[1]master_data!$A$2:$E$495,4,FALSE)</f>
        <v>40000</v>
      </c>
      <c r="H2781" s="5">
        <f t="shared" si="135"/>
        <v>46000</v>
      </c>
      <c r="I2781" s="5">
        <f t="shared" si="136"/>
        <v>80000</v>
      </c>
      <c r="J2781" s="5">
        <f t="shared" si="137"/>
        <v>34000</v>
      </c>
      <c r="K2781" s="5" t="str">
        <f>VLOOKUP(C2781,[1]master_data!$A$2:$E$495,5,FALSE)</f>
        <v>Aksesoris</v>
      </c>
      <c r="L2781" s="5" t="s">
        <v>471</v>
      </c>
    </row>
    <row r="2782" spans="1:12" ht="12" customHeight="1" x14ac:dyDescent="0.25">
      <c r="A2782" s="6">
        <v>44656</v>
      </c>
      <c r="B2782" s="1">
        <v>2201781</v>
      </c>
      <c r="C2782" s="5" t="s">
        <v>311</v>
      </c>
      <c r="D2782" s="5" t="str">
        <f>VLOOKUP(C2782,[1]master_data!$A$2:$E$495,2,FALSE)</f>
        <v>L PIPA</v>
      </c>
      <c r="E2782" s="5">
        <v>10</v>
      </c>
      <c r="F2782" s="5">
        <f>VLOOKUP(C2782,[1]master_data!$A$2:$E$495,3,FALSE)</f>
        <v>800</v>
      </c>
      <c r="G2782" s="5">
        <f>VLOOKUP(C2782,[1]master_data!$A$2:$E$495,4,FALSE)</f>
        <v>2000</v>
      </c>
      <c r="H2782" s="5">
        <f t="shared" si="135"/>
        <v>8000</v>
      </c>
      <c r="I2782" s="5">
        <f t="shared" si="136"/>
        <v>20000</v>
      </c>
      <c r="J2782" s="5">
        <f t="shared" si="137"/>
        <v>12000</v>
      </c>
      <c r="K2782" s="5" t="str">
        <f>VLOOKUP(C2782,[1]master_data!$A$2:$E$495,5,FALSE)</f>
        <v>Aksesoris</v>
      </c>
      <c r="L2782" s="5" t="s">
        <v>471</v>
      </c>
    </row>
    <row r="2783" spans="1:12" ht="12" customHeight="1" x14ac:dyDescent="0.25">
      <c r="A2783" s="6">
        <v>44656</v>
      </c>
      <c r="B2783" s="1">
        <v>2201780</v>
      </c>
      <c r="C2783" s="5" t="s">
        <v>432</v>
      </c>
      <c r="D2783" s="5" t="str">
        <f>VLOOKUP(C2783,[1]master_data!$A$2:$E$495,2,FALSE)</f>
        <v>MARU K</v>
      </c>
      <c r="E2783" s="5">
        <v>5</v>
      </c>
      <c r="F2783" s="5">
        <f>VLOOKUP(C2783,[1]master_data!$A$2:$E$495,3,FALSE)</f>
        <v>23000</v>
      </c>
      <c r="G2783" s="5">
        <f>VLOOKUP(C2783,[1]master_data!$A$2:$E$495,4,FALSE)</f>
        <v>50000</v>
      </c>
      <c r="H2783" s="5">
        <f t="shared" si="135"/>
        <v>115000</v>
      </c>
      <c r="I2783" s="5">
        <f t="shared" si="136"/>
        <v>250000</v>
      </c>
      <c r="J2783" s="5">
        <f t="shared" si="137"/>
        <v>135000</v>
      </c>
      <c r="K2783" s="5" t="str">
        <f>VLOOKUP(C2783,[1]master_data!$A$2:$E$495,5,FALSE)</f>
        <v>Ikan</v>
      </c>
      <c r="L2783" s="5" t="s">
        <v>471</v>
      </c>
    </row>
    <row r="2784" spans="1:12" ht="12" customHeight="1" x14ac:dyDescent="0.25">
      <c r="A2784" s="6">
        <v>44656</v>
      </c>
      <c r="B2784" s="1">
        <v>2201779</v>
      </c>
      <c r="C2784" s="5" t="s">
        <v>430</v>
      </c>
      <c r="D2784" s="5" t="str">
        <f>VLOOKUP(C2784,[1]master_data!$A$2:$E$495,2,FALSE)</f>
        <v>MANFISH K</v>
      </c>
      <c r="E2784" s="5">
        <v>2</v>
      </c>
      <c r="F2784" s="5">
        <f>VLOOKUP(C2784,[1]master_data!$A$2:$E$495,3,FALSE)</f>
        <v>2000</v>
      </c>
      <c r="G2784" s="5">
        <f>VLOOKUP(C2784,[1]master_data!$A$2:$E$495,4,FALSE)</f>
        <v>5000</v>
      </c>
      <c r="H2784" s="5">
        <f t="shared" si="135"/>
        <v>4000</v>
      </c>
      <c r="I2784" s="5">
        <f t="shared" si="136"/>
        <v>10000</v>
      </c>
      <c r="J2784" s="5">
        <f t="shared" si="137"/>
        <v>6000</v>
      </c>
      <c r="K2784" s="5" t="str">
        <f>VLOOKUP(C2784,[1]master_data!$A$2:$E$495,5,FALSE)</f>
        <v>Ikan</v>
      </c>
      <c r="L2784" s="5" t="s">
        <v>471</v>
      </c>
    </row>
    <row r="2785" spans="1:12" ht="12" customHeight="1" x14ac:dyDescent="0.25">
      <c r="A2785" s="6">
        <v>44656</v>
      </c>
      <c r="B2785" s="1">
        <v>2201778</v>
      </c>
      <c r="C2785" s="5" t="s">
        <v>400</v>
      </c>
      <c r="D2785" s="5" t="str">
        <f>VLOOKUP(C2785,[1]master_data!$A$2:$E$495,2,FALSE)</f>
        <v>BALA BALA K</v>
      </c>
      <c r="E2785" s="5">
        <v>2</v>
      </c>
      <c r="F2785" s="5">
        <f>VLOOKUP(C2785,[1]master_data!$A$2:$E$495,3,FALSE)</f>
        <v>4000</v>
      </c>
      <c r="G2785" s="5">
        <f>VLOOKUP(C2785,[1]master_data!$A$2:$E$495,4,FALSE)</f>
        <v>8000</v>
      </c>
      <c r="H2785" s="5">
        <f t="shared" si="135"/>
        <v>8000</v>
      </c>
      <c r="I2785" s="5">
        <f t="shared" si="136"/>
        <v>16000</v>
      </c>
      <c r="J2785" s="5">
        <f t="shared" si="137"/>
        <v>8000</v>
      </c>
      <c r="K2785" s="5" t="str">
        <f>VLOOKUP(C2785,[1]master_data!$A$2:$E$495,5,FALSE)</f>
        <v>Ikan</v>
      </c>
      <c r="L2785" s="5" t="s">
        <v>471</v>
      </c>
    </row>
    <row r="2786" spans="1:12" ht="12" customHeight="1" x14ac:dyDescent="0.25">
      <c r="A2786" s="6">
        <v>44655</v>
      </c>
      <c r="B2786" s="1">
        <v>2201777</v>
      </c>
      <c r="C2786" s="5" t="s">
        <v>233</v>
      </c>
      <c r="D2786" s="5" t="str">
        <f>VLOOKUP(C2786,[1]master_data!$A$2:$E$495,2,FALSE)</f>
        <v>FISH LOVE PAKAN</v>
      </c>
      <c r="E2786" s="5">
        <v>2</v>
      </c>
      <c r="F2786" s="5">
        <f>VLOOKUP(C2786,[1]master_data!$A$2:$E$495,3,FALSE)</f>
        <v>2500</v>
      </c>
      <c r="G2786" s="5">
        <f>VLOOKUP(C2786,[1]master_data!$A$2:$E$495,4,FALSE)</f>
        <v>5000</v>
      </c>
      <c r="H2786" s="5">
        <f t="shared" si="135"/>
        <v>5000</v>
      </c>
      <c r="I2786" s="5">
        <f t="shared" si="136"/>
        <v>10000</v>
      </c>
      <c r="J2786" s="5">
        <f t="shared" si="137"/>
        <v>5000</v>
      </c>
      <c r="K2786" s="5" t="str">
        <f>VLOOKUP(C2786,[1]master_data!$A$2:$E$495,5,FALSE)</f>
        <v>Aksesoris</v>
      </c>
      <c r="L2786" s="5" t="s">
        <v>471</v>
      </c>
    </row>
    <row r="2787" spans="1:12" ht="12" customHeight="1" x14ac:dyDescent="0.25">
      <c r="A2787" s="6">
        <v>44655</v>
      </c>
      <c r="B2787" s="1">
        <v>2201776</v>
      </c>
      <c r="C2787" s="5" t="s">
        <v>416</v>
      </c>
      <c r="D2787" s="5" t="str">
        <f>VLOOKUP(C2787,[1]master_data!$A$2:$E$495,2,FALSE)</f>
        <v>KOI K</v>
      </c>
      <c r="E2787" s="5">
        <v>10</v>
      </c>
      <c r="F2787" s="5">
        <f>VLOOKUP(C2787,[1]master_data!$A$2:$E$495,3,FALSE)</f>
        <v>2500</v>
      </c>
      <c r="G2787" s="5">
        <f>VLOOKUP(C2787,[1]master_data!$A$2:$E$495,4,FALSE)</f>
        <v>10000</v>
      </c>
      <c r="H2787" s="5">
        <f t="shared" si="135"/>
        <v>25000</v>
      </c>
      <c r="I2787" s="5">
        <f t="shared" si="136"/>
        <v>100000</v>
      </c>
      <c r="J2787" s="5">
        <f t="shared" si="137"/>
        <v>75000</v>
      </c>
      <c r="K2787" s="5" t="str">
        <f>VLOOKUP(C2787,[1]master_data!$A$2:$E$495,5,FALSE)</f>
        <v>Ikan</v>
      </c>
      <c r="L2787" s="5" t="s">
        <v>471</v>
      </c>
    </row>
    <row r="2788" spans="1:12" ht="12" customHeight="1" x14ac:dyDescent="0.25">
      <c r="A2788" s="6">
        <v>44655</v>
      </c>
      <c r="B2788" s="1">
        <v>2201775</v>
      </c>
      <c r="C2788" s="5" t="s">
        <v>285</v>
      </c>
      <c r="D2788" s="5" t="str">
        <f>VLOOKUP(C2788,[1]master_data!$A$2:$E$495,2,FALSE)</f>
        <v>KAPAS 4 LAPIS</v>
      </c>
      <c r="E2788" s="5">
        <v>1</v>
      </c>
      <c r="F2788" s="5">
        <f>VLOOKUP(C2788,[1]master_data!$A$2:$E$495,3,FALSE)</f>
        <v>6500</v>
      </c>
      <c r="G2788" s="5">
        <f>VLOOKUP(C2788,[1]master_data!$A$2:$E$495,4,FALSE)</f>
        <v>10000</v>
      </c>
      <c r="H2788" s="5">
        <f t="shared" si="135"/>
        <v>6500</v>
      </c>
      <c r="I2788" s="5">
        <f t="shared" si="136"/>
        <v>10000</v>
      </c>
      <c r="J2788" s="5">
        <f t="shared" si="137"/>
        <v>3500</v>
      </c>
      <c r="K2788" s="5" t="str">
        <f>VLOOKUP(C2788,[1]master_data!$A$2:$E$495,5,FALSE)</f>
        <v>Aksesoris</v>
      </c>
      <c r="L2788" s="5" t="s">
        <v>471</v>
      </c>
    </row>
    <row r="2789" spans="1:12" ht="12" customHeight="1" x14ac:dyDescent="0.25">
      <c r="A2789" s="6">
        <v>44655</v>
      </c>
      <c r="B2789" s="1">
        <v>2201774</v>
      </c>
      <c r="C2789" s="5" t="s">
        <v>425</v>
      </c>
      <c r="D2789" s="5" t="str">
        <f>VLOOKUP(C2789,[1]master_data!$A$2:$E$495,2,FALSE)</f>
        <v>CAROLINE</v>
      </c>
      <c r="E2789" s="5">
        <v>10</v>
      </c>
      <c r="F2789" s="5">
        <f>VLOOKUP(C2789,[1]master_data!$A$2:$E$495,3,FALSE)</f>
        <v>900</v>
      </c>
      <c r="G2789" s="5">
        <f>VLOOKUP(C2789,[1]master_data!$A$2:$E$495,4,FALSE)</f>
        <v>2000</v>
      </c>
      <c r="H2789" s="5">
        <f t="shared" si="135"/>
        <v>9000</v>
      </c>
      <c r="I2789" s="5">
        <f t="shared" si="136"/>
        <v>20000</v>
      </c>
      <c r="J2789" s="5">
        <f t="shared" si="137"/>
        <v>11000</v>
      </c>
      <c r="K2789" s="5" t="str">
        <f>VLOOKUP(C2789,[1]master_data!$A$2:$E$495,5,FALSE)</f>
        <v>Ikan</v>
      </c>
      <c r="L2789" s="5" t="s">
        <v>471</v>
      </c>
    </row>
    <row r="2790" spans="1:12" ht="12" customHeight="1" x14ac:dyDescent="0.25">
      <c r="A2790" s="6">
        <v>44655</v>
      </c>
      <c r="B2790" s="1">
        <v>2201773</v>
      </c>
      <c r="C2790" s="5" t="s">
        <v>310</v>
      </c>
      <c r="D2790" s="5" t="str">
        <f>VLOOKUP(C2790,[1]master_data!$A$2:$E$495,2,FALSE)</f>
        <v>SELANG FUSO</v>
      </c>
      <c r="E2790" s="5">
        <v>10</v>
      </c>
      <c r="F2790" s="5">
        <f>VLOOKUP(C2790,[1]master_data!$A$2:$E$495,3,FALSE)</f>
        <v>800</v>
      </c>
      <c r="G2790" s="5">
        <f>VLOOKUP(C2790,[1]master_data!$A$2:$E$495,4,FALSE)</f>
        <v>2000</v>
      </c>
      <c r="H2790" s="5">
        <f t="shared" si="135"/>
        <v>8000</v>
      </c>
      <c r="I2790" s="5">
        <f t="shared" si="136"/>
        <v>20000</v>
      </c>
      <c r="J2790" s="5">
        <f t="shared" si="137"/>
        <v>12000</v>
      </c>
      <c r="K2790" s="5" t="str">
        <f>VLOOKUP(C2790,[1]master_data!$A$2:$E$495,5,FALSE)</f>
        <v>Aksesoris</v>
      </c>
      <c r="L2790" s="5" t="s">
        <v>471</v>
      </c>
    </row>
    <row r="2791" spans="1:12" ht="12" customHeight="1" x14ac:dyDescent="0.25">
      <c r="A2791" s="6">
        <v>44655</v>
      </c>
      <c r="B2791" s="1">
        <v>2201772</v>
      </c>
      <c r="C2791" s="5" t="s">
        <v>386</v>
      </c>
      <c r="D2791" s="5" t="str">
        <f>VLOOKUP(C2791,[1]master_data!$A$2:$E$495,2,FALSE)</f>
        <v>BATU KARANG JAHE</v>
      </c>
      <c r="E2791" s="5">
        <v>1</v>
      </c>
      <c r="F2791" s="5">
        <f>VLOOKUP(C2791,[1]master_data!$A$2:$E$495,3,FALSE)</f>
        <v>15000</v>
      </c>
      <c r="G2791" s="5">
        <f>VLOOKUP(C2791,[1]master_data!$A$2:$E$495,4,FALSE)</f>
        <v>25000</v>
      </c>
      <c r="H2791" s="5">
        <f t="shared" si="135"/>
        <v>15000</v>
      </c>
      <c r="I2791" s="5">
        <f t="shared" si="136"/>
        <v>25000</v>
      </c>
      <c r="J2791" s="5">
        <f t="shared" si="137"/>
        <v>10000</v>
      </c>
      <c r="K2791" s="5" t="str">
        <f>VLOOKUP(C2791,[1]master_data!$A$2:$E$495,5,FALSE)</f>
        <v>Aksesoris</v>
      </c>
      <c r="L2791" s="5" t="s">
        <v>471</v>
      </c>
    </row>
    <row r="2792" spans="1:12" ht="12" customHeight="1" x14ac:dyDescent="0.25">
      <c r="A2792" s="6">
        <v>44655</v>
      </c>
      <c r="B2792" s="1">
        <v>2201771</v>
      </c>
      <c r="C2792" s="5" t="s">
        <v>419</v>
      </c>
      <c r="D2792" s="5" t="str">
        <f>VLOOKUP(C2792,[1]master_data!$A$2:$E$495,2,FALSE)</f>
        <v>KURA - KURA</v>
      </c>
      <c r="E2792" s="5">
        <v>1</v>
      </c>
      <c r="F2792" s="5">
        <f>VLOOKUP(C2792,[1]master_data!$A$2:$E$495,3,FALSE)</f>
        <v>25000</v>
      </c>
      <c r="G2792" s="5">
        <f>VLOOKUP(C2792,[1]master_data!$A$2:$E$495,4,FALSE)</f>
        <v>35000</v>
      </c>
      <c r="H2792" s="5">
        <f t="shared" si="135"/>
        <v>25000</v>
      </c>
      <c r="I2792" s="5">
        <f t="shared" si="136"/>
        <v>35000</v>
      </c>
      <c r="J2792" s="5">
        <f t="shared" si="137"/>
        <v>10000</v>
      </c>
      <c r="K2792" s="5" t="str">
        <f>VLOOKUP(C2792,[1]master_data!$A$2:$E$495,5,FALSE)</f>
        <v>Ikan</v>
      </c>
      <c r="L2792" s="5" t="s">
        <v>471</v>
      </c>
    </row>
    <row r="2793" spans="1:12" ht="12" customHeight="1" x14ac:dyDescent="0.25">
      <c r="A2793" s="6">
        <v>44655</v>
      </c>
      <c r="B2793" s="1">
        <v>2201770</v>
      </c>
      <c r="C2793" s="5" t="s">
        <v>409</v>
      </c>
      <c r="D2793" s="5" t="str">
        <f>VLOOKUP(C2793,[1]master_data!$A$2:$E$495,2,FALSE)</f>
        <v>GOLD FISH</v>
      </c>
      <c r="E2793" s="5">
        <v>10</v>
      </c>
      <c r="F2793" s="5">
        <f>VLOOKUP(C2793,[1]master_data!$A$2:$E$495,3,FALSE)</f>
        <v>800</v>
      </c>
      <c r="G2793" s="5">
        <f>VLOOKUP(C2793,[1]master_data!$A$2:$E$495,4,FALSE)</f>
        <v>2000</v>
      </c>
      <c r="H2793" s="5">
        <f t="shared" si="135"/>
        <v>8000</v>
      </c>
      <c r="I2793" s="5">
        <f t="shared" si="136"/>
        <v>20000</v>
      </c>
      <c r="J2793" s="5">
        <f t="shared" si="137"/>
        <v>12000</v>
      </c>
      <c r="K2793" s="5" t="str">
        <f>VLOOKUP(C2793,[1]master_data!$A$2:$E$495,5,FALSE)</f>
        <v>Ikan</v>
      </c>
      <c r="L2793" s="5" t="s">
        <v>471</v>
      </c>
    </row>
    <row r="2794" spans="1:12" ht="12" customHeight="1" x14ac:dyDescent="0.25">
      <c r="A2794" s="6">
        <v>44655</v>
      </c>
      <c r="B2794" s="1">
        <v>2201769</v>
      </c>
      <c r="C2794" s="5" t="s">
        <v>285</v>
      </c>
      <c r="D2794" s="5" t="str">
        <f>VLOOKUP(C2794,[1]master_data!$A$2:$E$495,2,FALSE)</f>
        <v>KAPAS 4 LAPIS</v>
      </c>
      <c r="E2794" s="5">
        <v>1</v>
      </c>
      <c r="F2794" s="5">
        <f>VLOOKUP(C2794,[1]master_data!$A$2:$E$495,3,FALSE)</f>
        <v>6500</v>
      </c>
      <c r="G2794" s="5">
        <f>VLOOKUP(C2794,[1]master_data!$A$2:$E$495,4,FALSE)</f>
        <v>10000</v>
      </c>
      <c r="H2794" s="5">
        <f t="shared" si="135"/>
        <v>6500</v>
      </c>
      <c r="I2794" s="5">
        <f t="shared" si="136"/>
        <v>10000</v>
      </c>
      <c r="J2794" s="5">
        <f t="shared" si="137"/>
        <v>3500</v>
      </c>
      <c r="K2794" s="5" t="str">
        <f>VLOOKUP(C2794,[1]master_data!$A$2:$E$495,5,FALSE)</f>
        <v>Aksesoris</v>
      </c>
      <c r="L2794" s="5" t="s">
        <v>471</v>
      </c>
    </row>
    <row r="2795" spans="1:12" ht="12" customHeight="1" x14ac:dyDescent="0.25">
      <c r="A2795" s="6">
        <v>44655</v>
      </c>
      <c r="B2795" s="1">
        <v>2201768</v>
      </c>
      <c r="C2795" s="5" t="s">
        <v>439</v>
      </c>
      <c r="D2795" s="5" t="str">
        <f>VLOOKUP(C2795,[1]master_data!$A$2:$E$495,2,FALSE)</f>
        <v>NEON</v>
      </c>
      <c r="E2795" s="5">
        <v>10</v>
      </c>
      <c r="F2795" s="5">
        <f>VLOOKUP(C2795,[1]master_data!$A$2:$E$495,3,FALSE)</f>
        <v>1250</v>
      </c>
      <c r="G2795" s="5">
        <f>VLOOKUP(C2795,[1]master_data!$A$2:$E$495,4,FALSE)</f>
        <v>5000</v>
      </c>
      <c r="H2795" s="5">
        <f t="shared" si="135"/>
        <v>12500</v>
      </c>
      <c r="I2795" s="5">
        <f t="shared" si="136"/>
        <v>50000</v>
      </c>
      <c r="J2795" s="5">
        <f t="shared" si="137"/>
        <v>37500</v>
      </c>
      <c r="K2795" s="5" t="str">
        <f>VLOOKUP(C2795,[1]master_data!$A$2:$E$495,5,FALSE)</f>
        <v>Ikan</v>
      </c>
      <c r="L2795" s="5" t="s">
        <v>471</v>
      </c>
    </row>
    <row r="2796" spans="1:12" ht="12" customHeight="1" x14ac:dyDescent="0.25">
      <c r="A2796" s="6">
        <v>44655</v>
      </c>
      <c r="B2796" s="1">
        <v>2201767</v>
      </c>
      <c r="C2796" s="5" t="s">
        <v>457</v>
      </c>
      <c r="D2796" s="5" t="str">
        <f>VLOOKUP(C2796,[1]master_data!$A$2:$E$495,2,FALSE)</f>
        <v>ZEBRA PINK</v>
      </c>
      <c r="E2796" s="5">
        <v>10</v>
      </c>
      <c r="F2796" s="5">
        <f>VLOOKUP(C2796,[1]master_data!$A$2:$E$495,3,FALSE)</f>
        <v>800</v>
      </c>
      <c r="G2796" s="5">
        <f>VLOOKUP(C2796,[1]master_data!$A$2:$E$495,4,FALSE)</f>
        <v>2000</v>
      </c>
      <c r="H2796" s="5">
        <f t="shared" si="135"/>
        <v>8000</v>
      </c>
      <c r="I2796" s="5">
        <f t="shared" si="136"/>
        <v>20000</v>
      </c>
      <c r="J2796" s="5">
        <f t="shared" si="137"/>
        <v>12000</v>
      </c>
      <c r="K2796" s="5" t="str">
        <f>VLOOKUP(C2796,[1]master_data!$A$2:$E$495,5,FALSE)</f>
        <v>Ikan</v>
      </c>
      <c r="L2796" s="5" t="s">
        <v>471</v>
      </c>
    </row>
    <row r="2797" spans="1:12" ht="12" customHeight="1" x14ac:dyDescent="0.25">
      <c r="A2797" s="6">
        <v>44655</v>
      </c>
      <c r="B2797" s="1">
        <v>2201766</v>
      </c>
      <c r="C2797" s="5" t="s">
        <v>438</v>
      </c>
      <c r="D2797" s="5" t="str">
        <f>VLOOKUP(C2797,[1]master_data!$A$2:$E$495,2,FALSE)</f>
        <v>NENTINEN</v>
      </c>
      <c r="E2797" s="5">
        <v>5</v>
      </c>
      <c r="F2797" s="5">
        <f>VLOOKUP(C2797,[1]master_data!$A$2:$E$495,3,FALSE)</f>
        <v>1000</v>
      </c>
      <c r="G2797" s="5">
        <f>VLOOKUP(C2797,[1]master_data!$A$2:$E$495,4,FALSE)</f>
        <v>2500</v>
      </c>
      <c r="H2797" s="5">
        <f t="shared" si="135"/>
        <v>5000</v>
      </c>
      <c r="I2797" s="5">
        <f t="shared" si="136"/>
        <v>12500</v>
      </c>
      <c r="J2797" s="5">
        <f t="shared" si="137"/>
        <v>7500</v>
      </c>
      <c r="K2797" s="5" t="str">
        <f>VLOOKUP(C2797,[1]master_data!$A$2:$E$495,5,FALSE)</f>
        <v>Ikan</v>
      </c>
      <c r="L2797" s="5" t="s">
        <v>471</v>
      </c>
    </row>
    <row r="2798" spans="1:12" ht="12" customHeight="1" x14ac:dyDescent="0.25">
      <c r="A2798" s="6">
        <v>44655</v>
      </c>
      <c r="B2798" s="1">
        <v>2201765</v>
      </c>
      <c r="C2798" s="5" t="s">
        <v>422</v>
      </c>
      <c r="D2798" s="5" t="str">
        <f>VLOOKUP(C2798,[1]master_data!$A$2:$E$495,2,FALSE)</f>
        <v>KOMET SLAYER</v>
      </c>
      <c r="E2798" s="5">
        <v>10</v>
      </c>
      <c r="F2798" s="5">
        <f>VLOOKUP(C2798,[1]master_data!$A$2:$E$495,3,FALSE)</f>
        <v>2000</v>
      </c>
      <c r="G2798" s="5">
        <f>VLOOKUP(C2798,[1]master_data!$A$2:$E$495,4,FALSE)</f>
        <v>5000</v>
      </c>
      <c r="H2798" s="5">
        <f t="shared" si="135"/>
        <v>20000</v>
      </c>
      <c r="I2798" s="5">
        <f t="shared" si="136"/>
        <v>50000</v>
      </c>
      <c r="J2798" s="5">
        <f t="shared" si="137"/>
        <v>30000</v>
      </c>
      <c r="K2798" s="5" t="str">
        <f>VLOOKUP(C2798,[1]master_data!$A$2:$E$495,5,FALSE)</f>
        <v>Ikan</v>
      </c>
      <c r="L2798" s="5" t="s">
        <v>471</v>
      </c>
    </row>
    <row r="2799" spans="1:12" ht="12" customHeight="1" x14ac:dyDescent="0.25">
      <c r="A2799" s="6">
        <v>44655</v>
      </c>
      <c r="B2799" s="1">
        <v>2201764</v>
      </c>
      <c r="C2799" s="5" t="s">
        <v>433</v>
      </c>
      <c r="D2799" s="5" t="str">
        <f>VLOOKUP(C2799,[1]master_data!$A$2:$E$495,2,FALSE)</f>
        <v>MARU B</v>
      </c>
      <c r="E2799" s="5">
        <v>1</v>
      </c>
      <c r="F2799" s="5">
        <f>VLOOKUP(C2799,[1]master_data!$A$2:$E$495,3,FALSE)</f>
        <v>90000</v>
      </c>
      <c r="G2799" s="5">
        <f>VLOOKUP(C2799,[1]master_data!$A$2:$E$495,4,FALSE)</f>
        <v>150000</v>
      </c>
      <c r="H2799" s="5">
        <f t="shared" si="135"/>
        <v>90000</v>
      </c>
      <c r="I2799" s="5">
        <f t="shared" si="136"/>
        <v>150000</v>
      </c>
      <c r="J2799" s="5">
        <f t="shared" si="137"/>
        <v>60000</v>
      </c>
      <c r="K2799" s="5" t="str">
        <f>VLOOKUP(C2799,[1]master_data!$A$2:$E$495,5,FALSE)</f>
        <v>Ikan</v>
      </c>
      <c r="L2799" s="5" t="s">
        <v>471</v>
      </c>
    </row>
    <row r="2800" spans="1:12" ht="12" customHeight="1" x14ac:dyDescent="0.25">
      <c r="A2800" s="6">
        <v>44655</v>
      </c>
      <c r="B2800" s="1">
        <v>2201763</v>
      </c>
      <c r="C2800" s="5" t="s">
        <v>430</v>
      </c>
      <c r="D2800" s="5" t="str">
        <f>VLOOKUP(C2800,[1]master_data!$A$2:$E$495,2,FALSE)</f>
        <v>MANFISH K</v>
      </c>
      <c r="E2800" s="5">
        <v>4</v>
      </c>
      <c r="F2800" s="5">
        <f>VLOOKUP(C2800,[1]master_data!$A$2:$E$495,3,FALSE)</f>
        <v>2000</v>
      </c>
      <c r="G2800" s="5">
        <f>VLOOKUP(C2800,[1]master_data!$A$2:$E$495,4,FALSE)</f>
        <v>5000</v>
      </c>
      <c r="H2800" s="5">
        <f t="shared" si="135"/>
        <v>8000</v>
      </c>
      <c r="I2800" s="5">
        <f t="shared" si="136"/>
        <v>20000</v>
      </c>
      <c r="J2800" s="5">
        <f t="shared" si="137"/>
        <v>12000</v>
      </c>
      <c r="K2800" s="5" t="str">
        <f>VLOOKUP(C2800,[1]master_data!$A$2:$E$495,5,FALSE)</f>
        <v>Ikan</v>
      </c>
      <c r="L2800" s="5" t="s">
        <v>471</v>
      </c>
    </row>
    <row r="2801" spans="1:12" ht="12" customHeight="1" x14ac:dyDescent="0.25">
      <c r="A2801" s="6">
        <v>44655</v>
      </c>
      <c r="B2801" s="1">
        <v>2201762</v>
      </c>
      <c r="C2801" s="5" t="s">
        <v>285</v>
      </c>
      <c r="D2801" s="5" t="str">
        <f>VLOOKUP(C2801,[1]master_data!$A$2:$E$495,2,FALSE)</f>
        <v>KAPAS 4 LAPIS</v>
      </c>
      <c r="E2801" s="5">
        <v>1</v>
      </c>
      <c r="F2801" s="5">
        <f>VLOOKUP(C2801,[1]master_data!$A$2:$E$495,3,FALSE)</f>
        <v>6500</v>
      </c>
      <c r="G2801" s="5">
        <f>VLOOKUP(C2801,[1]master_data!$A$2:$E$495,4,FALSE)</f>
        <v>10000</v>
      </c>
      <c r="H2801" s="5">
        <f t="shared" si="135"/>
        <v>6500</v>
      </c>
      <c r="I2801" s="5">
        <f t="shared" si="136"/>
        <v>10000</v>
      </c>
      <c r="J2801" s="5">
        <f t="shared" si="137"/>
        <v>3500</v>
      </c>
      <c r="K2801" s="5" t="str">
        <f>VLOOKUP(C2801,[1]master_data!$A$2:$E$495,5,FALSE)</f>
        <v>Aksesoris</v>
      </c>
      <c r="L2801" s="5" t="s">
        <v>471</v>
      </c>
    </row>
    <row r="2802" spans="1:12" ht="12" customHeight="1" x14ac:dyDescent="0.25">
      <c r="A2802" s="6">
        <v>44655</v>
      </c>
      <c r="B2802" s="1">
        <v>2201761</v>
      </c>
      <c r="C2802" s="5" t="s">
        <v>446</v>
      </c>
      <c r="D2802" s="5" t="str">
        <f>VLOOKUP(C2802,[1]master_data!$A$2:$E$495,2,FALSE)</f>
        <v>REDFIN HITAM</v>
      </c>
      <c r="E2802" s="5">
        <v>5</v>
      </c>
      <c r="F2802" s="5">
        <f>VLOOKUP(C2802,[1]master_data!$A$2:$E$495,3,FALSE)</f>
        <v>1500</v>
      </c>
      <c r="G2802" s="5">
        <f>VLOOKUP(C2802,[1]master_data!$A$2:$E$495,4,FALSE)</f>
        <v>4000</v>
      </c>
      <c r="H2802" s="5">
        <f t="shared" si="135"/>
        <v>7500</v>
      </c>
      <c r="I2802" s="5">
        <f t="shared" si="136"/>
        <v>20000</v>
      </c>
      <c r="J2802" s="5">
        <f t="shared" si="137"/>
        <v>12500</v>
      </c>
      <c r="K2802" s="5" t="str">
        <f>VLOOKUP(C2802,[1]master_data!$A$2:$E$495,5,FALSE)</f>
        <v>Ikan</v>
      </c>
      <c r="L2802" s="5" t="s">
        <v>471</v>
      </c>
    </row>
    <row r="2803" spans="1:12" ht="12" customHeight="1" x14ac:dyDescent="0.25">
      <c r="A2803" s="6">
        <v>44655</v>
      </c>
      <c r="B2803" s="1">
        <v>2201760</v>
      </c>
      <c r="C2803" s="5" t="s">
        <v>448</v>
      </c>
      <c r="D2803" s="5" t="str">
        <f>VLOOKUP(C2803,[1]master_data!$A$2:$E$495,2,FALSE)</f>
        <v xml:space="preserve"> CHANNA RED BARITO K</v>
      </c>
      <c r="E2803" s="5">
        <v>10</v>
      </c>
      <c r="F2803" s="5">
        <f>VLOOKUP(C2803,[1]master_data!$A$2:$E$495,3,FALSE)</f>
        <v>45000</v>
      </c>
      <c r="G2803" s="5">
        <f>VLOOKUP(C2803,[1]master_data!$A$2:$E$495,4,FALSE)</f>
        <v>100000</v>
      </c>
      <c r="H2803" s="5">
        <f t="shared" si="135"/>
        <v>450000</v>
      </c>
      <c r="I2803" s="5">
        <f t="shared" si="136"/>
        <v>1000000</v>
      </c>
      <c r="J2803" s="5">
        <f t="shared" si="137"/>
        <v>550000</v>
      </c>
      <c r="K2803" s="5" t="str">
        <f>VLOOKUP(C2803,[1]master_data!$A$2:$E$495,5,FALSE)</f>
        <v>Ikan</v>
      </c>
      <c r="L2803" s="5" t="s">
        <v>471</v>
      </c>
    </row>
    <row r="2804" spans="1:12" ht="12" customHeight="1" x14ac:dyDescent="0.25">
      <c r="A2804" s="6">
        <v>44654</v>
      </c>
      <c r="B2804" s="1">
        <v>2201759</v>
      </c>
      <c r="C2804" s="5" t="s">
        <v>451</v>
      </c>
      <c r="D2804" s="5" t="str">
        <f>VLOOKUP(C2804,[1]master_data!$A$2:$E$495,2,FALSE)</f>
        <v>SUMATRA GOLD FISH</v>
      </c>
      <c r="E2804" s="5">
        <v>10</v>
      </c>
      <c r="F2804" s="5">
        <f>VLOOKUP(C2804,[1]master_data!$A$2:$E$495,3,FALSE)</f>
        <v>2500</v>
      </c>
      <c r="G2804" s="5">
        <f>VLOOKUP(C2804,[1]master_data!$A$2:$E$495,4,FALSE)</f>
        <v>4000</v>
      </c>
      <c r="H2804" s="5">
        <f t="shared" si="135"/>
        <v>25000</v>
      </c>
      <c r="I2804" s="5">
        <f t="shared" si="136"/>
        <v>40000</v>
      </c>
      <c r="J2804" s="5">
        <f t="shared" si="137"/>
        <v>15000</v>
      </c>
      <c r="K2804" s="5" t="str">
        <f>VLOOKUP(C2804,[1]master_data!$A$2:$E$495,5,FALSE)</f>
        <v>Ikan</v>
      </c>
      <c r="L2804" s="5" t="s">
        <v>471</v>
      </c>
    </row>
    <row r="2805" spans="1:12" ht="12" customHeight="1" x14ac:dyDescent="0.25">
      <c r="A2805" s="6">
        <v>44654</v>
      </c>
      <c r="B2805" s="1">
        <v>2201758</v>
      </c>
      <c r="C2805" s="5" t="s">
        <v>376</v>
      </c>
      <c r="D2805" s="5" t="str">
        <f>VLOOKUP(C2805,[1]master_data!$A$2:$E$495,2,FALSE)</f>
        <v>PASIR MEARAH B</v>
      </c>
      <c r="E2805" s="5">
        <v>4</v>
      </c>
      <c r="F2805" s="5">
        <f>VLOOKUP(C2805,[1]master_data!$A$2:$E$495,3,FALSE)</f>
        <v>8000</v>
      </c>
      <c r="G2805" s="5">
        <f>VLOOKUP(C2805,[1]master_data!$A$2:$E$495,4,FALSE)</f>
        <v>25000</v>
      </c>
      <c r="H2805" s="5">
        <f t="shared" si="135"/>
        <v>32000</v>
      </c>
      <c r="I2805" s="5">
        <f t="shared" si="136"/>
        <v>100000</v>
      </c>
      <c r="J2805" s="5">
        <f t="shared" si="137"/>
        <v>68000</v>
      </c>
      <c r="K2805" s="5" t="str">
        <f>VLOOKUP(C2805,[1]master_data!$A$2:$E$495,5,FALSE)</f>
        <v>Aksesoris</v>
      </c>
      <c r="L2805" s="5" t="s">
        <v>471</v>
      </c>
    </row>
    <row r="2806" spans="1:12" ht="12" customHeight="1" x14ac:dyDescent="0.25">
      <c r="A2806" s="6">
        <v>44654</v>
      </c>
      <c r="B2806" s="1">
        <v>2201757</v>
      </c>
      <c r="C2806" s="5" t="s">
        <v>407</v>
      </c>
      <c r="D2806" s="5" t="str">
        <f>VLOOKUP(C2806,[1]master_data!$A$2:$E$495,2,FALSE)</f>
        <v>CUPANG</v>
      </c>
      <c r="E2806" s="5">
        <v>3</v>
      </c>
      <c r="F2806" s="5">
        <f>VLOOKUP(C2806,[1]master_data!$A$2:$E$495,3,FALSE)</f>
        <v>2000</v>
      </c>
      <c r="G2806" s="5">
        <f>VLOOKUP(C2806,[1]master_data!$A$2:$E$495,4,FALSE)</f>
        <v>5000</v>
      </c>
      <c r="H2806" s="5">
        <f t="shared" si="135"/>
        <v>6000</v>
      </c>
      <c r="I2806" s="5">
        <f t="shared" si="136"/>
        <v>15000</v>
      </c>
      <c r="J2806" s="5">
        <f t="shared" si="137"/>
        <v>9000</v>
      </c>
      <c r="K2806" s="5" t="str">
        <f>VLOOKUP(C2806,[1]master_data!$A$2:$E$495,5,FALSE)</f>
        <v>Ikan</v>
      </c>
      <c r="L2806" s="5" t="s">
        <v>471</v>
      </c>
    </row>
    <row r="2807" spans="1:12" ht="12" customHeight="1" x14ac:dyDescent="0.25">
      <c r="A2807" s="6">
        <v>44654</v>
      </c>
      <c r="B2807" s="1">
        <v>2201756</v>
      </c>
      <c r="C2807" s="5" t="s">
        <v>416</v>
      </c>
      <c r="D2807" s="5" t="str">
        <f>VLOOKUP(C2807,[1]master_data!$A$2:$E$495,2,FALSE)</f>
        <v>KOI K</v>
      </c>
      <c r="E2807" s="5">
        <v>5</v>
      </c>
      <c r="F2807" s="5">
        <f>VLOOKUP(C2807,[1]master_data!$A$2:$E$495,3,FALSE)</f>
        <v>2500</v>
      </c>
      <c r="G2807" s="5">
        <f>VLOOKUP(C2807,[1]master_data!$A$2:$E$495,4,FALSE)</f>
        <v>10000</v>
      </c>
      <c r="H2807" s="5">
        <f t="shared" si="135"/>
        <v>12500</v>
      </c>
      <c r="I2807" s="5">
        <f t="shared" si="136"/>
        <v>50000</v>
      </c>
      <c r="J2807" s="5">
        <f t="shared" si="137"/>
        <v>37500</v>
      </c>
      <c r="K2807" s="5" t="str">
        <f>VLOOKUP(C2807,[1]master_data!$A$2:$E$495,5,FALSE)</f>
        <v>Ikan</v>
      </c>
      <c r="L2807" s="5" t="s">
        <v>471</v>
      </c>
    </row>
    <row r="2808" spans="1:12" ht="12" customHeight="1" x14ac:dyDescent="0.25">
      <c r="A2808" s="6">
        <v>44654</v>
      </c>
      <c r="B2808" s="1">
        <v>2201755</v>
      </c>
      <c r="C2808" s="5" t="s">
        <v>115</v>
      </c>
      <c r="D2808" s="5" t="str">
        <f>VLOOKUP(C2808,[1]master_data!$A$2:$E$495,2,FALSE)</f>
        <v>LED ROSTON 30 CM</v>
      </c>
      <c r="E2808" s="5">
        <v>1</v>
      </c>
      <c r="F2808" s="5">
        <f>VLOOKUP(C2808,[1]master_data!$A$2:$E$495,3,FALSE)</f>
        <v>21000</v>
      </c>
      <c r="G2808" s="5">
        <f>VLOOKUP(C2808,[1]master_data!$A$2:$E$495,4,FALSE)</f>
        <v>35000</v>
      </c>
      <c r="H2808" s="5">
        <f t="shared" si="135"/>
        <v>21000</v>
      </c>
      <c r="I2808" s="5">
        <f t="shared" si="136"/>
        <v>35000</v>
      </c>
      <c r="J2808" s="5">
        <f t="shared" si="137"/>
        <v>14000</v>
      </c>
      <c r="K2808" s="5" t="str">
        <f>VLOOKUP(C2808,[1]master_data!$A$2:$E$495,5,FALSE)</f>
        <v>Aksesoris</v>
      </c>
      <c r="L2808" s="5" t="s">
        <v>471</v>
      </c>
    </row>
    <row r="2809" spans="1:12" ht="12" customHeight="1" x14ac:dyDescent="0.25">
      <c r="A2809" s="6">
        <v>44654</v>
      </c>
      <c r="B2809" s="1">
        <v>2201754</v>
      </c>
      <c r="C2809" s="5" t="s">
        <v>423</v>
      </c>
      <c r="D2809" s="5" t="str">
        <f>VLOOKUP(C2809,[1]master_data!$A$2:$E$495,2,FALSE)</f>
        <v>KOI SLAYER K</v>
      </c>
      <c r="E2809" s="5">
        <v>5</v>
      </c>
      <c r="F2809" s="5">
        <f>VLOOKUP(C2809,[1]master_data!$A$2:$E$495,3,FALSE)</f>
        <v>3500</v>
      </c>
      <c r="G2809" s="5">
        <f>VLOOKUP(C2809,[1]master_data!$A$2:$E$495,4,FALSE)</f>
        <v>10000</v>
      </c>
      <c r="H2809" s="5">
        <f t="shared" si="135"/>
        <v>17500</v>
      </c>
      <c r="I2809" s="5">
        <f t="shared" si="136"/>
        <v>50000</v>
      </c>
      <c r="J2809" s="5">
        <f t="shared" si="137"/>
        <v>32500</v>
      </c>
      <c r="K2809" s="5" t="str">
        <f>VLOOKUP(C2809,[1]master_data!$A$2:$E$495,5,FALSE)</f>
        <v>Ikan</v>
      </c>
      <c r="L2809" s="5" t="s">
        <v>471</v>
      </c>
    </row>
    <row r="2810" spans="1:12" ht="12" customHeight="1" x14ac:dyDescent="0.25">
      <c r="A2810" s="6">
        <v>44654</v>
      </c>
      <c r="B2810" s="1">
        <v>2201753</v>
      </c>
      <c r="C2810" s="5" t="s">
        <v>397</v>
      </c>
      <c r="D2810" s="5" t="str">
        <f>VLOOKUP(C2810,[1]master_data!$A$2:$E$495,2,FALSE)</f>
        <v>ALIGATOR</v>
      </c>
      <c r="E2810" s="5">
        <v>2</v>
      </c>
      <c r="F2810" s="5">
        <f>VLOOKUP(C2810,[1]master_data!$A$2:$E$495,3,FALSE)</f>
        <v>17000</v>
      </c>
      <c r="G2810" s="5">
        <f>VLOOKUP(C2810,[1]master_data!$A$2:$E$495,4,FALSE)</f>
        <v>35000</v>
      </c>
      <c r="H2810" s="5">
        <f t="shared" si="135"/>
        <v>34000</v>
      </c>
      <c r="I2810" s="5">
        <f t="shared" si="136"/>
        <v>70000</v>
      </c>
      <c r="J2810" s="5">
        <f t="shared" si="137"/>
        <v>36000</v>
      </c>
      <c r="K2810" s="5" t="str">
        <f>VLOOKUP(C2810,[1]master_data!$A$2:$E$495,5,FALSE)</f>
        <v>Ikan</v>
      </c>
      <c r="L2810" s="5" t="s">
        <v>471</v>
      </c>
    </row>
    <row r="2811" spans="1:12" ht="12" customHeight="1" x14ac:dyDescent="0.25">
      <c r="A2811" s="6">
        <v>44654</v>
      </c>
      <c r="B2811" s="1">
        <v>2201752</v>
      </c>
      <c r="C2811" s="5" t="s">
        <v>463</v>
      </c>
      <c r="D2811" s="5" t="str">
        <f>VLOOKUP(C2811,[1]master_data!$A$2:$E$495,2,FALSE)</f>
        <v>CHANNA STEWARTI</v>
      </c>
      <c r="E2811" s="5">
        <v>2</v>
      </c>
      <c r="F2811" s="5">
        <f>VLOOKUP(C2811,[1]master_data!$A$2:$E$495,3,FALSE)</f>
        <v>15000</v>
      </c>
      <c r="G2811" s="5">
        <f>VLOOKUP(C2811,[1]master_data!$A$2:$E$495,4,FALSE)</f>
        <v>40000</v>
      </c>
      <c r="H2811" s="5">
        <f t="shared" si="135"/>
        <v>30000</v>
      </c>
      <c r="I2811" s="5">
        <f t="shared" si="136"/>
        <v>80000</v>
      </c>
      <c r="J2811" s="5">
        <f t="shared" si="137"/>
        <v>50000</v>
      </c>
      <c r="K2811" s="5" t="str">
        <f>VLOOKUP(C2811,[1]master_data!$A$2:$E$495,5,FALSE)</f>
        <v>Ikan</v>
      </c>
      <c r="L2811" s="5" t="s">
        <v>471</v>
      </c>
    </row>
    <row r="2812" spans="1:12" ht="12" customHeight="1" x14ac:dyDescent="0.25">
      <c r="A2812" s="6">
        <v>44654</v>
      </c>
      <c r="B2812" s="1">
        <v>2201751</v>
      </c>
      <c r="C2812" s="5" t="s">
        <v>454</v>
      </c>
      <c r="D2812" s="5" t="str">
        <f>VLOOKUP(C2812,[1]master_data!$A$2:$E$495,2,FALSE)</f>
        <v>SYNODONTI B</v>
      </c>
      <c r="E2812" s="5">
        <v>2</v>
      </c>
      <c r="F2812" s="5">
        <f>VLOOKUP(C2812,[1]master_data!$A$2:$E$495,3,FALSE)</f>
        <v>4000</v>
      </c>
      <c r="G2812" s="5">
        <f>VLOOKUP(C2812,[1]master_data!$A$2:$E$495,4,FALSE)</f>
        <v>10000</v>
      </c>
      <c r="H2812" s="5">
        <f t="shared" si="135"/>
        <v>8000</v>
      </c>
      <c r="I2812" s="5">
        <f t="shared" si="136"/>
        <v>20000</v>
      </c>
      <c r="J2812" s="5">
        <f t="shared" si="137"/>
        <v>12000</v>
      </c>
      <c r="K2812" s="5" t="str">
        <f>VLOOKUP(C2812,[1]master_data!$A$2:$E$495,5,FALSE)</f>
        <v>Ikan</v>
      </c>
      <c r="L2812" s="5" t="s">
        <v>471</v>
      </c>
    </row>
    <row r="2813" spans="1:12" ht="12" customHeight="1" x14ac:dyDescent="0.25">
      <c r="A2813" s="6">
        <v>44654</v>
      </c>
      <c r="B2813" s="1">
        <v>2201750</v>
      </c>
      <c r="C2813" s="5" t="s">
        <v>418</v>
      </c>
      <c r="D2813" s="5" t="str">
        <f>VLOOKUP(C2813,[1]master_data!$A$2:$E$495,2,FALSE)</f>
        <v>KOI B</v>
      </c>
      <c r="E2813" s="5">
        <v>2</v>
      </c>
      <c r="F2813" s="5">
        <f>VLOOKUP(C2813,[1]master_data!$A$2:$E$495,3,FALSE)</f>
        <v>9000</v>
      </c>
      <c r="G2813" s="5">
        <f>VLOOKUP(C2813,[1]master_data!$A$2:$E$495,4,FALSE)</f>
        <v>30000</v>
      </c>
      <c r="H2813" s="5">
        <f t="shared" si="135"/>
        <v>18000</v>
      </c>
      <c r="I2813" s="5">
        <f t="shared" si="136"/>
        <v>60000</v>
      </c>
      <c r="J2813" s="5">
        <f t="shared" si="137"/>
        <v>42000</v>
      </c>
      <c r="K2813" s="5" t="str">
        <f>VLOOKUP(C2813,[1]master_data!$A$2:$E$495,5,FALSE)</f>
        <v>Ikan</v>
      </c>
      <c r="L2813" s="5" t="s">
        <v>471</v>
      </c>
    </row>
    <row r="2814" spans="1:12" ht="12" customHeight="1" x14ac:dyDescent="0.25">
      <c r="A2814" s="6">
        <v>44654</v>
      </c>
      <c r="B2814" s="1">
        <v>2201749</v>
      </c>
      <c r="C2814" s="5" t="s">
        <v>118</v>
      </c>
      <c r="D2814" s="5" t="str">
        <f>VLOOKUP(C2814,[1]master_data!$A$2:$E$495,2,FALSE)</f>
        <v>LED ROSTON 40 CM</v>
      </c>
      <c r="E2814" s="5">
        <v>1</v>
      </c>
      <c r="F2814" s="5">
        <f>VLOOKUP(C2814,[1]master_data!$A$2:$E$495,3,FALSE)</f>
        <v>23000</v>
      </c>
      <c r="G2814" s="5">
        <f>VLOOKUP(C2814,[1]master_data!$A$2:$E$495,4,FALSE)</f>
        <v>40000</v>
      </c>
      <c r="H2814" s="5">
        <f t="shared" si="135"/>
        <v>23000</v>
      </c>
      <c r="I2814" s="5">
        <f t="shared" si="136"/>
        <v>40000</v>
      </c>
      <c r="J2814" s="5">
        <f t="shared" si="137"/>
        <v>17000</v>
      </c>
      <c r="K2814" s="5" t="str">
        <f>VLOOKUP(C2814,[1]master_data!$A$2:$E$495,5,FALSE)</f>
        <v>Aksesoris</v>
      </c>
      <c r="L2814" s="5" t="s">
        <v>471</v>
      </c>
    </row>
    <row r="2815" spans="1:12" ht="12" customHeight="1" x14ac:dyDescent="0.25">
      <c r="A2815" s="6">
        <v>44654</v>
      </c>
      <c r="B2815" s="1">
        <v>2201748</v>
      </c>
      <c r="C2815" s="5" t="s">
        <v>452</v>
      </c>
      <c r="D2815" s="5" t="str">
        <f>VLOOKUP(C2815,[1]master_data!$A$2:$E$495,2,FALSE)</f>
        <v>SNOW WHITE</v>
      </c>
      <c r="E2815" s="5">
        <v>10</v>
      </c>
      <c r="F2815" s="5">
        <f>VLOOKUP(C2815,[1]master_data!$A$2:$E$495,3,FALSE)</f>
        <v>1500</v>
      </c>
      <c r="G2815" s="5">
        <f>VLOOKUP(C2815,[1]master_data!$A$2:$E$495,4,FALSE)</f>
        <v>3000</v>
      </c>
      <c r="H2815" s="5">
        <f t="shared" si="135"/>
        <v>15000</v>
      </c>
      <c r="I2815" s="5">
        <f t="shared" si="136"/>
        <v>30000</v>
      </c>
      <c r="J2815" s="5">
        <f t="shared" si="137"/>
        <v>15000</v>
      </c>
      <c r="K2815" s="5" t="str">
        <f>VLOOKUP(C2815,[1]master_data!$A$2:$E$495,5,FALSE)</f>
        <v>Ikan</v>
      </c>
      <c r="L2815" s="5" t="s">
        <v>471</v>
      </c>
    </row>
    <row r="2816" spans="1:12" ht="12" customHeight="1" x14ac:dyDescent="0.25">
      <c r="A2816" s="6">
        <v>44654</v>
      </c>
      <c r="B2816" s="1">
        <v>2201747</v>
      </c>
      <c r="C2816" s="5" t="s">
        <v>376</v>
      </c>
      <c r="D2816" s="5" t="str">
        <f>VLOOKUP(C2816,[1]master_data!$A$2:$E$495,2,FALSE)</f>
        <v>PASIR MEARAH B</v>
      </c>
      <c r="E2816" s="5">
        <v>1</v>
      </c>
      <c r="F2816" s="5">
        <f>VLOOKUP(C2816,[1]master_data!$A$2:$E$495,3,FALSE)</f>
        <v>8000</v>
      </c>
      <c r="G2816" s="5">
        <f>VLOOKUP(C2816,[1]master_data!$A$2:$E$495,4,FALSE)</f>
        <v>25000</v>
      </c>
      <c r="H2816" s="5">
        <f t="shared" si="135"/>
        <v>8000</v>
      </c>
      <c r="I2816" s="5">
        <f t="shared" si="136"/>
        <v>25000</v>
      </c>
      <c r="J2816" s="5">
        <f t="shared" si="137"/>
        <v>17000</v>
      </c>
      <c r="K2816" s="5" t="str">
        <f>VLOOKUP(C2816,[1]master_data!$A$2:$E$495,5,FALSE)</f>
        <v>Aksesoris</v>
      </c>
      <c r="L2816" s="5" t="s">
        <v>471</v>
      </c>
    </row>
    <row r="2817" spans="1:12" ht="12" customHeight="1" x14ac:dyDescent="0.25">
      <c r="A2817" s="6">
        <v>44654</v>
      </c>
      <c r="B2817" s="1">
        <v>2201746</v>
      </c>
      <c r="C2817" s="5" t="s">
        <v>420</v>
      </c>
      <c r="D2817" s="5" t="str">
        <f>VLOOKUP(C2817,[1]master_data!$A$2:$E$495,2,FALSE)</f>
        <v>KAVIAT</v>
      </c>
      <c r="E2817" s="5">
        <v>3</v>
      </c>
      <c r="F2817" s="5">
        <f>VLOOKUP(C2817,[1]master_data!$A$2:$E$495,3,FALSE)</f>
        <v>3500</v>
      </c>
      <c r="G2817" s="5">
        <f>VLOOKUP(C2817,[1]master_data!$A$2:$E$495,4,FALSE)</f>
        <v>8000</v>
      </c>
      <c r="H2817" s="5">
        <f t="shared" si="135"/>
        <v>10500</v>
      </c>
      <c r="I2817" s="5">
        <f t="shared" si="136"/>
        <v>24000</v>
      </c>
      <c r="J2817" s="5">
        <f t="shared" si="137"/>
        <v>13500</v>
      </c>
      <c r="K2817" s="5" t="str">
        <f>VLOOKUP(C2817,[1]master_data!$A$2:$E$495,5,FALSE)</f>
        <v>Ikan</v>
      </c>
      <c r="L2817" s="5" t="s">
        <v>471</v>
      </c>
    </row>
    <row r="2818" spans="1:12" ht="12" customHeight="1" x14ac:dyDescent="0.25">
      <c r="A2818" s="6">
        <v>44654</v>
      </c>
      <c r="B2818" s="1">
        <v>2201745</v>
      </c>
      <c r="C2818" s="5" t="s">
        <v>432</v>
      </c>
      <c r="D2818" s="5" t="str">
        <f>VLOOKUP(C2818,[1]master_data!$A$2:$E$495,2,FALSE)</f>
        <v>MARU K</v>
      </c>
      <c r="E2818" s="5">
        <v>2</v>
      </c>
      <c r="F2818" s="5">
        <f>VLOOKUP(C2818,[1]master_data!$A$2:$E$495,3,FALSE)</f>
        <v>23000</v>
      </c>
      <c r="G2818" s="5">
        <f>VLOOKUP(C2818,[1]master_data!$A$2:$E$495,4,FALSE)</f>
        <v>50000</v>
      </c>
      <c r="H2818" s="5">
        <f t="shared" si="135"/>
        <v>46000</v>
      </c>
      <c r="I2818" s="5">
        <f t="shared" si="136"/>
        <v>100000</v>
      </c>
      <c r="J2818" s="5">
        <f t="shared" si="137"/>
        <v>54000</v>
      </c>
      <c r="K2818" s="5" t="str">
        <f>VLOOKUP(C2818,[1]master_data!$A$2:$E$495,5,FALSE)</f>
        <v>Ikan</v>
      </c>
      <c r="L2818" s="5" t="s">
        <v>471</v>
      </c>
    </row>
    <row r="2819" spans="1:12" ht="12" customHeight="1" x14ac:dyDescent="0.25">
      <c r="A2819" s="6">
        <v>44654</v>
      </c>
      <c r="B2819" s="1">
        <v>2201744</v>
      </c>
      <c r="C2819" s="5" t="s">
        <v>434</v>
      </c>
      <c r="D2819" s="5" t="str">
        <f>VLOOKUP(C2819,[1]master_data!$A$2:$E$495,2,FALSE)</f>
        <v>MOLI PAKAN</v>
      </c>
      <c r="E2819" s="5">
        <v>25</v>
      </c>
      <c r="F2819" s="5">
        <f>VLOOKUP(C2819,[1]master_data!$A$2:$E$495,3,FALSE)</f>
        <v>100</v>
      </c>
      <c r="G2819" s="5">
        <f>VLOOKUP(C2819,[1]master_data!$A$2:$E$495,4,FALSE)</f>
        <v>200</v>
      </c>
      <c r="H2819" s="5">
        <f t="shared" si="135"/>
        <v>2500</v>
      </c>
      <c r="I2819" s="5">
        <f t="shared" si="136"/>
        <v>5000</v>
      </c>
      <c r="J2819" s="5">
        <f t="shared" si="137"/>
        <v>2500</v>
      </c>
      <c r="K2819" s="5" t="str">
        <f>VLOOKUP(C2819,[1]master_data!$A$2:$E$495,5,FALSE)</f>
        <v>Ikan</v>
      </c>
      <c r="L2819" s="5" t="s">
        <v>471</v>
      </c>
    </row>
    <row r="2820" spans="1:12" ht="12" customHeight="1" x14ac:dyDescent="0.25">
      <c r="A2820" s="6">
        <v>44654</v>
      </c>
      <c r="B2820" s="1">
        <v>2201743</v>
      </c>
      <c r="C2820" s="5" t="s">
        <v>426</v>
      </c>
      <c r="D2820" s="5" t="str">
        <f>VLOOKUP(C2820,[1]master_data!$A$2:$E$495,2,FALSE)</f>
        <v>DISCUS</v>
      </c>
      <c r="E2820" s="5">
        <v>1</v>
      </c>
      <c r="F2820" s="5">
        <f>VLOOKUP(C2820,[1]master_data!$A$2:$E$495,3,FALSE)</f>
        <v>50000</v>
      </c>
      <c r="G2820" s="5">
        <f>VLOOKUP(C2820,[1]master_data!$A$2:$E$495,4,FALSE)</f>
        <v>150000</v>
      </c>
      <c r="H2820" s="5">
        <f t="shared" si="135"/>
        <v>50000</v>
      </c>
      <c r="I2820" s="5">
        <f t="shared" si="136"/>
        <v>150000</v>
      </c>
      <c r="J2820" s="5">
        <f t="shared" si="137"/>
        <v>100000</v>
      </c>
      <c r="K2820" s="5" t="str">
        <f>VLOOKUP(C2820,[1]master_data!$A$2:$E$495,5,FALSE)</f>
        <v>Ikan</v>
      </c>
      <c r="L2820" s="5" t="s">
        <v>471</v>
      </c>
    </row>
    <row r="2821" spans="1:12" ht="12" customHeight="1" x14ac:dyDescent="0.25">
      <c r="A2821" s="6">
        <v>44654</v>
      </c>
      <c r="B2821" s="1">
        <v>2201742</v>
      </c>
      <c r="C2821" s="5" t="s">
        <v>386</v>
      </c>
      <c r="D2821" s="5" t="str">
        <f>VLOOKUP(C2821,[1]master_data!$A$2:$E$495,2,FALSE)</f>
        <v>BATU KARANG JAHE</v>
      </c>
      <c r="E2821" s="5">
        <v>1</v>
      </c>
      <c r="F2821" s="5">
        <f>VLOOKUP(C2821,[1]master_data!$A$2:$E$495,3,FALSE)</f>
        <v>15000</v>
      </c>
      <c r="G2821" s="5">
        <f>VLOOKUP(C2821,[1]master_data!$A$2:$E$495,4,FALSE)</f>
        <v>25000</v>
      </c>
      <c r="H2821" s="5">
        <f t="shared" ref="H2821:H2884" si="138">E2821*F2821</f>
        <v>15000</v>
      </c>
      <c r="I2821" s="5">
        <f t="shared" ref="I2821:I2884" si="139">E2821*G2821</f>
        <v>25000</v>
      </c>
      <c r="J2821" s="5">
        <f t="shared" ref="J2821:J2884" si="140">I2821-H2821</f>
        <v>10000</v>
      </c>
      <c r="K2821" s="5" t="str">
        <f>VLOOKUP(C2821,[1]master_data!$A$2:$E$495,5,FALSE)</f>
        <v>Aksesoris</v>
      </c>
      <c r="L2821" s="5" t="s">
        <v>471</v>
      </c>
    </row>
    <row r="2822" spans="1:12" ht="12" customHeight="1" x14ac:dyDescent="0.25">
      <c r="A2822" s="6">
        <v>44654</v>
      </c>
      <c r="B2822" s="1">
        <v>2201741</v>
      </c>
      <c r="C2822" s="5" t="s">
        <v>127</v>
      </c>
      <c r="D2822" s="5" t="str">
        <f>VLOOKUP(C2822,[1]master_data!$A$2:$E$495,2,FALSE)</f>
        <v>LED YAMANO 3W</v>
      </c>
      <c r="E2822" s="5">
        <v>1</v>
      </c>
      <c r="F2822" s="5">
        <f>VLOOKUP(C2822,[1]master_data!$A$2:$E$495,3,FALSE)</f>
        <v>37000</v>
      </c>
      <c r="G2822" s="5">
        <f>VLOOKUP(C2822,[1]master_data!$A$2:$E$495,4,FALSE)</f>
        <v>60000</v>
      </c>
      <c r="H2822" s="5">
        <f t="shared" si="138"/>
        <v>37000</v>
      </c>
      <c r="I2822" s="5">
        <f t="shared" si="139"/>
        <v>60000</v>
      </c>
      <c r="J2822" s="5">
        <f t="shared" si="140"/>
        <v>23000</v>
      </c>
      <c r="K2822" s="5" t="str">
        <f>VLOOKUP(C2822,[1]master_data!$A$2:$E$495,5,FALSE)</f>
        <v>Aksesoris</v>
      </c>
      <c r="L2822" s="5" t="s">
        <v>471</v>
      </c>
    </row>
    <row r="2823" spans="1:12" ht="12" customHeight="1" x14ac:dyDescent="0.25">
      <c r="A2823" s="6">
        <v>44653</v>
      </c>
      <c r="B2823" s="1">
        <v>2201740</v>
      </c>
      <c r="C2823" s="5" t="s">
        <v>262</v>
      </c>
      <c r="D2823" s="5" t="str">
        <f>VLOOKUP(C2823,[1]master_data!$A$2:$E$495,2,FALSE)</f>
        <v>COP PIPA</v>
      </c>
      <c r="E2823" s="5">
        <v>3</v>
      </c>
      <c r="F2823" s="5">
        <f>VLOOKUP(C2823,[1]master_data!$A$2:$E$495,3,FALSE)</f>
        <v>800</v>
      </c>
      <c r="G2823" s="5">
        <f>VLOOKUP(C2823,[1]master_data!$A$2:$E$495,4,FALSE)</f>
        <v>2000</v>
      </c>
      <c r="H2823" s="5">
        <f t="shared" si="138"/>
        <v>2400</v>
      </c>
      <c r="I2823" s="5">
        <f t="shared" si="139"/>
        <v>6000</v>
      </c>
      <c r="J2823" s="5">
        <f t="shared" si="140"/>
        <v>3600</v>
      </c>
      <c r="K2823" s="5" t="str">
        <f>VLOOKUP(C2823,[1]master_data!$A$2:$E$495,5,FALSE)</f>
        <v>Aksesoris</v>
      </c>
      <c r="L2823" s="5" t="s">
        <v>471</v>
      </c>
    </row>
    <row r="2824" spans="1:12" ht="12" customHeight="1" x14ac:dyDescent="0.25">
      <c r="A2824" s="6">
        <v>44653</v>
      </c>
      <c r="B2824" s="1">
        <v>2201739</v>
      </c>
      <c r="C2824" s="5" t="s">
        <v>402</v>
      </c>
      <c r="D2824" s="5" t="str">
        <f>VLOOKUP(C2824,[1]master_data!$A$2:$E$495,2,FALSE)</f>
        <v>BLACK GHOST</v>
      </c>
      <c r="E2824" s="5">
        <v>2</v>
      </c>
      <c r="F2824" s="5">
        <f>VLOOKUP(C2824,[1]master_data!$A$2:$E$495,3,FALSE)</f>
        <v>4000</v>
      </c>
      <c r="G2824" s="5">
        <f>VLOOKUP(C2824,[1]master_data!$A$2:$E$495,4,FALSE)</f>
        <v>10000</v>
      </c>
      <c r="H2824" s="5">
        <f t="shared" si="138"/>
        <v>8000</v>
      </c>
      <c r="I2824" s="5">
        <f t="shared" si="139"/>
        <v>20000</v>
      </c>
      <c r="J2824" s="5">
        <f t="shared" si="140"/>
        <v>12000</v>
      </c>
      <c r="K2824" s="5" t="str">
        <f>VLOOKUP(C2824,[1]master_data!$A$2:$E$495,5,FALSE)</f>
        <v>Ikan</v>
      </c>
      <c r="L2824" s="5" t="s">
        <v>471</v>
      </c>
    </row>
    <row r="2825" spans="1:12" ht="12" customHeight="1" x14ac:dyDescent="0.25">
      <c r="A2825" s="6">
        <v>44653</v>
      </c>
      <c r="B2825" s="1">
        <v>2201738</v>
      </c>
      <c r="C2825" s="5" t="s">
        <v>376</v>
      </c>
      <c r="D2825" s="5" t="str">
        <f>VLOOKUP(C2825,[1]master_data!$A$2:$E$495,2,FALSE)</f>
        <v>PASIR MEARAH B</v>
      </c>
      <c r="E2825" s="5">
        <v>2</v>
      </c>
      <c r="F2825" s="5">
        <f>VLOOKUP(C2825,[1]master_data!$A$2:$E$495,3,FALSE)</f>
        <v>8000</v>
      </c>
      <c r="G2825" s="5">
        <f>VLOOKUP(C2825,[1]master_data!$A$2:$E$495,4,FALSE)</f>
        <v>25000</v>
      </c>
      <c r="H2825" s="5">
        <f t="shared" si="138"/>
        <v>16000</v>
      </c>
      <c r="I2825" s="5">
        <f t="shared" si="139"/>
        <v>50000</v>
      </c>
      <c r="J2825" s="5">
        <f t="shared" si="140"/>
        <v>34000</v>
      </c>
      <c r="K2825" s="5" t="str">
        <f>VLOOKUP(C2825,[1]master_data!$A$2:$E$495,5,FALSE)</f>
        <v>Aksesoris</v>
      </c>
      <c r="L2825" s="5" t="s">
        <v>471</v>
      </c>
    </row>
    <row r="2826" spans="1:12" ht="12" customHeight="1" x14ac:dyDescent="0.25">
      <c r="A2826" s="6">
        <v>44653</v>
      </c>
      <c r="B2826" s="1">
        <v>2201737</v>
      </c>
      <c r="C2826" s="5" t="s">
        <v>427</v>
      </c>
      <c r="D2826" s="5" t="str">
        <f>VLOOKUP(C2826,[1]master_data!$A$2:$E$495,2,FALSE)</f>
        <v>LEMON</v>
      </c>
      <c r="E2826" s="5">
        <v>10</v>
      </c>
      <c r="F2826" s="5">
        <f>VLOOKUP(C2826,[1]master_data!$A$2:$E$495,3,FALSE)</f>
        <v>1000</v>
      </c>
      <c r="G2826" s="5">
        <f>VLOOKUP(C2826,[1]master_data!$A$2:$E$495,4,FALSE)</f>
        <v>2000</v>
      </c>
      <c r="H2826" s="5">
        <f t="shared" si="138"/>
        <v>10000</v>
      </c>
      <c r="I2826" s="5">
        <f t="shared" si="139"/>
        <v>20000</v>
      </c>
      <c r="J2826" s="5">
        <f t="shared" si="140"/>
        <v>10000</v>
      </c>
      <c r="K2826" s="5" t="str">
        <f>VLOOKUP(C2826,[1]master_data!$A$2:$E$495,5,FALSE)</f>
        <v>Ikan</v>
      </c>
      <c r="L2826" s="5" t="s">
        <v>471</v>
      </c>
    </row>
    <row r="2827" spans="1:12" ht="12" customHeight="1" x14ac:dyDescent="0.25">
      <c r="A2827" s="6">
        <v>44653</v>
      </c>
      <c r="B2827" s="1">
        <v>2201736</v>
      </c>
      <c r="C2827" s="5" t="s">
        <v>429</v>
      </c>
      <c r="D2827" s="5" t="str">
        <f>VLOOKUP(C2827,[1]master_data!$A$2:$E$495,2,FALSE)</f>
        <v>LOUHAN SUPER</v>
      </c>
      <c r="E2827" s="5">
        <v>1</v>
      </c>
      <c r="F2827" s="5">
        <f>VLOOKUP(C2827,[1]master_data!$A$2:$E$495,3,FALSE)</f>
        <v>300000</v>
      </c>
      <c r="G2827" s="5">
        <f>VLOOKUP(C2827,[1]master_data!$A$2:$E$495,4,FALSE)</f>
        <v>500000</v>
      </c>
      <c r="H2827" s="5">
        <f t="shared" si="138"/>
        <v>300000</v>
      </c>
      <c r="I2827" s="5">
        <f t="shared" si="139"/>
        <v>500000</v>
      </c>
      <c r="J2827" s="5">
        <f t="shared" si="140"/>
        <v>200000</v>
      </c>
      <c r="K2827" s="5" t="str">
        <f>VLOOKUP(C2827,[1]master_data!$A$2:$E$495,5,FALSE)</f>
        <v>Ikan</v>
      </c>
      <c r="L2827" s="5" t="s">
        <v>471</v>
      </c>
    </row>
    <row r="2828" spans="1:12" ht="12" customHeight="1" x14ac:dyDescent="0.25">
      <c r="A2828" s="6">
        <v>44653</v>
      </c>
      <c r="B2828" s="1">
        <v>2201735</v>
      </c>
      <c r="C2828" s="5" t="s">
        <v>309</v>
      </c>
      <c r="D2828" s="5" t="str">
        <f>VLOOKUP(C2828,[1]master_data!$A$2:$E$495,2,FALSE)</f>
        <v>SELANG SPIRAL</v>
      </c>
      <c r="E2828" s="5">
        <v>2</v>
      </c>
      <c r="F2828" s="5">
        <f>VLOOKUP(C2828,[1]master_data!$A$2:$E$495,3,FALSE)</f>
        <v>2600</v>
      </c>
      <c r="G2828" s="5">
        <f>VLOOKUP(C2828,[1]master_data!$A$2:$E$495,4,FALSE)</f>
        <v>5000</v>
      </c>
      <c r="H2828" s="5">
        <f t="shared" si="138"/>
        <v>5200</v>
      </c>
      <c r="I2828" s="5">
        <f t="shared" si="139"/>
        <v>10000</v>
      </c>
      <c r="J2828" s="5">
        <f t="shared" si="140"/>
        <v>4800</v>
      </c>
      <c r="K2828" s="5" t="str">
        <f>VLOOKUP(C2828,[1]master_data!$A$2:$E$495,5,FALSE)</f>
        <v>Aksesoris</v>
      </c>
      <c r="L2828" s="5" t="s">
        <v>471</v>
      </c>
    </row>
    <row r="2829" spans="1:12" ht="12" customHeight="1" x14ac:dyDescent="0.25">
      <c r="A2829" s="6">
        <v>44653</v>
      </c>
      <c r="B2829" s="1">
        <v>2201734</v>
      </c>
      <c r="C2829" s="5" t="s">
        <v>233</v>
      </c>
      <c r="D2829" s="5" t="str">
        <f>VLOOKUP(C2829,[1]master_data!$A$2:$E$495,2,FALSE)</f>
        <v>FISH LOVE PAKAN</v>
      </c>
      <c r="E2829" s="5">
        <v>2</v>
      </c>
      <c r="F2829" s="5">
        <f>VLOOKUP(C2829,[1]master_data!$A$2:$E$495,3,FALSE)</f>
        <v>2500</v>
      </c>
      <c r="G2829" s="5">
        <f>VLOOKUP(C2829,[1]master_data!$A$2:$E$495,4,FALSE)</f>
        <v>5000</v>
      </c>
      <c r="H2829" s="5">
        <f t="shared" si="138"/>
        <v>5000</v>
      </c>
      <c r="I2829" s="5">
        <f t="shared" si="139"/>
        <v>10000</v>
      </c>
      <c r="J2829" s="5">
        <f t="shared" si="140"/>
        <v>5000</v>
      </c>
      <c r="K2829" s="5" t="str">
        <f>VLOOKUP(C2829,[1]master_data!$A$2:$E$495,5,FALSE)</f>
        <v>Aksesoris</v>
      </c>
      <c r="L2829" s="5" t="s">
        <v>471</v>
      </c>
    </row>
    <row r="2830" spans="1:12" ht="12" customHeight="1" x14ac:dyDescent="0.25">
      <c r="A2830" s="6">
        <v>44653</v>
      </c>
      <c r="B2830" s="1">
        <v>2201733</v>
      </c>
      <c r="C2830" s="5" t="s">
        <v>411</v>
      </c>
      <c r="D2830" s="5" t="str">
        <f>VLOOKUP(C2830,[1]master_data!$A$2:$E$495,2,FALSE)</f>
        <v>GOLDEN BLACK</v>
      </c>
      <c r="E2830" s="5">
        <v>10</v>
      </c>
      <c r="F2830" s="5">
        <f>VLOOKUP(C2830,[1]master_data!$A$2:$E$495,3,FALSE)</f>
        <v>800</v>
      </c>
      <c r="G2830" s="5">
        <f>VLOOKUP(C2830,[1]master_data!$A$2:$E$495,4,FALSE)</f>
        <v>2000</v>
      </c>
      <c r="H2830" s="5">
        <f t="shared" si="138"/>
        <v>8000</v>
      </c>
      <c r="I2830" s="5">
        <f t="shared" si="139"/>
        <v>20000</v>
      </c>
      <c r="J2830" s="5">
        <f t="shared" si="140"/>
        <v>12000</v>
      </c>
      <c r="K2830" s="5" t="str">
        <f>VLOOKUP(C2830,[1]master_data!$A$2:$E$495,5,FALSE)</f>
        <v>Ikan</v>
      </c>
      <c r="L2830" s="5" t="s">
        <v>471</v>
      </c>
    </row>
    <row r="2831" spans="1:12" ht="12" customHeight="1" x14ac:dyDescent="0.25">
      <c r="A2831" s="6">
        <v>44653</v>
      </c>
      <c r="B2831" s="1">
        <v>2201732</v>
      </c>
      <c r="C2831" s="5" t="s">
        <v>112</v>
      </c>
      <c r="D2831" s="5" t="str">
        <f>VLOOKUP(C2831,[1]master_data!$A$2:$E$495,2,FALSE)</f>
        <v>LED ROSTON 20 CM</v>
      </c>
      <c r="E2831" s="5">
        <v>1</v>
      </c>
      <c r="F2831" s="5">
        <f>VLOOKUP(C2831,[1]master_data!$A$2:$E$495,3,FALSE)</f>
        <v>21000</v>
      </c>
      <c r="G2831" s="5">
        <f>VLOOKUP(C2831,[1]master_data!$A$2:$E$495,4,FALSE)</f>
        <v>30000</v>
      </c>
      <c r="H2831" s="5">
        <f t="shared" si="138"/>
        <v>21000</v>
      </c>
      <c r="I2831" s="5">
        <f t="shared" si="139"/>
        <v>30000</v>
      </c>
      <c r="J2831" s="5">
        <f t="shared" si="140"/>
        <v>9000</v>
      </c>
      <c r="K2831" s="5" t="str">
        <f>VLOOKUP(C2831,[1]master_data!$A$2:$E$495,5,FALSE)</f>
        <v>Aksesoris</v>
      </c>
      <c r="L2831" s="5" t="s">
        <v>471</v>
      </c>
    </row>
    <row r="2832" spans="1:12" ht="12" customHeight="1" x14ac:dyDescent="0.25">
      <c r="A2832" s="6">
        <v>44653</v>
      </c>
      <c r="B2832" s="1">
        <v>2201731</v>
      </c>
      <c r="C2832" s="5" t="s">
        <v>115</v>
      </c>
      <c r="D2832" s="5" t="str">
        <f>VLOOKUP(C2832,[1]master_data!$A$2:$E$495,2,FALSE)</f>
        <v>LED ROSTON 30 CM</v>
      </c>
      <c r="E2832" s="5">
        <v>1</v>
      </c>
      <c r="F2832" s="5">
        <f>VLOOKUP(C2832,[1]master_data!$A$2:$E$495,3,FALSE)</f>
        <v>21000</v>
      </c>
      <c r="G2832" s="5">
        <f>VLOOKUP(C2832,[1]master_data!$A$2:$E$495,4,FALSE)</f>
        <v>35000</v>
      </c>
      <c r="H2832" s="5">
        <f t="shared" si="138"/>
        <v>21000</v>
      </c>
      <c r="I2832" s="5">
        <f t="shared" si="139"/>
        <v>35000</v>
      </c>
      <c r="J2832" s="5">
        <f t="shared" si="140"/>
        <v>14000</v>
      </c>
      <c r="K2832" s="5" t="str">
        <f>VLOOKUP(C2832,[1]master_data!$A$2:$E$495,5,FALSE)</f>
        <v>Aksesoris</v>
      </c>
      <c r="L2832" s="5" t="s">
        <v>471</v>
      </c>
    </row>
    <row r="2833" spans="1:12" ht="12" customHeight="1" x14ac:dyDescent="0.25">
      <c r="A2833" s="6">
        <v>44653</v>
      </c>
      <c r="B2833" s="1">
        <v>2201730</v>
      </c>
      <c r="C2833" s="5" t="s">
        <v>311</v>
      </c>
      <c r="D2833" s="5" t="str">
        <f>VLOOKUP(C2833,[1]master_data!$A$2:$E$495,2,FALSE)</f>
        <v>L PIPA</v>
      </c>
      <c r="E2833" s="5">
        <v>3</v>
      </c>
      <c r="F2833" s="5">
        <f>VLOOKUP(C2833,[1]master_data!$A$2:$E$495,3,FALSE)</f>
        <v>800</v>
      </c>
      <c r="G2833" s="5">
        <f>VLOOKUP(C2833,[1]master_data!$A$2:$E$495,4,FALSE)</f>
        <v>2000</v>
      </c>
      <c r="H2833" s="5">
        <f t="shared" si="138"/>
        <v>2400</v>
      </c>
      <c r="I2833" s="5">
        <f t="shared" si="139"/>
        <v>6000</v>
      </c>
      <c r="J2833" s="5">
        <f t="shared" si="140"/>
        <v>3600</v>
      </c>
      <c r="K2833" s="5" t="str">
        <f>VLOOKUP(C2833,[1]master_data!$A$2:$E$495,5,FALSE)</f>
        <v>Aksesoris</v>
      </c>
      <c r="L2833" s="5" t="s">
        <v>471</v>
      </c>
    </row>
    <row r="2834" spans="1:12" ht="12" customHeight="1" x14ac:dyDescent="0.25">
      <c r="A2834" s="6">
        <v>44653</v>
      </c>
      <c r="B2834" s="1">
        <v>2201729</v>
      </c>
      <c r="C2834" s="5" t="s">
        <v>407</v>
      </c>
      <c r="D2834" s="5" t="str">
        <f>VLOOKUP(C2834,[1]master_data!$A$2:$E$495,2,FALSE)</f>
        <v>CUPANG</v>
      </c>
      <c r="E2834" s="5">
        <v>5</v>
      </c>
      <c r="F2834" s="5">
        <f>VLOOKUP(C2834,[1]master_data!$A$2:$E$495,3,FALSE)</f>
        <v>2000</v>
      </c>
      <c r="G2834" s="5">
        <f>VLOOKUP(C2834,[1]master_data!$A$2:$E$495,4,FALSE)</f>
        <v>5000</v>
      </c>
      <c r="H2834" s="5">
        <f t="shared" si="138"/>
        <v>10000</v>
      </c>
      <c r="I2834" s="5">
        <f t="shared" si="139"/>
        <v>25000</v>
      </c>
      <c r="J2834" s="5">
        <f t="shared" si="140"/>
        <v>15000</v>
      </c>
      <c r="K2834" s="5" t="str">
        <f>VLOOKUP(C2834,[1]master_data!$A$2:$E$495,5,FALSE)</f>
        <v>Ikan</v>
      </c>
      <c r="L2834" s="5" t="s">
        <v>471</v>
      </c>
    </row>
    <row r="2835" spans="1:12" ht="12" customHeight="1" x14ac:dyDescent="0.25">
      <c r="A2835" s="6">
        <v>44653</v>
      </c>
      <c r="B2835" s="1">
        <v>2201728</v>
      </c>
      <c r="C2835" s="5" t="s">
        <v>452</v>
      </c>
      <c r="D2835" s="5" t="str">
        <f>VLOOKUP(C2835,[1]master_data!$A$2:$E$495,2,FALSE)</f>
        <v>SNOW WHITE</v>
      </c>
      <c r="E2835" s="5">
        <v>5</v>
      </c>
      <c r="F2835" s="5">
        <f>VLOOKUP(C2835,[1]master_data!$A$2:$E$495,3,FALSE)</f>
        <v>1500</v>
      </c>
      <c r="G2835" s="5">
        <f>VLOOKUP(C2835,[1]master_data!$A$2:$E$495,4,FALSE)</f>
        <v>3000</v>
      </c>
      <c r="H2835" s="5">
        <f t="shared" si="138"/>
        <v>7500</v>
      </c>
      <c r="I2835" s="5">
        <f t="shared" si="139"/>
        <v>15000</v>
      </c>
      <c r="J2835" s="5">
        <f t="shared" si="140"/>
        <v>7500</v>
      </c>
      <c r="K2835" s="5" t="str">
        <f>VLOOKUP(C2835,[1]master_data!$A$2:$E$495,5,FALSE)</f>
        <v>Ikan</v>
      </c>
      <c r="L2835" s="5" t="s">
        <v>471</v>
      </c>
    </row>
    <row r="2836" spans="1:12" ht="12" customHeight="1" x14ac:dyDescent="0.25">
      <c r="A2836" s="6">
        <v>44653</v>
      </c>
      <c r="B2836" s="1">
        <v>2201727</v>
      </c>
      <c r="C2836" s="5" t="s">
        <v>418</v>
      </c>
      <c r="D2836" s="5" t="str">
        <f>VLOOKUP(C2836,[1]master_data!$A$2:$E$495,2,FALSE)</f>
        <v>KOI B</v>
      </c>
      <c r="E2836" s="5">
        <v>2</v>
      </c>
      <c r="F2836" s="5">
        <f>VLOOKUP(C2836,[1]master_data!$A$2:$E$495,3,FALSE)</f>
        <v>9000</v>
      </c>
      <c r="G2836" s="5">
        <f>VLOOKUP(C2836,[1]master_data!$A$2:$E$495,4,FALSE)</f>
        <v>30000</v>
      </c>
      <c r="H2836" s="5">
        <f t="shared" si="138"/>
        <v>18000</v>
      </c>
      <c r="I2836" s="5">
        <f t="shared" si="139"/>
        <v>60000</v>
      </c>
      <c r="J2836" s="5">
        <f t="shared" si="140"/>
        <v>42000</v>
      </c>
      <c r="K2836" s="5" t="str">
        <f>VLOOKUP(C2836,[1]master_data!$A$2:$E$495,5,FALSE)</f>
        <v>Ikan</v>
      </c>
      <c r="L2836" s="5" t="s">
        <v>471</v>
      </c>
    </row>
    <row r="2837" spans="1:12" ht="12" customHeight="1" x14ac:dyDescent="0.25">
      <c r="A2837" s="6">
        <v>44653</v>
      </c>
      <c r="B2837" s="1">
        <v>2201726</v>
      </c>
      <c r="C2837" s="5" t="s">
        <v>437</v>
      </c>
      <c r="D2837" s="5" t="str">
        <f>VLOOKUP(C2837,[1]master_data!$A$2:$E$495,2,FALSE)</f>
        <v>RED EYE TETRA</v>
      </c>
      <c r="E2837" s="5">
        <v>10</v>
      </c>
      <c r="F2837" s="5">
        <f>VLOOKUP(C2837,[1]master_data!$A$2:$E$495,3,FALSE)</f>
        <v>900</v>
      </c>
      <c r="G2837" s="5">
        <f>VLOOKUP(C2837,[1]master_data!$A$2:$E$495,4,FALSE)</f>
        <v>2000</v>
      </c>
      <c r="H2837" s="5">
        <f t="shared" si="138"/>
        <v>9000</v>
      </c>
      <c r="I2837" s="5">
        <f t="shared" si="139"/>
        <v>20000</v>
      </c>
      <c r="J2837" s="5">
        <f t="shared" si="140"/>
        <v>11000</v>
      </c>
      <c r="K2837" s="5" t="str">
        <f>VLOOKUP(C2837,[1]master_data!$A$2:$E$495,5,FALSE)</f>
        <v>Ikan</v>
      </c>
      <c r="L2837" s="5" t="s">
        <v>471</v>
      </c>
    </row>
    <row r="2838" spans="1:12" ht="12" customHeight="1" x14ac:dyDescent="0.25">
      <c r="A2838" s="6">
        <v>44653</v>
      </c>
      <c r="B2838" s="1">
        <v>2201725</v>
      </c>
      <c r="C2838" s="5" t="s">
        <v>400</v>
      </c>
      <c r="D2838" s="5" t="str">
        <f>VLOOKUP(C2838,[1]master_data!$A$2:$E$495,2,FALSE)</f>
        <v>BALA BALA K</v>
      </c>
      <c r="E2838" s="5">
        <v>2</v>
      </c>
      <c r="F2838" s="5">
        <f>VLOOKUP(C2838,[1]master_data!$A$2:$E$495,3,FALSE)</f>
        <v>4000</v>
      </c>
      <c r="G2838" s="5">
        <f>VLOOKUP(C2838,[1]master_data!$A$2:$E$495,4,FALSE)</f>
        <v>8000</v>
      </c>
      <c r="H2838" s="5">
        <f t="shared" si="138"/>
        <v>8000</v>
      </c>
      <c r="I2838" s="5">
        <f t="shared" si="139"/>
        <v>16000</v>
      </c>
      <c r="J2838" s="5">
        <f t="shared" si="140"/>
        <v>8000</v>
      </c>
      <c r="K2838" s="5" t="str">
        <f>VLOOKUP(C2838,[1]master_data!$A$2:$E$495,5,FALSE)</f>
        <v>Ikan</v>
      </c>
      <c r="L2838" s="5" t="s">
        <v>471</v>
      </c>
    </row>
    <row r="2839" spans="1:12" ht="12" customHeight="1" x14ac:dyDescent="0.25">
      <c r="A2839" s="6">
        <v>44653</v>
      </c>
      <c r="B2839" s="1">
        <v>2201724</v>
      </c>
      <c r="C2839" s="5" t="s">
        <v>420</v>
      </c>
      <c r="D2839" s="5" t="str">
        <f>VLOOKUP(C2839,[1]master_data!$A$2:$E$495,2,FALSE)</f>
        <v>KAVIAT</v>
      </c>
      <c r="E2839" s="5">
        <v>5</v>
      </c>
      <c r="F2839" s="5">
        <f>VLOOKUP(C2839,[1]master_data!$A$2:$E$495,3,FALSE)</f>
        <v>3500</v>
      </c>
      <c r="G2839" s="5">
        <f>VLOOKUP(C2839,[1]master_data!$A$2:$E$495,4,FALSE)</f>
        <v>8000</v>
      </c>
      <c r="H2839" s="5">
        <f t="shared" si="138"/>
        <v>17500</v>
      </c>
      <c r="I2839" s="5">
        <f t="shared" si="139"/>
        <v>40000</v>
      </c>
      <c r="J2839" s="5">
        <f t="shared" si="140"/>
        <v>22500</v>
      </c>
      <c r="K2839" s="5" t="str">
        <f>VLOOKUP(C2839,[1]master_data!$A$2:$E$495,5,FALSE)</f>
        <v>Ikan</v>
      </c>
      <c r="L2839" s="5" t="s">
        <v>471</v>
      </c>
    </row>
    <row r="2840" spans="1:12" ht="12" customHeight="1" x14ac:dyDescent="0.25">
      <c r="A2840" s="6">
        <v>44652</v>
      </c>
      <c r="B2840" s="1">
        <v>2201723</v>
      </c>
      <c r="C2840" s="5" t="s">
        <v>407</v>
      </c>
      <c r="D2840" s="5" t="str">
        <f>VLOOKUP(C2840,[1]master_data!$A$2:$E$495,2,FALSE)</f>
        <v>CUPANG</v>
      </c>
      <c r="E2840" s="5">
        <v>1</v>
      </c>
      <c r="F2840" s="5">
        <f>VLOOKUP(C2840,[1]master_data!$A$2:$E$495,3,FALSE)</f>
        <v>2000</v>
      </c>
      <c r="G2840" s="5">
        <f>VLOOKUP(C2840,[1]master_data!$A$2:$E$495,4,FALSE)</f>
        <v>5000</v>
      </c>
      <c r="H2840" s="5">
        <f t="shared" si="138"/>
        <v>2000</v>
      </c>
      <c r="I2840" s="5">
        <f t="shared" si="139"/>
        <v>5000</v>
      </c>
      <c r="J2840" s="5">
        <f t="shared" si="140"/>
        <v>3000</v>
      </c>
      <c r="K2840" s="5" t="str">
        <f>VLOOKUP(C2840,[1]master_data!$A$2:$E$495,5,FALSE)</f>
        <v>Ikan</v>
      </c>
      <c r="L2840" s="5" t="s">
        <v>471</v>
      </c>
    </row>
    <row r="2841" spans="1:12" ht="12" customHeight="1" x14ac:dyDescent="0.25">
      <c r="A2841" s="6">
        <v>44652</v>
      </c>
      <c r="B2841" s="1">
        <v>2201722</v>
      </c>
      <c r="C2841" s="5" t="s">
        <v>451</v>
      </c>
      <c r="D2841" s="5" t="str">
        <f>VLOOKUP(C2841,[1]master_data!$A$2:$E$495,2,FALSE)</f>
        <v>SUMATRA GOLD FISH</v>
      </c>
      <c r="E2841" s="5">
        <v>10</v>
      </c>
      <c r="F2841" s="5">
        <f>VLOOKUP(C2841,[1]master_data!$A$2:$E$495,3,FALSE)</f>
        <v>2500</v>
      </c>
      <c r="G2841" s="5">
        <f>VLOOKUP(C2841,[1]master_data!$A$2:$E$495,4,FALSE)</f>
        <v>4000</v>
      </c>
      <c r="H2841" s="5">
        <f t="shared" si="138"/>
        <v>25000</v>
      </c>
      <c r="I2841" s="5">
        <f t="shared" si="139"/>
        <v>40000</v>
      </c>
      <c r="J2841" s="5">
        <f t="shared" si="140"/>
        <v>15000</v>
      </c>
      <c r="K2841" s="5" t="str">
        <f>VLOOKUP(C2841,[1]master_data!$A$2:$E$495,5,FALSE)</f>
        <v>Ikan</v>
      </c>
      <c r="L2841" s="5" t="s">
        <v>471</v>
      </c>
    </row>
    <row r="2842" spans="1:12" ht="12" customHeight="1" x14ac:dyDescent="0.25">
      <c r="A2842" s="6">
        <v>44652</v>
      </c>
      <c r="B2842" s="1">
        <v>2201721</v>
      </c>
      <c r="C2842" s="5" t="s">
        <v>445</v>
      </c>
      <c r="D2842" s="5" t="str">
        <f>VLOOKUP(C2842,[1]master_data!$A$2:$E$495,2,FALSE)</f>
        <v>PESO</v>
      </c>
      <c r="E2842" s="5">
        <v>1</v>
      </c>
      <c r="F2842" s="5">
        <f>VLOOKUP(C2842,[1]master_data!$A$2:$E$495,3,FALSE)</f>
        <v>19000</v>
      </c>
      <c r="G2842" s="5">
        <f>VLOOKUP(C2842,[1]master_data!$A$2:$E$495,4,FALSE)</f>
        <v>40000</v>
      </c>
      <c r="H2842" s="5">
        <f t="shared" si="138"/>
        <v>19000</v>
      </c>
      <c r="I2842" s="5">
        <f t="shared" si="139"/>
        <v>40000</v>
      </c>
      <c r="J2842" s="5">
        <f t="shared" si="140"/>
        <v>21000</v>
      </c>
      <c r="K2842" s="5" t="str">
        <f>VLOOKUP(C2842,[1]master_data!$A$2:$E$495,5,FALSE)</f>
        <v>Ikan</v>
      </c>
      <c r="L2842" s="5" t="s">
        <v>471</v>
      </c>
    </row>
    <row r="2843" spans="1:12" ht="12" customHeight="1" x14ac:dyDescent="0.25">
      <c r="A2843" s="6">
        <v>44652</v>
      </c>
      <c r="B2843" s="1">
        <v>2201720</v>
      </c>
      <c r="C2843" s="5" t="s">
        <v>410</v>
      </c>
      <c r="D2843" s="5" t="str">
        <f>VLOOKUP(C2843,[1]master_data!$A$2:$E$495,2,FALSE)</f>
        <v>GUPY</v>
      </c>
      <c r="E2843" s="5">
        <v>5</v>
      </c>
      <c r="F2843" s="5">
        <f>VLOOKUP(C2843,[1]master_data!$A$2:$E$495,3,FALSE)</f>
        <v>1200</v>
      </c>
      <c r="G2843" s="5">
        <f>VLOOKUP(C2843,[1]master_data!$A$2:$E$495,4,FALSE)</f>
        <v>2500</v>
      </c>
      <c r="H2843" s="5">
        <f t="shared" si="138"/>
        <v>6000</v>
      </c>
      <c r="I2843" s="5">
        <f t="shared" si="139"/>
        <v>12500</v>
      </c>
      <c r="J2843" s="5">
        <f t="shared" si="140"/>
        <v>6500</v>
      </c>
      <c r="K2843" s="5" t="str">
        <f>VLOOKUP(C2843,[1]master_data!$A$2:$E$495,5,FALSE)</f>
        <v>Ikan</v>
      </c>
      <c r="L2843" s="5" t="s">
        <v>471</v>
      </c>
    </row>
    <row r="2844" spans="1:12" ht="12" customHeight="1" x14ac:dyDescent="0.25">
      <c r="A2844" s="6">
        <v>44652</v>
      </c>
      <c r="B2844" s="1">
        <v>2201719</v>
      </c>
      <c r="C2844" s="5" t="s">
        <v>310</v>
      </c>
      <c r="D2844" s="5" t="str">
        <f>VLOOKUP(C2844,[1]master_data!$A$2:$E$495,2,FALSE)</f>
        <v>SELANG FUSO</v>
      </c>
      <c r="E2844" s="5">
        <v>10</v>
      </c>
      <c r="F2844" s="5">
        <f>VLOOKUP(C2844,[1]master_data!$A$2:$E$495,3,FALSE)</f>
        <v>800</v>
      </c>
      <c r="G2844" s="5">
        <f>VLOOKUP(C2844,[1]master_data!$A$2:$E$495,4,FALSE)</f>
        <v>2000</v>
      </c>
      <c r="H2844" s="5">
        <f t="shared" si="138"/>
        <v>8000</v>
      </c>
      <c r="I2844" s="5">
        <f t="shared" si="139"/>
        <v>20000</v>
      </c>
      <c r="J2844" s="5">
        <f t="shared" si="140"/>
        <v>12000</v>
      </c>
      <c r="K2844" s="5" t="str">
        <f>VLOOKUP(C2844,[1]master_data!$A$2:$E$495,5,FALSE)</f>
        <v>Aksesoris</v>
      </c>
      <c r="L2844" s="5" t="s">
        <v>471</v>
      </c>
    </row>
    <row r="2845" spans="1:12" ht="12" customHeight="1" x14ac:dyDescent="0.25">
      <c r="A2845" s="6">
        <v>44652</v>
      </c>
      <c r="B2845" s="1">
        <v>2201718</v>
      </c>
      <c r="C2845" s="5" t="s">
        <v>303</v>
      </c>
      <c r="D2845" s="5" t="str">
        <f>VLOOKUP(C2845,[1]master_data!$A$2:$E$495,2,FALSE)</f>
        <v>PIPA LONJOR 2 M</v>
      </c>
      <c r="E2845" s="5">
        <v>1</v>
      </c>
      <c r="F2845" s="5">
        <f>VLOOKUP(C2845,[1]master_data!$A$2:$E$495,3,FALSE)</f>
        <v>5000</v>
      </c>
      <c r="G2845" s="5">
        <f>VLOOKUP(C2845,[1]master_data!$A$2:$E$495,4,FALSE)</f>
        <v>10000</v>
      </c>
      <c r="H2845" s="5">
        <f t="shared" si="138"/>
        <v>5000</v>
      </c>
      <c r="I2845" s="5">
        <f t="shared" si="139"/>
        <v>10000</v>
      </c>
      <c r="J2845" s="5">
        <f t="shared" si="140"/>
        <v>5000</v>
      </c>
      <c r="K2845" s="5" t="str">
        <f>VLOOKUP(C2845,[1]master_data!$A$2:$E$495,5,FALSE)</f>
        <v>Aksesoris</v>
      </c>
      <c r="L2845" s="5" t="s">
        <v>471</v>
      </c>
    </row>
    <row r="2846" spans="1:12" ht="12" customHeight="1" x14ac:dyDescent="0.25">
      <c r="A2846" s="6">
        <v>44652</v>
      </c>
      <c r="B2846" s="1">
        <v>2201717</v>
      </c>
      <c r="C2846" s="5" t="s">
        <v>420</v>
      </c>
      <c r="D2846" s="5" t="str">
        <f>VLOOKUP(C2846,[1]master_data!$A$2:$E$495,2,FALSE)</f>
        <v>KAVIAT</v>
      </c>
      <c r="E2846" s="5">
        <v>2</v>
      </c>
      <c r="F2846" s="5">
        <f>VLOOKUP(C2846,[1]master_data!$A$2:$E$495,3,FALSE)</f>
        <v>3500</v>
      </c>
      <c r="G2846" s="5">
        <f>VLOOKUP(C2846,[1]master_data!$A$2:$E$495,4,FALSE)</f>
        <v>8000</v>
      </c>
      <c r="H2846" s="5">
        <f t="shared" si="138"/>
        <v>7000</v>
      </c>
      <c r="I2846" s="5">
        <f t="shared" si="139"/>
        <v>16000</v>
      </c>
      <c r="J2846" s="5">
        <f t="shared" si="140"/>
        <v>9000</v>
      </c>
      <c r="K2846" s="5" t="str">
        <f>VLOOKUP(C2846,[1]master_data!$A$2:$E$495,5,FALSE)</f>
        <v>Ikan</v>
      </c>
      <c r="L2846" s="5" t="s">
        <v>471</v>
      </c>
    </row>
    <row r="2847" spans="1:12" ht="12" customHeight="1" x14ac:dyDescent="0.25">
      <c r="A2847" s="6">
        <v>44652</v>
      </c>
      <c r="B2847" s="1">
        <v>2201716</v>
      </c>
      <c r="C2847" s="5" t="s">
        <v>413</v>
      </c>
      <c r="D2847" s="5" t="str">
        <f>VLOOKUP(C2847,[1]master_data!$A$2:$E$495,2,FALSE)</f>
        <v>KOKI K</v>
      </c>
      <c r="E2847" s="5">
        <v>3</v>
      </c>
      <c r="F2847" s="5">
        <f>VLOOKUP(C2847,[1]master_data!$A$2:$E$495,3,FALSE)</f>
        <v>3500</v>
      </c>
      <c r="G2847" s="5">
        <f>VLOOKUP(C2847,[1]master_data!$A$2:$E$495,4,FALSE)</f>
        <v>10000</v>
      </c>
      <c r="H2847" s="5">
        <f t="shared" si="138"/>
        <v>10500</v>
      </c>
      <c r="I2847" s="5">
        <f t="shared" si="139"/>
        <v>30000</v>
      </c>
      <c r="J2847" s="5">
        <f t="shared" si="140"/>
        <v>19500</v>
      </c>
      <c r="K2847" s="5" t="str">
        <f>VLOOKUP(C2847,[1]master_data!$A$2:$E$495,5,FALSE)</f>
        <v>Ikan</v>
      </c>
      <c r="L2847" s="5" t="s">
        <v>471</v>
      </c>
    </row>
    <row r="2848" spans="1:12" ht="12" customHeight="1" x14ac:dyDescent="0.25">
      <c r="A2848" s="6">
        <v>44652</v>
      </c>
      <c r="B2848" s="1">
        <v>2201715</v>
      </c>
      <c r="C2848" s="5" t="s">
        <v>419</v>
      </c>
      <c r="D2848" s="5" t="str">
        <f>VLOOKUP(C2848,[1]master_data!$A$2:$E$495,2,FALSE)</f>
        <v>KURA - KURA</v>
      </c>
      <c r="E2848" s="5">
        <v>1</v>
      </c>
      <c r="F2848" s="5">
        <f>VLOOKUP(C2848,[1]master_data!$A$2:$E$495,3,FALSE)</f>
        <v>25000</v>
      </c>
      <c r="G2848" s="5">
        <f>VLOOKUP(C2848,[1]master_data!$A$2:$E$495,4,FALSE)</f>
        <v>35000</v>
      </c>
      <c r="H2848" s="5">
        <f t="shared" si="138"/>
        <v>25000</v>
      </c>
      <c r="I2848" s="5">
        <f t="shared" si="139"/>
        <v>35000</v>
      </c>
      <c r="J2848" s="5">
        <f t="shared" si="140"/>
        <v>10000</v>
      </c>
      <c r="K2848" s="5" t="str">
        <f>VLOOKUP(C2848,[1]master_data!$A$2:$E$495,5,FALSE)</f>
        <v>Ikan</v>
      </c>
      <c r="L2848" s="5" t="s">
        <v>471</v>
      </c>
    </row>
    <row r="2849" spans="1:12" ht="12" customHeight="1" x14ac:dyDescent="0.25">
      <c r="A2849" s="6">
        <v>44652</v>
      </c>
      <c r="B2849" s="1">
        <v>2201714</v>
      </c>
      <c r="C2849" s="5" t="s">
        <v>313</v>
      </c>
      <c r="D2849" s="5" t="str">
        <f>VLOOKUP(C2849,[1]master_data!$A$2:$E$495,2,FALSE)</f>
        <v>LURUS PIPA</v>
      </c>
      <c r="E2849" s="5">
        <v>10</v>
      </c>
      <c r="F2849" s="5">
        <f>VLOOKUP(C2849,[1]master_data!$A$2:$E$495,3,FALSE)</f>
        <v>800</v>
      </c>
      <c r="G2849" s="5">
        <f>VLOOKUP(C2849,[1]master_data!$A$2:$E$495,4,FALSE)</f>
        <v>2000</v>
      </c>
      <c r="H2849" s="5">
        <f t="shared" si="138"/>
        <v>8000</v>
      </c>
      <c r="I2849" s="5">
        <f t="shared" si="139"/>
        <v>20000</v>
      </c>
      <c r="J2849" s="5">
        <f t="shared" si="140"/>
        <v>12000</v>
      </c>
      <c r="K2849" s="5" t="str">
        <f>VLOOKUP(C2849,[1]master_data!$A$2:$E$495,5,FALSE)</f>
        <v>Aksesoris</v>
      </c>
      <c r="L2849" s="5" t="s">
        <v>471</v>
      </c>
    </row>
    <row r="2850" spans="1:12" ht="12" customHeight="1" x14ac:dyDescent="0.25">
      <c r="A2850" s="6">
        <v>44652</v>
      </c>
      <c r="B2850" s="1">
        <v>2201713</v>
      </c>
      <c r="C2850" s="5" t="s">
        <v>433</v>
      </c>
      <c r="D2850" s="5" t="str">
        <f>VLOOKUP(C2850,[1]master_data!$A$2:$E$495,2,FALSE)</f>
        <v>MARU B</v>
      </c>
      <c r="E2850" s="5">
        <v>1</v>
      </c>
      <c r="F2850" s="5">
        <f>VLOOKUP(C2850,[1]master_data!$A$2:$E$495,3,FALSE)</f>
        <v>90000</v>
      </c>
      <c r="G2850" s="5">
        <f>VLOOKUP(C2850,[1]master_data!$A$2:$E$495,4,FALSE)</f>
        <v>150000</v>
      </c>
      <c r="H2850" s="5">
        <f t="shared" si="138"/>
        <v>90000</v>
      </c>
      <c r="I2850" s="5">
        <f t="shared" si="139"/>
        <v>150000</v>
      </c>
      <c r="J2850" s="5">
        <f t="shared" si="140"/>
        <v>60000</v>
      </c>
      <c r="K2850" s="5" t="str">
        <f>VLOOKUP(C2850,[1]master_data!$A$2:$E$495,5,FALSE)</f>
        <v>Ikan</v>
      </c>
      <c r="L2850" s="5" t="s">
        <v>471</v>
      </c>
    </row>
    <row r="2851" spans="1:12" ht="12" customHeight="1" x14ac:dyDescent="0.25">
      <c r="A2851" s="6">
        <v>44652</v>
      </c>
      <c r="B2851" s="1">
        <v>2201712</v>
      </c>
      <c r="C2851" s="5" t="s">
        <v>408</v>
      </c>
      <c r="D2851" s="5" t="str">
        <f>VLOOKUP(C2851,[1]master_data!$A$2:$E$495,2,FALSE)</f>
        <v>CATFISH</v>
      </c>
      <c r="E2851" s="5">
        <v>1</v>
      </c>
      <c r="F2851" s="5">
        <f>VLOOKUP(C2851,[1]master_data!$A$2:$E$495,3,FALSE)</f>
        <v>20000</v>
      </c>
      <c r="G2851" s="5">
        <f>VLOOKUP(C2851,[1]master_data!$A$2:$E$495,4,FALSE)</f>
        <v>50000</v>
      </c>
      <c r="H2851" s="5">
        <f t="shared" si="138"/>
        <v>20000</v>
      </c>
      <c r="I2851" s="5">
        <f t="shared" si="139"/>
        <v>50000</v>
      </c>
      <c r="J2851" s="5">
        <f t="shared" si="140"/>
        <v>30000</v>
      </c>
      <c r="K2851" s="5" t="str">
        <f>VLOOKUP(C2851,[1]master_data!$A$2:$E$495,5,FALSE)</f>
        <v>Ikan</v>
      </c>
      <c r="L2851" s="5" t="s">
        <v>471</v>
      </c>
    </row>
    <row r="2852" spans="1:12" ht="12" customHeight="1" x14ac:dyDescent="0.25">
      <c r="A2852" s="6">
        <v>44652</v>
      </c>
      <c r="B2852" s="1">
        <v>2201711</v>
      </c>
      <c r="C2852" s="5" t="s">
        <v>6</v>
      </c>
      <c r="D2852" s="5" t="str">
        <f>VLOOKUP(C2852,[1]master_data!$A$2:$E$495,2,FALSE)</f>
        <v>MESIN YANG 1200</v>
      </c>
      <c r="E2852" s="5">
        <v>1</v>
      </c>
      <c r="F2852" s="5">
        <f>VLOOKUP(C2852,[1]master_data!$A$2:$E$495,3,FALSE)</f>
        <v>25000</v>
      </c>
      <c r="G2852" s="5">
        <f>VLOOKUP(C2852,[1]master_data!$A$2:$E$495,4,FALSE)</f>
        <v>40000</v>
      </c>
      <c r="H2852" s="5">
        <f t="shared" si="138"/>
        <v>25000</v>
      </c>
      <c r="I2852" s="5">
        <f t="shared" si="139"/>
        <v>40000</v>
      </c>
      <c r="J2852" s="5">
        <f t="shared" si="140"/>
        <v>15000</v>
      </c>
      <c r="K2852" s="5" t="str">
        <f>VLOOKUP(C2852,[1]master_data!$A$2:$E$495,5,FALSE)</f>
        <v>Aksesoris</v>
      </c>
      <c r="L2852" s="5" t="s">
        <v>471</v>
      </c>
    </row>
    <row r="2853" spans="1:12" ht="12" customHeight="1" x14ac:dyDescent="0.25">
      <c r="A2853" s="6">
        <v>44652</v>
      </c>
      <c r="B2853" s="1">
        <v>2201710</v>
      </c>
      <c r="C2853" s="5" t="s">
        <v>333</v>
      </c>
      <c r="D2853" s="5" t="str">
        <f>VLOOKUP(C2853,[1]master_data!$A$2:$E$495,2,FALSE)</f>
        <v>KAPAS 2 LAPIS</v>
      </c>
      <c r="E2853" s="5">
        <v>1</v>
      </c>
      <c r="F2853" s="5">
        <f>VLOOKUP(C2853,[1]master_data!$A$2:$E$495,3,FALSE)</f>
        <v>2000</v>
      </c>
      <c r="G2853" s="5">
        <f>VLOOKUP(C2853,[1]master_data!$A$2:$E$495,4,FALSE)</f>
        <v>4000</v>
      </c>
      <c r="H2853" s="5">
        <f t="shared" si="138"/>
        <v>2000</v>
      </c>
      <c r="I2853" s="5">
        <f t="shared" si="139"/>
        <v>4000</v>
      </c>
      <c r="J2853" s="5">
        <f t="shared" si="140"/>
        <v>2000</v>
      </c>
      <c r="K2853" s="5" t="str">
        <f>VLOOKUP(C2853,[1]master_data!$A$2:$E$495,5,FALSE)</f>
        <v>Aksesoris</v>
      </c>
      <c r="L2853" s="5" t="s">
        <v>471</v>
      </c>
    </row>
    <row r="2854" spans="1:12" ht="12" customHeight="1" x14ac:dyDescent="0.25">
      <c r="A2854" s="6">
        <v>44652</v>
      </c>
      <c r="B2854" s="1">
        <v>2201709</v>
      </c>
      <c r="C2854" s="5" t="s">
        <v>285</v>
      </c>
      <c r="D2854" s="5" t="str">
        <f>VLOOKUP(C2854,[1]master_data!$A$2:$E$495,2,FALSE)</f>
        <v>KAPAS 4 LAPIS</v>
      </c>
      <c r="E2854" s="5">
        <v>2</v>
      </c>
      <c r="F2854" s="5">
        <f>VLOOKUP(C2854,[1]master_data!$A$2:$E$495,3,FALSE)</f>
        <v>6500</v>
      </c>
      <c r="G2854" s="5">
        <f>VLOOKUP(C2854,[1]master_data!$A$2:$E$495,4,FALSE)</f>
        <v>10000</v>
      </c>
      <c r="H2854" s="5">
        <f t="shared" si="138"/>
        <v>13000</v>
      </c>
      <c r="I2854" s="5">
        <f t="shared" si="139"/>
        <v>20000</v>
      </c>
      <c r="J2854" s="5">
        <f t="shared" si="140"/>
        <v>7000</v>
      </c>
      <c r="K2854" s="5" t="str">
        <f>VLOOKUP(C2854,[1]master_data!$A$2:$E$495,5,FALSE)</f>
        <v>Aksesoris</v>
      </c>
      <c r="L2854" s="5" t="s">
        <v>471</v>
      </c>
    </row>
    <row r="2855" spans="1:12" ht="12" customHeight="1" x14ac:dyDescent="0.25">
      <c r="A2855" s="6">
        <v>44652</v>
      </c>
      <c r="B2855" s="1">
        <v>2201708</v>
      </c>
      <c r="C2855" s="5" t="s">
        <v>440</v>
      </c>
      <c r="D2855" s="5" t="str">
        <f>VLOOKUP(C2855,[1]master_data!$A$2:$E$495,2,FALSE)</f>
        <v>OSCAR</v>
      </c>
      <c r="E2855" s="5">
        <v>1</v>
      </c>
      <c r="F2855" s="5">
        <f>VLOOKUP(C2855,[1]master_data!$A$2:$E$495,3,FALSE)</f>
        <v>25000</v>
      </c>
      <c r="G2855" s="5">
        <f>VLOOKUP(C2855,[1]master_data!$A$2:$E$495,4,FALSE)</f>
        <v>50000</v>
      </c>
      <c r="H2855" s="5">
        <f t="shared" si="138"/>
        <v>25000</v>
      </c>
      <c r="I2855" s="5">
        <f t="shared" si="139"/>
        <v>50000</v>
      </c>
      <c r="J2855" s="5">
        <f t="shared" si="140"/>
        <v>25000</v>
      </c>
      <c r="K2855" s="5" t="str">
        <f>VLOOKUP(C2855,[1]master_data!$A$2:$E$495,5,FALSE)</f>
        <v>Ikan</v>
      </c>
      <c r="L2855" s="5" t="s">
        <v>471</v>
      </c>
    </row>
    <row r="2856" spans="1:12" ht="12" customHeight="1" x14ac:dyDescent="0.25">
      <c r="A2856" s="6">
        <v>44652</v>
      </c>
      <c r="B2856" s="1">
        <v>2201707</v>
      </c>
      <c r="C2856" s="5" t="s">
        <v>416</v>
      </c>
      <c r="D2856" s="5" t="str">
        <f>VLOOKUP(C2856,[1]master_data!$A$2:$E$495,2,FALSE)</f>
        <v>KOI K</v>
      </c>
      <c r="E2856" s="5">
        <v>10</v>
      </c>
      <c r="F2856" s="5">
        <f>VLOOKUP(C2856,[1]master_data!$A$2:$E$495,3,FALSE)</f>
        <v>2500</v>
      </c>
      <c r="G2856" s="5">
        <f>VLOOKUP(C2856,[1]master_data!$A$2:$E$495,4,FALSE)</f>
        <v>10000</v>
      </c>
      <c r="H2856" s="5">
        <f t="shared" si="138"/>
        <v>25000</v>
      </c>
      <c r="I2856" s="5">
        <f t="shared" si="139"/>
        <v>100000</v>
      </c>
      <c r="J2856" s="5">
        <f t="shared" si="140"/>
        <v>75000</v>
      </c>
      <c r="K2856" s="5" t="str">
        <f>VLOOKUP(C2856,[1]master_data!$A$2:$E$495,5,FALSE)</f>
        <v>Ikan</v>
      </c>
      <c r="L2856" s="5" t="s">
        <v>471</v>
      </c>
    </row>
    <row r="2857" spans="1:12" ht="12" customHeight="1" x14ac:dyDescent="0.25">
      <c r="A2857" s="6">
        <v>44652</v>
      </c>
      <c r="B2857" s="1">
        <v>2201706</v>
      </c>
      <c r="C2857" s="5" t="s">
        <v>100</v>
      </c>
      <c r="D2857" s="5" t="str">
        <f>VLOOKUP(C2857,[1]master_data!$A$2:$E$495,2,FALSE)</f>
        <v>AIRATOR AMARA LUB 1</v>
      </c>
      <c r="E2857" s="5">
        <v>1</v>
      </c>
      <c r="F2857" s="5">
        <f>VLOOKUP(C2857,[1]master_data!$A$2:$E$495,3,FALSE)</f>
        <v>17500</v>
      </c>
      <c r="G2857" s="5">
        <f>VLOOKUP(C2857,[1]master_data!$A$2:$E$495,4,FALSE)</f>
        <v>30000</v>
      </c>
      <c r="H2857" s="5">
        <f t="shared" si="138"/>
        <v>17500</v>
      </c>
      <c r="I2857" s="5">
        <f t="shared" si="139"/>
        <v>30000</v>
      </c>
      <c r="J2857" s="5">
        <f t="shared" si="140"/>
        <v>12500</v>
      </c>
      <c r="K2857" s="5" t="str">
        <f>VLOOKUP(C2857,[1]master_data!$A$2:$E$495,5,FALSE)</f>
        <v>Aksesoris</v>
      </c>
      <c r="L2857" s="5" t="s">
        <v>471</v>
      </c>
    </row>
    <row r="2858" spans="1:12" ht="12" customHeight="1" x14ac:dyDescent="0.25">
      <c r="A2858" s="6">
        <v>44652</v>
      </c>
      <c r="B2858" s="1">
        <v>2201705</v>
      </c>
      <c r="C2858" s="5" t="s">
        <v>424</v>
      </c>
      <c r="D2858" s="5" t="str">
        <f>VLOOKUP(C2858,[1]master_data!$A$2:$E$495,2,FALSE)</f>
        <v>KOI SLAYER B</v>
      </c>
      <c r="E2858" s="5">
        <v>10</v>
      </c>
      <c r="F2858" s="5">
        <f>VLOOKUP(C2858,[1]master_data!$A$2:$E$495,3,FALSE)</f>
        <v>8000</v>
      </c>
      <c r="G2858" s="5">
        <f>VLOOKUP(C2858,[1]master_data!$A$2:$E$495,4,FALSE)</f>
        <v>20000</v>
      </c>
      <c r="H2858" s="5">
        <f t="shared" si="138"/>
        <v>80000</v>
      </c>
      <c r="I2858" s="5">
        <f t="shared" si="139"/>
        <v>200000</v>
      </c>
      <c r="J2858" s="5">
        <f t="shared" si="140"/>
        <v>120000</v>
      </c>
      <c r="K2858" s="5" t="str">
        <f>VLOOKUP(C2858,[1]master_data!$A$2:$E$495,5,FALSE)</f>
        <v>Ikan</v>
      </c>
      <c r="L2858" s="5" t="s">
        <v>471</v>
      </c>
    </row>
    <row r="2859" spans="1:12" ht="12" customHeight="1" x14ac:dyDescent="0.25">
      <c r="A2859" s="6">
        <v>44652</v>
      </c>
      <c r="B2859" s="1">
        <v>2201704</v>
      </c>
      <c r="C2859" s="5" t="s">
        <v>256</v>
      </c>
      <c r="D2859" s="5" t="str">
        <f>VLOOKUP(C2859,[1]master_data!$A$2:$E$495,2,FALSE)</f>
        <v>BACKGROUND</v>
      </c>
      <c r="E2859" s="5">
        <v>1</v>
      </c>
      <c r="F2859" s="5">
        <f>VLOOKUP(C2859,[1]master_data!$A$2:$E$495,3,FALSE)</f>
        <v>8000</v>
      </c>
      <c r="G2859" s="5">
        <f>VLOOKUP(C2859,[1]master_data!$A$2:$E$495,4,FALSE)</f>
        <v>15000</v>
      </c>
      <c r="H2859" s="5">
        <f t="shared" si="138"/>
        <v>8000</v>
      </c>
      <c r="I2859" s="5">
        <f t="shared" si="139"/>
        <v>15000</v>
      </c>
      <c r="J2859" s="5">
        <f t="shared" si="140"/>
        <v>7000</v>
      </c>
      <c r="K2859" s="5" t="str">
        <f>VLOOKUP(C2859,[1]master_data!$A$2:$E$495,5,FALSE)</f>
        <v>Aksesoris</v>
      </c>
      <c r="L2859" s="5" t="s">
        <v>471</v>
      </c>
    </row>
    <row r="2860" spans="1:12" ht="12" customHeight="1" x14ac:dyDescent="0.25">
      <c r="A2860" s="6">
        <v>44652</v>
      </c>
      <c r="B2860" s="1">
        <v>2201703</v>
      </c>
      <c r="C2860" s="5" t="s">
        <v>455</v>
      </c>
      <c r="D2860" s="5" t="str">
        <f>VLOOKUP(C2860,[1]master_data!$A$2:$E$495,2,FALSE)</f>
        <v>TETRA</v>
      </c>
      <c r="E2860" s="5">
        <v>10</v>
      </c>
      <c r="F2860" s="5">
        <f>VLOOKUP(C2860,[1]master_data!$A$2:$E$495,3,FALSE)</f>
        <v>800</v>
      </c>
      <c r="G2860" s="5">
        <f>VLOOKUP(C2860,[1]master_data!$A$2:$E$495,4,FALSE)</f>
        <v>2000</v>
      </c>
      <c r="H2860" s="5">
        <f t="shared" si="138"/>
        <v>8000</v>
      </c>
      <c r="I2860" s="5">
        <f t="shared" si="139"/>
        <v>20000</v>
      </c>
      <c r="J2860" s="5">
        <f t="shared" si="140"/>
        <v>12000</v>
      </c>
      <c r="K2860" s="5" t="str">
        <f>VLOOKUP(C2860,[1]master_data!$A$2:$E$495,5,FALSE)</f>
        <v>Ikan</v>
      </c>
      <c r="L2860" s="5" t="s">
        <v>471</v>
      </c>
    </row>
    <row r="2861" spans="1:12" ht="12" customHeight="1" x14ac:dyDescent="0.25">
      <c r="A2861" s="6">
        <v>44651</v>
      </c>
      <c r="B2861" s="1">
        <v>2201702</v>
      </c>
      <c r="C2861" s="5" t="s">
        <v>246</v>
      </c>
      <c r="D2861" s="5" t="str">
        <f>VLOOKUP(C2861,[1]master_data!$A$2:$E$495,2,FALSE)</f>
        <v>BACTERIAL STATER</v>
      </c>
      <c r="E2861" s="5">
        <v>1</v>
      </c>
      <c r="F2861" s="5">
        <f>VLOOKUP(C2861,[1]master_data!$A$2:$E$495,3,FALSE)</f>
        <v>10000</v>
      </c>
      <c r="G2861" s="5">
        <f>VLOOKUP(C2861,[1]master_data!$A$2:$E$495,4,FALSE)</f>
        <v>15000</v>
      </c>
      <c r="H2861" s="5">
        <f t="shared" si="138"/>
        <v>10000</v>
      </c>
      <c r="I2861" s="5">
        <f t="shared" si="139"/>
        <v>15000</v>
      </c>
      <c r="J2861" s="5">
        <f t="shared" si="140"/>
        <v>5000</v>
      </c>
      <c r="K2861" s="5" t="str">
        <f>VLOOKUP(C2861,[1]master_data!$A$2:$E$495,5,FALSE)</f>
        <v>Aksesoris</v>
      </c>
      <c r="L2861" s="5" t="s">
        <v>471</v>
      </c>
    </row>
    <row r="2862" spans="1:12" ht="12" customHeight="1" x14ac:dyDescent="0.25">
      <c r="A2862" s="6">
        <v>44651</v>
      </c>
      <c r="B2862" s="1">
        <v>2201701</v>
      </c>
      <c r="C2862" s="5" t="s">
        <v>434</v>
      </c>
      <c r="D2862" s="5" t="str">
        <f>VLOOKUP(C2862,[1]master_data!$A$2:$E$495,2,FALSE)</f>
        <v>MOLI PAKAN</v>
      </c>
      <c r="E2862" s="5">
        <v>50</v>
      </c>
      <c r="F2862" s="5">
        <f>VLOOKUP(C2862,[1]master_data!$A$2:$E$495,3,FALSE)</f>
        <v>100</v>
      </c>
      <c r="G2862" s="5">
        <f>VLOOKUP(C2862,[1]master_data!$A$2:$E$495,4,FALSE)</f>
        <v>200</v>
      </c>
      <c r="H2862" s="5">
        <f t="shared" si="138"/>
        <v>5000</v>
      </c>
      <c r="I2862" s="5">
        <f t="shared" si="139"/>
        <v>10000</v>
      </c>
      <c r="J2862" s="5">
        <f t="shared" si="140"/>
        <v>5000</v>
      </c>
      <c r="K2862" s="5" t="str">
        <f>VLOOKUP(C2862,[1]master_data!$A$2:$E$495,5,FALSE)</f>
        <v>Ikan</v>
      </c>
      <c r="L2862" s="5" t="s">
        <v>471</v>
      </c>
    </row>
    <row r="2863" spans="1:12" ht="12" customHeight="1" x14ac:dyDescent="0.25">
      <c r="A2863" s="6">
        <v>44651</v>
      </c>
      <c r="B2863" s="1">
        <v>2201700</v>
      </c>
      <c r="C2863" s="5" t="s">
        <v>434</v>
      </c>
      <c r="D2863" s="5" t="str">
        <f>VLOOKUP(C2863,[1]master_data!$A$2:$E$495,2,FALSE)</f>
        <v>MOLI PAKAN</v>
      </c>
      <c r="E2863" s="5">
        <v>15</v>
      </c>
      <c r="F2863" s="5">
        <f>VLOOKUP(C2863,[1]master_data!$A$2:$E$495,3,FALSE)</f>
        <v>100</v>
      </c>
      <c r="G2863" s="5">
        <f>VLOOKUP(C2863,[1]master_data!$A$2:$E$495,4,FALSE)</f>
        <v>200</v>
      </c>
      <c r="H2863" s="5">
        <f t="shared" si="138"/>
        <v>1500</v>
      </c>
      <c r="I2863" s="5">
        <f t="shared" si="139"/>
        <v>3000</v>
      </c>
      <c r="J2863" s="5">
        <f t="shared" si="140"/>
        <v>1500</v>
      </c>
      <c r="K2863" s="5" t="str">
        <f>VLOOKUP(C2863,[1]master_data!$A$2:$E$495,5,FALSE)</f>
        <v>Ikan</v>
      </c>
      <c r="L2863" s="5" t="s">
        <v>471</v>
      </c>
    </row>
    <row r="2864" spans="1:12" ht="12" customHeight="1" x14ac:dyDescent="0.25">
      <c r="A2864" s="6">
        <v>44651</v>
      </c>
      <c r="B2864" s="1">
        <v>2201699</v>
      </c>
      <c r="C2864" s="5" t="s">
        <v>274</v>
      </c>
      <c r="D2864" s="5" t="str">
        <f>VLOOKUP(C2864,[1]master_data!$A$2:$E$495,2,FALSE)</f>
        <v>JARING 15</v>
      </c>
      <c r="E2864" s="5">
        <v>1</v>
      </c>
      <c r="F2864" s="5">
        <f>VLOOKUP(C2864,[1]master_data!$A$2:$E$495,3,FALSE)</f>
        <v>3750</v>
      </c>
      <c r="G2864" s="5">
        <f>VLOOKUP(C2864,[1]master_data!$A$2:$E$495,4,FALSE)</f>
        <v>8000</v>
      </c>
      <c r="H2864" s="5">
        <f t="shared" si="138"/>
        <v>3750</v>
      </c>
      <c r="I2864" s="5">
        <f t="shared" si="139"/>
        <v>8000</v>
      </c>
      <c r="J2864" s="5">
        <f t="shared" si="140"/>
        <v>4250</v>
      </c>
      <c r="K2864" s="5" t="str">
        <f>VLOOKUP(C2864,[1]master_data!$A$2:$E$495,5,FALSE)</f>
        <v>Aksesoris</v>
      </c>
      <c r="L2864" s="5" t="s">
        <v>471</v>
      </c>
    </row>
    <row r="2865" spans="1:12" ht="12" customHeight="1" x14ac:dyDescent="0.25">
      <c r="A2865" s="6">
        <v>44651</v>
      </c>
      <c r="B2865" s="1">
        <v>2201698</v>
      </c>
      <c r="C2865" s="5" t="s">
        <v>380</v>
      </c>
      <c r="D2865" s="5" t="str">
        <f>VLOOKUP(C2865,[1]master_data!$A$2:$E$495,2,FALSE)</f>
        <v>BATU WARNA BIASA</v>
      </c>
      <c r="E2865" s="5">
        <v>1</v>
      </c>
      <c r="F2865" s="5">
        <f>VLOOKUP(C2865,[1]master_data!$A$2:$E$495,3,FALSE)</f>
        <v>3500</v>
      </c>
      <c r="G2865" s="5">
        <f>VLOOKUP(C2865,[1]master_data!$A$2:$E$495,4,FALSE)</f>
        <v>8000</v>
      </c>
      <c r="H2865" s="5">
        <f t="shared" si="138"/>
        <v>3500</v>
      </c>
      <c r="I2865" s="5">
        <f t="shared" si="139"/>
        <v>8000</v>
      </c>
      <c r="J2865" s="5">
        <f t="shared" si="140"/>
        <v>4500</v>
      </c>
      <c r="K2865" s="5" t="str">
        <f>VLOOKUP(C2865,[1]master_data!$A$2:$E$495,5,FALSE)</f>
        <v>Aksesoris</v>
      </c>
      <c r="L2865" s="5" t="s">
        <v>471</v>
      </c>
    </row>
    <row r="2866" spans="1:12" ht="12" customHeight="1" x14ac:dyDescent="0.25">
      <c r="A2866" s="6">
        <v>44651</v>
      </c>
      <c r="B2866" s="1">
        <v>2201697</v>
      </c>
      <c r="C2866" s="5" t="s">
        <v>387</v>
      </c>
      <c r="D2866" s="5" t="str">
        <f>VLOOKUP(C2866,[1]master_data!$A$2:$E$495,2,FALSE)</f>
        <v>OISTER</v>
      </c>
      <c r="E2866" s="5">
        <v>1</v>
      </c>
      <c r="F2866" s="5">
        <f>VLOOKUP(C2866,[1]master_data!$A$2:$E$495,3,FALSE)</f>
        <v>15000</v>
      </c>
      <c r="G2866" s="5">
        <f>VLOOKUP(C2866,[1]master_data!$A$2:$E$495,4,FALSE)</f>
        <v>25000</v>
      </c>
      <c r="H2866" s="5">
        <f t="shared" si="138"/>
        <v>15000</v>
      </c>
      <c r="I2866" s="5">
        <f t="shared" si="139"/>
        <v>25000</v>
      </c>
      <c r="J2866" s="5">
        <f t="shared" si="140"/>
        <v>10000</v>
      </c>
      <c r="K2866" s="5" t="str">
        <f>VLOOKUP(C2866,[1]master_data!$A$2:$E$495,5,FALSE)</f>
        <v>Aksesoris</v>
      </c>
      <c r="L2866" s="5" t="s">
        <v>471</v>
      </c>
    </row>
    <row r="2867" spans="1:12" ht="12" customHeight="1" x14ac:dyDescent="0.25">
      <c r="A2867" s="6">
        <v>44651</v>
      </c>
      <c r="B2867" s="1">
        <v>2201696</v>
      </c>
      <c r="C2867" s="5" t="s">
        <v>418</v>
      </c>
      <c r="D2867" s="5" t="str">
        <f>VLOOKUP(C2867,[1]master_data!$A$2:$E$495,2,FALSE)</f>
        <v>KOI B</v>
      </c>
      <c r="E2867" s="5">
        <v>2</v>
      </c>
      <c r="F2867" s="5">
        <f>VLOOKUP(C2867,[1]master_data!$A$2:$E$495,3,FALSE)</f>
        <v>9000</v>
      </c>
      <c r="G2867" s="5">
        <f>VLOOKUP(C2867,[1]master_data!$A$2:$E$495,4,FALSE)</f>
        <v>30000</v>
      </c>
      <c r="H2867" s="5">
        <f t="shared" si="138"/>
        <v>18000</v>
      </c>
      <c r="I2867" s="5">
        <f t="shared" si="139"/>
        <v>60000</v>
      </c>
      <c r="J2867" s="5">
        <f t="shared" si="140"/>
        <v>42000</v>
      </c>
      <c r="K2867" s="5" t="str">
        <f>VLOOKUP(C2867,[1]master_data!$A$2:$E$495,5,FALSE)</f>
        <v>Ikan</v>
      </c>
      <c r="L2867" s="5" t="s">
        <v>471</v>
      </c>
    </row>
    <row r="2868" spans="1:12" ht="12" customHeight="1" x14ac:dyDescent="0.25">
      <c r="A2868" s="6">
        <v>44651</v>
      </c>
      <c r="B2868" s="1">
        <v>2201695</v>
      </c>
      <c r="C2868" s="5" t="s">
        <v>425</v>
      </c>
      <c r="D2868" s="5" t="str">
        <f>VLOOKUP(C2868,[1]master_data!$A$2:$E$495,2,FALSE)</f>
        <v>CAROLINE</v>
      </c>
      <c r="E2868" s="5">
        <v>10</v>
      </c>
      <c r="F2868" s="5">
        <f>VLOOKUP(C2868,[1]master_data!$A$2:$E$495,3,FALSE)</f>
        <v>900</v>
      </c>
      <c r="G2868" s="5">
        <f>VLOOKUP(C2868,[1]master_data!$A$2:$E$495,4,FALSE)</f>
        <v>2000</v>
      </c>
      <c r="H2868" s="5">
        <f t="shared" si="138"/>
        <v>9000</v>
      </c>
      <c r="I2868" s="5">
        <f t="shared" si="139"/>
        <v>20000</v>
      </c>
      <c r="J2868" s="5">
        <f t="shared" si="140"/>
        <v>11000</v>
      </c>
      <c r="K2868" s="5" t="str">
        <f>VLOOKUP(C2868,[1]master_data!$A$2:$E$495,5,FALSE)</f>
        <v>Ikan</v>
      </c>
      <c r="L2868" s="5" t="s">
        <v>471</v>
      </c>
    </row>
    <row r="2869" spans="1:12" ht="12" customHeight="1" x14ac:dyDescent="0.25">
      <c r="A2869" s="6">
        <v>44651</v>
      </c>
      <c r="B2869" s="1">
        <v>2201694</v>
      </c>
      <c r="C2869" s="5" t="s">
        <v>445</v>
      </c>
      <c r="D2869" s="5" t="str">
        <f>VLOOKUP(C2869,[1]master_data!$A$2:$E$495,2,FALSE)</f>
        <v>PESO</v>
      </c>
      <c r="E2869" s="5">
        <v>1</v>
      </c>
      <c r="F2869" s="5">
        <f>VLOOKUP(C2869,[1]master_data!$A$2:$E$495,3,FALSE)</f>
        <v>19000</v>
      </c>
      <c r="G2869" s="5">
        <f>VLOOKUP(C2869,[1]master_data!$A$2:$E$495,4,FALSE)</f>
        <v>40000</v>
      </c>
      <c r="H2869" s="5">
        <f t="shared" si="138"/>
        <v>19000</v>
      </c>
      <c r="I2869" s="5">
        <f t="shared" si="139"/>
        <v>40000</v>
      </c>
      <c r="J2869" s="5">
        <f t="shared" si="140"/>
        <v>21000</v>
      </c>
      <c r="K2869" s="5" t="str">
        <f>VLOOKUP(C2869,[1]master_data!$A$2:$E$495,5,FALSE)</f>
        <v>Ikan</v>
      </c>
      <c r="L2869" s="5" t="s">
        <v>471</v>
      </c>
    </row>
    <row r="2870" spans="1:12" ht="12" customHeight="1" x14ac:dyDescent="0.25">
      <c r="A2870" s="6">
        <v>44651</v>
      </c>
      <c r="B2870" s="1">
        <v>2201693</v>
      </c>
      <c r="C2870" s="5" t="s">
        <v>417</v>
      </c>
      <c r="D2870" s="5" t="str">
        <f>VLOOKUP(C2870,[1]master_data!$A$2:$E$495,2,FALSE)</f>
        <v>KOI T</v>
      </c>
      <c r="E2870" s="5">
        <v>5</v>
      </c>
      <c r="F2870" s="5">
        <f>VLOOKUP(C2870,[1]master_data!$A$2:$E$495,3,FALSE)</f>
        <v>7000</v>
      </c>
      <c r="G2870" s="5">
        <f>VLOOKUP(C2870,[1]master_data!$A$2:$E$495,4,FALSE)</f>
        <v>20000</v>
      </c>
      <c r="H2870" s="5">
        <f t="shared" si="138"/>
        <v>35000</v>
      </c>
      <c r="I2870" s="5">
        <f t="shared" si="139"/>
        <v>100000</v>
      </c>
      <c r="J2870" s="5">
        <f t="shared" si="140"/>
        <v>65000</v>
      </c>
      <c r="K2870" s="5" t="str">
        <f>VLOOKUP(C2870,[1]master_data!$A$2:$E$495,5,FALSE)</f>
        <v>Ikan</v>
      </c>
      <c r="L2870" s="5" t="s">
        <v>471</v>
      </c>
    </row>
    <row r="2871" spans="1:12" ht="12" customHeight="1" x14ac:dyDescent="0.25">
      <c r="A2871" s="6">
        <v>44651</v>
      </c>
      <c r="B2871" s="1">
        <v>2201692</v>
      </c>
      <c r="C2871" s="5" t="s">
        <v>431</v>
      </c>
      <c r="D2871" s="5" t="str">
        <f>VLOOKUP(C2871,[1]master_data!$A$2:$E$495,2,FALSE)</f>
        <v>MANFISH B</v>
      </c>
      <c r="E2871" s="5">
        <v>1</v>
      </c>
      <c r="F2871" s="5">
        <f>VLOOKUP(C2871,[1]master_data!$A$2:$E$495,3,FALSE)</f>
        <v>4000</v>
      </c>
      <c r="G2871" s="5">
        <f>VLOOKUP(C2871,[1]master_data!$A$2:$E$495,4,FALSE)</f>
        <v>10000</v>
      </c>
      <c r="H2871" s="5">
        <f t="shared" si="138"/>
        <v>4000</v>
      </c>
      <c r="I2871" s="5">
        <f t="shared" si="139"/>
        <v>10000</v>
      </c>
      <c r="J2871" s="5">
        <f t="shared" si="140"/>
        <v>6000</v>
      </c>
      <c r="K2871" s="5" t="str">
        <f>VLOOKUP(C2871,[1]master_data!$A$2:$E$495,5,FALSE)</f>
        <v>Ikan</v>
      </c>
      <c r="L2871" s="5" t="s">
        <v>471</v>
      </c>
    </row>
    <row r="2872" spans="1:12" ht="12" customHeight="1" x14ac:dyDescent="0.25">
      <c r="A2872" s="6">
        <v>44651</v>
      </c>
      <c r="B2872" s="1">
        <v>2201691</v>
      </c>
      <c r="C2872" s="5" t="s">
        <v>402</v>
      </c>
      <c r="D2872" s="5" t="str">
        <f>VLOOKUP(C2872,[1]master_data!$A$2:$E$495,2,FALSE)</f>
        <v>BLACK GHOST</v>
      </c>
      <c r="E2872" s="5">
        <v>2</v>
      </c>
      <c r="F2872" s="5">
        <f>VLOOKUP(C2872,[1]master_data!$A$2:$E$495,3,FALSE)</f>
        <v>4000</v>
      </c>
      <c r="G2872" s="5">
        <f>VLOOKUP(C2872,[1]master_data!$A$2:$E$495,4,FALSE)</f>
        <v>10000</v>
      </c>
      <c r="H2872" s="5">
        <f t="shared" si="138"/>
        <v>8000</v>
      </c>
      <c r="I2872" s="5">
        <f t="shared" si="139"/>
        <v>20000</v>
      </c>
      <c r="J2872" s="5">
        <f t="shared" si="140"/>
        <v>12000</v>
      </c>
      <c r="K2872" s="5" t="str">
        <f>VLOOKUP(C2872,[1]master_data!$A$2:$E$495,5,FALSE)</f>
        <v>Ikan</v>
      </c>
      <c r="L2872" s="5" t="s">
        <v>471</v>
      </c>
    </row>
    <row r="2873" spans="1:12" ht="12" customHeight="1" x14ac:dyDescent="0.25">
      <c r="A2873" s="6">
        <v>44651</v>
      </c>
      <c r="B2873" s="1">
        <v>2201690</v>
      </c>
      <c r="C2873" s="5" t="s">
        <v>394</v>
      </c>
      <c r="D2873" s="5" t="str">
        <f>VLOOKUP(C2873,[1]master_data!$A$2:$E$495,2,FALSE)</f>
        <v>ARWANA SILVER K</v>
      </c>
      <c r="E2873" s="5">
        <v>1</v>
      </c>
      <c r="F2873" s="5">
        <f>VLOOKUP(C2873,[1]master_data!$A$2:$E$495,3,FALSE)</f>
        <v>100000</v>
      </c>
      <c r="G2873" s="5">
        <f>VLOOKUP(C2873,[1]master_data!$A$2:$E$495,4,FALSE)</f>
        <v>200000</v>
      </c>
      <c r="H2873" s="5">
        <f t="shared" si="138"/>
        <v>100000</v>
      </c>
      <c r="I2873" s="5">
        <f t="shared" si="139"/>
        <v>200000</v>
      </c>
      <c r="J2873" s="5">
        <f t="shared" si="140"/>
        <v>100000</v>
      </c>
      <c r="K2873" s="5" t="str">
        <f>VLOOKUP(C2873,[1]master_data!$A$2:$E$495,5,FALSE)</f>
        <v>Ikan</v>
      </c>
      <c r="L2873" s="5" t="s">
        <v>471</v>
      </c>
    </row>
    <row r="2874" spans="1:12" ht="12" customHeight="1" x14ac:dyDescent="0.25">
      <c r="A2874" s="6">
        <v>44651</v>
      </c>
      <c r="B2874" s="1">
        <v>2201689</v>
      </c>
      <c r="C2874" s="5" t="s">
        <v>453</v>
      </c>
      <c r="D2874" s="5" t="str">
        <f>VLOOKUP(C2874,[1]master_data!$A$2:$E$495,2,FALSE)</f>
        <v>SYNODONTIS K</v>
      </c>
      <c r="E2874" s="5">
        <v>3</v>
      </c>
      <c r="F2874" s="5">
        <f>VLOOKUP(C2874,[1]master_data!$A$2:$E$495,3,FALSE)</f>
        <v>1500</v>
      </c>
      <c r="G2874" s="5">
        <f>VLOOKUP(C2874,[1]master_data!$A$2:$E$495,4,FALSE)</f>
        <v>5000</v>
      </c>
      <c r="H2874" s="5">
        <f t="shared" si="138"/>
        <v>4500</v>
      </c>
      <c r="I2874" s="5">
        <f t="shared" si="139"/>
        <v>15000</v>
      </c>
      <c r="J2874" s="5">
        <f t="shared" si="140"/>
        <v>10500</v>
      </c>
      <c r="K2874" s="5" t="str">
        <f>VLOOKUP(C2874,[1]master_data!$A$2:$E$495,5,FALSE)</f>
        <v>Ikan</v>
      </c>
      <c r="L2874" s="5" t="s">
        <v>471</v>
      </c>
    </row>
    <row r="2875" spans="1:12" ht="12" customHeight="1" x14ac:dyDescent="0.25">
      <c r="A2875" s="6">
        <v>44651</v>
      </c>
      <c r="B2875" s="1">
        <v>2201688</v>
      </c>
      <c r="C2875" s="5" t="s">
        <v>415</v>
      </c>
      <c r="D2875" s="5" t="str">
        <f>VLOOKUP(C2875,[1]master_data!$A$2:$E$495,2,FALSE)</f>
        <v>KOKI B</v>
      </c>
      <c r="E2875" s="5">
        <v>2</v>
      </c>
      <c r="F2875" s="5">
        <f>VLOOKUP(C2875,[1]master_data!$A$2:$E$495,3,FALSE)</f>
        <v>20000</v>
      </c>
      <c r="G2875" s="5">
        <f>VLOOKUP(C2875,[1]master_data!$A$2:$E$495,4,FALSE)</f>
        <v>50000</v>
      </c>
      <c r="H2875" s="5">
        <f t="shared" si="138"/>
        <v>40000</v>
      </c>
      <c r="I2875" s="5">
        <f t="shared" si="139"/>
        <v>100000</v>
      </c>
      <c r="J2875" s="5">
        <f t="shared" si="140"/>
        <v>60000</v>
      </c>
      <c r="K2875" s="5" t="str">
        <f>VLOOKUP(C2875,[1]master_data!$A$2:$E$495,5,FALSE)</f>
        <v>Ikan</v>
      </c>
      <c r="L2875" s="5" t="s">
        <v>471</v>
      </c>
    </row>
    <row r="2876" spans="1:12" ht="12" customHeight="1" x14ac:dyDescent="0.25">
      <c r="A2876" s="6">
        <v>44651</v>
      </c>
      <c r="B2876" s="1">
        <v>2201687</v>
      </c>
      <c r="C2876" s="5" t="s">
        <v>342</v>
      </c>
      <c r="D2876" s="5" t="str">
        <f>VLOOKUP(C2876,[1]master_data!$A$2:$E$495,2,FALSE)</f>
        <v>KUTUB LAS</v>
      </c>
      <c r="E2876" s="5">
        <v>1</v>
      </c>
      <c r="F2876" s="5">
        <f>VLOOKUP(C2876,[1]master_data!$A$2:$E$495,3,FALSE)</f>
        <v>15000</v>
      </c>
      <c r="G2876" s="5">
        <f>VLOOKUP(C2876,[1]master_data!$A$2:$E$495,4,FALSE)</f>
        <v>25000</v>
      </c>
      <c r="H2876" s="5">
        <f t="shared" si="138"/>
        <v>15000</v>
      </c>
      <c r="I2876" s="5">
        <f t="shared" si="139"/>
        <v>25000</v>
      </c>
      <c r="J2876" s="5">
        <f t="shared" si="140"/>
        <v>10000</v>
      </c>
      <c r="K2876" s="5" t="str">
        <f>VLOOKUP(C2876,[1]master_data!$A$2:$E$495,5,FALSE)</f>
        <v>Aksesoris</v>
      </c>
      <c r="L2876" s="5" t="s">
        <v>471</v>
      </c>
    </row>
    <row r="2877" spans="1:12" ht="12" customHeight="1" x14ac:dyDescent="0.25">
      <c r="A2877" s="6">
        <v>44651</v>
      </c>
      <c r="B2877" s="1">
        <v>2201686</v>
      </c>
      <c r="C2877" s="5" t="s">
        <v>443</v>
      </c>
      <c r="D2877" s="5" t="str">
        <f>VLOOKUP(C2877,[1]master_data!$A$2:$E$495,2,FALSE)</f>
        <v>PALMAS</v>
      </c>
      <c r="E2877" s="5">
        <v>2</v>
      </c>
      <c r="F2877" s="5">
        <f>VLOOKUP(C2877,[1]master_data!$A$2:$E$495,3,FALSE)</f>
        <v>10000</v>
      </c>
      <c r="G2877" s="5">
        <f>VLOOKUP(C2877,[1]master_data!$A$2:$E$495,4,FALSE)</f>
        <v>25000</v>
      </c>
      <c r="H2877" s="5">
        <f t="shared" si="138"/>
        <v>20000</v>
      </c>
      <c r="I2877" s="5">
        <f t="shared" si="139"/>
        <v>50000</v>
      </c>
      <c r="J2877" s="5">
        <f t="shared" si="140"/>
        <v>30000</v>
      </c>
      <c r="K2877" s="5" t="str">
        <f>VLOOKUP(C2877,[1]master_data!$A$2:$E$495,5,FALSE)</f>
        <v>Ikan</v>
      </c>
      <c r="L2877" s="5" t="s">
        <v>471</v>
      </c>
    </row>
    <row r="2878" spans="1:12" ht="12" customHeight="1" x14ac:dyDescent="0.25">
      <c r="A2878" s="6">
        <v>44651</v>
      </c>
      <c r="B2878" s="1">
        <v>2201685</v>
      </c>
      <c r="C2878" s="5" t="s">
        <v>427</v>
      </c>
      <c r="D2878" s="5" t="str">
        <f>VLOOKUP(C2878,[1]master_data!$A$2:$E$495,2,FALSE)</f>
        <v>LEMON</v>
      </c>
      <c r="E2878" s="5">
        <v>10</v>
      </c>
      <c r="F2878" s="5">
        <f>VLOOKUP(C2878,[1]master_data!$A$2:$E$495,3,FALSE)</f>
        <v>1000</v>
      </c>
      <c r="G2878" s="5">
        <f>VLOOKUP(C2878,[1]master_data!$A$2:$E$495,4,FALSE)</f>
        <v>2000</v>
      </c>
      <c r="H2878" s="5">
        <f t="shared" si="138"/>
        <v>10000</v>
      </c>
      <c r="I2878" s="5">
        <f t="shared" si="139"/>
        <v>20000</v>
      </c>
      <c r="J2878" s="5">
        <f t="shared" si="140"/>
        <v>10000</v>
      </c>
      <c r="K2878" s="5" t="str">
        <f>VLOOKUP(C2878,[1]master_data!$A$2:$E$495,5,FALSE)</f>
        <v>Ikan</v>
      </c>
      <c r="L2878" s="5" t="s">
        <v>471</v>
      </c>
    </row>
    <row r="2879" spans="1:12" ht="12" customHeight="1" x14ac:dyDescent="0.25">
      <c r="A2879" s="6">
        <v>44651</v>
      </c>
      <c r="B2879" s="1">
        <v>2201684</v>
      </c>
      <c r="C2879" s="5" t="s">
        <v>432</v>
      </c>
      <c r="D2879" s="5" t="str">
        <f>VLOOKUP(C2879,[1]master_data!$A$2:$E$495,2,FALSE)</f>
        <v>MARU K</v>
      </c>
      <c r="E2879" s="5">
        <v>1</v>
      </c>
      <c r="F2879" s="5">
        <f>VLOOKUP(C2879,[1]master_data!$A$2:$E$495,3,FALSE)</f>
        <v>23000</v>
      </c>
      <c r="G2879" s="5">
        <f>VLOOKUP(C2879,[1]master_data!$A$2:$E$495,4,FALSE)</f>
        <v>50000</v>
      </c>
      <c r="H2879" s="5">
        <f t="shared" si="138"/>
        <v>23000</v>
      </c>
      <c r="I2879" s="5">
        <f t="shared" si="139"/>
        <v>50000</v>
      </c>
      <c r="J2879" s="5">
        <f t="shared" si="140"/>
        <v>27000</v>
      </c>
      <c r="K2879" s="5" t="str">
        <f>VLOOKUP(C2879,[1]master_data!$A$2:$E$495,5,FALSE)</f>
        <v>Ikan</v>
      </c>
      <c r="L2879" s="5" t="s">
        <v>471</v>
      </c>
    </row>
    <row r="2880" spans="1:12" ht="12" customHeight="1" x14ac:dyDescent="0.25">
      <c r="A2880" s="6">
        <v>44651</v>
      </c>
      <c r="B2880" s="1">
        <v>2201683</v>
      </c>
      <c r="C2880" s="5" t="s">
        <v>267</v>
      </c>
      <c r="D2880" s="5" t="str">
        <f>VLOOKUP(C2880,[1]master_data!$A$2:$E$495,2,FALSE)</f>
        <v>GARAM</v>
      </c>
      <c r="E2880" s="5">
        <v>1</v>
      </c>
      <c r="F2880" s="5">
        <f>VLOOKUP(C2880,[1]master_data!$A$2:$E$495,3,FALSE)</f>
        <v>3000</v>
      </c>
      <c r="G2880" s="5">
        <f>VLOOKUP(C2880,[1]master_data!$A$2:$E$495,4,FALSE)</f>
        <v>5000</v>
      </c>
      <c r="H2880" s="5">
        <f t="shared" si="138"/>
        <v>3000</v>
      </c>
      <c r="I2880" s="5">
        <f t="shared" si="139"/>
        <v>5000</v>
      </c>
      <c r="J2880" s="5">
        <f t="shared" si="140"/>
        <v>2000</v>
      </c>
      <c r="K2880" s="5" t="str">
        <f>VLOOKUP(C2880,[1]master_data!$A$2:$E$495,5,FALSE)</f>
        <v>Aksesoris</v>
      </c>
      <c r="L2880" s="5" t="s">
        <v>471</v>
      </c>
    </row>
    <row r="2881" spans="1:12" ht="12" customHeight="1" x14ac:dyDescent="0.25">
      <c r="A2881" s="6">
        <v>44650</v>
      </c>
      <c r="B2881" s="1">
        <v>2201682</v>
      </c>
      <c r="C2881" s="5" t="s">
        <v>389</v>
      </c>
      <c r="D2881" s="5" t="str">
        <f>VLOOKUP(C2881,[1]master_data!$A$2:$E$495,2,FALSE)</f>
        <v>BATU ALAM B</v>
      </c>
      <c r="E2881" s="5">
        <v>1</v>
      </c>
      <c r="F2881" s="5">
        <f>VLOOKUP(C2881,[1]master_data!$A$2:$E$495,3,FALSE)</f>
        <v>17000</v>
      </c>
      <c r="G2881" s="5">
        <f>VLOOKUP(C2881,[1]master_data!$A$2:$E$495,4,FALSE)</f>
        <v>30000</v>
      </c>
      <c r="H2881" s="5">
        <f t="shared" si="138"/>
        <v>17000</v>
      </c>
      <c r="I2881" s="5">
        <f t="shared" si="139"/>
        <v>30000</v>
      </c>
      <c r="J2881" s="5">
        <f t="shared" si="140"/>
        <v>13000</v>
      </c>
      <c r="K2881" s="5" t="str">
        <f>VLOOKUP(C2881,[1]master_data!$A$2:$E$495,5,FALSE)</f>
        <v>Aksesoris</v>
      </c>
      <c r="L2881" s="5" t="s">
        <v>471</v>
      </c>
    </row>
    <row r="2882" spans="1:12" ht="12" customHeight="1" x14ac:dyDescent="0.25">
      <c r="A2882" s="6">
        <v>44650</v>
      </c>
      <c r="B2882" s="1">
        <v>2201681</v>
      </c>
      <c r="C2882" s="5" t="s">
        <v>204</v>
      </c>
      <c r="D2882" s="5" t="str">
        <f>VLOOKUP(C2882,[1]master_data!$A$2:$E$495,2,FALSE)</f>
        <v>MAGOT</v>
      </c>
      <c r="E2882" s="5">
        <v>1</v>
      </c>
      <c r="F2882" s="5">
        <f>VLOOKUP(C2882,[1]master_data!$A$2:$E$495,3,FALSE)</f>
        <v>4500</v>
      </c>
      <c r="G2882" s="5">
        <f>VLOOKUP(C2882,[1]master_data!$A$2:$E$495,4,FALSE)</f>
        <v>10000</v>
      </c>
      <c r="H2882" s="5">
        <f t="shared" si="138"/>
        <v>4500</v>
      </c>
      <c r="I2882" s="5">
        <f t="shared" si="139"/>
        <v>10000</v>
      </c>
      <c r="J2882" s="5">
        <f t="shared" si="140"/>
        <v>5500</v>
      </c>
      <c r="K2882" s="5" t="str">
        <f>VLOOKUP(C2882,[1]master_data!$A$2:$E$495,5,FALSE)</f>
        <v>Aksesoris</v>
      </c>
      <c r="L2882" s="5" t="s">
        <v>471</v>
      </c>
    </row>
    <row r="2883" spans="1:12" ht="12" customHeight="1" x14ac:dyDescent="0.25">
      <c r="A2883" s="6">
        <v>44650</v>
      </c>
      <c r="B2883" s="1">
        <v>2201680</v>
      </c>
      <c r="C2883" s="5" t="s">
        <v>399</v>
      </c>
      <c r="D2883" s="5" t="str">
        <f>VLOOKUP(C2883,[1]master_data!$A$2:$E$495,2,FALSE)</f>
        <v>BUENOS AIRES TETRA</v>
      </c>
      <c r="E2883" s="5">
        <v>10</v>
      </c>
      <c r="F2883" s="5">
        <f>VLOOKUP(C2883,[1]master_data!$A$2:$E$495,3,FALSE)</f>
        <v>800</v>
      </c>
      <c r="G2883" s="5">
        <f>VLOOKUP(C2883,[1]master_data!$A$2:$E$495,4,FALSE)</f>
        <v>2000</v>
      </c>
      <c r="H2883" s="5">
        <f t="shared" si="138"/>
        <v>8000</v>
      </c>
      <c r="I2883" s="5">
        <f t="shared" si="139"/>
        <v>20000</v>
      </c>
      <c r="J2883" s="5">
        <f t="shared" si="140"/>
        <v>12000</v>
      </c>
      <c r="K2883" s="5" t="str">
        <f>VLOOKUP(C2883,[1]master_data!$A$2:$E$495,5,FALSE)</f>
        <v>Ikan</v>
      </c>
      <c r="L2883" s="5" t="s">
        <v>471</v>
      </c>
    </row>
    <row r="2884" spans="1:12" ht="12" customHeight="1" x14ac:dyDescent="0.25">
      <c r="A2884" s="6">
        <v>44650</v>
      </c>
      <c r="B2884" s="1">
        <v>2201679</v>
      </c>
      <c r="C2884" s="5" t="s">
        <v>257</v>
      </c>
      <c r="D2884" s="5" t="str">
        <f>VLOOKUP(C2884,[1]master_data!$A$2:$E$495,2,FALSE)</f>
        <v>BILTS K</v>
      </c>
      <c r="E2884" s="5">
        <v>1</v>
      </c>
      <c r="F2884" s="5">
        <f>VLOOKUP(C2884,[1]master_data!$A$2:$E$495,3,FALSE)</f>
        <v>5000</v>
      </c>
      <c r="G2884" s="5">
        <f>VLOOKUP(C2884,[1]master_data!$A$2:$E$495,4,FALSE)</f>
        <v>7000</v>
      </c>
      <c r="H2884" s="5">
        <f t="shared" si="138"/>
        <v>5000</v>
      </c>
      <c r="I2884" s="5">
        <f t="shared" si="139"/>
        <v>7000</v>
      </c>
      <c r="J2884" s="5">
        <f t="shared" si="140"/>
        <v>2000</v>
      </c>
      <c r="K2884" s="5" t="str">
        <f>VLOOKUP(C2884,[1]master_data!$A$2:$E$495,5,FALSE)</f>
        <v>Aksesoris</v>
      </c>
      <c r="L2884" s="5" t="s">
        <v>471</v>
      </c>
    </row>
    <row r="2885" spans="1:12" ht="12" customHeight="1" x14ac:dyDescent="0.25">
      <c r="A2885" s="6">
        <v>44650</v>
      </c>
      <c r="B2885" s="1">
        <v>2201678</v>
      </c>
      <c r="C2885" s="5" t="s">
        <v>255</v>
      </c>
      <c r="D2885" s="5" t="str">
        <f>VLOOKUP(C2885,[1]master_data!$A$2:$E$495,2,FALSE)</f>
        <v>ACRIPLAVIN</v>
      </c>
      <c r="E2885" s="5">
        <v>1</v>
      </c>
      <c r="F2885" s="5">
        <f>VLOOKUP(C2885,[1]master_data!$A$2:$E$495,3,FALSE)</f>
        <v>3000</v>
      </c>
      <c r="G2885" s="5">
        <f>VLOOKUP(C2885,[1]master_data!$A$2:$E$495,4,FALSE)</f>
        <v>8000</v>
      </c>
      <c r="H2885" s="5">
        <f t="shared" ref="H2885:H2948" si="141">E2885*F2885</f>
        <v>3000</v>
      </c>
      <c r="I2885" s="5">
        <f t="shared" ref="I2885:I2948" si="142">E2885*G2885</f>
        <v>8000</v>
      </c>
      <c r="J2885" s="5">
        <f t="shared" ref="J2885:J2948" si="143">I2885-H2885</f>
        <v>5000</v>
      </c>
      <c r="K2885" s="5" t="str">
        <f>VLOOKUP(C2885,[1]master_data!$A$2:$E$495,5,FALSE)</f>
        <v>Aksesoris</v>
      </c>
      <c r="L2885" s="5" t="s">
        <v>471</v>
      </c>
    </row>
    <row r="2886" spans="1:12" ht="12" customHeight="1" x14ac:dyDescent="0.25">
      <c r="A2886" s="6">
        <v>44650</v>
      </c>
      <c r="B2886" s="1">
        <v>2201677</v>
      </c>
      <c r="C2886" s="5" t="s">
        <v>201</v>
      </c>
      <c r="D2886" s="5" t="str">
        <f>VLOOKUP(C2886,[1]master_data!$A$2:$E$495,2,FALSE)</f>
        <v>AGARU</v>
      </c>
      <c r="E2886" s="5">
        <v>2</v>
      </c>
      <c r="F2886" s="5">
        <f>VLOOKUP(C2886,[1]master_data!$A$2:$E$495,3,FALSE)</f>
        <v>6800</v>
      </c>
      <c r="G2886" s="5">
        <f>VLOOKUP(C2886,[1]master_data!$A$2:$E$495,4,FALSE)</f>
        <v>10000</v>
      </c>
      <c r="H2886" s="5">
        <f t="shared" si="141"/>
        <v>13600</v>
      </c>
      <c r="I2886" s="5">
        <f t="shared" si="142"/>
        <v>20000</v>
      </c>
      <c r="J2886" s="5">
        <f t="shared" si="143"/>
        <v>6400</v>
      </c>
      <c r="K2886" s="5" t="str">
        <f>VLOOKUP(C2886,[1]master_data!$A$2:$E$495,5,FALSE)</f>
        <v>Aksesoris</v>
      </c>
      <c r="L2886" s="5" t="s">
        <v>471</v>
      </c>
    </row>
    <row r="2887" spans="1:12" ht="12" customHeight="1" x14ac:dyDescent="0.25">
      <c r="A2887" s="6">
        <v>44650</v>
      </c>
      <c r="B2887" s="1">
        <v>2201676</v>
      </c>
      <c r="C2887" s="5" t="s">
        <v>409</v>
      </c>
      <c r="D2887" s="5" t="str">
        <f>VLOOKUP(C2887,[1]master_data!$A$2:$E$495,2,FALSE)</f>
        <v>GOLD FISH</v>
      </c>
      <c r="E2887" s="5">
        <v>10</v>
      </c>
      <c r="F2887" s="5">
        <f>VLOOKUP(C2887,[1]master_data!$A$2:$E$495,3,FALSE)</f>
        <v>800</v>
      </c>
      <c r="G2887" s="5">
        <f>VLOOKUP(C2887,[1]master_data!$A$2:$E$495,4,FALSE)</f>
        <v>2000</v>
      </c>
      <c r="H2887" s="5">
        <f t="shared" si="141"/>
        <v>8000</v>
      </c>
      <c r="I2887" s="5">
        <f t="shared" si="142"/>
        <v>20000</v>
      </c>
      <c r="J2887" s="5">
        <f t="shared" si="143"/>
        <v>12000</v>
      </c>
      <c r="K2887" s="5" t="str">
        <f>VLOOKUP(C2887,[1]master_data!$A$2:$E$495,5,FALSE)</f>
        <v>Ikan</v>
      </c>
      <c r="L2887" s="5" t="s">
        <v>471</v>
      </c>
    </row>
    <row r="2888" spans="1:12" ht="12" customHeight="1" x14ac:dyDescent="0.25">
      <c r="A2888" s="6">
        <v>44650</v>
      </c>
      <c r="B2888" s="1">
        <v>2201675</v>
      </c>
      <c r="C2888" s="5" t="s">
        <v>392</v>
      </c>
      <c r="D2888" s="5" t="str">
        <f>VLOOKUP(C2888,[1]master_data!$A$2:$E$495,2,FALSE)</f>
        <v>CHANNA ASIATICA B</v>
      </c>
      <c r="E2888" s="5">
        <v>1</v>
      </c>
      <c r="F2888" s="5">
        <f>VLOOKUP(C2888,[1]master_data!$A$2:$E$495,3,FALSE)</f>
        <v>40000</v>
      </c>
      <c r="G2888" s="5">
        <f>VLOOKUP(C2888,[1]master_data!$A$2:$E$495,4,FALSE)</f>
        <v>100000</v>
      </c>
      <c r="H2888" s="5">
        <f t="shared" si="141"/>
        <v>40000</v>
      </c>
      <c r="I2888" s="5">
        <f t="shared" si="142"/>
        <v>100000</v>
      </c>
      <c r="J2888" s="5">
        <f t="shared" si="143"/>
        <v>60000</v>
      </c>
      <c r="K2888" s="5" t="str">
        <f>VLOOKUP(C2888,[1]master_data!$A$2:$E$495,5,FALSE)</f>
        <v>Ikan</v>
      </c>
      <c r="L2888" s="5" t="s">
        <v>471</v>
      </c>
    </row>
    <row r="2889" spans="1:12" ht="12" customHeight="1" x14ac:dyDescent="0.25">
      <c r="A2889" s="6">
        <v>44650</v>
      </c>
      <c r="B2889" s="1">
        <v>2201674</v>
      </c>
      <c r="C2889" s="5" t="s">
        <v>461</v>
      </c>
      <c r="D2889" s="5" t="str">
        <f>VLOOKUP(C2889,[1]master_data!$A$2:$E$495,2,FALSE)</f>
        <v>SEPAT</v>
      </c>
      <c r="E2889" s="5">
        <v>5</v>
      </c>
      <c r="F2889" s="5">
        <f>VLOOKUP(C2889,[1]master_data!$A$2:$E$495,3,FALSE)</f>
        <v>600</v>
      </c>
      <c r="G2889" s="5">
        <f>VLOOKUP(C2889,[1]master_data!$A$2:$E$495,4,FALSE)</f>
        <v>2000</v>
      </c>
      <c r="H2889" s="5">
        <f t="shared" si="141"/>
        <v>3000</v>
      </c>
      <c r="I2889" s="5">
        <f t="shared" si="142"/>
        <v>10000</v>
      </c>
      <c r="J2889" s="5">
        <f t="shared" si="143"/>
        <v>7000</v>
      </c>
      <c r="K2889" s="5" t="str">
        <f>VLOOKUP(C2889,[1]master_data!$A$2:$E$495,5,FALSE)</f>
        <v>Ikan</v>
      </c>
      <c r="L2889" s="5" t="s">
        <v>471</v>
      </c>
    </row>
    <row r="2890" spans="1:12" ht="12" customHeight="1" x14ac:dyDescent="0.25">
      <c r="A2890" s="6">
        <v>44650</v>
      </c>
      <c r="B2890" s="1">
        <v>2201673</v>
      </c>
      <c r="C2890" s="5" t="s">
        <v>406</v>
      </c>
      <c r="D2890" s="5" t="str">
        <f>VLOOKUP(C2890,[1]master_data!$A$2:$E$495,2,FALSE)</f>
        <v>BARBIR</v>
      </c>
      <c r="E2890" s="5">
        <v>10</v>
      </c>
      <c r="F2890" s="5">
        <f>VLOOKUP(C2890,[1]master_data!$A$2:$E$495,3,FALSE)</f>
        <v>800</v>
      </c>
      <c r="G2890" s="5">
        <f>VLOOKUP(C2890,[1]master_data!$A$2:$E$495,4,FALSE)</f>
        <v>2000</v>
      </c>
      <c r="H2890" s="5">
        <f t="shared" si="141"/>
        <v>8000</v>
      </c>
      <c r="I2890" s="5">
        <f t="shared" si="142"/>
        <v>20000</v>
      </c>
      <c r="J2890" s="5">
        <f t="shared" si="143"/>
        <v>12000</v>
      </c>
      <c r="K2890" s="5" t="str">
        <f>VLOOKUP(C2890,[1]master_data!$A$2:$E$495,5,FALSE)</f>
        <v>Ikan</v>
      </c>
      <c r="L2890" s="5" t="s">
        <v>471</v>
      </c>
    </row>
    <row r="2891" spans="1:12" ht="12" customHeight="1" x14ac:dyDescent="0.25">
      <c r="A2891" s="6">
        <v>44650</v>
      </c>
      <c r="B2891" s="1">
        <v>2201672</v>
      </c>
      <c r="C2891" s="5" t="s">
        <v>403</v>
      </c>
      <c r="D2891" s="5" t="str">
        <f>VLOOKUP(C2891,[1]master_data!$A$2:$E$495,2,FALSE)</f>
        <v>CHANNA BLUE PULCHRA K</v>
      </c>
      <c r="E2891" s="5">
        <v>1</v>
      </c>
      <c r="F2891" s="5">
        <f>VLOOKUP(C2891,[1]master_data!$A$2:$E$495,3,FALSE)</f>
        <v>25000</v>
      </c>
      <c r="G2891" s="5">
        <f>VLOOKUP(C2891,[1]master_data!$A$2:$E$495,4,FALSE)</f>
        <v>50000</v>
      </c>
      <c r="H2891" s="5">
        <f t="shared" si="141"/>
        <v>25000</v>
      </c>
      <c r="I2891" s="5">
        <f t="shared" si="142"/>
        <v>50000</v>
      </c>
      <c r="J2891" s="5">
        <f t="shared" si="143"/>
        <v>25000</v>
      </c>
      <c r="K2891" s="5" t="str">
        <f>VLOOKUP(C2891,[1]master_data!$A$2:$E$495,5,FALSE)</f>
        <v>Ikan</v>
      </c>
      <c r="L2891" s="5" t="s">
        <v>471</v>
      </c>
    </row>
    <row r="2892" spans="1:12" ht="12" customHeight="1" x14ac:dyDescent="0.25">
      <c r="A2892" s="6">
        <v>44650</v>
      </c>
      <c r="B2892" s="1">
        <v>2201671</v>
      </c>
      <c r="C2892" s="5" t="s">
        <v>462</v>
      </c>
      <c r="D2892" s="5" t="str">
        <f>VLOOKUP(C2892,[1]master_data!$A$2:$E$495,2,FALSE)</f>
        <v>SEPAT ALBINO</v>
      </c>
      <c r="E2892" s="5">
        <v>2</v>
      </c>
      <c r="F2892" s="5">
        <f>VLOOKUP(C2892,[1]master_data!$A$2:$E$495,3,FALSE)</f>
        <v>2000</v>
      </c>
      <c r="G2892" s="5">
        <f>VLOOKUP(C2892,[1]master_data!$A$2:$E$495,4,FALSE)</f>
        <v>5000</v>
      </c>
      <c r="H2892" s="5">
        <f t="shared" si="141"/>
        <v>4000</v>
      </c>
      <c r="I2892" s="5">
        <f t="shared" si="142"/>
        <v>10000</v>
      </c>
      <c r="J2892" s="5">
        <f t="shared" si="143"/>
        <v>6000</v>
      </c>
      <c r="K2892" s="5" t="str">
        <f>VLOOKUP(C2892,[1]master_data!$A$2:$E$495,5,FALSE)</f>
        <v>Ikan</v>
      </c>
      <c r="L2892" s="5" t="s">
        <v>471</v>
      </c>
    </row>
    <row r="2893" spans="1:12" ht="12" customHeight="1" x14ac:dyDescent="0.25">
      <c r="A2893" s="6">
        <v>44650</v>
      </c>
      <c r="B2893" s="1">
        <v>2201670</v>
      </c>
      <c r="C2893" s="5" t="s">
        <v>419</v>
      </c>
      <c r="D2893" s="5" t="str">
        <f>VLOOKUP(C2893,[1]master_data!$A$2:$E$495,2,FALSE)</f>
        <v>KURA - KURA</v>
      </c>
      <c r="E2893" s="5">
        <v>1</v>
      </c>
      <c r="F2893" s="5">
        <f>VLOOKUP(C2893,[1]master_data!$A$2:$E$495,3,FALSE)</f>
        <v>25000</v>
      </c>
      <c r="G2893" s="5">
        <f>VLOOKUP(C2893,[1]master_data!$A$2:$E$495,4,FALSE)</f>
        <v>35000</v>
      </c>
      <c r="H2893" s="5">
        <f t="shared" si="141"/>
        <v>25000</v>
      </c>
      <c r="I2893" s="5">
        <f t="shared" si="142"/>
        <v>35000</v>
      </c>
      <c r="J2893" s="5">
        <f t="shared" si="143"/>
        <v>10000</v>
      </c>
      <c r="K2893" s="5" t="str">
        <f>VLOOKUP(C2893,[1]master_data!$A$2:$E$495,5,FALSE)</f>
        <v>Ikan</v>
      </c>
      <c r="L2893" s="5" t="s">
        <v>471</v>
      </c>
    </row>
    <row r="2894" spans="1:12" ht="12" customHeight="1" x14ac:dyDescent="0.25">
      <c r="A2894" s="6">
        <v>44650</v>
      </c>
      <c r="B2894" s="1">
        <v>2201669</v>
      </c>
      <c r="C2894" s="5" t="s">
        <v>455</v>
      </c>
      <c r="D2894" s="5" t="str">
        <f>VLOOKUP(C2894,[1]master_data!$A$2:$E$495,2,FALSE)</f>
        <v>TETRA</v>
      </c>
      <c r="E2894" s="5">
        <v>10</v>
      </c>
      <c r="F2894" s="5">
        <f>VLOOKUP(C2894,[1]master_data!$A$2:$E$495,3,FALSE)</f>
        <v>800</v>
      </c>
      <c r="G2894" s="5">
        <f>VLOOKUP(C2894,[1]master_data!$A$2:$E$495,4,FALSE)</f>
        <v>2000</v>
      </c>
      <c r="H2894" s="5">
        <f t="shared" si="141"/>
        <v>8000</v>
      </c>
      <c r="I2894" s="5">
        <f t="shared" si="142"/>
        <v>20000</v>
      </c>
      <c r="J2894" s="5">
        <f t="shared" si="143"/>
        <v>12000</v>
      </c>
      <c r="K2894" s="5" t="str">
        <f>VLOOKUP(C2894,[1]master_data!$A$2:$E$495,5,FALSE)</f>
        <v>Ikan</v>
      </c>
      <c r="L2894" s="5" t="s">
        <v>471</v>
      </c>
    </row>
    <row r="2895" spans="1:12" ht="12" customHeight="1" x14ac:dyDescent="0.25">
      <c r="A2895" s="6">
        <v>44650</v>
      </c>
      <c r="B2895" s="1">
        <v>2201668</v>
      </c>
      <c r="C2895" s="5" t="s">
        <v>451</v>
      </c>
      <c r="D2895" s="5" t="str">
        <f>VLOOKUP(C2895,[1]master_data!$A$2:$E$495,2,FALSE)</f>
        <v>SUMATRA GOLD FISH</v>
      </c>
      <c r="E2895" s="5">
        <v>5</v>
      </c>
      <c r="F2895" s="5">
        <f>VLOOKUP(C2895,[1]master_data!$A$2:$E$495,3,FALSE)</f>
        <v>2500</v>
      </c>
      <c r="G2895" s="5">
        <f>VLOOKUP(C2895,[1]master_data!$A$2:$E$495,4,FALSE)</f>
        <v>4000</v>
      </c>
      <c r="H2895" s="5">
        <f t="shared" si="141"/>
        <v>12500</v>
      </c>
      <c r="I2895" s="5">
        <f t="shared" si="142"/>
        <v>20000</v>
      </c>
      <c r="J2895" s="5">
        <f t="shared" si="143"/>
        <v>7500</v>
      </c>
      <c r="K2895" s="5" t="str">
        <f>VLOOKUP(C2895,[1]master_data!$A$2:$E$495,5,FALSE)</f>
        <v>Ikan</v>
      </c>
      <c r="L2895" s="5" t="s">
        <v>471</v>
      </c>
    </row>
    <row r="2896" spans="1:12" ht="12" customHeight="1" x14ac:dyDescent="0.25">
      <c r="A2896" s="6">
        <v>44650</v>
      </c>
      <c r="B2896" s="1">
        <v>2201667</v>
      </c>
      <c r="C2896" s="5" t="s">
        <v>443</v>
      </c>
      <c r="D2896" s="5" t="str">
        <f>VLOOKUP(C2896,[1]master_data!$A$2:$E$495,2,FALSE)</f>
        <v>PALMAS</v>
      </c>
      <c r="E2896" s="5">
        <v>1</v>
      </c>
      <c r="F2896" s="5">
        <f>VLOOKUP(C2896,[1]master_data!$A$2:$E$495,3,FALSE)</f>
        <v>10000</v>
      </c>
      <c r="G2896" s="5">
        <f>VLOOKUP(C2896,[1]master_data!$A$2:$E$495,4,FALSE)</f>
        <v>25000</v>
      </c>
      <c r="H2896" s="5">
        <f t="shared" si="141"/>
        <v>10000</v>
      </c>
      <c r="I2896" s="5">
        <f t="shared" si="142"/>
        <v>25000</v>
      </c>
      <c r="J2896" s="5">
        <f t="shared" si="143"/>
        <v>15000</v>
      </c>
      <c r="K2896" s="5" t="str">
        <f>VLOOKUP(C2896,[1]master_data!$A$2:$E$495,5,FALSE)</f>
        <v>Ikan</v>
      </c>
      <c r="L2896" s="5" t="s">
        <v>471</v>
      </c>
    </row>
    <row r="2897" spans="1:12" ht="12" customHeight="1" x14ac:dyDescent="0.25">
      <c r="A2897" s="6">
        <v>44650</v>
      </c>
      <c r="B2897" s="1">
        <v>2201666</v>
      </c>
      <c r="C2897" s="5" t="s">
        <v>437</v>
      </c>
      <c r="D2897" s="5" t="str">
        <f>VLOOKUP(C2897,[1]master_data!$A$2:$E$495,2,FALSE)</f>
        <v>RED EYE TETRA</v>
      </c>
      <c r="E2897" s="5">
        <v>10</v>
      </c>
      <c r="F2897" s="5">
        <f>VLOOKUP(C2897,[1]master_data!$A$2:$E$495,3,FALSE)</f>
        <v>900</v>
      </c>
      <c r="G2897" s="5">
        <f>VLOOKUP(C2897,[1]master_data!$A$2:$E$495,4,FALSE)</f>
        <v>2000</v>
      </c>
      <c r="H2897" s="5">
        <f t="shared" si="141"/>
        <v>9000</v>
      </c>
      <c r="I2897" s="5">
        <f t="shared" si="142"/>
        <v>20000</v>
      </c>
      <c r="J2897" s="5">
        <f t="shared" si="143"/>
        <v>11000</v>
      </c>
      <c r="K2897" s="5" t="str">
        <f>VLOOKUP(C2897,[1]master_data!$A$2:$E$495,5,FALSE)</f>
        <v>Ikan</v>
      </c>
      <c r="L2897" s="5" t="s">
        <v>471</v>
      </c>
    </row>
    <row r="2898" spans="1:12" ht="12" customHeight="1" x14ac:dyDescent="0.25">
      <c r="A2898" s="6">
        <v>44650</v>
      </c>
      <c r="B2898" s="1">
        <v>2201665</v>
      </c>
      <c r="C2898" s="5" t="s">
        <v>434</v>
      </c>
      <c r="D2898" s="5" t="str">
        <f>VLOOKUP(C2898,[1]master_data!$A$2:$E$495,2,FALSE)</f>
        <v>MOLI PAKAN</v>
      </c>
      <c r="E2898" s="5">
        <v>50</v>
      </c>
      <c r="F2898" s="5">
        <f>VLOOKUP(C2898,[1]master_data!$A$2:$E$495,3,FALSE)</f>
        <v>100</v>
      </c>
      <c r="G2898" s="5">
        <f>VLOOKUP(C2898,[1]master_data!$A$2:$E$495,4,FALSE)</f>
        <v>200</v>
      </c>
      <c r="H2898" s="5">
        <f t="shared" si="141"/>
        <v>5000</v>
      </c>
      <c r="I2898" s="5">
        <f t="shared" si="142"/>
        <v>10000</v>
      </c>
      <c r="J2898" s="5">
        <f t="shared" si="143"/>
        <v>5000</v>
      </c>
      <c r="K2898" s="5" t="str">
        <f>VLOOKUP(C2898,[1]master_data!$A$2:$E$495,5,FALSE)</f>
        <v>Ikan</v>
      </c>
      <c r="L2898" s="5" t="s">
        <v>471</v>
      </c>
    </row>
    <row r="2899" spans="1:12" ht="12" customHeight="1" x14ac:dyDescent="0.25">
      <c r="A2899" s="6">
        <v>44649</v>
      </c>
      <c r="B2899" s="1">
        <v>2201664</v>
      </c>
      <c r="C2899" s="5" t="s">
        <v>233</v>
      </c>
      <c r="D2899" s="5" t="str">
        <f>VLOOKUP(C2899,[1]master_data!$A$2:$E$495,2,FALSE)</f>
        <v>FISH LOVE PAKAN</v>
      </c>
      <c r="E2899" s="5">
        <v>2</v>
      </c>
      <c r="F2899" s="5">
        <f>VLOOKUP(C2899,[1]master_data!$A$2:$E$495,3,FALSE)</f>
        <v>2500</v>
      </c>
      <c r="G2899" s="5">
        <f>VLOOKUP(C2899,[1]master_data!$A$2:$E$495,4,FALSE)</f>
        <v>5000</v>
      </c>
      <c r="H2899" s="5">
        <f t="shared" si="141"/>
        <v>5000</v>
      </c>
      <c r="I2899" s="5">
        <f t="shared" si="142"/>
        <v>10000</v>
      </c>
      <c r="J2899" s="5">
        <f t="shared" si="143"/>
        <v>5000</v>
      </c>
      <c r="K2899" s="5" t="str">
        <f>VLOOKUP(C2899,[1]master_data!$A$2:$E$495,5,FALSE)</f>
        <v>Aksesoris</v>
      </c>
      <c r="L2899" s="5" t="s">
        <v>471</v>
      </c>
    </row>
    <row r="2900" spans="1:12" ht="12" customHeight="1" x14ac:dyDescent="0.25">
      <c r="A2900" s="6">
        <v>44649</v>
      </c>
      <c r="B2900" s="1">
        <v>2201663</v>
      </c>
      <c r="C2900" s="5" t="s">
        <v>204</v>
      </c>
      <c r="D2900" s="5" t="str">
        <f>VLOOKUP(C2900,[1]master_data!$A$2:$E$495,2,FALSE)</f>
        <v>MAGOT</v>
      </c>
      <c r="E2900" s="5">
        <v>1</v>
      </c>
      <c r="F2900" s="5">
        <f>VLOOKUP(C2900,[1]master_data!$A$2:$E$495,3,FALSE)</f>
        <v>4500</v>
      </c>
      <c r="G2900" s="5">
        <f>VLOOKUP(C2900,[1]master_data!$A$2:$E$495,4,FALSE)</f>
        <v>10000</v>
      </c>
      <c r="H2900" s="5">
        <f t="shared" si="141"/>
        <v>4500</v>
      </c>
      <c r="I2900" s="5">
        <f t="shared" si="142"/>
        <v>10000</v>
      </c>
      <c r="J2900" s="5">
        <f t="shared" si="143"/>
        <v>5500</v>
      </c>
      <c r="K2900" s="5" t="str">
        <f>VLOOKUP(C2900,[1]master_data!$A$2:$E$495,5,FALSE)</f>
        <v>Aksesoris</v>
      </c>
      <c r="L2900" s="5" t="s">
        <v>471</v>
      </c>
    </row>
    <row r="2901" spans="1:12" ht="12" customHeight="1" x14ac:dyDescent="0.25">
      <c r="A2901" s="6">
        <v>44649</v>
      </c>
      <c r="B2901" s="1">
        <v>2201662</v>
      </c>
      <c r="C2901" s="5" t="s">
        <v>447</v>
      </c>
      <c r="D2901" s="5" t="str">
        <f>VLOOKUP(C2901,[1]master_data!$A$2:$E$495,2,FALSE)</f>
        <v>REDFIN ALBINO</v>
      </c>
      <c r="E2901" s="5">
        <v>3</v>
      </c>
      <c r="F2901" s="5">
        <f>VLOOKUP(C2901,[1]master_data!$A$2:$E$495,3,FALSE)</f>
        <v>1500</v>
      </c>
      <c r="G2901" s="5">
        <f>VLOOKUP(C2901,[1]master_data!$A$2:$E$495,4,FALSE)</f>
        <v>4000</v>
      </c>
      <c r="H2901" s="5">
        <f t="shared" si="141"/>
        <v>4500</v>
      </c>
      <c r="I2901" s="5">
        <f t="shared" si="142"/>
        <v>12000</v>
      </c>
      <c r="J2901" s="5">
        <f t="shared" si="143"/>
        <v>7500</v>
      </c>
      <c r="K2901" s="5" t="str">
        <f>VLOOKUP(C2901,[1]master_data!$A$2:$E$495,5,FALSE)</f>
        <v>Ikan</v>
      </c>
      <c r="L2901" s="5" t="s">
        <v>471</v>
      </c>
    </row>
    <row r="2902" spans="1:12" ht="12" customHeight="1" x14ac:dyDescent="0.25">
      <c r="A2902" s="6">
        <v>44649</v>
      </c>
      <c r="B2902" s="1">
        <v>2201661</v>
      </c>
      <c r="C2902" s="5" t="s">
        <v>421</v>
      </c>
      <c r="D2902" s="5" t="str">
        <f>VLOOKUP(C2902,[1]master_data!$A$2:$E$495,2,FALSE)</f>
        <v>KOMET PAKAN</v>
      </c>
      <c r="E2902" s="5">
        <v>20</v>
      </c>
      <c r="F2902" s="5">
        <f>VLOOKUP(C2902,[1]master_data!$A$2:$E$495,3,FALSE)</f>
        <v>300</v>
      </c>
      <c r="G2902" s="5">
        <f>VLOOKUP(C2902,[1]master_data!$A$2:$E$495,4,FALSE)</f>
        <v>1000</v>
      </c>
      <c r="H2902" s="5">
        <f t="shared" si="141"/>
        <v>6000</v>
      </c>
      <c r="I2902" s="5">
        <f t="shared" si="142"/>
        <v>20000</v>
      </c>
      <c r="J2902" s="5">
        <f t="shared" si="143"/>
        <v>14000</v>
      </c>
      <c r="K2902" s="5" t="str">
        <f>VLOOKUP(C2902,[1]master_data!$A$2:$E$495,5,FALSE)</f>
        <v>Ikan</v>
      </c>
      <c r="L2902" s="5" t="s">
        <v>471</v>
      </c>
    </row>
    <row r="2903" spans="1:12" ht="12" customHeight="1" x14ac:dyDescent="0.25">
      <c r="A2903" s="6">
        <v>44649</v>
      </c>
      <c r="B2903" s="1">
        <v>2201660</v>
      </c>
      <c r="C2903" s="5" t="s">
        <v>312</v>
      </c>
      <c r="D2903" s="5" t="str">
        <f>VLOOKUP(C2903,[1]master_data!$A$2:$E$495,2,FALSE)</f>
        <v>T PIPA</v>
      </c>
      <c r="E2903" s="5">
        <v>20</v>
      </c>
      <c r="F2903" s="5">
        <f>VLOOKUP(C2903,[1]master_data!$A$2:$E$495,3,FALSE)</f>
        <v>800</v>
      </c>
      <c r="G2903" s="5">
        <f>VLOOKUP(C2903,[1]master_data!$A$2:$E$495,4,FALSE)</f>
        <v>2000</v>
      </c>
      <c r="H2903" s="5">
        <f t="shared" si="141"/>
        <v>16000</v>
      </c>
      <c r="I2903" s="5">
        <f t="shared" si="142"/>
        <v>40000</v>
      </c>
      <c r="J2903" s="5">
        <f t="shared" si="143"/>
        <v>24000</v>
      </c>
      <c r="K2903" s="5" t="str">
        <f>VLOOKUP(C2903,[1]master_data!$A$2:$E$495,5,FALSE)</f>
        <v>Aksesoris</v>
      </c>
      <c r="L2903" s="5" t="s">
        <v>471</v>
      </c>
    </row>
    <row r="2904" spans="1:12" ht="12" customHeight="1" x14ac:dyDescent="0.25">
      <c r="A2904" s="6">
        <v>44649</v>
      </c>
      <c r="B2904" s="1">
        <v>2201659</v>
      </c>
      <c r="C2904" s="5" t="s">
        <v>309</v>
      </c>
      <c r="D2904" s="5" t="str">
        <f>VLOOKUP(C2904,[1]master_data!$A$2:$E$495,2,FALSE)</f>
        <v>SELANG SPIRAL</v>
      </c>
      <c r="E2904" s="5">
        <v>1</v>
      </c>
      <c r="F2904" s="5">
        <f>VLOOKUP(C2904,[1]master_data!$A$2:$E$495,3,FALSE)</f>
        <v>2600</v>
      </c>
      <c r="G2904" s="5">
        <f>VLOOKUP(C2904,[1]master_data!$A$2:$E$495,4,FALSE)</f>
        <v>5000</v>
      </c>
      <c r="H2904" s="5">
        <f t="shared" si="141"/>
        <v>2600</v>
      </c>
      <c r="I2904" s="5">
        <f t="shared" si="142"/>
        <v>5000</v>
      </c>
      <c r="J2904" s="5">
        <f t="shared" si="143"/>
        <v>2400</v>
      </c>
      <c r="K2904" s="5" t="str">
        <f>VLOOKUP(C2904,[1]master_data!$A$2:$E$495,5,FALSE)</f>
        <v>Aksesoris</v>
      </c>
      <c r="L2904" s="5" t="s">
        <v>471</v>
      </c>
    </row>
    <row r="2905" spans="1:12" ht="12" customHeight="1" x14ac:dyDescent="0.25">
      <c r="A2905" s="6">
        <v>44649</v>
      </c>
      <c r="B2905" s="1">
        <v>2201658</v>
      </c>
      <c r="C2905" s="5" t="s">
        <v>419</v>
      </c>
      <c r="D2905" s="5" t="str">
        <f>VLOOKUP(C2905,[1]master_data!$A$2:$E$495,2,FALSE)</f>
        <v>KURA - KURA</v>
      </c>
      <c r="E2905" s="5">
        <v>2</v>
      </c>
      <c r="F2905" s="5">
        <f>VLOOKUP(C2905,[1]master_data!$A$2:$E$495,3,FALSE)</f>
        <v>25000</v>
      </c>
      <c r="G2905" s="5">
        <f>VLOOKUP(C2905,[1]master_data!$A$2:$E$495,4,FALSE)</f>
        <v>35000</v>
      </c>
      <c r="H2905" s="5">
        <f t="shared" si="141"/>
        <v>50000</v>
      </c>
      <c r="I2905" s="5">
        <f t="shared" si="142"/>
        <v>70000</v>
      </c>
      <c r="J2905" s="5">
        <f t="shared" si="143"/>
        <v>20000</v>
      </c>
      <c r="K2905" s="5" t="str">
        <f>VLOOKUP(C2905,[1]master_data!$A$2:$E$495,5,FALSE)</f>
        <v>Ikan</v>
      </c>
      <c r="L2905" s="5" t="s">
        <v>471</v>
      </c>
    </row>
    <row r="2906" spans="1:12" ht="12" customHeight="1" x14ac:dyDescent="0.25">
      <c r="A2906" s="6">
        <v>44649</v>
      </c>
      <c r="B2906" s="1">
        <v>2201657</v>
      </c>
      <c r="C2906" s="5" t="s">
        <v>402</v>
      </c>
      <c r="D2906" s="5" t="str">
        <f>VLOOKUP(C2906,[1]master_data!$A$2:$E$495,2,FALSE)</f>
        <v>BLACK GHOST</v>
      </c>
      <c r="E2906" s="5">
        <v>2</v>
      </c>
      <c r="F2906" s="5">
        <f>VLOOKUP(C2906,[1]master_data!$A$2:$E$495,3,FALSE)</f>
        <v>4000</v>
      </c>
      <c r="G2906" s="5">
        <f>VLOOKUP(C2906,[1]master_data!$A$2:$E$495,4,FALSE)</f>
        <v>10000</v>
      </c>
      <c r="H2906" s="5">
        <f t="shared" si="141"/>
        <v>8000</v>
      </c>
      <c r="I2906" s="5">
        <f t="shared" si="142"/>
        <v>20000</v>
      </c>
      <c r="J2906" s="5">
        <f t="shared" si="143"/>
        <v>12000</v>
      </c>
      <c r="K2906" s="5" t="str">
        <f>VLOOKUP(C2906,[1]master_data!$A$2:$E$495,5,FALSE)</f>
        <v>Ikan</v>
      </c>
      <c r="L2906" s="5" t="s">
        <v>471</v>
      </c>
    </row>
    <row r="2907" spans="1:12" ht="12" customHeight="1" x14ac:dyDescent="0.25">
      <c r="A2907" s="6">
        <v>44649</v>
      </c>
      <c r="B2907" s="1">
        <v>2201656</v>
      </c>
      <c r="C2907" s="5" t="s">
        <v>204</v>
      </c>
      <c r="D2907" s="5" t="str">
        <f>VLOOKUP(C2907,[1]master_data!$A$2:$E$495,2,FALSE)</f>
        <v>MAGOT</v>
      </c>
      <c r="E2907" s="5">
        <v>1</v>
      </c>
      <c r="F2907" s="5">
        <f>VLOOKUP(C2907,[1]master_data!$A$2:$E$495,3,FALSE)</f>
        <v>4500</v>
      </c>
      <c r="G2907" s="5">
        <f>VLOOKUP(C2907,[1]master_data!$A$2:$E$495,4,FALSE)</f>
        <v>10000</v>
      </c>
      <c r="H2907" s="5">
        <f t="shared" si="141"/>
        <v>4500</v>
      </c>
      <c r="I2907" s="5">
        <f t="shared" si="142"/>
        <v>10000</v>
      </c>
      <c r="J2907" s="5">
        <f t="shared" si="143"/>
        <v>5500</v>
      </c>
      <c r="K2907" s="5" t="str">
        <f>VLOOKUP(C2907,[1]master_data!$A$2:$E$495,5,FALSE)</f>
        <v>Aksesoris</v>
      </c>
      <c r="L2907" s="5" t="s">
        <v>471</v>
      </c>
    </row>
    <row r="2908" spans="1:12" ht="12" customHeight="1" x14ac:dyDescent="0.25">
      <c r="A2908" s="6">
        <v>44649</v>
      </c>
      <c r="B2908" s="1">
        <v>2201655</v>
      </c>
      <c r="C2908" s="5" t="s">
        <v>451</v>
      </c>
      <c r="D2908" s="5" t="str">
        <f>VLOOKUP(C2908,[1]master_data!$A$2:$E$495,2,FALSE)</f>
        <v>SUMATRA GOLD FISH</v>
      </c>
      <c r="E2908" s="5">
        <v>10</v>
      </c>
      <c r="F2908" s="5">
        <f>VLOOKUP(C2908,[1]master_data!$A$2:$E$495,3,FALSE)</f>
        <v>2500</v>
      </c>
      <c r="G2908" s="5">
        <f>VLOOKUP(C2908,[1]master_data!$A$2:$E$495,4,FALSE)</f>
        <v>4000</v>
      </c>
      <c r="H2908" s="5">
        <f t="shared" si="141"/>
        <v>25000</v>
      </c>
      <c r="I2908" s="5">
        <f t="shared" si="142"/>
        <v>40000</v>
      </c>
      <c r="J2908" s="5">
        <f t="shared" si="143"/>
        <v>15000</v>
      </c>
      <c r="K2908" s="5" t="str">
        <f>VLOOKUP(C2908,[1]master_data!$A$2:$E$495,5,FALSE)</f>
        <v>Ikan</v>
      </c>
      <c r="L2908" s="5" t="s">
        <v>471</v>
      </c>
    </row>
    <row r="2909" spans="1:12" ht="12" customHeight="1" x14ac:dyDescent="0.25">
      <c r="A2909" s="6">
        <v>44649</v>
      </c>
      <c r="B2909" s="1">
        <v>2201654</v>
      </c>
      <c r="C2909" s="5" t="s">
        <v>420</v>
      </c>
      <c r="D2909" s="5" t="str">
        <f>VLOOKUP(C2909,[1]master_data!$A$2:$E$495,2,FALSE)</f>
        <v>KAVIAT</v>
      </c>
      <c r="E2909" s="5">
        <v>4</v>
      </c>
      <c r="F2909" s="5">
        <f>VLOOKUP(C2909,[1]master_data!$A$2:$E$495,3,FALSE)</f>
        <v>3500</v>
      </c>
      <c r="G2909" s="5">
        <f>VLOOKUP(C2909,[1]master_data!$A$2:$E$495,4,FALSE)</f>
        <v>8000</v>
      </c>
      <c r="H2909" s="5">
        <f t="shared" si="141"/>
        <v>14000</v>
      </c>
      <c r="I2909" s="5">
        <f t="shared" si="142"/>
        <v>32000</v>
      </c>
      <c r="J2909" s="5">
        <f t="shared" si="143"/>
        <v>18000</v>
      </c>
      <c r="K2909" s="5" t="str">
        <f>VLOOKUP(C2909,[1]master_data!$A$2:$E$495,5,FALSE)</f>
        <v>Ikan</v>
      </c>
      <c r="L2909" s="5" t="s">
        <v>471</v>
      </c>
    </row>
    <row r="2910" spans="1:12" ht="12" customHeight="1" x14ac:dyDescent="0.25">
      <c r="A2910" s="6">
        <v>44649</v>
      </c>
      <c r="B2910" s="1">
        <v>2201653</v>
      </c>
      <c r="C2910" s="5" t="s">
        <v>233</v>
      </c>
      <c r="D2910" s="5" t="str">
        <f>VLOOKUP(C2910,[1]master_data!$A$2:$E$495,2,FALSE)</f>
        <v>FISH LOVE PAKAN</v>
      </c>
      <c r="E2910" s="5">
        <v>1</v>
      </c>
      <c r="F2910" s="5">
        <f>VLOOKUP(C2910,[1]master_data!$A$2:$E$495,3,FALSE)</f>
        <v>2500</v>
      </c>
      <c r="G2910" s="5">
        <f>VLOOKUP(C2910,[1]master_data!$A$2:$E$495,4,FALSE)</f>
        <v>5000</v>
      </c>
      <c r="H2910" s="5">
        <f t="shared" si="141"/>
        <v>2500</v>
      </c>
      <c r="I2910" s="5">
        <f t="shared" si="142"/>
        <v>5000</v>
      </c>
      <c r="J2910" s="5">
        <f t="shared" si="143"/>
        <v>2500</v>
      </c>
      <c r="K2910" s="5" t="str">
        <f>VLOOKUP(C2910,[1]master_data!$A$2:$E$495,5,FALSE)</f>
        <v>Aksesoris</v>
      </c>
      <c r="L2910" s="5" t="s">
        <v>471</v>
      </c>
    </row>
    <row r="2911" spans="1:12" ht="12" customHeight="1" x14ac:dyDescent="0.25">
      <c r="A2911" s="6">
        <v>44649</v>
      </c>
      <c r="B2911" s="1">
        <v>2201652</v>
      </c>
      <c r="C2911" s="5" t="s">
        <v>450</v>
      </c>
      <c r="D2911" s="5" t="str">
        <f>VLOOKUP(C2911,[1]master_data!$A$2:$E$495,2,FALSE)</f>
        <v>SUMATRA BIASA</v>
      </c>
      <c r="E2911" s="5">
        <v>10</v>
      </c>
      <c r="F2911" s="5">
        <f>VLOOKUP(C2911,[1]master_data!$A$2:$E$495,3,FALSE)</f>
        <v>800</v>
      </c>
      <c r="G2911" s="5">
        <f>VLOOKUP(C2911,[1]master_data!$A$2:$E$495,4,FALSE)</f>
        <v>2000</v>
      </c>
      <c r="H2911" s="5">
        <f t="shared" si="141"/>
        <v>8000</v>
      </c>
      <c r="I2911" s="5">
        <f t="shared" si="142"/>
        <v>20000</v>
      </c>
      <c r="J2911" s="5">
        <f t="shared" si="143"/>
        <v>12000</v>
      </c>
      <c r="K2911" s="5" t="str">
        <f>VLOOKUP(C2911,[1]master_data!$A$2:$E$495,5,FALSE)</f>
        <v>Ikan</v>
      </c>
      <c r="L2911" s="5" t="s">
        <v>471</v>
      </c>
    </row>
    <row r="2912" spans="1:12" ht="12" customHeight="1" x14ac:dyDescent="0.25">
      <c r="A2912" s="6">
        <v>44649</v>
      </c>
      <c r="B2912" s="1">
        <v>2201651</v>
      </c>
      <c r="C2912" s="5" t="s">
        <v>407</v>
      </c>
      <c r="D2912" s="5" t="str">
        <f>VLOOKUP(C2912,[1]master_data!$A$2:$E$495,2,FALSE)</f>
        <v>CUPANG</v>
      </c>
      <c r="E2912" s="5">
        <v>4</v>
      </c>
      <c r="F2912" s="5">
        <f>VLOOKUP(C2912,[1]master_data!$A$2:$E$495,3,FALSE)</f>
        <v>2000</v>
      </c>
      <c r="G2912" s="5">
        <f>VLOOKUP(C2912,[1]master_data!$A$2:$E$495,4,FALSE)</f>
        <v>5000</v>
      </c>
      <c r="H2912" s="5">
        <f t="shared" si="141"/>
        <v>8000</v>
      </c>
      <c r="I2912" s="5">
        <f t="shared" si="142"/>
        <v>20000</v>
      </c>
      <c r="J2912" s="5">
        <f t="shared" si="143"/>
        <v>12000</v>
      </c>
      <c r="K2912" s="5" t="str">
        <f>VLOOKUP(C2912,[1]master_data!$A$2:$E$495,5,FALSE)</f>
        <v>Ikan</v>
      </c>
      <c r="L2912" s="5" t="s">
        <v>471</v>
      </c>
    </row>
    <row r="2913" spans="1:12" ht="12" customHeight="1" x14ac:dyDescent="0.25">
      <c r="A2913" s="6">
        <v>44649</v>
      </c>
      <c r="B2913" s="1">
        <v>2201650</v>
      </c>
      <c r="C2913" s="5" t="s">
        <v>6</v>
      </c>
      <c r="D2913" s="5" t="str">
        <f>VLOOKUP(C2913,[1]master_data!$A$2:$E$495,2,FALSE)</f>
        <v>MESIN YANG 1200</v>
      </c>
      <c r="E2913" s="5">
        <v>1</v>
      </c>
      <c r="F2913" s="5">
        <f>VLOOKUP(C2913,[1]master_data!$A$2:$E$495,3,FALSE)</f>
        <v>25000</v>
      </c>
      <c r="G2913" s="5">
        <f>VLOOKUP(C2913,[1]master_data!$A$2:$E$495,4,FALSE)</f>
        <v>40000</v>
      </c>
      <c r="H2913" s="5">
        <f t="shared" si="141"/>
        <v>25000</v>
      </c>
      <c r="I2913" s="5">
        <f t="shared" si="142"/>
        <v>40000</v>
      </c>
      <c r="J2913" s="5">
        <f t="shared" si="143"/>
        <v>15000</v>
      </c>
      <c r="K2913" s="5" t="str">
        <f>VLOOKUP(C2913,[1]master_data!$A$2:$E$495,5,FALSE)</f>
        <v>Aksesoris</v>
      </c>
      <c r="L2913" s="5" t="s">
        <v>471</v>
      </c>
    </row>
    <row r="2914" spans="1:12" ht="12" customHeight="1" x14ac:dyDescent="0.25">
      <c r="A2914" s="6">
        <v>44649</v>
      </c>
      <c r="B2914" s="1">
        <v>2201649</v>
      </c>
      <c r="C2914" s="5" t="s">
        <v>268</v>
      </c>
      <c r="D2914" s="5" t="str">
        <f>VLOOKUP(C2914,[1]master_data!$A$2:$E$495,2,FALSE)</f>
        <v>HEATER KACA 25 W</v>
      </c>
      <c r="E2914" s="5">
        <v>1</v>
      </c>
      <c r="F2914" s="5">
        <f>VLOOKUP(C2914,[1]master_data!$A$2:$E$495,3,FALSE)</f>
        <v>33000</v>
      </c>
      <c r="G2914" s="5">
        <f>VLOOKUP(C2914,[1]master_data!$A$2:$E$495,4,FALSE)</f>
        <v>50000</v>
      </c>
      <c r="H2914" s="5">
        <f t="shared" si="141"/>
        <v>33000</v>
      </c>
      <c r="I2914" s="5">
        <f t="shared" si="142"/>
        <v>50000</v>
      </c>
      <c r="J2914" s="5">
        <f t="shared" si="143"/>
        <v>17000</v>
      </c>
      <c r="K2914" s="5" t="str">
        <f>VLOOKUP(C2914,[1]master_data!$A$2:$E$495,5,FALSE)</f>
        <v>Aksesoris</v>
      </c>
      <c r="L2914" s="5" t="s">
        <v>471</v>
      </c>
    </row>
    <row r="2915" spans="1:12" ht="12" customHeight="1" x14ac:dyDescent="0.25">
      <c r="A2915" s="6">
        <v>44649</v>
      </c>
      <c r="B2915" s="1">
        <v>2201648</v>
      </c>
      <c r="C2915" s="5" t="s">
        <v>333</v>
      </c>
      <c r="D2915" s="5" t="str">
        <f>VLOOKUP(C2915,[1]master_data!$A$2:$E$495,2,FALSE)</f>
        <v>KAPAS 2 LAPIS</v>
      </c>
      <c r="E2915" s="5">
        <v>2</v>
      </c>
      <c r="F2915" s="5">
        <f>VLOOKUP(C2915,[1]master_data!$A$2:$E$495,3,FALSE)</f>
        <v>2000</v>
      </c>
      <c r="G2915" s="5">
        <f>VLOOKUP(C2915,[1]master_data!$A$2:$E$495,4,FALSE)</f>
        <v>4000</v>
      </c>
      <c r="H2915" s="5">
        <f t="shared" si="141"/>
        <v>4000</v>
      </c>
      <c r="I2915" s="5">
        <f t="shared" si="142"/>
        <v>8000</v>
      </c>
      <c r="J2915" s="5">
        <f t="shared" si="143"/>
        <v>4000</v>
      </c>
      <c r="K2915" s="5" t="str">
        <f>VLOOKUP(C2915,[1]master_data!$A$2:$E$495,5,FALSE)</f>
        <v>Aksesoris</v>
      </c>
      <c r="L2915" s="5" t="s">
        <v>471</v>
      </c>
    </row>
    <row r="2916" spans="1:12" ht="12" customHeight="1" x14ac:dyDescent="0.25">
      <c r="A2916" s="6">
        <v>44649</v>
      </c>
      <c r="B2916" s="1">
        <v>2201647</v>
      </c>
      <c r="C2916" s="5" t="s">
        <v>410</v>
      </c>
      <c r="D2916" s="5" t="str">
        <f>VLOOKUP(C2916,[1]master_data!$A$2:$E$495,2,FALSE)</f>
        <v>GUPY</v>
      </c>
      <c r="E2916" s="5">
        <v>5</v>
      </c>
      <c r="F2916" s="5">
        <f>VLOOKUP(C2916,[1]master_data!$A$2:$E$495,3,FALSE)</f>
        <v>1200</v>
      </c>
      <c r="G2916" s="5">
        <f>VLOOKUP(C2916,[1]master_data!$A$2:$E$495,4,FALSE)</f>
        <v>2500</v>
      </c>
      <c r="H2916" s="5">
        <f t="shared" si="141"/>
        <v>6000</v>
      </c>
      <c r="I2916" s="5">
        <f t="shared" si="142"/>
        <v>12500</v>
      </c>
      <c r="J2916" s="5">
        <f t="shared" si="143"/>
        <v>6500</v>
      </c>
      <c r="K2916" s="5" t="str">
        <f>VLOOKUP(C2916,[1]master_data!$A$2:$E$495,5,FALSE)</f>
        <v>Ikan</v>
      </c>
      <c r="L2916" s="5" t="s">
        <v>471</v>
      </c>
    </row>
    <row r="2917" spans="1:12" ht="12" customHeight="1" x14ac:dyDescent="0.25">
      <c r="A2917" s="6">
        <v>44649</v>
      </c>
      <c r="B2917" s="1">
        <v>2201646</v>
      </c>
      <c r="C2917" s="5" t="s">
        <v>430</v>
      </c>
      <c r="D2917" s="5" t="str">
        <f>VLOOKUP(C2917,[1]master_data!$A$2:$E$495,2,FALSE)</f>
        <v>MANFISH K</v>
      </c>
      <c r="E2917" s="5">
        <v>5</v>
      </c>
      <c r="F2917" s="5">
        <f>VLOOKUP(C2917,[1]master_data!$A$2:$E$495,3,FALSE)</f>
        <v>2000</v>
      </c>
      <c r="G2917" s="5">
        <f>VLOOKUP(C2917,[1]master_data!$A$2:$E$495,4,FALSE)</f>
        <v>5000</v>
      </c>
      <c r="H2917" s="5">
        <f t="shared" si="141"/>
        <v>10000</v>
      </c>
      <c r="I2917" s="5">
        <f t="shared" si="142"/>
        <v>25000</v>
      </c>
      <c r="J2917" s="5">
        <f t="shared" si="143"/>
        <v>15000</v>
      </c>
      <c r="K2917" s="5" t="str">
        <f>VLOOKUP(C2917,[1]master_data!$A$2:$E$495,5,FALSE)</f>
        <v>Ikan</v>
      </c>
      <c r="L2917" s="5" t="s">
        <v>471</v>
      </c>
    </row>
    <row r="2918" spans="1:12" ht="12" customHeight="1" x14ac:dyDescent="0.25">
      <c r="A2918" s="6">
        <v>44649</v>
      </c>
      <c r="B2918" s="1">
        <v>2201645</v>
      </c>
      <c r="C2918" s="5" t="s">
        <v>446</v>
      </c>
      <c r="D2918" s="5" t="str">
        <f>VLOOKUP(C2918,[1]master_data!$A$2:$E$495,2,FALSE)</f>
        <v>REDFIN HITAM</v>
      </c>
      <c r="E2918" s="5">
        <v>3</v>
      </c>
      <c r="F2918" s="5">
        <f>VLOOKUP(C2918,[1]master_data!$A$2:$E$495,3,FALSE)</f>
        <v>1500</v>
      </c>
      <c r="G2918" s="5">
        <f>VLOOKUP(C2918,[1]master_data!$A$2:$E$495,4,FALSE)</f>
        <v>4000</v>
      </c>
      <c r="H2918" s="5">
        <f t="shared" si="141"/>
        <v>4500</v>
      </c>
      <c r="I2918" s="5">
        <f t="shared" si="142"/>
        <v>12000</v>
      </c>
      <c r="J2918" s="5">
        <f t="shared" si="143"/>
        <v>7500</v>
      </c>
      <c r="K2918" s="5" t="str">
        <f>VLOOKUP(C2918,[1]master_data!$A$2:$E$495,5,FALSE)</f>
        <v>Ikan</v>
      </c>
      <c r="L2918" s="5" t="s">
        <v>471</v>
      </c>
    </row>
    <row r="2919" spans="1:12" ht="12" customHeight="1" x14ac:dyDescent="0.25">
      <c r="A2919" s="6">
        <v>44649</v>
      </c>
      <c r="B2919" s="1">
        <v>2201644</v>
      </c>
      <c r="C2919" s="5" t="s">
        <v>434</v>
      </c>
      <c r="D2919" s="5" t="str">
        <f>VLOOKUP(C2919,[1]master_data!$A$2:$E$495,2,FALSE)</f>
        <v>MOLI PAKAN</v>
      </c>
      <c r="E2919" s="5">
        <v>100</v>
      </c>
      <c r="F2919" s="5">
        <f>VLOOKUP(C2919,[1]master_data!$A$2:$E$495,3,FALSE)</f>
        <v>100</v>
      </c>
      <c r="G2919" s="5">
        <f>VLOOKUP(C2919,[1]master_data!$A$2:$E$495,4,FALSE)</f>
        <v>200</v>
      </c>
      <c r="H2919" s="5">
        <f t="shared" si="141"/>
        <v>10000</v>
      </c>
      <c r="I2919" s="5">
        <f t="shared" si="142"/>
        <v>20000</v>
      </c>
      <c r="J2919" s="5">
        <f t="shared" si="143"/>
        <v>10000</v>
      </c>
      <c r="K2919" s="5" t="str">
        <f>VLOOKUP(C2919,[1]master_data!$A$2:$E$495,5,FALSE)</f>
        <v>Ikan</v>
      </c>
      <c r="L2919" s="5" t="s">
        <v>471</v>
      </c>
    </row>
    <row r="2920" spans="1:12" ht="12" customHeight="1" x14ac:dyDescent="0.25">
      <c r="A2920" s="6">
        <v>44649</v>
      </c>
      <c r="B2920" s="1">
        <v>2201643</v>
      </c>
      <c r="C2920" s="5" t="s">
        <v>395</v>
      </c>
      <c r="D2920" s="5" t="str">
        <f>VLOOKUP(C2920,[1]master_data!$A$2:$E$495,2,FALSE)</f>
        <v>ARWANA SILVER B</v>
      </c>
      <c r="E2920" s="5">
        <v>1</v>
      </c>
      <c r="F2920" s="5">
        <f>VLOOKUP(C2920,[1]master_data!$A$2:$E$495,3,FALSE)</f>
        <v>300000</v>
      </c>
      <c r="G2920" s="5">
        <f>VLOOKUP(C2920,[1]master_data!$A$2:$E$495,4,FALSE)</f>
        <v>500000</v>
      </c>
      <c r="H2920" s="5">
        <f t="shared" si="141"/>
        <v>300000</v>
      </c>
      <c r="I2920" s="5">
        <f t="shared" si="142"/>
        <v>500000</v>
      </c>
      <c r="J2920" s="5">
        <f t="shared" si="143"/>
        <v>200000</v>
      </c>
      <c r="K2920" s="5" t="str">
        <f>VLOOKUP(C2920,[1]master_data!$A$2:$E$495,5,FALSE)</f>
        <v>Ikan</v>
      </c>
      <c r="L2920" s="5" t="s">
        <v>471</v>
      </c>
    </row>
    <row r="2921" spans="1:12" ht="12" customHeight="1" x14ac:dyDescent="0.25">
      <c r="A2921" s="6">
        <v>44649</v>
      </c>
      <c r="B2921" s="1">
        <v>2201642</v>
      </c>
      <c r="C2921" s="5" t="s">
        <v>253</v>
      </c>
      <c r="D2921" s="5" t="str">
        <f>VLOOKUP(C2921,[1]master_data!$A$2:$E$495,2,FALSE)</f>
        <v>GOSOKAN BIASA</v>
      </c>
      <c r="E2921" s="5">
        <v>1</v>
      </c>
      <c r="F2921" s="5">
        <f>VLOOKUP(C2921,[1]master_data!$A$2:$E$495,3,FALSE)</f>
        <v>10000</v>
      </c>
      <c r="G2921" s="5">
        <f>VLOOKUP(C2921,[1]master_data!$A$2:$E$495,4,FALSE)</f>
        <v>20000</v>
      </c>
      <c r="H2921" s="5">
        <f t="shared" si="141"/>
        <v>10000</v>
      </c>
      <c r="I2921" s="5">
        <f t="shared" si="142"/>
        <v>20000</v>
      </c>
      <c r="J2921" s="5">
        <f t="shared" si="143"/>
        <v>10000</v>
      </c>
      <c r="K2921" s="5" t="str">
        <f>VLOOKUP(C2921,[1]master_data!$A$2:$E$495,5,FALSE)</f>
        <v>Aksesoris</v>
      </c>
      <c r="L2921" s="5" t="s">
        <v>471</v>
      </c>
    </row>
    <row r="2922" spans="1:12" ht="12" customHeight="1" x14ac:dyDescent="0.25">
      <c r="A2922" s="6">
        <v>44649</v>
      </c>
      <c r="B2922" s="1">
        <v>2201641</v>
      </c>
      <c r="C2922" s="5" t="s">
        <v>431</v>
      </c>
      <c r="D2922" s="5" t="str">
        <f>VLOOKUP(C2922,[1]master_data!$A$2:$E$495,2,FALSE)</f>
        <v>MANFISH B</v>
      </c>
      <c r="E2922" s="5">
        <v>3</v>
      </c>
      <c r="F2922" s="5">
        <f>VLOOKUP(C2922,[1]master_data!$A$2:$E$495,3,FALSE)</f>
        <v>4000</v>
      </c>
      <c r="G2922" s="5">
        <f>VLOOKUP(C2922,[1]master_data!$A$2:$E$495,4,FALSE)</f>
        <v>10000</v>
      </c>
      <c r="H2922" s="5">
        <f t="shared" si="141"/>
        <v>12000</v>
      </c>
      <c r="I2922" s="5">
        <f t="shared" si="142"/>
        <v>30000</v>
      </c>
      <c r="J2922" s="5">
        <f t="shared" si="143"/>
        <v>18000</v>
      </c>
      <c r="K2922" s="5" t="str">
        <f>VLOOKUP(C2922,[1]master_data!$A$2:$E$495,5,FALSE)</f>
        <v>Ikan</v>
      </c>
      <c r="L2922" s="5" t="s">
        <v>471</v>
      </c>
    </row>
    <row r="2923" spans="1:12" ht="12" customHeight="1" x14ac:dyDescent="0.25">
      <c r="A2923" s="6">
        <v>44648</v>
      </c>
      <c r="B2923" s="1">
        <v>2201640</v>
      </c>
      <c r="C2923" s="5" t="s">
        <v>115</v>
      </c>
      <c r="D2923" s="5" t="str">
        <f>VLOOKUP(C2923,[1]master_data!$A$2:$E$495,2,FALSE)</f>
        <v>LED ROSTON 30 CM</v>
      </c>
      <c r="E2923" s="5">
        <v>2</v>
      </c>
      <c r="F2923" s="5">
        <f>VLOOKUP(C2923,[1]master_data!$A$2:$E$495,3,FALSE)</f>
        <v>21000</v>
      </c>
      <c r="G2923" s="5">
        <f>VLOOKUP(C2923,[1]master_data!$A$2:$E$495,4,FALSE)</f>
        <v>35000</v>
      </c>
      <c r="H2923" s="5">
        <f t="shared" si="141"/>
        <v>42000</v>
      </c>
      <c r="I2923" s="5">
        <f t="shared" si="142"/>
        <v>70000</v>
      </c>
      <c r="J2923" s="5">
        <f t="shared" si="143"/>
        <v>28000</v>
      </c>
      <c r="K2923" s="5" t="str">
        <f>VLOOKUP(C2923,[1]master_data!$A$2:$E$495,5,FALSE)</f>
        <v>Aksesoris</v>
      </c>
      <c r="L2923" s="5" t="s">
        <v>471</v>
      </c>
    </row>
    <row r="2924" spans="1:12" ht="12" customHeight="1" x14ac:dyDescent="0.25">
      <c r="A2924" s="6">
        <v>44648</v>
      </c>
      <c r="B2924" s="1">
        <v>2201639</v>
      </c>
      <c r="C2924" s="5" t="s">
        <v>432</v>
      </c>
      <c r="D2924" s="5" t="str">
        <f>VLOOKUP(C2924,[1]master_data!$A$2:$E$495,2,FALSE)</f>
        <v>MARU K</v>
      </c>
      <c r="E2924" s="5">
        <v>2</v>
      </c>
      <c r="F2924" s="5">
        <f>VLOOKUP(C2924,[1]master_data!$A$2:$E$495,3,FALSE)</f>
        <v>23000</v>
      </c>
      <c r="G2924" s="5">
        <f>VLOOKUP(C2924,[1]master_data!$A$2:$E$495,4,FALSE)</f>
        <v>50000</v>
      </c>
      <c r="H2924" s="5">
        <f t="shared" si="141"/>
        <v>46000</v>
      </c>
      <c r="I2924" s="5">
        <f t="shared" si="142"/>
        <v>100000</v>
      </c>
      <c r="J2924" s="5">
        <f t="shared" si="143"/>
        <v>54000</v>
      </c>
      <c r="K2924" s="5" t="str">
        <f>VLOOKUP(C2924,[1]master_data!$A$2:$E$495,5,FALSE)</f>
        <v>Ikan</v>
      </c>
      <c r="L2924" s="5" t="s">
        <v>471</v>
      </c>
    </row>
    <row r="2925" spans="1:12" ht="12" customHeight="1" x14ac:dyDescent="0.25">
      <c r="A2925" s="6">
        <v>44648</v>
      </c>
      <c r="B2925" s="1">
        <v>2201638</v>
      </c>
      <c r="C2925" s="5" t="s">
        <v>409</v>
      </c>
      <c r="D2925" s="5" t="str">
        <f>VLOOKUP(C2925,[1]master_data!$A$2:$E$495,2,FALSE)</f>
        <v>GOLD FISH</v>
      </c>
      <c r="E2925" s="5">
        <v>10</v>
      </c>
      <c r="F2925" s="5">
        <f>VLOOKUP(C2925,[1]master_data!$A$2:$E$495,3,FALSE)</f>
        <v>800</v>
      </c>
      <c r="G2925" s="5">
        <f>VLOOKUP(C2925,[1]master_data!$A$2:$E$495,4,FALSE)</f>
        <v>2000</v>
      </c>
      <c r="H2925" s="5">
        <f t="shared" si="141"/>
        <v>8000</v>
      </c>
      <c r="I2925" s="5">
        <f t="shared" si="142"/>
        <v>20000</v>
      </c>
      <c r="J2925" s="5">
        <f t="shared" si="143"/>
        <v>12000</v>
      </c>
      <c r="K2925" s="5" t="str">
        <f>VLOOKUP(C2925,[1]master_data!$A$2:$E$495,5,FALSE)</f>
        <v>Ikan</v>
      </c>
      <c r="L2925" s="5" t="s">
        <v>471</v>
      </c>
    </row>
    <row r="2926" spans="1:12" ht="12" customHeight="1" x14ac:dyDescent="0.25">
      <c r="A2926" s="6">
        <v>44648</v>
      </c>
      <c r="B2926" s="1">
        <v>2201637</v>
      </c>
      <c r="C2926" s="5" t="s">
        <v>401</v>
      </c>
      <c r="D2926" s="5" t="str">
        <f>VLOOKUP(C2926,[1]master_data!$A$2:$E$495,2,FALSE)</f>
        <v>BALA BALA B</v>
      </c>
      <c r="E2926" s="5">
        <v>2</v>
      </c>
      <c r="F2926" s="5">
        <f>VLOOKUP(C2926,[1]master_data!$A$2:$E$495,3,FALSE)</f>
        <v>7000</v>
      </c>
      <c r="G2926" s="5">
        <f>VLOOKUP(C2926,[1]master_data!$A$2:$E$495,4,FALSE)</f>
        <v>15000</v>
      </c>
      <c r="H2926" s="5">
        <f t="shared" si="141"/>
        <v>14000</v>
      </c>
      <c r="I2926" s="5">
        <f t="shared" si="142"/>
        <v>30000</v>
      </c>
      <c r="J2926" s="5">
        <f t="shared" si="143"/>
        <v>16000</v>
      </c>
      <c r="K2926" s="5" t="str">
        <f>VLOOKUP(C2926,[1]master_data!$A$2:$E$495,5,FALSE)</f>
        <v>Ikan</v>
      </c>
      <c r="L2926" s="5" t="s">
        <v>471</v>
      </c>
    </row>
    <row r="2927" spans="1:12" ht="12" customHeight="1" x14ac:dyDescent="0.25">
      <c r="A2927" s="6">
        <v>44648</v>
      </c>
      <c r="B2927" s="1">
        <v>2201636</v>
      </c>
      <c r="C2927" s="5" t="s">
        <v>455</v>
      </c>
      <c r="D2927" s="5" t="str">
        <f>VLOOKUP(C2927,[1]master_data!$A$2:$E$495,2,FALSE)</f>
        <v>TETRA</v>
      </c>
      <c r="E2927" s="5">
        <v>10</v>
      </c>
      <c r="F2927" s="5">
        <f>VLOOKUP(C2927,[1]master_data!$A$2:$E$495,3,FALSE)</f>
        <v>800</v>
      </c>
      <c r="G2927" s="5">
        <f>VLOOKUP(C2927,[1]master_data!$A$2:$E$495,4,FALSE)</f>
        <v>2000</v>
      </c>
      <c r="H2927" s="5">
        <f t="shared" si="141"/>
        <v>8000</v>
      </c>
      <c r="I2927" s="5">
        <f t="shared" si="142"/>
        <v>20000</v>
      </c>
      <c r="J2927" s="5">
        <f t="shared" si="143"/>
        <v>12000</v>
      </c>
      <c r="K2927" s="5" t="str">
        <f>VLOOKUP(C2927,[1]master_data!$A$2:$E$495,5,FALSE)</f>
        <v>Ikan</v>
      </c>
      <c r="L2927" s="5" t="s">
        <v>471</v>
      </c>
    </row>
    <row r="2928" spans="1:12" ht="12" customHeight="1" x14ac:dyDescent="0.25">
      <c r="A2928" s="6">
        <v>44648</v>
      </c>
      <c r="B2928" s="1">
        <v>2201635</v>
      </c>
      <c r="C2928" s="5" t="s">
        <v>463</v>
      </c>
      <c r="D2928" s="5" t="str">
        <f>VLOOKUP(C2928,[1]master_data!$A$2:$E$495,2,FALSE)</f>
        <v>CHANNA STEWARTI</v>
      </c>
      <c r="E2928" s="5">
        <v>1</v>
      </c>
      <c r="F2928" s="5">
        <f>VLOOKUP(C2928,[1]master_data!$A$2:$E$495,3,FALSE)</f>
        <v>15000</v>
      </c>
      <c r="G2928" s="5">
        <f>VLOOKUP(C2928,[1]master_data!$A$2:$E$495,4,FALSE)</f>
        <v>40000</v>
      </c>
      <c r="H2928" s="5">
        <f t="shared" si="141"/>
        <v>15000</v>
      </c>
      <c r="I2928" s="5">
        <f t="shared" si="142"/>
        <v>40000</v>
      </c>
      <c r="J2928" s="5">
        <f t="shared" si="143"/>
        <v>25000</v>
      </c>
      <c r="K2928" s="5" t="str">
        <f>VLOOKUP(C2928,[1]master_data!$A$2:$E$495,5,FALSE)</f>
        <v>Ikan</v>
      </c>
      <c r="L2928" s="5" t="s">
        <v>471</v>
      </c>
    </row>
    <row r="2929" spans="1:12" ht="12" customHeight="1" x14ac:dyDescent="0.25">
      <c r="A2929" s="6">
        <v>44648</v>
      </c>
      <c r="B2929" s="1">
        <v>2201634</v>
      </c>
      <c r="C2929" s="5" t="s">
        <v>285</v>
      </c>
      <c r="D2929" s="5" t="str">
        <f>VLOOKUP(C2929,[1]master_data!$A$2:$E$495,2,FALSE)</f>
        <v>KAPAS 4 LAPIS</v>
      </c>
      <c r="E2929" s="5">
        <v>2</v>
      </c>
      <c r="F2929" s="5">
        <f>VLOOKUP(C2929,[1]master_data!$A$2:$E$495,3,FALSE)</f>
        <v>6500</v>
      </c>
      <c r="G2929" s="5">
        <f>VLOOKUP(C2929,[1]master_data!$A$2:$E$495,4,FALSE)</f>
        <v>10000</v>
      </c>
      <c r="H2929" s="5">
        <f t="shared" si="141"/>
        <v>13000</v>
      </c>
      <c r="I2929" s="5">
        <f t="shared" si="142"/>
        <v>20000</v>
      </c>
      <c r="J2929" s="5">
        <f t="shared" si="143"/>
        <v>7000</v>
      </c>
      <c r="K2929" s="5" t="str">
        <f>VLOOKUP(C2929,[1]master_data!$A$2:$E$495,5,FALSE)</f>
        <v>Aksesoris</v>
      </c>
      <c r="L2929" s="5" t="s">
        <v>471</v>
      </c>
    </row>
    <row r="2930" spans="1:12" ht="12" customHeight="1" x14ac:dyDescent="0.25">
      <c r="A2930" s="6">
        <v>44648</v>
      </c>
      <c r="B2930" s="1">
        <v>2201633</v>
      </c>
      <c r="C2930" s="5" t="s">
        <v>402</v>
      </c>
      <c r="D2930" s="5" t="str">
        <f>VLOOKUP(C2930,[1]master_data!$A$2:$E$495,2,FALSE)</f>
        <v>BLACK GHOST</v>
      </c>
      <c r="E2930" s="5">
        <v>2</v>
      </c>
      <c r="F2930" s="5">
        <f>VLOOKUP(C2930,[1]master_data!$A$2:$E$495,3,FALSE)</f>
        <v>4000</v>
      </c>
      <c r="G2930" s="5">
        <f>VLOOKUP(C2930,[1]master_data!$A$2:$E$495,4,FALSE)</f>
        <v>10000</v>
      </c>
      <c r="H2930" s="5">
        <f t="shared" si="141"/>
        <v>8000</v>
      </c>
      <c r="I2930" s="5">
        <f t="shared" si="142"/>
        <v>20000</v>
      </c>
      <c r="J2930" s="5">
        <f t="shared" si="143"/>
        <v>12000</v>
      </c>
      <c r="K2930" s="5" t="str">
        <f>VLOOKUP(C2930,[1]master_data!$A$2:$E$495,5,FALSE)</f>
        <v>Ikan</v>
      </c>
      <c r="L2930" s="5" t="s">
        <v>471</v>
      </c>
    </row>
    <row r="2931" spans="1:12" ht="12" customHeight="1" x14ac:dyDescent="0.25">
      <c r="A2931" s="6">
        <v>44648</v>
      </c>
      <c r="B2931" s="1">
        <v>2201632</v>
      </c>
      <c r="C2931" s="5" t="s">
        <v>397</v>
      </c>
      <c r="D2931" s="5" t="str">
        <f>VLOOKUP(C2931,[1]master_data!$A$2:$E$495,2,FALSE)</f>
        <v>ALIGATOR</v>
      </c>
      <c r="E2931" s="5">
        <v>2</v>
      </c>
      <c r="F2931" s="5">
        <f>VLOOKUP(C2931,[1]master_data!$A$2:$E$495,3,FALSE)</f>
        <v>17000</v>
      </c>
      <c r="G2931" s="5">
        <f>VLOOKUP(C2931,[1]master_data!$A$2:$E$495,4,FALSE)</f>
        <v>35000</v>
      </c>
      <c r="H2931" s="5">
        <f t="shared" si="141"/>
        <v>34000</v>
      </c>
      <c r="I2931" s="5">
        <f t="shared" si="142"/>
        <v>70000</v>
      </c>
      <c r="J2931" s="5">
        <f t="shared" si="143"/>
        <v>36000</v>
      </c>
      <c r="K2931" s="5" t="str">
        <f>VLOOKUP(C2931,[1]master_data!$A$2:$E$495,5,FALSE)</f>
        <v>Ikan</v>
      </c>
      <c r="L2931" s="5" t="s">
        <v>471</v>
      </c>
    </row>
    <row r="2932" spans="1:12" ht="12" customHeight="1" x14ac:dyDescent="0.25">
      <c r="A2932" s="6">
        <v>44648</v>
      </c>
      <c r="B2932" s="1">
        <v>2201631</v>
      </c>
      <c r="C2932" s="5" t="s">
        <v>311</v>
      </c>
      <c r="D2932" s="5" t="str">
        <f>VLOOKUP(C2932,[1]master_data!$A$2:$E$495,2,FALSE)</f>
        <v>L PIPA</v>
      </c>
      <c r="E2932" s="5">
        <v>6</v>
      </c>
      <c r="F2932" s="5">
        <f>VLOOKUP(C2932,[1]master_data!$A$2:$E$495,3,FALSE)</f>
        <v>800</v>
      </c>
      <c r="G2932" s="5">
        <f>VLOOKUP(C2932,[1]master_data!$A$2:$E$495,4,FALSE)</f>
        <v>2000</v>
      </c>
      <c r="H2932" s="5">
        <f t="shared" si="141"/>
        <v>4800</v>
      </c>
      <c r="I2932" s="5">
        <f t="shared" si="142"/>
        <v>12000</v>
      </c>
      <c r="J2932" s="5">
        <f t="shared" si="143"/>
        <v>7200</v>
      </c>
      <c r="K2932" s="5" t="str">
        <f>VLOOKUP(C2932,[1]master_data!$A$2:$E$495,5,FALSE)</f>
        <v>Aksesoris</v>
      </c>
      <c r="L2932" s="5" t="s">
        <v>471</v>
      </c>
    </row>
    <row r="2933" spans="1:12" ht="12" customHeight="1" x14ac:dyDescent="0.25">
      <c r="A2933" s="6">
        <v>44648</v>
      </c>
      <c r="B2933" s="1">
        <v>2201630</v>
      </c>
      <c r="C2933" s="5" t="s">
        <v>208</v>
      </c>
      <c r="D2933" s="5" t="str">
        <f>VLOOKUP(C2933,[1]master_data!$A$2:$E$495,2,FALSE)</f>
        <v>TOP VIT</v>
      </c>
      <c r="E2933" s="5">
        <v>2</v>
      </c>
      <c r="F2933" s="5">
        <f>VLOOKUP(C2933,[1]master_data!$A$2:$E$495,3,FALSE)</f>
        <v>4000</v>
      </c>
      <c r="G2933" s="5">
        <f>VLOOKUP(C2933,[1]master_data!$A$2:$E$495,4,FALSE)</f>
        <v>7000</v>
      </c>
      <c r="H2933" s="5">
        <f t="shared" si="141"/>
        <v>8000</v>
      </c>
      <c r="I2933" s="5">
        <f t="shared" si="142"/>
        <v>14000</v>
      </c>
      <c r="J2933" s="5">
        <f t="shared" si="143"/>
        <v>6000</v>
      </c>
      <c r="K2933" s="5" t="str">
        <f>VLOOKUP(C2933,[1]master_data!$A$2:$E$495,5,FALSE)</f>
        <v>Aksesoris</v>
      </c>
      <c r="L2933" s="5" t="s">
        <v>471</v>
      </c>
    </row>
    <row r="2934" spans="1:12" ht="12" customHeight="1" x14ac:dyDescent="0.25">
      <c r="A2934" s="6">
        <v>44648</v>
      </c>
      <c r="B2934" s="1">
        <v>2201629</v>
      </c>
      <c r="C2934" s="5" t="s">
        <v>445</v>
      </c>
      <c r="D2934" s="5" t="str">
        <f>VLOOKUP(C2934,[1]master_data!$A$2:$E$495,2,FALSE)</f>
        <v>PESO</v>
      </c>
      <c r="E2934" s="5">
        <v>1</v>
      </c>
      <c r="F2934" s="5">
        <f>VLOOKUP(C2934,[1]master_data!$A$2:$E$495,3,FALSE)</f>
        <v>19000</v>
      </c>
      <c r="G2934" s="5">
        <f>VLOOKUP(C2934,[1]master_data!$A$2:$E$495,4,FALSE)</f>
        <v>40000</v>
      </c>
      <c r="H2934" s="5">
        <f t="shared" si="141"/>
        <v>19000</v>
      </c>
      <c r="I2934" s="5">
        <f t="shared" si="142"/>
        <v>40000</v>
      </c>
      <c r="J2934" s="5">
        <f t="shared" si="143"/>
        <v>21000</v>
      </c>
      <c r="K2934" s="5" t="str">
        <f>VLOOKUP(C2934,[1]master_data!$A$2:$E$495,5,FALSE)</f>
        <v>Ikan</v>
      </c>
      <c r="L2934" s="5" t="s">
        <v>471</v>
      </c>
    </row>
    <row r="2935" spans="1:12" ht="12" customHeight="1" x14ac:dyDescent="0.25">
      <c r="A2935" s="6">
        <v>44647</v>
      </c>
      <c r="B2935" s="1">
        <v>2201628</v>
      </c>
      <c r="C2935" s="5" t="s">
        <v>35</v>
      </c>
      <c r="D2935" s="5" t="str">
        <f>VLOOKUP(C2935,[1]master_data!$A$2:$E$495,2,FALSE)</f>
        <v>MESIN YAMANO 1800</v>
      </c>
      <c r="E2935" s="5">
        <v>1</v>
      </c>
      <c r="F2935" s="5">
        <f>VLOOKUP(C2935,[1]master_data!$A$2:$E$495,3,FALSE)</f>
        <v>64000</v>
      </c>
      <c r="G2935" s="5">
        <f>VLOOKUP(C2935,[1]master_data!$A$2:$E$495,4,FALSE)</f>
        <v>110000</v>
      </c>
      <c r="H2935" s="5">
        <f t="shared" si="141"/>
        <v>64000</v>
      </c>
      <c r="I2935" s="5">
        <f t="shared" si="142"/>
        <v>110000</v>
      </c>
      <c r="J2935" s="5">
        <f t="shared" si="143"/>
        <v>46000</v>
      </c>
      <c r="K2935" s="5" t="str">
        <f>VLOOKUP(C2935,[1]master_data!$A$2:$E$495,5,FALSE)</f>
        <v>Aksesoris</v>
      </c>
      <c r="L2935" s="5" t="s">
        <v>471</v>
      </c>
    </row>
    <row r="2936" spans="1:12" ht="12" customHeight="1" x14ac:dyDescent="0.25">
      <c r="A2936" s="6">
        <v>44647</v>
      </c>
      <c r="B2936" s="1">
        <v>2201627</v>
      </c>
      <c r="C2936" s="5" t="s">
        <v>413</v>
      </c>
      <c r="D2936" s="5" t="str">
        <f>VLOOKUP(C2936,[1]master_data!$A$2:$E$495,2,FALSE)</f>
        <v>KOKI K</v>
      </c>
      <c r="E2936" s="5">
        <v>6</v>
      </c>
      <c r="F2936" s="5">
        <f>VLOOKUP(C2936,[1]master_data!$A$2:$E$495,3,FALSE)</f>
        <v>3500</v>
      </c>
      <c r="G2936" s="5">
        <f>VLOOKUP(C2936,[1]master_data!$A$2:$E$495,4,FALSE)</f>
        <v>10000</v>
      </c>
      <c r="H2936" s="5">
        <f t="shared" si="141"/>
        <v>21000</v>
      </c>
      <c r="I2936" s="5">
        <f t="shared" si="142"/>
        <v>60000</v>
      </c>
      <c r="J2936" s="5">
        <f t="shared" si="143"/>
        <v>39000</v>
      </c>
      <c r="K2936" s="5" t="str">
        <f>VLOOKUP(C2936,[1]master_data!$A$2:$E$495,5,FALSE)</f>
        <v>Ikan</v>
      </c>
      <c r="L2936" s="5" t="s">
        <v>471</v>
      </c>
    </row>
    <row r="2937" spans="1:12" ht="12" customHeight="1" x14ac:dyDescent="0.25">
      <c r="A2937" s="6">
        <v>44647</v>
      </c>
      <c r="B2937" s="1">
        <v>2201626</v>
      </c>
      <c r="C2937" s="5" t="s">
        <v>403</v>
      </c>
      <c r="D2937" s="5" t="str">
        <f>VLOOKUP(C2937,[1]master_data!$A$2:$E$495,2,FALSE)</f>
        <v>CHANNA BLUE PULCHRA K</v>
      </c>
      <c r="E2937" s="5">
        <v>1</v>
      </c>
      <c r="F2937" s="5">
        <f>VLOOKUP(C2937,[1]master_data!$A$2:$E$495,3,FALSE)</f>
        <v>25000</v>
      </c>
      <c r="G2937" s="5">
        <f>VLOOKUP(C2937,[1]master_data!$A$2:$E$495,4,FALSE)</f>
        <v>50000</v>
      </c>
      <c r="H2937" s="5">
        <f t="shared" si="141"/>
        <v>25000</v>
      </c>
      <c r="I2937" s="5">
        <f t="shared" si="142"/>
        <v>50000</v>
      </c>
      <c r="J2937" s="5">
        <f t="shared" si="143"/>
        <v>25000</v>
      </c>
      <c r="K2937" s="5" t="str">
        <f>VLOOKUP(C2937,[1]master_data!$A$2:$E$495,5,FALSE)</f>
        <v>Ikan</v>
      </c>
      <c r="L2937" s="5" t="s">
        <v>471</v>
      </c>
    </row>
    <row r="2938" spans="1:12" ht="12" customHeight="1" x14ac:dyDescent="0.25">
      <c r="A2938" s="6">
        <v>44647</v>
      </c>
      <c r="B2938" s="1">
        <v>2201625</v>
      </c>
      <c r="C2938" s="5" t="s">
        <v>311</v>
      </c>
      <c r="D2938" s="5" t="str">
        <f>VLOOKUP(C2938,[1]master_data!$A$2:$E$495,2,FALSE)</f>
        <v>L PIPA</v>
      </c>
      <c r="E2938" s="5">
        <v>10</v>
      </c>
      <c r="F2938" s="5">
        <f>VLOOKUP(C2938,[1]master_data!$A$2:$E$495,3,FALSE)</f>
        <v>800</v>
      </c>
      <c r="G2938" s="5">
        <f>VLOOKUP(C2938,[1]master_data!$A$2:$E$495,4,FALSE)</f>
        <v>2000</v>
      </c>
      <c r="H2938" s="5">
        <f t="shared" si="141"/>
        <v>8000</v>
      </c>
      <c r="I2938" s="5">
        <f t="shared" si="142"/>
        <v>20000</v>
      </c>
      <c r="J2938" s="5">
        <f t="shared" si="143"/>
        <v>12000</v>
      </c>
      <c r="K2938" s="5" t="str">
        <f>VLOOKUP(C2938,[1]master_data!$A$2:$E$495,5,FALSE)</f>
        <v>Aksesoris</v>
      </c>
      <c r="L2938" s="5" t="s">
        <v>471</v>
      </c>
    </row>
    <row r="2939" spans="1:12" ht="12" customHeight="1" x14ac:dyDescent="0.25">
      <c r="A2939" s="6">
        <v>44647</v>
      </c>
      <c r="B2939" s="1">
        <v>2201624</v>
      </c>
      <c r="C2939" s="5" t="s">
        <v>303</v>
      </c>
      <c r="D2939" s="5" t="str">
        <f>VLOOKUP(C2939,[1]master_data!$A$2:$E$495,2,FALSE)</f>
        <v>PIPA LONJOR 2 M</v>
      </c>
      <c r="E2939" s="5">
        <v>2</v>
      </c>
      <c r="F2939" s="5">
        <f>VLOOKUP(C2939,[1]master_data!$A$2:$E$495,3,FALSE)</f>
        <v>5000</v>
      </c>
      <c r="G2939" s="5">
        <f>VLOOKUP(C2939,[1]master_data!$A$2:$E$495,4,FALSE)</f>
        <v>10000</v>
      </c>
      <c r="H2939" s="5">
        <f t="shared" si="141"/>
        <v>10000</v>
      </c>
      <c r="I2939" s="5">
        <f t="shared" si="142"/>
        <v>20000</v>
      </c>
      <c r="J2939" s="5">
        <f t="shared" si="143"/>
        <v>10000</v>
      </c>
      <c r="K2939" s="5" t="str">
        <f>VLOOKUP(C2939,[1]master_data!$A$2:$E$495,5,FALSE)</f>
        <v>Aksesoris</v>
      </c>
      <c r="L2939" s="5" t="s">
        <v>471</v>
      </c>
    </row>
    <row r="2940" spans="1:12" ht="12" customHeight="1" x14ac:dyDescent="0.25">
      <c r="A2940" s="6">
        <v>44647</v>
      </c>
      <c r="B2940" s="1">
        <v>2201623</v>
      </c>
      <c r="C2940" s="5" t="s">
        <v>416</v>
      </c>
      <c r="D2940" s="5" t="str">
        <f>VLOOKUP(C2940,[1]master_data!$A$2:$E$495,2,FALSE)</f>
        <v>KOI K</v>
      </c>
      <c r="E2940" s="5">
        <v>5</v>
      </c>
      <c r="F2940" s="5">
        <f>VLOOKUP(C2940,[1]master_data!$A$2:$E$495,3,FALSE)</f>
        <v>2500</v>
      </c>
      <c r="G2940" s="5">
        <f>VLOOKUP(C2940,[1]master_data!$A$2:$E$495,4,FALSE)</f>
        <v>10000</v>
      </c>
      <c r="H2940" s="5">
        <f t="shared" si="141"/>
        <v>12500</v>
      </c>
      <c r="I2940" s="5">
        <f t="shared" si="142"/>
        <v>50000</v>
      </c>
      <c r="J2940" s="5">
        <f t="shared" si="143"/>
        <v>37500</v>
      </c>
      <c r="K2940" s="5" t="str">
        <f>VLOOKUP(C2940,[1]master_data!$A$2:$E$495,5,FALSE)</f>
        <v>Ikan</v>
      </c>
      <c r="L2940" s="5" t="s">
        <v>471</v>
      </c>
    </row>
    <row r="2941" spans="1:12" ht="12" customHeight="1" x14ac:dyDescent="0.25">
      <c r="A2941" s="6">
        <v>44647</v>
      </c>
      <c r="B2941" s="1">
        <v>2201622</v>
      </c>
      <c r="C2941" s="5" t="s">
        <v>408</v>
      </c>
      <c r="D2941" s="5" t="str">
        <f>VLOOKUP(C2941,[1]master_data!$A$2:$E$495,2,FALSE)</f>
        <v>CATFISH</v>
      </c>
      <c r="E2941" s="5">
        <v>1</v>
      </c>
      <c r="F2941" s="5">
        <f>VLOOKUP(C2941,[1]master_data!$A$2:$E$495,3,FALSE)</f>
        <v>20000</v>
      </c>
      <c r="G2941" s="5">
        <f>VLOOKUP(C2941,[1]master_data!$A$2:$E$495,4,FALSE)</f>
        <v>50000</v>
      </c>
      <c r="H2941" s="5">
        <f t="shared" si="141"/>
        <v>20000</v>
      </c>
      <c r="I2941" s="5">
        <f t="shared" si="142"/>
        <v>50000</v>
      </c>
      <c r="J2941" s="5">
        <f t="shared" si="143"/>
        <v>30000</v>
      </c>
      <c r="K2941" s="5" t="str">
        <f>VLOOKUP(C2941,[1]master_data!$A$2:$E$495,5,FALSE)</f>
        <v>Ikan</v>
      </c>
      <c r="L2941" s="5" t="s">
        <v>471</v>
      </c>
    </row>
    <row r="2942" spans="1:12" ht="12" customHeight="1" x14ac:dyDescent="0.25">
      <c r="A2942" s="6">
        <v>44647</v>
      </c>
      <c r="B2942" s="1">
        <v>2201621</v>
      </c>
      <c r="C2942" s="5" t="s">
        <v>262</v>
      </c>
      <c r="D2942" s="5" t="str">
        <f>VLOOKUP(C2942,[1]master_data!$A$2:$E$495,2,FALSE)</f>
        <v>COP PIPA</v>
      </c>
      <c r="E2942" s="5">
        <v>5</v>
      </c>
      <c r="F2942" s="5">
        <f>VLOOKUP(C2942,[1]master_data!$A$2:$E$495,3,FALSE)</f>
        <v>800</v>
      </c>
      <c r="G2942" s="5">
        <f>VLOOKUP(C2942,[1]master_data!$A$2:$E$495,4,FALSE)</f>
        <v>2000</v>
      </c>
      <c r="H2942" s="5">
        <f t="shared" si="141"/>
        <v>4000</v>
      </c>
      <c r="I2942" s="5">
        <f t="shared" si="142"/>
        <v>10000</v>
      </c>
      <c r="J2942" s="5">
        <f t="shared" si="143"/>
        <v>6000</v>
      </c>
      <c r="K2942" s="5" t="str">
        <f>VLOOKUP(C2942,[1]master_data!$A$2:$E$495,5,FALSE)</f>
        <v>Aksesoris</v>
      </c>
      <c r="L2942" s="5" t="s">
        <v>471</v>
      </c>
    </row>
    <row r="2943" spans="1:12" ht="12" customHeight="1" x14ac:dyDescent="0.25">
      <c r="A2943" s="6">
        <v>44647</v>
      </c>
      <c r="B2943" s="1">
        <v>2201620</v>
      </c>
      <c r="C2943" s="5" t="s">
        <v>204</v>
      </c>
      <c r="D2943" s="5" t="str">
        <f>VLOOKUP(C2943,[1]master_data!$A$2:$E$495,2,FALSE)</f>
        <v>MAGOT</v>
      </c>
      <c r="E2943" s="5">
        <v>2</v>
      </c>
      <c r="F2943" s="5">
        <f>VLOOKUP(C2943,[1]master_data!$A$2:$E$495,3,FALSE)</f>
        <v>4500</v>
      </c>
      <c r="G2943" s="5">
        <f>VLOOKUP(C2943,[1]master_data!$A$2:$E$495,4,FALSE)</f>
        <v>10000</v>
      </c>
      <c r="H2943" s="5">
        <f t="shared" si="141"/>
        <v>9000</v>
      </c>
      <c r="I2943" s="5">
        <f t="shared" si="142"/>
        <v>20000</v>
      </c>
      <c r="J2943" s="5">
        <f t="shared" si="143"/>
        <v>11000</v>
      </c>
      <c r="K2943" s="5" t="str">
        <f>VLOOKUP(C2943,[1]master_data!$A$2:$E$495,5,FALSE)</f>
        <v>Aksesoris</v>
      </c>
      <c r="L2943" s="5" t="s">
        <v>471</v>
      </c>
    </row>
    <row r="2944" spans="1:12" ht="12" customHeight="1" x14ac:dyDescent="0.25">
      <c r="A2944" s="6">
        <v>44647</v>
      </c>
      <c r="B2944" s="1">
        <v>2201619</v>
      </c>
      <c r="C2944" s="5" t="s">
        <v>419</v>
      </c>
      <c r="D2944" s="5" t="str">
        <f>VLOOKUP(C2944,[1]master_data!$A$2:$E$495,2,FALSE)</f>
        <v>KURA - KURA</v>
      </c>
      <c r="E2944" s="5">
        <v>1</v>
      </c>
      <c r="F2944" s="5">
        <f>VLOOKUP(C2944,[1]master_data!$A$2:$E$495,3,FALSE)</f>
        <v>25000</v>
      </c>
      <c r="G2944" s="5">
        <f>VLOOKUP(C2944,[1]master_data!$A$2:$E$495,4,FALSE)</f>
        <v>35000</v>
      </c>
      <c r="H2944" s="5">
        <f t="shared" si="141"/>
        <v>25000</v>
      </c>
      <c r="I2944" s="5">
        <f t="shared" si="142"/>
        <v>35000</v>
      </c>
      <c r="J2944" s="5">
        <f t="shared" si="143"/>
        <v>10000</v>
      </c>
      <c r="K2944" s="5" t="str">
        <f>VLOOKUP(C2944,[1]master_data!$A$2:$E$495,5,FALSE)</f>
        <v>Ikan</v>
      </c>
      <c r="L2944" s="5" t="s">
        <v>471</v>
      </c>
    </row>
    <row r="2945" spans="1:12" ht="12" customHeight="1" x14ac:dyDescent="0.25">
      <c r="A2945" s="6">
        <v>44647</v>
      </c>
      <c r="B2945" s="1">
        <v>2201618</v>
      </c>
      <c r="C2945" s="5" t="s">
        <v>124</v>
      </c>
      <c r="D2945" s="5" t="str">
        <f>VLOOKUP(C2945,[1]master_data!$A$2:$E$495,2,FALSE)</f>
        <v>LAMPU YAMANO UV 7W</v>
      </c>
      <c r="E2945" s="5">
        <v>1</v>
      </c>
      <c r="F2945" s="5">
        <f>VLOOKUP(C2945,[1]master_data!$A$2:$E$495,3,FALSE)</f>
        <v>63000</v>
      </c>
      <c r="G2945" s="5">
        <f>VLOOKUP(C2945,[1]master_data!$A$2:$E$495,4,FALSE)</f>
        <v>80000</v>
      </c>
      <c r="H2945" s="5">
        <f t="shared" si="141"/>
        <v>63000</v>
      </c>
      <c r="I2945" s="5">
        <f t="shared" si="142"/>
        <v>80000</v>
      </c>
      <c r="J2945" s="5">
        <f t="shared" si="143"/>
        <v>17000</v>
      </c>
      <c r="K2945" s="5" t="str">
        <f>VLOOKUP(C2945,[1]master_data!$A$2:$E$495,5,FALSE)</f>
        <v>Aksesoris</v>
      </c>
      <c r="L2945" s="5" t="s">
        <v>471</v>
      </c>
    </row>
    <row r="2946" spans="1:12" ht="12" customHeight="1" x14ac:dyDescent="0.25">
      <c r="A2946" s="6">
        <v>44647</v>
      </c>
      <c r="B2946" s="1">
        <v>2201617</v>
      </c>
      <c r="C2946" s="5" t="s">
        <v>421</v>
      </c>
      <c r="D2946" s="5" t="str">
        <f>VLOOKUP(C2946,[1]master_data!$A$2:$E$495,2,FALSE)</f>
        <v>KOMET PAKAN</v>
      </c>
      <c r="E2946" s="5">
        <v>10</v>
      </c>
      <c r="F2946" s="5">
        <f>VLOOKUP(C2946,[1]master_data!$A$2:$E$495,3,FALSE)</f>
        <v>300</v>
      </c>
      <c r="G2946" s="5">
        <f>VLOOKUP(C2946,[1]master_data!$A$2:$E$495,4,FALSE)</f>
        <v>1000</v>
      </c>
      <c r="H2946" s="5">
        <f t="shared" si="141"/>
        <v>3000</v>
      </c>
      <c r="I2946" s="5">
        <f t="shared" si="142"/>
        <v>10000</v>
      </c>
      <c r="J2946" s="5">
        <f t="shared" si="143"/>
        <v>7000</v>
      </c>
      <c r="K2946" s="5" t="str">
        <f>VLOOKUP(C2946,[1]master_data!$A$2:$E$495,5,FALSE)</f>
        <v>Ikan</v>
      </c>
      <c r="L2946" s="5" t="s">
        <v>471</v>
      </c>
    </row>
    <row r="2947" spans="1:12" ht="12" customHeight="1" x14ac:dyDescent="0.25">
      <c r="A2947" s="6">
        <v>44647</v>
      </c>
      <c r="B2947" s="1">
        <v>2201616</v>
      </c>
      <c r="C2947" s="5" t="s">
        <v>434</v>
      </c>
      <c r="D2947" s="5" t="str">
        <f>VLOOKUP(C2947,[1]master_data!$A$2:$E$495,2,FALSE)</f>
        <v>MOLI PAKAN</v>
      </c>
      <c r="E2947" s="5">
        <v>100</v>
      </c>
      <c r="F2947" s="5">
        <f>VLOOKUP(C2947,[1]master_data!$A$2:$E$495,3,FALSE)</f>
        <v>100</v>
      </c>
      <c r="G2947" s="5">
        <f>VLOOKUP(C2947,[1]master_data!$A$2:$E$495,4,FALSE)</f>
        <v>200</v>
      </c>
      <c r="H2947" s="5">
        <f t="shared" si="141"/>
        <v>10000</v>
      </c>
      <c r="I2947" s="5">
        <f t="shared" si="142"/>
        <v>20000</v>
      </c>
      <c r="J2947" s="5">
        <f t="shared" si="143"/>
        <v>10000</v>
      </c>
      <c r="K2947" s="5" t="str">
        <f>VLOOKUP(C2947,[1]master_data!$A$2:$E$495,5,FALSE)</f>
        <v>Ikan</v>
      </c>
      <c r="L2947" s="5" t="s">
        <v>471</v>
      </c>
    </row>
    <row r="2948" spans="1:12" ht="12" customHeight="1" x14ac:dyDescent="0.25">
      <c r="A2948" s="6">
        <v>44647</v>
      </c>
      <c r="B2948" s="1">
        <v>2201615</v>
      </c>
      <c r="C2948" s="5" t="s">
        <v>428</v>
      </c>
      <c r="D2948" s="5" t="str">
        <f>VLOOKUP(C2948,[1]master_data!$A$2:$E$495,2,FALSE)</f>
        <v>LOUHAN</v>
      </c>
      <c r="E2948" s="5">
        <v>1</v>
      </c>
      <c r="F2948" s="5">
        <f>VLOOKUP(C2948,[1]master_data!$A$2:$E$495,3,FALSE)</f>
        <v>85000</v>
      </c>
      <c r="G2948" s="5">
        <f>VLOOKUP(C2948,[1]master_data!$A$2:$E$495,4,FALSE)</f>
        <v>200000</v>
      </c>
      <c r="H2948" s="5">
        <f t="shared" si="141"/>
        <v>85000</v>
      </c>
      <c r="I2948" s="5">
        <f t="shared" si="142"/>
        <v>200000</v>
      </c>
      <c r="J2948" s="5">
        <f t="shared" si="143"/>
        <v>115000</v>
      </c>
      <c r="K2948" s="5" t="str">
        <f>VLOOKUP(C2948,[1]master_data!$A$2:$E$495,5,FALSE)</f>
        <v>Ikan</v>
      </c>
      <c r="L2948" s="5" t="s">
        <v>471</v>
      </c>
    </row>
    <row r="2949" spans="1:12" ht="12" customHeight="1" x14ac:dyDescent="0.25">
      <c r="A2949" s="6">
        <v>44647</v>
      </c>
      <c r="B2949" s="1">
        <v>2201614</v>
      </c>
      <c r="C2949" s="5" t="s">
        <v>451</v>
      </c>
      <c r="D2949" s="5" t="str">
        <f>VLOOKUP(C2949,[1]master_data!$A$2:$E$495,2,FALSE)</f>
        <v>SUMATRA GOLD FISH</v>
      </c>
      <c r="E2949" s="5">
        <v>5</v>
      </c>
      <c r="F2949" s="5">
        <f>VLOOKUP(C2949,[1]master_data!$A$2:$E$495,3,FALSE)</f>
        <v>2500</v>
      </c>
      <c r="G2949" s="5">
        <f>VLOOKUP(C2949,[1]master_data!$A$2:$E$495,4,FALSE)</f>
        <v>4000</v>
      </c>
      <c r="H2949" s="5">
        <f t="shared" ref="H2949:H3012" si="144">E2949*F2949</f>
        <v>12500</v>
      </c>
      <c r="I2949" s="5">
        <f t="shared" ref="I2949:I3012" si="145">E2949*G2949</f>
        <v>20000</v>
      </c>
      <c r="J2949" s="5">
        <f t="shared" ref="J2949:J3012" si="146">I2949-H2949</f>
        <v>7500</v>
      </c>
      <c r="K2949" s="5" t="str">
        <f>VLOOKUP(C2949,[1]master_data!$A$2:$E$495,5,FALSE)</f>
        <v>Ikan</v>
      </c>
      <c r="L2949" s="5" t="s">
        <v>471</v>
      </c>
    </row>
    <row r="2950" spans="1:12" ht="12" customHeight="1" x14ac:dyDescent="0.25">
      <c r="A2950" s="6">
        <v>44647</v>
      </c>
      <c r="B2950" s="1">
        <v>2201613</v>
      </c>
      <c r="C2950" s="5" t="s">
        <v>311</v>
      </c>
      <c r="D2950" s="5" t="str">
        <f>VLOOKUP(C2950,[1]master_data!$A$2:$E$495,2,FALSE)</f>
        <v>L PIPA</v>
      </c>
      <c r="E2950" s="5">
        <v>5</v>
      </c>
      <c r="F2950" s="5">
        <f>VLOOKUP(C2950,[1]master_data!$A$2:$E$495,3,FALSE)</f>
        <v>800</v>
      </c>
      <c r="G2950" s="5">
        <f>VLOOKUP(C2950,[1]master_data!$A$2:$E$495,4,FALSE)</f>
        <v>2000</v>
      </c>
      <c r="H2950" s="5">
        <f t="shared" si="144"/>
        <v>4000</v>
      </c>
      <c r="I2950" s="5">
        <f t="shared" si="145"/>
        <v>10000</v>
      </c>
      <c r="J2950" s="5">
        <f t="shared" si="146"/>
        <v>6000</v>
      </c>
      <c r="K2950" s="5" t="str">
        <f>VLOOKUP(C2950,[1]master_data!$A$2:$E$495,5,FALSE)</f>
        <v>Aksesoris</v>
      </c>
      <c r="L2950" s="5" t="s">
        <v>471</v>
      </c>
    </row>
    <row r="2951" spans="1:12" ht="12" customHeight="1" x14ac:dyDescent="0.25">
      <c r="A2951" s="6">
        <v>44647</v>
      </c>
      <c r="B2951" s="1">
        <v>2201612</v>
      </c>
      <c r="C2951" s="5" t="s">
        <v>199</v>
      </c>
      <c r="D2951" s="5" t="str">
        <f>VLOOKUP(C2951,[1]master_data!$A$2:$E$495,2,FALSE)</f>
        <v>AKARI PREMIUM MAXI</v>
      </c>
      <c r="E2951" s="5">
        <v>1</v>
      </c>
      <c r="F2951" s="5">
        <f>VLOOKUP(C2951,[1]master_data!$A$2:$E$495,3,FALSE)</f>
        <v>42000</v>
      </c>
      <c r="G2951" s="5">
        <f>VLOOKUP(C2951,[1]master_data!$A$2:$E$495,4,FALSE)</f>
        <v>50000</v>
      </c>
      <c r="H2951" s="5">
        <f t="shared" si="144"/>
        <v>42000</v>
      </c>
      <c r="I2951" s="5">
        <f t="shared" si="145"/>
        <v>50000</v>
      </c>
      <c r="J2951" s="5">
        <f t="shared" si="146"/>
        <v>8000</v>
      </c>
      <c r="K2951" s="5" t="str">
        <f>VLOOKUP(C2951,[1]master_data!$A$2:$E$495,5,FALSE)</f>
        <v>Aksesoris</v>
      </c>
      <c r="L2951" s="5" t="s">
        <v>471</v>
      </c>
    </row>
    <row r="2952" spans="1:12" ht="12" customHeight="1" x14ac:dyDescent="0.25">
      <c r="A2952" s="6">
        <v>44647</v>
      </c>
      <c r="B2952" s="1">
        <v>2201611</v>
      </c>
      <c r="C2952" s="5" t="s">
        <v>422</v>
      </c>
      <c r="D2952" s="5" t="str">
        <f>VLOOKUP(C2952,[1]master_data!$A$2:$E$495,2,FALSE)</f>
        <v>KOMET SLAYER</v>
      </c>
      <c r="E2952" s="5">
        <v>5</v>
      </c>
      <c r="F2952" s="5">
        <f>VLOOKUP(C2952,[1]master_data!$A$2:$E$495,3,FALSE)</f>
        <v>2000</v>
      </c>
      <c r="G2952" s="5">
        <f>VLOOKUP(C2952,[1]master_data!$A$2:$E$495,4,FALSE)</f>
        <v>5000</v>
      </c>
      <c r="H2952" s="5">
        <f t="shared" si="144"/>
        <v>10000</v>
      </c>
      <c r="I2952" s="5">
        <f t="shared" si="145"/>
        <v>25000</v>
      </c>
      <c r="J2952" s="5">
        <f t="shared" si="146"/>
        <v>15000</v>
      </c>
      <c r="K2952" s="5" t="str">
        <f>VLOOKUP(C2952,[1]master_data!$A$2:$E$495,5,FALSE)</f>
        <v>Ikan</v>
      </c>
      <c r="L2952" s="5" t="s">
        <v>471</v>
      </c>
    </row>
    <row r="2953" spans="1:12" ht="12" customHeight="1" x14ac:dyDescent="0.25">
      <c r="A2953" s="6">
        <v>44647</v>
      </c>
      <c r="B2953" s="1">
        <v>2201610</v>
      </c>
      <c r="C2953" s="5" t="s">
        <v>425</v>
      </c>
      <c r="D2953" s="5" t="str">
        <f>VLOOKUP(C2953,[1]master_data!$A$2:$E$495,2,FALSE)</f>
        <v>CAROLINE</v>
      </c>
      <c r="E2953" s="5">
        <v>10</v>
      </c>
      <c r="F2953" s="5">
        <f>VLOOKUP(C2953,[1]master_data!$A$2:$E$495,3,FALSE)</f>
        <v>900</v>
      </c>
      <c r="G2953" s="5">
        <f>VLOOKUP(C2953,[1]master_data!$A$2:$E$495,4,FALSE)</f>
        <v>2000</v>
      </c>
      <c r="H2953" s="5">
        <f t="shared" si="144"/>
        <v>9000</v>
      </c>
      <c r="I2953" s="5">
        <f t="shared" si="145"/>
        <v>20000</v>
      </c>
      <c r="J2953" s="5">
        <f t="shared" si="146"/>
        <v>11000</v>
      </c>
      <c r="K2953" s="5" t="str">
        <f>VLOOKUP(C2953,[1]master_data!$A$2:$E$495,5,FALSE)</f>
        <v>Ikan</v>
      </c>
      <c r="L2953" s="5" t="s">
        <v>471</v>
      </c>
    </row>
    <row r="2954" spans="1:12" ht="12" customHeight="1" x14ac:dyDescent="0.25">
      <c r="A2954" s="6">
        <v>44647</v>
      </c>
      <c r="B2954" s="1">
        <v>2201609</v>
      </c>
      <c r="C2954" s="5" t="s">
        <v>459</v>
      </c>
      <c r="D2954" s="5" t="str">
        <f>VLOOKUP(C2954,[1]master_data!$A$2:$E$495,2,FALSE)</f>
        <v>ZEBRA UNGU</v>
      </c>
      <c r="E2954" s="5">
        <v>10</v>
      </c>
      <c r="F2954" s="5">
        <f>VLOOKUP(C2954,[1]master_data!$A$2:$E$495,3,FALSE)</f>
        <v>800</v>
      </c>
      <c r="G2954" s="5">
        <f>VLOOKUP(C2954,[1]master_data!$A$2:$E$495,4,FALSE)</f>
        <v>2000</v>
      </c>
      <c r="H2954" s="5">
        <f t="shared" si="144"/>
        <v>8000</v>
      </c>
      <c r="I2954" s="5">
        <f t="shared" si="145"/>
        <v>20000</v>
      </c>
      <c r="J2954" s="5">
        <f t="shared" si="146"/>
        <v>12000</v>
      </c>
      <c r="K2954" s="5" t="str">
        <f>VLOOKUP(C2954,[1]master_data!$A$2:$E$495,5,FALSE)</f>
        <v>Ikan</v>
      </c>
      <c r="L2954" s="5" t="s">
        <v>471</v>
      </c>
    </row>
    <row r="2955" spans="1:12" ht="12" customHeight="1" x14ac:dyDescent="0.25">
      <c r="A2955" s="6">
        <v>44647</v>
      </c>
      <c r="B2955" s="1">
        <v>2201608</v>
      </c>
      <c r="C2955" s="5" t="s">
        <v>430</v>
      </c>
      <c r="D2955" s="5" t="str">
        <f>VLOOKUP(C2955,[1]master_data!$A$2:$E$495,2,FALSE)</f>
        <v>MANFISH K</v>
      </c>
      <c r="E2955" s="5">
        <v>2</v>
      </c>
      <c r="F2955" s="5">
        <f>VLOOKUP(C2955,[1]master_data!$A$2:$E$495,3,FALSE)</f>
        <v>2000</v>
      </c>
      <c r="G2955" s="5">
        <f>VLOOKUP(C2955,[1]master_data!$A$2:$E$495,4,FALSE)</f>
        <v>5000</v>
      </c>
      <c r="H2955" s="5">
        <f t="shared" si="144"/>
        <v>4000</v>
      </c>
      <c r="I2955" s="5">
        <f t="shared" si="145"/>
        <v>10000</v>
      </c>
      <c r="J2955" s="5">
        <f t="shared" si="146"/>
        <v>6000</v>
      </c>
      <c r="K2955" s="5" t="str">
        <f>VLOOKUP(C2955,[1]master_data!$A$2:$E$495,5,FALSE)</f>
        <v>Ikan</v>
      </c>
      <c r="L2955" s="5" t="s">
        <v>471</v>
      </c>
    </row>
    <row r="2956" spans="1:12" ht="12" customHeight="1" x14ac:dyDescent="0.25">
      <c r="A2956" s="6">
        <v>44646</v>
      </c>
      <c r="B2956" s="1">
        <v>2201607</v>
      </c>
      <c r="C2956" s="5" t="s">
        <v>422</v>
      </c>
      <c r="D2956" s="5" t="str">
        <f>VLOOKUP(C2956,[1]master_data!$A$2:$E$495,2,FALSE)</f>
        <v>KOMET SLAYER</v>
      </c>
      <c r="E2956" s="5">
        <v>5</v>
      </c>
      <c r="F2956" s="5">
        <f>VLOOKUP(C2956,[1]master_data!$A$2:$E$495,3,FALSE)</f>
        <v>2000</v>
      </c>
      <c r="G2956" s="5">
        <f>VLOOKUP(C2956,[1]master_data!$A$2:$E$495,4,FALSE)</f>
        <v>5000</v>
      </c>
      <c r="H2956" s="5">
        <f t="shared" si="144"/>
        <v>10000</v>
      </c>
      <c r="I2956" s="5">
        <f t="shared" si="145"/>
        <v>25000</v>
      </c>
      <c r="J2956" s="5">
        <f t="shared" si="146"/>
        <v>15000</v>
      </c>
      <c r="K2956" s="5" t="str">
        <f>VLOOKUP(C2956,[1]master_data!$A$2:$E$495,5,FALSE)</f>
        <v>Ikan</v>
      </c>
      <c r="L2956" s="5" t="s">
        <v>471</v>
      </c>
    </row>
    <row r="2957" spans="1:12" ht="12" customHeight="1" x14ac:dyDescent="0.25">
      <c r="A2957" s="6">
        <v>44646</v>
      </c>
      <c r="B2957" s="1">
        <v>2201606</v>
      </c>
      <c r="C2957" s="5" t="s">
        <v>310</v>
      </c>
      <c r="D2957" s="5" t="str">
        <f>VLOOKUP(C2957,[1]master_data!$A$2:$E$495,2,FALSE)</f>
        <v>SELANG FUSO</v>
      </c>
      <c r="E2957" s="5">
        <v>1</v>
      </c>
      <c r="F2957" s="5">
        <f>VLOOKUP(C2957,[1]master_data!$A$2:$E$495,3,FALSE)</f>
        <v>800</v>
      </c>
      <c r="G2957" s="5">
        <f>VLOOKUP(C2957,[1]master_data!$A$2:$E$495,4,FALSE)</f>
        <v>2000</v>
      </c>
      <c r="H2957" s="5">
        <f t="shared" si="144"/>
        <v>800</v>
      </c>
      <c r="I2957" s="5">
        <f t="shared" si="145"/>
        <v>2000</v>
      </c>
      <c r="J2957" s="5">
        <f t="shared" si="146"/>
        <v>1200</v>
      </c>
      <c r="K2957" s="5" t="str">
        <f>VLOOKUP(C2957,[1]master_data!$A$2:$E$495,5,FALSE)</f>
        <v>Aksesoris</v>
      </c>
      <c r="L2957" s="5" t="s">
        <v>471</v>
      </c>
    </row>
    <row r="2958" spans="1:12" ht="12" customHeight="1" x14ac:dyDescent="0.25">
      <c r="A2958" s="6">
        <v>44646</v>
      </c>
      <c r="B2958" s="1">
        <v>2201605</v>
      </c>
      <c r="C2958" s="5" t="s">
        <v>410</v>
      </c>
      <c r="D2958" s="5" t="str">
        <f>VLOOKUP(C2958,[1]master_data!$A$2:$E$495,2,FALSE)</f>
        <v>GUPY</v>
      </c>
      <c r="E2958" s="5">
        <v>10</v>
      </c>
      <c r="F2958" s="5">
        <f>VLOOKUP(C2958,[1]master_data!$A$2:$E$495,3,FALSE)</f>
        <v>1200</v>
      </c>
      <c r="G2958" s="5">
        <f>VLOOKUP(C2958,[1]master_data!$A$2:$E$495,4,FALSE)</f>
        <v>2500</v>
      </c>
      <c r="H2958" s="5">
        <f t="shared" si="144"/>
        <v>12000</v>
      </c>
      <c r="I2958" s="5">
        <f t="shared" si="145"/>
        <v>25000</v>
      </c>
      <c r="J2958" s="5">
        <f t="shared" si="146"/>
        <v>13000</v>
      </c>
      <c r="K2958" s="5" t="str">
        <f>VLOOKUP(C2958,[1]master_data!$A$2:$E$495,5,FALSE)</f>
        <v>Ikan</v>
      </c>
      <c r="L2958" s="5" t="s">
        <v>471</v>
      </c>
    </row>
    <row r="2959" spans="1:12" ht="12" customHeight="1" x14ac:dyDescent="0.25">
      <c r="A2959" s="6">
        <v>44646</v>
      </c>
      <c r="B2959" s="1">
        <v>2201604</v>
      </c>
      <c r="C2959" s="5" t="s">
        <v>439</v>
      </c>
      <c r="D2959" s="5" t="str">
        <f>VLOOKUP(C2959,[1]master_data!$A$2:$E$495,2,FALSE)</f>
        <v>NEON</v>
      </c>
      <c r="E2959" s="5">
        <v>10</v>
      </c>
      <c r="F2959" s="5">
        <f>VLOOKUP(C2959,[1]master_data!$A$2:$E$495,3,FALSE)</f>
        <v>1250</v>
      </c>
      <c r="G2959" s="5">
        <f>VLOOKUP(C2959,[1]master_data!$A$2:$E$495,4,FALSE)</f>
        <v>5000</v>
      </c>
      <c r="H2959" s="5">
        <f t="shared" si="144"/>
        <v>12500</v>
      </c>
      <c r="I2959" s="5">
        <f t="shared" si="145"/>
        <v>50000</v>
      </c>
      <c r="J2959" s="5">
        <f t="shared" si="146"/>
        <v>37500</v>
      </c>
      <c r="K2959" s="5" t="str">
        <f>VLOOKUP(C2959,[1]master_data!$A$2:$E$495,5,FALSE)</f>
        <v>Ikan</v>
      </c>
      <c r="L2959" s="5" t="s">
        <v>471</v>
      </c>
    </row>
    <row r="2960" spans="1:12" ht="12" customHeight="1" x14ac:dyDescent="0.25">
      <c r="A2960" s="6">
        <v>44646</v>
      </c>
      <c r="B2960" s="1">
        <v>2201603</v>
      </c>
      <c r="C2960" s="5" t="s">
        <v>437</v>
      </c>
      <c r="D2960" s="5" t="str">
        <f>VLOOKUP(C2960,[1]master_data!$A$2:$E$495,2,FALSE)</f>
        <v>RED EYE TETRA</v>
      </c>
      <c r="E2960" s="5">
        <v>15</v>
      </c>
      <c r="F2960" s="5">
        <f>VLOOKUP(C2960,[1]master_data!$A$2:$E$495,3,FALSE)</f>
        <v>900</v>
      </c>
      <c r="G2960" s="5">
        <f>VLOOKUP(C2960,[1]master_data!$A$2:$E$495,4,FALSE)</f>
        <v>2000</v>
      </c>
      <c r="H2960" s="5">
        <f t="shared" si="144"/>
        <v>13500</v>
      </c>
      <c r="I2960" s="5">
        <f t="shared" si="145"/>
        <v>30000</v>
      </c>
      <c r="J2960" s="5">
        <f t="shared" si="146"/>
        <v>16500</v>
      </c>
      <c r="K2960" s="5" t="str">
        <f>VLOOKUP(C2960,[1]master_data!$A$2:$E$495,5,FALSE)</f>
        <v>Ikan</v>
      </c>
      <c r="L2960" s="5" t="s">
        <v>471</v>
      </c>
    </row>
    <row r="2961" spans="1:12" ht="12" customHeight="1" x14ac:dyDescent="0.25">
      <c r="A2961" s="6">
        <v>44646</v>
      </c>
      <c r="B2961" s="1">
        <v>2201602</v>
      </c>
      <c r="C2961" s="5" t="s">
        <v>329</v>
      </c>
      <c r="D2961" s="5" t="str">
        <f>VLOOKUP(C2961,[1]master_data!$A$2:$E$495,2,FALSE)</f>
        <v>AIRSTONE D2L5</v>
      </c>
      <c r="E2961" s="5">
        <v>1</v>
      </c>
      <c r="F2961" s="5">
        <f>VLOOKUP(C2961,[1]master_data!$A$2:$E$495,3,FALSE)</f>
        <v>1850</v>
      </c>
      <c r="G2961" s="5">
        <f>VLOOKUP(C2961,[1]master_data!$A$2:$E$495,4,FALSE)</f>
        <v>5000</v>
      </c>
      <c r="H2961" s="5">
        <f t="shared" si="144"/>
        <v>1850</v>
      </c>
      <c r="I2961" s="5">
        <f t="shared" si="145"/>
        <v>5000</v>
      </c>
      <c r="J2961" s="5">
        <f t="shared" si="146"/>
        <v>3150</v>
      </c>
      <c r="K2961" s="5" t="str">
        <f>VLOOKUP(C2961,[1]master_data!$A$2:$E$495,5,FALSE)</f>
        <v>Aksesoris</v>
      </c>
      <c r="L2961" s="5" t="s">
        <v>471</v>
      </c>
    </row>
    <row r="2962" spans="1:12" ht="12" customHeight="1" x14ac:dyDescent="0.25">
      <c r="A2962" s="6">
        <v>44646</v>
      </c>
      <c r="B2962" s="1">
        <v>2201601</v>
      </c>
      <c r="C2962" s="5" t="s">
        <v>310</v>
      </c>
      <c r="D2962" s="5" t="str">
        <f>VLOOKUP(C2962,[1]master_data!$A$2:$E$495,2,FALSE)</f>
        <v>SELANG FUSO</v>
      </c>
      <c r="E2962" s="5">
        <v>2</v>
      </c>
      <c r="F2962" s="5">
        <f>VLOOKUP(C2962,[1]master_data!$A$2:$E$495,3,FALSE)</f>
        <v>800</v>
      </c>
      <c r="G2962" s="5">
        <f>VLOOKUP(C2962,[1]master_data!$A$2:$E$495,4,FALSE)</f>
        <v>2000</v>
      </c>
      <c r="H2962" s="5">
        <f t="shared" si="144"/>
        <v>1600</v>
      </c>
      <c r="I2962" s="5">
        <f t="shared" si="145"/>
        <v>4000</v>
      </c>
      <c r="J2962" s="5">
        <f t="shared" si="146"/>
        <v>2400</v>
      </c>
      <c r="K2962" s="5" t="str">
        <f>VLOOKUP(C2962,[1]master_data!$A$2:$E$495,5,FALSE)</f>
        <v>Aksesoris</v>
      </c>
      <c r="L2962" s="5" t="s">
        <v>471</v>
      </c>
    </row>
    <row r="2963" spans="1:12" ht="12" customHeight="1" x14ac:dyDescent="0.25">
      <c r="A2963" s="6">
        <v>44646</v>
      </c>
      <c r="B2963" s="1">
        <v>2201600</v>
      </c>
      <c r="C2963" s="5" t="s">
        <v>100</v>
      </c>
      <c r="D2963" s="5" t="str">
        <f>VLOOKUP(C2963,[1]master_data!$A$2:$E$495,2,FALSE)</f>
        <v>AIRATOR AMARA LUB 1</v>
      </c>
      <c r="E2963" s="5">
        <v>1</v>
      </c>
      <c r="F2963" s="5">
        <f>VLOOKUP(C2963,[1]master_data!$A$2:$E$495,3,FALSE)</f>
        <v>17500</v>
      </c>
      <c r="G2963" s="5">
        <f>VLOOKUP(C2963,[1]master_data!$A$2:$E$495,4,FALSE)</f>
        <v>30000</v>
      </c>
      <c r="H2963" s="5">
        <f t="shared" si="144"/>
        <v>17500</v>
      </c>
      <c r="I2963" s="5">
        <f t="shared" si="145"/>
        <v>30000</v>
      </c>
      <c r="J2963" s="5">
        <f t="shared" si="146"/>
        <v>12500</v>
      </c>
      <c r="K2963" s="5" t="str">
        <f>VLOOKUP(C2963,[1]master_data!$A$2:$E$495,5,FALSE)</f>
        <v>Aksesoris</v>
      </c>
      <c r="L2963" s="5" t="s">
        <v>471</v>
      </c>
    </row>
    <row r="2964" spans="1:12" ht="12" customHeight="1" x14ac:dyDescent="0.25">
      <c r="A2964" s="6">
        <v>44646</v>
      </c>
      <c r="B2964" s="1">
        <v>2201599</v>
      </c>
      <c r="C2964" s="5" t="s">
        <v>396</v>
      </c>
      <c r="D2964" s="5" t="str">
        <f>VLOOKUP(C2964,[1]master_data!$A$2:$E$495,2,FALSE)</f>
        <v>ALGA EATER</v>
      </c>
      <c r="E2964" s="5">
        <v>1</v>
      </c>
      <c r="F2964" s="5">
        <f>VLOOKUP(C2964,[1]master_data!$A$2:$E$495,3,FALSE)</f>
        <v>1750</v>
      </c>
      <c r="G2964" s="5">
        <f>VLOOKUP(C2964,[1]master_data!$A$2:$E$495,4,FALSE)</f>
        <v>5000</v>
      </c>
      <c r="H2964" s="5">
        <f t="shared" si="144"/>
        <v>1750</v>
      </c>
      <c r="I2964" s="5">
        <f t="shared" si="145"/>
        <v>5000</v>
      </c>
      <c r="J2964" s="5">
        <f t="shared" si="146"/>
        <v>3250</v>
      </c>
      <c r="K2964" s="5" t="str">
        <f>VLOOKUP(C2964,[1]master_data!$A$2:$E$495,5,FALSE)</f>
        <v>Ikan</v>
      </c>
      <c r="L2964" s="5" t="s">
        <v>471</v>
      </c>
    </row>
    <row r="2965" spans="1:12" ht="12" customHeight="1" x14ac:dyDescent="0.25">
      <c r="A2965" s="6">
        <v>44646</v>
      </c>
      <c r="B2965" s="1">
        <v>2201598</v>
      </c>
      <c r="C2965" s="5" t="s">
        <v>427</v>
      </c>
      <c r="D2965" s="5" t="str">
        <f>VLOOKUP(C2965,[1]master_data!$A$2:$E$495,2,FALSE)</f>
        <v>LEMON</v>
      </c>
      <c r="E2965" s="5">
        <v>5</v>
      </c>
      <c r="F2965" s="5">
        <f>VLOOKUP(C2965,[1]master_data!$A$2:$E$495,3,FALSE)</f>
        <v>1000</v>
      </c>
      <c r="G2965" s="5">
        <f>VLOOKUP(C2965,[1]master_data!$A$2:$E$495,4,FALSE)</f>
        <v>2000</v>
      </c>
      <c r="H2965" s="5">
        <f t="shared" si="144"/>
        <v>5000</v>
      </c>
      <c r="I2965" s="5">
        <f t="shared" si="145"/>
        <v>10000</v>
      </c>
      <c r="J2965" s="5">
        <f t="shared" si="146"/>
        <v>5000</v>
      </c>
      <c r="K2965" s="5" t="str">
        <f>VLOOKUP(C2965,[1]master_data!$A$2:$E$495,5,FALSE)</f>
        <v>Ikan</v>
      </c>
      <c r="L2965" s="5" t="s">
        <v>471</v>
      </c>
    </row>
    <row r="2966" spans="1:12" ht="12" customHeight="1" x14ac:dyDescent="0.25">
      <c r="A2966" s="6">
        <v>44646</v>
      </c>
      <c r="B2966" s="1">
        <v>2201597</v>
      </c>
      <c r="C2966" s="5" t="s">
        <v>42</v>
      </c>
      <c r="D2966" s="5" t="str">
        <f>VLOOKUP(C2966,[1]master_data!$A$2:$E$495,2,FALSE)</f>
        <v>MESIN YAMANO MP 44</v>
      </c>
      <c r="E2966" s="5">
        <v>1</v>
      </c>
      <c r="F2966" s="5">
        <f>VLOOKUP(C2966,[1]master_data!$A$2:$E$495,3,FALSE)</f>
        <v>40000</v>
      </c>
      <c r="G2966" s="5">
        <f>VLOOKUP(C2966,[1]master_data!$A$2:$E$495,4,FALSE)</f>
        <v>60000</v>
      </c>
      <c r="H2966" s="5">
        <f t="shared" si="144"/>
        <v>40000</v>
      </c>
      <c r="I2966" s="5">
        <f t="shared" si="145"/>
        <v>60000</v>
      </c>
      <c r="J2966" s="5">
        <f t="shared" si="146"/>
        <v>20000</v>
      </c>
      <c r="K2966" s="5" t="str">
        <f>VLOOKUP(C2966,[1]master_data!$A$2:$E$495,5,FALSE)</f>
        <v>Aksesoris</v>
      </c>
      <c r="L2966" s="5" t="s">
        <v>471</v>
      </c>
    </row>
    <row r="2967" spans="1:12" ht="12" customHeight="1" x14ac:dyDescent="0.25">
      <c r="A2967" s="6">
        <v>44646</v>
      </c>
      <c r="B2967" s="1">
        <v>2201596</v>
      </c>
      <c r="C2967" s="5" t="s">
        <v>310</v>
      </c>
      <c r="D2967" s="5" t="str">
        <f>VLOOKUP(C2967,[1]master_data!$A$2:$E$495,2,FALSE)</f>
        <v>SELANG FUSO</v>
      </c>
      <c r="E2967" s="5">
        <v>3</v>
      </c>
      <c r="F2967" s="5">
        <f>VLOOKUP(C2967,[1]master_data!$A$2:$E$495,3,FALSE)</f>
        <v>800</v>
      </c>
      <c r="G2967" s="5">
        <f>VLOOKUP(C2967,[1]master_data!$A$2:$E$495,4,FALSE)</f>
        <v>2000</v>
      </c>
      <c r="H2967" s="5">
        <f t="shared" si="144"/>
        <v>2400</v>
      </c>
      <c r="I2967" s="5">
        <f t="shared" si="145"/>
        <v>6000</v>
      </c>
      <c r="J2967" s="5">
        <f t="shared" si="146"/>
        <v>3600</v>
      </c>
      <c r="K2967" s="5" t="str">
        <f>VLOOKUP(C2967,[1]master_data!$A$2:$E$495,5,FALSE)</f>
        <v>Aksesoris</v>
      </c>
      <c r="L2967" s="5" t="s">
        <v>471</v>
      </c>
    </row>
    <row r="2968" spans="1:12" ht="12" customHeight="1" x14ac:dyDescent="0.25">
      <c r="A2968" s="6">
        <v>44646</v>
      </c>
      <c r="B2968" s="1">
        <v>2201595</v>
      </c>
      <c r="C2968" s="5" t="s">
        <v>413</v>
      </c>
      <c r="D2968" s="5" t="str">
        <f>VLOOKUP(C2968,[1]master_data!$A$2:$E$495,2,FALSE)</f>
        <v>KOKI K</v>
      </c>
      <c r="E2968" s="5">
        <v>4</v>
      </c>
      <c r="F2968" s="5">
        <f>VLOOKUP(C2968,[1]master_data!$A$2:$E$495,3,FALSE)</f>
        <v>3500</v>
      </c>
      <c r="G2968" s="5">
        <f>VLOOKUP(C2968,[1]master_data!$A$2:$E$495,4,FALSE)</f>
        <v>10000</v>
      </c>
      <c r="H2968" s="5">
        <f t="shared" si="144"/>
        <v>14000</v>
      </c>
      <c r="I2968" s="5">
        <f t="shared" si="145"/>
        <v>40000</v>
      </c>
      <c r="J2968" s="5">
        <f t="shared" si="146"/>
        <v>26000</v>
      </c>
      <c r="K2968" s="5" t="str">
        <f>VLOOKUP(C2968,[1]master_data!$A$2:$E$495,5,FALSE)</f>
        <v>Ikan</v>
      </c>
      <c r="L2968" s="5" t="s">
        <v>471</v>
      </c>
    </row>
    <row r="2969" spans="1:12" ht="12" customHeight="1" x14ac:dyDescent="0.25">
      <c r="A2969" s="6">
        <v>44646</v>
      </c>
      <c r="B2969" s="1">
        <v>2201594</v>
      </c>
      <c r="C2969" s="5" t="s">
        <v>441</v>
      </c>
      <c r="D2969" s="5" t="str">
        <f>VLOOKUP(C2969,[1]master_data!$A$2:$E$495,2,FALSE)</f>
        <v>PEMBERSIH KACA BIASA</v>
      </c>
      <c r="E2969" s="5">
        <v>1</v>
      </c>
      <c r="F2969" s="5">
        <f>VLOOKUP(C2969,[1]master_data!$A$2:$E$495,3,FALSE)</f>
        <v>2000</v>
      </c>
      <c r="G2969" s="5">
        <f>VLOOKUP(C2969,[1]master_data!$A$2:$E$495,4,FALSE)</f>
        <v>5000</v>
      </c>
      <c r="H2969" s="5">
        <f t="shared" si="144"/>
        <v>2000</v>
      </c>
      <c r="I2969" s="5">
        <f t="shared" si="145"/>
        <v>5000</v>
      </c>
      <c r="J2969" s="5">
        <f t="shared" si="146"/>
        <v>3000</v>
      </c>
      <c r="K2969" s="5" t="str">
        <f>VLOOKUP(C2969,[1]master_data!$A$2:$E$495,5,FALSE)</f>
        <v>Ikan</v>
      </c>
      <c r="L2969" s="5" t="s">
        <v>471</v>
      </c>
    </row>
    <row r="2970" spans="1:12" ht="12" customHeight="1" x14ac:dyDescent="0.25">
      <c r="A2970" s="6">
        <v>44646</v>
      </c>
      <c r="B2970" s="1">
        <v>2201593</v>
      </c>
      <c r="C2970" s="5" t="s">
        <v>327</v>
      </c>
      <c r="D2970" s="5" t="str">
        <f>VLOOKUP(C2970,[1]master_data!$A$2:$E$495,2,FALSE)</f>
        <v>AIRSTONE K</v>
      </c>
      <c r="E2970" s="5">
        <v>1</v>
      </c>
      <c r="F2970" s="5">
        <f>VLOOKUP(C2970,[1]master_data!$A$2:$E$495,3,FALSE)</f>
        <v>850</v>
      </c>
      <c r="G2970" s="5">
        <f>VLOOKUP(C2970,[1]master_data!$A$2:$E$495,4,FALSE)</f>
        <v>3000</v>
      </c>
      <c r="H2970" s="5">
        <f t="shared" si="144"/>
        <v>850</v>
      </c>
      <c r="I2970" s="5">
        <f t="shared" si="145"/>
        <v>3000</v>
      </c>
      <c r="J2970" s="5">
        <f t="shared" si="146"/>
        <v>2150</v>
      </c>
      <c r="K2970" s="5" t="str">
        <f>VLOOKUP(C2970,[1]master_data!$A$2:$E$495,5,FALSE)</f>
        <v>Aksesoris</v>
      </c>
      <c r="L2970" s="5" t="s">
        <v>471</v>
      </c>
    </row>
    <row r="2971" spans="1:12" ht="12" customHeight="1" x14ac:dyDescent="0.25">
      <c r="A2971" s="6">
        <v>44646</v>
      </c>
      <c r="B2971" s="1">
        <v>2201592</v>
      </c>
      <c r="C2971" s="5" t="s">
        <v>458</v>
      </c>
      <c r="D2971" s="5" t="str">
        <f>VLOOKUP(C2971,[1]master_data!$A$2:$E$495,2,FALSE)</f>
        <v>ZEBRA HIJAU</v>
      </c>
      <c r="E2971" s="5">
        <v>10</v>
      </c>
      <c r="F2971" s="5">
        <f>VLOOKUP(C2971,[1]master_data!$A$2:$E$495,3,FALSE)</f>
        <v>800</v>
      </c>
      <c r="G2971" s="5">
        <f>VLOOKUP(C2971,[1]master_data!$A$2:$E$495,4,FALSE)</f>
        <v>2000</v>
      </c>
      <c r="H2971" s="5">
        <f t="shared" si="144"/>
        <v>8000</v>
      </c>
      <c r="I2971" s="5">
        <f t="shared" si="145"/>
        <v>20000</v>
      </c>
      <c r="J2971" s="5">
        <f t="shared" si="146"/>
        <v>12000</v>
      </c>
      <c r="K2971" s="5" t="str">
        <f>VLOOKUP(C2971,[1]master_data!$A$2:$E$495,5,FALSE)</f>
        <v>Ikan</v>
      </c>
      <c r="L2971" s="5" t="s">
        <v>471</v>
      </c>
    </row>
    <row r="2972" spans="1:12" ht="12" customHeight="1" x14ac:dyDescent="0.25">
      <c r="A2972" s="6">
        <v>44646</v>
      </c>
      <c r="B2972" s="1">
        <v>2201591</v>
      </c>
      <c r="C2972" s="5" t="s">
        <v>315</v>
      </c>
      <c r="D2972" s="5" t="str">
        <f>VLOOKUP(C2972,[1]master_data!$A$2:$E$495,2,FALSE)</f>
        <v>T SELANG</v>
      </c>
      <c r="E2972" s="5">
        <v>1</v>
      </c>
      <c r="F2972" s="5">
        <f>VLOOKUP(C2972,[1]master_data!$A$2:$E$495,3,FALSE)</f>
        <v>750</v>
      </c>
      <c r="G2972" s="5">
        <f>VLOOKUP(C2972,[1]master_data!$A$2:$E$495,4,FALSE)</f>
        <v>1500</v>
      </c>
      <c r="H2972" s="5">
        <f t="shared" si="144"/>
        <v>750</v>
      </c>
      <c r="I2972" s="5">
        <f t="shared" si="145"/>
        <v>1500</v>
      </c>
      <c r="J2972" s="5">
        <f t="shared" si="146"/>
        <v>750</v>
      </c>
      <c r="K2972" s="5" t="str">
        <f>VLOOKUP(C2972,[1]master_data!$A$2:$E$495,5,FALSE)</f>
        <v>Aksesoris</v>
      </c>
      <c r="L2972" s="5" t="s">
        <v>471</v>
      </c>
    </row>
    <row r="2973" spans="1:12" ht="12" customHeight="1" x14ac:dyDescent="0.25">
      <c r="A2973" s="6">
        <v>44646</v>
      </c>
      <c r="B2973" s="1">
        <v>2201590</v>
      </c>
      <c r="C2973" s="5" t="s">
        <v>432</v>
      </c>
      <c r="D2973" s="5" t="str">
        <f>VLOOKUP(C2973,[1]master_data!$A$2:$E$495,2,FALSE)</f>
        <v>MARU K</v>
      </c>
      <c r="E2973" s="5">
        <v>1</v>
      </c>
      <c r="F2973" s="5">
        <f>VLOOKUP(C2973,[1]master_data!$A$2:$E$495,3,FALSE)</f>
        <v>23000</v>
      </c>
      <c r="G2973" s="5">
        <f>VLOOKUP(C2973,[1]master_data!$A$2:$E$495,4,FALSE)</f>
        <v>50000</v>
      </c>
      <c r="H2973" s="5">
        <f t="shared" si="144"/>
        <v>23000</v>
      </c>
      <c r="I2973" s="5">
        <f t="shared" si="145"/>
        <v>50000</v>
      </c>
      <c r="J2973" s="5">
        <f t="shared" si="146"/>
        <v>27000</v>
      </c>
      <c r="K2973" s="5" t="str">
        <f>VLOOKUP(C2973,[1]master_data!$A$2:$E$495,5,FALSE)</f>
        <v>Ikan</v>
      </c>
      <c r="L2973" s="5" t="s">
        <v>471</v>
      </c>
    </row>
    <row r="2974" spans="1:12" ht="12" customHeight="1" x14ac:dyDescent="0.25">
      <c r="A2974" s="6">
        <v>44646</v>
      </c>
      <c r="B2974" s="1">
        <v>2201589</v>
      </c>
      <c r="C2974" s="5" t="s">
        <v>415</v>
      </c>
      <c r="D2974" s="5" t="str">
        <f>VLOOKUP(C2974,[1]master_data!$A$2:$E$495,2,FALSE)</f>
        <v>KOKI B</v>
      </c>
      <c r="E2974" s="5">
        <v>1</v>
      </c>
      <c r="F2974" s="5">
        <f>VLOOKUP(C2974,[1]master_data!$A$2:$E$495,3,FALSE)</f>
        <v>20000</v>
      </c>
      <c r="G2974" s="5">
        <f>VLOOKUP(C2974,[1]master_data!$A$2:$E$495,4,FALSE)</f>
        <v>50000</v>
      </c>
      <c r="H2974" s="5">
        <f t="shared" si="144"/>
        <v>20000</v>
      </c>
      <c r="I2974" s="5">
        <f t="shared" si="145"/>
        <v>50000</v>
      </c>
      <c r="J2974" s="5">
        <f t="shared" si="146"/>
        <v>30000</v>
      </c>
      <c r="K2974" s="5" t="str">
        <f>VLOOKUP(C2974,[1]master_data!$A$2:$E$495,5,FALSE)</f>
        <v>Ikan</v>
      </c>
      <c r="L2974" s="5" t="s">
        <v>471</v>
      </c>
    </row>
    <row r="2975" spans="1:12" ht="12" customHeight="1" x14ac:dyDescent="0.25">
      <c r="A2975" s="6">
        <v>44646</v>
      </c>
      <c r="B2975" s="1">
        <v>2201588</v>
      </c>
      <c r="C2975" s="5" t="s">
        <v>393</v>
      </c>
      <c r="D2975" s="5" t="str">
        <f>VLOOKUP(C2975,[1]master_data!$A$2:$E$495,2,FALSE)</f>
        <v>CHANNA ANDRAO B</v>
      </c>
      <c r="E2975" s="5">
        <v>1</v>
      </c>
      <c r="F2975" s="5">
        <f>VLOOKUP(C2975,[1]master_data!$A$2:$E$495,3,FALSE)</f>
        <v>100000</v>
      </c>
      <c r="G2975" s="5">
        <f>VLOOKUP(C2975,[1]master_data!$A$2:$E$495,4,FALSE)</f>
        <v>200000</v>
      </c>
      <c r="H2975" s="5">
        <f t="shared" si="144"/>
        <v>100000</v>
      </c>
      <c r="I2975" s="5">
        <f t="shared" si="145"/>
        <v>200000</v>
      </c>
      <c r="J2975" s="5">
        <f t="shared" si="146"/>
        <v>100000</v>
      </c>
      <c r="K2975" s="5" t="str">
        <f>VLOOKUP(C2975,[1]master_data!$A$2:$E$495,5,FALSE)</f>
        <v>Ikan</v>
      </c>
      <c r="L2975" s="5" t="s">
        <v>471</v>
      </c>
    </row>
    <row r="2976" spans="1:12" ht="12" customHeight="1" x14ac:dyDescent="0.25">
      <c r="A2976" s="6">
        <v>44646</v>
      </c>
      <c r="B2976" s="1">
        <v>2201587</v>
      </c>
      <c r="C2976" s="5" t="s">
        <v>419</v>
      </c>
      <c r="D2976" s="5" t="str">
        <f>VLOOKUP(C2976,[1]master_data!$A$2:$E$495,2,FALSE)</f>
        <v>KURA - KURA</v>
      </c>
      <c r="E2976" s="5">
        <v>2</v>
      </c>
      <c r="F2976" s="5">
        <f>VLOOKUP(C2976,[1]master_data!$A$2:$E$495,3,FALSE)</f>
        <v>25000</v>
      </c>
      <c r="G2976" s="5">
        <f>VLOOKUP(C2976,[1]master_data!$A$2:$E$495,4,FALSE)</f>
        <v>35000</v>
      </c>
      <c r="H2976" s="5">
        <f t="shared" si="144"/>
        <v>50000</v>
      </c>
      <c r="I2976" s="5">
        <f t="shared" si="145"/>
        <v>70000</v>
      </c>
      <c r="J2976" s="5">
        <f t="shared" si="146"/>
        <v>20000</v>
      </c>
      <c r="K2976" s="5" t="str">
        <f>VLOOKUP(C2976,[1]master_data!$A$2:$E$495,5,FALSE)</f>
        <v>Ikan</v>
      </c>
      <c r="L2976" s="5" t="s">
        <v>471</v>
      </c>
    </row>
    <row r="2977" spans="1:12" ht="12" customHeight="1" x14ac:dyDescent="0.25">
      <c r="A2977" s="6">
        <v>44646</v>
      </c>
      <c r="B2977" s="1">
        <v>2201586</v>
      </c>
      <c r="C2977" s="5" t="s">
        <v>102</v>
      </c>
      <c r="D2977" s="5" t="str">
        <f>VLOOKUP(C2977,[1]master_data!$A$2:$E$495,2,FALSE)</f>
        <v>AIRATOR NIKITA LUB 1</v>
      </c>
      <c r="E2977" s="5">
        <v>1</v>
      </c>
      <c r="F2977" s="5">
        <f>VLOOKUP(C2977,[1]master_data!$A$2:$E$495,3,FALSE)</f>
        <v>20500</v>
      </c>
      <c r="G2977" s="5">
        <f>VLOOKUP(C2977,[1]master_data!$A$2:$E$495,4,FALSE)</f>
        <v>30000</v>
      </c>
      <c r="H2977" s="5">
        <f t="shared" si="144"/>
        <v>20500</v>
      </c>
      <c r="I2977" s="5">
        <f t="shared" si="145"/>
        <v>30000</v>
      </c>
      <c r="J2977" s="5">
        <f t="shared" si="146"/>
        <v>9500</v>
      </c>
      <c r="K2977" s="5" t="str">
        <f>VLOOKUP(C2977,[1]master_data!$A$2:$E$495,5,FALSE)</f>
        <v>Aksesoris</v>
      </c>
      <c r="L2977" s="5" t="s">
        <v>471</v>
      </c>
    </row>
    <row r="2978" spans="1:12" ht="12" customHeight="1" x14ac:dyDescent="0.25">
      <c r="A2978" s="6">
        <v>44646</v>
      </c>
      <c r="B2978" s="1">
        <v>2201585</v>
      </c>
      <c r="C2978" s="5" t="s">
        <v>457</v>
      </c>
      <c r="D2978" s="5" t="str">
        <f>VLOOKUP(C2978,[1]master_data!$A$2:$E$495,2,FALSE)</f>
        <v>ZEBRA PINK</v>
      </c>
      <c r="E2978" s="5">
        <v>10</v>
      </c>
      <c r="F2978" s="5">
        <f>VLOOKUP(C2978,[1]master_data!$A$2:$E$495,3,FALSE)</f>
        <v>800</v>
      </c>
      <c r="G2978" s="5">
        <f>VLOOKUP(C2978,[1]master_data!$A$2:$E$495,4,FALSE)</f>
        <v>2000</v>
      </c>
      <c r="H2978" s="5">
        <f t="shared" si="144"/>
        <v>8000</v>
      </c>
      <c r="I2978" s="5">
        <f t="shared" si="145"/>
        <v>20000</v>
      </c>
      <c r="J2978" s="5">
        <f t="shared" si="146"/>
        <v>12000</v>
      </c>
      <c r="K2978" s="5" t="str">
        <f>VLOOKUP(C2978,[1]master_data!$A$2:$E$495,5,FALSE)</f>
        <v>Ikan</v>
      </c>
      <c r="L2978" s="5" t="s">
        <v>471</v>
      </c>
    </row>
    <row r="2979" spans="1:12" ht="12" customHeight="1" x14ac:dyDescent="0.25">
      <c r="A2979" s="6">
        <v>44645</v>
      </c>
      <c r="B2979" s="1">
        <v>2201584</v>
      </c>
      <c r="C2979" s="5" t="s">
        <v>400</v>
      </c>
      <c r="D2979" s="5" t="str">
        <f>VLOOKUP(C2979,[1]master_data!$A$2:$E$495,2,FALSE)</f>
        <v>BALA BALA K</v>
      </c>
      <c r="E2979" s="5">
        <v>2</v>
      </c>
      <c r="F2979" s="5">
        <f>VLOOKUP(C2979,[1]master_data!$A$2:$E$495,3,FALSE)</f>
        <v>4000</v>
      </c>
      <c r="G2979" s="5">
        <f>VLOOKUP(C2979,[1]master_data!$A$2:$E$495,4,FALSE)</f>
        <v>8000</v>
      </c>
      <c r="H2979" s="5">
        <f t="shared" si="144"/>
        <v>8000</v>
      </c>
      <c r="I2979" s="5">
        <f t="shared" si="145"/>
        <v>16000</v>
      </c>
      <c r="J2979" s="5">
        <f t="shared" si="146"/>
        <v>8000</v>
      </c>
      <c r="K2979" s="5" t="str">
        <f>VLOOKUP(C2979,[1]master_data!$A$2:$E$495,5,FALSE)</f>
        <v>Ikan</v>
      </c>
      <c r="L2979" s="5" t="s">
        <v>471</v>
      </c>
    </row>
    <row r="2980" spans="1:12" ht="12" customHeight="1" x14ac:dyDescent="0.25">
      <c r="A2980" s="6">
        <v>44645</v>
      </c>
      <c r="B2980" s="1">
        <v>2201583</v>
      </c>
      <c r="C2980" s="5" t="s">
        <v>233</v>
      </c>
      <c r="D2980" s="5" t="str">
        <f>VLOOKUP(C2980,[1]master_data!$A$2:$E$495,2,FALSE)</f>
        <v>FISH LOVE PAKAN</v>
      </c>
      <c r="E2980" s="5">
        <v>1</v>
      </c>
      <c r="F2980" s="5">
        <f>VLOOKUP(C2980,[1]master_data!$A$2:$E$495,3,FALSE)</f>
        <v>2500</v>
      </c>
      <c r="G2980" s="5">
        <f>VLOOKUP(C2980,[1]master_data!$A$2:$E$495,4,FALSE)</f>
        <v>5000</v>
      </c>
      <c r="H2980" s="5">
        <f t="shared" si="144"/>
        <v>2500</v>
      </c>
      <c r="I2980" s="5">
        <f t="shared" si="145"/>
        <v>5000</v>
      </c>
      <c r="J2980" s="5">
        <f t="shared" si="146"/>
        <v>2500</v>
      </c>
      <c r="K2980" s="5" t="str">
        <f>VLOOKUP(C2980,[1]master_data!$A$2:$E$495,5,FALSE)</f>
        <v>Aksesoris</v>
      </c>
      <c r="L2980" s="5" t="s">
        <v>471</v>
      </c>
    </row>
    <row r="2981" spans="1:12" ht="12" customHeight="1" x14ac:dyDescent="0.25">
      <c r="A2981" s="6">
        <v>44645</v>
      </c>
      <c r="B2981" s="1">
        <v>2201582</v>
      </c>
      <c r="C2981" s="5" t="s">
        <v>333</v>
      </c>
      <c r="D2981" s="5" t="str">
        <f>VLOOKUP(C2981,[1]master_data!$A$2:$E$495,2,FALSE)</f>
        <v>KAPAS 2 LAPIS</v>
      </c>
      <c r="E2981" s="5">
        <v>2</v>
      </c>
      <c r="F2981" s="5">
        <f>VLOOKUP(C2981,[1]master_data!$A$2:$E$495,3,FALSE)</f>
        <v>2000</v>
      </c>
      <c r="G2981" s="5">
        <f>VLOOKUP(C2981,[1]master_data!$A$2:$E$495,4,FALSE)</f>
        <v>4000</v>
      </c>
      <c r="H2981" s="5">
        <f t="shared" si="144"/>
        <v>4000</v>
      </c>
      <c r="I2981" s="5">
        <f t="shared" si="145"/>
        <v>8000</v>
      </c>
      <c r="J2981" s="5">
        <f t="shared" si="146"/>
        <v>4000</v>
      </c>
      <c r="K2981" s="5" t="str">
        <f>VLOOKUP(C2981,[1]master_data!$A$2:$E$495,5,FALSE)</f>
        <v>Aksesoris</v>
      </c>
      <c r="L2981" s="5" t="s">
        <v>471</v>
      </c>
    </row>
    <row r="2982" spans="1:12" ht="12" customHeight="1" x14ac:dyDescent="0.25">
      <c r="A2982" s="6">
        <v>44645</v>
      </c>
      <c r="B2982" s="1">
        <v>2201581</v>
      </c>
      <c r="C2982" s="5" t="s">
        <v>409</v>
      </c>
      <c r="D2982" s="5" t="str">
        <f>VLOOKUP(C2982,[1]master_data!$A$2:$E$495,2,FALSE)</f>
        <v>GOLD FISH</v>
      </c>
      <c r="E2982" s="5">
        <v>5</v>
      </c>
      <c r="F2982" s="5">
        <f>VLOOKUP(C2982,[1]master_data!$A$2:$E$495,3,FALSE)</f>
        <v>800</v>
      </c>
      <c r="G2982" s="5">
        <f>VLOOKUP(C2982,[1]master_data!$A$2:$E$495,4,FALSE)</f>
        <v>2000</v>
      </c>
      <c r="H2982" s="5">
        <f t="shared" si="144"/>
        <v>4000</v>
      </c>
      <c r="I2982" s="5">
        <f t="shared" si="145"/>
        <v>10000</v>
      </c>
      <c r="J2982" s="5">
        <f t="shared" si="146"/>
        <v>6000</v>
      </c>
      <c r="K2982" s="5" t="str">
        <f>VLOOKUP(C2982,[1]master_data!$A$2:$E$495,5,FALSE)</f>
        <v>Ikan</v>
      </c>
      <c r="L2982" s="5" t="s">
        <v>471</v>
      </c>
    </row>
    <row r="2983" spans="1:12" ht="12" customHeight="1" x14ac:dyDescent="0.25">
      <c r="A2983" s="6">
        <v>44645</v>
      </c>
      <c r="B2983" s="1">
        <v>2201580</v>
      </c>
      <c r="C2983" s="5" t="s">
        <v>427</v>
      </c>
      <c r="D2983" s="5" t="str">
        <f>VLOOKUP(C2983,[1]master_data!$A$2:$E$495,2,FALSE)</f>
        <v>LEMON</v>
      </c>
      <c r="E2983" s="5">
        <v>10</v>
      </c>
      <c r="F2983" s="5">
        <f>VLOOKUP(C2983,[1]master_data!$A$2:$E$495,3,FALSE)</f>
        <v>1000</v>
      </c>
      <c r="G2983" s="5">
        <f>VLOOKUP(C2983,[1]master_data!$A$2:$E$495,4,FALSE)</f>
        <v>2000</v>
      </c>
      <c r="H2983" s="5">
        <f t="shared" si="144"/>
        <v>10000</v>
      </c>
      <c r="I2983" s="5">
        <f t="shared" si="145"/>
        <v>20000</v>
      </c>
      <c r="J2983" s="5">
        <f t="shared" si="146"/>
        <v>10000</v>
      </c>
      <c r="K2983" s="5" t="str">
        <f>VLOOKUP(C2983,[1]master_data!$A$2:$E$495,5,FALSE)</f>
        <v>Ikan</v>
      </c>
      <c r="L2983" s="5" t="s">
        <v>471</v>
      </c>
    </row>
    <row r="2984" spans="1:12" ht="12" customHeight="1" x14ac:dyDescent="0.25">
      <c r="A2984" s="6">
        <v>44645</v>
      </c>
      <c r="B2984" s="1">
        <v>2201579</v>
      </c>
      <c r="C2984" s="5" t="s">
        <v>451</v>
      </c>
      <c r="D2984" s="5" t="str">
        <f>VLOOKUP(C2984,[1]master_data!$A$2:$E$495,2,FALSE)</f>
        <v>SUMATRA GOLD FISH</v>
      </c>
      <c r="E2984" s="5">
        <v>5</v>
      </c>
      <c r="F2984" s="5">
        <f>VLOOKUP(C2984,[1]master_data!$A$2:$E$495,3,FALSE)</f>
        <v>2500</v>
      </c>
      <c r="G2984" s="5">
        <f>VLOOKUP(C2984,[1]master_data!$A$2:$E$495,4,FALSE)</f>
        <v>4000</v>
      </c>
      <c r="H2984" s="5">
        <f t="shared" si="144"/>
        <v>12500</v>
      </c>
      <c r="I2984" s="5">
        <f t="shared" si="145"/>
        <v>20000</v>
      </c>
      <c r="J2984" s="5">
        <f t="shared" si="146"/>
        <v>7500</v>
      </c>
      <c r="K2984" s="5" t="str">
        <f>VLOOKUP(C2984,[1]master_data!$A$2:$E$495,5,FALSE)</f>
        <v>Ikan</v>
      </c>
      <c r="L2984" s="5" t="s">
        <v>471</v>
      </c>
    </row>
    <row r="2985" spans="1:12" ht="12" customHeight="1" x14ac:dyDescent="0.25">
      <c r="A2985" s="6">
        <v>44645</v>
      </c>
      <c r="B2985" s="1">
        <v>2201578</v>
      </c>
      <c r="C2985" s="5" t="s">
        <v>398</v>
      </c>
      <c r="D2985" s="5" t="str">
        <f>VLOOKUP(C2985,[1]master_data!$A$2:$E$495,2,FALSE)</f>
        <v>BIPOLAR</v>
      </c>
      <c r="E2985" s="5">
        <v>4</v>
      </c>
      <c r="F2985" s="5">
        <f>VLOOKUP(C2985,[1]master_data!$A$2:$E$495,3,FALSE)</f>
        <v>1000</v>
      </c>
      <c r="G2985" s="5">
        <f>VLOOKUP(C2985,[1]master_data!$A$2:$E$495,4,FALSE)</f>
        <v>2500</v>
      </c>
      <c r="H2985" s="5">
        <f t="shared" si="144"/>
        <v>4000</v>
      </c>
      <c r="I2985" s="5">
        <f t="shared" si="145"/>
        <v>10000</v>
      </c>
      <c r="J2985" s="5">
        <f t="shared" si="146"/>
        <v>6000</v>
      </c>
      <c r="K2985" s="5" t="str">
        <f>VLOOKUP(C2985,[1]master_data!$A$2:$E$495,5,FALSE)</f>
        <v>Ikan</v>
      </c>
      <c r="L2985" s="5" t="s">
        <v>471</v>
      </c>
    </row>
    <row r="2986" spans="1:12" ht="12" customHeight="1" x14ac:dyDescent="0.25">
      <c r="A2986" s="6">
        <v>44645</v>
      </c>
      <c r="B2986" s="1">
        <v>2201577</v>
      </c>
      <c r="C2986" s="5" t="s">
        <v>432</v>
      </c>
      <c r="D2986" s="5" t="str">
        <f>VLOOKUP(C2986,[1]master_data!$A$2:$E$495,2,FALSE)</f>
        <v>MARU K</v>
      </c>
      <c r="E2986" s="5">
        <v>1</v>
      </c>
      <c r="F2986" s="5">
        <f>VLOOKUP(C2986,[1]master_data!$A$2:$E$495,3,FALSE)</f>
        <v>23000</v>
      </c>
      <c r="G2986" s="5">
        <f>VLOOKUP(C2986,[1]master_data!$A$2:$E$495,4,FALSE)</f>
        <v>50000</v>
      </c>
      <c r="H2986" s="5">
        <f t="shared" si="144"/>
        <v>23000</v>
      </c>
      <c r="I2986" s="5">
        <f t="shared" si="145"/>
        <v>50000</v>
      </c>
      <c r="J2986" s="5">
        <f t="shared" si="146"/>
        <v>27000</v>
      </c>
      <c r="K2986" s="5" t="str">
        <f>VLOOKUP(C2986,[1]master_data!$A$2:$E$495,5,FALSE)</f>
        <v>Ikan</v>
      </c>
      <c r="L2986" s="5" t="s">
        <v>471</v>
      </c>
    </row>
    <row r="2987" spans="1:12" ht="12" customHeight="1" x14ac:dyDescent="0.25">
      <c r="A2987" s="6">
        <v>44645</v>
      </c>
      <c r="B2987" s="1">
        <v>2201576</v>
      </c>
      <c r="C2987" s="5" t="s">
        <v>407</v>
      </c>
      <c r="D2987" s="5" t="str">
        <f>VLOOKUP(C2987,[1]master_data!$A$2:$E$495,2,FALSE)</f>
        <v>CUPANG</v>
      </c>
      <c r="E2987" s="5">
        <v>5</v>
      </c>
      <c r="F2987" s="5">
        <f>VLOOKUP(C2987,[1]master_data!$A$2:$E$495,3,FALSE)</f>
        <v>2000</v>
      </c>
      <c r="G2987" s="5">
        <f>VLOOKUP(C2987,[1]master_data!$A$2:$E$495,4,FALSE)</f>
        <v>5000</v>
      </c>
      <c r="H2987" s="5">
        <f t="shared" si="144"/>
        <v>10000</v>
      </c>
      <c r="I2987" s="5">
        <f t="shared" si="145"/>
        <v>25000</v>
      </c>
      <c r="J2987" s="5">
        <f t="shared" si="146"/>
        <v>15000</v>
      </c>
      <c r="K2987" s="5" t="str">
        <f>VLOOKUP(C2987,[1]master_data!$A$2:$E$495,5,FALSE)</f>
        <v>Ikan</v>
      </c>
      <c r="L2987" s="5" t="s">
        <v>471</v>
      </c>
    </row>
    <row r="2988" spans="1:12" ht="12" customHeight="1" x14ac:dyDescent="0.25">
      <c r="A2988" s="6">
        <v>44645</v>
      </c>
      <c r="B2988" s="1">
        <v>2201575</v>
      </c>
      <c r="C2988" s="5" t="s">
        <v>401</v>
      </c>
      <c r="D2988" s="5" t="str">
        <f>VLOOKUP(C2988,[1]master_data!$A$2:$E$495,2,FALSE)</f>
        <v>BALA BALA B</v>
      </c>
      <c r="E2988" s="5">
        <v>2</v>
      </c>
      <c r="F2988" s="5">
        <f>VLOOKUP(C2988,[1]master_data!$A$2:$E$495,3,FALSE)</f>
        <v>7000</v>
      </c>
      <c r="G2988" s="5">
        <f>VLOOKUP(C2988,[1]master_data!$A$2:$E$495,4,FALSE)</f>
        <v>15000</v>
      </c>
      <c r="H2988" s="5">
        <f t="shared" si="144"/>
        <v>14000</v>
      </c>
      <c r="I2988" s="5">
        <f t="shared" si="145"/>
        <v>30000</v>
      </c>
      <c r="J2988" s="5">
        <f t="shared" si="146"/>
        <v>16000</v>
      </c>
      <c r="K2988" s="5" t="str">
        <f>VLOOKUP(C2988,[1]master_data!$A$2:$E$495,5,FALSE)</f>
        <v>Ikan</v>
      </c>
      <c r="L2988" s="5" t="s">
        <v>471</v>
      </c>
    </row>
    <row r="2989" spans="1:12" ht="12" customHeight="1" x14ac:dyDescent="0.25">
      <c r="A2989" s="6">
        <v>44645</v>
      </c>
      <c r="B2989" s="1">
        <v>2201574</v>
      </c>
      <c r="C2989" s="5" t="s">
        <v>413</v>
      </c>
      <c r="D2989" s="5" t="str">
        <f>VLOOKUP(C2989,[1]master_data!$A$2:$E$495,2,FALSE)</f>
        <v>KOKI K</v>
      </c>
      <c r="E2989" s="5">
        <v>6</v>
      </c>
      <c r="F2989" s="5">
        <f>VLOOKUP(C2989,[1]master_data!$A$2:$E$495,3,FALSE)</f>
        <v>3500</v>
      </c>
      <c r="G2989" s="5">
        <f>VLOOKUP(C2989,[1]master_data!$A$2:$E$495,4,FALSE)</f>
        <v>10000</v>
      </c>
      <c r="H2989" s="5">
        <f t="shared" si="144"/>
        <v>21000</v>
      </c>
      <c r="I2989" s="5">
        <f t="shared" si="145"/>
        <v>60000</v>
      </c>
      <c r="J2989" s="5">
        <f t="shared" si="146"/>
        <v>39000</v>
      </c>
      <c r="K2989" s="5" t="str">
        <f>VLOOKUP(C2989,[1]master_data!$A$2:$E$495,5,FALSE)</f>
        <v>Ikan</v>
      </c>
      <c r="L2989" s="5" t="s">
        <v>471</v>
      </c>
    </row>
    <row r="2990" spans="1:12" ht="12" customHeight="1" x14ac:dyDescent="0.25">
      <c r="A2990" s="6">
        <v>44645</v>
      </c>
      <c r="B2990" s="1">
        <v>2201573</v>
      </c>
      <c r="C2990" s="5" t="s">
        <v>204</v>
      </c>
      <c r="D2990" s="5" t="str">
        <f>VLOOKUP(C2990,[1]master_data!$A$2:$E$495,2,FALSE)</f>
        <v>MAGOT</v>
      </c>
      <c r="E2990" s="5">
        <v>1</v>
      </c>
      <c r="F2990" s="5">
        <f>VLOOKUP(C2990,[1]master_data!$A$2:$E$495,3,FALSE)</f>
        <v>4500</v>
      </c>
      <c r="G2990" s="5">
        <f>VLOOKUP(C2990,[1]master_data!$A$2:$E$495,4,FALSE)</f>
        <v>10000</v>
      </c>
      <c r="H2990" s="5">
        <f t="shared" si="144"/>
        <v>4500</v>
      </c>
      <c r="I2990" s="5">
        <f t="shared" si="145"/>
        <v>10000</v>
      </c>
      <c r="J2990" s="5">
        <f t="shared" si="146"/>
        <v>5500</v>
      </c>
      <c r="K2990" s="5" t="str">
        <f>VLOOKUP(C2990,[1]master_data!$A$2:$E$495,5,FALSE)</f>
        <v>Aksesoris</v>
      </c>
      <c r="L2990" s="5" t="s">
        <v>471</v>
      </c>
    </row>
    <row r="2991" spans="1:12" ht="12" customHeight="1" x14ac:dyDescent="0.25">
      <c r="A2991" s="6">
        <v>44645</v>
      </c>
      <c r="B2991" s="1">
        <v>2201572</v>
      </c>
      <c r="C2991" s="5" t="s">
        <v>447</v>
      </c>
      <c r="D2991" s="5" t="str">
        <f>VLOOKUP(C2991,[1]master_data!$A$2:$E$495,2,FALSE)</f>
        <v>REDFIN ALBINO</v>
      </c>
      <c r="E2991" s="5">
        <v>5</v>
      </c>
      <c r="F2991" s="5">
        <f>VLOOKUP(C2991,[1]master_data!$A$2:$E$495,3,FALSE)</f>
        <v>1500</v>
      </c>
      <c r="G2991" s="5">
        <f>VLOOKUP(C2991,[1]master_data!$A$2:$E$495,4,FALSE)</f>
        <v>4000</v>
      </c>
      <c r="H2991" s="5">
        <f t="shared" si="144"/>
        <v>7500</v>
      </c>
      <c r="I2991" s="5">
        <f t="shared" si="145"/>
        <v>20000</v>
      </c>
      <c r="J2991" s="5">
        <f t="shared" si="146"/>
        <v>12500</v>
      </c>
      <c r="K2991" s="5" t="str">
        <f>VLOOKUP(C2991,[1]master_data!$A$2:$E$495,5,FALSE)</f>
        <v>Ikan</v>
      </c>
      <c r="L2991" s="5" t="s">
        <v>471</v>
      </c>
    </row>
    <row r="2992" spans="1:12" ht="12" customHeight="1" x14ac:dyDescent="0.25">
      <c r="A2992" s="6">
        <v>44645</v>
      </c>
      <c r="B2992" s="1">
        <v>2201571</v>
      </c>
      <c r="C2992" s="5" t="s">
        <v>405</v>
      </c>
      <c r="D2992" s="5" t="str">
        <f>VLOOKUP(C2992,[1]master_data!$A$2:$E$495,2,FALSE)</f>
        <v>KOMET BOKIM</v>
      </c>
      <c r="E2992" s="5">
        <v>5</v>
      </c>
      <c r="F2992" s="5">
        <f>VLOOKUP(C2992,[1]master_data!$A$2:$E$495,3,FALSE)</f>
        <v>1500</v>
      </c>
      <c r="G2992" s="5">
        <f>VLOOKUP(C2992,[1]master_data!$A$2:$E$495,4,FALSE)</f>
        <v>5000</v>
      </c>
      <c r="H2992" s="5">
        <f t="shared" si="144"/>
        <v>7500</v>
      </c>
      <c r="I2992" s="5">
        <f t="shared" si="145"/>
        <v>25000</v>
      </c>
      <c r="J2992" s="5">
        <f t="shared" si="146"/>
        <v>17500</v>
      </c>
      <c r="K2992" s="5" t="str">
        <f>VLOOKUP(C2992,[1]master_data!$A$2:$E$495,5,FALSE)</f>
        <v>Ikan</v>
      </c>
      <c r="L2992" s="5" t="s">
        <v>471</v>
      </c>
    </row>
    <row r="2993" spans="1:12" ht="12" customHeight="1" x14ac:dyDescent="0.25">
      <c r="A2993" s="6">
        <v>44645</v>
      </c>
      <c r="B2993" s="1">
        <v>2201570</v>
      </c>
      <c r="C2993" s="5" t="s">
        <v>421</v>
      </c>
      <c r="D2993" s="5" t="str">
        <f>VLOOKUP(C2993,[1]master_data!$A$2:$E$495,2,FALSE)</f>
        <v>KOMET PAKAN</v>
      </c>
      <c r="E2993" s="5">
        <v>10</v>
      </c>
      <c r="F2993" s="5">
        <f>VLOOKUP(C2993,[1]master_data!$A$2:$E$495,3,FALSE)</f>
        <v>300</v>
      </c>
      <c r="G2993" s="5">
        <f>VLOOKUP(C2993,[1]master_data!$A$2:$E$495,4,FALSE)</f>
        <v>1000</v>
      </c>
      <c r="H2993" s="5">
        <f t="shared" si="144"/>
        <v>3000</v>
      </c>
      <c r="I2993" s="5">
        <f t="shared" si="145"/>
        <v>10000</v>
      </c>
      <c r="J2993" s="5">
        <f t="shared" si="146"/>
        <v>7000</v>
      </c>
      <c r="K2993" s="5" t="str">
        <f>VLOOKUP(C2993,[1]master_data!$A$2:$E$495,5,FALSE)</f>
        <v>Ikan</v>
      </c>
      <c r="L2993" s="5" t="s">
        <v>471</v>
      </c>
    </row>
    <row r="2994" spans="1:12" ht="12" customHeight="1" x14ac:dyDescent="0.25">
      <c r="A2994" s="6">
        <v>44645</v>
      </c>
      <c r="B2994" s="1">
        <v>2201569</v>
      </c>
      <c r="C2994" s="5" t="s">
        <v>434</v>
      </c>
      <c r="D2994" s="5" t="str">
        <f>VLOOKUP(C2994,[1]master_data!$A$2:$E$495,2,FALSE)</f>
        <v>MOLI PAKAN</v>
      </c>
      <c r="E2994" s="5">
        <v>25</v>
      </c>
      <c r="F2994" s="5">
        <f>VLOOKUP(C2994,[1]master_data!$A$2:$E$495,3,FALSE)</f>
        <v>100</v>
      </c>
      <c r="G2994" s="5">
        <f>VLOOKUP(C2994,[1]master_data!$A$2:$E$495,4,FALSE)</f>
        <v>200</v>
      </c>
      <c r="H2994" s="5">
        <f t="shared" si="144"/>
        <v>2500</v>
      </c>
      <c r="I2994" s="5">
        <f t="shared" si="145"/>
        <v>5000</v>
      </c>
      <c r="J2994" s="5">
        <f t="shared" si="146"/>
        <v>2500</v>
      </c>
      <c r="K2994" s="5" t="str">
        <f>VLOOKUP(C2994,[1]master_data!$A$2:$E$495,5,FALSE)</f>
        <v>Ikan</v>
      </c>
      <c r="L2994" s="5" t="s">
        <v>471</v>
      </c>
    </row>
    <row r="2995" spans="1:12" ht="12" customHeight="1" x14ac:dyDescent="0.25">
      <c r="A2995" s="6">
        <v>44645</v>
      </c>
      <c r="B2995" s="1">
        <v>2201568</v>
      </c>
      <c r="C2995" s="5" t="s">
        <v>423</v>
      </c>
      <c r="D2995" s="5" t="str">
        <f>VLOOKUP(C2995,[1]master_data!$A$2:$E$495,2,FALSE)</f>
        <v>KOI SLAYER K</v>
      </c>
      <c r="E2995" s="5">
        <v>3</v>
      </c>
      <c r="F2995" s="5">
        <f>VLOOKUP(C2995,[1]master_data!$A$2:$E$495,3,FALSE)</f>
        <v>3500</v>
      </c>
      <c r="G2995" s="5">
        <f>VLOOKUP(C2995,[1]master_data!$A$2:$E$495,4,FALSE)</f>
        <v>10000</v>
      </c>
      <c r="H2995" s="5">
        <f t="shared" si="144"/>
        <v>10500</v>
      </c>
      <c r="I2995" s="5">
        <f t="shared" si="145"/>
        <v>30000</v>
      </c>
      <c r="J2995" s="5">
        <f t="shared" si="146"/>
        <v>19500</v>
      </c>
      <c r="K2995" s="5" t="str">
        <f>VLOOKUP(C2995,[1]master_data!$A$2:$E$495,5,FALSE)</f>
        <v>Ikan</v>
      </c>
      <c r="L2995" s="5" t="s">
        <v>471</v>
      </c>
    </row>
    <row r="2996" spans="1:12" ht="12" customHeight="1" x14ac:dyDescent="0.25">
      <c r="A2996" s="6">
        <v>44645</v>
      </c>
      <c r="B2996" s="1">
        <v>2201567</v>
      </c>
      <c r="C2996" s="5" t="s">
        <v>203</v>
      </c>
      <c r="D2996" s="5" t="str">
        <f>VLOOKUP(C2996,[1]master_data!$A$2:$E$495,2,FALSE)</f>
        <v>HOKKY 3 IN 1</v>
      </c>
      <c r="E2996" s="5">
        <v>1</v>
      </c>
      <c r="F2996" s="5">
        <f>VLOOKUP(C2996,[1]master_data!$A$2:$E$495,3,FALSE)</f>
        <v>20000</v>
      </c>
      <c r="G2996" s="5">
        <f>VLOOKUP(C2996,[1]master_data!$A$2:$E$495,4,FALSE)</f>
        <v>30000</v>
      </c>
      <c r="H2996" s="5">
        <f t="shared" si="144"/>
        <v>20000</v>
      </c>
      <c r="I2996" s="5">
        <f t="shared" si="145"/>
        <v>30000</v>
      </c>
      <c r="J2996" s="5">
        <f t="shared" si="146"/>
        <v>10000</v>
      </c>
      <c r="K2996" s="5" t="str">
        <f>VLOOKUP(C2996,[1]master_data!$A$2:$E$495,5,FALSE)</f>
        <v>Aksesoris</v>
      </c>
      <c r="L2996" s="5" t="s">
        <v>471</v>
      </c>
    </row>
    <row r="2997" spans="1:12" ht="12" customHeight="1" x14ac:dyDescent="0.25">
      <c r="A2997" s="6">
        <v>44645</v>
      </c>
      <c r="B2997" s="1">
        <v>2201566</v>
      </c>
      <c r="C2997" s="5" t="s">
        <v>433</v>
      </c>
      <c r="D2997" s="5" t="str">
        <f>VLOOKUP(C2997,[1]master_data!$A$2:$E$495,2,FALSE)</f>
        <v>MARU B</v>
      </c>
      <c r="E2997" s="5">
        <v>1</v>
      </c>
      <c r="F2997" s="5">
        <f>VLOOKUP(C2997,[1]master_data!$A$2:$E$495,3,FALSE)</f>
        <v>90000</v>
      </c>
      <c r="G2997" s="5">
        <f>VLOOKUP(C2997,[1]master_data!$A$2:$E$495,4,FALSE)</f>
        <v>150000</v>
      </c>
      <c r="H2997" s="5">
        <f t="shared" si="144"/>
        <v>90000</v>
      </c>
      <c r="I2997" s="5">
        <f t="shared" si="145"/>
        <v>150000</v>
      </c>
      <c r="J2997" s="5">
        <f t="shared" si="146"/>
        <v>60000</v>
      </c>
      <c r="K2997" s="5" t="str">
        <f>VLOOKUP(C2997,[1]master_data!$A$2:$E$495,5,FALSE)</f>
        <v>Ikan</v>
      </c>
      <c r="L2997" s="5" t="s">
        <v>471</v>
      </c>
    </row>
    <row r="2998" spans="1:12" ht="12" customHeight="1" x14ac:dyDescent="0.25">
      <c r="A2998" s="6">
        <v>44645</v>
      </c>
      <c r="B2998" s="1">
        <v>2201565</v>
      </c>
      <c r="C2998" s="5" t="s">
        <v>450</v>
      </c>
      <c r="D2998" s="5" t="str">
        <f>VLOOKUP(C2998,[1]master_data!$A$2:$E$495,2,FALSE)</f>
        <v>SUMATRA BIASA</v>
      </c>
      <c r="E2998" s="5">
        <v>10</v>
      </c>
      <c r="F2998" s="5">
        <f>VLOOKUP(C2998,[1]master_data!$A$2:$E$495,3,FALSE)</f>
        <v>800</v>
      </c>
      <c r="G2998" s="5">
        <f>VLOOKUP(C2998,[1]master_data!$A$2:$E$495,4,FALSE)</f>
        <v>2000</v>
      </c>
      <c r="H2998" s="5">
        <f t="shared" si="144"/>
        <v>8000</v>
      </c>
      <c r="I2998" s="5">
        <f t="shared" si="145"/>
        <v>20000</v>
      </c>
      <c r="J2998" s="5">
        <f t="shared" si="146"/>
        <v>12000</v>
      </c>
      <c r="K2998" s="5" t="str">
        <f>VLOOKUP(C2998,[1]master_data!$A$2:$E$495,5,FALSE)</f>
        <v>Ikan</v>
      </c>
      <c r="L2998" s="5" t="s">
        <v>471</v>
      </c>
    </row>
    <row r="2999" spans="1:12" ht="12" customHeight="1" x14ac:dyDescent="0.25">
      <c r="A2999" s="6">
        <v>44645</v>
      </c>
      <c r="B2999" s="1">
        <v>2201564</v>
      </c>
      <c r="C2999" s="5" t="s">
        <v>455</v>
      </c>
      <c r="D2999" s="5" t="str">
        <f>VLOOKUP(C2999,[1]master_data!$A$2:$E$495,2,FALSE)</f>
        <v>TETRA</v>
      </c>
      <c r="E2999" s="5">
        <v>10</v>
      </c>
      <c r="F2999" s="5">
        <f>VLOOKUP(C2999,[1]master_data!$A$2:$E$495,3,FALSE)</f>
        <v>800</v>
      </c>
      <c r="G2999" s="5">
        <f>VLOOKUP(C2999,[1]master_data!$A$2:$E$495,4,FALSE)</f>
        <v>2000</v>
      </c>
      <c r="H2999" s="5">
        <f t="shared" si="144"/>
        <v>8000</v>
      </c>
      <c r="I2999" s="5">
        <f t="shared" si="145"/>
        <v>20000</v>
      </c>
      <c r="J2999" s="5">
        <f t="shared" si="146"/>
        <v>12000</v>
      </c>
      <c r="K2999" s="5" t="str">
        <f>VLOOKUP(C2999,[1]master_data!$A$2:$E$495,5,FALSE)</f>
        <v>Ikan</v>
      </c>
      <c r="L2999" s="5" t="s">
        <v>471</v>
      </c>
    </row>
    <row r="3000" spans="1:12" ht="12" customHeight="1" x14ac:dyDescent="0.25">
      <c r="A3000" s="6">
        <v>44644</v>
      </c>
      <c r="B3000" s="1">
        <v>2201563</v>
      </c>
      <c r="C3000" s="5" t="s">
        <v>323</v>
      </c>
      <c r="D3000" s="5" t="str">
        <f>VLOOKUP(C3000,[1]master_data!$A$2:$E$495,2,FALSE)</f>
        <v>AIRSTONE PANJANG 4</v>
      </c>
      <c r="E3000" s="5">
        <v>3</v>
      </c>
      <c r="F3000" s="5">
        <f>VLOOKUP(C3000,[1]master_data!$A$2:$E$495,3,FALSE)</f>
        <v>6000</v>
      </c>
      <c r="G3000" s="5">
        <f>VLOOKUP(C3000,[1]master_data!$A$2:$E$495,4,FALSE)</f>
        <v>10000</v>
      </c>
      <c r="H3000" s="5">
        <f t="shared" si="144"/>
        <v>18000</v>
      </c>
      <c r="I3000" s="5">
        <f t="shared" si="145"/>
        <v>30000</v>
      </c>
      <c r="J3000" s="5">
        <f t="shared" si="146"/>
        <v>12000</v>
      </c>
      <c r="K3000" s="5" t="str">
        <f>VLOOKUP(C3000,[1]master_data!$A$2:$E$495,5,FALSE)</f>
        <v>Aksesoris</v>
      </c>
      <c r="L3000" s="5" t="s">
        <v>471</v>
      </c>
    </row>
    <row r="3001" spans="1:12" ht="12" customHeight="1" x14ac:dyDescent="0.25">
      <c r="A3001" s="6">
        <v>44644</v>
      </c>
      <c r="B3001" s="1">
        <v>2201562</v>
      </c>
      <c r="C3001" s="5" t="s">
        <v>451</v>
      </c>
      <c r="D3001" s="5" t="str">
        <f>VLOOKUP(C3001,[1]master_data!$A$2:$E$495,2,FALSE)</f>
        <v>SUMATRA GOLD FISH</v>
      </c>
      <c r="E3001" s="5">
        <v>10</v>
      </c>
      <c r="F3001" s="5">
        <f>VLOOKUP(C3001,[1]master_data!$A$2:$E$495,3,FALSE)</f>
        <v>2500</v>
      </c>
      <c r="G3001" s="5">
        <f>VLOOKUP(C3001,[1]master_data!$A$2:$E$495,4,FALSE)</f>
        <v>4000</v>
      </c>
      <c r="H3001" s="5">
        <f t="shared" si="144"/>
        <v>25000</v>
      </c>
      <c r="I3001" s="5">
        <f t="shared" si="145"/>
        <v>40000</v>
      </c>
      <c r="J3001" s="5">
        <f t="shared" si="146"/>
        <v>15000</v>
      </c>
      <c r="K3001" s="5" t="str">
        <f>VLOOKUP(C3001,[1]master_data!$A$2:$E$495,5,FALSE)</f>
        <v>Ikan</v>
      </c>
      <c r="L3001" s="5" t="s">
        <v>471</v>
      </c>
    </row>
    <row r="3002" spans="1:12" ht="12" customHeight="1" x14ac:dyDescent="0.25">
      <c r="A3002" s="6">
        <v>44644</v>
      </c>
      <c r="B3002" s="1">
        <v>2201561</v>
      </c>
      <c r="C3002" s="5" t="s">
        <v>413</v>
      </c>
      <c r="D3002" s="5" t="str">
        <f>VLOOKUP(C3002,[1]master_data!$A$2:$E$495,2,FALSE)</f>
        <v>KOKI K</v>
      </c>
      <c r="E3002" s="5">
        <v>3</v>
      </c>
      <c r="F3002" s="5">
        <f>VLOOKUP(C3002,[1]master_data!$A$2:$E$495,3,FALSE)</f>
        <v>3500</v>
      </c>
      <c r="G3002" s="5">
        <f>VLOOKUP(C3002,[1]master_data!$A$2:$E$495,4,FALSE)</f>
        <v>10000</v>
      </c>
      <c r="H3002" s="5">
        <f t="shared" si="144"/>
        <v>10500</v>
      </c>
      <c r="I3002" s="5">
        <f t="shared" si="145"/>
        <v>30000</v>
      </c>
      <c r="J3002" s="5">
        <f t="shared" si="146"/>
        <v>19500</v>
      </c>
      <c r="K3002" s="5" t="str">
        <f>VLOOKUP(C3002,[1]master_data!$A$2:$E$495,5,FALSE)</f>
        <v>Ikan</v>
      </c>
      <c r="L3002" s="5" t="s">
        <v>471</v>
      </c>
    </row>
    <row r="3003" spans="1:12" ht="12" customHeight="1" x14ac:dyDescent="0.25">
      <c r="A3003" s="6">
        <v>44644</v>
      </c>
      <c r="B3003" s="1">
        <v>2201560</v>
      </c>
      <c r="C3003" s="5" t="s">
        <v>402</v>
      </c>
      <c r="D3003" s="5" t="str">
        <f>VLOOKUP(C3003,[1]master_data!$A$2:$E$495,2,FALSE)</f>
        <v>BLACK GHOST</v>
      </c>
      <c r="E3003" s="5">
        <v>3</v>
      </c>
      <c r="F3003" s="5">
        <f>VLOOKUP(C3003,[1]master_data!$A$2:$E$495,3,FALSE)</f>
        <v>4000</v>
      </c>
      <c r="G3003" s="5">
        <f>VLOOKUP(C3003,[1]master_data!$A$2:$E$495,4,FALSE)</f>
        <v>10000</v>
      </c>
      <c r="H3003" s="5">
        <f t="shared" si="144"/>
        <v>12000</v>
      </c>
      <c r="I3003" s="5">
        <f t="shared" si="145"/>
        <v>30000</v>
      </c>
      <c r="J3003" s="5">
        <f t="shared" si="146"/>
        <v>18000</v>
      </c>
      <c r="K3003" s="5" t="str">
        <f>VLOOKUP(C3003,[1]master_data!$A$2:$E$495,5,FALSE)</f>
        <v>Ikan</v>
      </c>
      <c r="L3003" s="5" t="s">
        <v>471</v>
      </c>
    </row>
    <row r="3004" spans="1:12" ht="12" customHeight="1" x14ac:dyDescent="0.25">
      <c r="A3004" s="6">
        <v>44644</v>
      </c>
      <c r="B3004" s="1">
        <v>2201559</v>
      </c>
      <c r="C3004" s="5" t="s">
        <v>420</v>
      </c>
      <c r="D3004" s="5" t="str">
        <f>VLOOKUP(C3004,[1]master_data!$A$2:$E$495,2,FALSE)</f>
        <v>KAVIAT</v>
      </c>
      <c r="E3004" s="5">
        <v>5</v>
      </c>
      <c r="F3004" s="5">
        <f>VLOOKUP(C3004,[1]master_data!$A$2:$E$495,3,FALSE)</f>
        <v>3500</v>
      </c>
      <c r="G3004" s="5">
        <f>VLOOKUP(C3004,[1]master_data!$A$2:$E$495,4,FALSE)</f>
        <v>8000</v>
      </c>
      <c r="H3004" s="5">
        <f t="shared" si="144"/>
        <v>17500</v>
      </c>
      <c r="I3004" s="5">
        <f t="shared" si="145"/>
        <v>40000</v>
      </c>
      <c r="J3004" s="5">
        <f t="shared" si="146"/>
        <v>22500</v>
      </c>
      <c r="K3004" s="5" t="str">
        <f>VLOOKUP(C3004,[1]master_data!$A$2:$E$495,5,FALSE)</f>
        <v>Ikan</v>
      </c>
      <c r="L3004" s="5" t="s">
        <v>471</v>
      </c>
    </row>
    <row r="3005" spans="1:12" ht="12" customHeight="1" x14ac:dyDescent="0.25">
      <c r="A3005" s="6">
        <v>44644</v>
      </c>
      <c r="B3005" s="1">
        <v>2201558</v>
      </c>
      <c r="C3005" s="5" t="s">
        <v>419</v>
      </c>
      <c r="D3005" s="5" t="str">
        <f>VLOOKUP(C3005,[1]master_data!$A$2:$E$495,2,FALSE)</f>
        <v>KURA - KURA</v>
      </c>
      <c r="E3005" s="5">
        <v>2</v>
      </c>
      <c r="F3005" s="5">
        <f>VLOOKUP(C3005,[1]master_data!$A$2:$E$495,3,FALSE)</f>
        <v>25000</v>
      </c>
      <c r="G3005" s="5">
        <f>VLOOKUP(C3005,[1]master_data!$A$2:$E$495,4,FALSE)</f>
        <v>35000</v>
      </c>
      <c r="H3005" s="5">
        <f t="shared" si="144"/>
        <v>50000</v>
      </c>
      <c r="I3005" s="5">
        <f t="shared" si="145"/>
        <v>70000</v>
      </c>
      <c r="J3005" s="5">
        <f t="shared" si="146"/>
        <v>20000</v>
      </c>
      <c r="K3005" s="5" t="str">
        <f>VLOOKUP(C3005,[1]master_data!$A$2:$E$495,5,FALSE)</f>
        <v>Ikan</v>
      </c>
      <c r="L3005" s="5" t="s">
        <v>471</v>
      </c>
    </row>
    <row r="3006" spans="1:12" ht="12" customHeight="1" x14ac:dyDescent="0.25">
      <c r="A3006" s="6">
        <v>44644</v>
      </c>
      <c r="B3006" s="1">
        <v>2201557</v>
      </c>
      <c r="C3006" s="5" t="s">
        <v>14</v>
      </c>
      <c r="D3006" s="5" t="str">
        <f>VLOOKUP(C3006,[1]master_data!$A$2:$E$495,2,FALSE)</f>
        <v>MESIN YANG 106</v>
      </c>
      <c r="E3006" s="5">
        <v>1</v>
      </c>
      <c r="F3006" s="5">
        <f>VLOOKUP(C3006,[1]master_data!$A$2:$E$495,3,FALSE)</f>
        <v>220000</v>
      </c>
      <c r="G3006" s="5">
        <f>VLOOKUP(C3006,[1]master_data!$A$2:$E$495,4,FALSE)</f>
        <v>300000</v>
      </c>
      <c r="H3006" s="5">
        <f t="shared" si="144"/>
        <v>220000</v>
      </c>
      <c r="I3006" s="5">
        <f t="shared" si="145"/>
        <v>300000</v>
      </c>
      <c r="J3006" s="5">
        <f t="shared" si="146"/>
        <v>80000</v>
      </c>
      <c r="K3006" s="5" t="str">
        <f>VLOOKUP(C3006,[1]master_data!$A$2:$E$495,5,FALSE)</f>
        <v>Aksesoris</v>
      </c>
      <c r="L3006" s="5" t="s">
        <v>471</v>
      </c>
    </row>
    <row r="3007" spans="1:12" ht="12" customHeight="1" x14ac:dyDescent="0.25">
      <c r="A3007" s="6">
        <v>44644</v>
      </c>
      <c r="B3007" s="1">
        <v>2201556</v>
      </c>
      <c r="C3007" s="5" t="s">
        <v>258</v>
      </c>
      <c r="D3007" s="5" t="str">
        <f>VLOOKUP(C3007,[1]master_data!$A$2:$E$495,2,FALSE)</f>
        <v>BIOBOL</v>
      </c>
      <c r="E3007" s="5">
        <v>10</v>
      </c>
      <c r="F3007" s="5">
        <f>VLOOKUP(C3007,[1]master_data!$A$2:$E$495,3,FALSE)</f>
        <v>4000</v>
      </c>
      <c r="G3007" s="5">
        <f>VLOOKUP(C3007,[1]master_data!$A$2:$E$495,4,FALSE)</f>
        <v>7500</v>
      </c>
      <c r="H3007" s="5">
        <f t="shared" si="144"/>
        <v>40000</v>
      </c>
      <c r="I3007" s="5">
        <f t="shared" si="145"/>
        <v>75000</v>
      </c>
      <c r="J3007" s="5">
        <f t="shared" si="146"/>
        <v>35000</v>
      </c>
      <c r="K3007" s="5" t="str">
        <f>VLOOKUP(C3007,[1]master_data!$A$2:$E$495,5,FALSE)</f>
        <v>Aksesoris</v>
      </c>
      <c r="L3007" s="5" t="s">
        <v>471</v>
      </c>
    </row>
    <row r="3008" spans="1:12" ht="12" customHeight="1" x14ac:dyDescent="0.25">
      <c r="A3008" s="6">
        <v>44644</v>
      </c>
      <c r="B3008" s="1">
        <v>2201555</v>
      </c>
      <c r="C3008" s="5" t="s">
        <v>204</v>
      </c>
      <c r="D3008" s="5" t="str">
        <f>VLOOKUP(C3008,[1]master_data!$A$2:$E$495,2,FALSE)</f>
        <v>MAGOT</v>
      </c>
      <c r="E3008" s="5">
        <v>2</v>
      </c>
      <c r="F3008" s="5">
        <f>VLOOKUP(C3008,[1]master_data!$A$2:$E$495,3,FALSE)</f>
        <v>4500</v>
      </c>
      <c r="G3008" s="5">
        <f>VLOOKUP(C3008,[1]master_data!$A$2:$E$495,4,FALSE)</f>
        <v>10000</v>
      </c>
      <c r="H3008" s="5">
        <f t="shared" si="144"/>
        <v>9000</v>
      </c>
      <c r="I3008" s="5">
        <f t="shared" si="145"/>
        <v>20000</v>
      </c>
      <c r="J3008" s="5">
        <f t="shared" si="146"/>
        <v>11000</v>
      </c>
      <c r="K3008" s="5" t="str">
        <f>VLOOKUP(C3008,[1]master_data!$A$2:$E$495,5,FALSE)</f>
        <v>Aksesoris</v>
      </c>
      <c r="L3008" s="5" t="s">
        <v>471</v>
      </c>
    </row>
    <row r="3009" spans="1:12" ht="12" customHeight="1" x14ac:dyDescent="0.25">
      <c r="A3009" s="6">
        <v>44644</v>
      </c>
      <c r="B3009" s="1">
        <v>2201554</v>
      </c>
      <c r="C3009" s="5" t="s">
        <v>447</v>
      </c>
      <c r="D3009" s="5" t="str">
        <f>VLOOKUP(C3009,[1]master_data!$A$2:$E$495,2,FALSE)</f>
        <v>REDFIN ALBINO</v>
      </c>
      <c r="E3009" s="5">
        <v>3</v>
      </c>
      <c r="F3009" s="5">
        <f>VLOOKUP(C3009,[1]master_data!$A$2:$E$495,3,FALSE)</f>
        <v>1500</v>
      </c>
      <c r="G3009" s="5">
        <f>VLOOKUP(C3009,[1]master_data!$A$2:$E$495,4,FALSE)</f>
        <v>4000</v>
      </c>
      <c r="H3009" s="5">
        <f t="shared" si="144"/>
        <v>4500</v>
      </c>
      <c r="I3009" s="5">
        <f t="shared" si="145"/>
        <v>12000</v>
      </c>
      <c r="J3009" s="5">
        <f t="shared" si="146"/>
        <v>7500</v>
      </c>
      <c r="K3009" s="5" t="str">
        <f>VLOOKUP(C3009,[1]master_data!$A$2:$E$495,5,FALSE)</f>
        <v>Ikan</v>
      </c>
      <c r="L3009" s="5" t="s">
        <v>471</v>
      </c>
    </row>
    <row r="3010" spans="1:12" ht="12" customHeight="1" x14ac:dyDescent="0.25">
      <c r="A3010" s="6">
        <v>44644</v>
      </c>
      <c r="B3010" s="1">
        <v>2201553</v>
      </c>
      <c r="C3010" s="5" t="s">
        <v>430</v>
      </c>
      <c r="D3010" s="5" t="str">
        <f>VLOOKUP(C3010,[1]master_data!$A$2:$E$495,2,FALSE)</f>
        <v>MANFISH K</v>
      </c>
      <c r="E3010" s="5">
        <v>5</v>
      </c>
      <c r="F3010" s="5">
        <f>VLOOKUP(C3010,[1]master_data!$A$2:$E$495,3,FALSE)</f>
        <v>2000</v>
      </c>
      <c r="G3010" s="5">
        <f>VLOOKUP(C3010,[1]master_data!$A$2:$E$495,4,FALSE)</f>
        <v>5000</v>
      </c>
      <c r="H3010" s="5">
        <f t="shared" si="144"/>
        <v>10000</v>
      </c>
      <c r="I3010" s="5">
        <f t="shared" si="145"/>
        <v>25000</v>
      </c>
      <c r="J3010" s="5">
        <f t="shared" si="146"/>
        <v>15000</v>
      </c>
      <c r="K3010" s="5" t="str">
        <f>VLOOKUP(C3010,[1]master_data!$A$2:$E$495,5,FALSE)</f>
        <v>Ikan</v>
      </c>
      <c r="L3010" s="5" t="s">
        <v>471</v>
      </c>
    </row>
    <row r="3011" spans="1:12" ht="12" customHeight="1" x14ac:dyDescent="0.25">
      <c r="A3011" s="6">
        <v>44644</v>
      </c>
      <c r="B3011" s="1">
        <v>2201552</v>
      </c>
      <c r="C3011" s="5" t="s">
        <v>428</v>
      </c>
      <c r="D3011" s="5" t="str">
        <f>VLOOKUP(C3011,[1]master_data!$A$2:$E$495,2,FALSE)</f>
        <v>LOUHAN</v>
      </c>
      <c r="E3011" s="5">
        <v>1</v>
      </c>
      <c r="F3011" s="5">
        <f>VLOOKUP(C3011,[1]master_data!$A$2:$E$495,3,FALSE)</f>
        <v>85000</v>
      </c>
      <c r="G3011" s="5">
        <f>VLOOKUP(C3011,[1]master_data!$A$2:$E$495,4,FALSE)</f>
        <v>200000</v>
      </c>
      <c r="H3011" s="5">
        <f t="shared" si="144"/>
        <v>85000</v>
      </c>
      <c r="I3011" s="5">
        <f t="shared" si="145"/>
        <v>200000</v>
      </c>
      <c r="J3011" s="5">
        <f t="shared" si="146"/>
        <v>115000</v>
      </c>
      <c r="K3011" s="5" t="str">
        <f>VLOOKUP(C3011,[1]master_data!$A$2:$E$495,5,FALSE)</f>
        <v>Ikan</v>
      </c>
      <c r="L3011" s="5" t="s">
        <v>471</v>
      </c>
    </row>
    <row r="3012" spans="1:12" ht="12" customHeight="1" x14ac:dyDescent="0.25">
      <c r="A3012" s="6">
        <v>44644</v>
      </c>
      <c r="B3012" s="1">
        <v>2201551</v>
      </c>
      <c r="C3012" s="5" t="s">
        <v>414</v>
      </c>
      <c r="D3012" s="5" t="str">
        <f>VLOOKUP(C3012,[1]master_data!$A$2:$E$495,2,FALSE)</f>
        <v>KOKI T</v>
      </c>
      <c r="E3012" s="5">
        <v>2</v>
      </c>
      <c r="F3012" s="5">
        <f>VLOOKUP(C3012,[1]master_data!$A$2:$E$495,3,FALSE)</f>
        <v>8000</v>
      </c>
      <c r="G3012" s="5">
        <f>VLOOKUP(C3012,[1]master_data!$A$2:$E$495,4,FALSE)</f>
        <v>15000</v>
      </c>
      <c r="H3012" s="5">
        <f t="shared" si="144"/>
        <v>16000</v>
      </c>
      <c r="I3012" s="5">
        <f t="shared" si="145"/>
        <v>30000</v>
      </c>
      <c r="J3012" s="5">
        <f t="shared" si="146"/>
        <v>14000</v>
      </c>
      <c r="K3012" s="5" t="str">
        <f>VLOOKUP(C3012,[1]master_data!$A$2:$E$495,5,FALSE)</f>
        <v>Ikan</v>
      </c>
      <c r="L3012" s="5" t="s">
        <v>471</v>
      </c>
    </row>
    <row r="3013" spans="1:12" ht="12" customHeight="1" x14ac:dyDescent="0.25">
      <c r="A3013" s="6">
        <v>44644</v>
      </c>
      <c r="B3013" s="1">
        <v>2201550</v>
      </c>
      <c r="C3013" s="5" t="s">
        <v>421</v>
      </c>
      <c r="D3013" s="5" t="str">
        <f>VLOOKUP(C3013,[1]master_data!$A$2:$E$495,2,FALSE)</f>
        <v>KOMET PAKAN</v>
      </c>
      <c r="E3013" s="5">
        <v>10</v>
      </c>
      <c r="F3013" s="5">
        <f>VLOOKUP(C3013,[1]master_data!$A$2:$E$495,3,FALSE)</f>
        <v>300</v>
      </c>
      <c r="G3013" s="5">
        <f>VLOOKUP(C3013,[1]master_data!$A$2:$E$495,4,FALSE)</f>
        <v>1000</v>
      </c>
      <c r="H3013" s="5">
        <f t="shared" ref="H3013:H3076" si="147">E3013*F3013</f>
        <v>3000</v>
      </c>
      <c r="I3013" s="5">
        <f t="shared" ref="I3013:I3076" si="148">E3013*G3013</f>
        <v>10000</v>
      </c>
      <c r="J3013" s="5">
        <f t="shared" ref="J3013:J3076" si="149">I3013-H3013</f>
        <v>7000</v>
      </c>
      <c r="K3013" s="5" t="str">
        <f>VLOOKUP(C3013,[1]master_data!$A$2:$E$495,5,FALSE)</f>
        <v>Ikan</v>
      </c>
      <c r="L3013" s="5" t="s">
        <v>471</v>
      </c>
    </row>
    <row r="3014" spans="1:12" ht="12" customHeight="1" x14ac:dyDescent="0.25">
      <c r="A3014" s="6">
        <v>44644</v>
      </c>
      <c r="B3014" s="1">
        <v>2201549</v>
      </c>
      <c r="C3014" s="5" t="s">
        <v>462</v>
      </c>
      <c r="D3014" s="5" t="str">
        <f>VLOOKUP(C3014,[1]master_data!$A$2:$E$495,2,FALSE)</f>
        <v>SEPAT ALBINO</v>
      </c>
      <c r="E3014" s="5">
        <v>2</v>
      </c>
      <c r="F3014" s="5">
        <f>VLOOKUP(C3014,[1]master_data!$A$2:$E$495,3,FALSE)</f>
        <v>2000</v>
      </c>
      <c r="G3014" s="5">
        <f>VLOOKUP(C3014,[1]master_data!$A$2:$E$495,4,FALSE)</f>
        <v>5000</v>
      </c>
      <c r="H3014" s="5">
        <f t="shared" si="147"/>
        <v>4000</v>
      </c>
      <c r="I3014" s="5">
        <f t="shared" si="148"/>
        <v>10000</v>
      </c>
      <c r="J3014" s="5">
        <f t="shared" si="149"/>
        <v>6000</v>
      </c>
      <c r="K3014" s="5" t="str">
        <f>VLOOKUP(C3014,[1]master_data!$A$2:$E$495,5,FALSE)</f>
        <v>Ikan</v>
      </c>
      <c r="L3014" s="5" t="s">
        <v>471</v>
      </c>
    </row>
    <row r="3015" spans="1:12" ht="12" customHeight="1" x14ac:dyDescent="0.25">
      <c r="A3015" s="6">
        <v>44644</v>
      </c>
      <c r="B3015" s="1">
        <v>2201548</v>
      </c>
      <c r="C3015" s="5" t="s">
        <v>431</v>
      </c>
      <c r="D3015" s="5" t="str">
        <f>VLOOKUP(C3015,[1]master_data!$A$2:$E$495,2,FALSE)</f>
        <v>MANFISH B</v>
      </c>
      <c r="E3015" s="5">
        <v>2</v>
      </c>
      <c r="F3015" s="5">
        <f>VLOOKUP(C3015,[1]master_data!$A$2:$E$495,3,FALSE)</f>
        <v>4000</v>
      </c>
      <c r="G3015" s="5">
        <f>VLOOKUP(C3015,[1]master_data!$A$2:$E$495,4,FALSE)</f>
        <v>10000</v>
      </c>
      <c r="H3015" s="5">
        <f t="shared" si="147"/>
        <v>8000</v>
      </c>
      <c r="I3015" s="5">
        <f t="shared" si="148"/>
        <v>20000</v>
      </c>
      <c r="J3015" s="5">
        <f t="shared" si="149"/>
        <v>12000</v>
      </c>
      <c r="K3015" s="5" t="str">
        <f>VLOOKUP(C3015,[1]master_data!$A$2:$E$495,5,FALSE)</f>
        <v>Ikan</v>
      </c>
      <c r="L3015" s="5" t="s">
        <v>471</v>
      </c>
    </row>
    <row r="3016" spans="1:12" ht="12" customHeight="1" x14ac:dyDescent="0.25">
      <c r="A3016" s="6">
        <v>44644</v>
      </c>
      <c r="B3016" s="1">
        <v>2201547</v>
      </c>
      <c r="C3016" s="5" t="s">
        <v>408</v>
      </c>
      <c r="D3016" s="5" t="str">
        <f>VLOOKUP(C3016,[1]master_data!$A$2:$E$495,2,FALSE)</f>
        <v>CATFISH</v>
      </c>
      <c r="E3016" s="5">
        <v>1</v>
      </c>
      <c r="F3016" s="5">
        <f>VLOOKUP(C3016,[1]master_data!$A$2:$E$495,3,FALSE)</f>
        <v>20000</v>
      </c>
      <c r="G3016" s="5">
        <f>VLOOKUP(C3016,[1]master_data!$A$2:$E$495,4,FALSE)</f>
        <v>50000</v>
      </c>
      <c r="H3016" s="5">
        <f t="shared" si="147"/>
        <v>20000</v>
      </c>
      <c r="I3016" s="5">
        <f t="shared" si="148"/>
        <v>50000</v>
      </c>
      <c r="J3016" s="5">
        <f t="shared" si="149"/>
        <v>30000</v>
      </c>
      <c r="K3016" s="5" t="str">
        <f>VLOOKUP(C3016,[1]master_data!$A$2:$E$495,5,FALSE)</f>
        <v>Ikan</v>
      </c>
      <c r="L3016" s="5" t="s">
        <v>471</v>
      </c>
    </row>
    <row r="3017" spans="1:12" ht="12" customHeight="1" x14ac:dyDescent="0.25">
      <c r="A3017" s="6">
        <v>44644</v>
      </c>
      <c r="B3017" s="1">
        <v>2201546</v>
      </c>
      <c r="C3017" s="5" t="s">
        <v>446</v>
      </c>
      <c r="D3017" s="5" t="str">
        <f>VLOOKUP(C3017,[1]master_data!$A$2:$E$495,2,FALSE)</f>
        <v>REDFIN HITAM</v>
      </c>
      <c r="E3017" s="5">
        <v>3</v>
      </c>
      <c r="F3017" s="5">
        <f>VLOOKUP(C3017,[1]master_data!$A$2:$E$495,3,FALSE)</f>
        <v>1500</v>
      </c>
      <c r="G3017" s="5">
        <f>VLOOKUP(C3017,[1]master_data!$A$2:$E$495,4,FALSE)</f>
        <v>4000</v>
      </c>
      <c r="H3017" s="5">
        <f t="shared" si="147"/>
        <v>4500</v>
      </c>
      <c r="I3017" s="5">
        <f t="shared" si="148"/>
        <v>12000</v>
      </c>
      <c r="J3017" s="5">
        <f t="shared" si="149"/>
        <v>7500</v>
      </c>
      <c r="K3017" s="5" t="str">
        <f>VLOOKUP(C3017,[1]master_data!$A$2:$E$495,5,FALSE)</f>
        <v>Ikan</v>
      </c>
      <c r="L3017" s="5" t="s">
        <v>471</v>
      </c>
    </row>
    <row r="3018" spans="1:12" ht="12" customHeight="1" x14ac:dyDescent="0.25">
      <c r="A3018" s="6">
        <v>44644</v>
      </c>
      <c r="B3018" s="1">
        <v>2201545</v>
      </c>
      <c r="C3018" s="5" t="s">
        <v>409</v>
      </c>
      <c r="D3018" s="5" t="str">
        <f>VLOOKUP(C3018,[1]master_data!$A$2:$E$495,2,FALSE)</f>
        <v>GOLD FISH</v>
      </c>
      <c r="E3018" s="5">
        <v>10</v>
      </c>
      <c r="F3018" s="5">
        <f>VLOOKUP(C3018,[1]master_data!$A$2:$E$495,3,FALSE)</f>
        <v>800</v>
      </c>
      <c r="G3018" s="5">
        <f>VLOOKUP(C3018,[1]master_data!$A$2:$E$495,4,FALSE)</f>
        <v>2000</v>
      </c>
      <c r="H3018" s="5">
        <f t="shared" si="147"/>
        <v>8000</v>
      </c>
      <c r="I3018" s="5">
        <f t="shared" si="148"/>
        <v>20000</v>
      </c>
      <c r="J3018" s="5">
        <f t="shared" si="149"/>
        <v>12000</v>
      </c>
      <c r="K3018" s="5" t="str">
        <f>VLOOKUP(C3018,[1]master_data!$A$2:$E$495,5,FALSE)</f>
        <v>Ikan</v>
      </c>
      <c r="L3018" s="5" t="s">
        <v>471</v>
      </c>
    </row>
    <row r="3019" spans="1:12" ht="12" customHeight="1" x14ac:dyDescent="0.25">
      <c r="A3019" s="6">
        <v>44644</v>
      </c>
      <c r="B3019" s="1">
        <v>2201544</v>
      </c>
      <c r="C3019" s="5" t="s">
        <v>203</v>
      </c>
      <c r="D3019" s="5" t="str">
        <f>VLOOKUP(C3019,[1]master_data!$A$2:$E$495,2,FALSE)</f>
        <v>HOKKY 3 IN 1</v>
      </c>
      <c r="E3019" s="5">
        <v>1</v>
      </c>
      <c r="F3019" s="5">
        <f>VLOOKUP(C3019,[1]master_data!$A$2:$E$495,3,FALSE)</f>
        <v>20000</v>
      </c>
      <c r="G3019" s="5">
        <f>VLOOKUP(C3019,[1]master_data!$A$2:$E$495,4,FALSE)</f>
        <v>30000</v>
      </c>
      <c r="H3019" s="5">
        <f t="shared" si="147"/>
        <v>20000</v>
      </c>
      <c r="I3019" s="5">
        <f t="shared" si="148"/>
        <v>30000</v>
      </c>
      <c r="J3019" s="5">
        <f t="shared" si="149"/>
        <v>10000</v>
      </c>
      <c r="K3019" s="5" t="str">
        <f>VLOOKUP(C3019,[1]master_data!$A$2:$E$495,5,FALSE)</f>
        <v>Aksesoris</v>
      </c>
      <c r="L3019" s="5" t="s">
        <v>471</v>
      </c>
    </row>
    <row r="3020" spans="1:12" ht="12" customHeight="1" x14ac:dyDescent="0.25">
      <c r="A3020" s="6">
        <v>44643</v>
      </c>
      <c r="B3020" s="1">
        <v>2201543</v>
      </c>
      <c r="C3020" s="5" t="s">
        <v>399</v>
      </c>
      <c r="D3020" s="5" t="str">
        <f>VLOOKUP(C3020,[1]master_data!$A$2:$E$495,2,FALSE)</f>
        <v>BUENOS AIRES TETRA</v>
      </c>
      <c r="E3020" s="5">
        <v>5</v>
      </c>
      <c r="F3020" s="5">
        <f>VLOOKUP(C3020,[1]master_data!$A$2:$E$495,3,FALSE)</f>
        <v>800</v>
      </c>
      <c r="G3020" s="5">
        <f>VLOOKUP(C3020,[1]master_data!$A$2:$E$495,4,FALSE)</f>
        <v>2000</v>
      </c>
      <c r="H3020" s="5">
        <f t="shared" si="147"/>
        <v>4000</v>
      </c>
      <c r="I3020" s="5">
        <f t="shared" si="148"/>
        <v>10000</v>
      </c>
      <c r="J3020" s="5">
        <f t="shared" si="149"/>
        <v>6000</v>
      </c>
      <c r="K3020" s="5" t="str">
        <f>VLOOKUP(C3020,[1]master_data!$A$2:$E$495,5,FALSE)</f>
        <v>Ikan</v>
      </c>
      <c r="L3020" s="5" t="s">
        <v>471</v>
      </c>
    </row>
    <row r="3021" spans="1:12" ht="12" customHeight="1" x14ac:dyDescent="0.25">
      <c r="A3021" s="6">
        <v>44643</v>
      </c>
      <c r="B3021" s="1">
        <v>2201542</v>
      </c>
      <c r="C3021" s="5" t="s">
        <v>411</v>
      </c>
      <c r="D3021" s="5" t="str">
        <f>VLOOKUP(C3021,[1]master_data!$A$2:$E$495,2,FALSE)</f>
        <v>GOLDEN BLACK</v>
      </c>
      <c r="E3021" s="5">
        <v>10</v>
      </c>
      <c r="F3021" s="5">
        <f>VLOOKUP(C3021,[1]master_data!$A$2:$E$495,3,FALSE)</f>
        <v>800</v>
      </c>
      <c r="G3021" s="5">
        <f>VLOOKUP(C3021,[1]master_data!$A$2:$E$495,4,FALSE)</f>
        <v>2000</v>
      </c>
      <c r="H3021" s="5">
        <f t="shared" si="147"/>
        <v>8000</v>
      </c>
      <c r="I3021" s="5">
        <f t="shared" si="148"/>
        <v>20000</v>
      </c>
      <c r="J3021" s="5">
        <f t="shared" si="149"/>
        <v>12000</v>
      </c>
      <c r="K3021" s="5" t="str">
        <f>VLOOKUP(C3021,[1]master_data!$A$2:$E$495,5,FALSE)</f>
        <v>Ikan</v>
      </c>
      <c r="L3021" s="5" t="s">
        <v>471</v>
      </c>
    </row>
    <row r="3022" spans="1:12" ht="12" customHeight="1" x14ac:dyDescent="0.25">
      <c r="A3022" s="6">
        <v>44643</v>
      </c>
      <c r="B3022" s="1">
        <v>2201541</v>
      </c>
      <c r="C3022" s="5" t="s">
        <v>402</v>
      </c>
      <c r="D3022" s="5" t="str">
        <f>VLOOKUP(C3022,[1]master_data!$A$2:$E$495,2,FALSE)</f>
        <v>BLACK GHOST</v>
      </c>
      <c r="E3022" s="5">
        <v>2</v>
      </c>
      <c r="F3022" s="5">
        <f>VLOOKUP(C3022,[1]master_data!$A$2:$E$495,3,FALSE)</f>
        <v>4000</v>
      </c>
      <c r="G3022" s="5">
        <f>VLOOKUP(C3022,[1]master_data!$A$2:$E$495,4,FALSE)</f>
        <v>10000</v>
      </c>
      <c r="H3022" s="5">
        <f t="shared" si="147"/>
        <v>8000</v>
      </c>
      <c r="I3022" s="5">
        <f t="shared" si="148"/>
        <v>20000</v>
      </c>
      <c r="J3022" s="5">
        <f t="shared" si="149"/>
        <v>12000</v>
      </c>
      <c r="K3022" s="5" t="str">
        <f>VLOOKUP(C3022,[1]master_data!$A$2:$E$495,5,FALSE)</f>
        <v>Ikan</v>
      </c>
      <c r="L3022" s="5" t="s">
        <v>471</v>
      </c>
    </row>
    <row r="3023" spans="1:12" ht="12" customHeight="1" x14ac:dyDescent="0.25">
      <c r="A3023" s="6">
        <v>44643</v>
      </c>
      <c r="B3023" s="1">
        <v>2201540</v>
      </c>
      <c r="C3023" s="5" t="s">
        <v>335</v>
      </c>
      <c r="D3023" s="5" t="str">
        <f>VLOOKUP(C3023,[1]master_data!$A$2:$E$495,2,FALSE)</f>
        <v>PENJERNIH</v>
      </c>
      <c r="E3023" s="5">
        <v>1</v>
      </c>
      <c r="F3023" s="5">
        <f>VLOOKUP(C3023,[1]master_data!$A$2:$E$495,3,FALSE)</f>
        <v>3000</v>
      </c>
      <c r="G3023" s="5">
        <f>VLOOKUP(C3023,[1]master_data!$A$2:$E$495,4,FALSE)</f>
        <v>8000</v>
      </c>
      <c r="H3023" s="5">
        <f t="shared" si="147"/>
        <v>3000</v>
      </c>
      <c r="I3023" s="5">
        <f t="shared" si="148"/>
        <v>8000</v>
      </c>
      <c r="J3023" s="5">
        <f t="shared" si="149"/>
        <v>5000</v>
      </c>
      <c r="K3023" s="5" t="str">
        <f>VLOOKUP(C3023,[1]master_data!$A$2:$E$495,5,FALSE)</f>
        <v>Aksesoris</v>
      </c>
      <c r="L3023" s="5" t="s">
        <v>471</v>
      </c>
    </row>
    <row r="3024" spans="1:12" ht="12" customHeight="1" x14ac:dyDescent="0.25">
      <c r="A3024" s="6">
        <v>44643</v>
      </c>
      <c r="B3024" s="1">
        <v>2201539</v>
      </c>
      <c r="C3024" s="5" t="s">
        <v>410</v>
      </c>
      <c r="D3024" s="5" t="str">
        <f>VLOOKUP(C3024,[1]master_data!$A$2:$E$495,2,FALSE)</f>
        <v>GUPY</v>
      </c>
      <c r="E3024" s="5">
        <v>10</v>
      </c>
      <c r="F3024" s="5">
        <f>VLOOKUP(C3024,[1]master_data!$A$2:$E$495,3,FALSE)</f>
        <v>1200</v>
      </c>
      <c r="G3024" s="5">
        <f>VLOOKUP(C3024,[1]master_data!$A$2:$E$495,4,FALSE)</f>
        <v>2500</v>
      </c>
      <c r="H3024" s="5">
        <f t="shared" si="147"/>
        <v>12000</v>
      </c>
      <c r="I3024" s="5">
        <f t="shared" si="148"/>
        <v>25000</v>
      </c>
      <c r="J3024" s="5">
        <f t="shared" si="149"/>
        <v>13000</v>
      </c>
      <c r="K3024" s="5" t="str">
        <f>VLOOKUP(C3024,[1]master_data!$A$2:$E$495,5,FALSE)</f>
        <v>Ikan</v>
      </c>
      <c r="L3024" s="5" t="s">
        <v>471</v>
      </c>
    </row>
    <row r="3025" spans="1:12" ht="12" customHeight="1" x14ac:dyDescent="0.25">
      <c r="A3025" s="6">
        <v>44643</v>
      </c>
      <c r="B3025" s="1">
        <v>2201538</v>
      </c>
      <c r="C3025" s="5" t="s">
        <v>439</v>
      </c>
      <c r="D3025" s="5" t="str">
        <f>VLOOKUP(C3025,[1]master_data!$A$2:$E$495,2,FALSE)</f>
        <v>NEON</v>
      </c>
      <c r="E3025" s="5">
        <v>5</v>
      </c>
      <c r="F3025" s="5">
        <f>VLOOKUP(C3025,[1]master_data!$A$2:$E$495,3,FALSE)</f>
        <v>1250</v>
      </c>
      <c r="G3025" s="5">
        <f>VLOOKUP(C3025,[1]master_data!$A$2:$E$495,4,FALSE)</f>
        <v>5000</v>
      </c>
      <c r="H3025" s="5">
        <f t="shared" si="147"/>
        <v>6250</v>
      </c>
      <c r="I3025" s="5">
        <f t="shared" si="148"/>
        <v>25000</v>
      </c>
      <c r="J3025" s="5">
        <f t="shared" si="149"/>
        <v>18750</v>
      </c>
      <c r="K3025" s="5" t="str">
        <f>VLOOKUP(C3025,[1]master_data!$A$2:$E$495,5,FALSE)</f>
        <v>Ikan</v>
      </c>
      <c r="L3025" s="5" t="s">
        <v>471</v>
      </c>
    </row>
    <row r="3026" spans="1:12" ht="12" customHeight="1" x14ac:dyDescent="0.25">
      <c r="A3026" s="6">
        <v>44643</v>
      </c>
      <c r="B3026" s="1">
        <v>2201537</v>
      </c>
      <c r="C3026" s="5" t="s">
        <v>385</v>
      </c>
      <c r="D3026" s="5" t="str">
        <f>VLOOKUP(C3026,[1]master_data!$A$2:$E$495,2,FALSE)</f>
        <v>BATU ZELOID</v>
      </c>
      <c r="E3026" s="5">
        <v>1</v>
      </c>
      <c r="F3026" s="5">
        <f>VLOOKUP(C3026,[1]master_data!$A$2:$E$495,3,FALSE)</f>
        <v>25000</v>
      </c>
      <c r="G3026" s="5">
        <f>VLOOKUP(C3026,[1]master_data!$A$2:$E$495,4,FALSE)</f>
        <v>35000</v>
      </c>
      <c r="H3026" s="5">
        <f t="shared" si="147"/>
        <v>25000</v>
      </c>
      <c r="I3026" s="5">
        <f t="shared" si="148"/>
        <v>35000</v>
      </c>
      <c r="J3026" s="5">
        <f t="shared" si="149"/>
        <v>10000</v>
      </c>
      <c r="K3026" s="5" t="str">
        <f>VLOOKUP(C3026,[1]master_data!$A$2:$E$495,5,FALSE)</f>
        <v>Aksesoris</v>
      </c>
      <c r="L3026" s="5" t="s">
        <v>471</v>
      </c>
    </row>
    <row r="3027" spans="1:12" ht="12" customHeight="1" x14ac:dyDescent="0.25">
      <c r="A3027" s="6">
        <v>44643</v>
      </c>
      <c r="B3027" s="1">
        <v>2201536</v>
      </c>
      <c r="C3027" s="5" t="s">
        <v>398</v>
      </c>
      <c r="D3027" s="5" t="str">
        <f>VLOOKUP(C3027,[1]master_data!$A$2:$E$495,2,FALSE)</f>
        <v>BIPOLAR</v>
      </c>
      <c r="E3027" s="5">
        <v>2</v>
      </c>
      <c r="F3027" s="5">
        <f>VLOOKUP(C3027,[1]master_data!$A$2:$E$495,3,FALSE)</f>
        <v>1000</v>
      </c>
      <c r="G3027" s="5">
        <f>VLOOKUP(C3027,[1]master_data!$A$2:$E$495,4,FALSE)</f>
        <v>2500</v>
      </c>
      <c r="H3027" s="5">
        <f t="shared" si="147"/>
        <v>2000</v>
      </c>
      <c r="I3027" s="5">
        <f t="shared" si="148"/>
        <v>5000</v>
      </c>
      <c r="J3027" s="5">
        <f t="shared" si="149"/>
        <v>3000</v>
      </c>
      <c r="K3027" s="5" t="str">
        <f>VLOOKUP(C3027,[1]master_data!$A$2:$E$495,5,FALSE)</f>
        <v>Ikan</v>
      </c>
      <c r="L3027" s="5" t="s">
        <v>471</v>
      </c>
    </row>
    <row r="3028" spans="1:12" ht="12" customHeight="1" x14ac:dyDescent="0.25">
      <c r="A3028" s="6">
        <v>44643</v>
      </c>
      <c r="B3028" s="1">
        <v>2201535</v>
      </c>
      <c r="C3028" s="5" t="s">
        <v>385</v>
      </c>
      <c r="D3028" s="5" t="str">
        <f>VLOOKUP(C3028,[1]master_data!$A$2:$E$495,2,FALSE)</f>
        <v>BATU ZELOID</v>
      </c>
      <c r="E3028" s="5">
        <v>1</v>
      </c>
      <c r="F3028" s="5">
        <f>VLOOKUP(C3028,[1]master_data!$A$2:$E$495,3,FALSE)</f>
        <v>25000</v>
      </c>
      <c r="G3028" s="5">
        <f>VLOOKUP(C3028,[1]master_data!$A$2:$E$495,4,FALSE)</f>
        <v>35000</v>
      </c>
      <c r="H3028" s="5">
        <f t="shared" si="147"/>
        <v>25000</v>
      </c>
      <c r="I3028" s="5">
        <f t="shared" si="148"/>
        <v>35000</v>
      </c>
      <c r="J3028" s="5">
        <f t="shared" si="149"/>
        <v>10000</v>
      </c>
      <c r="K3028" s="5" t="str">
        <f>VLOOKUP(C3028,[1]master_data!$A$2:$E$495,5,FALSE)</f>
        <v>Aksesoris</v>
      </c>
      <c r="L3028" s="5" t="s">
        <v>471</v>
      </c>
    </row>
    <row r="3029" spans="1:12" ht="12" customHeight="1" x14ac:dyDescent="0.25">
      <c r="A3029" s="6">
        <v>44643</v>
      </c>
      <c r="B3029" s="1">
        <v>2201534</v>
      </c>
      <c r="C3029" s="5" t="s">
        <v>455</v>
      </c>
      <c r="D3029" s="5" t="str">
        <f>VLOOKUP(C3029,[1]master_data!$A$2:$E$495,2,FALSE)</f>
        <v>TETRA</v>
      </c>
      <c r="E3029" s="5">
        <v>5</v>
      </c>
      <c r="F3029" s="5">
        <f>VLOOKUP(C3029,[1]master_data!$A$2:$E$495,3,FALSE)</f>
        <v>800</v>
      </c>
      <c r="G3029" s="5">
        <f>VLOOKUP(C3029,[1]master_data!$A$2:$E$495,4,FALSE)</f>
        <v>2000</v>
      </c>
      <c r="H3029" s="5">
        <f t="shared" si="147"/>
        <v>4000</v>
      </c>
      <c r="I3029" s="5">
        <f t="shared" si="148"/>
        <v>10000</v>
      </c>
      <c r="J3029" s="5">
        <f t="shared" si="149"/>
        <v>6000</v>
      </c>
      <c r="K3029" s="5" t="str">
        <f>VLOOKUP(C3029,[1]master_data!$A$2:$E$495,5,FALSE)</f>
        <v>Ikan</v>
      </c>
      <c r="L3029" s="5" t="s">
        <v>471</v>
      </c>
    </row>
    <row r="3030" spans="1:12" ht="12" customHeight="1" x14ac:dyDescent="0.25">
      <c r="A3030" s="6">
        <v>44643</v>
      </c>
      <c r="B3030" s="1">
        <v>2201533</v>
      </c>
      <c r="C3030" s="5" t="s">
        <v>395</v>
      </c>
      <c r="D3030" s="5" t="str">
        <f>VLOOKUP(C3030,[1]master_data!$A$2:$E$495,2,FALSE)</f>
        <v>ARWANA SILVER B</v>
      </c>
      <c r="E3030" s="5">
        <v>1</v>
      </c>
      <c r="F3030" s="5">
        <f>VLOOKUP(C3030,[1]master_data!$A$2:$E$495,3,FALSE)</f>
        <v>300000</v>
      </c>
      <c r="G3030" s="5">
        <f>VLOOKUP(C3030,[1]master_data!$A$2:$E$495,4,FALSE)</f>
        <v>500000</v>
      </c>
      <c r="H3030" s="5">
        <f t="shared" si="147"/>
        <v>300000</v>
      </c>
      <c r="I3030" s="5">
        <f t="shared" si="148"/>
        <v>500000</v>
      </c>
      <c r="J3030" s="5">
        <f t="shared" si="149"/>
        <v>200000</v>
      </c>
      <c r="K3030" s="5" t="str">
        <f>VLOOKUP(C3030,[1]master_data!$A$2:$E$495,5,FALSE)</f>
        <v>Ikan</v>
      </c>
      <c r="L3030" s="5" t="s">
        <v>471</v>
      </c>
    </row>
    <row r="3031" spans="1:12" ht="12" customHeight="1" x14ac:dyDescent="0.25">
      <c r="A3031" s="6">
        <v>44643</v>
      </c>
      <c r="B3031" s="1">
        <v>2201532</v>
      </c>
      <c r="C3031" s="5" t="s">
        <v>426</v>
      </c>
      <c r="D3031" s="5" t="str">
        <f>VLOOKUP(C3031,[1]master_data!$A$2:$E$495,2,FALSE)</f>
        <v>DISCUS</v>
      </c>
      <c r="E3031" s="5">
        <v>2</v>
      </c>
      <c r="F3031" s="5">
        <f>VLOOKUP(C3031,[1]master_data!$A$2:$E$495,3,FALSE)</f>
        <v>50000</v>
      </c>
      <c r="G3031" s="5">
        <f>VLOOKUP(C3031,[1]master_data!$A$2:$E$495,4,FALSE)</f>
        <v>150000</v>
      </c>
      <c r="H3031" s="5">
        <f t="shared" si="147"/>
        <v>100000</v>
      </c>
      <c r="I3031" s="5">
        <f t="shared" si="148"/>
        <v>300000</v>
      </c>
      <c r="J3031" s="5">
        <f t="shared" si="149"/>
        <v>200000</v>
      </c>
      <c r="K3031" s="5" t="str">
        <f>VLOOKUP(C3031,[1]master_data!$A$2:$E$495,5,FALSE)</f>
        <v>Ikan</v>
      </c>
      <c r="L3031" s="5" t="s">
        <v>471</v>
      </c>
    </row>
    <row r="3032" spans="1:12" ht="12" customHeight="1" x14ac:dyDescent="0.25">
      <c r="A3032" s="6">
        <v>44643</v>
      </c>
      <c r="B3032" s="1">
        <v>2201531</v>
      </c>
      <c r="C3032" s="5" t="s">
        <v>310</v>
      </c>
      <c r="D3032" s="5" t="str">
        <f>VLOOKUP(C3032,[1]master_data!$A$2:$E$495,2,FALSE)</f>
        <v>SELANG FUSO</v>
      </c>
      <c r="E3032" s="5">
        <v>15</v>
      </c>
      <c r="F3032" s="5">
        <f>VLOOKUP(C3032,[1]master_data!$A$2:$E$495,3,FALSE)</f>
        <v>800</v>
      </c>
      <c r="G3032" s="5">
        <f>VLOOKUP(C3032,[1]master_data!$A$2:$E$495,4,FALSE)</f>
        <v>2000</v>
      </c>
      <c r="H3032" s="5">
        <f t="shared" si="147"/>
        <v>12000</v>
      </c>
      <c r="I3032" s="5">
        <f t="shared" si="148"/>
        <v>30000</v>
      </c>
      <c r="J3032" s="5">
        <f t="shared" si="149"/>
        <v>18000</v>
      </c>
      <c r="K3032" s="5" t="str">
        <f>VLOOKUP(C3032,[1]master_data!$A$2:$E$495,5,FALSE)</f>
        <v>Aksesoris</v>
      </c>
      <c r="L3032" s="5" t="s">
        <v>471</v>
      </c>
    </row>
    <row r="3033" spans="1:12" ht="12" customHeight="1" x14ac:dyDescent="0.25">
      <c r="A3033" s="6">
        <v>44643</v>
      </c>
      <c r="B3033" s="1">
        <v>2201530</v>
      </c>
      <c r="C3033" s="5" t="s">
        <v>459</v>
      </c>
      <c r="D3033" s="5" t="str">
        <f>VLOOKUP(C3033,[1]master_data!$A$2:$E$495,2,FALSE)</f>
        <v>ZEBRA UNGU</v>
      </c>
      <c r="E3033" s="5">
        <v>5</v>
      </c>
      <c r="F3033" s="5">
        <f>VLOOKUP(C3033,[1]master_data!$A$2:$E$495,3,FALSE)</f>
        <v>800</v>
      </c>
      <c r="G3033" s="5">
        <f>VLOOKUP(C3033,[1]master_data!$A$2:$E$495,4,FALSE)</f>
        <v>2000</v>
      </c>
      <c r="H3033" s="5">
        <f t="shared" si="147"/>
        <v>4000</v>
      </c>
      <c r="I3033" s="5">
        <f t="shared" si="148"/>
        <v>10000</v>
      </c>
      <c r="J3033" s="5">
        <f t="shared" si="149"/>
        <v>6000</v>
      </c>
      <c r="K3033" s="5" t="str">
        <f>VLOOKUP(C3033,[1]master_data!$A$2:$E$495,5,FALSE)</f>
        <v>Ikan</v>
      </c>
      <c r="L3033" s="5" t="s">
        <v>471</v>
      </c>
    </row>
    <row r="3034" spans="1:12" ht="12" customHeight="1" x14ac:dyDescent="0.25">
      <c r="A3034" s="6">
        <v>44643</v>
      </c>
      <c r="B3034" s="1">
        <v>2201529</v>
      </c>
      <c r="C3034" s="5" t="s">
        <v>383</v>
      </c>
      <c r="D3034" s="5" t="str">
        <f>VLOOKUP(C3034,[1]master_data!$A$2:$E$495,2,FALSE)</f>
        <v>BATU GOMBONG K</v>
      </c>
      <c r="E3034" s="5">
        <v>1</v>
      </c>
      <c r="F3034" s="5">
        <f>VLOOKUP(C3034,[1]master_data!$A$2:$E$495,3,FALSE)</f>
        <v>20000</v>
      </c>
      <c r="G3034" s="5">
        <f>VLOOKUP(C3034,[1]master_data!$A$2:$E$495,4,FALSE)</f>
        <v>40000</v>
      </c>
      <c r="H3034" s="5">
        <f t="shared" si="147"/>
        <v>20000</v>
      </c>
      <c r="I3034" s="5">
        <f t="shared" si="148"/>
        <v>40000</v>
      </c>
      <c r="J3034" s="5">
        <f t="shared" si="149"/>
        <v>20000</v>
      </c>
      <c r="K3034" s="5" t="str">
        <f>VLOOKUP(C3034,[1]master_data!$A$2:$E$495,5,FALSE)</f>
        <v>Aksesoris</v>
      </c>
      <c r="L3034" s="5" t="s">
        <v>471</v>
      </c>
    </row>
    <row r="3035" spans="1:12" ht="12" customHeight="1" x14ac:dyDescent="0.25">
      <c r="A3035" s="6">
        <v>44643</v>
      </c>
      <c r="B3035" s="1">
        <v>2201528</v>
      </c>
      <c r="C3035" s="5" t="s">
        <v>458</v>
      </c>
      <c r="D3035" s="5" t="str">
        <f>VLOOKUP(C3035,[1]master_data!$A$2:$E$495,2,FALSE)</f>
        <v>ZEBRA HIJAU</v>
      </c>
      <c r="E3035" s="5">
        <v>5</v>
      </c>
      <c r="F3035" s="5">
        <f>VLOOKUP(C3035,[1]master_data!$A$2:$E$495,3,FALSE)</f>
        <v>800</v>
      </c>
      <c r="G3035" s="5">
        <f>VLOOKUP(C3035,[1]master_data!$A$2:$E$495,4,FALSE)</f>
        <v>2000</v>
      </c>
      <c r="H3035" s="5">
        <f t="shared" si="147"/>
        <v>4000</v>
      </c>
      <c r="I3035" s="5">
        <f t="shared" si="148"/>
        <v>10000</v>
      </c>
      <c r="J3035" s="5">
        <f t="shared" si="149"/>
        <v>6000</v>
      </c>
      <c r="K3035" s="5" t="str">
        <f>VLOOKUP(C3035,[1]master_data!$A$2:$E$495,5,FALSE)</f>
        <v>Ikan</v>
      </c>
      <c r="L3035" s="5" t="s">
        <v>471</v>
      </c>
    </row>
    <row r="3036" spans="1:12" ht="12" customHeight="1" x14ac:dyDescent="0.25">
      <c r="A3036" s="6">
        <v>44643</v>
      </c>
      <c r="B3036" s="1">
        <v>2201527</v>
      </c>
      <c r="C3036" s="5" t="s">
        <v>233</v>
      </c>
      <c r="D3036" s="5" t="str">
        <f>VLOOKUP(C3036,[1]master_data!$A$2:$E$495,2,FALSE)</f>
        <v>FISH LOVE PAKAN</v>
      </c>
      <c r="E3036" s="5">
        <v>2</v>
      </c>
      <c r="F3036" s="5">
        <f>VLOOKUP(C3036,[1]master_data!$A$2:$E$495,3,FALSE)</f>
        <v>2500</v>
      </c>
      <c r="G3036" s="5">
        <f>VLOOKUP(C3036,[1]master_data!$A$2:$E$495,4,FALSE)</f>
        <v>5000</v>
      </c>
      <c r="H3036" s="5">
        <f t="shared" si="147"/>
        <v>5000</v>
      </c>
      <c r="I3036" s="5">
        <f t="shared" si="148"/>
        <v>10000</v>
      </c>
      <c r="J3036" s="5">
        <f t="shared" si="149"/>
        <v>5000</v>
      </c>
      <c r="K3036" s="5" t="str">
        <f>VLOOKUP(C3036,[1]master_data!$A$2:$E$495,5,FALSE)</f>
        <v>Aksesoris</v>
      </c>
      <c r="L3036" s="5" t="s">
        <v>471</v>
      </c>
    </row>
    <row r="3037" spans="1:12" ht="12" customHeight="1" x14ac:dyDescent="0.25">
      <c r="A3037" s="6">
        <v>44643</v>
      </c>
      <c r="B3037" s="1">
        <v>2201526</v>
      </c>
      <c r="C3037" s="5" t="s">
        <v>407</v>
      </c>
      <c r="D3037" s="5" t="str">
        <f>VLOOKUP(C3037,[1]master_data!$A$2:$E$495,2,FALSE)</f>
        <v>CUPANG</v>
      </c>
      <c r="E3037" s="5">
        <v>3</v>
      </c>
      <c r="F3037" s="5">
        <f>VLOOKUP(C3037,[1]master_data!$A$2:$E$495,3,FALSE)</f>
        <v>2000</v>
      </c>
      <c r="G3037" s="5">
        <f>VLOOKUP(C3037,[1]master_data!$A$2:$E$495,4,FALSE)</f>
        <v>5000</v>
      </c>
      <c r="H3037" s="5">
        <f t="shared" si="147"/>
        <v>6000</v>
      </c>
      <c r="I3037" s="5">
        <f t="shared" si="148"/>
        <v>15000</v>
      </c>
      <c r="J3037" s="5">
        <f t="shared" si="149"/>
        <v>9000</v>
      </c>
      <c r="K3037" s="5" t="str">
        <f>VLOOKUP(C3037,[1]master_data!$A$2:$E$495,5,FALSE)</f>
        <v>Ikan</v>
      </c>
      <c r="L3037" s="5" t="s">
        <v>471</v>
      </c>
    </row>
    <row r="3038" spans="1:12" ht="12" customHeight="1" x14ac:dyDescent="0.25">
      <c r="A3038" s="6">
        <v>44642</v>
      </c>
      <c r="B3038" s="1">
        <v>2201525</v>
      </c>
      <c r="C3038" s="5" t="s">
        <v>402</v>
      </c>
      <c r="D3038" s="5" t="str">
        <f>VLOOKUP(C3038,[1]master_data!$A$2:$E$495,2,FALSE)</f>
        <v>BLACK GHOST</v>
      </c>
      <c r="E3038" s="5">
        <v>3</v>
      </c>
      <c r="F3038" s="5">
        <f>VLOOKUP(C3038,[1]master_data!$A$2:$E$495,3,FALSE)</f>
        <v>4000</v>
      </c>
      <c r="G3038" s="5">
        <f>VLOOKUP(C3038,[1]master_data!$A$2:$E$495,4,FALSE)</f>
        <v>10000</v>
      </c>
      <c r="H3038" s="5">
        <f t="shared" si="147"/>
        <v>12000</v>
      </c>
      <c r="I3038" s="5">
        <f t="shared" si="148"/>
        <v>30000</v>
      </c>
      <c r="J3038" s="5">
        <f t="shared" si="149"/>
        <v>18000</v>
      </c>
      <c r="K3038" s="5" t="str">
        <f>VLOOKUP(C3038,[1]master_data!$A$2:$E$495,5,FALSE)</f>
        <v>Ikan</v>
      </c>
      <c r="L3038" s="5" t="s">
        <v>471</v>
      </c>
    </row>
    <row r="3039" spans="1:12" ht="12" customHeight="1" x14ac:dyDescent="0.25">
      <c r="A3039" s="6">
        <v>44642</v>
      </c>
      <c r="B3039" s="1">
        <v>2201524</v>
      </c>
      <c r="C3039" s="5" t="s">
        <v>452</v>
      </c>
      <c r="D3039" s="5" t="str">
        <f>VLOOKUP(C3039,[1]master_data!$A$2:$E$495,2,FALSE)</f>
        <v>SNOW WHITE</v>
      </c>
      <c r="E3039" s="5">
        <v>5</v>
      </c>
      <c r="F3039" s="5">
        <f>VLOOKUP(C3039,[1]master_data!$A$2:$E$495,3,FALSE)</f>
        <v>1500</v>
      </c>
      <c r="G3039" s="5">
        <f>VLOOKUP(C3039,[1]master_data!$A$2:$E$495,4,FALSE)</f>
        <v>3000</v>
      </c>
      <c r="H3039" s="5">
        <f t="shared" si="147"/>
        <v>7500</v>
      </c>
      <c r="I3039" s="5">
        <f t="shared" si="148"/>
        <v>15000</v>
      </c>
      <c r="J3039" s="5">
        <f t="shared" si="149"/>
        <v>7500</v>
      </c>
      <c r="K3039" s="5" t="str">
        <f>VLOOKUP(C3039,[1]master_data!$A$2:$E$495,5,FALSE)</f>
        <v>Ikan</v>
      </c>
      <c r="L3039" s="5" t="s">
        <v>471</v>
      </c>
    </row>
    <row r="3040" spans="1:12" ht="12" customHeight="1" x14ac:dyDescent="0.25">
      <c r="A3040" s="6">
        <v>44642</v>
      </c>
      <c r="B3040" s="1">
        <v>2201523</v>
      </c>
      <c r="C3040" s="5" t="s">
        <v>112</v>
      </c>
      <c r="D3040" s="5" t="str">
        <f>VLOOKUP(C3040,[1]master_data!$A$2:$E$495,2,FALSE)</f>
        <v>LED ROSTON 20 CM</v>
      </c>
      <c r="E3040" s="5">
        <v>1</v>
      </c>
      <c r="F3040" s="5">
        <f>VLOOKUP(C3040,[1]master_data!$A$2:$E$495,3,FALSE)</f>
        <v>21000</v>
      </c>
      <c r="G3040" s="5">
        <f>VLOOKUP(C3040,[1]master_data!$A$2:$E$495,4,FALSE)</f>
        <v>30000</v>
      </c>
      <c r="H3040" s="5">
        <f t="shared" si="147"/>
        <v>21000</v>
      </c>
      <c r="I3040" s="5">
        <f t="shared" si="148"/>
        <v>30000</v>
      </c>
      <c r="J3040" s="5">
        <f t="shared" si="149"/>
        <v>9000</v>
      </c>
      <c r="K3040" s="5" t="str">
        <f>VLOOKUP(C3040,[1]master_data!$A$2:$E$495,5,FALSE)</f>
        <v>Aksesoris</v>
      </c>
      <c r="L3040" s="5" t="s">
        <v>471</v>
      </c>
    </row>
    <row r="3041" spans="1:12" ht="12" customHeight="1" x14ac:dyDescent="0.25">
      <c r="A3041" s="6">
        <v>44642</v>
      </c>
      <c r="B3041" s="1">
        <v>2201522</v>
      </c>
      <c r="C3041" s="5" t="s">
        <v>100</v>
      </c>
      <c r="D3041" s="5" t="str">
        <f>VLOOKUP(C3041,[1]master_data!$A$2:$E$495,2,FALSE)</f>
        <v>AIRATOR AMARA LUB 1</v>
      </c>
      <c r="E3041" s="5">
        <v>1</v>
      </c>
      <c r="F3041" s="5">
        <f>VLOOKUP(C3041,[1]master_data!$A$2:$E$495,3,FALSE)</f>
        <v>17500</v>
      </c>
      <c r="G3041" s="5">
        <f>VLOOKUP(C3041,[1]master_data!$A$2:$E$495,4,FALSE)</f>
        <v>30000</v>
      </c>
      <c r="H3041" s="5">
        <f t="shared" si="147"/>
        <v>17500</v>
      </c>
      <c r="I3041" s="5">
        <f t="shared" si="148"/>
        <v>30000</v>
      </c>
      <c r="J3041" s="5">
        <f t="shared" si="149"/>
        <v>12500</v>
      </c>
      <c r="K3041" s="5" t="str">
        <f>VLOOKUP(C3041,[1]master_data!$A$2:$E$495,5,FALSE)</f>
        <v>Aksesoris</v>
      </c>
      <c r="L3041" s="5" t="s">
        <v>471</v>
      </c>
    </row>
    <row r="3042" spans="1:12" ht="12" customHeight="1" x14ac:dyDescent="0.25">
      <c r="A3042" s="6">
        <v>44642</v>
      </c>
      <c r="B3042" s="1">
        <v>2201521</v>
      </c>
      <c r="C3042" s="5" t="s">
        <v>352</v>
      </c>
      <c r="D3042" s="5" t="str">
        <f>VLOOKUP(C3042,[1]master_data!$A$2:$E$495,2,FALSE)</f>
        <v>AKUARIUM BAHARI M</v>
      </c>
      <c r="E3042" s="5">
        <v>5</v>
      </c>
      <c r="F3042" s="5">
        <f>VLOOKUP(C3042,[1]master_data!$A$2:$E$495,3,FALSE)</f>
        <v>82000</v>
      </c>
      <c r="G3042" s="5">
        <f>VLOOKUP(C3042,[1]master_data!$A$2:$E$495,4,FALSE)</f>
        <v>130000</v>
      </c>
      <c r="H3042" s="5">
        <f t="shared" si="147"/>
        <v>410000</v>
      </c>
      <c r="I3042" s="5">
        <f t="shared" si="148"/>
        <v>650000</v>
      </c>
      <c r="J3042" s="5">
        <f t="shared" si="149"/>
        <v>240000</v>
      </c>
      <c r="K3042" s="5" t="str">
        <f>VLOOKUP(C3042,[1]master_data!$A$2:$E$495,5,FALSE)</f>
        <v>Aksesoris</v>
      </c>
      <c r="L3042" s="5" t="s">
        <v>471</v>
      </c>
    </row>
    <row r="3043" spans="1:12" ht="12" customHeight="1" x14ac:dyDescent="0.25">
      <c r="A3043" s="6">
        <v>44642</v>
      </c>
      <c r="B3043" s="1">
        <v>2201520</v>
      </c>
      <c r="C3043" s="5" t="s">
        <v>427</v>
      </c>
      <c r="D3043" s="5" t="str">
        <f>VLOOKUP(C3043,[1]master_data!$A$2:$E$495,2,FALSE)</f>
        <v>LEMON</v>
      </c>
      <c r="E3043" s="5">
        <v>10</v>
      </c>
      <c r="F3043" s="5">
        <f>VLOOKUP(C3043,[1]master_data!$A$2:$E$495,3,FALSE)</f>
        <v>1000</v>
      </c>
      <c r="G3043" s="5">
        <f>VLOOKUP(C3043,[1]master_data!$A$2:$E$495,4,FALSE)</f>
        <v>2000</v>
      </c>
      <c r="H3043" s="5">
        <f t="shared" si="147"/>
        <v>10000</v>
      </c>
      <c r="I3043" s="5">
        <f t="shared" si="148"/>
        <v>20000</v>
      </c>
      <c r="J3043" s="5">
        <f t="shared" si="149"/>
        <v>10000</v>
      </c>
      <c r="K3043" s="5" t="str">
        <f>VLOOKUP(C3043,[1]master_data!$A$2:$E$495,5,FALSE)</f>
        <v>Ikan</v>
      </c>
      <c r="L3043" s="5" t="s">
        <v>471</v>
      </c>
    </row>
    <row r="3044" spans="1:12" ht="12" customHeight="1" x14ac:dyDescent="0.25">
      <c r="A3044" s="6">
        <v>44642</v>
      </c>
      <c r="B3044" s="1">
        <v>2201519</v>
      </c>
      <c r="C3044" s="5" t="s">
        <v>416</v>
      </c>
      <c r="D3044" s="5" t="str">
        <f>VLOOKUP(C3044,[1]master_data!$A$2:$E$495,2,FALSE)</f>
        <v>KOI K</v>
      </c>
      <c r="E3044" s="5">
        <v>5</v>
      </c>
      <c r="F3044" s="5">
        <f>VLOOKUP(C3044,[1]master_data!$A$2:$E$495,3,FALSE)</f>
        <v>2500</v>
      </c>
      <c r="G3044" s="5">
        <f>VLOOKUP(C3044,[1]master_data!$A$2:$E$495,4,FALSE)</f>
        <v>10000</v>
      </c>
      <c r="H3044" s="5">
        <f t="shared" si="147"/>
        <v>12500</v>
      </c>
      <c r="I3044" s="5">
        <f t="shared" si="148"/>
        <v>50000</v>
      </c>
      <c r="J3044" s="5">
        <f t="shared" si="149"/>
        <v>37500</v>
      </c>
      <c r="K3044" s="5" t="str">
        <f>VLOOKUP(C3044,[1]master_data!$A$2:$E$495,5,FALSE)</f>
        <v>Ikan</v>
      </c>
      <c r="L3044" s="5" t="s">
        <v>471</v>
      </c>
    </row>
    <row r="3045" spans="1:12" ht="12" customHeight="1" x14ac:dyDescent="0.25">
      <c r="A3045" s="6">
        <v>44642</v>
      </c>
      <c r="B3045" s="1">
        <v>2201518</v>
      </c>
      <c r="C3045" s="5" t="s">
        <v>420</v>
      </c>
      <c r="D3045" s="5" t="str">
        <f>VLOOKUP(C3045,[1]master_data!$A$2:$E$495,2,FALSE)</f>
        <v>KAVIAT</v>
      </c>
      <c r="E3045" s="5">
        <v>2</v>
      </c>
      <c r="F3045" s="5">
        <f>VLOOKUP(C3045,[1]master_data!$A$2:$E$495,3,FALSE)</f>
        <v>3500</v>
      </c>
      <c r="G3045" s="5">
        <f>VLOOKUP(C3045,[1]master_data!$A$2:$E$495,4,FALSE)</f>
        <v>8000</v>
      </c>
      <c r="H3045" s="5">
        <f t="shared" si="147"/>
        <v>7000</v>
      </c>
      <c r="I3045" s="5">
        <f t="shared" si="148"/>
        <v>16000</v>
      </c>
      <c r="J3045" s="5">
        <f t="shared" si="149"/>
        <v>9000</v>
      </c>
      <c r="K3045" s="5" t="str">
        <f>VLOOKUP(C3045,[1]master_data!$A$2:$E$495,5,FALSE)</f>
        <v>Ikan</v>
      </c>
      <c r="L3045" s="5" t="s">
        <v>471</v>
      </c>
    </row>
    <row r="3046" spans="1:12" ht="12" customHeight="1" x14ac:dyDescent="0.25">
      <c r="A3046" s="6">
        <v>44642</v>
      </c>
      <c r="B3046" s="1">
        <v>2201517</v>
      </c>
      <c r="C3046" s="5" t="s">
        <v>438</v>
      </c>
      <c r="D3046" s="5" t="str">
        <f>VLOOKUP(C3046,[1]master_data!$A$2:$E$495,2,FALSE)</f>
        <v>NENTINEN</v>
      </c>
      <c r="E3046" s="5">
        <v>5</v>
      </c>
      <c r="F3046" s="5">
        <f>VLOOKUP(C3046,[1]master_data!$A$2:$E$495,3,FALSE)</f>
        <v>1000</v>
      </c>
      <c r="G3046" s="5">
        <f>VLOOKUP(C3046,[1]master_data!$A$2:$E$495,4,FALSE)</f>
        <v>2500</v>
      </c>
      <c r="H3046" s="5">
        <f t="shared" si="147"/>
        <v>5000</v>
      </c>
      <c r="I3046" s="5">
        <f t="shared" si="148"/>
        <v>12500</v>
      </c>
      <c r="J3046" s="5">
        <f t="shared" si="149"/>
        <v>7500</v>
      </c>
      <c r="K3046" s="5" t="str">
        <f>VLOOKUP(C3046,[1]master_data!$A$2:$E$495,5,FALSE)</f>
        <v>Ikan</v>
      </c>
      <c r="L3046" s="5" t="s">
        <v>471</v>
      </c>
    </row>
    <row r="3047" spans="1:12" ht="12" customHeight="1" x14ac:dyDescent="0.25">
      <c r="A3047" s="6">
        <v>44642</v>
      </c>
      <c r="B3047" s="1">
        <v>2201516</v>
      </c>
      <c r="C3047" s="5" t="s">
        <v>414</v>
      </c>
      <c r="D3047" s="5" t="str">
        <f>VLOOKUP(C3047,[1]master_data!$A$2:$E$495,2,FALSE)</f>
        <v>KOKI T</v>
      </c>
      <c r="E3047" s="5">
        <v>2</v>
      </c>
      <c r="F3047" s="5">
        <f>VLOOKUP(C3047,[1]master_data!$A$2:$E$495,3,FALSE)</f>
        <v>8000</v>
      </c>
      <c r="G3047" s="5">
        <f>VLOOKUP(C3047,[1]master_data!$A$2:$E$495,4,FALSE)</f>
        <v>15000</v>
      </c>
      <c r="H3047" s="5">
        <f t="shared" si="147"/>
        <v>16000</v>
      </c>
      <c r="I3047" s="5">
        <f t="shared" si="148"/>
        <v>30000</v>
      </c>
      <c r="J3047" s="5">
        <f t="shared" si="149"/>
        <v>14000</v>
      </c>
      <c r="K3047" s="5" t="str">
        <f>VLOOKUP(C3047,[1]master_data!$A$2:$E$495,5,FALSE)</f>
        <v>Ikan</v>
      </c>
      <c r="L3047" s="5" t="s">
        <v>471</v>
      </c>
    </row>
    <row r="3048" spans="1:12" ht="12" customHeight="1" x14ac:dyDescent="0.25">
      <c r="A3048" s="6">
        <v>44642</v>
      </c>
      <c r="B3048" s="1">
        <v>2201515</v>
      </c>
      <c r="C3048" s="5" t="s">
        <v>203</v>
      </c>
      <c r="D3048" s="5" t="str">
        <f>VLOOKUP(C3048,[1]master_data!$A$2:$E$495,2,FALSE)</f>
        <v>HOKKY 3 IN 1</v>
      </c>
      <c r="E3048" s="5">
        <v>1</v>
      </c>
      <c r="F3048" s="5">
        <f>VLOOKUP(C3048,[1]master_data!$A$2:$E$495,3,FALSE)</f>
        <v>20000</v>
      </c>
      <c r="G3048" s="5">
        <f>VLOOKUP(C3048,[1]master_data!$A$2:$E$495,4,FALSE)</f>
        <v>30000</v>
      </c>
      <c r="H3048" s="5">
        <f t="shared" si="147"/>
        <v>20000</v>
      </c>
      <c r="I3048" s="5">
        <f t="shared" si="148"/>
        <v>30000</v>
      </c>
      <c r="J3048" s="5">
        <f t="shared" si="149"/>
        <v>10000</v>
      </c>
      <c r="K3048" s="5" t="str">
        <f>VLOOKUP(C3048,[1]master_data!$A$2:$E$495,5,FALSE)</f>
        <v>Aksesoris</v>
      </c>
      <c r="L3048" s="5" t="s">
        <v>471</v>
      </c>
    </row>
    <row r="3049" spans="1:12" ht="12" customHeight="1" x14ac:dyDescent="0.25">
      <c r="A3049" s="6">
        <v>44642</v>
      </c>
      <c r="B3049" s="1">
        <v>2201514</v>
      </c>
      <c r="C3049" s="5" t="s">
        <v>410</v>
      </c>
      <c r="D3049" s="5" t="str">
        <f>VLOOKUP(C3049,[1]master_data!$A$2:$E$495,2,FALSE)</f>
        <v>GUPY</v>
      </c>
      <c r="E3049" s="5">
        <v>10</v>
      </c>
      <c r="F3049" s="5">
        <f>VLOOKUP(C3049,[1]master_data!$A$2:$E$495,3,FALSE)</f>
        <v>1200</v>
      </c>
      <c r="G3049" s="5">
        <f>VLOOKUP(C3049,[1]master_data!$A$2:$E$495,4,FALSE)</f>
        <v>2500</v>
      </c>
      <c r="H3049" s="5">
        <f t="shared" si="147"/>
        <v>12000</v>
      </c>
      <c r="I3049" s="5">
        <f t="shared" si="148"/>
        <v>25000</v>
      </c>
      <c r="J3049" s="5">
        <f t="shared" si="149"/>
        <v>13000</v>
      </c>
      <c r="K3049" s="5" t="str">
        <f>VLOOKUP(C3049,[1]master_data!$A$2:$E$495,5,FALSE)</f>
        <v>Ikan</v>
      </c>
      <c r="L3049" s="5" t="s">
        <v>471</v>
      </c>
    </row>
    <row r="3050" spans="1:12" ht="12" customHeight="1" x14ac:dyDescent="0.25">
      <c r="A3050" s="6">
        <v>44642</v>
      </c>
      <c r="B3050" s="1">
        <v>2201513</v>
      </c>
      <c r="C3050" s="5" t="s">
        <v>379</v>
      </c>
      <c r="D3050" s="5" t="str">
        <f>VLOOKUP(C3050,[1]master_data!$A$2:$E$495,2,FALSE)</f>
        <v>PASIR SILICA</v>
      </c>
      <c r="E3050" s="5">
        <v>1</v>
      </c>
      <c r="F3050" s="5">
        <f>VLOOKUP(C3050,[1]master_data!$A$2:$E$495,3,FALSE)</f>
        <v>5000</v>
      </c>
      <c r="G3050" s="5">
        <f>VLOOKUP(C3050,[1]master_data!$A$2:$E$495,4,FALSE)</f>
        <v>10000</v>
      </c>
      <c r="H3050" s="5">
        <f t="shared" si="147"/>
        <v>5000</v>
      </c>
      <c r="I3050" s="5">
        <f t="shared" si="148"/>
        <v>10000</v>
      </c>
      <c r="J3050" s="5">
        <f t="shared" si="149"/>
        <v>5000</v>
      </c>
      <c r="K3050" s="5" t="str">
        <f>VLOOKUP(C3050,[1]master_data!$A$2:$E$495,5,FALSE)</f>
        <v>Aksesoris</v>
      </c>
      <c r="L3050" s="5" t="s">
        <v>471</v>
      </c>
    </row>
    <row r="3051" spans="1:12" ht="12" customHeight="1" x14ac:dyDescent="0.25">
      <c r="A3051" s="6">
        <v>44642</v>
      </c>
      <c r="B3051" s="1">
        <v>2201512</v>
      </c>
      <c r="C3051" s="5" t="s">
        <v>398</v>
      </c>
      <c r="D3051" s="5" t="str">
        <f>VLOOKUP(C3051,[1]master_data!$A$2:$E$495,2,FALSE)</f>
        <v>BIPOLAR</v>
      </c>
      <c r="E3051" s="5">
        <v>4</v>
      </c>
      <c r="F3051" s="5">
        <f>VLOOKUP(C3051,[1]master_data!$A$2:$E$495,3,FALSE)</f>
        <v>1000</v>
      </c>
      <c r="G3051" s="5">
        <f>VLOOKUP(C3051,[1]master_data!$A$2:$E$495,4,FALSE)</f>
        <v>2500</v>
      </c>
      <c r="H3051" s="5">
        <f t="shared" si="147"/>
        <v>4000</v>
      </c>
      <c r="I3051" s="5">
        <f t="shared" si="148"/>
        <v>10000</v>
      </c>
      <c r="J3051" s="5">
        <f t="shared" si="149"/>
        <v>6000</v>
      </c>
      <c r="K3051" s="5" t="str">
        <f>VLOOKUP(C3051,[1]master_data!$A$2:$E$495,5,FALSE)</f>
        <v>Ikan</v>
      </c>
      <c r="L3051" s="5" t="s">
        <v>471</v>
      </c>
    </row>
    <row r="3052" spans="1:12" ht="12" customHeight="1" x14ac:dyDescent="0.25">
      <c r="A3052" s="6">
        <v>44642</v>
      </c>
      <c r="B3052" s="1">
        <v>2201511</v>
      </c>
      <c r="C3052" s="5" t="s">
        <v>274</v>
      </c>
      <c r="D3052" s="5" t="str">
        <f>VLOOKUP(C3052,[1]master_data!$A$2:$E$495,2,FALSE)</f>
        <v>JARING 15</v>
      </c>
      <c r="E3052" s="5">
        <v>1</v>
      </c>
      <c r="F3052" s="5">
        <f>VLOOKUP(C3052,[1]master_data!$A$2:$E$495,3,FALSE)</f>
        <v>3750</v>
      </c>
      <c r="G3052" s="5">
        <f>VLOOKUP(C3052,[1]master_data!$A$2:$E$495,4,FALSE)</f>
        <v>8000</v>
      </c>
      <c r="H3052" s="5">
        <f t="shared" si="147"/>
        <v>3750</v>
      </c>
      <c r="I3052" s="5">
        <f t="shared" si="148"/>
        <v>8000</v>
      </c>
      <c r="J3052" s="5">
        <f t="shared" si="149"/>
        <v>4250</v>
      </c>
      <c r="K3052" s="5" t="str">
        <f>VLOOKUP(C3052,[1]master_data!$A$2:$E$495,5,FALSE)</f>
        <v>Aksesoris</v>
      </c>
      <c r="L3052" s="5" t="s">
        <v>471</v>
      </c>
    </row>
    <row r="3053" spans="1:12" ht="12" customHeight="1" x14ac:dyDescent="0.25">
      <c r="A3053" s="6">
        <v>44642</v>
      </c>
      <c r="B3053" s="1">
        <v>2201510</v>
      </c>
      <c r="C3053" s="5" t="s">
        <v>329</v>
      </c>
      <c r="D3053" s="5" t="str">
        <f>VLOOKUP(C3053,[1]master_data!$A$2:$E$495,2,FALSE)</f>
        <v>AIRSTONE D2L5</v>
      </c>
      <c r="E3053" s="5">
        <v>4</v>
      </c>
      <c r="F3053" s="5">
        <f>VLOOKUP(C3053,[1]master_data!$A$2:$E$495,3,FALSE)</f>
        <v>1850</v>
      </c>
      <c r="G3053" s="5">
        <f>VLOOKUP(C3053,[1]master_data!$A$2:$E$495,4,FALSE)</f>
        <v>5000</v>
      </c>
      <c r="H3053" s="5">
        <f t="shared" si="147"/>
        <v>7400</v>
      </c>
      <c r="I3053" s="5">
        <f t="shared" si="148"/>
        <v>20000</v>
      </c>
      <c r="J3053" s="5">
        <f t="shared" si="149"/>
        <v>12600</v>
      </c>
      <c r="K3053" s="5" t="str">
        <f>VLOOKUP(C3053,[1]master_data!$A$2:$E$495,5,FALSE)</f>
        <v>Aksesoris</v>
      </c>
      <c r="L3053" s="5" t="s">
        <v>471</v>
      </c>
    </row>
    <row r="3054" spans="1:12" ht="12" customHeight="1" x14ac:dyDescent="0.25">
      <c r="A3054" s="6">
        <v>44642</v>
      </c>
      <c r="B3054" s="1">
        <v>2201509</v>
      </c>
      <c r="C3054" s="5" t="s">
        <v>434</v>
      </c>
      <c r="D3054" s="5" t="str">
        <f>VLOOKUP(C3054,[1]master_data!$A$2:$E$495,2,FALSE)</f>
        <v>MOLI PAKAN</v>
      </c>
      <c r="E3054" s="5">
        <v>100</v>
      </c>
      <c r="F3054" s="5">
        <f>VLOOKUP(C3054,[1]master_data!$A$2:$E$495,3,FALSE)</f>
        <v>100</v>
      </c>
      <c r="G3054" s="5">
        <f>VLOOKUP(C3054,[1]master_data!$A$2:$E$495,4,FALSE)</f>
        <v>200</v>
      </c>
      <c r="H3054" s="5">
        <f t="shared" si="147"/>
        <v>10000</v>
      </c>
      <c r="I3054" s="5">
        <f t="shared" si="148"/>
        <v>20000</v>
      </c>
      <c r="J3054" s="5">
        <f t="shared" si="149"/>
        <v>10000</v>
      </c>
      <c r="K3054" s="5" t="str">
        <f>VLOOKUP(C3054,[1]master_data!$A$2:$E$495,5,FALSE)</f>
        <v>Ikan</v>
      </c>
      <c r="L3054" s="5" t="s">
        <v>471</v>
      </c>
    </row>
    <row r="3055" spans="1:12" ht="12" customHeight="1" x14ac:dyDescent="0.25">
      <c r="A3055" s="6">
        <v>44642</v>
      </c>
      <c r="B3055" s="1">
        <v>2201508</v>
      </c>
      <c r="C3055" s="5" t="s">
        <v>335</v>
      </c>
      <c r="D3055" s="5" t="str">
        <f>VLOOKUP(C3055,[1]master_data!$A$2:$E$495,2,FALSE)</f>
        <v>PENJERNIH</v>
      </c>
      <c r="E3055" s="5">
        <v>1</v>
      </c>
      <c r="F3055" s="5">
        <f>VLOOKUP(C3055,[1]master_data!$A$2:$E$495,3,FALSE)</f>
        <v>3000</v>
      </c>
      <c r="G3055" s="5">
        <f>VLOOKUP(C3055,[1]master_data!$A$2:$E$495,4,FALSE)</f>
        <v>8000</v>
      </c>
      <c r="H3055" s="5">
        <f t="shared" si="147"/>
        <v>3000</v>
      </c>
      <c r="I3055" s="5">
        <f t="shared" si="148"/>
        <v>8000</v>
      </c>
      <c r="J3055" s="5">
        <f t="shared" si="149"/>
        <v>5000</v>
      </c>
      <c r="K3055" s="5" t="str">
        <f>VLOOKUP(C3055,[1]master_data!$A$2:$E$495,5,FALSE)</f>
        <v>Aksesoris</v>
      </c>
      <c r="L3055" s="5" t="s">
        <v>471</v>
      </c>
    </row>
    <row r="3056" spans="1:12" ht="12" customHeight="1" x14ac:dyDescent="0.25">
      <c r="A3056" s="6">
        <v>44642</v>
      </c>
      <c r="B3056" s="1">
        <v>2201507</v>
      </c>
      <c r="C3056" s="5" t="s">
        <v>423</v>
      </c>
      <c r="D3056" s="5" t="str">
        <f>VLOOKUP(C3056,[1]master_data!$A$2:$E$495,2,FALSE)</f>
        <v>KOI SLAYER K</v>
      </c>
      <c r="E3056" s="5">
        <v>5</v>
      </c>
      <c r="F3056" s="5">
        <f>VLOOKUP(C3056,[1]master_data!$A$2:$E$495,3,FALSE)</f>
        <v>3500</v>
      </c>
      <c r="G3056" s="5">
        <f>VLOOKUP(C3056,[1]master_data!$A$2:$E$495,4,FALSE)</f>
        <v>10000</v>
      </c>
      <c r="H3056" s="5">
        <f t="shared" si="147"/>
        <v>17500</v>
      </c>
      <c r="I3056" s="5">
        <f t="shared" si="148"/>
        <v>50000</v>
      </c>
      <c r="J3056" s="5">
        <f t="shared" si="149"/>
        <v>32500</v>
      </c>
      <c r="K3056" s="5" t="str">
        <f>VLOOKUP(C3056,[1]master_data!$A$2:$E$495,5,FALSE)</f>
        <v>Ikan</v>
      </c>
      <c r="L3056" s="5" t="s">
        <v>471</v>
      </c>
    </row>
    <row r="3057" spans="1:12" ht="12" customHeight="1" x14ac:dyDescent="0.25">
      <c r="A3057" s="6">
        <v>44642</v>
      </c>
      <c r="B3057" s="1">
        <v>2201506</v>
      </c>
      <c r="C3057" s="5" t="s">
        <v>404</v>
      </c>
      <c r="D3057" s="5" t="str">
        <f>VLOOKUP(C3057,[1]master_data!$A$2:$E$495,2,FALSE)</f>
        <v>CHANNA BLUE PULCHRA B</v>
      </c>
      <c r="E3057" s="5">
        <v>1</v>
      </c>
      <c r="F3057" s="5">
        <f>VLOOKUP(C3057,[1]master_data!$A$2:$E$495,3,FALSE)</f>
        <v>125000</v>
      </c>
      <c r="G3057" s="5">
        <f>VLOOKUP(C3057,[1]master_data!$A$2:$E$495,4,FALSE)</f>
        <v>200000</v>
      </c>
      <c r="H3057" s="5">
        <f t="shared" si="147"/>
        <v>125000</v>
      </c>
      <c r="I3057" s="5">
        <f t="shared" si="148"/>
        <v>200000</v>
      </c>
      <c r="J3057" s="5">
        <f t="shared" si="149"/>
        <v>75000</v>
      </c>
      <c r="K3057" s="5" t="str">
        <f>VLOOKUP(C3057,[1]master_data!$A$2:$E$495,5,FALSE)</f>
        <v>Ikan</v>
      </c>
      <c r="L3057" s="5" t="s">
        <v>471</v>
      </c>
    </row>
    <row r="3058" spans="1:12" ht="12" customHeight="1" x14ac:dyDescent="0.25">
      <c r="A3058" s="6">
        <v>44642</v>
      </c>
      <c r="B3058" s="1">
        <v>2201505</v>
      </c>
      <c r="C3058" s="5" t="s">
        <v>333</v>
      </c>
      <c r="D3058" s="5" t="str">
        <f>VLOOKUP(C3058,[1]master_data!$A$2:$E$495,2,FALSE)</f>
        <v>KAPAS 2 LAPIS</v>
      </c>
      <c r="E3058" s="5">
        <v>1</v>
      </c>
      <c r="F3058" s="5">
        <f>VLOOKUP(C3058,[1]master_data!$A$2:$E$495,3,FALSE)</f>
        <v>2000</v>
      </c>
      <c r="G3058" s="5">
        <f>VLOOKUP(C3058,[1]master_data!$A$2:$E$495,4,FALSE)</f>
        <v>4000</v>
      </c>
      <c r="H3058" s="5">
        <f t="shared" si="147"/>
        <v>2000</v>
      </c>
      <c r="I3058" s="5">
        <f t="shared" si="148"/>
        <v>4000</v>
      </c>
      <c r="J3058" s="5">
        <f t="shared" si="149"/>
        <v>2000</v>
      </c>
      <c r="K3058" s="5" t="str">
        <f>VLOOKUP(C3058,[1]master_data!$A$2:$E$495,5,FALSE)</f>
        <v>Aksesoris</v>
      </c>
      <c r="L3058" s="5" t="s">
        <v>471</v>
      </c>
    </row>
    <row r="3059" spans="1:12" ht="12" customHeight="1" x14ac:dyDescent="0.25">
      <c r="A3059" s="6">
        <v>44642</v>
      </c>
      <c r="B3059" s="1">
        <v>2201504</v>
      </c>
      <c r="C3059" s="5" t="s">
        <v>99</v>
      </c>
      <c r="D3059" s="5" t="str">
        <f>VLOOKUP(C3059,[1]master_data!$A$2:$E$495,2,FALSE)</f>
        <v>AIRATOR ROSTON LUB 4</v>
      </c>
      <c r="E3059" s="5">
        <v>1</v>
      </c>
      <c r="F3059" s="5">
        <f>VLOOKUP(C3059,[1]master_data!$A$2:$E$495,3,FALSE)</f>
        <v>85000</v>
      </c>
      <c r="G3059" s="5">
        <f>VLOOKUP(C3059,[1]master_data!$A$2:$E$495,4,FALSE)</f>
        <v>125000</v>
      </c>
      <c r="H3059" s="5">
        <f t="shared" si="147"/>
        <v>85000</v>
      </c>
      <c r="I3059" s="5">
        <f t="shared" si="148"/>
        <v>125000</v>
      </c>
      <c r="J3059" s="5">
        <f t="shared" si="149"/>
        <v>40000</v>
      </c>
      <c r="K3059" s="5" t="str">
        <f>VLOOKUP(C3059,[1]master_data!$A$2:$E$495,5,FALSE)</f>
        <v>Aksesoris</v>
      </c>
      <c r="L3059" s="5" t="s">
        <v>471</v>
      </c>
    </row>
    <row r="3060" spans="1:12" ht="12" customHeight="1" x14ac:dyDescent="0.25">
      <c r="A3060" s="6">
        <v>44641</v>
      </c>
      <c r="B3060" s="1">
        <v>2201503</v>
      </c>
      <c r="C3060" s="5" t="s">
        <v>285</v>
      </c>
      <c r="D3060" s="5" t="str">
        <f>VLOOKUP(C3060,[1]master_data!$A$2:$E$495,2,FALSE)</f>
        <v>KAPAS 4 LAPIS</v>
      </c>
      <c r="E3060" s="5">
        <v>1</v>
      </c>
      <c r="F3060" s="5">
        <f>VLOOKUP(C3060,[1]master_data!$A$2:$E$495,3,FALSE)</f>
        <v>6500</v>
      </c>
      <c r="G3060" s="5">
        <f>VLOOKUP(C3060,[1]master_data!$A$2:$E$495,4,FALSE)</f>
        <v>10000</v>
      </c>
      <c r="H3060" s="5">
        <f t="shared" si="147"/>
        <v>6500</v>
      </c>
      <c r="I3060" s="5">
        <f t="shared" si="148"/>
        <v>10000</v>
      </c>
      <c r="J3060" s="5">
        <f t="shared" si="149"/>
        <v>3500</v>
      </c>
      <c r="K3060" s="5" t="str">
        <f>VLOOKUP(C3060,[1]master_data!$A$2:$E$495,5,FALSE)</f>
        <v>Aksesoris</v>
      </c>
      <c r="L3060" s="5" t="s">
        <v>471</v>
      </c>
    </row>
    <row r="3061" spans="1:12" ht="12" customHeight="1" x14ac:dyDescent="0.25">
      <c r="A3061" s="6">
        <v>44641</v>
      </c>
      <c r="B3061" s="1">
        <v>2201502</v>
      </c>
      <c r="C3061" s="5" t="s">
        <v>204</v>
      </c>
      <c r="D3061" s="5" t="str">
        <f>VLOOKUP(C3061,[1]master_data!$A$2:$E$495,2,FALSE)</f>
        <v>MAGOT</v>
      </c>
      <c r="E3061" s="5">
        <v>1</v>
      </c>
      <c r="F3061" s="5">
        <f>VLOOKUP(C3061,[1]master_data!$A$2:$E$495,3,FALSE)</f>
        <v>4500</v>
      </c>
      <c r="G3061" s="5">
        <f>VLOOKUP(C3061,[1]master_data!$A$2:$E$495,4,FALSE)</f>
        <v>10000</v>
      </c>
      <c r="H3061" s="5">
        <f t="shared" si="147"/>
        <v>4500</v>
      </c>
      <c r="I3061" s="5">
        <f t="shared" si="148"/>
        <v>10000</v>
      </c>
      <c r="J3061" s="5">
        <f t="shared" si="149"/>
        <v>5500</v>
      </c>
      <c r="K3061" s="5" t="str">
        <f>VLOOKUP(C3061,[1]master_data!$A$2:$E$495,5,FALSE)</f>
        <v>Aksesoris</v>
      </c>
      <c r="L3061" s="5" t="s">
        <v>471</v>
      </c>
    </row>
    <row r="3062" spans="1:12" ht="12" customHeight="1" x14ac:dyDescent="0.25">
      <c r="A3062" s="6">
        <v>44641</v>
      </c>
      <c r="B3062" s="1">
        <v>2201501</v>
      </c>
      <c r="C3062" s="5" t="s">
        <v>311</v>
      </c>
      <c r="D3062" s="5" t="str">
        <f>VLOOKUP(C3062,[1]master_data!$A$2:$E$495,2,FALSE)</f>
        <v>L PIPA</v>
      </c>
      <c r="E3062" s="5">
        <v>10</v>
      </c>
      <c r="F3062" s="5">
        <f>VLOOKUP(C3062,[1]master_data!$A$2:$E$495,3,FALSE)</f>
        <v>800</v>
      </c>
      <c r="G3062" s="5">
        <f>VLOOKUP(C3062,[1]master_data!$A$2:$E$495,4,FALSE)</f>
        <v>2000</v>
      </c>
      <c r="H3062" s="5">
        <f t="shared" si="147"/>
        <v>8000</v>
      </c>
      <c r="I3062" s="5">
        <f t="shared" si="148"/>
        <v>20000</v>
      </c>
      <c r="J3062" s="5">
        <f t="shared" si="149"/>
        <v>12000</v>
      </c>
      <c r="K3062" s="5" t="str">
        <f>VLOOKUP(C3062,[1]master_data!$A$2:$E$495,5,FALSE)</f>
        <v>Aksesoris</v>
      </c>
      <c r="L3062" s="5" t="s">
        <v>471</v>
      </c>
    </row>
    <row r="3063" spans="1:12" ht="12" customHeight="1" x14ac:dyDescent="0.25">
      <c r="A3063" s="6">
        <v>44641</v>
      </c>
      <c r="B3063" s="1">
        <v>2201500</v>
      </c>
      <c r="C3063" s="5" t="s">
        <v>394</v>
      </c>
      <c r="D3063" s="5" t="str">
        <f>VLOOKUP(C3063,[1]master_data!$A$2:$E$495,2,FALSE)</f>
        <v>ARWANA SILVER K</v>
      </c>
      <c r="E3063" s="5">
        <v>2</v>
      </c>
      <c r="F3063" s="5">
        <f>VLOOKUP(C3063,[1]master_data!$A$2:$E$495,3,FALSE)</f>
        <v>100000</v>
      </c>
      <c r="G3063" s="5">
        <f>VLOOKUP(C3063,[1]master_data!$A$2:$E$495,4,FALSE)</f>
        <v>200000</v>
      </c>
      <c r="H3063" s="5">
        <f t="shared" si="147"/>
        <v>200000</v>
      </c>
      <c r="I3063" s="5">
        <f t="shared" si="148"/>
        <v>400000</v>
      </c>
      <c r="J3063" s="5">
        <f t="shared" si="149"/>
        <v>200000</v>
      </c>
      <c r="K3063" s="5" t="str">
        <f>VLOOKUP(C3063,[1]master_data!$A$2:$E$495,5,FALSE)</f>
        <v>Ikan</v>
      </c>
      <c r="L3063" s="5" t="s">
        <v>471</v>
      </c>
    </row>
    <row r="3064" spans="1:12" ht="12" customHeight="1" x14ac:dyDescent="0.25">
      <c r="A3064" s="6">
        <v>44641</v>
      </c>
      <c r="B3064" s="1">
        <v>2201499</v>
      </c>
      <c r="C3064" s="5" t="s">
        <v>419</v>
      </c>
      <c r="D3064" s="5" t="str">
        <f>VLOOKUP(C3064,[1]master_data!$A$2:$E$495,2,FALSE)</f>
        <v>KURA - KURA</v>
      </c>
      <c r="E3064" s="5">
        <v>1</v>
      </c>
      <c r="F3064" s="5">
        <f>VLOOKUP(C3064,[1]master_data!$A$2:$E$495,3,FALSE)</f>
        <v>25000</v>
      </c>
      <c r="G3064" s="5">
        <f>VLOOKUP(C3064,[1]master_data!$A$2:$E$495,4,FALSE)</f>
        <v>35000</v>
      </c>
      <c r="H3064" s="5">
        <f t="shared" si="147"/>
        <v>25000</v>
      </c>
      <c r="I3064" s="5">
        <f t="shared" si="148"/>
        <v>35000</v>
      </c>
      <c r="J3064" s="5">
        <f t="shared" si="149"/>
        <v>10000</v>
      </c>
      <c r="K3064" s="5" t="str">
        <f>VLOOKUP(C3064,[1]master_data!$A$2:$E$495,5,FALSE)</f>
        <v>Ikan</v>
      </c>
      <c r="L3064" s="5" t="s">
        <v>471</v>
      </c>
    </row>
    <row r="3065" spans="1:12" ht="12" customHeight="1" x14ac:dyDescent="0.25">
      <c r="A3065" s="6">
        <v>44641</v>
      </c>
      <c r="B3065" s="1">
        <v>2201498</v>
      </c>
      <c r="C3065" s="5" t="s">
        <v>36</v>
      </c>
      <c r="D3065" s="5" t="str">
        <f>VLOOKUP(C3065,[1]master_data!$A$2:$E$495,2,FALSE)</f>
        <v>MESIN YAMANO ACT 3800</v>
      </c>
      <c r="E3065" s="5">
        <v>1</v>
      </c>
      <c r="F3065" s="5">
        <f>VLOOKUP(C3065,[1]master_data!$A$2:$E$495,3,FALSE)</f>
        <v>400000</v>
      </c>
      <c r="G3065" s="5">
        <f>VLOOKUP(C3065,[1]master_data!$A$2:$E$495,4,FALSE)</f>
        <v>475000</v>
      </c>
      <c r="H3065" s="5">
        <f t="shared" si="147"/>
        <v>400000</v>
      </c>
      <c r="I3065" s="5">
        <f t="shared" si="148"/>
        <v>475000</v>
      </c>
      <c r="J3065" s="5">
        <f t="shared" si="149"/>
        <v>75000</v>
      </c>
      <c r="K3065" s="5" t="str">
        <f>VLOOKUP(C3065,[1]master_data!$A$2:$E$495,5,FALSE)</f>
        <v>Aksesoris</v>
      </c>
      <c r="L3065" s="5" t="s">
        <v>471</v>
      </c>
    </row>
    <row r="3066" spans="1:12" ht="12" customHeight="1" x14ac:dyDescent="0.25">
      <c r="A3066" s="6">
        <v>44641</v>
      </c>
      <c r="B3066" s="1">
        <v>2201497</v>
      </c>
      <c r="C3066" s="5" t="s">
        <v>412</v>
      </c>
      <c r="D3066" s="5" t="str">
        <f>VLOOKUP(C3066,[1]master_data!$A$2:$E$495,2,FALSE)</f>
        <v>HIU TAWAR</v>
      </c>
      <c r="E3066" s="5">
        <v>3</v>
      </c>
      <c r="F3066" s="5">
        <f>VLOOKUP(C3066,[1]master_data!$A$2:$E$495,3,FALSE)</f>
        <v>600</v>
      </c>
      <c r="G3066" s="5">
        <f>VLOOKUP(C3066,[1]master_data!$A$2:$E$495,4,FALSE)</f>
        <v>2000</v>
      </c>
      <c r="H3066" s="5">
        <f t="shared" si="147"/>
        <v>1800</v>
      </c>
      <c r="I3066" s="5">
        <f t="shared" si="148"/>
        <v>6000</v>
      </c>
      <c r="J3066" s="5">
        <f t="shared" si="149"/>
        <v>4200</v>
      </c>
      <c r="K3066" s="5" t="str">
        <f>VLOOKUP(C3066,[1]master_data!$A$2:$E$495,5,FALSE)</f>
        <v>Ikan</v>
      </c>
      <c r="L3066" s="5" t="s">
        <v>471</v>
      </c>
    </row>
    <row r="3067" spans="1:12" ht="12" customHeight="1" x14ac:dyDescent="0.25">
      <c r="A3067" s="6">
        <v>44641</v>
      </c>
      <c r="B3067" s="1">
        <v>2201496</v>
      </c>
      <c r="C3067" s="5" t="s">
        <v>437</v>
      </c>
      <c r="D3067" s="5" t="str">
        <f>VLOOKUP(C3067,[1]master_data!$A$2:$E$495,2,FALSE)</f>
        <v>RED EYE TETRA</v>
      </c>
      <c r="E3067" s="5">
        <v>5</v>
      </c>
      <c r="F3067" s="5">
        <f>VLOOKUP(C3067,[1]master_data!$A$2:$E$495,3,FALSE)</f>
        <v>900</v>
      </c>
      <c r="G3067" s="5">
        <f>VLOOKUP(C3067,[1]master_data!$A$2:$E$495,4,FALSE)</f>
        <v>2000</v>
      </c>
      <c r="H3067" s="5">
        <f t="shared" si="147"/>
        <v>4500</v>
      </c>
      <c r="I3067" s="5">
        <f t="shared" si="148"/>
        <v>10000</v>
      </c>
      <c r="J3067" s="5">
        <f t="shared" si="149"/>
        <v>5500</v>
      </c>
      <c r="K3067" s="5" t="str">
        <f>VLOOKUP(C3067,[1]master_data!$A$2:$E$495,5,FALSE)</f>
        <v>Ikan</v>
      </c>
      <c r="L3067" s="5" t="s">
        <v>471</v>
      </c>
    </row>
    <row r="3068" spans="1:12" ht="12" customHeight="1" x14ac:dyDescent="0.25">
      <c r="A3068" s="6">
        <v>44641</v>
      </c>
      <c r="B3068" s="1">
        <v>2201495</v>
      </c>
      <c r="C3068" s="5" t="s">
        <v>424</v>
      </c>
      <c r="D3068" s="5" t="str">
        <f>VLOOKUP(C3068,[1]master_data!$A$2:$E$495,2,FALSE)</f>
        <v>KOI SLAYER B</v>
      </c>
      <c r="E3068" s="5">
        <v>2</v>
      </c>
      <c r="F3068" s="5">
        <f>VLOOKUP(C3068,[1]master_data!$A$2:$E$495,3,FALSE)</f>
        <v>8000</v>
      </c>
      <c r="G3068" s="5">
        <f>VLOOKUP(C3068,[1]master_data!$A$2:$E$495,4,FALSE)</f>
        <v>20000</v>
      </c>
      <c r="H3068" s="5">
        <f t="shared" si="147"/>
        <v>16000</v>
      </c>
      <c r="I3068" s="5">
        <f t="shared" si="148"/>
        <v>40000</v>
      </c>
      <c r="J3068" s="5">
        <f t="shared" si="149"/>
        <v>24000</v>
      </c>
      <c r="K3068" s="5" t="str">
        <f>VLOOKUP(C3068,[1]master_data!$A$2:$E$495,5,FALSE)</f>
        <v>Ikan</v>
      </c>
      <c r="L3068" s="5" t="s">
        <v>471</v>
      </c>
    </row>
    <row r="3069" spans="1:12" ht="12" customHeight="1" x14ac:dyDescent="0.25">
      <c r="A3069" s="6">
        <v>44641</v>
      </c>
      <c r="B3069" s="1">
        <v>2201494</v>
      </c>
      <c r="C3069" s="5" t="s">
        <v>451</v>
      </c>
      <c r="D3069" s="5" t="str">
        <f>VLOOKUP(C3069,[1]master_data!$A$2:$E$495,2,FALSE)</f>
        <v>SUMATRA GOLD FISH</v>
      </c>
      <c r="E3069" s="5">
        <v>5</v>
      </c>
      <c r="F3069" s="5">
        <f>VLOOKUP(C3069,[1]master_data!$A$2:$E$495,3,FALSE)</f>
        <v>2500</v>
      </c>
      <c r="G3069" s="5">
        <f>VLOOKUP(C3069,[1]master_data!$A$2:$E$495,4,FALSE)</f>
        <v>4000</v>
      </c>
      <c r="H3069" s="5">
        <f t="shared" si="147"/>
        <v>12500</v>
      </c>
      <c r="I3069" s="5">
        <f t="shared" si="148"/>
        <v>20000</v>
      </c>
      <c r="J3069" s="5">
        <f t="shared" si="149"/>
        <v>7500</v>
      </c>
      <c r="K3069" s="5" t="str">
        <f>VLOOKUP(C3069,[1]master_data!$A$2:$E$495,5,FALSE)</f>
        <v>Ikan</v>
      </c>
      <c r="L3069" s="5" t="s">
        <v>471</v>
      </c>
    </row>
    <row r="3070" spans="1:12" ht="12" customHeight="1" x14ac:dyDescent="0.25">
      <c r="A3070" s="6">
        <v>44641</v>
      </c>
      <c r="B3070" s="1">
        <v>2201493</v>
      </c>
      <c r="C3070" s="5" t="s">
        <v>263</v>
      </c>
      <c r="D3070" s="5" t="str">
        <f>VLOOKUP(C3070,[1]master_data!$A$2:$E$495,2,FALSE)</f>
        <v>COP SEKAT KACA</v>
      </c>
      <c r="E3070" s="5">
        <v>5</v>
      </c>
      <c r="F3070" s="5">
        <f>VLOOKUP(C3070,[1]master_data!$A$2:$E$495,3,FALSE)</f>
        <v>800</v>
      </c>
      <c r="G3070" s="5">
        <f>VLOOKUP(C3070,[1]master_data!$A$2:$E$495,4,FALSE)</f>
        <v>2000</v>
      </c>
      <c r="H3070" s="5">
        <f t="shared" si="147"/>
        <v>4000</v>
      </c>
      <c r="I3070" s="5">
        <f t="shared" si="148"/>
        <v>10000</v>
      </c>
      <c r="J3070" s="5">
        <f t="shared" si="149"/>
        <v>6000</v>
      </c>
      <c r="K3070" s="5" t="str">
        <f>VLOOKUP(C3070,[1]master_data!$A$2:$E$495,5,FALSE)</f>
        <v>Aksesoris</v>
      </c>
      <c r="L3070" s="5" t="s">
        <v>471</v>
      </c>
    </row>
    <row r="3071" spans="1:12" ht="12" customHeight="1" x14ac:dyDescent="0.25">
      <c r="A3071" s="6">
        <v>44641</v>
      </c>
      <c r="B3071" s="1">
        <v>2201492</v>
      </c>
      <c r="C3071" s="5" t="s">
        <v>263</v>
      </c>
      <c r="D3071" s="5" t="str">
        <f>VLOOKUP(C3071,[1]master_data!$A$2:$E$495,2,FALSE)</f>
        <v>COP SEKAT KACA</v>
      </c>
      <c r="E3071" s="5">
        <v>4</v>
      </c>
      <c r="F3071" s="5">
        <f>VLOOKUP(C3071,[1]master_data!$A$2:$E$495,3,FALSE)</f>
        <v>800</v>
      </c>
      <c r="G3071" s="5">
        <f>VLOOKUP(C3071,[1]master_data!$A$2:$E$495,4,FALSE)</f>
        <v>2000</v>
      </c>
      <c r="H3071" s="5">
        <f t="shared" si="147"/>
        <v>3200</v>
      </c>
      <c r="I3071" s="5">
        <f t="shared" si="148"/>
        <v>8000</v>
      </c>
      <c r="J3071" s="5">
        <f t="shared" si="149"/>
        <v>4800</v>
      </c>
      <c r="K3071" s="5" t="str">
        <f>VLOOKUP(C3071,[1]master_data!$A$2:$E$495,5,FALSE)</f>
        <v>Aksesoris</v>
      </c>
      <c r="L3071" s="5" t="s">
        <v>471</v>
      </c>
    </row>
    <row r="3072" spans="1:12" ht="12" customHeight="1" x14ac:dyDescent="0.25">
      <c r="A3072" s="6">
        <v>44641</v>
      </c>
      <c r="B3072" s="1">
        <v>2201491</v>
      </c>
      <c r="C3072" s="5" t="s">
        <v>407</v>
      </c>
      <c r="D3072" s="5" t="str">
        <f>VLOOKUP(C3072,[1]master_data!$A$2:$E$495,2,FALSE)</f>
        <v>CUPANG</v>
      </c>
      <c r="E3072" s="5">
        <v>2</v>
      </c>
      <c r="F3072" s="5">
        <f>VLOOKUP(C3072,[1]master_data!$A$2:$E$495,3,FALSE)</f>
        <v>2000</v>
      </c>
      <c r="G3072" s="5">
        <f>VLOOKUP(C3072,[1]master_data!$A$2:$E$495,4,FALSE)</f>
        <v>5000</v>
      </c>
      <c r="H3072" s="5">
        <f t="shared" si="147"/>
        <v>4000</v>
      </c>
      <c r="I3072" s="5">
        <f t="shared" si="148"/>
        <v>10000</v>
      </c>
      <c r="J3072" s="5">
        <f t="shared" si="149"/>
        <v>6000</v>
      </c>
      <c r="K3072" s="5" t="str">
        <f>VLOOKUP(C3072,[1]master_data!$A$2:$E$495,5,FALSE)</f>
        <v>Ikan</v>
      </c>
      <c r="L3072" s="5" t="s">
        <v>471</v>
      </c>
    </row>
    <row r="3073" spans="1:12" ht="12" customHeight="1" x14ac:dyDescent="0.25">
      <c r="A3073" s="6">
        <v>44641</v>
      </c>
      <c r="B3073" s="1">
        <v>2201490</v>
      </c>
      <c r="C3073" s="5" t="s">
        <v>329</v>
      </c>
      <c r="D3073" s="5" t="str">
        <f>VLOOKUP(C3073,[1]master_data!$A$2:$E$495,2,FALSE)</f>
        <v>AIRSTONE D2L5</v>
      </c>
      <c r="E3073" s="5">
        <v>1</v>
      </c>
      <c r="F3073" s="5">
        <f>VLOOKUP(C3073,[1]master_data!$A$2:$E$495,3,FALSE)</f>
        <v>1850</v>
      </c>
      <c r="G3073" s="5">
        <f>VLOOKUP(C3073,[1]master_data!$A$2:$E$495,4,FALSE)</f>
        <v>5000</v>
      </c>
      <c r="H3073" s="5">
        <f t="shared" si="147"/>
        <v>1850</v>
      </c>
      <c r="I3073" s="5">
        <f t="shared" si="148"/>
        <v>5000</v>
      </c>
      <c r="J3073" s="5">
        <f t="shared" si="149"/>
        <v>3150</v>
      </c>
      <c r="K3073" s="5" t="str">
        <f>VLOOKUP(C3073,[1]master_data!$A$2:$E$495,5,FALSE)</f>
        <v>Aksesoris</v>
      </c>
      <c r="L3073" s="5" t="s">
        <v>471</v>
      </c>
    </row>
    <row r="3074" spans="1:12" ht="12" customHeight="1" x14ac:dyDescent="0.25">
      <c r="A3074" s="6">
        <v>44641</v>
      </c>
      <c r="B3074" s="1">
        <v>2201489</v>
      </c>
      <c r="C3074" s="5" t="s">
        <v>454</v>
      </c>
      <c r="D3074" s="5" t="str">
        <f>VLOOKUP(C3074,[1]master_data!$A$2:$E$495,2,FALSE)</f>
        <v>SYNODONTI B</v>
      </c>
      <c r="E3074" s="5">
        <v>2</v>
      </c>
      <c r="F3074" s="5">
        <f>VLOOKUP(C3074,[1]master_data!$A$2:$E$495,3,FALSE)</f>
        <v>4000</v>
      </c>
      <c r="G3074" s="5">
        <f>VLOOKUP(C3074,[1]master_data!$A$2:$E$495,4,FALSE)</f>
        <v>10000</v>
      </c>
      <c r="H3074" s="5">
        <f t="shared" si="147"/>
        <v>8000</v>
      </c>
      <c r="I3074" s="5">
        <f t="shared" si="148"/>
        <v>20000</v>
      </c>
      <c r="J3074" s="5">
        <f t="shared" si="149"/>
        <v>12000</v>
      </c>
      <c r="K3074" s="5" t="str">
        <f>VLOOKUP(C3074,[1]master_data!$A$2:$E$495,5,FALSE)</f>
        <v>Ikan</v>
      </c>
      <c r="L3074" s="5" t="s">
        <v>471</v>
      </c>
    </row>
    <row r="3075" spans="1:12" ht="12" customHeight="1" x14ac:dyDescent="0.25">
      <c r="A3075" s="6">
        <v>44641</v>
      </c>
      <c r="B3075" s="1">
        <v>2201488</v>
      </c>
      <c r="C3075" s="5" t="s">
        <v>408</v>
      </c>
      <c r="D3075" s="5" t="str">
        <f>VLOOKUP(C3075,[1]master_data!$A$2:$E$495,2,FALSE)</f>
        <v>CATFISH</v>
      </c>
      <c r="E3075" s="5">
        <v>1</v>
      </c>
      <c r="F3075" s="5">
        <f>VLOOKUP(C3075,[1]master_data!$A$2:$E$495,3,FALSE)</f>
        <v>20000</v>
      </c>
      <c r="G3075" s="5">
        <f>VLOOKUP(C3075,[1]master_data!$A$2:$E$495,4,FALSE)</f>
        <v>50000</v>
      </c>
      <c r="H3075" s="5">
        <f t="shared" si="147"/>
        <v>20000</v>
      </c>
      <c r="I3075" s="5">
        <f t="shared" si="148"/>
        <v>50000</v>
      </c>
      <c r="J3075" s="5">
        <f t="shared" si="149"/>
        <v>30000</v>
      </c>
      <c r="K3075" s="5" t="str">
        <f>VLOOKUP(C3075,[1]master_data!$A$2:$E$495,5,FALSE)</f>
        <v>Ikan</v>
      </c>
      <c r="L3075" s="5" t="s">
        <v>471</v>
      </c>
    </row>
    <row r="3076" spans="1:12" ht="12" customHeight="1" x14ac:dyDescent="0.25">
      <c r="A3076" s="6">
        <v>44641</v>
      </c>
      <c r="B3076" s="1">
        <v>2201487</v>
      </c>
      <c r="C3076" s="5" t="s">
        <v>420</v>
      </c>
      <c r="D3076" s="5" t="str">
        <f>VLOOKUP(C3076,[1]master_data!$A$2:$E$495,2,FALSE)</f>
        <v>KAVIAT</v>
      </c>
      <c r="E3076" s="5">
        <v>2</v>
      </c>
      <c r="F3076" s="5">
        <f>VLOOKUP(C3076,[1]master_data!$A$2:$E$495,3,FALSE)</f>
        <v>3500</v>
      </c>
      <c r="G3076" s="5">
        <f>VLOOKUP(C3076,[1]master_data!$A$2:$E$495,4,FALSE)</f>
        <v>8000</v>
      </c>
      <c r="H3076" s="5">
        <f t="shared" si="147"/>
        <v>7000</v>
      </c>
      <c r="I3076" s="5">
        <f t="shared" si="148"/>
        <v>16000</v>
      </c>
      <c r="J3076" s="5">
        <f t="shared" si="149"/>
        <v>9000</v>
      </c>
      <c r="K3076" s="5" t="str">
        <f>VLOOKUP(C3076,[1]master_data!$A$2:$E$495,5,FALSE)</f>
        <v>Ikan</v>
      </c>
      <c r="L3076" s="5" t="s">
        <v>471</v>
      </c>
    </row>
    <row r="3077" spans="1:12" ht="12" customHeight="1" x14ac:dyDescent="0.25">
      <c r="A3077" s="6">
        <v>44641</v>
      </c>
      <c r="B3077" s="1">
        <v>2201486</v>
      </c>
      <c r="C3077" s="5" t="s">
        <v>310</v>
      </c>
      <c r="D3077" s="5" t="str">
        <f>VLOOKUP(C3077,[1]master_data!$A$2:$E$495,2,FALSE)</f>
        <v>SELANG FUSO</v>
      </c>
      <c r="E3077" s="5">
        <v>1</v>
      </c>
      <c r="F3077" s="5">
        <f>VLOOKUP(C3077,[1]master_data!$A$2:$E$495,3,FALSE)</f>
        <v>800</v>
      </c>
      <c r="G3077" s="5">
        <f>VLOOKUP(C3077,[1]master_data!$A$2:$E$495,4,FALSE)</f>
        <v>2000</v>
      </c>
      <c r="H3077" s="5">
        <f t="shared" ref="H3077:H3140" si="150">E3077*F3077</f>
        <v>800</v>
      </c>
      <c r="I3077" s="5">
        <f t="shared" ref="I3077:I3140" si="151">E3077*G3077</f>
        <v>2000</v>
      </c>
      <c r="J3077" s="5">
        <f t="shared" ref="J3077:J3140" si="152">I3077-H3077</f>
        <v>1200</v>
      </c>
      <c r="K3077" s="5" t="str">
        <f>VLOOKUP(C3077,[1]master_data!$A$2:$E$495,5,FALSE)</f>
        <v>Aksesoris</v>
      </c>
      <c r="L3077" s="5" t="s">
        <v>471</v>
      </c>
    </row>
    <row r="3078" spans="1:12" ht="12" customHeight="1" x14ac:dyDescent="0.25">
      <c r="A3078" s="6">
        <v>44641</v>
      </c>
      <c r="B3078" s="1">
        <v>2201485</v>
      </c>
      <c r="C3078" s="5" t="s">
        <v>442</v>
      </c>
      <c r="D3078" s="5" t="str">
        <f>VLOOKUP(C3078,[1]master_data!$A$2:$E$495,2,FALSE)</f>
        <v>PEMBERSIH KACA ALBINO</v>
      </c>
      <c r="E3078" s="5">
        <v>3</v>
      </c>
      <c r="F3078" s="5">
        <f>VLOOKUP(C3078,[1]master_data!$A$2:$E$495,3,FALSE)</f>
        <v>2500</v>
      </c>
      <c r="G3078" s="5">
        <f>VLOOKUP(C3078,[1]master_data!$A$2:$E$495,4,FALSE)</f>
        <v>5000</v>
      </c>
      <c r="H3078" s="5">
        <f t="shared" si="150"/>
        <v>7500</v>
      </c>
      <c r="I3078" s="5">
        <f t="shared" si="151"/>
        <v>15000</v>
      </c>
      <c r="J3078" s="5">
        <f t="shared" si="152"/>
        <v>7500</v>
      </c>
      <c r="K3078" s="5" t="str">
        <f>VLOOKUP(C3078,[1]master_data!$A$2:$E$495,5,FALSE)</f>
        <v>Ikan</v>
      </c>
      <c r="L3078" s="5" t="s">
        <v>471</v>
      </c>
    </row>
    <row r="3079" spans="1:12" ht="12" customHeight="1" x14ac:dyDescent="0.25">
      <c r="A3079" s="6">
        <v>44641</v>
      </c>
      <c r="B3079" s="1">
        <v>2201484</v>
      </c>
      <c r="C3079" s="5" t="s">
        <v>432</v>
      </c>
      <c r="D3079" s="5" t="str">
        <f>VLOOKUP(C3079,[1]master_data!$A$2:$E$495,2,FALSE)</f>
        <v>MARU K</v>
      </c>
      <c r="E3079" s="5">
        <v>2</v>
      </c>
      <c r="F3079" s="5">
        <f>VLOOKUP(C3079,[1]master_data!$A$2:$E$495,3,FALSE)</f>
        <v>23000</v>
      </c>
      <c r="G3079" s="5">
        <f>VLOOKUP(C3079,[1]master_data!$A$2:$E$495,4,FALSE)</f>
        <v>50000</v>
      </c>
      <c r="H3079" s="5">
        <f t="shared" si="150"/>
        <v>46000</v>
      </c>
      <c r="I3079" s="5">
        <f t="shared" si="151"/>
        <v>100000</v>
      </c>
      <c r="J3079" s="5">
        <f t="shared" si="152"/>
        <v>54000</v>
      </c>
      <c r="K3079" s="5" t="str">
        <f>VLOOKUP(C3079,[1]master_data!$A$2:$E$495,5,FALSE)</f>
        <v>Ikan</v>
      </c>
      <c r="L3079" s="5" t="s">
        <v>471</v>
      </c>
    </row>
    <row r="3080" spans="1:12" ht="12" customHeight="1" x14ac:dyDescent="0.25">
      <c r="A3080" s="6">
        <v>44641</v>
      </c>
      <c r="B3080" s="1">
        <v>2201483</v>
      </c>
      <c r="C3080" s="5" t="s">
        <v>314</v>
      </c>
      <c r="D3080" s="5" t="str">
        <f>VLOOKUP(C3080,[1]master_data!$A$2:$E$495,2,FALSE)</f>
        <v>L SELANG</v>
      </c>
      <c r="E3080" s="5">
        <v>5</v>
      </c>
      <c r="F3080" s="5">
        <f>VLOOKUP(C3080,[1]master_data!$A$2:$E$495,3,FALSE)</f>
        <v>750</v>
      </c>
      <c r="G3080" s="5">
        <f>VLOOKUP(C3080,[1]master_data!$A$2:$E$495,4,FALSE)</f>
        <v>1500</v>
      </c>
      <c r="H3080" s="5">
        <f t="shared" si="150"/>
        <v>3750</v>
      </c>
      <c r="I3080" s="5">
        <f t="shared" si="151"/>
        <v>7500</v>
      </c>
      <c r="J3080" s="5">
        <f t="shared" si="152"/>
        <v>3750</v>
      </c>
      <c r="K3080" s="5" t="str">
        <f>VLOOKUP(C3080,[1]master_data!$A$2:$E$495,5,FALSE)</f>
        <v>Aksesoris</v>
      </c>
      <c r="L3080" s="5" t="s">
        <v>471</v>
      </c>
    </row>
    <row r="3081" spans="1:12" ht="12" customHeight="1" x14ac:dyDescent="0.25">
      <c r="A3081" s="6">
        <v>44641</v>
      </c>
      <c r="B3081" s="1">
        <v>2201482</v>
      </c>
      <c r="C3081" s="5" t="s">
        <v>418</v>
      </c>
      <c r="D3081" s="5" t="str">
        <f>VLOOKUP(C3081,[1]master_data!$A$2:$E$495,2,FALSE)</f>
        <v>KOI B</v>
      </c>
      <c r="E3081" s="5">
        <v>2</v>
      </c>
      <c r="F3081" s="5">
        <f>VLOOKUP(C3081,[1]master_data!$A$2:$E$495,3,FALSE)</f>
        <v>9000</v>
      </c>
      <c r="G3081" s="5">
        <f>VLOOKUP(C3081,[1]master_data!$A$2:$E$495,4,FALSE)</f>
        <v>30000</v>
      </c>
      <c r="H3081" s="5">
        <f t="shared" si="150"/>
        <v>18000</v>
      </c>
      <c r="I3081" s="5">
        <f t="shared" si="151"/>
        <v>60000</v>
      </c>
      <c r="J3081" s="5">
        <f t="shared" si="152"/>
        <v>42000</v>
      </c>
      <c r="K3081" s="5" t="str">
        <f>VLOOKUP(C3081,[1]master_data!$A$2:$E$495,5,FALSE)</f>
        <v>Ikan</v>
      </c>
      <c r="L3081" s="5" t="s">
        <v>471</v>
      </c>
    </row>
    <row r="3082" spans="1:12" ht="12" customHeight="1" x14ac:dyDescent="0.25">
      <c r="A3082" s="6">
        <v>44640</v>
      </c>
      <c r="B3082" s="1">
        <v>2201481</v>
      </c>
      <c r="C3082" s="5" t="s">
        <v>413</v>
      </c>
      <c r="D3082" s="5" t="str">
        <f>VLOOKUP(C3082,[1]master_data!$A$2:$E$495,2,FALSE)</f>
        <v>KOKI K</v>
      </c>
      <c r="E3082" s="5">
        <v>5</v>
      </c>
      <c r="F3082" s="5">
        <f>VLOOKUP(C3082,[1]master_data!$A$2:$E$495,3,FALSE)</f>
        <v>3500</v>
      </c>
      <c r="G3082" s="5">
        <f>VLOOKUP(C3082,[1]master_data!$A$2:$E$495,4,FALSE)</f>
        <v>10000</v>
      </c>
      <c r="H3082" s="5">
        <f t="shared" si="150"/>
        <v>17500</v>
      </c>
      <c r="I3082" s="5">
        <f t="shared" si="151"/>
        <v>50000</v>
      </c>
      <c r="J3082" s="5">
        <f t="shared" si="152"/>
        <v>32500</v>
      </c>
      <c r="K3082" s="5" t="str">
        <f>VLOOKUP(C3082,[1]master_data!$A$2:$E$495,5,FALSE)</f>
        <v>Ikan</v>
      </c>
      <c r="L3082" s="5" t="s">
        <v>471</v>
      </c>
    </row>
    <row r="3083" spans="1:12" ht="12" customHeight="1" x14ac:dyDescent="0.25">
      <c r="A3083" s="6">
        <v>44640</v>
      </c>
      <c r="B3083" s="1">
        <v>2201480</v>
      </c>
      <c r="C3083" s="5" t="s">
        <v>451</v>
      </c>
      <c r="D3083" s="5" t="str">
        <f>VLOOKUP(C3083,[1]master_data!$A$2:$E$495,2,FALSE)</f>
        <v>SUMATRA GOLD FISH</v>
      </c>
      <c r="E3083" s="5">
        <v>10</v>
      </c>
      <c r="F3083" s="5">
        <f>VLOOKUP(C3083,[1]master_data!$A$2:$E$495,3,FALSE)</f>
        <v>2500</v>
      </c>
      <c r="G3083" s="5">
        <f>VLOOKUP(C3083,[1]master_data!$A$2:$E$495,4,FALSE)</f>
        <v>4000</v>
      </c>
      <c r="H3083" s="5">
        <f t="shared" si="150"/>
        <v>25000</v>
      </c>
      <c r="I3083" s="5">
        <f t="shared" si="151"/>
        <v>40000</v>
      </c>
      <c r="J3083" s="5">
        <f t="shared" si="152"/>
        <v>15000</v>
      </c>
      <c r="K3083" s="5" t="str">
        <f>VLOOKUP(C3083,[1]master_data!$A$2:$E$495,5,FALSE)</f>
        <v>Ikan</v>
      </c>
      <c r="L3083" s="5" t="s">
        <v>471</v>
      </c>
    </row>
    <row r="3084" spans="1:12" ht="12" customHeight="1" x14ac:dyDescent="0.25">
      <c r="A3084" s="6">
        <v>44640</v>
      </c>
      <c r="B3084" s="1">
        <v>2201479</v>
      </c>
      <c r="C3084" s="5" t="s">
        <v>421</v>
      </c>
      <c r="D3084" s="5" t="str">
        <f>VLOOKUP(C3084,[1]master_data!$A$2:$E$495,2,FALSE)</f>
        <v>KOMET PAKAN</v>
      </c>
      <c r="E3084" s="5">
        <v>20</v>
      </c>
      <c r="F3084" s="5">
        <f>VLOOKUP(C3084,[1]master_data!$A$2:$E$495,3,FALSE)</f>
        <v>300</v>
      </c>
      <c r="G3084" s="5">
        <f>VLOOKUP(C3084,[1]master_data!$A$2:$E$495,4,FALSE)</f>
        <v>1000</v>
      </c>
      <c r="H3084" s="5">
        <f t="shared" si="150"/>
        <v>6000</v>
      </c>
      <c r="I3084" s="5">
        <f t="shared" si="151"/>
        <v>20000</v>
      </c>
      <c r="J3084" s="5">
        <f t="shared" si="152"/>
        <v>14000</v>
      </c>
      <c r="K3084" s="5" t="str">
        <f>VLOOKUP(C3084,[1]master_data!$A$2:$E$495,5,FALSE)</f>
        <v>Ikan</v>
      </c>
      <c r="L3084" s="5" t="s">
        <v>471</v>
      </c>
    </row>
    <row r="3085" spans="1:12" ht="12" customHeight="1" x14ac:dyDescent="0.25">
      <c r="A3085" s="6">
        <v>44640</v>
      </c>
      <c r="B3085" s="1">
        <v>2201478</v>
      </c>
      <c r="C3085" s="5" t="s">
        <v>333</v>
      </c>
      <c r="D3085" s="5" t="str">
        <f>VLOOKUP(C3085,[1]master_data!$A$2:$E$495,2,FALSE)</f>
        <v>KAPAS 2 LAPIS</v>
      </c>
      <c r="E3085" s="5">
        <v>1</v>
      </c>
      <c r="F3085" s="5">
        <f>VLOOKUP(C3085,[1]master_data!$A$2:$E$495,3,FALSE)</f>
        <v>2000</v>
      </c>
      <c r="G3085" s="5">
        <f>VLOOKUP(C3085,[1]master_data!$A$2:$E$495,4,FALSE)</f>
        <v>4000</v>
      </c>
      <c r="H3085" s="5">
        <f t="shared" si="150"/>
        <v>2000</v>
      </c>
      <c r="I3085" s="5">
        <f t="shared" si="151"/>
        <v>4000</v>
      </c>
      <c r="J3085" s="5">
        <f t="shared" si="152"/>
        <v>2000</v>
      </c>
      <c r="K3085" s="5" t="str">
        <f>VLOOKUP(C3085,[1]master_data!$A$2:$E$495,5,FALSE)</f>
        <v>Aksesoris</v>
      </c>
      <c r="L3085" s="5" t="s">
        <v>471</v>
      </c>
    </row>
    <row r="3086" spans="1:12" ht="12" customHeight="1" x14ac:dyDescent="0.25">
      <c r="A3086" s="6">
        <v>44640</v>
      </c>
      <c r="B3086" s="1">
        <v>2201477</v>
      </c>
      <c r="C3086" s="5" t="s">
        <v>463</v>
      </c>
      <c r="D3086" s="5" t="str">
        <f>VLOOKUP(C3086,[1]master_data!$A$2:$E$495,2,FALSE)</f>
        <v>CHANNA STEWARTI</v>
      </c>
      <c r="E3086" s="5">
        <v>1</v>
      </c>
      <c r="F3086" s="5">
        <f>VLOOKUP(C3086,[1]master_data!$A$2:$E$495,3,FALSE)</f>
        <v>15000</v>
      </c>
      <c r="G3086" s="5">
        <f>VLOOKUP(C3086,[1]master_data!$A$2:$E$495,4,FALSE)</f>
        <v>40000</v>
      </c>
      <c r="H3086" s="5">
        <f t="shared" si="150"/>
        <v>15000</v>
      </c>
      <c r="I3086" s="5">
        <f t="shared" si="151"/>
        <v>40000</v>
      </c>
      <c r="J3086" s="5">
        <f t="shared" si="152"/>
        <v>25000</v>
      </c>
      <c r="K3086" s="5" t="str">
        <f>VLOOKUP(C3086,[1]master_data!$A$2:$E$495,5,FALSE)</f>
        <v>Ikan</v>
      </c>
      <c r="L3086" s="5" t="s">
        <v>471</v>
      </c>
    </row>
    <row r="3087" spans="1:12" ht="12" customHeight="1" x14ac:dyDescent="0.25">
      <c r="A3087" s="6">
        <v>44640</v>
      </c>
      <c r="B3087" s="1">
        <v>2201476</v>
      </c>
      <c r="C3087" s="5" t="s">
        <v>419</v>
      </c>
      <c r="D3087" s="5" t="str">
        <f>VLOOKUP(C3087,[1]master_data!$A$2:$E$495,2,FALSE)</f>
        <v>KURA - KURA</v>
      </c>
      <c r="E3087" s="5">
        <v>3</v>
      </c>
      <c r="F3087" s="5">
        <f>VLOOKUP(C3087,[1]master_data!$A$2:$E$495,3,FALSE)</f>
        <v>25000</v>
      </c>
      <c r="G3087" s="5">
        <f>VLOOKUP(C3087,[1]master_data!$A$2:$E$495,4,FALSE)</f>
        <v>35000</v>
      </c>
      <c r="H3087" s="5">
        <f t="shared" si="150"/>
        <v>75000</v>
      </c>
      <c r="I3087" s="5">
        <f t="shared" si="151"/>
        <v>105000</v>
      </c>
      <c r="J3087" s="5">
        <f t="shared" si="152"/>
        <v>30000</v>
      </c>
      <c r="K3087" s="5" t="str">
        <f>VLOOKUP(C3087,[1]master_data!$A$2:$E$495,5,FALSE)</f>
        <v>Ikan</v>
      </c>
      <c r="L3087" s="5" t="s">
        <v>471</v>
      </c>
    </row>
    <row r="3088" spans="1:12" ht="12" customHeight="1" x14ac:dyDescent="0.25">
      <c r="A3088" s="6">
        <v>44640</v>
      </c>
      <c r="B3088" s="1">
        <v>2201475</v>
      </c>
      <c r="C3088" s="5" t="s">
        <v>434</v>
      </c>
      <c r="D3088" s="5" t="str">
        <f>VLOOKUP(C3088,[1]master_data!$A$2:$E$495,2,FALSE)</f>
        <v>MOLI PAKAN</v>
      </c>
      <c r="E3088" s="5">
        <v>25</v>
      </c>
      <c r="F3088" s="5">
        <f>VLOOKUP(C3088,[1]master_data!$A$2:$E$495,3,FALSE)</f>
        <v>100</v>
      </c>
      <c r="G3088" s="5">
        <f>VLOOKUP(C3088,[1]master_data!$A$2:$E$495,4,FALSE)</f>
        <v>200</v>
      </c>
      <c r="H3088" s="5">
        <f t="shared" si="150"/>
        <v>2500</v>
      </c>
      <c r="I3088" s="5">
        <f t="shared" si="151"/>
        <v>5000</v>
      </c>
      <c r="J3088" s="5">
        <f t="shared" si="152"/>
        <v>2500</v>
      </c>
      <c r="K3088" s="5" t="str">
        <f>VLOOKUP(C3088,[1]master_data!$A$2:$E$495,5,FALSE)</f>
        <v>Ikan</v>
      </c>
      <c r="L3088" s="5" t="s">
        <v>471</v>
      </c>
    </row>
    <row r="3089" spans="1:12" ht="12" customHeight="1" x14ac:dyDescent="0.25">
      <c r="A3089" s="6">
        <v>44640</v>
      </c>
      <c r="B3089" s="1">
        <v>2201474</v>
      </c>
      <c r="C3089" s="5" t="s">
        <v>451</v>
      </c>
      <c r="D3089" s="5" t="str">
        <f>VLOOKUP(C3089,[1]master_data!$A$2:$E$495,2,FALSE)</f>
        <v>SUMATRA GOLD FISH</v>
      </c>
      <c r="E3089" s="5">
        <v>10</v>
      </c>
      <c r="F3089" s="5">
        <f>VLOOKUP(C3089,[1]master_data!$A$2:$E$495,3,FALSE)</f>
        <v>2500</v>
      </c>
      <c r="G3089" s="5">
        <f>VLOOKUP(C3089,[1]master_data!$A$2:$E$495,4,FALSE)</f>
        <v>4000</v>
      </c>
      <c r="H3089" s="5">
        <f t="shared" si="150"/>
        <v>25000</v>
      </c>
      <c r="I3089" s="5">
        <f t="shared" si="151"/>
        <v>40000</v>
      </c>
      <c r="J3089" s="5">
        <f t="shared" si="152"/>
        <v>15000</v>
      </c>
      <c r="K3089" s="5" t="str">
        <f>VLOOKUP(C3089,[1]master_data!$A$2:$E$495,5,FALSE)</f>
        <v>Ikan</v>
      </c>
      <c r="L3089" s="5" t="s">
        <v>471</v>
      </c>
    </row>
    <row r="3090" spans="1:12" ht="12" customHeight="1" x14ac:dyDescent="0.25">
      <c r="A3090" s="6">
        <v>44640</v>
      </c>
      <c r="B3090" s="1">
        <v>2201473</v>
      </c>
      <c r="C3090" s="5" t="s">
        <v>435</v>
      </c>
      <c r="D3090" s="5" t="str">
        <f>VLOOKUP(C3090,[1]master_data!$A$2:$E$495,2,FALSE)</f>
        <v>MOLI BALON</v>
      </c>
      <c r="E3090" s="5">
        <v>5</v>
      </c>
      <c r="F3090" s="5">
        <f>VLOOKUP(C3090,[1]master_data!$A$2:$E$495,3,FALSE)</f>
        <v>800</v>
      </c>
      <c r="G3090" s="5">
        <f>VLOOKUP(C3090,[1]master_data!$A$2:$E$495,4,FALSE)</f>
        <v>2000</v>
      </c>
      <c r="H3090" s="5">
        <f t="shared" si="150"/>
        <v>4000</v>
      </c>
      <c r="I3090" s="5">
        <f t="shared" si="151"/>
        <v>10000</v>
      </c>
      <c r="J3090" s="5">
        <f t="shared" si="152"/>
        <v>6000</v>
      </c>
      <c r="K3090" s="5" t="str">
        <f>VLOOKUP(C3090,[1]master_data!$A$2:$E$495,5,FALSE)</f>
        <v>Ikan</v>
      </c>
      <c r="L3090" s="5" t="s">
        <v>471</v>
      </c>
    </row>
    <row r="3091" spans="1:12" ht="12" customHeight="1" x14ac:dyDescent="0.25">
      <c r="A3091" s="6">
        <v>44640</v>
      </c>
      <c r="B3091" s="1">
        <v>2201472</v>
      </c>
      <c r="C3091" s="5" t="s">
        <v>438</v>
      </c>
      <c r="D3091" s="5" t="str">
        <f>VLOOKUP(C3091,[1]master_data!$A$2:$E$495,2,FALSE)</f>
        <v>NENTINEN</v>
      </c>
      <c r="E3091" s="5">
        <v>5</v>
      </c>
      <c r="F3091" s="5">
        <f>VLOOKUP(C3091,[1]master_data!$A$2:$E$495,3,FALSE)</f>
        <v>1000</v>
      </c>
      <c r="G3091" s="5">
        <f>VLOOKUP(C3091,[1]master_data!$A$2:$E$495,4,FALSE)</f>
        <v>2500</v>
      </c>
      <c r="H3091" s="5">
        <f t="shared" si="150"/>
        <v>5000</v>
      </c>
      <c r="I3091" s="5">
        <f t="shared" si="151"/>
        <v>12500</v>
      </c>
      <c r="J3091" s="5">
        <f t="shared" si="152"/>
        <v>7500</v>
      </c>
      <c r="K3091" s="5" t="str">
        <f>VLOOKUP(C3091,[1]master_data!$A$2:$E$495,5,FALSE)</f>
        <v>Ikan</v>
      </c>
      <c r="L3091" s="5" t="s">
        <v>471</v>
      </c>
    </row>
    <row r="3092" spans="1:12" ht="12" customHeight="1" x14ac:dyDescent="0.25">
      <c r="A3092" s="6">
        <v>44640</v>
      </c>
      <c r="B3092" s="1">
        <v>2201471</v>
      </c>
      <c r="C3092" s="5" t="s">
        <v>329</v>
      </c>
      <c r="D3092" s="5" t="str">
        <f>VLOOKUP(C3092,[1]master_data!$A$2:$E$495,2,FALSE)</f>
        <v>AIRSTONE D2L5</v>
      </c>
      <c r="E3092" s="5">
        <v>2</v>
      </c>
      <c r="F3092" s="5">
        <f>VLOOKUP(C3092,[1]master_data!$A$2:$E$495,3,FALSE)</f>
        <v>1850</v>
      </c>
      <c r="G3092" s="5">
        <f>VLOOKUP(C3092,[1]master_data!$A$2:$E$495,4,FALSE)</f>
        <v>5000</v>
      </c>
      <c r="H3092" s="5">
        <f t="shared" si="150"/>
        <v>3700</v>
      </c>
      <c r="I3092" s="5">
        <f t="shared" si="151"/>
        <v>10000</v>
      </c>
      <c r="J3092" s="5">
        <f t="shared" si="152"/>
        <v>6300</v>
      </c>
      <c r="K3092" s="5" t="str">
        <f>VLOOKUP(C3092,[1]master_data!$A$2:$E$495,5,FALSE)</f>
        <v>Aksesoris</v>
      </c>
      <c r="L3092" s="5" t="s">
        <v>471</v>
      </c>
    </row>
    <row r="3093" spans="1:12" ht="12" customHeight="1" x14ac:dyDescent="0.25">
      <c r="A3093" s="6">
        <v>44640</v>
      </c>
      <c r="B3093" s="1">
        <v>2201470</v>
      </c>
      <c r="C3093" s="5" t="s">
        <v>208</v>
      </c>
      <c r="D3093" s="5" t="str">
        <f>VLOOKUP(C3093,[1]master_data!$A$2:$E$495,2,FALSE)</f>
        <v>TOP VIT</v>
      </c>
      <c r="E3093" s="5">
        <v>1</v>
      </c>
      <c r="F3093" s="5">
        <f>VLOOKUP(C3093,[1]master_data!$A$2:$E$495,3,FALSE)</f>
        <v>4000</v>
      </c>
      <c r="G3093" s="5">
        <f>VLOOKUP(C3093,[1]master_data!$A$2:$E$495,4,FALSE)</f>
        <v>7000</v>
      </c>
      <c r="H3093" s="5">
        <f t="shared" si="150"/>
        <v>4000</v>
      </c>
      <c r="I3093" s="5">
        <f t="shared" si="151"/>
        <v>7000</v>
      </c>
      <c r="J3093" s="5">
        <f t="shared" si="152"/>
        <v>3000</v>
      </c>
      <c r="K3093" s="5" t="str">
        <f>VLOOKUP(C3093,[1]master_data!$A$2:$E$495,5,FALSE)</f>
        <v>Aksesoris</v>
      </c>
      <c r="L3093" s="5" t="s">
        <v>471</v>
      </c>
    </row>
    <row r="3094" spans="1:12" ht="12" customHeight="1" x14ac:dyDescent="0.25">
      <c r="A3094" s="6">
        <v>44640</v>
      </c>
      <c r="B3094" s="1">
        <v>2201469</v>
      </c>
      <c r="C3094" s="5" t="s">
        <v>310</v>
      </c>
      <c r="D3094" s="5" t="str">
        <f>VLOOKUP(C3094,[1]master_data!$A$2:$E$495,2,FALSE)</f>
        <v>SELANG FUSO</v>
      </c>
      <c r="E3094" s="5">
        <v>1</v>
      </c>
      <c r="F3094" s="5">
        <f>VLOOKUP(C3094,[1]master_data!$A$2:$E$495,3,FALSE)</f>
        <v>800</v>
      </c>
      <c r="G3094" s="5">
        <f>VLOOKUP(C3094,[1]master_data!$A$2:$E$495,4,FALSE)</f>
        <v>2000</v>
      </c>
      <c r="H3094" s="5">
        <f t="shared" si="150"/>
        <v>800</v>
      </c>
      <c r="I3094" s="5">
        <f t="shared" si="151"/>
        <v>2000</v>
      </c>
      <c r="J3094" s="5">
        <f t="shared" si="152"/>
        <v>1200</v>
      </c>
      <c r="K3094" s="5" t="str">
        <f>VLOOKUP(C3094,[1]master_data!$A$2:$E$495,5,FALSE)</f>
        <v>Aksesoris</v>
      </c>
      <c r="L3094" s="5" t="s">
        <v>471</v>
      </c>
    </row>
    <row r="3095" spans="1:12" ht="12" customHeight="1" x14ac:dyDescent="0.25">
      <c r="A3095" s="6">
        <v>44640</v>
      </c>
      <c r="B3095" s="1">
        <v>2201468</v>
      </c>
      <c r="C3095" s="5" t="s">
        <v>310</v>
      </c>
      <c r="D3095" s="5" t="str">
        <f>VLOOKUP(C3095,[1]master_data!$A$2:$E$495,2,FALSE)</f>
        <v>SELANG FUSO</v>
      </c>
      <c r="E3095" s="5">
        <v>30</v>
      </c>
      <c r="F3095" s="5">
        <f>VLOOKUP(C3095,[1]master_data!$A$2:$E$495,3,FALSE)</f>
        <v>800</v>
      </c>
      <c r="G3095" s="5">
        <f>VLOOKUP(C3095,[1]master_data!$A$2:$E$495,4,FALSE)</f>
        <v>2000</v>
      </c>
      <c r="H3095" s="5">
        <f t="shared" si="150"/>
        <v>24000</v>
      </c>
      <c r="I3095" s="5">
        <f t="shared" si="151"/>
        <v>60000</v>
      </c>
      <c r="J3095" s="5">
        <f t="shared" si="152"/>
        <v>36000</v>
      </c>
      <c r="K3095" s="5" t="str">
        <f>VLOOKUP(C3095,[1]master_data!$A$2:$E$495,5,FALSE)</f>
        <v>Aksesoris</v>
      </c>
      <c r="L3095" s="5" t="s">
        <v>471</v>
      </c>
    </row>
    <row r="3096" spans="1:12" ht="12" customHeight="1" x14ac:dyDescent="0.25">
      <c r="A3096" s="6">
        <v>44640</v>
      </c>
      <c r="B3096" s="1">
        <v>2201467</v>
      </c>
      <c r="C3096" s="5" t="s">
        <v>11</v>
      </c>
      <c r="D3096" s="5" t="str">
        <f>VLOOKUP(C3096,[1]master_data!$A$2:$E$495,2,FALSE)</f>
        <v>MESIN YANG 103</v>
      </c>
      <c r="E3096" s="5">
        <v>1</v>
      </c>
      <c r="F3096" s="5">
        <f>VLOOKUP(C3096,[1]master_data!$A$2:$E$495,3,FALSE)</f>
        <v>66000</v>
      </c>
      <c r="G3096" s="5">
        <f>VLOOKUP(C3096,[1]master_data!$A$2:$E$495,4,FALSE)</f>
        <v>95000</v>
      </c>
      <c r="H3096" s="5">
        <f t="shared" si="150"/>
        <v>66000</v>
      </c>
      <c r="I3096" s="5">
        <f t="shared" si="151"/>
        <v>95000</v>
      </c>
      <c r="J3096" s="5">
        <f t="shared" si="152"/>
        <v>29000</v>
      </c>
      <c r="K3096" s="5" t="str">
        <f>VLOOKUP(C3096,[1]master_data!$A$2:$E$495,5,FALSE)</f>
        <v>Aksesoris</v>
      </c>
      <c r="L3096" s="5" t="s">
        <v>471</v>
      </c>
    </row>
    <row r="3097" spans="1:12" ht="12" customHeight="1" x14ac:dyDescent="0.25">
      <c r="A3097" s="6">
        <v>44640</v>
      </c>
      <c r="B3097" s="1">
        <v>2201466</v>
      </c>
      <c r="C3097" s="5" t="s">
        <v>407</v>
      </c>
      <c r="D3097" s="5" t="str">
        <f>VLOOKUP(C3097,[1]master_data!$A$2:$E$495,2,FALSE)</f>
        <v>CUPANG</v>
      </c>
      <c r="E3097" s="5">
        <v>1</v>
      </c>
      <c r="F3097" s="5">
        <f>VLOOKUP(C3097,[1]master_data!$A$2:$E$495,3,FALSE)</f>
        <v>2000</v>
      </c>
      <c r="G3097" s="5">
        <f>VLOOKUP(C3097,[1]master_data!$A$2:$E$495,4,FALSE)</f>
        <v>5000</v>
      </c>
      <c r="H3097" s="5">
        <f t="shared" si="150"/>
        <v>2000</v>
      </c>
      <c r="I3097" s="5">
        <f t="shared" si="151"/>
        <v>5000</v>
      </c>
      <c r="J3097" s="5">
        <f t="shared" si="152"/>
        <v>3000</v>
      </c>
      <c r="K3097" s="5" t="str">
        <f>VLOOKUP(C3097,[1]master_data!$A$2:$E$495,5,FALSE)</f>
        <v>Ikan</v>
      </c>
      <c r="L3097" s="5" t="s">
        <v>471</v>
      </c>
    </row>
    <row r="3098" spans="1:12" ht="12" customHeight="1" x14ac:dyDescent="0.25">
      <c r="A3098" s="6">
        <v>44640</v>
      </c>
      <c r="B3098" s="1">
        <v>2201465</v>
      </c>
      <c r="C3098" s="5" t="s">
        <v>463</v>
      </c>
      <c r="D3098" s="5" t="str">
        <f>VLOOKUP(C3098,[1]master_data!$A$2:$E$495,2,FALSE)</f>
        <v>CHANNA STEWARTI</v>
      </c>
      <c r="E3098" s="5">
        <v>1</v>
      </c>
      <c r="F3098" s="5">
        <f>VLOOKUP(C3098,[1]master_data!$A$2:$E$495,3,FALSE)</f>
        <v>15000</v>
      </c>
      <c r="G3098" s="5">
        <f>VLOOKUP(C3098,[1]master_data!$A$2:$E$495,4,FALSE)</f>
        <v>40000</v>
      </c>
      <c r="H3098" s="5">
        <f t="shared" si="150"/>
        <v>15000</v>
      </c>
      <c r="I3098" s="5">
        <f t="shared" si="151"/>
        <v>40000</v>
      </c>
      <c r="J3098" s="5">
        <f t="shared" si="152"/>
        <v>25000</v>
      </c>
      <c r="K3098" s="5" t="str">
        <f>VLOOKUP(C3098,[1]master_data!$A$2:$E$495,5,FALSE)</f>
        <v>Ikan</v>
      </c>
      <c r="L3098" s="5" t="s">
        <v>471</v>
      </c>
    </row>
    <row r="3099" spans="1:12" ht="12" customHeight="1" x14ac:dyDescent="0.25">
      <c r="A3099" s="6">
        <v>44640</v>
      </c>
      <c r="B3099" s="1">
        <v>2201464</v>
      </c>
      <c r="C3099" s="5" t="s">
        <v>258</v>
      </c>
      <c r="D3099" s="5" t="str">
        <f>VLOOKUP(C3099,[1]master_data!$A$2:$E$495,2,FALSE)</f>
        <v>BIOBOL</v>
      </c>
      <c r="E3099" s="5">
        <v>40</v>
      </c>
      <c r="F3099" s="5">
        <f>VLOOKUP(C3099,[1]master_data!$A$2:$E$495,3,FALSE)</f>
        <v>4000</v>
      </c>
      <c r="G3099" s="5">
        <f>VLOOKUP(C3099,[1]master_data!$A$2:$E$495,4,FALSE)</f>
        <v>7500</v>
      </c>
      <c r="H3099" s="5">
        <f t="shared" si="150"/>
        <v>160000</v>
      </c>
      <c r="I3099" s="5">
        <f t="shared" si="151"/>
        <v>300000</v>
      </c>
      <c r="J3099" s="5">
        <f t="shared" si="152"/>
        <v>140000</v>
      </c>
      <c r="K3099" s="5" t="str">
        <f>VLOOKUP(C3099,[1]master_data!$A$2:$E$495,5,FALSE)</f>
        <v>Aksesoris</v>
      </c>
      <c r="L3099" s="5" t="s">
        <v>471</v>
      </c>
    </row>
    <row r="3100" spans="1:12" ht="12" customHeight="1" x14ac:dyDescent="0.25">
      <c r="A3100" s="6">
        <v>44639</v>
      </c>
      <c r="B3100" s="1">
        <v>2201463</v>
      </c>
      <c r="C3100" s="5" t="s">
        <v>411</v>
      </c>
      <c r="D3100" s="5" t="str">
        <f>VLOOKUP(C3100,[1]master_data!$A$2:$E$495,2,FALSE)</f>
        <v>GOLDEN BLACK</v>
      </c>
      <c r="E3100" s="5">
        <v>10</v>
      </c>
      <c r="F3100" s="5">
        <f>VLOOKUP(C3100,[1]master_data!$A$2:$E$495,3,FALSE)</f>
        <v>800</v>
      </c>
      <c r="G3100" s="5">
        <f>VLOOKUP(C3100,[1]master_data!$A$2:$E$495,4,FALSE)</f>
        <v>2000</v>
      </c>
      <c r="H3100" s="5">
        <f t="shared" si="150"/>
        <v>8000</v>
      </c>
      <c r="I3100" s="5">
        <f t="shared" si="151"/>
        <v>20000</v>
      </c>
      <c r="J3100" s="5">
        <f t="shared" si="152"/>
        <v>12000</v>
      </c>
      <c r="K3100" s="5" t="str">
        <f>VLOOKUP(C3100,[1]master_data!$A$2:$E$495,5,FALSE)</f>
        <v>Ikan</v>
      </c>
      <c r="L3100" s="5" t="s">
        <v>471</v>
      </c>
    </row>
    <row r="3101" spans="1:12" ht="12" customHeight="1" x14ac:dyDescent="0.25">
      <c r="A3101" s="6">
        <v>44639</v>
      </c>
      <c r="B3101" s="1">
        <v>2201462</v>
      </c>
      <c r="C3101" s="5" t="s">
        <v>447</v>
      </c>
      <c r="D3101" s="5" t="str">
        <f>VLOOKUP(C3101,[1]master_data!$A$2:$E$495,2,FALSE)</f>
        <v>REDFIN ALBINO</v>
      </c>
      <c r="E3101" s="5">
        <v>5</v>
      </c>
      <c r="F3101" s="5">
        <f>VLOOKUP(C3101,[1]master_data!$A$2:$E$495,3,FALSE)</f>
        <v>1500</v>
      </c>
      <c r="G3101" s="5">
        <f>VLOOKUP(C3101,[1]master_data!$A$2:$E$495,4,FALSE)</f>
        <v>4000</v>
      </c>
      <c r="H3101" s="5">
        <f t="shared" si="150"/>
        <v>7500</v>
      </c>
      <c r="I3101" s="5">
        <f t="shared" si="151"/>
        <v>20000</v>
      </c>
      <c r="J3101" s="5">
        <f t="shared" si="152"/>
        <v>12500</v>
      </c>
      <c r="K3101" s="5" t="str">
        <f>VLOOKUP(C3101,[1]master_data!$A$2:$E$495,5,FALSE)</f>
        <v>Ikan</v>
      </c>
      <c r="L3101" s="5" t="s">
        <v>471</v>
      </c>
    </row>
    <row r="3102" spans="1:12" ht="12" customHeight="1" x14ac:dyDescent="0.25">
      <c r="A3102" s="6">
        <v>44639</v>
      </c>
      <c r="B3102" s="1">
        <v>2201461</v>
      </c>
      <c r="C3102" s="5" t="s">
        <v>136</v>
      </c>
      <c r="D3102" s="5" t="str">
        <f>VLOOKUP(C3102,[1]master_data!$A$2:$E$495,2,FALSE)</f>
        <v>LED NIKITA NS 600</v>
      </c>
      <c r="E3102" s="5">
        <v>1</v>
      </c>
      <c r="F3102" s="5">
        <f>VLOOKUP(C3102,[1]master_data!$A$2:$E$495,3,FALSE)</f>
        <v>50000</v>
      </c>
      <c r="G3102" s="5">
        <f>VLOOKUP(C3102,[1]master_data!$A$2:$E$495,4,FALSE)</f>
        <v>75000</v>
      </c>
      <c r="H3102" s="5">
        <f t="shared" si="150"/>
        <v>50000</v>
      </c>
      <c r="I3102" s="5">
        <f t="shared" si="151"/>
        <v>75000</v>
      </c>
      <c r="J3102" s="5">
        <f t="shared" si="152"/>
        <v>25000</v>
      </c>
      <c r="K3102" s="5" t="str">
        <f>VLOOKUP(C3102,[1]master_data!$A$2:$E$495,5,FALSE)</f>
        <v>Aksesoris</v>
      </c>
      <c r="L3102" s="5" t="s">
        <v>471</v>
      </c>
    </row>
    <row r="3103" spans="1:12" ht="12" customHeight="1" x14ac:dyDescent="0.25">
      <c r="A3103" s="6">
        <v>44639</v>
      </c>
      <c r="B3103" s="1">
        <v>2201460</v>
      </c>
      <c r="C3103" s="5" t="s">
        <v>263</v>
      </c>
      <c r="D3103" s="5" t="str">
        <f>VLOOKUP(C3103,[1]master_data!$A$2:$E$495,2,FALSE)</f>
        <v>COP SEKAT KACA</v>
      </c>
      <c r="E3103" s="5">
        <v>4</v>
      </c>
      <c r="F3103" s="5">
        <f>VLOOKUP(C3103,[1]master_data!$A$2:$E$495,3,FALSE)</f>
        <v>800</v>
      </c>
      <c r="G3103" s="5">
        <f>VLOOKUP(C3103,[1]master_data!$A$2:$E$495,4,FALSE)</f>
        <v>2000</v>
      </c>
      <c r="H3103" s="5">
        <f t="shared" si="150"/>
        <v>3200</v>
      </c>
      <c r="I3103" s="5">
        <f t="shared" si="151"/>
        <v>8000</v>
      </c>
      <c r="J3103" s="5">
        <f t="shared" si="152"/>
        <v>4800</v>
      </c>
      <c r="K3103" s="5" t="str">
        <f>VLOOKUP(C3103,[1]master_data!$A$2:$E$495,5,FALSE)</f>
        <v>Aksesoris</v>
      </c>
      <c r="L3103" s="5" t="s">
        <v>471</v>
      </c>
    </row>
    <row r="3104" spans="1:12" ht="12" customHeight="1" x14ac:dyDescent="0.25">
      <c r="A3104" s="6">
        <v>44639</v>
      </c>
      <c r="B3104" s="1">
        <v>2201459</v>
      </c>
      <c r="C3104" s="5" t="s">
        <v>406</v>
      </c>
      <c r="D3104" s="5" t="str">
        <f>VLOOKUP(C3104,[1]master_data!$A$2:$E$495,2,FALSE)</f>
        <v>BARBIR</v>
      </c>
      <c r="E3104" s="5">
        <v>10</v>
      </c>
      <c r="F3104" s="5">
        <f>VLOOKUP(C3104,[1]master_data!$A$2:$E$495,3,FALSE)</f>
        <v>800</v>
      </c>
      <c r="G3104" s="5">
        <f>VLOOKUP(C3104,[1]master_data!$A$2:$E$495,4,FALSE)</f>
        <v>2000</v>
      </c>
      <c r="H3104" s="5">
        <f t="shared" si="150"/>
        <v>8000</v>
      </c>
      <c r="I3104" s="5">
        <f t="shared" si="151"/>
        <v>20000</v>
      </c>
      <c r="J3104" s="5">
        <f t="shared" si="152"/>
        <v>12000</v>
      </c>
      <c r="K3104" s="5" t="str">
        <f>VLOOKUP(C3104,[1]master_data!$A$2:$E$495,5,FALSE)</f>
        <v>Ikan</v>
      </c>
      <c r="L3104" s="5" t="s">
        <v>471</v>
      </c>
    </row>
    <row r="3105" spans="1:12" ht="12" customHeight="1" x14ac:dyDescent="0.25">
      <c r="A3105" s="6">
        <v>44639</v>
      </c>
      <c r="B3105" s="1">
        <v>2201458</v>
      </c>
      <c r="C3105" s="5" t="s">
        <v>409</v>
      </c>
      <c r="D3105" s="5" t="str">
        <f>VLOOKUP(C3105,[1]master_data!$A$2:$E$495,2,FALSE)</f>
        <v>GOLD FISH</v>
      </c>
      <c r="E3105" s="5">
        <v>20</v>
      </c>
      <c r="F3105" s="5">
        <f>VLOOKUP(C3105,[1]master_data!$A$2:$E$495,3,FALSE)</f>
        <v>800</v>
      </c>
      <c r="G3105" s="5">
        <f>VLOOKUP(C3105,[1]master_data!$A$2:$E$495,4,FALSE)</f>
        <v>2000</v>
      </c>
      <c r="H3105" s="5">
        <f t="shared" si="150"/>
        <v>16000</v>
      </c>
      <c r="I3105" s="5">
        <f t="shared" si="151"/>
        <v>40000</v>
      </c>
      <c r="J3105" s="5">
        <f t="shared" si="152"/>
        <v>24000</v>
      </c>
      <c r="K3105" s="5" t="str">
        <f>VLOOKUP(C3105,[1]master_data!$A$2:$E$495,5,FALSE)</f>
        <v>Ikan</v>
      </c>
      <c r="L3105" s="5" t="s">
        <v>471</v>
      </c>
    </row>
    <row r="3106" spans="1:12" ht="12" customHeight="1" x14ac:dyDescent="0.25">
      <c r="A3106" s="6">
        <v>44639</v>
      </c>
      <c r="B3106" s="1">
        <v>2201457</v>
      </c>
      <c r="C3106" s="5" t="s">
        <v>310</v>
      </c>
      <c r="D3106" s="5" t="str">
        <f>VLOOKUP(C3106,[1]master_data!$A$2:$E$495,2,FALSE)</f>
        <v>SELANG FUSO</v>
      </c>
      <c r="E3106" s="5">
        <v>2</v>
      </c>
      <c r="F3106" s="5">
        <f>VLOOKUP(C3106,[1]master_data!$A$2:$E$495,3,FALSE)</f>
        <v>800</v>
      </c>
      <c r="G3106" s="5">
        <f>VLOOKUP(C3106,[1]master_data!$A$2:$E$495,4,FALSE)</f>
        <v>2000</v>
      </c>
      <c r="H3106" s="5">
        <f t="shared" si="150"/>
        <v>1600</v>
      </c>
      <c r="I3106" s="5">
        <f t="shared" si="151"/>
        <v>4000</v>
      </c>
      <c r="J3106" s="5">
        <f t="shared" si="152"/>
        <v>2400</v>
      </c>
      <c r="K3106" s="5" t="str">
        <f>VLOOKUP(C3106,[1]master_data!$A$2:$E$495,5,FALSE)</f>
        <v>Aksesoris</v>
      </c>
      <c r="L3106" s="5" t="s">
        <v>471</v>
      </c>
    </row>
    <row r="3107" spans="1:12" ht="12" customHeight="1" x14ac:dyDescent="0.25">
      <c r="A3107" s="6">
        <v>44639</v>
      </c>
      <c r="B3107" s="1">
        <v>2201456</v>
      </c>
      <c r="C3107" s="5" t="s">
        <v>411</v>
      </c>
      <c r="D3107" s="5" t="str">
        <f>VLOOKUP(C3107,[1]master_data!$A$2:$E$495,2,FALSE)</f>
        <v>GOLDEN BLACK</v>
      </c>
      <c r="E3107" s="5">
        <v>10</v>
      </c>
      <c r="F3107" s="5">
        <f>VLOOKUP(C3107,[1]master_data!$A$2:$E$495,3,FALSE)</f>
        <v>800</v>
      </c>
      <c r="G3107" s="5">
        <f>VLOOKUP(C3107,[1]master_data!$A$2:$E$495,4,FALSE)</f>
        <v>2000</v>
      </c>
      <c r="H3107" s="5">
        <f t="shared" si="150"/>
        <v>8000</v>
      </c>
      <c r="I3107" s="5">
        <f t="shared" si="151"/>
        <v>20000</v>
      </c>
      <c r="J3107" s="5">
        <f t="shared" si="152"/>
        <v>12000</v>
      </c>
      <c r="K3107" s="5" t="str">
        <f>VLOOKUP(C3107,[1]master_data!$A$2:$E$495,5,FALSE)</f>
        <v>Ikan</v>
      </c>
      <c r="L3107" s="5" t="s">
        <v>471</v>
      </c>
    </row>
    <row r="3108" spans="1:12" ht="12" customHeight="1" x14ac:dyDescent="0.25">
      <c r="A3108" s="6">
        <v>44639</v>
      </c>
      <c r="B3108" s="1">
        <v>2201455</v>
      </c>
      <c r="C3108" s="5" t="s">
        <v>419</v>
      </c>
      <c r="D3108" s="5" t="str">
        <f>VLOOKUP(C3108,[1]master_data!$A$2:$E$495,2,FALSE)</f>
        <v>KURA - KURA</v>
      </c>
      <c r="E3108" s="5">
        <v>2</v>
      </c>
      <c r="F3108" s="5">
        <f>VLOOKUP(C3108,[1]master_data!$A$2:$E$495,3,FALSE)</f>
        <v>25000</v>
      </c>
      <c r="G3108" s="5">
        <f>VLOOKUP(C3108,[1]master_data!$A$2:$E$495,4,FALSE)</f>
        <v>35000</v>
      </c>
      <c r="H3108" s="5">
        <f t="shared" si="150"/>
        <v>50000</v>
      </c>
      <c r="I3108" s="5">
        <f t="shared" si="151"/>
        <v>70000</v>
      </c>
      <c r="J3108" s="5">
        <f t="shared" si="152"/>
        <v>20000</v>
      </c>
      <c r="K3108" s="5" t="str">
        <f>VLOOKUP(C3108,[1]master_data!$A$2:$E$495,5,FALSE)</f>
        <v>Ikan</v>
      </c>
      <c r="L3108" s="5" t="s">
        <v>471</v>
      </c>
    </row>
    <row r="3109" spans="1:12" ht="12" customHeight="1" x14ac:dyDescent="0.25">
      <c r="A3109" s="6">
        <v>44639</v>
      </c>
      <c r="B3109" s="1">
        <v>2201454</v>
      </c>
      <c r="C3109" s="5" t="s">
        <v>398</v>
      </c>
      <c r="D3109" s="5" t="str">
        <f>VLOOKUP(C3109,[1]master_data!$A$2:$E$495,2,FALSE)</f>
        <v>BIPOLAR</v>
      </c>
      <c r="E3109" s="5">
        <v>5</v>
      </c>
      <c r="F3109" s="5">
        <f>VLOOKUP(C3109,[1]master_data!$A$2:$E$495,3,FALSE)</f>
        <v>1000</v>
      </c>
      <c r="G3109" s="5">
        <f>VLOOKUP(C3109,[1]master_data!$A$2:$E$495,4,FALSE)</f>
        <v>2500</v>
      </c>
      <c r="H3109" s="5">
        <f t="shared" si="150"/>
        <v>5000</v>
      </c>
      <c r="I3109" s="5">
        <f t="shared" si="151"/>
        <v>12500</v>
      </c>
      <c r="J3109" s="5">
        <f t="shared" si="152"/>
        <v>7500</v>
      </c>
      <c r="K3109" s="5" t="str">
        <f>VLOOKUP(C3109,[1]master_data!$A$2:$E$495,5,FALSE)</f>
        <v>Ikan</v>
      </c>
      <c r="L3109" s="5" t="s">
        <v>471</v>
      </c>
    </row>
    <row r="3110" spans="1:12" ht="12" customHeight="1" x14ac:dyDescent="0.25">
      <c r="A3110" s="6">
        <v>44639</v>
      </c>
      <c r="B3110" s="1">
        <v>2201453</v>
      </c>
      <c r="C3110" s="5" t="s">
        <v>403</v>
      </c>
      <c r="D3110" s="5" t="str">
        <f>VLOOKUP(C3110,[1]master_data!$A$2:$E$495,2,FALSE)</f>
        <v>CHANNA BLUE PULCHRA K</v>
      </c>
      <c r="E3110" s="5">
        <v>2</v>
      </c>
      <c r="F3110" s="5">
        <f>VLOOKUP(C3110,[1]master_data!$A$2:$E$495,3,FALSE)</f>
        <v>25000</v>
      </c>
      <c r="G3110" s="5">
        <f>VLOOKUP(C3110,[1]master_data!$A$2:$E$495,4,FALSE)</f>
        <v>50000</v>
      </c>
      <c r="H3110" s="5">
        <f t="shared" si="150"/>
        <v>50000</v>
      </c>
      <c r="I3110" s="5">
        <f t="shared" si="151"/>
        <v>100000</v>
      </c>
      <c r="J3110" s="5">
        <f t="shared" si="152"/>
        <v>50000</v>
      </c>
      <c r="K3110" s="5" t="str">
        <f>VLOOKUP(C3110,[1]master_data!$A$2:$E$495,5,FALSE)</f>
        <v>Ikan</v>
      </c>
      <c r="L3110" s="5" t="s">
        <v>471</v>
      </c>
    </row>
    <row r="3111" spans="1:12" ht="12" customHeight="1" x14ac:dyDescent="0.25">
      <c r="A3111" s="6">
        <v>44639</v>
      </c>
      <c r="B3111" s="1">
        <v>2201452</v>
      </c>
      <c r="C3111" s="5" t="s">
        <v>327</v>
      </c>
      <c r="D3111" s="5" t="str">
        <f>VLOOKUP(C3111,[1]master_data!$A$2:$E$495,2,FALSE)</f>
        <v>AIRSTONE K</v>
      </c>
      <c r="E3111" s="5">
        <v>2</v>
      </c>
      <c r="F3111" s="5">
        <f>VLOOKUP(C3111,[1]master_data!$A$2:$E$495,3,FALSE)</f>
        <v>850</v>
      </c>
      <c r="G3111" s="5">
        <f>VLOOKUP(C3111,[1]master_data!$A$2:$E$495,4,FALSE)</f>
        <v>3000</v>
      </c>
      <c r="H3111" s="5">
        <f t="shared" si="150"/>
        <v>1700</v>
      </c>
      <c r="I3111" s="5">
        <f t="shared" si="151"/>
        <v>6000</v>
      </c>
      <c r="J3111" s="5">
        <f t="shared" si="152"/>
        <v>4300</v>
      </c>
      <c r="K3111" s="5" t="str">
        <f>VLOOKUP(C3111,[1]master_data!$A$2:$E$495,5,FALSE)</f>
        <v>Aksesoris</v>
      </c>
      <c r="L3111" s="5" t="s">
        <v>471</v>
      </c>
    </row>
    <row r="3112" spans="1:12" ht="12" customHeight="1" x14ac:dyDescent="0.25">
      <c r="A3112" s="6">
        <v>44639</v>
      </c>
      <c r="B3112" s="1">
        <v>2201451</v>
      </c>
      <c r="C3112" s="5" t="s">
        <v>404</v>
      </c>
      <c r="D3112" s="5" t="str">
        <f>VLOOKUP(C3112,[1]master_data!$A$2:$E$495,2,FALSE)</f>
        <v>CHANNA BLUE PULCHRA B</v>
      </c>
      <c r="E3112" s="5">
        <v>1</v>
      </c>
      <c r="F3112" s="5">
        <f>VLOOKUP(C3112,[1]master_data!$A$2:$E$495,3,FALSE)</f>
        <v>125000</v>
      </c>
      <c r="G3112" s="5">
        <f>VLOOKUP(C3112,[1]master_data!$A$2:$E$495,4,FALSE)</f>
        <v>200000</v>
      </c>
      <c r="H3112" s="5">
        <f t="shared" si="150"/>
        <v>125000</v>
      </c>
      <c r="I3112" s="5">
        <f t="shared" si="151"/>
        <v>200000</v>
      </c>
      <c r="J3112" s="5">
        <f t="shared" si="152"/>
        <v>75000</v>
      </c>
      <c r="K3112" s="5" t="str">
        <f>VLOOKUP(C3112,[1]master_data!$A$2:$E$495,5,FALSE)</f>
        <v>Ikan</v>
      </c>
      <c r="L3112" s="5" t="s">
        <v>471</v>
      </c>
    </row>
    <row r="3113" spans="1:12" ht="12" customHeight="1" x14ac:dyDescent="0.25">
      <c r="A3113" s="6">
        <v>44639</v>
      </c>
      <c r="B3113" s="1">
        <v>2201450</v>
      </c>
      <c r="C3113" s="5" t="s">
        <v>310</v>
      </c>
      <c r="D3113" s="5" t="str">
        <f>VLOOKUP(C3113,[1]master_data!$A$2:$E$495,2,FALSE)</f>
        <v>SELANG FUSO</v>
      </c>
      <c r="E3113" s="5">
        <v>1</v>
      </c>
      <c r="F3113" s="5">
        <f>VLOOKUP(C3113,[1]master_data!$A$2:$E$495,3,FALSE)</f>
        <v>800</v>
      </c>
      <c r="G3113" s="5">
        <f>VLOOKUP(C3113,[1]master_data!$A$2:$E$495,4,FALSE)</f>
        <v>2000</v>
      </c>
      <c r="H3113" s="5">
        <f t="shared" si="150"/>
        <v>800</v>
      </c>
      <c r="I3113" s="5">
        <f t="shared" si="151"/>
        <v>2000</v>
      </c>
      <c r="J3113" s="5">
        <f t="shared" si="152"/>
        <v>1200</v>
      </c>
      <c r="K3113" s="5" t="str">
        <f>VLOOKUP(C3113,[1]master_data!$A$2:$E$495,5,FALSE)</f>
        <v>Aksesoris</v>
      </c>
      <c r="L3113" s="5" t="s">
        <v>471</v>
      </c>
    </row>
    <row r="3114" spans="1:12" ht="12" customHeight="1" x14ac:dyDescent="0.25">
      <c r="A3114" s="6">
        <v>44639</v>
      </c>
      <c r="B3114" s="1">
        <v>2201449</v>
      </c>
      <c r="C3114" s="5" t="s">
        <v>111</v>
      </c>
      <c r="D3114" s="5" t="str">
        <f>VLOOKUP(C3114,[1]master_data!$A$2:$E$495,2,FALSE)</f>
        <v>AIRATOR ROSTON LUB 1</v>
      </c>
      <c r="E3114" s="5">
        <v>1</v>
      </c>
      <c r="F3114" s="5">
        <f>VLOOKUP(C3114,[1]master_data!$A$2:$E$495,3,FALSE)</f>
        <v>20000</v>
      </c>
      <c r="G3114" s="5">
        <f>VLOOKUP(C3114,[1]master_data!$A$2:$E$495,4,FALSE)</f>
        <v>30000</v>
      </c>
      <c r="H3114" s="5">
        <f t="shared" si="150"/>
        <v>20000</v>
      </c>
      <c r="I3114" s="5">
        <f t="shared" si="151"/>
        <v>30000</v>
      </c>
      <c r="J3114" s="5">
        <f t="shared" si="152"/>
        <v>10000</v>
      </c>
      <c r="K3114" s="5" t="str">
        <f>VLOOKUP(C3114,[1]master_data!$A$2:$E$495,5,FALSE)</f>
        <v>Aksesoris</v>
      </c>
      <c r="L3114" s="5" t="s">
        <v>471</v>
      </c>
    </row>
    <row r="3115" spans="1:12" ht="12" customHeight="1" x14ac:dyDescent="0.25">
      <c r="A3115" s="6">
        <v>44639</v>
      </c>
      <c r="B3115" s="1">
        <v>2201448</v>
      </c>
      <c r="C3115" s="5" t="s">
        <v>432</v>
      </c>
      <c r="D3115" s="5" t="str">
        <f>VLOOKUP(C3115,[1]master_data!$A$2:$E$495,2,FALSE)</f>
        <v>MARU K</v>
      </c>
      <c r="E3115" s="5">
        <v>1</v>
      </c>
      <c r="F3115" s="5">
        <f>VLOOKUP(C3115,[1]master_data!$A$2:$E$495,3,FALSE)</f>
        <v>23000</v>
      </c>
      <c r="G3115" s="5">
        <f>VLOOKUP(C3115,[1]master_data!$A$2:$E$495,4,FALSE)</f>
        <v>50000</v>
      </c>
      <c r="H3115" s="5">
        <f t="shared" si="150"/>
        <v>23000</v>
      </c>
      <c r="I3115" s="5">
        <f t="shared" si="151"/>
        <v>50000</v>
      </c>
      <c r="J3115" s="5">
        <f t="shared" si="152"/>
        <v>27000</v>
      </c>
      <c r="K3115" s="5" t="str">
        <f>VLOOKUP(C3115,[1]master_data!$A$2:$E$495,5,FALSE)</f>
        <v>Ikan</v>
      </c>
      <c r="L3115" s="5" t="s">
        <v>471</v>
      </c>
    </row>
    <row r="3116" spans="1:12" ht="12" customHeight="1" x14ac:dyDescent="0.25">
      <c r="A3116" s="6">
        <v>44639</v>
      </c>
      <c r="B3116" s="1">
        <v>2201447</v>
      </c>
      <c r="C3116" s="5" t="s">
        <v>455</v>
      </c>
      <c r="D3116" s="5" t="str">
        <f>VLOOKUP(C3116,[1]master_data!$A$2:$E$495,2,FALSE)</f>
        <v>TETRA</v>
      </c>
      <c r="E3116" s="5">
        <v>10</v>
      </c>
      <c r="F3116" s="5">
        <f>VLOOKUP(C3116,[1]master_data!$A$2:$E$495,3,FALSE)</f>
        <v>800</v>
      </c>
      <c r="G3116" s="5">
        <f>VLOOKUP(C3116,[1]master_data!$A$2:$E$495,4,FALSE)</f>
        <v>2000</v>
      </c>
      <c r="H3116" s="5">
        <f t="shared" si="150"/>
        <v>8000</v>
      </c>
      <c r="I3116" s="5">
        <f t="shared" si="151"/>
        <v>20000</v>
      </c>
      <c r="J3116" s="5">
        <f t="shared" si="152"/>
        <v>12000</v>
      </c>
      <c r="K3116" s="5" t="str">
        <f>VLOOKUP(C3116,[1]master_data!$A$2:$E$495,5,FALSE)</f>
        <v>Ikan</v>
      </c>
      <c r="L3116" s="5" t="s">
        <v>471</v>
      </c>
    </row>
    <row r="3117" spans="1:12" ht="12" customHeight="1" x14ac:dyDescent="0.25">
      <c r="A3117" s="6">
        <v>44638</v>
      </c>
      <c r="B3117" s="1">
        <v>2201446</v>
      </c>
      <c r="C3117" s="5" t="s">
        <v>413</v>
      </c>
      <c r="D3117" s="5" t="str">
        <f>VLOOKUP(C3117,[1]master_data!$A$2:$E$495,2,FALSE)</f>
        <v>KOKI K</v>
      </c>
      <c r="E3117" s="5">
        <v>3</v>
      </c>
      <c r="F3117" s="5">
        <f>VLOOKUP(C3117,[1]master_data!$A$2:$E$495,3,FALSE)</f>
        <v>3500</v>
      </c>
      <c r="G3117" s="5">
        <f>VLOOKUP(C3117,[1]master_data!$A$2:$E$495,4,FALSE)</f>
        <v>10000</v>
      </c>
      <c r="H3117" s="5">
        <f t="shared" si="150"/>
        <v>10500</v>
      </c>
      <c r="I3117" s="5">
        <f t="shared" si="151"/>
        <v>30000</v>
      </c>
      <c r="J3117" s="5">
        <f t="shared" si="152"/>
        <v>19500</v>
      </c>
      <c r="K3117" s="5" t="str">
        <f>VLOOKUP(C3117,[1]master_data!$A$2:$E$495,5,FALSE)</f>
        <v>Ikan</v>
      </c>
      <c r="L3117" s="5" t="s">
        <v>471</v>
      </c>
    </row>
    <row r="3118" spans="1:12" ht="12" customHeight="1" x14ac:dyDescent="0.25">
      <c r="A3118" s="6">
        <v>44638</v>
      </c>
      <c r="B3118" s="1">
        <v>2201445</v>
      </c>
      <c r="C3118" s="5" t="s">
        <v>442</v>
      </c>
      <c r="D3118" s="5" t="str">
        <f>VLOOKUP(C3118,[1]master_data!$A$2:$E$495,2,FALSE)</f>
        <v>PEMBERSIH KACA ALBINO</v>
      </c>
      <c r="E3118" s="5">
        <v>3</v>
      </c>
      <c r="F3118" s="5">
        <f>VLOOKUP(C3118,[1]master_data!$A$2:$E$495,3,FALSE)</f>
        <v>2500</v>
      </c>
      <c r="G3118" s="5">
        <f>VLOOKUP(C3118,[1]master_data!$A$2:$E$495,4,FALSE)</f>
        <v>5000</v>
      </c>
      <c r="H3118" s="5">
        <f t="shared" si="150"/>
        <v>7500</v>
      </c>
      <c r="I3118" s="5">
        <f t="shared" si="151"/>
        <v>15000</v>
      </c>
      <c r="J3118" s="5">
        <f t="shared" si="152"/>
        <v>7500</v>
      </c>
      <c r="K3118" s="5" t="str">
        <f>VLOOKUP(C3118,[1]master_data!$A$2:$E$495,5,FALSE)</f>
        <v>Ikan</v>
      </c>
      <c r="L3118" s="5" t="s">
        <v>471</v>
      </c>
    </row>
    <row r="3119" spans="1:12" ht="12" customHeight="1" x14ac:dyDescent="0.25">
      <c r="A3119" s="6">
        <v>44638</v>
      </c>
      <c r="B3119" s="1">
        <v>2201444</v>
      </c>
      <c r="C3119" s="5" t="s">
        <v>399</v>
      </c>
      <c r="D3119" s="5" t="str">
        <f>VLOOKUP(C3119,[1]master_data!$A$2:$E$495,2,FALSE)</f>
        <v>BUENOS AIRES TETRA</v>
      </c>
      <c r="E3119" s="5">
        <v>10</v>
      </c>
      <c r="F3119" s="5">
        <f>VLOOKUP(C3119,[1]master_data!$A$2:$E$495,3,FALSE)</f>
        <v>800</v>
      </c>
      <c r="G3119" s="5">
        <f>VLOOKUP(C3119,[1]master_data!$A$2:$E$495,4,FALSE)</f>
        <v>2000</v>
      </c>
      <c r="H3119" s="5">
        <f t="shared" si="150"/>
        <v>8000</v>
      </c>
      <c r="I3119" s="5">
        <f t="shared" si="151"/>
        <v>20000</v>
      </c>
      <c r="J3119" s="5">
        <f t="shared" si="152"/>
        <v>12000</v>
      </c>
      <c r="K3119" s="5" t="str">
        <f>VLOOKUP(C3119,[1]master_data!$A$2:$E$495,5,FALSE)</f>
        <v>Ikan</v>
      </c>
      <c r="L3119" s="5" t="s">
        <v>471</v>
      </c>
    </row>
    <row r="3120" spans="1:12" ht="12" customHeight="1" x14ac:dyDescent="0.25">
      <c r="A3120" s="6">
        <v>44638</v>
      </c>
      <c r="B3120" s="1">
        <v>2201443</v>
      </c>
      <c r="C3120" s="5" t="s">
        <v>395</v>
      </c>
      <c r="D3120" s="5" t="str">
        <f>VLOOKUP(C3120,[1]master_data!$A$2:$E$495,2,FALSE)</f>
        <v>ARWANA SILVER B</v>
      </c>
      <c r="E3120" s="5">
        <v>1</v>
      </c>
      <c r="F3120" s="5">
        <f>VLOOKUP(C3120,[1]master_data!$A$2:$E$495,3,FALSE)</f>
        <v>300000</v>
      </c>
      <c r="G3120" s="5">
        <f>VLOOKUP(C3120,[1]master_data!$A$2:$E$495,4,FALSE)</f>
        <v>500000</v>
      </c>
      <c r="H3120" s="5">
        <f t="shared" si="150"/>
        <v>300000</v>
      </c>
      <c r="I3120" s="5">
        <f t="shared" si="151"/>
        <v>500000</v>
      </c>
      <c r="J3120" s="5">
        <f t="shared" si="152"/>
        <v>200000</v>
      </c>
      <c r="K3120" s="5" t="str">
        <f>VLOOKUP(C3120,[1]master_data!$A$2:$E$495,5,FALSE)</f>
        <v>Ikan</v>
      </c>
      <c r="L3120" s="5" t="s">
        <v>471</v>
      </c>
    </row>
    <row r="3121" spans="1:12" ht="12" customHeight="1" x14ac:dyDescent="0.25">
      <c r="A3121" s="6">
        <v>44638</v>
      </c>
      <c r="B3121" s="1">
        <v>2201442</v>
      </c>
      <c r="C3121" s="5" t="s">
        <v>434</v>
      </c>
      <c r="D3121" s="5" t="str">
        <f>VLOOKUP(C3121,[1]master_data!$A$2:$E$495,2,FALSE)</f>
        <v>MOLI PAKAN</v>
      </c>
      <c r="E3121" s="5">
        <v>50</v>
      </c>
      <c r="F3121" s="5">
        <f>VLOOKUP(C3121,[1]master_data!$A$2:$E$495,3,FALSE)</f>
        <v>100</v>
      </c>
      <c r="G3121" s="5">
        <f>VLOOKUP(C3121,[1]master_data!$A$2:$E$495,4,FALSE)</f>
        <v>200</v>
      </c>
      <c r="H3121" s="5">
        <f t="shared" si="150"/>
        <v>5000</v>
      </c>
      <c r="I3121" s="5">
        <f t="shared" si="151"/>
        <v>10000</v>
      </c>
      <c r="J3121" s="5">
        <f t="shared" si="152"/>
        <v>5000</v>
      </c>
      <c r="K3121" s="5" t="str">
        <f>VLOOKUP(C3121,[1]master_data!$A$2:$E$495,5,FALSE)</f>
        <v>Ikan</v>
      </c>
      <c r="L3121" s="5" t="s">
        <v>471</v>
      </c>
    </row>
    <row r="3122" spans="1:12" ht="12" customHeight="1" x14ac:dyDescent="0.25">
      <c r="A3122" s="6">
        <v>44638</v>
      </c>
      <c r="B3122" s="1">
        <v>2201441</v>
      </c>
      <c r="C3122" s="5" t="s">
        <v>233</v>
      </c>
      <c r="D3122" s="5" t="str">
        <f>VLOOKUP(C3122,[1]master_data!$A$2:$E$495,2,FALSE)</f>
        <v>FISH LOVE PAKAN</v>
      </c>
      <c r="E3122" s="5">
        <v>1</v>
      </c>
      <c r="F3122" s="5">
        <f>VLOOKUP(C3122,[1]master_data!$A$2:$E$495,3,FALSE)</f>
        <v>2500</v>
      </c>
      <c r="G3122" s="5">
        <f>VLOOKUP(C3122,[1]master_data!$A$2:$E$495,4,FALSE)</f>
        <v>5000</v>
      </c>
      <c r="H3122" s="5">
        <f t="shared" si="150"/>
        <v>2500</v>
      </c>
      <c r="I3122" s="5">
        <f t="shared" si="151"/>
        <v>5000</v>
      </c>
      <c r="J3122" s="5">
        <f t="shared" si="152"/>
        <v>2500</v>
      </c>
      <c r="K3122" s="5" t="str">
        <f>VLOOKUP(C3122,[1]master_data!$A$2:$E$495,5,FALSE)</f>
        <v>Aksesoris</v>
      </c>
      <c r="L3122" s="5" t="s">
        <v>471</v>
      </c>
    </row>
    <row r="3123" spans="1:12" ht="12" customHeight="1" x14ac:dyDescent="0.25">
      <c r="A3123" s="6">
        <v>44638</v>
      </c>
      <c r="B3123" s="1">
        <v>2201440</v>
      </c>
      <c r="C3123" s="5" t="s">
        <v>333</v>
      </c>
      <c r="D3123" s="5" t="str">
        <f>VLOOKUP(C3123,[1]master_data!$A$2:$E$495,2,FALSE)</f>
        <v>KAPAS 2 LAPIS</v>
      </c>
      <c r="E3123" s="5">
        <v>1</v>
      </c>
      <c r="F3123" s="5">
        <f>VLOOKUP(C3123,[1]master_data!$A$2:$E$495,3,FALSE)</f>
        <v>2000</v>
      </c>
      <c r="G3123" s="5">
        <f>VLOOKUP(C3123,[1]master_data!$A$2:$E$495,4,FALSE)</f>
        <v>4000</v>
      </c>
      <c r="H3123" s="5">
        <f t="shared" si="150"/>
        <v>2000</v>
      </c>
      <c r="I3123" s="5">
        <f t="shared" si="151"/>
        <v>4000</v>
      </c>
      <c r="J3123" s="5">
        <f t="shared" si="152"/>
        <v>2000</v>
      </c>
      <c r="K3123" s="5" t="str">
        <f>VLOOKUP(C3123,[1]master_data!$A$2:$E$495,5,FALSE)</f>
        <v>Aksesoris</v>
      </c>
      <c r="L3123" s="5" t="s">
        <v>471</v>
      </c>
    </row>
    <row r="3124" spans="1:12" ht="12" customHeight="1" x14ac:dyDescent="0.25">
      <c r="A3124" s="6">
        <v>44638</v>
      </c>
      <c r="B3124" s="1">
        <v>2201439</v>
      </c>
      <c r="C3124" s="5" t="s">
        <v>100</v>
      </c>
      <c r="D3124" s="5" t="str">
        <f>VLOOKUP(C3124,[1]master_data!$A$2:$E$495,2,FALSE)</f>
        <v>AIRATOR AMARA LUB 1</v>
      </c>
      <c r="E3124" s="5">
        <v>1</v>
      </c>
      <c r="F3124" s="5">
        <f>VLOOKUP(C3124,[1]master_data!$A$2:$E$495,3,FALSE)</f>
        <v>17500</v>
      </c>
      <c r="G3124" s="5">
        <f>VLOOKUP(C3124,[1]master_data!$A$2:$E$495,4,FALSE)</f>
        <v>30000</v>
      </c>
      <c r="H3124" s="5">
        <f t="shared" si="150"/>
        <v>17500</v>
      </c>
      <c r="I3124" s="5">
        <f t="shared" si="151"/>
        <v>30000</v>
      </c>
      <c r="J3124" s="5">
        <f t="shared" si="152"/>
        <v>12500</v>
      </c>
      <c r="K3124" s="5" t="str">
        <f>VLOOKUP(C3124,[1]master_data!$A$2:$E$495,5,FALSE)</f>
        <v>Aksesoris</v>
      </c>
      <c r="L3124" s="5" t="s">
        <v>471</v>
      </c>
    </row>
    <row r="3125" spans="1:12" ht="12" customHeight="1" x14ac:dyDescent="0.25">
      <c r="A3125" s="6">
        <v>44638</v>
      </c>
      <c r="B3125" s="1">
        <v>2201438</v>
      </c>
      <c r="C3125" s="5" t="s">
        <v>431</v>
      </c>
      <c r="D3125" s="5" t="str">
        <f>VLOOKUP(C3125,[1]master_data!$A$2:$E$495,2,FALSE)</f>
        <v>MANFISH B</v>
      </c>
      <c r="E3125" s="5">
        <v>2</v>
      </c>
      <c r="F3125" s="5">
        <f>VLOOKUP(C3125,[1]master_data!$A$2:$E$495,3,FALSE)</f>
        <v>4000</v>
      </c>
      <c r="G3125" s="5">
        <f>VLOOKUP(C3125,[1]master_data!$A$2:$E$495,4,FALSE)</f>
        <v>10000</v>
      </c>
      <c r="H3125" s="5">
        <f t="shared" si="150"/>
        <v>8000</v>
      </c>
      <c r="I3125" s="5">
        <f t="shared" si="151"/>
        <v>20000</v>
      </c>
      <c r="J3125" s="5">
        <f t="shared" si="152"/>
        <v>12000</v>
      </c>
      <c r="K3125" s="5" t="str">
        <f>VLOOKUP(C3125,[1]master_data!$A$2:$E$495,5,FALSE)</f>
        <v>Ikan</v>
      </c>
      <c r="L3125" s="5" t="s">
        <v>471</v>
      </c>
    </row>
    <row r="3126" spans="1:12" ht="12" customHeight="1" x14ac:dyDescent="0.25">
      <c r="A3126" s="6">
        <v>44638</v>
      </c>
      <c r="B3126" s="1">
        <v>2201437</v>
      </c>
      <c r="C3126" s="5" t="s">
        <v>203</v>
      </c>
      <c r="D3126" s="5" t="str">
        <f>VLOOKUP(C3126,[1]master_data!$A$2:$E$495,2,FALSE)</f>
        <v>HOKKY 3 IN 1</v>
      </c>
      <c r="E3126" s="5">
        <v>1</v>
      </c>
      <c r="F3126" s="5">
        <f>VLOOKUP(C3126,[1]master_data!$A$2:$E$495,3,FALSE)</f>
        <v>20000</v>
      </c>
      <c r="G3126" s="5">
        <f>VLOOKUP(C3126,[1]master_data!$A$2:$E$495,4,FALSE)</f>
        <v>30000</v>
      </c>
      <c r="H3126" s="5">
        <f t="shared" si="150"/>
        <v>20000</v>
      </c>
      <c r="I3126" s="5">
        <f t="shared" si="151"/>
        <v>30000</v>
      </c>
      <c r="J3126" s="5">
        <f t="shared" si="152"/>
        <v>10000</v>
      </c>
      <c r="K3126" s="5" t="str">
        <f>VLOOKUP(C3126,[1]master_data!$A$2:$E$495,5,FALSE)</f>
        <v>Aksesoris</v>
      </c>
      <c r="L3126" s="5" t="s">
        <v>471</v>
      </c>
    </row>
    <row r="3127" spans="1:12" ht="12" customHeight="1" x14ac:dyDescent="0.25">
      <c r="A3127" s="6">
        <v>44638</v>
      </c>
      <c r="B3127" s="1">
        <v>2201436</v>
      </c>
      <c r="C3127" s="5" t="s">
        <v>407</v>
      </c>
      <c r="D3127" s="5" t="str">
        <f>VLOOKUP(C3127,[1]master_data!$A$2:$E$495,2,FALSE)</f>
        <v>CUPANG</v>
      </c>
      <c r="E3127" s="5">
        <v>3</v>
      </c>
      <c r="F3127" s="5">
        <f>VLOOKUP(C3127,[1]master_data!$A$2:$E$495,3,FALSE)</f>
        <v>2000</v>
      </c>
      <c r="G3127" s="5">
        <f>VLOOKUP(C3127,[1]master_data!$A$2:$E$495,4,FALSE)</f>
        <v>5000</v>
      </c>
      <c r="H3127" s="5">
        <f t="shared" si="150"/>
        <v>6000</v>
      </c>
      <c r="I3127" s="5">
        <f t="shared" si="151"/>
        <v>15000</v>
      </c>
      <c r="J3127" s="5">
        <f t="shared" si="152"/>
        <v>9000</v>
      </c>
      <c r="K3127" s="5" t="str">
        <f>VLOOKUP(C3127,[1]master_data!$A$2:$E$495,5,FALSE)</f>
        <v>Ikan</v>
      </c>
      <c r="L3127" s="5" t="s">
        <v>471</v>
      </c>
    </row>
    <row r="3128" spans="1:12" ht="12" customHeight="1" x14ac:dyDescent="0.25">
      <c r="A3128" s="6">
        <v>44638</v>
      </c>
      <c r="B3128" s="1">
        <v>2201435</v>
      </c>
      <c r="C3128" s="5" t="s">
        <v>430</v>
      </c>
      <c r="D3128" s="5" t="str">
        <f>VLOOKUP(C3128,[1]master_data!$A$2:$E$495,2,FALSE)</f>
        <v>MANFISH K</v>
      </c>
      <c r="E3128" s="5">
        <v>3</v>
      </c>
      <c r="F3128" s="5">
        <f>VLOOKUP(C3128,[1]master_data!$A$2:$E$495,3,FALSE)</f>
        <v>2000</v>
      </c>
      <c r="G3128" s="5">
        <f>VLOOKUP(C3128,[1]master_data!$A$2:$E$495,4,FALSE)</f>
        <v>5000</v>
      </c>
      <c r="H3128" s="5">
        <f t="shared" si="150"/>
        <v>6000</v>
      </c>
      <c r="I3128" s="5">
        <f t="shared" si="151"/>
        <v>15000</v>
      </c>
      <c r="J3128" s="5">
        <f t="shared" si="152"/>
        <v>9000</v>
      </c>
      <c r="K3128" s="5" t="str">
        <f>VLOOKUP(C3128,[1]master_data!$A$2:$E$495,5,FALSE)</f>
        <v>Ikan</v>
      </c>
      <c r="L3128" s="5" t="s">
        <v>471</v>
      </c>
    </row>
    <row r="3129" spans="1:12" ht="12" customHeight="1" x14ac:dyDescent="0.25">
      <c r="A3129" s="6">
        <v>44638</v>
      </c>
      <c r="B3129" s="1">
        <v>2201434</v>
      </c>
      <c r="C3129" s="5" t="s">
        <v>424</v>
      </c>
      <c r="D3129" s="5" t="str">
        <f>VLOOKUP(C3129,[1]master_data!$A$2:$E$495,2,FALSE)</f>
        <v>KOI SLAYER B</v>
      </c>
      <c r="E3129" s="5">
        <v>3</v>
      </c>
      <c r="F3129" s="5">
        <f>VLOOKUP(C3129,[1]master_data!$A$2:$E$495,3,FALSE)</f>
        <v>8000</v>
      </c>
      <c r="G3129" s="5">
        <f>VLOOKUP(C3129,[1]master_data!$A$2:$E$495,4,FALSE)</f>
        <v>20000</v>
      </c>
      <c r="H3129" s="5">
        <f t="shared" si="150"/>
        <v>24000</v>
      </c>
      <c r="I3129" s="5">
        <f t="shared" si="151"/>
        <v>60000</v>
      </c>
      <c r="J3129" s="5">
        <f t="shared" si="152"/>
        <v>36000</v>
      </c>
      <c r="K3129" s="5" t="str">
        <f>VLOOKUP(C3129,[1]master_data!$A$2:$E$495,5,FALSE)</f>
        <v>Ikan</v>
      </c>
      <c r="L3129" s="5" t="s">
        <v>471</v>
      </c>
    </row>
    <row r="3130" spans="1:12" ht="12" customHeight="1" x14ac:dyDescent="0.25">
      <c r="A3130" s="6">
        <v>44638</v>
      </c>
      <c r="B3130" s="1">
        <v>2201433</v>
      </c>
      <c r="C3130" s="5" t="s">
        <v>422</v>
      </c>
      <c r="D3130" s="5" t="str">
        <f>VLOOKUP(C3130,[1]master_data!$A$2:$E$495,2,FALSE)</f>
        <v>KOMET SLAYER</v>
      </c>
      <c r="E3130" s="5">
        <v>5</v>
      </c>
      <c r="F3130" s="5">
        <f>VLOOKUP(C3130,[1]master_data!$A$2:$E$495,3,FALSE)</f>
        <v>2000</v>
      </c>
      <c r="G3130" s="5">
        <f>VLOOKUP(C3130,[1]master_data!$A$2:$E$495,4,FALSE)</f>
        <v>5000</v>
      </c>
      <c r="H3130" s="5">
        <f t="shared" si="150"/>
        <v>10000</v>
      </c>
      <c r="I3130" s="5">
        <f t="shared" si="151"/>
        <v>25000</v>
      </c>
      <c r="J3130" s="5">
        <f t="shared" si="152"/>
        <v>15000</v>
      </c>
      <c r="K3130" s="5" t="str">
        <f>VLOOKUP(C3130,[1]master_data!$A$2:$E$495,5,FALSE)</f>
        <v>Ikan</v>
      </c>
      <c r="L3130" s="5" t="s">
        <v>471</v>
      </c>
    </row>
    <row r="3131" spans="1:12" ht="12" customHeight="1" x14ac:dyDescent="0.25">
      <c r="A3131" s="6">
        <v>44638</v>
      </c>
      <c r="B3131" s="1">
        <v>2201432</v>
      </c>
      <c r="C3131" s="5" t="s">
        <v>405</v>
      </c>
      <c r="D3131" s="5" t="str">
        <f>VLOOKUP(C3131,[1]master_data!$A$2:$E$495,2,FALSE)</f>
        <v>KOMET BOKIM</v>
      </c>
      <c r="E3131" s="5">
        <v>5</v>
      </c>
      <c r="F3131" s="5">
        <f>VLOOKUP(C3131,[1]master_data!$A$2:$E$495,3,FALSE)</f>
        <v>1500</v>
      </c>
      <c r="G3131" s="5">
        <f>VLOOKUP(C3131,[1]master_data!$A$2:$E$495,4,FALSE)</f>
        <v>5000</v>
      </c>
      <c r="H3131" s="5">
        <f t="shared" si="150"/>
        <v>7500</v>
      </c>
      <c r="I3131" s="5">
        <f t="shared" si="151"/>
        <v>25000</v>
      </c>
      <c r="J3131" s="5">
        <f t="shared" si="152"/>
        <v>17500</v>
      </c>
      <c r="K3131" s="5" t="str">
        <f>VLOOKUP(C3131,[1]master_data!$A$2:$E$495,5,FALSE)</f>
        <v>Ikan</v>
      </c>
      <c r="L3131" s="5" t="s">
        <v>471</v>
      </c>
    </row>
    <row r="3132" spans="1:12" ht="12" customHeight="1" x14ac:dyDescent="0.25">
      <c r="A3132" s="6">
        <v>44638</v>
      </c>
      <c r="B3132" s="1">
        <v>2201431</v>
      </c>
      <c r="C3132" s="5" t="s">
        <v>333</v>
      </c>
      <c r="D3132" s="5" t="str">
        <f>VLOOKUP(C3132,[1]master_data!$A$2:$E$495,2,FALSE)</f>
        <v>KAPAS 2 LAPIS</v>
      </c>
      <c r="E3132" s="5">
        <v>2</v>
      </c>
      <c r="F3132" s="5">
        <f>VLOOKUP(C3132,[1]master_data!$A$2:$E$495,3,FALSE)</f>
        <v>2000</v>
      </c>
      <c r="G3132" s="5">
        <f>VLOOKUP(C3132,[1]master_data!$A$2:$E$495,4,FALSE)</f>
        <v>4000</v>
      </c>
      <c r="H3132" s="5">
        <f t="shared" si="150"/>
        <v>4000</v>
      </c>
      <c r="I3132" s="5">
        <f t="shared" si="151"/>
        <v>8000</v>
      </c>
      <c r="J3132" s="5">
        <f t="shared" si="152"/>
        <v>4000</v>
      </c>
      <c r="K3132" s="5" t="str">
        <f>VLOOKUP(C3132,[1]master_data!$A$2:$E$495,5,FALSE)</f>
        <v>Aksesoris</v>
      </c>
      <c r="L3132" s="5" t="s">
        <v>471</v>
      </c>
    </row>
    <row r="3133" spans="1:12" ht="12" customHeight="1" x14ac:dyDescent="0.25">
      <c r="A3133" s="6">
        <v>44638</v>
      </c>
      <c r="B3133" s="1">
        <v>2201430</v>
      </c>
      <c r="C3133" s="5" t="s">
        <v>462</v>
      </c>
      <c r="D3133" s="5" t="str">
        <f>VLOOKUP(C3133,[1]master_data!$A$2:$E$495,2,FALSE)</f>
        <v>SEPAT ALBINO</v>
      </c>
      <c r="E3133" s="5">
        <v>2</v>
      </c>
      <c r="F3133" s="5">
        <f>VLOOKUP(C3133,[1]master_data!$A$2:$E$495,3,FALSE)</f>
        <v>2000</v>
      </c>
      <c r="G3133" s="5">
        <f>VLOOKUP(C3133,[1]master_data!$A$2:$E$495,4,FALSE)</f>
        <v>5000</v>
      </c>
      <c r="H3133" s="5">
        <f t="shared" si="150"/>
        <v>4000</v>
      </c>
      <c r="I3133" s="5">
        <f t="shared" si="151"/>
        <v>10000</v>
      </c>
      <c r="J3133" s="5">
        <f t="shared" si="152"/>
        <v>6000</v>
      </c>
      <c r="K3133" s="5" t="str">
        <f>VLOOKUP(C3133,[1]master_data!$A$2:$E$495,5,FALSE)</f>
        <v>Ikan</v>
      </c>
      <c r="L3133" s="5" t="s">
        <v>471</v>
      </c>
    </row>
    <row r="3134" spans="1:12" ht="12" customHeight="1" x14ac:dyDescent="0.25">
      <c r="A3134" s="6">
        <v>44637</v>
      </c>
      <c r="B3134" s="1">
        <v>2201429</v>
      </c>
      <c r="C3134" s="5" t="s">
        <v>256</v>
      </c>
      <c r="D3134" s="5" t="str">
        <f>VLOOKUP(C3134,[1]master_data!$A$2:$E$495,2,FALSE)</f>
        <v>BACKGROUND</v>
      </c>
      <c r="E3134" s="5">
        <v>1</v>
      </c>
      <c r="F3134" s="5">
        <f>VLOOKUP(C3134,[1]master_data!$A$2:$E$495,3,FALSE)</f>
        <v>8000</v>
      </c>
      <c r="G3134" s="5">
        <f>VLOOKUP(C3134,[1]master_data!$A$2:$E$495,4,FALSE)</f>
        <v>15000</v>
      </c>
      <c r="H3134" s="5">
        <f t="shared" si="150"/>
        <v>8000</v>
      </c>
      <c r="I3134" s="5">
        <f t="shared" si="151"/>
        <v>15000</v>
      </c>
      <c r="J3134" s="5">
        <f t="shared" si="152"/>
        <v>7000</v>
      </c>
      <c r="K3134" s="5" t="str">
        <f>VLOOKUP(C3134,[1]master_data!$A$2:$E$495,5,FALSE)</f>
        <v>Aksesoris</v>
      </c>
      <c r="L3134" s="5" t="s">
        <v>471</v>
      </c>
    </row>
    <row r="3135" spans="1:12" ht="12" customHeight="1" x14ac:dyDescent="0.25">
      <c r="A3135" s="6">
        <v>44637</v>
      </c>
      <c r="B3135" s="1">
        <v>2201428</v>
      </c>
      <c r="C3135" s="5" t="s">
        <v>328</v>
      </c>
      <c r="D3135" s="5" t="str">
        <f>VLOOKUP(C3135,[1]master_data!$A$2:$E$495,2,FALSE)</f>
        <v>AIRSONE PUTIH</v>
      </c>
      <c r="E3135" s="5">
        <v>1</v>
      </c>
      <c r="F3135" s="5">
        <f>VLOOKUP(C3135,[1]master_data!$A$2:$E$495,3,FALSE)</f>
        <v>3000</v>
      </c>
      <c r="G3135" s="5">
        <f>VLOOKUP(C3135,[1]master_data!$A$2:$E$495,4,FALSE)</f>
        <v>5000</v>
      </c>
      <c r="H3135" s="5">
        <f t="shared" si="150"/>
        <v>3000</v>
      </c>
      <c r="I3135" s="5">
        <f t="shared" si="151"/>
        <v>5000</v>
      </c>
      <c r="J3135" s="5">
        <f t="shared" si="152"/>
        <v>2000</v>
      </c>
      <c r="K3135" s="5" t="str">
        <f>VLOOKUP(C3135,[1]master_data!$A$2:$E$495,5,FALSE)</f>
        <v>Aksesoris</v>
      </c>
      <c r="L3135" s="5" t="s">
        <v>471</v>
      </c>
    </row>
    <row r="3136" spans="1:12" ht="12" customHeight="1" x14ac:dyDescent="0.25">
      <c r="A3136" s="6">
        <v>44637</v>
      </c>
      <c r="B3136" s="1">
        <v>2201427</v>
      </c>
      <c r="C3136" s="5" t="s">
        <v>333</v>
      </c>
      <c r="D3136" s="5" t="str">
        <f>VLOOKUP(C3136,[1]master_data!$A$2:$E$495,2,FALSE)</f>
        <v>KAPAS 2 LAPIS</v>
      </c>
      <c r="E3136" s="5">
        <v>1</v>
      </c>
      <c r="F3136" s="5">
        <f>VLOOKUP(C3136,[1]master_data!$A$2:$E$495,3,FALSE)</f>
        <v>2000</v>
      </c>
      <c r="G3136" s="5">
        <f>VLOOKUP(C3136,[1]master_data!$A$2:$E$495,4,FALSE)</f>
        <v>4000</v>
      </c>
      <c r="H3136" s="5">
        <f t="shared" si="150"/>
        <v>2000</v>
      </c>
      <c r="I3136" s="5">
        <f t="shared" si="151"/>
        <v>4000</v>
      </c>
      <c r="J3136" s="5">
        <f t="shared" si="152"/>
        <v>2000</v>
      </c>
      <c r="K3136" s="5" t="str">
        <f>VLOOKUP(C3136,[1]master_data!$A$2:$E$495,5,FALSE)</f>
        <v>Aksesoris</v>
      </c>
      <c r="L3136" s="5" t="s">
        <v>471</v>
      </c>
    </row>
    <row r="3137" spans="1:12" ht="12" customHeight="1" x14ac:dyDescent="0.25">
      <c r="A3137" s="6">
        <v>44637</v>
      </c>
      <c r="B3137" s="1">
        <v>2201426</v>
      </c>
      <c r="C3137" s="5" t="s">
        <v>280</v>
      </c>
      <c r="D3137" s="5" t="str">
        <f>VLOOKUP(C3137,[1]master_data!$A$2:$E$495,2,FALSE)</f>
        <v>KRAN 2 W</v>
      </c>
      <c r="E3137" s="5">
        <v>1</v>
      </c>
      <c r="F3137" s="5">
        <f>VLOOKUP(C3137,[1]master_data!$A$2:$E$495,3,FALSE)</f>
        <v>4000</v>
      </c>
      <c r="G3137" s="5">
        <f>VLOOKUP(C3137,[1]master_data!$A$2:$E$495,4,FALSE)</f>
        <v>6000</v>
      </c>
      <c r="H3137" s="5">
        <f t="shared" si="150"/>
        <v>4000</v>
      </c>
      <c r="I3137" s="5">
        <f t="shared" si="151"/>
        <v>6000</v>
      </c>
      <c r="J3137" s="5">
        <f t="shared" si="152"/>
        <v>2000</v>
      </c>
      <c r="K3137" s="5" t="str">
        <f>VLOOKUP(C3137,[1]master_data!$A$2:$E$495,5,FALSE)</f>
        <v>Aksesoris</v>
      </c>
      <c r="L3137" s="5" t="s">
        <v>471</v>
      </c>
    </row>
    <row r="3138" spans="1:12" ht="12" customHeight="1" x14ac:dyDescent="0.25">
      <c r="A3138" s="6">
        <v>44637</v>
      </c>
      <c r="B3138" s="1">
        <v>2201425</v>
      </c>
      <c r="C3138" s="5" t="s">
        <v>412</v>
      </c>
      <c r="D3138" s="5" t="str">
        <f>VLOOKUP(C3138,[1]master_data!$A$2:$E$495,2,FALSE)</f>
        <v>HIU TAWAR</v>
      </c>
      <c r="E3138" s="5">
        <v>3</v>
      </c>
      <c r="F3138" s="5">
        <f>VLOOKUP(C3138,[1]master_data!$A$2:$E$495,3,FALSE)</f>
        <v>600</v>
      </c>
      <c r="G3138" s="5">
        <f>VLOOKUP(C3138,[1]master_data!$A$2:$E$495,4,FALSE)</f>
        <v>2000</v>
      </c>
      <c r="H3138" s="5">
        <f t="shared" si="150"/>
        <v>1800</v>
      </c>
      <c r="I3138" s="5">
        <f t="shared" si="151"/>
        <v>6000</v>
      </c>
      <c r="J3138" s="5">
        <f t="shared" si="152"/>
        <v>4200</v>
      </c>
      <c r="K3138" s="5" t="str">
        <f>VLOOKUP(C3138,[1]master_data!$A$2:$E$495,5,FALSE)</f>
        <v>Ikan</v>
      </c>
      <c r="L3138" s="5" t="s">
        <v>471</v>
      </c>
    </row>
    <row r="3139" spans="1:12" ht="12" customHeight="1" x14ac:dyDescent="0.25">
      <c r="A3139" s="6">
        <v>44637</v>
      </c>
      <c r="B3139" s="1">
        <v>2201424</v>
      </c>
      <c r="C3139" s="5" t="s">
        <v>312</v>
      </c>
      <c r="D3139" s="5" t="str">
        <f>VLOOKUP(C3139,[1]master_data!$A$2:$E$495,2,FALSE)</f>
        <v>T PIPA</v>
      </c>
      <c r="E3139" s="5">
        <v>10</v>
      </c>
      <c r="F3139" s="5">
        <f>VLOOKUP(C3139,[1]master_data!$A$2:$E$495,3,FALSE)</f>
        <v>800</v>
      </c>
      <c r="G3139" s="5">
        <f>VLOOKUP(C3139,[1]master_data!$A$2:$E$495,4,FALSE)</f>
        <v>2000</v>
      </c>
      <c r="H3139" s="5">
        <f t="shared" si="150"/>
        <v>8000</v>
      </c>
      <c r="I3139" s="5">
        <f t="shared" si="151"/>
        <v>20000</v>
      </c>
      <c r="J3139" s="5">
        <f t="shared" si="152"/>
        <v>12000</v>
      </c>
      <c r="K3139" s="5" t="str">
        <f>VLOOKUP(C3139,[1]master_data!$A$2:$E$495,5,FALSE)</f>
        <v>Aksesoris</v>
      </c>
      <c r="L3139" s="5" t="s">
        <v>471</v>
      </c>
    </row>
    <row r="3140" spans="1:12" ht="12" customHeight="1" x14ac:dyDescent="0.25">
      <c r="A3140" s="6">
        <v>44637</v>
      </c>
      <c r="B3140" s="1">
        <v>2201423</v>
      </c>
      <c r="C3140" s="5" t="s">
        <v>420</v>
      </c>
      <c r="D3140" s="5" t="str">
        <f>VLOOKUP(C3140,[1]master_data!$A$2:$E$495,2,FALSE)</f>
        <v>KAVIAT</v>
      </c>
      <c r="E3140" s="5">
        <v>3</v>
      </c>
      <c r="F3140" s="5">
        <f>VLOOKUP(C3140,[1]master_data!$A$2:$E$495,3,FALSE)</f>
        <v>3500</v>
      </c>
      <c r="G3140" s="5">
        <f>VLOOKUP(C3140,[1]master_data!$A$2:$E$495,4,FALSE)</f>
        <v>8000</v>
      </c>
      <c r="H3140" s="5">
        <f t="shared" si="150"/>
        <v>10500</v>
      </c>
      <c r="I3140" s="5">
        <f t="shared" si="151"/>
        <v>24000</v>
      </c>
      <c r="J3140" s="5">
        <f t="shared" si="152"/>
        <v>13500</v>
      </c>
      <c r="K3140" s="5" t="str">
        <f>VLOOKUP(C3140,[1]master_data!$A$2:$E$495,5,FALSE)</f>
        <v>Ikan</v>
      </c>
      <c r="L3140" s="5" t="s">
        <v>471</v>
      </c>
    </row>
    <row r="3141" spans="1:12" ht="12" customHeight="1" x14ac:dyDescent="0.25">
      <c r="A3141" s="6">
        <v>44637</v>
      </c>
      <c r="B3141" s="1">
        <v>2201422</v>
      </c>
      <c r="C3141" s="5" t="s">
        <v>451</v>
      </c>
      <c r="D3141" s="5" t="str">
        <f>VLOOKUP(C3141,[1]master_data!$A$2:$E$495,2,FALSE)</f>
        <v>SUMATRA GOLD FISH</v>
      </c>
      <c r="E3141" s="5">
        <v>5</v>
      </c>
      <c r="F3141" s="5">
        <f>VLOOKUP(C3141,[1]master_data!$A$2:$E$495,3,FALSE)</f>
        <v>2500</v>
      </c>
      <c r="G3141" s="5">
        <f>VLOOKUP(C3141,[1]master_data!$A$2:$E$495,4,FALSE)</f>
        <v>4000</v>
      </c>
      <c r="H3141" s="5">
        <f t="shared" ref="H3141:H3204" si="153">E3141*F3141</f>
        <v>12500</v>
      </c>
      <c r="I3141" s="5">
        <f t="shared" ref="I3141:I3204" si="154">E3141*G3141</f>
        <v>20000</v>
      </c>
      <c r="J3141" s="5">
        <f t="shared" ref="J3141:J3204" si="155">I3141-H3141</f>
        <v>7500</v>
      </c>
      <c r="K3141" s="5" t="str">
        <f>VLOOKUP(C3141,[1]master_data!$A$2:$E$495,5,FALSE)</f>
        <v>Ikan</v>
      </c>
      <c r="L3141" s="5" t="s">
        <v>471</v>
      </c>
    </row>
    <row r="3142" spans="1:12" ht="12" customHeight="1" x14ac:dyDescent="0.25">
      <c r="A3142" s="6">
        <v>44637</v>
      </c>
      <c r="B3142" s="1">
        <v>2201421</v>
      </c>
      <c r="C3142" s="5" t="s">
        <v>208</v>
      </c>
      <c r="D3142" s="5" t="str">
        <f>VLOOKUP(C3142,[1]master_data!$A$2:$E$495,2,FALSE)</f>
        <v>TOP VIT</v>
      </c>
      <c r="E3142" s="5">
        <v>2</v>
      </c>
      <c r="F3142" s="5">
        <f>VLOOKUP(C3142,[1]master_data!$A$2:$E$495,3,FALSE)</f>
        <v>4000</v>
      </c>
      <c r="G3142" s="5">
        <f>VLOOKUP(C3142,[1]master_data!$A$2:$E$495,4,FALSE)</f>
        <v>7000</v>
      </c>
      <c r="H3142" s="5">
        <f t="shared" si="153"/>
        <v>8000</v>
      </c>
      <c r="I3142" s="5">
        <f t="shared" si="154"/>
        <v>14000</v>
      </c>
      <c r="J3142" s="5">
        <f t="shared" si="155"/>
        <v>6000</v>
      </c>
      <c r="K3142" s="5" t="str">
        <f>VLOOKUP(C3142,[1]master_data!$A$2:$E$495,5,FALSE)</f>
        <v>Aksesoris</v>
      </c>
      <c r="L3142" s="5" t="s">
        <v>471</v>
      </c>
    </row>
    <row r="3143" spans="1:12" ht="12" customHeight="1" x14ac:dyDescent="0.25">
      <c r="A3143" s="6">
        <v>44637</v>
      </c>
      <c r="B3143" s="1">
        <v>2201420</v>
      </c>
      <c r="C3143" s="5" t="s">
        <v>424</v>
      </c>
      <c r="D3143" s="5" t="str">
        <f>VLOOKUP(C3143,[1]master_data!$A$2:$E$495,2,FALSE)</f>
        <v>KOI SLAYER B</v>
      </c>
      <c r="E3143" s="5">
        <v>5</v>
      </c>
      <c r="F3143" s="5">
        <f>VLOOKUP(C3143,[1]master_data!$A$2:$E$495,3,FALSE)</f>
        <v>8000</v>
      </c>
      <c r="G3143" s="5">
        <f>VLOOKUP(C3143,[1]master_data!$A$2:$E$495,4,FALSE)</f>
        <v>20000</v>
      </c>
      <c r="H3143" s="5">
        <f t="shared" si="153"/>
        <v>40000</v>
      </c>
      <c r="I3143" s="5">
        <f t="shared" si="154"/>
        <v>100000</v>
      </c>
      <c r="J3143" s="5">
        <f t="shared" si="155"/>
        <v>60000</v>
      </c>
      <c r="K3143" s="5" t="str">
        <f>VLOOKUP(C3143,[1]master_data!$A$2:$E$495,5,FALSE)</f>
        <v>Ikan</v>
      </c>
      <c r="L3143" s="5" t="s">
        <v>471</v>
      </c>
    </row>
    <row r="3144" spans="1:12" ht="12" customHeight="1" x14ac:dyDescent="0.25">
      <c r="A3144" s="6">
        <v>44637</v>
      </c>
      <c r="B3144" s="1">
        <v>2201419</v>
      </c>
      <c r="C3144" s="5" t="s">
        <v>401</v>
      </c>
      <c r="D3144" s="5" t="str">
        <f>VLOOKUP(C3144,[1]master_data!$A$2:$E$495,2,FALSE)</f>
        <v>BALA BALA B</v>
      </c>
      <c r="E3144" s="5">
        <v>2</v>
      </c>
      <c r="F3144" s="5">
        <f>VLOOKUP(C3144,[1]master_data!$A$2:$E$495,3,FALSE)</f>
        <v>7000</v>
      </c>
      <c r="G3144" s="5">
        <f>VLOOKUP(C3144,[1]master_data!$A$2:$E$495,4,FALSE)</f>
        <v>15000</v>
      </c>
      <c r="H3144" s="5">
        <f t="shared" si="153"/>
        <v>14000</v>
      </c>
      <c r="I3144" s="5">
        <f t="shared" si="154"/>
        <v>30000</v>
      </c>
      <c r="J3144" s="5">
        <f t="shared" si="155"/>
        <v>16000</v>
      </c>
      <c r="K3144" s="5" t="str">
        <f>VLOOKUP(C3144,[1]master_data!$A$2:$E$495,5,FALSE)</f>
        <v>Ikan</v>
      </c>
      <c r="L3144" s="5" t="s">
        <v>471</v>
      </c>
    </row>
    <row r="3145" spans="1:12" ht="12" customHeight="1" x14ac:dyDescent="0.25">
      <c r="A3145" s="6">
        <v>44637</v>
      </c>
      <c r="B3145" s="1">
        <v>2201418</v>
      </c>
      <c r="C3145" s="5" t="s">
        <v>396</v>
      </c>
      <c r="D3145" s="5" t="str">
        <f>VLOOKUP(C3145,[1]master_data!$A$2:$E$495,2,FALSE)</f>
        <v>ALGA EATER</v>
      </c>
      <c r="E3145" s="5">
        <v>2</v>
      </c>
      <c r="F3145" s="5">
        <f>VLOOKUP(C3145,[1]master_data!$A$2:$E$495,3,FALSE)</f>
        <v>1750</v>
      </c>
      <c r="G3145" s="5">
        <f>VLOOKUP(C3145,[1]master_data!$A$2:$E$495,4,FALSE)</f>
        <v>5000</v>
      </c>
      <c r="H3145" s="5">
        <f t="shared" si="153"/>
        <v>3500</v>
      </c>
      <c r="I3145" s="5">
        <f t="shared" si="154"/>
        <v>10000</v>
      </c>
      <c r="J3145" s="5">
        <f t="shared" si="155"/>
        <v>6500</v>
      </c>
      <c r="K3145" s="5" t="str">
        <f>VLOOKUP(C3145,[1]master_data!$A$2:$E$495,5,FALSE)</f>
        <v>Ikan</v>
      </c>
      <c r="L3145" s="5" t="s">
        <v>471</v>
      </c>
    </row>
    <row r="3146" spans="1:12" ht="12" customHeight="1" x14ac:dyDescent="0.25">
      <c r="A3146" s="6">
        <v>44637</v>
      </c>
      <c r="B3146" s="1">
        <v>2201417</v>
      </c>
      <c r="C3146" s="5" t="s">
        <v>310</v>
      </c>
      <c r="D3146" s="5" t="str">
        <f>VLOOKUP(C3146,[1]master_data!$A$2:$E$495,2,FALSE)</f>
        <v>SELANG FUSO</v>
      </c>
      <c r="E3146" s="5">
        <v>10</v>
      </c>
      <c r="F3146" s="5">
        <f>VLOOKUP(C3146,[1]master_data!$A$2:$E$495,3,FALSE)</f>
        <v>800</v>
      </c>
      <c r="G3146" s="5">
        <f>VLOOKUP(C3146,[1]master_data!$A$2:$E$495,4,FALSE)</f>
        <v>2000</v>
      </c>
      <c r="H3146" s="5">
        <f t="shared" si="153"/>
        <v>8000</v>
      </c>
      <c r="I3146" s="5">
        <f t="shared" si="154"/>
        <v>20000</v>
      </c>
      <c r="J3146" s="5">
        <f t="shared" si="155"/>
        <v>12000</v>
      </c>
      <c r="K3146" s="5" t="str">
        <f>VLOOKUP(C3146,[1]master_data!$A$2:$E$495,5,FALSE)</f>
        <v>Aksesoris</v>
      </c>
      <c r="L3146" s="5" t="s">
        <v>471</v>
      </c>
    </row>
    <row r="3147" spans="1:12" ht="12" customHeight="1" x14ac:dyDescent="0.25">
      <c r="A3147" s="6">
        <v>44637</v>
      </c>
      <c r="B3147" s="1">
        <v>2201416</v>
      </c>
      <c r="C3147" s="5" t="s">
        <v>423</v>
      </c>
      <c r="D3147" s="5" t="str">
        <f>VLOOKUP(C3147,[1]master_data!$A$2:$E$495,2,FALSE)</f>
        <v>KOI SLAYER K</v>
      </c>
      <c r="E3147" s="5">
        <v>10</v>
      </c>
      <c r="F3147" s="5">
        <f>VLOOKUP(C3147,[1]master_data!$A$2:$E$495,3,FALSE)</f>
        <v>3500</v>
      </c>
      <c r="G3147" s="5">
        <f>VLOOKUP(C3147,[1]master_data!$A$2:$E$495,4,FALSE)</f>
        <v>10000</v>
      </c>
      <c r="H3147" s="5">
        <f t="shared" si="153"/>
        <v>35000</v>
      </c>
      <c r="I3147" s="5">
        <f t="shared" si="154"/>
        <v>100000</v>
      </c>
      <c r="J3147" s="5">
        <f t="shared" si="155"/>
        <v>65000</v>
      </c>
      <c r="K3147" s="5" t="str">
        <f>VLOOKUP(C3147,[1]master_data!$A$2:$E$495,5,FALSE)</f>
        <v>Ikan</v>
      </c>
      <c r="L3147" s="5" t="s">
        <v>471</v>
      </c>
    </row>
    <row r="3148" spans="1:12" ht="12" customHeight="1" x14ac:dyDescent="0.25">
      <c r="A3148" s="6">
        <v>44637</v>
      </c>
      <c r="B3148" s="1">
        <v>2201415</v>
      </c>
      <c r="C3148" s="5" t="s">
        <v>418</v>
      </c>
      <c r="D3148" s="5" t="str">
        <f>VLOOKUP(C3148,[1]master_data!$A$2:$E$495,2,FALSE)</f>
        <v>KOI B</v>
      </c>
      <c r="E3148" s="5">
        <v>3</v>
      </c>
      <c r="F3148" s="5">
        <f>VLOOKUP(C3148,[1]master_data!$A$2:$E$495,3,FALSE)</f>
        <v>9000</v>
      </c>
      <c r="G3148" s="5">
        <f>VLOOKUP(C3148,[1]master_data!$A$2:$E$495,4,FALSE)</f>
        <v>30000</v>
      </c>
      <c r="H3148" s="5">
        <f t="shared" si="153"/>
        <v>27000</v>
      </c>
      <c r="I3148" s="5">
        <f t="shared" si="154"/>
        <v>90000</v>
      </c>
      <c r="J3148" s="5">
        <f t="shared" si="155"/>
        <v>63000</v>
      </c>
      <c r="K3148" s="5" t="str">
        <f>VLOOKUP(C3148,[1]master_data!$A$2:$E$495,5,FALSE)</f>
        <v>Ikan</v>
      </c>
      <c r="L3148" s="5" t="s">
        <v>471</v>
      </c>
    </row>
    <row r="3149" spans="1:12" ht="12" customHeight="1" x14ac:dyDescent="0.25">
      <c r="A3149" s="6">
        <v>44637</v>
      </c>
      <c r="B3149" s="1">
        <v>2201414</v>
      </c>
      <c r="C3149" s="5" t="s">
        <v>407</v>
      </c>
      <c r="D3149" s="5" t="str">
        <f>VLOOKUP(C3149,[1]master_data!$A$2:$E$495,2,FALSE)</f>
        <v>CUPANG</v>
      </c>
      <c r="E3149" s="5">
        <v>1</v>
      </c>
      <c r="F3149" s="5">
        <f>VLOOKUP(C3149,[1]master_data!$A$2:$E$495,3,FALSE)</f>
        <v>2000</v>
      </c>
      <c r="G3149" s="5">
        <f>VLOOKUP(C3149,[1]master_data!$A$2:$E$495,4,FALSE)</f>
        <v>5000</v>
      </c>
      <c r="H3149" s="5">
        <f t="shared" si="153"/>
        <v>2000</v>
      </c>
      <c r="I3149" s="5">
        <f t="shared" si="154"/>
        <v>5000</v>
      </c>
      <c r="J3149" s="5">
        <f t="shared" si="155"/>
        <v>3000</v>
      </c>
      <c r="K3149" s="5" t="str">
        <f>VLOOKUP(C3149,[1]master_data!$A$2:$E$495,5,FALSE)</f>
        <v>Ikan</v>
      </c>
      <c r="L3149" s="5" t="s">
        <v>471</v>
      </c>
    </row>
    <row r="3150" spans="1:12" ht="12" customHeight="1" x14ac:dyDescent="0.25">
      <c r="A3150" s="6">
        <v>44637</v>
      </c>
      <c r="B3150" s="1">
        <v>2201413</v>
      </c>
      <c r="C3150" s="5" t="s">
        <v>393</v>
      </c>
      <c r="D3150" s="5" t="str">
        <f>VLOOKUP(C3150,[1]master_data!$A$2:$E$495,2,FALSE)</f>
        <v>CHANNA ANDRAO B</v>
      </c>
      <c r="E3150" s="5">
        <v>1</v>
      </c>
      <c r="F3150" s="5">
        <f>VLOOKUP(C3150,[1]master_data!$A$2:$E$495,3,FALSE)</f>
        <v>100000</v>
      </c>
      <c r="G3150" s="5">
        <f>VLOOKUP(C3150,[1]master_data!$A$2:$E$495,4,FALSE)</f>
        <v>200000</v>
      </c>
      <c r="H3150" s="5">
        <f t="shared" si="153"/>
        <v>100000</v>
      </c>
      <c r="I3150" s="5">
        <f t="shared" si="154"/>
        <v>200000</v>
      </c>
      <c r="J3150" s="5">
        <f t="shared" si="155"/>
        <v>100000</v>
      </c>
      <c r="K3150" s="5" t="str">
        <f>VLOOKUP(C3150,[1]master_data!$A$2:$E$495,5,FALSE)</f>
        <v>Ikan</v>
      </c>
      <c r="L3150" s="5" t="s">
        <v>471</v>
      </c>
    </row>
    <row r="3151" spans="1:12" ht="12" customHeight="1" x14ac:dyDescent="0.25">
      <c r="A3151" s="6">
        <v>44637</v>
      </c>
      <c r="B3151" s="1">
        <v>2201412</v>
      </c>
      <c r="C3151" s="5" t="s">
        <v>455</v>
      </c>
      <c r="D3151" s="5" t="str">
        <f>VLOOKUP(C3151,[1]master_data!$A$2:$E$495,2,FALSE)</f>
        <v>TETRA</v>
      </c>
      <c r="E3151" s="5">
        <v>5</v>
      </c>
      <c r="F3151" s="5">
        <f>VLOOKUP(C3151,[1]master_data!$A$2:$E$495,3,FALSE)</f>
        <v>800</v>
      </c>
      <c r="G3151" s="5">
        <f>VLOOKUP(C3151,[1]master_data!$A$2:$E$495,4,FALSE)</f>
        <v>2000</v>
      </c>
      <c r="H3151" s="5">
        <f t="shared" si="153"/>
        <v>4000</v>
      </c>
      <c r="I3151" s="5">
        <f t="shared" si="154"/>
        <v>10000</v>
      </c>
      <c r="J3151" s="5">
        <f t="shared" si="155"/>
        <v>6000</v>
      </c>
      <c r="K3151" s="5" t="str">
        <f>VLOOKUP(C3151,[1]master_data!$A$2:$E$495,5,FALSE)</f>
        <v>Ikan</v>
      </c>
      <c r="L3151" s="5" t="s">
        <v>471</v>
      </c>
    </row>
    <row r="3152" spans="1:12" ht="12" customHeight="1" x14ac:dyDescent="0.25">
      <c r="A3152" s="6">
        <v>44636</v>
      </c>
      <c r="B3152" s="1">
        <v>2201411</v>
      </c>
      <c r="C3152" s="5" t="s">
        <v>386</v>
      </c>
      <c r="D3152" s="5" t="str">
        <f>VLOOKUP(C3152,[1]master_data!$A$2:$E$495,2,FALSE)</f>
        <v>BATU KARANG JAHE</v>
      </c>
      <c r="E3152" s="5">
        <v>1</v>
      </c>
      <c r="F3152" s="5">
        <f>VLOOKUP(C3152,[1]master_data!$A$2:$E$495,3,FALSE)</f>
        <v>15000</v>
      </c>
      <c r="G3152" s="5">
        <f>VLOOKUP(C3152,[1]master_data!$A$2:$E$495,4,FALSE)</f>
        <v>25000</v>
      </c>
      <c r="H3152" s="5">
        <f t="shared" si="153"/>
        <v>15000</v>
      </c>
      <c r="I3152" s="5">
        <f t="shared" si="154"/>
        <v>25000</v>
      </c>
      <c r="J3152" s="5">
        <f t="shared" si="155"/>
        <v>10000</v>
      </c>
      <c r="K3152" s="5" t="str">
        <f>VLOOKUP(C3152,[1]master_data!$A$2:$E$495,5,FALSE)</f>
        <v>Aksesoris</v>
      </c>
      <c r="L3152" s="5" t="s">
        <v>471</v>
      </c>
    </row>
    <row r="3153" spans="1:12" ht="12" customHeight="1" x14ac:dyDescent="0.25">
      <c r="A3153" s="6">
        <v>44636</v>
      </c>
      <c r="B3153" s="1">
        <v>2201410</v>
      </c>
      <c r="C3153" s="5" t="s">
        <v>410</v>
      </c>
      <c r="D3153" s="5" t="str">
        <f>VLOOKUP(C3153,[1]master_data!$A$2:$E$495,2,FALSE)</f>
        <v>GUPY</v>
      </c>
      <c r="E3153" s="5">
        <v>5</v>
      </c>
      <c r="F3153" s="5">
        <f>VLOOKUP(C3153,[1]master_data!$A$2:$E$495,3,FALSE)</f>
        <v>1200</v>
      </c>
      <c r="G3153" s="5">
        <f>VLOOKUP(C3153,[1]master_data!$A$2:$E$495,4,FALSE)</f>
        <v>2500</v>
      </c>
      <c r="H3153" s="5">
        <f t="shared" si="153"/>
        <v>6000</v>
      </c>
      <c r="I3153" s="5">
        <f t="shared" si="154"/>
        <v>12500</v>
      </c>
      <c r="J3153" s="5">
        <f t="shared" si="155"/>
        <v>6500</v>
      </c>
      <c r="K3153" s="5" t="str">
        <f>VLOOKUP(C3153,[1]master_data!$A$2:$E$495,5,FALSE)</f>
        <v>Ikan</v>
      </c>
      <c r="L3153" s="5" t="s">
        <v>471</v>
      </c>
    </row>
    <row r="3154" spans="1:12" ht="12" customHeight="1" x14ac:dyDescent="0.25">
      <c r="A3154" s="6">
        <v>44636</v>
      </c>
      <c r="B3154" s="1">
        <v>2201409</v>
      </c>
      <c r="C3154" s="5" t="s">
        <v>458</v>
      </c>
      <c r="D3154" s="5" t="str">
        <f>VLOOKUP(C3154,[1]master_data!$A$2:$E$495,2,FALSE)</f>
        <v>ZEBRA HIJAU</v>
      </c>
      <c r="E3154" s="5">
        <v>5</v>
      </c>
      <c r="F3154" s="5">
        <f>VLOOKUP(C3154,[1]master_data!$A$2:$E$495,3,FALSE)</f>
        <v>800</v>
      </c>
      <c r="G3154" s="5">
        <f>VLOOKUP(C3154,[1]master_data!$A$2:$E$495,4,FALSE)</f>
        <v>2000</v>
      </c>
      <c r="H3154" s="5">
        <f t="shared" si="153"/>
        <v>4000</v>
      </c>
      <c r="I3154" s="5">
        <f t="shared" si="154"/>
        <v>10000</v>
      </c>
      <c r="J3154" s="5">
        <f t="shared" si="155"/>
        <v>6000</v>
      </c>
      <c r="K3154" s="5" t="str">
        <f>VLOOKUP(C3154,[1]master_data!$A$2:$E$495,5,FALSE)</f>
        <v>Ikan</v>
      </c>
      <c r="L3154" s="5" t="s">
        <v>471</v>
      </c>
    </row>
    <row r="3155" spans="1:12" ht="12" customHeight="1" x14ac:dyDescent="0.25">
      <c r="A3155" s="6">
        <v>44636</v>
      </c>
      <c r="B3155" s="1">
        <v>2201408</v>
      </c>
      <c r="C3155" s="5" t="s">
        <v>462</v>
      </c>
      <c r="D3155" s="5" t="str">
        <f>VLOOKUP(C3155,[1]master_data!$A$2:$E$495,2,FALSE)</f>
        <v>SEPAT ALBINO</v>
      </c>
      <c r="E3155" s="5">
        <v>2</v>
      </c>
      <c r="F3155" s="5">
        <f>VLOOKUP(C3155,[1]master_data!$A$2:$E$495,3,FALSE)</f>
        <v>2000</v>
      </c>
      <c r="G3155" s="5">
        <f>VLOOKUP(C3155,[1]master_data!$A$2:$E$495,4,FALSE)</f>
        <v>5000</v>
      </c>
      <c r="H3155" s="5">
        <f t="shared" si="153"/>
        <v>4000</v>
      </c>
      <c r="I3155" s="5">
        <f t="shared" si="154"/>
        <v>10000</v>
      </c>
      <c r="J3155" s="5">
        <f t="shared" si="155"/>
        <v>6000</v>
      </c>
      <c r="K3155" s="5" t="str">
        <f>VLOOKUP(C3155,[1]master_data!$A$2:$E$495,5,FALSE)</f>
        <v>Ikan</v>
      </c>
      <c r="L3155" s="5" t="s">
        <v>471</v>
      </c>
    </row>
    <row r="3156" spans="1:12" ht="12" customHeight="1" x14ac:dyDescent="0.25">
      <c r="A3156" s="6">
        <v>44636</v>
      </c>
      <c r="B3156" s="1">
        <v>2201407</v>
      </c>
      <c r="C3156" s="5" t="s">
        <v>416</v>
      </c>
      <c r="D3156" s="5" t="str">
        <f>VLOOKUP(C3156,[1]master_data!$A$2:$E$495,2,FALSE)</f>
        <v>KOI K</v>
      </c>
      <c r="E3156" s="5">
        <v>3</v>
      </c>
      <c r="F3156" s="5">
        <f>VLOOKUP(C3156,[1]master_data!$A$2:$E$495,3,FALSE)</f>
        <v>2500</v>
      </c>
      <c r="G3156" s="5">
        <f>VLOOKUP(C3156,[1]master_data!$A$2:$E$495,4,FALSE)</f>
        <v>10000</v>
      </c>
      <c r="H3156" s="5">
        <f t="shared" si="153"/>
        <v>7500</v>
      </c>
      <c r="I3156" s="5">
        <f t="shared" si="154"/>
        <v>30000</v>
      </c>
      <c r="J3156" s="5">
        <f t="shared" si="155"/>
        <v>22500</v>
      </c>
      <c r="K3156" s="5" t="str">
        <f>VLOOKUP(C3156,[1]master_data!$A$2:$E$495,5,FALSE)</f>
        <v>Ikan</v>
      </c>
      <c r="L3156" s="5" t="s">
        <v>471</v>
      </c>
    </row>
    <row r="3157" spans="1:12" ht="12" customHeight="1" x14ac:dyDescent="0.25">
      <c r="A3157" s="6">
        <v>44636</v>
      </c>
      <c r="B3157" s="1">
        <v>2201406</v>
      </c>
      <c r="C3157" s="5" t="s">
        <v>257</v>
      </c>
      <c r="D3157" s="5" t="str">
        <f>VLOOKUP(C3157,[1]master_data!$A$2:$E$495,2,FALSE)</f>
        <v>BILTS K</v>
      </c>
      <c r="E3157" s="5">
        <v>1</v>
      </c>
      <c r="F3157" s="5">
        <f>VLOOKUP(C3157,[1]master_data!$A$2:$E$495,3,FALSE)</f>
        <v>5000</v>
      </c>
      <c r="G3157" s="5">
        <f>VLOOKUP(C3157,[1]master_data!$A$2:$E$495,4,FALSE)</f>
        <v>7000</v>
      </c>
      <c r="H3157" s="5">
        <f t="shared" si="153"/>
        <v>5000</v>
      </c>
      <c r="I3157" s="5">
        <f t="shared" si="154"/>
        <v>7000</v>
      </c>
      <c r="J3157" s="5">
        <f t="shared" si="155"/>
        <v>2000</v>
      </c>
      <c r="K3157" s="5" t="str">
        <f>VLOOKUP(C3157,[1]master_data!$A$2:$E$495,5,FALSE)</f>
        <v>Aksesoris</v>
      </c>
      <c r="L3157" s="5" t="s">
        <v>471</v>
      </c>
    </row>
    <row r="3158" spans="1:12" ht="12" customHeight="1" x14ac:dyDescent="0.25">
      <c r="A3158" s="6">
        <v>44636</v>
      </c>
      <c r="B3158" s="1">
        <v>2201405</v>
      </c>
      <c r="C3158" s="5" t="s">
        <v>421</v>
      </c>
      <c r="D3158" s="5" t="str">
        <f>VLOOKUP(C3158,[1]master_data!$A$2:$E$495,2,FALSE)</f>
        <v>KOMET PAKAN</v>
      </c>
      <c r="E3158" s="5">
        <v>20</v>
      </c>
      <c r="F3158" s="5">
        <f>VLOOKUP(C3158,[1]master_data!$A$2:$E$495,3,FALSE)</f>
        <v>300</v>
      </c>
      <c r="G3158" s="5">
        <f>VLOOKUP(C3158,[1]master_data!$A$2:$E$495,4,FALSE)</f>
        <v>1000</v>
      </c>
      <c r="H3158" s="5">
        <f t="shared" si="153"/>
        <v>6000</v>
      </c>
      <c r="I3158" s="5">
        <f t="shared" si="154"/>
        <v>20000</v>
      </c>
      <c r="J3158" s="5">
        <f t="shared" si="155"/>
        <v>14000</v>
      </c>
      <c r="K3158" s="5" t="str">
        <f>VLOOKUP(C3158,[1]master_data!$A$2:$E$495,5,FALSE)</f>
        <v>Ikan</v>
      </c>
      <c r="L3158" s="5" t="s">
        <v>471</v>
      </c>
    </row>
    <row r="3159" spans="1:12" ht="12" customHeight="1" x14ac:dyDescent="0.25">
      <c r="A3159" s="6">
        <v>44636</v>
      </c>
      <c r="B3159" s="1">
        <v>2201404</v>
      </c>
      <c r="C3159" s="5" t="s">
        <v>427</v>
      </c>
      <c r="D3159" s="5" t="str">
        <f>VLOOKUP(C3159,[1]master_data!$A$2:$E$495,2,FALSE)</f>
        <v>LEMON</v>
      </c>
      <c r="E3159" s="5">
        <v>10</v>
      </c>
      <c r="F3159" s="5">
        <f>VLOOKUP(C3159,[1]master_data!$A$2:$E$495,3,FALSE)</f>
        <v>1000</v>
      </c>
      <c r="G3159" s="5">
        <f>VLOOKUP(C3159,[1]master_data!$A$2:$E$495,4,FALSE)</f>
        <v>2000</v>
      </c>
      <c r="H3159" s="5">
        <f t="shared" si="153"/>
        <v>10000</v>
      </c>
      <c r="I3159" s="5">
        <f t="shared" si="154"/>
        <v>20000</v>
      </c>
      <c r="J3159" s="5">
        <f t="shared" si="155"/>
        <v>10000</v>
      </c>
      <c r="K3159" s="5" t="str">
        <f>VLOOKUP(C3159,[1]master_data!$A$2:$E$495,5,FALSE)</f>
        <v>Ikan</v>
      </c>
      <c r="L3159" s="5" t="s">
        <v>471</v>
      </c>
    </row>
    <row r="3160" spans="1:12" ht="12" customHeight="1" x14ac:dyDescent="0.25">
      <c r="A3160" s="6">
        <v>44636</v>
      </c>
      <c r="B3160" s="1">
        <v>2201403</v>
      </c>
      <c r="C3160" s="5" t="s">
        <v>429</v>
      </c>
      <c r="D3160" s="5" t="str">
        <f>VLOOKUP(C3160,[1]master_data!$A$2:$E$495,2,FALSE)</f>
        <v>LOUHAN SUPER</v>
      </c>
      <c r="E3160" s="5">
        <v>1</v>
      </c>
      <c r="F3160" s="5">
        <f>VLOOKUP(C3160,[1]master_data!$A$2:$E$495,3,FALSE)</f>
        <v>300000</v>
      </c>
      <c r="G3160" s="5">
        <f>VLOOKUP(C3160,[1]master_data!$A$2:$E$495,4,FALSE)</f>
        <v>500000</v>
      </c>
      <c r="H3160" s="5">
        <f t="shared" si="153"/>
        <v>300000</v>
      </c>
      <c r="I3160" s="5">
        <f t="shared" si="154"/>
        <v>500000</v>
      </c>
      <c r="J3160" s="5">
        <f t="shared" si="155"/>
        <v>200000</v>
      </c>
      <c r="K3160" s="5" t="str">
        <f>VLOOKUP(C3160,[1]master_data!$A$2:$E$495,5,FALSE)</f>
        <v>Ikan</v>
      </c>
      <c r="L3160" s="5" t="s">
        <v>471</v>
      </c>
    </row>
    <row r="3161" spans="1:12" ht="12" customHeight="1" x14ac:dyDescent="0.25">
      <c r="A3161" s="6">
        <v>44636</v>
      </c>
      <c r="B3161" s="1">
        <v>2201402</v>
      </c>
      <c r="C3161" s="5" t="s">
        <v>233</v>
      </c>
      <c r="D3161" s="5" t="str">
        <f>VLOOKUP(C3161,[1]master_data!$A$2:$E$495,2,FALSE)</f>
        <v>FISH LOVE PAKAN</v>
      </c>
      <c r="E3161" s="5">
        <v>1</v>
      </c>
      <c r="F3161" s="5">
        <f>VLOOKUP(C3161,[1]master_data!$A$2:$E$495,3,FALSE)</f>
        <v>2500</v>
      </c>
      <c r="G3161" s="5">
        <f>VLOOKUP(C3161,[1]master_data!$A$2:$E$495,4,FALSE)</f>
        <v>5000</v>
      </c>
      <c r="H3161" s="5">
        <f t="shared" si="153"/>
        <v>2500</v>
      </c>
      <c r="I3161" s="5">
        <f t="shared" si="154"/>
        <v>5000</v>
      </c>
      <c r="J3161" s="5">
        <f t="shared" si="155"/>
        <v>2500</v>
      </c>
      <c r="K3161" s="5" t="str">
        <f>VLOOKUP(C3161,[1]master_data!$A$2:$E$495,5,FALSE)</f>
        <v>Aksesoris</v>
      </c>
      <c r="L3161" s="5" t="s">
        <v>471</v>
      </c>
    </row>
    <row r="3162" spans="1:12" ht="12" customHeight="1" x14ac:dyDescent="0.25">
      <c r="A3162" s="6">
        <v>44636</v>
      </c>
      <c r="B3162" s="1">
        <v>2201401</v>
      </c>
      <c r="C3162" s="5" t="s">
        <v>456</v>
      </c>
      <c r="D3162" s="5" t="str">
        <f>VLOOKUP(C3162,[1]master_data!$A$2:$E$495,2,FALSE)</f>
        <v>TOMAN</v>
      </c>
      <c r="E3162" s="5">
        <v>1</v>
      </c>
      <c r="F3162" s="5">
        <f>VLOOKUP(C3162,[1]master_data!$A$2:$E$495,3,FALSE)</f>
        <v>10000</v>
      </c>
      <c r="G3162" s="5">
        <f>VLOOKUP(C3162,[1]master_data!$A$2:$E$495,4,FALSE)</f>
        <v>25000</v>
      </c>
      <c r="H3162" s="5">
        <f t="shared" si="153"/>
        <v>10000</v>
      </c>
      <c r="I3162" s="5">
        <f t="shared" si="154"/>
        <v>25000</v>
      </c>
      <c r="J3162" s="5">
        <f t="shared" si="155"/>
        <v>15000</v>
      </c>
      <c r="K3162" s="5" t="str">
        <f>VLOOKUP(C3162,[1]master_data!$A$2:$E$495,5,FALSE)</f>
        <v>Ikan</v>
      </c>
      <c r="L3162" s="5" t="s">
        <v>471</v>
      </c>
    </row>
    <row r="3163" spans="1:12" ht="12" customHeight="1" x14ac:dyDescent="0.25">
      <c r="A3163" s="6">
        <v>44636</v>
      </c>
      <c r="B3163" s="1">
        <v>2201400</v>
      </c>
      <c r="C3163" s="5" t="s">
        <v>311</v>
      </c>
      <c r="D3163" s="5" t="str">
        <f>VLOOKUP(C3163,[1]master_data!$A$2:$E$495,2,FALSE)</f>
        <v>L PIPA</v>
      </c>
      <c r="E3163" s="5">
        <v>3</v>
      </c>
      <c r="F3163" s="5">
        <f>VLOOKUP(C3163,[1]master_data!$A$2:$E$495,3,FALSE)</f>
        <v>800</v>
      </c>
      <c r="G3163" s="5">
        <f>VLOOKUP(C3163,[1]master_data!$A$2:$E$495,4,FALSE)</f>
        <v>2000</v>
      </c>
      <c r="H3163" s="5">
        <f t="shared" si="153"/>
        <v>2400</v>
      </c>
      <c r="I3163" s="5">
        <f t="shared" si="154"/>
        <v>6000</v>
      </c>
      <c r="J3163" s="5">
        <f t="shared" si="155"/>
        <v>3600</v>
      </c>
      <c r="K3163" s="5" t="str">
        <f>VLOOKUP(C3163,[1]master_data!$A$2:$E$495,5,FALSE)</f>
        <v>Aksesoris</v>
      </c>
      <c r="L3163" s="5" t="s">
        <v>471</v>
      </c>
    </row>
    <row r="3164" spans="1:12" ht="12" customHeight="1" x14ac:dyDescent="0.25">
      <c r="A3164" s="6">
        <v>44636</v>
      </c>
      <c r="B3164" s="1">
        <v>2201399</v>
      </c>
      <c r="C3164" s="5" t="s">
        <v>434</v>
      </c>
      <c r="D3164" s="5" t="str">
        <f>VLOOKUP(C3164,[1]master_data!$A$2:$E$495,2,FALSE)</f>
        <v>MOLI PAKAN</v>
      </c>
      <c r="E3164" s="5">
        <v>50</v>
      </c>
      <c r="F3164" s="5">
        <f>VLOOKUP(C3164,[1]master_data!$A$2:$E$495,3,FALSE)</f>
        <v>100</v>
      </c>
      <c r="G3164" s="5">
        <f>VLOOKUP(C3164,[1]master_data!$A$2:$E$495,4,FALSE)</f>
        <v>200</v>
      </c>
      <c r="H3164" s="5">
        <f t="shared" si="153"/>
        <v>5000</v>
      </c>
      <c r="I3164" s="5">
        <f t="shared" si="154"/>
        <v>10000</v>
      </c>
      <c r="J3164" s="5">
        <f t="shared" si="155"/>
        <v>5000</v>
      </c>
      <c r="K3164" s="5" t="str">
        <f>VLOOKUP(C3164,[1]master_data!$A$2:$E$495,5,FALSE)</f>
        <v>Ikan</v>
      </c>
      <c r="L3164" s="5" t="s">
        <v>471</v>
      </c>
    </row>
    <row r="3165" spans="1:12" ht="12" customHeight="1" x14ac:dyDescent="0.25">
      <c r="A3165" s="6">
        <v>44636</v>
      </c>
      <c r="B3165" s="1">
        <v>2201398</v>
      </c>
      <c r="C3165" s="5" t="s">
        <v>437</v>
      </c>
      <c r="D3165" s="5" t="str">
        <f>VLOOKUP(C3165,[1]master_data!$A$2:$E$495,2,FALSE)</f>
        <v>RED EYE TETRA</v>
      </c>
      <c r="E3165" s="5">
        <v>10</v>
      </c>
      <c r="F3165" s="5">
        <f>VLOOKUP(C3165,[1]master_data!$A$2:$E$495,3,FALSE)</f>
        <v>900</v>
      </c>
      <c r="G3165" s="5">
        <f>VLOOKUP(C3165,[1]master_data!$A$2:$E$495,4,FALSE)</f>
        <v>2000</v>
      </c>
      <c r="H3165" s="5">
        <f t="shared" si="153"/>
        <v>9000</v>
      </c>
      <c r="I3165" s="5">
        <f t="shared" si="154"/>
        <v>20000</v>
      </c>
      <c r="J3165" s="5">
        <f t="shared" si="155"/>
        <v>11000</v>
      </c>
      <c r="K3165" s="5" t="str">
        <f>VLOOKUP(C3165,[1]master_data!$A$2:$E$495,5,FALSE)</f>
        <v>Ikan</v>
      </c>
      <c r="L3165" s="5" t="s">
        <v>471</v>
      </c>
    </row>
    <row r="3166" spans="1:12" ht="12" customHeight="1" x14ac:dyDescent="0.25">
      <c r="A3166" s="6">
        <v>44636</v>
      </c>
      <c r="B3166" s="1">
        <v>2201397</v>
      </c>
      <c r="C3166" s="5" t="s">
        <v>415</v>
      </c>
      <c r="D3166" s="5" t="str">
        <f>VLOOKUP(C3166,[1]master_data!$A$2:$E$495,2,FALSE)</f>
        <v>KOKI B</v>
      </c>
      <c r="E3166" s="5">
        <v>2</v>
      </c>
      <c r="F3166" s="5">
        <f>VLOOKUP(C3166,[1]master_data!$A$2:$E$495,3,FALSE)</f>
        <v>20000</v>
      </c>
      <c r="G3166" s="5">
        <f>VLOOKUP(C3166,[1]master_data!$A$2:$E$495,4,FALSE)</f>
        <v>50000</v>
      </c>
      <c r="H3166" s="5">
        <f t="shared" si="153"/>
        <v>40000</v>
      </c>
      <c r="I3166" s="5">
        <f t="shared" si="154"/>
        <v>100000</v>
      </c>
      <c r="J3166" s="5">
        <f t="shared" si="155"/>
        <v>60000</v>
      </c>
      <c r="K3166" s="5" t="str">
        <f>VLOOKUP(C3166,[1]master_data!$A$2:$E$495,5,FALSE)</f>
        <v>Ikan</v>
      </c>
      <c r="L3166" s="5" t="s">
        <v>471</v>
      </c>
    </row>
    <row r="3167" spans="1:12" ht="12" customHeight="1" x14ac:dyDescent="0.25">
      <c r="A3167" s="6">
        <v>44636</v>
      </c>
      <c r="B3167" s="1">
        <v>2201396</v>
      </c>
      <c r="C3167" s="5" t="s">
        <v>432</v>
      </c>
      <c r="D3167" s="5" t="str">
        <f>VLOOKUP(C3167,[1]master_data!$A$2:$E$495,2,FALSE)</f>
        <v>MARU K</v>
      </c>
      <c r="E3167" s="5">
        <v>1</v>
      </c>
      <c r="F3167" s="5">
        <f>VLOOKUP(C3167,[1]master_data!$A$2:$E$495,3,FALSE)</f>
        <v>23000</v>
      </c>
      <c r="G3167" s="5">
        <f>VLOOKUP(C3167,[1]master_data!$A$2:$E$495,4,FALSE)</f>
        <v>50000</v>
      </c>
      <c r="H3167" s="5">
        <f t="shared" si="153"/>
        <v>23000</v>
      </c>
      <c r="I3167" s="5">
        <f t="shared" si="154"/>
        <v>50000</v>
      </c>
      <c r="J3167" s="5">
        <f t="shared" si="155"/>
        <v>27000</v>
      </c>
      <c r="K3167" s="5" t="str">
        <f>VLOOKUP(C3167,[1]master_data!$A$2:$E$495,5,FALSE)</f>
        <v>Ikan</v>
      </c>
      <c r="L3167" s="5" t="s">
        <v>471</v>
      </c>
    </row>
    <row r="3168" spans="1:12" ht="12" customHeight="1" x14ac:dyDescent="0.25">
      <c r="A3168" s="6">
        <v>44636</v>
      </c>
      <c r="B3168" s="1">
        <v>2201395</v>
      </c>
      <c r="C3168" s="5" t="s">
        <v>383</v>
      </c>
      <c r="D3168" s="5" t="str">
        <f>VLOOKUP(C3168,[1]master_data!$A$2:$E$495,2,FALSE)</f>
        <v>BATU GOMBONG K</v>
      </c>
      <c r="E3168" s="5">
        <v>1</v>
      </c>
      <c r="F3168" s="5">
        <f>VLOOKUP(C3168,[1]master_data!$A$2:$E$495,3,FALSE)</f>
        <v>20000</v>
      </c>
      <c r="G3168" s="5">
        <f>VLOOKUP(C3168,[1]master_data!$A$2:$E$495,4,FALSE)</f>
        <v>40000</v>
      </c>
      <c r="H3168" s="5">
        <f t="shared" si="153"/>
        <v>20000</v>
      </c>
      <c r="I3168" s="5">
        <f t="shared" si="154"/>
        <v>40000</v>
      </c>
      <c r="J3168" s="5">
        <f t="shared" si="155"/>
        <v>20000</v>
      </c>
      <c r="K3168" s="5" t="str">
        <f>VLOOKUP(C3168,[1]master_data!$A$2:$E$495,5,FALSE)</f>
        <v>Aksesoris</v>
      </c>
      <c r="L3168" s="5" t="s">
        <v>471</v>
      </c>
    </row>
    <row r="3169" spans="1:12" ht="12" customHeight="1" x14ac:dyDescent="0.25">
      <c r="A3169" s="6">
        <v>44636</v>
      </c>
      <c r="B3169" s="1">
        <v>2201394</v>
      </c>
      <c r="C3169" s="5" t="s">
        <v>112</v>
      </c>
      <c r="D3169" s="5" t="str">
        <f>VLOOKUP(C3169,[1]master_data!$A$2:$E$495,2,FALSE)</f>
        <v>LED ROSTON 20 CM</v>
      </c>
      <c r="E3169" s="5">
        <v>1</v>
      </c>
      <c r="F3169" s="5">
        <f>VLOOKUP(C3169,[1]master_data!$A$2:$E$495,3,FALSE)</f>
        <v>21000</v>
      </c>
      <c r="G3169" s="5">
        <f>VLOOKUP(C3169,[1]master_data!$A$2:$E$495,4,FALSE)</f>
        <v>30000</v>
      </c>
      <c r="H3169" s="5">
        <f t="shared" si="153"/>
        <v>21000</v>
      </c>
      <c r="I3169" s="5">
        <f t="shared" si="154"/>
        <v>30000</v>
      </c>
      <c r="J3169" s="5">
        <f t="shared" si="155"/>
        <v>9000</v>
      </c>
      <c r="K3169" s="5" t="str">
        <f>VLOOKUP(C3169,[1]master_data!$A$2:$E$495,5,FALSE)</f>
        <v>Aksesoris</v>
      </c>
      <c r="L3169" s="5" t="s">
        <v>471</v>
      </c>
    </row>
    <row r="3170" spans="1:12" ht="12" customHeight="1" x14ac:dyDescent="0.25">
      <c r="A3170" s="6">
        <v>44636</v>
      </c>
      <c r="B3170" s="1">
        <v>2201393</v>
      </c>
      <c r="C3170" s="5" t="s">
        <v>460</v>
      </c>
      <c r="D3170" s="5" t="str">
        <f>VLOOKUP(C3170,[1]master_data!$A$2:$E$495,2,FALSE)</f>
        <v>ZEBRA KUNING</v>
      </c>
      <c r="E3170" s="5">
        <v>10</v>
      </c>
      <c r="F3170" s="5">
        <f>VLOOKUP(C3170,[1]master_data!$A$2:$E$495,3,FALSE)</f>
        <v>800</v>
      </c>
      <c r="G3170" s="5">
        <f>VLOOKUP(C3170,[1]master_data!$A$2:$E$495,4,FALSE)</f>
        <v>2000</v>
      </c>
      <c r="H3170" s="5">
        <f t="shared" si="153"/>
        <v>8000</v>
      </c>
      <c r="I3170" s="5">
        <f t="shared" si="154"/>
        <v>20000</v>
      </c>
      <c r="J3170" s="5">
        <f t="shared" si="155"/>
        <v>12000</v>
      </c>
      <c r="K3170" s="5" t="str">
        <f>VLOOKUP(C3170,[1]master_data!$A$2:$E$495,5,FALSE)</f>
        <v>Ikan</v>
      </c>
      <c r="L3170" s="5" t="s">
        <v>471</v>
      </c>
    </row>
    <row r="3171" spans="1:12" ht="12" customHeight="1" x14ac:dyDescent="0.25">
      <c r="A3171" s="6">
        <v>44636</v>
      </c>
      <c r="B3171" s="1">
        <v>2201392</v>
      </c>
      <c r="C3171" s="5" t="s">
        <v>333</v>
      </c>
      <c r="D3171" s="5" t="str">
        <f>VLOOKUP(C3171,[1]master_data!$A$2:$E$495,2,FALSE)</f>
        <v>KAPAS 2 LAPIS</v>
      </c>
      <c r="E3171" s="5">
        <v>1</v>
      </c>
      <c r="F3171" s="5">
        <f>VLOOKUP(C3171,[1]master_data!$A$2:$E$495,3,FALSE)</f>
        <v>2000</v>
      </c>
      <c r="G3171" s="5">
        <f>VLOOKUP(C3171,[1]master_data!$A$2:$E$495,4,FALSE)</f>
        <v>4000</v>
      </c>
      <c r="H3171" s="5">
        <f t="shared" si="153"/>
        <v>2000</v>
      </c>
      <c r="I3171" s="5">
        <f t="shared" si="154"/>
        <v>4000</v>
      </c>
      <c r="J3171" s="5">
        <f t="shared" si="155"/>
        <v>2000</v>
      </c>
      <c r="K3171" s="5" t="str">
        <f>VLOOKUP(C3171,[1]master_data!$A$2:$E$495,5,FALSE)</f>
        <v>Aksesoris</v>
      </c>
      <c r="L3171" s="5" t="s">
        <v>471</v>
      </c>
    </row>
    <row r="3172" spans="1:12" ht="12" customHeight="1" x14ac:dyDescent="0.25">
      <c r="A3172" s="6">
        <v>44636</v>
      </c>
      <c r="B3172" s="1">
        <v>2201391</v>
      </c>
      <c r="C3172" s="5" t="s">
        <v>409</v>
      </c>
      <c r="D3172" s="5" t="str">
        <f>VLOOKUP(C3172,[1]master_data!$A$2:$E$495,2,FALSE)</f>
        <v>GOLD FISH</v>
      </c>
      <c r="E3172" s="5">
        <v>10</v>
      </c>
      <c r="F3172" s="5">
        <f>VLOOKUP(C3172,[1]master_data!$A$2:$E$495,3,FALSE)</f>
        <v>800</v>
      </c>
      <c r="G3172" s="5">
        <f>VLOOKUP(C3172,[1]master_data!$A$2:$E$495,4,FALSE)</f>
        <v>2000</v>
      </c>
      <c r="H3172" s="5">
        <f t="shared" si="153"/>
        <v>8000</v>
      </c>
      <c r="I3172" s="5">
        <f t="shared" si="154"/>
        <v>20000</v>
      </c>
      <c r="J3172" s="5">
        <f t="shared" si="155"/>
        <v>12000</v>
      </c>
      <c r="K3172" s="5" t="str">
        <f>VLOOKUP(C3172,[1]master_data!$A$2:$E$495,5,FALSE)</f>
        <v>Ikan</v>
      </c>
      <c r="L3172" s="5" t="s">
        <v>471</v>
      </c>
    </row>
    <row r="3173" spans="1:12" ht="12" customHeight="1" x14ac:dyDescent="0.25">
      <c r="A3173" s="6">
        <v>44635</v>
      </c>
      <c r="B3173" s="1">
        <v>2201390</v>
      </c>
      <c r="C3173" s="5" t="s">
        <v>285</v>
      </c>
      <c r="D3173" s="5" t="str">
        <f>VLOOKUP(C3173,[1]master_data!$A$2:$E$495,2,FALSE)</f>
        <v>KAPAS 4 LAPIS</v>
      </c>
      <c r="E3173" s="5">
        <v>1</v>
      </c>
      <c r="F3173" s="5">
        <f>VLOOKUP(C3173,[1]master_data!$A$2:$E$495,3,FALSE)</f>
        <v>6500</v>
      </c>
      <c r="G3173" s="5">
        <f>VLOOKUP(C3173,[1]master_data!$A$2:$E$495,4,FALSE)</f>
        <v>10000</v>
      </c>
      <c r="H3173" s="5">
        <f t="shared" si="153"/>
        <v>6500</v>
      </c>
      <c r="I3173" s="5">
        <f t="shared" si="154"/>
        <v>10000</v>
      </c>
      <c r="J3173" s="5">
        <f t="shared" si="155"/>
        <v>3500</v>
      </c>
      <c r="K3173" s="5" t="str">
        <f>VLOOKUP(C3173,[1]master_data!$A$2:$E$495,5,FALSE)</f>
        <v>Aksesoris</v>
      </c>
      <c r="L3173" s="5" t="s">
        <v>471</v>
      </c>
    </row>
    <row r="3174" spans="1:12" ht="12" customHeight="1" x14ac:dyDescent="0.25">
      <c r="A3174" s="6">
        <v>44635</v>
      </c>
      <c r="B3174" s="1">
        <v>2201389</v>
      </c>
      <c r="C3174" s="5" t="s">
        <v>443</v>
      </c>
      <c r="D3174" s="5" t="str">
        <f>VLOOKUP(C3174,[1]master_data!$A$2:$E$495,2,FALSE)</f>
        <v>PALMAS</v>
      </c>
      <c r="E3174" s="5">
        <v>2</v>
      </c>
      <c r="F3174" s="5">
        <f>VLOOKUP(C3174,[1]master_data!$A$2:$E$495,3,FALSE)</f>
        <v>10000</v>
      </c>
      <c r="G3174" s="5">
        <f>VLOOKUP(C3174,[1]master_data!$A$2:$E$495,4,FALSE)</f>
        <v>25000</v>
      </c>
      <c r="H3174" s="5">
        <f t="shared" si="153"/>
        <v>20000</v>
      </c>
      <c r="I3174" s="5">
        <f t="shared" si="154"/>
        <v>50000</v>
      </c>
      <c r="J3174" s="5">
        <f t="shared" si="155"/>
        <v>30000</v>
      </c>
      <c r="K3174" s="5" t="str">
        <f>VLOOKUP(C3174,[1]master_data!$A$2:$E$495,5,FALSE)</f>
        <v>Ikan</v>
      </c>
      <c r="L3174" s="5" t="s">
        <v>471</v>
      </c>
    </row>
    <row r="3175" spans="1:12" ht="12" customHeight="1" x14ac:dyDescent="0.25">
      <c r="A3175" s="6">
        <v>44635</v>
      </c>
      <c r="B3175" s="1">
        <v>2201388</v>
      </c>
      <c r="C3175" s="5" t="s">
        <v>432</v>
      </c>
      <c r="D3175" s="5" t="str">
        <f>VLOOKUP(C3175,[1]master_data!$A$2:$E$495,2,FALSE)</f>
        <v>MARU K</v>
      </c>
      <c r="E3175" s="5">
        <v>1</v>
      </c>
      <c r="F3175" s="5">
        <f>VLOOKUP(C3175,[1]master_data!$A$2:$E$495,3,FALSE)</f>
        <v>23000</v>
      </c>
      <c r="G3175" s="5">
        <f>VLOOKUP(C3175,[1]master_data!$A$2:$E$495,4,FALSE)</f>
        <v>50000</v>
      </c>
      <c r="H3175" s="5">
        <f t="shared" si="153"/>
        <v>23000</v>
      </c>
      <c r="I3175" s="5">
        <f t="shared" si="154"/>
        <v>50000</v>
      </c>
      <c r="J3175" s="5">
        <f t="shared" si="155"/>
        <v>27000</v>
      </c>
      <c r="K3175" s="5" t="str">
        <f>VLOOKUP(C3175,[1]master_data!$A$2:$E$495,5,FALSE)</f>
        <v>Ikan</v>
      </c>
      <c r="L3175" s="5" t="s">
        <v>471</v>
      </c>
    </row>
    <row r="3176" spans="1:12" ht="12" customHeight="1" x14ac:dyDescent="0.25">
      <c r="A3176" s="6">
        <v>44635</v>
      </c>
      <c r="B3176" s="1">
        <v>2201387</v>
      </c>
      <c r="C3176" s="5" t="s">
        <v>439</v>
      </c>
      <c r="D3176" s="5" t="str">
        <f>VLOOKUP(C3176,[1]master_data!$A$2:$E$495,2,FALSE)</f>
        <v>NEON</v>
      </c>
      <c r="E3176" s="5">
        <v>3</v>
      </c>
      <c r="F3176" s="5">
        <f>VLOOKUP(C3176,[1]master_data!$A$2:$E$495,3,FALSE)</f>
        <v>1250</v>
      </c>
      <c r="G3176" s="5">
        <f>VLOOKUP(C3176,[1]master_data!$A$2:$E$495,4,FALSE)</f>
        <v>5000</v>
      </c>
      <c r="H3176" s="5">
        <f t="shared" si="153"/>
        <v>3750</v>
      </c>
      <c r="I3176" s="5">
        <f t="shared" si="154"/>
        <v>15000</v>
      </c>
      <c r="J3176" s="5">
        <f t="shared" si="155"/>
        <v>11250</v>
      </c>
      <c r="K3176" s="5" t="str">
        <f>VLOOKUP(C3176,[1]master_data!$A$2:$E$495,5,FALSE)</f>
        <v>Ikan</v>
      </c>
      <c r="L3176" s="5" t="s">
        <v>471</v>
      </c>
    </row>
    <row r="3177" spans="1:12" ht="12" customHeight="1" x14ac:dyDescent="0.25">
      <c r="A3177" s="6">
        <v>44635</v>
      </c>
      <c r="B3177" s="1">
        <v>2201386</v>
      </c>
      <c r="C3177" s="5" t="s">
        <v>308</v>
      </c>
      <c r="D3177" s="5" t="str">
        <f>VLOOKUP(C3177,[1]master_data!$A$2:$E$495,2,FALSE)</f>
        <v>SUPER BLUE</v>
      </c>
      <c r="E3177" s="5">
        <v>1</v>
      </c>
      <c r="F3177" s="5">
        <f>VLOOKUP(C3177,[1]master_data!$A$2:$E$495,3,FALSE)</f>
        <v>8000</v>
      </c>
      <c r="G3177" s="5">
        <f>VLOOKUP(C3177,[1]master_data!$A$2:$E$495,4,FALSE)</f>
        <v>12000</v>
      </c>
      <c r="H3177" s="5">
        <f t="shared" si="153"/>
        <v>8000</v>
      </c>
      <c r="I3177" s="5">
        <f t="shared" si="154"/>
        <v>12000</v>
      </c>
      <c r="J3177" s="5">
        <f t="shared" si="155"/>
        <v>4000</v>
      </c>
      <c r="K3177" s="5" t="str">
        <f>VLOOKUP(C3177,[1]master_data!$A$2:$E$495,5,FALSE)</f>
        <v>Aksesoris</v>
      </c>
      <c r="L3177" s="5" t="s">
        <v>471</v>
      </c>
    </row>
    <row r="3178" spans="1:12" ht="12" customHeight="1" x14ac:dyDescent="0.25">
      <c r="A3178" s="6">
        <v>44635</v>
      </c>
      <c r="B3178" s="1">
        <v>2201385</v>
      </c>
      <c r="C3178" s="5" t="s">
        <v>454</v>
      </c>
      <c r="D3178" s="5" t="str">
        <f>VLOOKUP(C3178,[1]master_data!$A$2:$E$495,2,FALSE)</f>
        <v>SYNODONTI B</v>
      </c>
      <c r="E3178" s="5">
        <v>2</v>
      </c>
      <c r="F3178" s="5">
        <f>VLOOKUP(C3178,[1]master_data!$A$2:$E$495,3,FALSE)</f>
        <v>4000</v>
      </c>
      <c r="G3178" s="5">
        <f>VLOOKUP(C3178,[1]master_data!$A$2:$E$495,4,FALSE)</f>
        <v>10000</v>
      </c>
      <c r="H3178" s="5">
        <f t="shared" si="153"/>
        <v>8000</v>
      </c>
      <c r="I3178" s="5">
        <f t="shared" si="154"/>
        <v>20000</v>
      </c>
      <c r="J3178" s="5">
        <f t="shared" si="155"/>
        <v>12000</v>
      </c>
      <c r="K3178" s="5" t="str">
        <f>VLOOKUP(C3178,[1]master_data!$A$2:$E$495,5,FALSE)</f>
        <v>Ikan</v>
      </c>
      <c r="L3178" s="5" t="s">
        <v>471</v>
      </c>
    </row>
    <row r="3179" spans="1:12" ht="12" customHeight="1" x14ac:dyDescent="0.25">
      <c r="A3179" s="6">
        <v>44635</v>
      </c>
      <c r="B3179" s="1">
        <v>2201384</v>
      </c>
      <c r="C3179" s="5" t="s">
        <v>410</v>
      </c>
      <c r="D3179" s="5" t="str">
        <f>VLOOKUP(C3179,[1]master_data!$A$2:$E$495,2,FALSE)</f>
        <v>GUPY</v>
      </c>
      <c r="E3179" s="5">
        <v>10</v>
      </c>
      <c r="F3179" s="5">
        <f>VLOOKUP(C3179,[1]master_data!$A$2:$E$495,3,FALSE)</f>
        <v>1200</v>
      </c>
      <c r="G3179" s="5">
        <f>VLOOKUP(C3179,[1]master_data!$A$2:$E$495,4,FALSE)</f>
        <v>2500</v>
      </c>
      <c r="H3179" s="5">
        <f t="shared" si="153"/>
        <v>12000</v>
      </c>
      <c r="I3179" s="5">
        <f t="shared" si="154"/>
        <v>25000</v>
      </c>
      <c r="J3179" s="5">
        <f t="shared" si="155"/>
        <v>13000</v>
      </c>
      <c r="K3179" s="5" t="str">
        <f>VLOOKUP(C3179,[1]master_data!$A$2:$E$495,5,FALSE)</f>
        <v>Ikan</v>
      </c>
      <c r="L3179" s="5" t="s">
        <v>471</v>
      </c>
    </row>
    <row r="3180" spans="1:12" ht="12" customHeight="1" x14ac:dyDescent="0.25">
      <c r="A3180" s="6">
        <v>44635</v>
      </c>
      <c r="B3180" s="1">
        <v>2201383</v>
      </c>
      <c r="C3180" s="5" t="s">
        <v>7</v>
      </c>
      <c r="D3180" s="5" t="str">
        <f>VLOOKUP(C3180,[1]master_data!$A$2:$E$495,2,FALSE)</f>
        <v>MESIN YANG 1600</v>
      </c>
      <c r="E3180" s="5">
        <v>1</v>
      </c>
      <c r="F3180" s="5">
        <f>VLOOKUP(C3180,[1]master_data!$A$2:$E$495,3,FALSE)</f>
        <v>64000</v>
      </c>
      <c r="G3180" s="5">
        <f>VLOOKUP(C3180,[1]master_data!$A$2:$E$495,4,FALSE)</f>
        <v>90000</v>
      </c>
      <c r="H3180" s="5">
        <f t="shared" si="153"/>
        <v>64000</v>
      </c>
      <c r="I3180" s="5">
        <f t="shared" si="154"/>
        <v>90000</v>
      </c>
      <c r="J3180" s="5">
        <f t="shared" si="155"/>
        <v>26000</v>
      </c>
      <c r="K3180" s="5" t="str">
        <f>VLOOKUP(C3180,[1]master_data!$A$2:$E$495,5,FALSE)</f>
        <v>Aksesoris</v>
      </c>
      <c r="L3180" s="5" t="s">
        <v>471</v>
      </c>
    </row>
    <row r="3181" spans="1:12" ht="12" customHeight="1" x14ac:dyDescent="0.25">
      <c r="A3181" s="6">
        <v>44635</v>
      </c>
      <c r="B3181" s="1">
        <v>2201382</v>
      </c>
      <c r="C3181" s="5" t="s">
        <v>311</v>
      </c>
      <c r="D3181" s="5" t="str">
        <f>VLOOKUP(C3181,[1]master_data!$A$2:$E$495,2,FALSE)</f>
        <v>L PIPA</v>
      </c>
      <c r="E3181" s="5">
        <v>30</v>
      </c>
      <c r="F3181" s="5">
        <f>VLOOKUP(C3181,[1]master_data!$A$2:$E$495,3,FALSE)</f>
        <v>800</v>
      </c>
      <c r="G3181" s="5">
        <f>VLOOKUP(C3181,[1]master_data!$A$2:$E$495,4,FALSE)</f>
        <v>2000</v>
      </c>
      <c r="H3181" s="5">
        <f t="shared" si="153"/>
        <v>24000</v>
      </c>
      <c r="I3181" s="5">
        <f t="shared" si="154"/>
        <v>60000</v>
      </c>
      <c r="J3181" s="5">
        <f t="shared" si="155"/>
        <v>36000</v>
      </c>
      <c r="K3181" s="5" t="str">
        <f>VLOOKUP(C3181,[1]master_data!$A$2:$E$495,5,FALSE)</f>
        <v>Aksesoris</v>
      </c>
      <c r="L3181" s="5" t="s">
        <v>471</v>
      </c>
    </row>
    <row r="3182" spans="1:12" ht="12" customHeight="1" x14ac:dyDescent="0.25">
      <c r="A3182" s="6">
        <v>44635</v>
      </c>
      <c r="B3182" s="1">
        <v>2201381</v>
      </c>
      <c r="C3182" s="5" t="s">
        <v>403</v>
      </c>
      <c r="D3182" s="5" t="str">
        <f>VLOOKUP(C3182,[1]master_data!$A$2:$E$495,2,FALSE)</f>
        <v>CHANNA BLUE PULCHRA K</v>
      </c>
      <c r="E3182" s="5">
        <v>2</v>
      </c>
      <c r="F3182" s="5">
        <f>VLOOKUP(C3182,[1]master_data!$A$2:$E$495,3,FALSE)</f>
        <v>25000</v>
      </c>
      <c r="G3182" s="5">
        <f>VLOOKUP(C3182,[1]master_data!$A$2:$E$495,4,FALSE)</f>
        <v>50000</v>
      </c>
      <c r="H3182" s="5">
        <f t="shared" si="153"/>
        <v>50000</v>
      </c>
      <c r="I3182" s="5">
        <f t="shared" si="154"/>
        <v>100000</v>
      </c>
      <c r="J3182" s="5">
        <f t="shared" si="155"/>
        <v>50000</v>
      </c>
      <c r="K3182" s="5" t="str">
        <f>VLOOKUP(C3182,[1]master_data!$A$2:$E$495,5,FALSE)</f>
        <v>Ikan</v>
      </c>
      <c r="L3182" s="5" t="s">
        <v>471</v>
      </c>
    </row>
    <row r="3183" spans="1:12" ht="12" customHeight="1" x14ac:dyDescent="0.25">
      <c r="A3183" s="6">
        <v>44635</v>
      </c>
      <c r="B3183" s="1">
        <v>2201380</v>
      </c>
      <c r="C3183" s="5" t="s">
        <v>333</v>
      </c>
      <c r="D3183" s="5" t="str">
        <f>VLOOKUP(C3183,[1]master_data!$A$2:$E$495,2,FALSE)</f>
        <v>KAPAS 2 LAPIS</v>
      </c>
      <c r="E3183" s="5">
        <v>1</v>
      </c>
      <c r="F3183" s="5">
        <f>VLOOKUP(C3183,[1]master_data!$A$2:$E$495,3,FALSE)</f>
        <v>2000</v>
      </c>
      <c r="G3183" s="5">
        <f>VLOOKUP(C3183,[1]master_data!$A$2:$E$495,4,FALSE)</f>
        <v>4000</v>
      </c>
      <c r="H3183" s="5">
        <f t="shared" si="153"/>
        <v>2000</v>
      </c>
      <c r="I3183" s="5">
        <f t="shared" si="154"/>
        <v>4000</v>
      </c>
      <c r="J3183" s="5">
        <f t="shared" si="155"/>
        <v>2000</v>
      </c>
      <c r="K3183" s="5" t="str">
        <f>VLOOKUP(C3183,[1]master_data!$A$2:$E$495,5,FALSE)</f>
        <v>Aksesoris</v>
      </c>
      <c r="L3183" s="5" t="s">
        <v>471</v>
      </c>
    </row>
    <row r="3184" spans="1:12" ht="12" customHeight="1" x14ac:dyDescent="0.25">
      <c r="A3184" s="6">
        <v>44635</v>
      </c>
      <c r="B3184" s="1">
        <v>2201379</v>
      </c>
      <c r="C3184" s="5" t="s">
        <v>434</v>
      </c>
      <c r="D3184" s="5" t="str">
        <f>VLOOKUP(C3184,[1]master_data!$A$2:$E$495,2,FALSE)</f>
        <v>MOLI PAKAN</v>
      </c>
      <c r="E3184" s="5">
        <v>100</v>
      </c>
      <c r="F3184" s="5">
        <f>VLOOKUP(C3184,[1]master_data!$A$2:$E$495,3,FALSE)</f>
        <v>100</v>
      </c>
      <c r="G3184" s="5">
        <f>VLOOKUP(C3184,[1]master_data!$A$2:$E$495,4,FALSE)</f>
        <v>200</v>
      </c>
      <c r="H3184" s="5">
        <f t="shared" si="153"/>
        <v>10000</v>
      </c>
      <c r="I3184" s="5">
        <f t="shared" si="154"/>
        <v>20000</v>
      </c>
      <c r="J3184" s="5">
        <f t="shared" si="155"/>
        <v>10000</v>
      </c>
      <c r="K3184" s="5" t="str">
        <f>VLOOKUP(C3184,[1]master_data!$A$2:$E$495,5,FALSE)</f>
        <v>Ikan</v>
      </c>
      <c r="L3184" s="5" t="s">
        <v>471</v>
      </c>
    </row>
    <row r="3185" spans="1:12" ht="12" customHeight="1" x14ac:dyDescent="0.25">
      <c r="A3185" s="6">
        <v>44635</v>
      </c>
      <c r="B3185" s="1">
        <v>2201378</v>
      </c>
      <c r="C3185" s="5" t="s">
        <v>418</v>
      </c>
      <c r="D3185" s="5" t="str">
        <f>VLOOKUP(C3185,[1]master_data!$A$2:$E$495,2,FALSE)</f>
        <v>KOI B</v>
      </c>
      <c r="E3185" s="5">
        <v>2</v>
      </c>
      <c r="F3185" s="5">
        <f>VLOOKUP(C3185,[1]master_data!$A$2:$E$495,3,FALSE)</f>
        <v>9000</v>
      </c>
      <c r="G3185" s="5">
        <f>VLOOKUP(C3185,[1]master_data!$A$2:$E$495,4,FALSE)</f>
        <v>30000</v>
      </c>
      <c r="H3185" s="5">
        <f t="shared" si="153"/>
        <v>18000</v>
      </c>
      <c r="I3185" s="5">
        <f t="shared" si="154"/>
        <v>60000</v>
      </c>
      <c r="J3185" s="5">
        <f t="shared" si="155"/>
        <v>42000</v>
      </c>
      <c r="K3185" s="5" t="str">
        <f>VLOOKUP(C3185,[1]master_data!$A$2:$E$495,5,FALSE)</f>
        <v>Ikan</v>
      </c>
      <c r="L3185" s="5" t="s">
        <v>471</v>
      </c>
    </row>
    <row r="3186" spans="1:12" ht="12" customHeight="1" x14ac:dyDescent="0.25">
      <c r="A3186" s="6">
        <v>44635</v>
      </c>
      <c r="B3186" s="1">
        <v>2201377</v>
      </c>
      <c r="C3186" s="5" t="s">
        <v>407</v>
      </c>
      <c r="D3186" s="5" t="str">
        <f>VLOOKUP(C3186,[1]master_data!$A$2:$E$495,2,FALSE)</f>
        <v>CUPANG</v>
      </c>
      <c r="E3186" s="5">
        <v>5</v>
      </c>
      <c r="F3186" s="5">
        <f>VLOOKUP(C3186,[1]master_data!$A$2:$E$495,3,FALSE)</f>
        <v>2000</v>
      </c>
      <c r="G3186" s="5">
        <f>VLOOKUP(C3186,[1]master_data!$A$2:$E$495,4,FALSE)</f>
        <v>5000</v>
      </c>
      <c r="H3186" s="5">
        <f t="shared" si="153"/>
        <v>10000</v>
      </c>
      <c r="I3186" s="5">
        <f t="shared" si="154"/>
        <v>25000</v>
      </c>
      <c r="J3186" s="5">
        <f t="shared" si="155"/>
        <v>15000</v>
      </c>
      <c r="K3186" s="5" t="str">
        <f>VLOOKUP(C3186,[1]master_data!$A$2:$E$495,5,FALSE)</f>
        <v>Ikan</v>
      </c>
      <c r="L3186" s="5" t="s">
        <v>471</v>
      </c>
    </row>
    <row r="3187" spans="1:12" ht="12" customHeight="1" x14ac:dyDescent="0.25">
      <c r="A3187" s="6">
        <v>44635</v>
      </c>
      <c r="B3187" s="1">
        <v>2201376</v>
      </c>
      <c r="C3187" s="5" t="s">
        <v>402</v>
      </c>
      <c r="D3187" s="5" t="str">
        <f>VLOOKUP(C3187,[1]master_data!$A$2:$E$495,2,FALSE)</f>
        <v>BLACK GHOST</v>
      </c>
      <c r="E3187" s="5">
        <v>1</v>
      </c>
      <c r="F3187" s="5">
        <f>VLOOKUP(C3187,[1]master_data!$A$2:$E$495,3,FALSE)</f>
        <v>4000</v>
      </c>
      <c r="G3187" s="5">
        <f>VLOOKUP(C3187,[1]master_data!$A$2:$E$495,4,FALSE)</f>
        <v>10000</v>
      </c>
      <c r="H3187" s="5">
        <f t="shared" si="153"/>
        <v>4000</v>
      </c>
      <c r="I3187" s="5">
        <f t="shared" si="154"/>
        <v>10000</v>
      </c>
      <c r="J3187" s="5">
        <f t="shared" si="155"/>
        <v>6000</v>
      </c>
      <c r="K3187" s="5" t="str">
        <f>VLOOKUP(C3187,[1]master_data!$A$2:$E$495,5,FALSE)</f>
        <v>Ikan</v>
      </c>
      <c r="L3187" s="5" t="s">
        <v>471</v>
      </c>
    </row>
    <row r="3188" spans="1:12" ht="12" customHeight="1" x14ac:dyDescent="0.25">
      <c r="A3188" s="6">
        <v>44635</v>
      </c>
      <c r="B3188" s="1">
        <v>2201375</v>
      </c>
      <c r="C3188" s="5" t="s">
        <v>208</v>
      </c>
      <c r="D3188" s="5" t="str">
        <f>VLOOKUP(C3188,[1]master_data!$A$2:$E$495,2,FALSE)</f>
        <v>TOP VIT</v>
      </c>
      <c r="E3188" s="5">
        <v>2</v>
      </c>
      <c r="F3188" s="5">
        <f>VLOOKUP(C3188,[1]master_data!$A$2:$E$495,3,FALSE)</f>
        <v>4000</v>
      </c>
      <c r="G3188" s="5">
        <f>VLOOKUP(C3188,[1]master_data!$A$2:$E$495,4,FALSE)</f>
        <v>7000</v>
      </c>
      <c r="H3188" s="5">
        <f t="shared" si="153"/>
        <v>8000</v>
      </c>
      <c r="I3188" s="5">
        <f t="shared" si="154"/>
        <v>14000</v>
      </c>
      <c r="J3188" s="5">
        <f t="shared" si="155"/>
        <v>6000</v>
      </c>
      <c r="K3188" s="5" t="str">
        <f>VLOOKUP(C3188,[1]master_data!$A$2:$E$495,5,FALSE)</f>
        <v>Aksesoris</v>
      </c>
      <c r="L3188" s="5" t="s">
        <v>471</v>
      </c>
    </row>
    <row r="3189" spans="1:12" ht="12" customHeight="1" x14ac:dyDescent="0.25">
      <c r="A3189" s="6">
        <v>44635</v>
      </c>
      <c r="B3189" s="1">
        <v>2201374</v>
      </c>
      <c r="C3189" s="5" t="s">
        <v>451</v>
      </c>
      <c r="D3189" s="5" t="str">
        <f>VLOOKUP(C3189,[1]master_data!$A$2:$E$495,2,FALSE)</f>
        <v>SUMATRA GOLD FISH</v>
      </c>
      <c r="E3189" s="5">
        <v>10</v>
      </c>
      <c r="F3189" s="5">
        <f>VLOOKUP(C3189,[1]master_data!$A$2:$E$495,3,FALSE)</f>
        <v>2500</v>
      </c>
      <c r="G3189" s="5">
        <f>VLOOKUP(C3189,[1]master_data!$A$2:$E$495,4,FALSE)</f>
        <v>4000</v>
      </c>
      <c r="H3189" s="5">
        <f t="shared" si="153"/>
        <v>25000</v>
      </c>
      <c r="I3189" s="5">
        <f t="shared" si="154"/>
        <v>40000</v>
      </c>
      <c r="J3189" s="5">
        <f t="shared" si="155"/>
        <v>15000</v>
      </c>
      <c r="K3189" s="5" t="str">
        <f>VLOOKUP(C3189,[1]master_data!$A$2:$E$495,5,FALSE)</f>
        <v>Ikan</v>
      </c>
      <c r="L3189" s="5" t="s">
        <v>471</v>
      </c>
    </row>
    <row r="3190" spans="1:12" ht="12" customHeight="1" x14ac:dyDescent="0.25">
      <c r="A3190" s="6">
        <v>44634</v>
      </c>
      <c r="B3190" s="1">
        <v>2201373</v>
      </c>
      <c r="C3190" s="5" t="s">
        <v>427</v>
      </c>
      <c r="D3190" s="5" t="str">
        <f>VLOOKUP(C3190,[1]master_data!$A$2:$E$495,2,FALSE)</f>
        <v>LEMON</v>
      </c>
      <c r="E3190" s="5">
        <v>10</v>
      </c>
      <c r="F3190" s="5">
        <f>VLOOKUP(C3190,[1]master_data!$A$2:$E$495,3,FALSE)</f>
        <v>1000</v>
      </c>
      <c r="G3190" s="5">
        <f>VLOOKUP(C3190,[1]master_data!$A$2:$E$495,4,FALSE)</f>
        <v>2000</v>
      </c>
      <c r="H3190" s="5">
        <f t="shared" si="153"/>
        <v>10000</v>
      </c>
      <c r="I3190" s="5">
        <f t="shared" si="154"/>
        <v>20000</v>
      </c>
      <c r="J3190" s="5">
        <f t="shared" si="155"/>
        <v>10000</v>
      </c>
      <c r="K3190" s="5" t="str">
        <f>VLOOKUP(C3190,[1]master_data!$A$2:$E$495,5,FALSE)</f>
        <v>Ikan</v>
      </c>
      <c r="L3190" s="5" t="s">
        <v>471</v>
      </c>
    </row>
    <row r="3191" spans="1:12" ht="12" customHeight="1" x14ac:dyDescent="0.25">
      <c r="A3191" s="6">
        <v>44634</v>
      </c>
      <c r="B3191" s="1">
        <v>2201372</v>
      </c>
      <c r="C3191" s="5" t="s">
        <v>402</v>
      </c>
      <c r="D3191" s="5" t="str">
        <f>VLOOKUP(C3191,[1]master_data!$A$2:$E$495,2,FALSE)</f>
        <v>BLACK GHOST</v>
      </c>
      <c r="E3191" s="5">
        <v>2</v>
      </c>
      <c r="F3191" s="5">
        <f>VLOOKUP(C3191,[1]master_data!$A$2:$E$495,3,FALSE)</f>
        <v>4000</v>
      </c>
      <c r="G3191" s="5">
        <f>VLOOKUP(C3191,[1]master_data!$A$2:$E$495,4,FALSE)</f>
        <v>10000</v>
      </c>
      <c r="H3191" s="5">
        <f t="shared" si="153"/>
        <v>8000</v>
      </c>
      <c r="I3191" s="5">
        <f t="shared" si="154"/>
        <v>20000</v>
      </c>
      <c r="J3191" s="5">
        <f t="shared" si="155"/>
        <v>12000</v>
      </c>
      <c r="K3191" s="5" t="str">
        <f>VLOOKUP(C3191,[1]master_data!$A$2:$E$495,5,FALSE)</f>
        <v>Ikan</v>
      </c>
      <c r="L3191" s="5" t="s">
        <v>471</v>
      </c>
    </row>
    <row r="3192" spans="1:12" ht="12" customHeight="1" x14ac:dyDescent="0.25">
      <c r="A3192" s="6">
        <v>44634</v>
      </c>
      <c r="B3192" s="1">
        <v>2201371</v>
      </c>
      <c r="C3192" s="5" t="s">
        <v>20</v>
      </c>
      <c r="D3192" s="5" t="str">
        <f>VLOOKUP(C3192,[1]master_data!$A$2:$E$495,2,FALSE)</f>
        <v>MESIN ROSTON 1200</v>
      </c>
      <c r="E3192" s="5">
        <v>1</v>
      </c>
      <c r="F3192" s="5">
        <f>VLOOKUP(C3192,[1]master_data!$A$2:$E$495,3,FALSE)</f>
        <v>23000</v>
      </c>
      <c r="G3192" s="5">
        <f>VLOOKUP(C3192,[1]master_data!$A$2:$E$495,4,FALSE)</f>
        <v>35000</v>
      </c>
      <c r="H3192" s="5">
        <f t="shared" si="153"/>
        <v>23000</v>
      </c>
      <c r="I3192" s="5">
        <f t="shared" si="154"/>
        <v>35000</v>
      </c>
      <c r="J3192" s="5">
        <f t="shared" si="155"/>
        <v>12000</v>
      </c>
      <c r="K3192" s="5" t="str">
        <f>VLOOKUP(C3192,[1]master_data!$A$2:$E$495,5,FALSE)</f>
        <v>Aksesoris</v>
      </c>
      <c r="L3192" s="5" t="s">
        <v>471</v>
      </c>
    </row>
    <row r="3193" spans="1:12" ht="12" customHeight="1" x14ac:dyDescent="0.25">
      <c r="A3193" s="6">
        <v>44634</v>
      </c>
      <c r="B3193" s="1">
        <v>2201370</v>
      </c>
      <c r="C3193" s="5" t="s">
        <v>255</v>
      </c>
      <c r="D3193" s="5" t="str">
        <f>VLOOKUP(C3193,[1]master_data!$A$2:$E$495,2,FALSE)</f>
        <v>ACRIPLAVIN</v>
      </c>
      <c r="E3193" s="5">
        <v>1</v>
      </c>
      <c r="F3193" s="5">
        <f>VLOOKUP(C3193,[1]master_data!$A$2:$E$495,3,FALSE)</f>
        <v>3000</v>
      </c>
      <c r="G3193" s="5">
        <f>VLOOKUP(C3193,[1]master_data!$A$2:$E$495,4,FALSE)</f>
        <v>8000</v>
      </c>
      <c r="H3193" s="5">
        <f t="shared" si="153"/>
        <v>3000</v>
      </c>
      <c r="I3193" s="5">
        <f t="shared" si="154"/>
        <v>8000</v>
      </c>
      <c r="J3193" s="5">
        <f t="shared" si="155"/>
        <v>5000</v>
      </c>
      <c r="K3193" s="5" t="str">
        <f>VLOOKUP(C3193,[1]master_data!$A$2:$E$495,5,FALSE)</f>
        <v>Aksesoris</v>
      </c>
      <c r="L3193" s="5" t="s">
        <v>471</v>
      </c>
    </row>
    <row r="3194" spans="1:12" ht="12" customHeight="1" x14ac:dyDescent="0.25">
      <c r="A3194" s="6">
        <v>44634</v>
      </c>
      <c r="B3194" s="1">
        <v>2201369</v>
      </c>
      <c r="C3194" s="5" t="s">
        <v>431</v>
      </c>
      <c r="D3194" s="5" t="str">
        <f>VLOOKUP(C3194,[1]master_data!$A$2:$E$495,2,FALSE)</f>
        <v>MANFISH B</v>
      </c>
      <c r="E3194" s="5">
        <v>1</v>
      </c>
      <c r="F3194" s="5">
        <f>VLOOKUP(C3194,[1]master_data!$A$2:$E$495,3,FALSE)</f>
        <v>4000</v>
      </c>
      <c r="G3194" s="5">
        <f>VLOOKUP(C3194,[1]master_data!$A$2:$E$495,4,FALSE)</f>
        <v>10000</v>
      </c>
      <c r="H3194" s="5">
        <f t="shared" si="153"/>
        <v>4000</v>
      </c>
      <c r="I3194" s="5">
        <f t="shared" si="154"/>
        <v>10000</v>
      </c>
      <c r="J3194" s="5">
        <f t="shared" si="155"/>
        <v>6000</v>
      </c>
      <c r="K3194" s="5" t="str">
        <f>VLOOKUP(C3194,[1]master_data!$A$2:$E$495,5,FALSE)</f>
        <v>Ikan</v>
      </c>
      <c r="L3194" s="5" t="s">
        <v>471</v>
      </c>
    </row>
    <row r="3195" spans="1:12" ht="12" customHeight="1" x14ac:dyDescent="0.25">
      <c r="A3195" s="6">
        <v>44634</v>
      </c>
      <c r="B3195" s="1">
        <v>2201368</v>
      </c>
      <c r="C3195" s="5" t="s">
        <v>310</v>
      </c>
      <c r="D3195" s="5" t="str">
        <f>VLOOKUP(C3195,[1]master_data!$A$2:$E$495,2,FALSE)</f>
        <v>SELANG FUSO</v>
      </c>
      <c r="E3195" s="5">
        <v>1</v>
      </c>
      <c r="F3195" s="5">
        <f>VLOOKUP(C3195,[1]master_data!$A$2:$E$495,3,FALSE)</f>
        <v>800</v>
      </c>
      <c r="G3195" s="5">
        <f>VLOOKUP(C3195,[1]master_data!$A$2:$E$495,4,FALSE)</f>
        <v>2000</v>
      </c>
      <c r="H3195" s="5">
        <f t="shared" si="153"/>
        <v>800</v>
      </c>
      <c r="I3195" s="5">
        <f t="shared" si="154"/>
        <v>2000</v>
      </c>
      <c r="J3195" s="5">
        <f t="shared" si="155"/>
        <v>1200</v>
      </c>
      <c r="K3195" s="5" t="str">
        <f>VLOOKUP(C3195,[1]master_data!$A$2:$E$495,5,FALSE)</f>
        <v>Aksesoris</v>
      </c>
      <c r="L3195" s="5" t="s">
        <v>471</v>
      </c>
    </row>
    <row r="3196" spans="1:12" ht="12" customHeight="1" x14ac:dyDescent="0.25">
      <c r="A3196" s="6">
        <v>44634</v>
      </c>
      <c r="B3196" s="1">
        <v>2201367</v>
      </c>
      <c r="C3196" s="5" t="s">
        <v>327</v>
      </c>
      <c r="D3196" s="5" t="str">
        <f>VLOOKUP(C3196,[1]master_data!$A$2:$E$495,2,FALSE)</f>
        <v>AIRSTONE K</v>
      </c>
      <c r="E3196" s="5">
        <v>1</v>
      </c>
      <c r="F3196" s="5">
        <f>VLOOKUP(C3196,[1]master_data!$A$2:$E$495,3,FALSE)</f>
        <v>850</v>
      </c>
      <c r="G3196" s="5">
        <f>VLOOKUP(C3196,[1]master_data!$A$2:$E$495,4,FALSE)</f>
        <v>3000</v>
      </c>
      <c r="H3196" s="5">
        <f t="shared" si="153"/>
        <v>850</v>
      </c>
      <c r="I3196" s="5">
        <f t="shared" si="154"/>
        <v>3000</v>
      </c>
      <c r="J3196" s="5">
        <f t="shared" si="155"/>
        <v>2150</v>
      </c>
      <c r="K3196" s="5" t="str">
        <f>VLOOKUP(C3196,[1]master_data!$A$2:$E$495,5,FALSE)</f>
        <v>Aksesoris</v>
      </c>
      <c r="L3196" s="5" t="s">
        <v>471</v>
      </c>
    </row>
    <row r="3197" spans="1:12" ht="12" customHeight="1" x14ac:dyDescent="0.25">
      <c r="A3197" s="6">
        <v>44634</v>
      </c>
      <c r="B3197" s="1">
        <v>2201366</v>
      </c>
      <c r="C3197" s="5" t="s">
        <v>398</v>
      </c>
      <c r="D3197" s="5" t="str">
        <f>VLOOKUP(C3197,[1]master_data!$A$2:$E$495,2,FALSE)</f>
        <v>BIPOLAR</v>
      </c>
      <c r="E3197" s="5">
        <v>10</v>
      </c>
      <c r="F3197" s="5">
        <f>VLOOKUP(C3197,[1]master_data!$A$2:$E$495,3,FALSE)</f>
        <v>1000</v>
      </c>
      <c r="G3197" s="5">
        <f>VLOOKUP(C3197,[1]master_data!$A$2:$E$495,4,FALSE)</f>
        <v>2500</v>
      </c>
      <c r="H3197" s="5">
        <f t="shared" si="153"/>
        <v>10000</v>
      </c>
      <c r="I3197" s="5">
        <f t="shared" si="154"/>
        <v>25000</v>
      </c>
      <c r="J3197" s="5">
        <f t="shared" si="155"/>
        <v>15000</v>
      </c>
      <c r="K3197" s="5" t="str">
        <f>VLOOKUP(C3197,[1]master_data!$A$2:$E$495,5,FALSE)</f>
        <v>Ikan</v>
      </c>
      <c r="L3197" s="5" t="s">
        <v>471</v>
      </c>
    </row>
    <row r="3198" spans="1:12" ht="12" customHeight="1" x14ac:dyDescent="0.25">
      <c r="A3198" s="6">
        <v>44634</v>
      </c>
      <c r="B3198" s="1">
        <v>2201365</v>
      </c>
      <c r="C3198" s="5" t="s">
        <v>100</v>
      </c>
      <c r="D3198" s="5" t="str">
        <f>VLOOKUP(C3198,[1]master_data!$A$2:$E$495,2,FALSE)</f>
        <v>AIRATOR AMARA LUB 1</v>
      </c>
      <c r="E3198" s="5">
        <v>1</v>
      </c>
      <c r="F3198" s="5">
        <f>VLOOKUP(C3198,[1]master_data!$A$2:$E$495,3,FALSE)</f>
        <v>17500</v>
      </c>
      <c r="G3198" s="5">
        <f>VLOOKUP(C3198,[1]master_data!$A$2:$E$495,4,FALSE)</f>
        <v>30000</v>
      </c>
      <c r="H3198" s="5">
        <f t="shared" si="153"/>
        <v>17500</v>
      </c>
      <c r="I3198" s="5">
        <f t="shared" si="154"/>
        <v>30000</v>
      </c>
      <c r="J3198" s="5">
        <f t="shared" si="155"/>
        <v>12500</v>
      </c>
      <c r="K3198" s="5" t="str">
        <f>VLOOKUP(C3198,[1]master_data!$A$2:$E$495,5,FALSE)</f>
        <v>Aksesoris</v>
      </c>
      <c r="L3198" s="5" t="s">
        <v>471</v>
      </c>
    </row>
    <row r="3199" spans="1:12" ht="12" customHeight="1" x14ac:dyDescent="0.25">
      <c r="A3199" s="6">
        <v>44634</v>
      </c>
      <c r="B3199" s="1">
        <v>2201364</v>
      </c>
      <c r="C3199" s="5" t="s">
        <v>428</v>
      </c>
      <c r="D3199" s="5" t="str">
        <f>VLOOKUP(C3199,[1]master_data!$A$2:$E$495,2,FALSE)</f>
        <v>LOUHAN</v>
      </c>
      <c r="E3199" s="5">
        <v>1</v>
      </c>
      <c r="F3199" s="5">
        <f>VLOOKUP(C3199,[1]master_data!$A$2:$E$495,3,FALSE)</f>
        <v>85000</v>
      </c>
      <c r="G3199" s="5">
        <f>VLOOKUP(C3199,[1]master_data!$A$2:$E$495,4,FALSE)</f>
        <v>200000</v>
      </c>
      <c r="H3199" s="5">
        <f t="shared" si="153"/>
        <v>85000</v>
      </c>
      <c r="I3199" s="5">
        <f t="shared" si="154"/>
        <v>200000</v>
      </c>
      <c r="J3199" s="5">
        <f t="shared" si="155"/>
        <v>115000</v>
      </c>
      <c r="K3199" s="5" t="str">
        <f>VLOOKUP(C3199,[1]master_data!$A$2:$E$495,5,FALSE)</f>
        <v>Ikan</v>
      </c>
      <c r="L3199" s="5" t="s">
        <v>471</v>
      </c>
    </row>
    <row r="3200" spans="1:12" ht="12" customHeight="1" x14ac:dyDescent="0.25">
      <c r="A3200" s="6">
        <v>44634</v>
      </c>
      <c r="B3200" s="1">
        <v>2201363</v>
      </c>
      <c r="C3200" s="5" t="s">
        <v>434</v>
      </c>
      <c r="D3200" s="5" t="str">
        <f>VLOOKUP(C3200,[1]master_data!$A$2:$E$495,2,FALSE)</f>
        <v>MOLI PAKAN</v>
      </c>
      <c r="E3200" s="5">
        <v>50</v>
      </c>
      <c r="F3200" s="5">
        <f>VLOOKUP(C3200,[1]master_data!$A$2:$E$495,3,FALSE)</f>
        <v>100</v>
      </c>
      <c r="G3200" s="5">
        <f>VLOOKUP(C3200,[1]master_data!$A$2:$E$495,4,FALSE)</f>
        <v>200</v>
      </c>
      <c r="H3200" s="5">
        <f t="shared" si="153"/>
        <v>5000</v>
      </c>
      <c r="I3200" s="5">
        <f t="shared" si="154"/>
        <v>10000</v>
      </c>
      <c r="J3200" s="5">
        <f t="shared" si="155"/>
        <v>5000</v>
      </c>
      <c r="K3200" s="5" t="str">
        <f>VLOOKUP(C3200,[1]master_data!$A$2:$E$495,5,FALSE)</f>
        <v>Ikan</v>
      </c>
      <c r="L3200" s="5" t="s">
        <v>471</v>
      </c>
    </row>
    <row r="3201" spans="1:12" ht="12" customHeight="1" x14ac:dyDescent="0.25">
      <c r="A3201" s="6">
        <v>44634</v>
      </c>
      <c r="B3201" s="1">
        <v>2201362</v>
      </c>
      <c r="C3201" s="5" t="s">
        <v>419</v>
      </c>
      <c r="D3201" s="5" t="str">
        <f>VLOOKUP(C3201,[1]master_data!$A$2:$E$495,2,FALSE)</f>
        <v>KURA - KURA</v>
      </c>
      <c r="E3201" s="5">
        <v>1</v>
      </c>
      <c r="F3201" s="5">
        <f>VLOOKUP(C3201,[1]master_data!$A$2:$E$495,3,FALSE)</f>
        <v>25000</v>
      </c>
      <c r="G3201" s="5">
        <f>VLOOKUP(C3201,[1]master_data!$A$2:$E$495,4,FALSE)</f>
        <v>35000</v>
      </c>
      <c r="H3201" s="5">
        <f t="shared" si="153"/>
        <v>25000</v>
      </c>
      <c r="I3201" s="5">
        <f t="shared" si="154"/>
        <v>35000</v>
      </c>
      <c r="J3201" s="5">
        <f t="shared" si="155"/>
        <v>10000</v>
      </c>
      <c r="K3201" s="5" t="str">
        <f>VLOOKUP(C3201,[1]master_data!$A$2:$E$495,5,FALSE)</f>
        <v>Ikan</v>
      </c>
      <c r="L3201" s="5" t="s">
        <v>471</v>
      </c>
    </row>
    <row r="3202" spans="1:12" ht="12" customHeight="1" x14ac:dyDescent="0.25">
      <c r="A3202" s="6">
        <v>44634</v>
      </c>
      <c r="B3202" s="1">
        <v>2201361</v>
      </c>
      <c r="C3202" s="5" t="s">
        <v>450</v>
      </c>
      <c r="D3202" s="5" t="str">
        <f>VLOOKUP(C3202,[1]master_data!$A$2:$E$495,2,FALSE)</f>
        <v>SUMATRA BIASA</v>
      </c>
      <c r="E3202" s="5">
        <v>10</v>
      </c>
      <c r="F3202" s="5">
        <f>VLOOKUP(C3202,[1]master_data!$A$2:$E$495,3,FALSE)</f>
        <v>800</v>
      </c>
      <c r="G3202" s="5">
        <f>VLOOKUP(C3202,[1]master_data!$A$2:$E$495,4,FALSE)</f>
        <v>2000</v>
      </c>
      <c r="H3202" s="5">
        <f t="shared" si="153"/>
        <v>8000</v>
      </c>
      <c r="I3202" s="5">
        <f t="shared" si="154"/>
        <v>20000</v>
      </c>
      <c r="J3202" s="5">
        <f t="shared" si="155"/>
        <v>12000</v>
      </c>
      <c r="K3202" s="5" t="str">
        <f>VLOOKUP(C3202,[1]master_data!$A$2:$E$495,5,FALSE)</f>
        <v>Ikan</v>
      </c>
      <c r="L3202" s="5" t="s">
        <v>471</v>
      </c>
    </row>
    <row r="3203" spans="1:12" ht="12" customHeight="1" x14ac:dyDescent="0.25">
      <c r="A3203" s="6">
        <v>44634</v>
      </c>
      <c r="B3203" s="1">
        <v>2201360</v>
      </c>
      <c r="C3203" s="5" t="s">
        <v>415</v>
      </c>
      <c r="D3203" s="5" t="str">
        <f>VLOOKUP(C3203,[1]master_data!$A$2:$E$495,2,FALSE)</f>
        <v>KOKI B</v>
      </c>
      <c r="E3203" s="5">
        <v>1</v>
      </c>
      <c r="F3203" s="5">
        <f>VLOOKUP(C3203,[1]master_data!$A$2:$E$495,3,FALSE)</f>
        <v>20000</v>
      </c>
      <c r="G3203" s="5">
        <f>VLOOKUP(C3203,[1]master_data!$A$2:$E$495,4,FALSE)</f>
        <v>50000</v>
      </c>
      <c r="H3203" s="5">
        <f t="shared" si="153"/>
        <v>20000</v>
      </c>
      <c r="I3203" s="5">
        <f t="shared" si="154"/>
        <v>50000</v>
      </c>
      <c r="J3203" s="5">
        <f t="shared" si="155"/>
        <v>30000</v>
      </c>
      <c r="K3203" s="5" t="str">
        <f>VLOOKUP(C3203,[1]master_data!$A$2:$E$495,5,FALSE)</f>
        <v>Ikan</v>
      </c>
      <c r="L3203" s="5" t="s">
        <v>471</v>
      </c>
    </row>
    <row r="3204" spans="1:12" ht="12" customHeight="1" x14ac:dyDescent="0.25">
      <c r="A3204" s="6">
        <v>44634</v>
      </c>
      <c r="B3204" s="1">
        <v>2201359</v>
      </c>
      <c r="C3204" s="5" t="s">
        <v>120</v>
      </c>
      <c r="D3204" s="5" t="str">
        <f>VLOOKUP(C3204,[1]master_data!$A$2:$E$495,2,FALSE)</f>
        <v>LED ROSTON 50 CM</v>
      </c>
      <c r="E3204" s="5">
        <v>1</v>
      </c>
      <c r="F3204" s="5">
        <f>VLOOKUP(C3204,[1]master_data!$A$2:$E$495,3,FALSE)</f>
        <v>27000</v>
      </c>
      <c r="G3204" s="5">
        <f>VLOOKUP(C3204,[1]master_data!$A$2:$E$495,4,FALSE)</f>
        <v>50000</v>
      </c>
      <c r="H3204" s="5">
        <f t="shared" si="153"/>
        <v>27000</v>
      </c>
      <c r="I3204" s="5">
        <f t="shared" si="154"/>
        <v>50000</v>
      </c>
      <c r="J3204" s="5">
        <f t="shared" si="155"/>
        <v>23000</v>
      </c>
      <c r="K3204" s="5" t="str">
        <f>VLOOKUP(C3204,[1]master_data!$A$2:$E$495,5,FALSE)</f>
        <v>Aksesoris</v>
      </c>
      <c r="L3204" s="5" t="s">
        <v>471</v>
      </c>
    </row>
    <row r="3205" spans="1:12" ht="12" customHeight="1" x14ac:dyDescent="0.25">
      <c r="A3205" s="6">
        <v>44634</v>
      </c>
      <c r="B3205" s="1">
        <v>2201358</v>
      </c>
      <c r="C3205" s="5" t="s">
        <v>406</v>
      </c>
      <c r="D3205" s="5" t="str">
        <f>VLOOKUP(C3205,[1]master_data!$A$2:$E$495,2,FALSE)</f>
        <v>BARBIR</v>
      </c>
      <c r="E3205" s="5">
        <v>10</v>
      </c>
      <c r="F3205" s="5">
        <f>VLOOKUP(C3205,[1]master_data!$A$2:$E$495,3,FALSE)</f>
        <v>800</v>
      </c>
      <c r="G3205" s="5">
        <f>VLOOKUP(C3205,[1]master_data!$A$2:$E$495,4,FALSE)</f>
        <v>2000</v>
      </c>
      <c r="H3205" s="5">
        <f t="shared" ref="H3205:H3268" si="156">E3205*F3205</f>
        <v>8000</v>
      </c>
      <c r="I3205" s="5">
        <f t="shared" ref="I3205:I3268" si="157">E3205*G3205</f>
        <v>20000</v>
      </c>
      <c r="J3205" s="5">
        <f t="shared" ref="J3205:J3268" si="158">I3205-H3205</f>
        <v>12000</v>
      </c>
      <c r="K3205" s="5" t="str">
        <f>VLOOKUP(C3205,[1]master_data!$A$2:$E$495,5,FALSE)</f>
        <v>Ikan</v>
      </c>
      <c r="L3205" s="5" t="s">
        <v>471</v>
      </c>
    </row>
    <row r="3206" spans="1:12" ht="12" customHeight="1" x14ac:dyDescent="0.25">
      <c r="A3206" s="6">
        <v>44634</v>
      </c>
      <c r="B3206" s="1">
        <v>2201357</v>
      </c>
      <c r="C3206" s="5" t="s">
        <v>313</v>
      </c>
      <c r="D3206" s="5" t="str">
        <f>VLOOKUP(C3206,[1]master_data!$A$2:$E$495,2,FALSE)</f>
        <v>LURUS PIPA</v>
      </c>
      <c r="E3206" s="5">
        <v>5</v>
      </c>
      <c r="F3206" s="5">
        <f>VLOOKUP(C3206,[1]master_data!$A$2:$E$495,3,FALSE)</f>
        <v>800</v>
      </c>
      <c r="G3206" s="5">
        <f>VLOOKUP(C3206,[1]master_data!$A$2:$E$495,4,FALSE)</f>
        <v>2000</v>
      </c>
      <c r="H3206" s="5">
        <f t="shared" si="156"/>
        <v>4000</v>
      </c>
      <c r="I3206" s="5">
        <f t="shared" si="157"/>
        <v>10000</v>
      </c>
      <c r="J3206" s="5">
        <f t="shared" si="158"/>
        <v>6000</v>
      </c>
      <c r="K3206" s="5" t="str">
        <f>VLOOKUP(C3206,[1]master_data!$A$2:$E$495,5,FALSE)</f>
        <v>Aksesoris</v>
      </c>
      <c r="L3206" s="5" t="s">
        <v>471</v>
      </c>
    </row>
    <row r="3207" spans="1:12" ht="12" customHeight="1" x14ac:dyDescent="0.25">
      <c r="A3207" s="6">
        <v>44633</v>
      </c>
      <c r="B3207" s="1">
        <v>2201356</v>
      </c>
      <c r="C3207" s="5" t="s">
        <v>101</v>
      </c>
      <c r="D3207" s="5" t="str">
        <f>VLOOKUP(C3207,[1]master_data!$A$2:$E$495,2,FALSE)</f>
        <v>AIRATOR JINGYE LUB 1</v>
      </c>
      <c r="E3207" s="5">
        <v>1</v>
      </c>
      <c r="F3207" s="5">
        <f>VLOOKUP(C3207,[1]master_data!$A$2:$E$495,3,FALSE)</f>
        <v>20500</v>
      </c>
      <c r="G3207" s="5">
        <f>VLOOKUP(C3207,[1]master_data!$A$2:$E$495,4,FALSE)</f>
        <v>30000</v>
      </c>
      <c r="H3207" s="5">
        <f t="shared" si="156"/>
        <v>20500</v>
      </c>
      <c r="I3207" s="5">
        <f t="shared" si="157"/>
        <v>30000</v>
      </c>
      <c r="J3207" s="5">
        <f t="shared" si="158"/>
        <v>9500</v>
      </c>
      <c r="K3207" s="5" t="str">
        <f>VLOOKUP(C3207,[1]master_data!$A$2:$E$495,5,FALSE)</f>
        <v>Aksesoris</v>
      </c>
      <c r="L3207" s="5" t="s">
        <v>471</v>
      </c>
    </row>
    <row r="3208" spans="1:12" ht="12" customHeight="1" x14ac:dyDescent="0.25">
      <c r="A3208" s="6">
        <v>44633</v>
      </c>
      <c r="B3208" s="1">
        <v>2201355</v>
      </c>
      <c r="C3208" s="5" t="s">
        <v>425</v>
      </c>
      <c r="D3208" s="5" t="str">
        <f>VLOOKUP(C3208,[1]master_data!$A$2:$E$495,2,FALSE)</f>
        <v>CAROLINE</v>
      </c>
      <c r="E3208" s="5">
        <v>10</v>
      </c>
      <c r="F3208" s="5">
        <f>VLOOKUP(C3208,[1]master_data!$A$2:$E$495,3,FALSE)</f>
        <v>900</v>
      </c>
      <c r="G3208" s="5">
        <f>VLOOKUP(C3208,[1]master_data!$A$2:$E$495,4,FALSE)</f>
        <v>2000</v>
      </c>
      <c r="H3208" s="5">
        <f t="shared" si="156"/>
        <v>9000</v>
      </c>
      <c r="I3208" s="5">
        <f t="shared" si="157"/>
        <v>20000</v>
      </c>
      <c r="J3208" s="5">
        <f t="shared" si="158"/>
        <v>11000</v>
      </c>
      <c r="K3208" s="5" t="str">
        <f>VLOOKUP(C3208,[1]master_data!$A$2:$E$495,5,FALSE)</f>
        <v>Ikan</v>
      </c>
      <c r="L3208" s="5" t="s">
        <v>471</v>
      </c>
    </row>
    <row r="3209" spans="1:12" ht="12" customHeight="1" x14ac:dyDescent="0.25">
      <c r="A3209" s="6">
        <v>44633</v>
      </c>
      <c r="B3209" s="1">
        <v>2201354</v>
      </c>
      <c r="C3209" s="5" t="s">
        <v>434</v>
      </c>
      <c r="D3209" s="5" t="str">
        <f>VLOOKUP(C3209,[1]master_data!$A$2:$E$495,2,FALSE)</f>
        <v>MOLI PAKAN</v>
      </c>
      <c r="E3209" s="5">
        <v>30</v>
      </c>
      <c r="F3209" s="5">
        <f>VLOOKUP(C3209,[1]master_data!$A$2:$E$495,3,FALSE)</f>
        <v>100</v>
      </c>
      <c r="G3209" s="5">
        <f>VLOOKUP(C3209,[1]master_data!$A$2:$E$495,4,FALSE)</f>
        <v>200</v>
      </c>
      <c r="H3209" s="5">
        <f t="shared" si="156"/>
        <v>3000</v>
      </c>
      <c r="I3209" s="5">
        <f t="shared" si="157"/>
        <v>6000</v>
      </c>
      <c r="J3209" s="5">
        <f t="shared" si="158"/>
        <v>3000</v>
      </c>
      <c r="K3209" s="5" t="str">
        <f>VLOOKUP(C3209,[1]master_data!$A$2:$E$495,5,FALSE)</f>
        <v>Ikan</v>
      </c>
      <c r="L3209" s="5" t="s">
        <v>471</v>
      </c>
    </row>
    <row r="3210" spans="1:12" ht="12" customHeight="1" x14ac:dyDescent="0.25">
      <c r="A3210" s="6">
        <v>44633</v>
      </c>
      <c r="B3210" s="1">
        <v>2201353</v>
      </c>
      <c r="C3210" s="5" t="s">
        <v>454</v>
      </c>
      <c r="D3210" s="5" t="str">
        <f>VLOOKUP(C3210,[1]master_data!$A$2:$E$495,2,FALSE)</f>
        <v>SYNODONTI B</v>
      </c>
      <c r="E3210" s="5">
        <v>2</v>
      </c>
      <c r="F3210" s="5">
        <f>VLOOKUP(C3210,[1]master_data!$A$2:$E$495,3,FALSE)</f>
        <v>4000</v>
      </c>
      <c r="G3210" s="5">
        <f>VLOOKUP(C3210,[1]master_data!$A$2:$E$495,4,FALSE)</f>
        <v>10000</v>
      </c>
      <c r="H3210" s="5">
        <f t="shared" si="156"/>
        <v>8000</v>
      </c>
      <c r="I3210" s="5">
        <f t="shared" si="157"/>
        <v>20000</v>
      </c>
      <c r="J3210" s="5">
        <f t="shared" si="158"/>
        <v>12000</v>
      </c>
      <c r="K3210" s="5" t="str">
        <f>VLOOKUP(C3210,[1]master_data!$A$2:$E$495,5,FALSE)</f>
        <v>Ikan</v>
      </c>
      <c r="L3210" s="5" t="s">
        <v>471</v>
      </c>
    </row>
    <row r="3211" spans="1:12" ht="12" customHeight="1" x14ac:dyDescent="0.25">
      <c r="A3211" s="6">
        <v>44633</v>
      </c>
      <c r="B3211" s="1">
        <v>2201352</v>
      </c>
      <c r="C3211" s="5" t="s">
        <v>125</v>
      </c>
      <c r="D3211" s="5" t="str">
        <f>VLOOKUP(C3211,[1]master_data!$A$2:$E$495,2,FALSE)</f>
        <v>LAMPU YAMANO UV 9W</v>
      </c>
      <c r="E3211" s="5">
        <v>1</v>
      </c>
      <c r="F3211" s="5">
        <f>VLOOKUP(C3211,[1]master_data!$A$2:$E$495,3,FALSE)</f>
        <v>66000</v>
      </c>
      <c r="G3211" s="5">
        <f>VLOOKUP(C3211,[1]master_data!$A$2:$E$495,4,FALSE)</f>
        <v>85000</v>
      </c>
      <c r="H3211" s="5">
        <f t="shared" si="156"/>
        <v>66000</v>
      </c>
      <c r="I3211" s="5">
        <f t="shared" si="157"/>
        <v>85000</v>
      </c>
      <c r="J3211" s="5">
        <f t="shared" si="158"/>
        <v>19000</v>
      </c>
      <c r="K3211" s="5" t="str">
        <f>VLOOKUP(C3211,[1]master_data!$A$2:$E$495,5,FALSE)</f>
        <v>Aksesoris</v>
      </c>
      <c r="L3211" s="5" t="s">
        <v>471</v>
      </c>
    </row>
    <row r="3212" spans="1:12" ht="12" customHeight="1" x14ac:dyDescent="0.25">
      <c r="A3212" s="6">
        <v>44633</v>
      </c>
      <c r="B3212" s="1">
        <v>2201351</v>
      </c>
      <c r="C3212" s="5" t="s">
        <v>423</v>
      </c>
      <c r="D3212" s="5" t="str">
        <f>VLOOKUP(C3212,[1]master_data!$A$2:$E$495,2,FALSE)</f>
        <v>KOI SLAYER K</v>
      </c>
      <c r="E3212" s="5">
        <v>5</v>
      </c>
      <c r="F3212" s="5">
        <f>VLOOKUP(C3212,[1]master_data!$A$2:$E$495,3,FALSE)</f>
        <v>3500</v>
      </c>
      <c r="G3212" s="5">
        <f>VLOOKUP(C3212,[1]master_data!$A$2:$E$495,4,FALSE)</f>
        <v>10000</v>
      </c>
      <c r="H3212" s="5">
        <f t="shared" si="156"/>
        <v>17500</v>
      </c>
      <c r="I3212" s="5">
        <f t="shared" si="157"/>
        <v>50000</v>
      </c>
      <c r="J3212" s="5">
        <f t="shared" si="158"/>
        <v>32500</v>
      </c>
      <c r="K3212" s="5" t="str">
        <f>VLOOKUP(C3212,[1]master_data!$A$2:$E$495,5,FALSE)</f>
        <v>Ikan</v>
      </c>
      <c r="L3212" s="5" t="s">
        <v>471</v>
      </c>
    </row>
    <row r="3213" spans="1:12" ht="12" customHeight="1" x14ac:dyDescent="0.25">
      <c r="A3213" s="6">
        <v>44633</v>
      </c>
      <c r="B3213" s="1">
        <v>2201350</v>
      </c>
      <c r="C3213" s="5" t="s">
        <v>443</v>
      </c>
      <c r="D3213" s="5" t="str">
        <f>VLOOKUP(C3213,[1]master_data!$A$2:$E$495,2,FALSE)</f>
        <v>PALMAS</v>
      </c>
      <c r="E3213" s="5">
        <v>1</v>
      </c>
      <c r="F3213" s="5">
        <f>VLOOKUP(C3213,[1]master_data!$A$2:$E$495,3,FALSE)</f>
        <v>10000</v>
      </c>
      <c r="G3213" s="5">
        <f>VLOOKUP(C3213,[1]master_data!$A$2:$E$495,4,FALSE)</f>
        <v>25000</v>
      </c>
      <c r="H3213" s="5">
        <f t="shared" si="156"/>
        <v>10000</v>
      </c>
      <c r="I3213" s="5">
        <f t="shared" si="157"/>
        <v>25000</v>
      </c>
      <c r="J3213" s="5">
        <f t="shared" si="158"/>
        <v>15000</v>
      </c>
      <c r="K3213" s="5" t="str">
        <f>VLOOKUP(C3213,[1]master_data!$A$2:$E$495,5,FALSE)</f>
        <v>Ikan</v>
      </c>
      <c r="L3213" s="5" t="s">
        <v>471</v>
      </c>
    </row>
    <row r="3214" spans="1:12" ht="12" customHeight="1" x14ac:dyDescent="0.25">
      <c r="A3214" s="6">
        <v>44633</v>
      </c>
      <c r="B3214" s="1">
        <v>2201349</v>
      </c>
      <c r="C3214" s="5" t="s">
        <v>411</v>
      </c>
      <c r="D3214" s="5" t="str">
        <f>VLOOKUP(C3214,[1]master_data!$A$2:$E$495,2,FALSE)</f>
        <v>GOLDEN BLACK</v>
      </c>
      <c r="E3214" s="5">
        <v>10</v>
      </c>
      <c r="F3214" s="5">
        <f>VLOOKUP(C3214,[1]master_data!$A$2:$E$495,3,FALSE)</f>
        <v>800</v>
      </c>
      <c r="G3214" s="5">
        <f>VLOOKUP(C3214,[1]master_data!$A$2:$E$495,4,FALSE)</f>
        <v>2000</v>
      </c>
      <c r="H3214" s="5">
        <f t="shared" si="156"/>
        <v>8000</v>
      </c>
      <c r="I3214" s="5">
        <f t="shared" si="157"/>
        <v>20000</v>
      </c>
      <c r="J3214" s="5">
        <f t="shared" si="158"/>
        <v>12000</v>
      </c>
      <c r="K3214" s="5" t="str">
        <f>VLOOKUP(C3214,[1]master_data!$A$2:$E$495,5,FALSE)</f>
        <v>Ikan</v>
      </c>
      <c r="L3214" s="5" t="s">
        <v>471</v>
      </c>
    </row>
    <row r="3215" spans="1:12" ht="12" customHeight="1" x14ac:dyDescent="0.25">
      <c r="A3215" s="6">
        <v>44633</v>
      </c>
      <c r="B3215" s="1">
        <v>2201348</v>
      </c>
      <c r="C3215" s="5" t="s">
        <v>418</v>
      </c>
      <c r="D3215" s="5" t="str">
        <f>VLOOKUP(C3215,[1]master_data!$A$2:$E$495,2,FALSE)</f>
        <v>KOI B</v>
      </c>
      <c r="E3215" s="5">
        <v>1</v>
      </c>
      <c r="F3215" s="5">
        <f>VLOOKUP(C3215,[1]master_data!$A$2:$E$495,3,FALSE)</f>
        <v>9000</v>
      </c>
      <c r="G3215" s="5">
        <f>VLOOKUP(C3215,[1]master_data!$A$2:$E$495,4,FALSE)</f>
        <v>30000</v>
      </c>
      <c r="H3215" s="5">
        <f t="shared" si="156"/>
        <v>9000</v>
      </c>
      <c r="I3215" s="5">
        <f t="shared" si="157"/>
        <v>30000</v>
      </c>
      <c r="J3215" s="5">
        <f t="shared" si="158"/>
        <v>21000</v>
      </c>
      <c r="K3215" s="5" t="str">
        <f>VLOOKUP(C3215,[1]master_data!$A$2:$E$495,5,FALSE)</f>
        <v>Ikan</v>
      </c>
      <c r="L3215" s="5" t="s">
        <v>471</v>
      </c>
    </row>
    <row r="3216" spans="1:12" ht="12" customHeight="1" x14ac:dyDescent="0.25">
      <c r="A3216" s="6">
        <v>44633</v>
      </c>
      <c r="B3216" s="1">
        <v>2201347</v>
      </c>
      <c r="C3216" s="5" t="s">
        <v>407</v>
      </c>
      <c r="D3216" s="5" t="str">
        <f>VLOOKUP(C3216,[1]master_data!$A$2:$E$495,2,FALSE)</f>
        <v>CUPANG</v>
      </c>
      <c r="E3216" s="5">
        <v>2</v>
      </c>
      <c r="F3216" s="5">
        <f>VLOOKUP(C3216,[1]master_data!$A$2:$E$495,3,FALSE)</f>
        <v>2000</v>
      </c>
      <c r="G3216" s="5">
        <f>VLOOKUP(C3216,[1]master_data!$A$2:$E$495,4,FALSE)</f>
        <v>5000</v>
      </c>
      <c r="H3216" s="5">
        <f t="shared" si="156"/>
        <v>4000</v>
      </c>
      <c r="I3216" s="5">
        <f t="shared" si="157"/>
        <v>10000</v>
      </c>
      <c r="J3216" s="5">
        <f t="shared" si="158"/>
        <v>6000</v>
      </c>
      <c r="K3216" s="5" t="str">
        <f>VLOOKUP(C3216,[1]master_data!$A$2:$E$495,5,FALSE)</f>
        <v>Ikan</v>
      </c>
      <c r="L3216" s="5" t="s">
        <v>471</v>
      </c>
    </row>
    <row r="3217" spans="1:12" ht="12" customHeight="1" x14ac:dyDescent="0.25">
      <c r="A3217" s="6">
        <v>44633</v>
      </c>
      <c r="B3217" s="1">
        <v>2201346</v>
      </c>
      <c r="C3217" s="5" t="s">
        <v>444</v>
      </c>
      <c r="D3217" s="5" t="str">
        <f>VLOOKUP(C3217,[1]master_data!$A$2:$E$495,2,FALSE)</f>
        <v>PARROT</v>
      </c>
      <c r="E3217" s="5">
        <v>1</v>
      </c>
      <c r="F3217" s="5">
        <f>VLOOKUP(C3217,[1]master_data!$A$2:$E$495,3,FALSE)</f>
        <v>27000</v>
      </c>
      <c r="G3217" s="5">
        <f>VLOOKUP(C3217,[1]master_data!$A$2:$E$495,4,FALSE)</f>
        <v>60000</v>
      </c>
      <c r="H3217" s="5">
        <f t="shared" si="156"/>
        <v>27000</v>
      </c>
      <c r="I3217" s="5">
        <f t="shared" si="157"/>
        <v>60000</v>
      </c>
      <c r="J3217" s="5">
        <f t="shared" si="158"/>
        <v>33000</v>
      </c>
      <c r="K3217" s="5" t="str">
        <f>VLOOKUP(C3217,[1]master_data!$A$2:$E$495,5,FALSE)</f>
        <v>Ikan</v>
      </c>
      <c r="L3217" s="5" t="s">
        <v>471</v>
      </c>
    </row>
    <row r="3218" spans="1:12" ht="12" customHeight="1" x14ac:dyDescent="0.25">
      <c r="A3218" s="6">
        <v>44633</v>
      </c>
      <c r="B3218" s="1">
        <v>2201345</v>
      </c>
      <c r="C3218" s="5" t="s">
        <v>386</v>
      </c>
      <c r="D3218" s="5" t="str">
        <f>VLOOKUP(C3218,[1]master_data!$A$2:$E$495,2,FALSE)</f>
        <v>BATU KARANG JAHE</v>
      </c>
      <c r="E3218" s="5">
        <v>1</v>
      </c>
      <c r="F3218" s="5">
        <f>VLOOKUP(C3218,[1]master_data!$A$2:$E$495,3,FALSE)</f>
        <v>15000</v>
      </c>
      <c r="G3218" s="5">
        <f>VLOOKUP(C3218,[1]master_data!$A$2:$E$495,4,FALSE)</f>
        <v>25000</v>
      </c>
      <c r="H3218" s="5">
        <f t="shared" si="156"/>
        <v>15000</v>
      </c>
      <c r="I3218" s="5">
        <f t="shared" si="157"/>
        <v>25000</v>
      </c>
      <c r="J3218" s="5">
        <f t="shared" si="158"/>
        <v>10000</v>
      </c>
      <c r="K3218" s="5" t="str">
        <f>VLOOKUP(C3218,[1]master_data!$A$2:$E$495,5,FALSE)</f>
        <v>Aksesoris</v>
      </c>
      <c r="L3218" s="5" t="s">
        <v>471</v>
      </c>
    </row>
    <row r="3219" spans="1:12" ht="12" customHeight="1" x14ac:dyDescent="0.25">
      <c r="A3219" s="6">
        <v>44633</v>
      </c>
      <c r="B3219" s="1">
        <v>2201344</v>
      </c>
      <c r="C3219" s="5" t="s">
        <v>405</v>
      </c>
      <c r="D3219" s="5" t="str">
        <f>VLOOKUP(C3219,[1]master_data!$A$2:$E$495,2,FALSE)</f>
        <v>KOMET BOKIM</v>
      </c>
      <c r="E3219" s="5">
        <v>10</v>
      </c>
      <c r="F3219" s="5">
        <f>VLOOKUP(C3219,[1]master_data!$A$2:$E$495,3,FALSE)</f>
        <v>1500</v>
      </c>
      <c r="G3219" s="5">
        <f>VLOOKUP(C3219,[1]master_data!$A$2:$E$495,4,FALSE)</f>
        <v>5000</v>
      </c>
      <c r="H3219" s="5">
        <f t="shared" si="156"/>
        <v>15000</v>
      </c>
      <c r="I3219" s="5">
        <f t="shared" si="157"/>
        <v>50000</v>
      </c>
      <c r="J3219" s="5">
        <f t="shared" si="158"/>
        <v>35000</v>
      </c>
      <c r="K3219" s="5" t="str">
        <f>VLOOKUP(C3219,[1]master_data!$A$2:$E$495,5,FALSE)</f>
        <v>Ikan</v>
      </c>
      <c r="L3219" s="5" t="s">
        <v>471</v>
      </c>
    </row>
    <row r="3220" spans="1:12" ht="12" customHeight="1" x14ac:dyDescent="0.25">
      <c r="A3220" s="6">
        <v>44633</v>
      </c>
      <c r="B3220" s="1">
        <v>2201343</v>
      </c>
      <c r="C3220" s="5" t="s">
        <v>380</v>
      </c>
      <c r="D3220" s="5" t="str">
        <f>VLOOKUP(C3220,[1]master_data!$A$2:$E$495,2,FALSE)</f>
        <v>BATU WARNA BIASA</v>
      </c>
      <c r="E3220" s="5">
        <v>2</v>
      </c>
      <c r="F3220" s="5">
        <f>VLOOKUP(C3220,[1]master_data!$A$2:$E$495,3,FALSE)</f>
        <v>3500</v>
      </c>
      <c r="G3220" s="5">
        <f>VLOOKUP(C3220,[1]master_data!$A$2:$E$495,4,FALSE)</f>
        <v>8000</v>
      </c>
      <c r="H3220" s="5">
        <f t="shared" si="156"/>
        <v>7000</v>
      </c>
      <c r="I3220" s="5">
        <f t="shared" si="157"/>
        <v>16000</v>
      </c>
      <c r="J3220" s="5">
        <f t="shared" si="158"/>
        <v>9000</v>
      </c>
      <c r="K3220" s="5" t="str">
        <f>VLOOKUP(C3220,[1]master_data!$A$2:$E$495,5,FALSE)</f>
        <v>Aksesoris</v>
      </c>
      <c r="L3220" s="5" t="s">
        <v>471</v>
      </c>
    </row>
    <row r="3221" spans="1:12" ht="12" customHeight="1" x14ac:dyDescent="0.25">
      <c r="A3221" s="6">
        <v>44633</v>
      </c>
      <c r="B3221" s="1">
        <v>2201342</v>
      </c>
      <c r="C3221" s="5" t="s">
        <v>406</v>
      </c>
      <c r="D3221" s="5" t="str">
        <f>VLOOKUP(C3221,[1]master_data!$A$2:$E$495,2,FALSE)</f>
        <v>BARBIR</v>
      </c>
      <c r="E3221" s="5">
        <v>10</v>
      </c>
      <c r="F3221" s="5">
        <f>VLOOKUP(C3221,[1]master_data!$A$2:$E$495,3,FALSE)</f>
        <v>800</v>
      </c>
      <c r="G3221" s="5">
        <f>VLOOKUP(C3221,[1]master_data!$A$2:$E$495,4,FALSE)</f>
        <v>2000</v>
      </c>
      <c r="H3221" s="5">
        <f t="shared" si="156"/>
        <v>8000</v>
      </c>
      <c r="I3221" s="5">
        <f t="shared" si="157"/>
        <v>20000</v>
      </c>
      <c r="J3221" s="5">
        <f t="shared" si="158"/>
        <v>12000</v>
      </c>
      <c r="K3221" s="5" t="str">
        <f>VLOOKUP(C3221,[1]master_data!$A$2:$E$495,5,FALSE)</f>
        <v>Ikan</v>
      </c>
      <c r="L3221" s="5" t="s">
        <v>471</v>
      </c>
    </row>
    <row r="3222" spans="1:12" ht="12" customHeight="1" x14ac:dyDescent="0.25">
      <c r="A3222" s="6">
        <v>44633</v>
      </c>
      <c r="B3222" s="1">
        <v>2201341</v>
      </c>
      <c r="C3222" s="5" t="s">
        <v>407</v>
      </c>
      <c r="D3222" s="5" t="str">
        <f>VLOOKUP(C3222,[1]master_data!$A$2:$E$495,2,FALSE)</f>
        <v>CUPANG</v>
      </c>
      <c r="E3222" s="5">
        <v>4</v>
      </c>
      <c r="F3222" s="5">
        <f>VLOOKUP(C3222,[1]master_data!$A$2:$E$495,3,FALSE)</f>
        <v>2000</v>
      </c>
      <c r="G3222" s="5">
        <f>VLOOKUP(C3222,[1]master_data!$A$2:$E$495,4,FALSE)</f>
        <v>5000</v>
      </c>
      <c r="H3222" s="5">
        <f t="shared" si="156"/>
        <v>8000</v>
      </c>
      <c r="I3222" s="5">
        <f t="shared" si="157"/>
        <v>20000</v>
      </c>
      <c r="J3222" s="5">
        <f t="shared" si="158"/>
        <v>12000</v>
      </c>
      <c r="K3222" s="5" t="str">
        <f>VLOOKUP(C3222,[1]master_data!$A$2:$E$495,5,FALSE)</f>
        <v>Ikan</v>
      </c>
      <c r="L3222" s="5" t="s">
        <v>471</v>
      </c>
    </row>
    <row r="3223" spans="1:12" ht="12" customHeight="1" x14ac:dyDescent="0.25">
      <c r="A3223" s="6">
        <v>44633</v>
      </c>
      <c r="B3223" s="1">
        <v>2201340</v>
      </c>
      <c r="C3223" s="5" t="s">
        <v>413</v>
      </c>
      <c r="D3223" s="5" t="str">
        <f>VLOOKUP(C3223,[1]master_data!$A$2:$E$495,2,FALSE)</f>
        <v>KOKI K</v>
      </c>
      <c r="E3223" s="5">
        <v>35</v>
      </c>
      <c r="F3223" s="5">
        <f>VLOOKUP(C3223,[1]master_data!$A$2:$E$495,3,FALSE)</f>
        <v>3500</v>
      </c>
      <c r="G3223" s="5">
        <f>VLOOKUP(C3223,[1]master_data!$A$2:$E$495,4,FALSE)</f>
        <v>10000</v>
      </c>
      <c r="H3223" s="5">
        <f t="shared" si="156"/>
        <v>122500</v>
      </c>
      <c r="I3223" s="5">
        <f t="shared" si="157"/>
        <v>350000</v>
      </c>
      <c r="J3223" s="5">
        <f t="shared" si="158"/>
        <v>227500</v>
      </c>
      <c r="K3223" s="5" t="str">
        <f>VLOOKUP(C3223,[1]master_data!$A$2:$E$495,5,FALSE)</f>
        <v>Ikan</v>
      </c>
      <c r="L3223" s="5" t="s">
        <v>471</v>
      </c>
    </row>
    <row r="3224" spans="1:12" ht="12" customHeight="1" x14ac:dyDescent="0.25">
      <c r="A3224" s="6">
        <v>44633</v>
      </c>
      <c r="B3224" s="1">
        <v>2201339</v>
      </c>
      <c r="C3224" s="5" t="s">
        <v>409</v>
      </c>
      <c r="D3224" s="5" t="str">
        <f>VLOOKUP(C3224,[1]master_data!$A$2:$E$495,2,FALSE)</f>
        <v>GOLD FISH</v>
      </c>
      <c r="E3224" s="5">
        <v>3</v>
      </c>
      <c r="F3224" s="5">
        <f>VLOOKUP(C3224,[1]master_data!$A$2:$E$495,3,FALSE)</f>
        <v>800</v>
      </c>
      <c r="G3224" s="5">
        <f>VLOOKUP(C3224,[1]master_data!$A$2:$E$495,4,FALSE)</f>
        <v>2000</v>
      </c>
      <c r="H3224" s="5">
        <f t="shared" si="156"/>
        <v>2400</v>
      </c>
      <c r="I3224" s="5">
        <f t="shared" si="157"/>
        <v>6000</v>
      </c>
      <c r="J3224" s="5">
        <f t="shared" si="158"/>
        <v>3600</v>
      </c>
      <c r="K3224" s="5" t="str">
        <f>VLOOKUP(C3224,[1]master_data!$A$2:$E$495,5,FALSE)</f>
        <v>Ikan</v>
      </c>
      <c r="L3224" s="5" t="s">
        <v>471</v>
      </c>
    </row>
    <row r="3225" spans="1:12" ht="12" customHeight="1" x14ac:dyDescent="0.25">
      <c r="A3225" s="6">
        <v>44633</v>
      </c>
      <c r="B3225" s="1">
        <v>2201338</v>
      </c>
      <c r="C3225" s="5" t="s">
        <v>419</v>
      </c>
      <c r="D3225" s="5" t="str">
        <f>VLOOKUP(C3225,[1]master_data!$A$2:$E$495,2,FALSE)</f>
        <v>KURA - KURA</v>
      </c>
      <c r="E3225" s="5">
        <v>2</v>
      </c>
      <c r="F3225" s="5">
        <f>VLOOKUP(C3225,[1]master_data!$A$2:$E$495,3,FALSE)</f>
        <v>25000</v>
      </c>
      <c r="G3225" s="5">
        <f>VLOOKUP(C3225,[1]master_data!$A$2:$E$495,4,FALSE)</f>
        <v>35000</v>
      </c>
      <c r="H3225" s="5">
        <f t="shared" si="156"/>
        <v>50000</v>
      </c>
      <c r="I3225" s="5">
        <f t="shared" si="157"/>
        <v>70000</v>
      </c>
      <c r="J3225" s="5">
        <f t="shared" si="158"/>
        <v>20000</v>
      </c>
      <c r="K3225" s="5" t="str">
        <f>VLOOKUP(C3225,[1]master_data!$A$2:$E$495,5,FALSE)</f>
        <v>Ikan</v>
      </c>
      <c r="L3225" s="5" t="s">
        <v>471</v>
      </c>
    </row>
    <row r="3226" spans="1:12" ht="12" customHeight="1" x14ac:dyDescent="0.25">
      <c r="A3226" s="6">
        <v>44633</v>
      </c>
      <c r="B3226" s="1">
        <v>2201337</v>
      </c>
      <c r="C3226" s="5" t="s">
        <v>115</v>
      </c>
      <c r="D3226" s="5" t="str">
        <f>VLOOKUP(C3226,[1]master_data!$A$2:$E$495,2,FALSE)</f>
        <v>LED ROSTON 30 CM</v>
      </c>
      <c r="E3226" s="5">
        <v>1</v>
      </c>
      <c r="F3226" s="5">
        <f>VLOOKUP(C3226,[1]master_data!$A$2:$E$495,3,FALSE)</f>
        <v>21000</v>
      </c>
      <c r="G3226" s="5">
        <f>VLOOKUP(C3226,[1]master_data!$A$2:$E$495,4,FALSE)</f>
        <v>35000</v>
      </c>
      <c r="H3226" s="5">
        <f t="shared" si="156"/>
        <v>21000</v>
      </c>
      <c r="I3226" s="5">
        <f t="shared" si="157"/>
        <v>35000</v>
      </c>
      <c r="J3226" s="5">
        <f t="shared" si="158"/>
        <v>14000</v>
      </c>
      <c r="K3226" s="5" t="str">
        <f>VLOOKUP(C3226,[1]master_data!$A$2:$E$495,5,FALSE)</f>
        <v>Aksesoris</v>
      </c>
      <c r="L3226" s="5" t="s">
        <v>471</v>
      </c>
    </row>
    <row r="3227" spans="1:12" ht="12" customHeight="1" x14ac:dyDescent="0.25">
      <c r="A3227" s="6">
        <v>44633</v>
      </c>
      <c r="B3227" s="1">
        <v>2201336</v>
      </c>
      <c r="C3227" s="5" t="s">
        <v>233</v>
      </c>
      <c r="D3227" s="5" t="str">
        <f>VLOOKUP(C3227,[1]master_data!$A$2:$E$495,2,FALSE)</f>
        <v>FISH LOVE PAKAN</v>
      </c>
      <c r="E3227" s="5">
        <v>1</v>
      </c>
      <c r="F3227" s="5">
        <f>VLOOKUP(C3227,[1]master_data!$A$2:$E$495,3,FALSE)</f>
        <v>2500</v>
      </c>
      <c r="G3227" s="5">
        <f>VLOOKUP(C3227,[1]master_data!$A$2:$E$495,4,FALSE)</f>
        <v>5000</v>
      </c>
      <c r="H3227" s="5">
        <f t="shared" si="156"/>
        <v>2500</v>
      </c>
      <c r="I3227" s="5">
        <f t="shared" si="157"/>
        <v>5000</v>
      </c>
      <c r="J3227" s="5">
        <f t="shared" si="158"/>
        <v>2500</v>
      </c>
      <c r="K3227" s="5" t="str">
        <f>VLOOKUP(C3227,[1]master_data!$A$2:$E$495,5,FALSE)</f>
        <v>Aksesoris</v>
      </c>
      <c r="L3227" s="5" t="s">
        <v>471</v>
      </c>
    </row>
    <row r="3228" spans="1:12" ht="12" customHeight="1" x14ac:dyDescent="0.25">
      <c r="A3228" s="6">
        <v>44632</v>
      </c>
      <c r="B3228" s="1">
        <v>2201335</v>
      </c>
      <c r="C3228" s="5" t="s">
        <v>434</v>
      </c>
      <c r="D3228" s="5" t="str">
        <f>VLOOKUP(C3228,[1]master_data!$A$2:$E$495,2,FALSE)</f>
        <v>MOLI PAKAN</v>
      </c>
      <c r="E3228" s="5">
        <v>25</v>
      </c>
      <c r="F3228" s="5">
        <f>VLOOKUP(C3228,[1]master_data!$A$2:$E$495,3,FALSE)</f>
        <v>100</v>
      </c>
      <c r="G3228" s="5">
        <f>VLOOKUP(C3228,[1]master_data!$A$2:$E$495,4,FALSE)</f>
        <v>200</v>
      </c>
      <c r="H3228" s="5">
        <f t="shared" si="156"/>
        <v>2500</v>
      </c>
      <c r="I3228" s="5">
        <f t="shared" si="157"/>
        <v>5000</v>
      </c>
      <c r="J3228" s="5">
        <f t="shared" si="158"/>
        <v>2500</v>
      </c>
      <c r="K3228" s="5" t="str">
        <f>VLOOKUP(C3228,[1]master_data!$A$2:$E$495,5,FALSE)</f>
        <v>Ikan</v>
      </c>
      <c r="L3228" s="5" t="s">
        <v>471</v>
      </c>
    </row>
    <row r="3229" spans="1:12" ht="12" customHeight="1" x14ac:dyDescent="0.25">
      <c r="A3229" s="6">
        <v>44632</v>
      </c>
      <c r="B3229" s="1">
        <v>2201334</v>
      </c>
      <c r="C3229" s="5" t="s">
        <v>261</v>
      </c>
      <c r="D3229" s="5" t="str">
        <f>VLOOKUP(C3229,[1]master_data!$A$2:$E$495,2,FALSE)</f>
        <v>BONSAI</v>
      </c>
      <c r="E3229" s="5">
        <v>1</v>
      </c>
      <c r="F3229" s="5">
        <f>VLOOKUP(C3229,[1]master_data!$A$2:$E$495,3,FALSE)</f>
        <v>15000</v>
      </c>
      <c r="G3229" s="5">
        <f>VLOOKUP(C3229,[1]master_data!$A$2:$E$495,4,FALSE)</f>
        <v>20000</v>
      </c>
      <c r="H3229" s="5">
        <f t="shared" si="156"/>
        <v>15000</v>
      </c>
      <c r="I3229" s="5">
        <f t="shared" si="157"/>
        <v>20000</v>
      </c>
      <c r="J3229" s="5">
        <f t="shared" si="158"/>
        <v>5000</v>
      </c>
      <c r="K3229" s="5" t="str">
        <f>VLOOKUP(C3229,[1]master_data!$A$2:$E$495,5,FALSE)</f>
        <v>Aksesoris</v>
      </c>
      <c r="L3229" s="5" t="s">
        <v>471</v>
      </c>
    </row>
    <row r="3230" spans="1:12" ht="12" customHeight="1" x14ac:dyDescent="0.25">
      <c r="A3230" s="6">
        <v>44632</v>
      </c>
      <c r="B3230" s="1">
        <v>2201333</v>
      </c>
      <c r="C3230" s="5" t="s">
        <v>7</v>
      </c>
      <c r="D3230" s="5" t="str">
        <f>VLOOKUP(C3230,[1]master_data!$A$2:$E$495,2,FALSE)</f>
        <v>MESIN YANG 1600</v>
      </c>
      <c r="E3230" s="5">
        <v>1</v>
      </c>
      <c r="F3230" s="5">
        <f>VLOOKUP(C3230,[1]master_data!$A$2:$E$495,3,FALSE)</f>
        <v>64000</v>
      </c>
      <c r="G3230" s="5">
        <f>VLOOKUP(C3230,[1]master_data!$A$2:$E$495,4,FALSE)</f>
        <v>90000</v>
      </c>
      <c r="H3230" s="5">
        <f t="shared" si="156"/>
        <v>64000</v>
      </c>
      <c r="I3230" s="5">
        <f t="shared" si="157"/>
        <v>90000</v>
      </c>
      <c r="J3230" s="5">
        <f t="shared" si="158"/>
        <v>26000</v>
      </c>
      <c r="K3230" s="5" t="str">
        <f>VLOOKUP(C3230,[1]master_data!$A$2:$E$495,5,FALSE)</f>
        <v>Aksesoris</v>
      </c>
      <c r="L3230" s="5" t="s">
        <v>471</v>
      </c>
    </row>
    <row r="3231" spans="1:12" ht="12" customHeight="1" x14ac:dyDescent="0.25">
      <c r="A3231" s="6">
        <v>44632</v>
      </c>
      <c r="B3231" s="1">
        <v>2201332</v>
      </c>
      <c r="C3231" s="5" t="s">
        <v>262</v>
      </c>
      <c r="D3231" s="5" t="str">
        <f>VLOOKUP(C3231,[1]master_data!$A$2:$E$495,2,FALSE)</f>
        <v>COP PIPA</v>
      </c>
      <c r="E3231" s="5">
        <v>3</v>
      </c>
      <c r="F3231" s="5">
        <f>VLOOKUP(C3231,[1]master_data!$A$2:$E$495,3,FALSE)</f>
        <v>800</v>
      </c>
      <c r="G3231" s="5">
        <f>VLOOKUP(C3231,[1]master_data!$A$2:$E$495,4,FALSE)</f>
        <v>2000</v>
      </c>
      <c r="H3231" s="5">
        <f t="shared" si="156"/>
        <v>2400</v>
      </c>
      <c r="I3231" s="5">
        <f t="shared" si="157"/>
        <v>6000</v>
      </c>
      <c r="J3231" s="5">
        <f t="shared" si="158"/>
        <v>3600</v>
      </c>
      <c r="K3231" s="5" t="str">
        <f>VLOOKUP(C3231,[1]master_data!$A$2:$E$495,5,FALSE)</f>
        <v>Aksesoris</v>
      </c>
      <c r="L3231" s="5" t="s">
        <v>471</v>
      </c>
    </row>
    <row r="3232" spans="1:12" ht="12" customHeight="1" x14ac:dyDescent="0.25">
      <c r="A3232" s="6">
        <v>44632</v>
      </c>
      <c r="B3232" s="1">
        <v>2201331</v>
      </c>
      <c r="C3232" s="5" t="s">
        <v>379</v>
      </c>
      <c r="D3232" s="5" t="str">
        <f>VLOOKUP(C3232,[1]master_data!$A$2:$E$495,2,FALSE)</f>
        <v>PASIR SILICA</v>
      </c>
      <c r="E3232" s="5">
        <v>2</v>
      </c>
      <c r="F3232" s="5">
        <f>VLOOKUP(C3232,[1]master_data!$A$2:$E$495,3,FALSE)</f>
        <v>5000</v>
      </c>
      <c r="G3232" s="5">
        <f>VLOOKUP(C3232,[1]master_data!$A$2:$E$495,4,FALSE)</f>
        <v>10000</v>
      </c>
      <c r="H3232" s="5">
        <f t="shared" si="156"/>
        <v>10000</v>
      </c>
      <c r="I3232" s="5">
        <f t="shared" si="157"/>
        <v>20000</v>
      </c>
      <c r="J3232" s="5">
        <f t="shared" si="158"/>
        <v>10000</v>
      </c>
      <c r="K3232" s="5" t="str">
        <f>VLOOKUP(C3232,[1]master_data!$A$2:$E$495,5,FALSE)</f>
        <v>Aksesoris</v>
      </c>
      <c r="L3232" s="5" t="s">
        <v>471</v>
      </c>
    </row>
    <row r="3233" spans="1:12" ht="12" customHeight="1" x14ac:dyDescent="0.25">
      <c r="A3233" s="6">
        <v>44632</v>
      </c>
      <c r="B3233" s="1">
        <v>2201330</v>
      </c>
      <c r="C3233" s="5" t="s">
        <v>432</v>
      </c>
      <c r="D3233" s="5" t="str">
        <f>VLOOKUP(C3233,[1]master_data!$A$2:$E$495,2,FALSE)</f>
        <v>MARU K</v>
      </c>
      <c r="E3233" s="5">
        <v>3</v>
      </c>
      <c r="F3233" s="5">
        <f>VLOOKUP(C3233,[1]master_data!$A$2:$E$495,3,FALSE)</f>
        <v>23000</v>
      </c>
      <c r="G3233" s="5">
        <f>VLOOKUP(C3233,[1]master_data!$A$2:$E$495,4,FALSE)</f>
        <v>50000</v>
      </c>
      <c r="H3233" s="5">
        <f t="shared" si="156"/>
        <v>69000</v>
      </c>
      <c r="I3233" s="5">
        <f t="shared" si="157"/>
        <v>150000</v>
      </c>
      <c r="J3233" s="5">
        <f t="shared" si="158"/>
        <v>81000</v>
      </c>
      <c r="K3233" s="5" t="str">
        <f>VLOOKUP(C3233,[1]master_data!$A$2:$E$495,5,FALSE)</f>
        <v>Ikan</v>
      </c>
      <c r="L3233" s="5" t="s">
        <v>471</v>
      </c>
    </row>
    <row r="3234" spans="1:12" ht="12" customHeight="1" x14ac:dyDescent="0.25">
      <c r="A3234" s="6">
        <v>44632</v>
      </c>
      <c r="B3234" s="1">
        <v>2201329</v>
      </c>
      <c r="C3234" s="5" t="s">
        <v>409</v>
      </c>
      <c r="D3234" s="5" t="str">
        <f>VLOOKUP(C3234,[1]master_data!$A$2:$E$495,2,FALSE)</f>
        <v>GOLD FISH</v>
      </c>
      <c r="E3234" s="5">
        <v>10</v>
      </c>
      <c r="F3234" s="5">
        <f>VLOOKUP(C3234,[1]master_data!$A$2:$E$495,3,FALSE)</f>
        <v>800</v>
      </c>
      <c r="G3234" s="5">
        <f>VLOOKUP(C3234,[1]master_data!$A$2:$E$495,4,FALSE)</f>
        <v>2000</v>
      </c>
      <c r="H3234" s="5">
        <f t="shared" si="156"/>
        <v>8000</v>
      </c>
      <c r="I3234" s="5">
        <f t="shared" si="157"/>
        <v>20000</v>
      </c>
      <c r="J3234" s="5">
        <f t="shared" si="158"/>
        <v>12000</v>
      </c>
      <c r="K3234" s="5" t="str">
        <f>VLOOKUP(C3234,[1]master_data!$A$2:$E$495,5,FALSE)</f>
        <v>Ikan</v>
      </c>
      <c r="L3234" s="5" t="s">
        <v>471</v>
      </c>
    </row>
    <row r="3235" spans="1:12" ht="12" customHeight="1" x14ac:dyDescent="0.25">
      <c r="A3235" s="6">
        <v>44632</v>
      </c>
      <c r="B3235" s="1">
        <v>2201328</v>
      </c>
      <c r="C3235" s="5" t="s">
        <v>434</v>
      </c>
      <c r="D3235" s="5" t="str">
        <f>VLOOKUP(C3235,[1]master_data!$A$2:$E$495,2,FALSE)</f>
        <v>MOLI PAKAN</v>
      </c>
      <c r="E3235" s="5">
        <v>50</v>
      </c>
      <c r="F3235" s="5">
        <f>VLOOKUP(C3235,[1]master_data!$A$2:$E$495,3,FALSE)</f>
        <v>100</v>
      </c>
      <c r="G3235" s="5">
        <f>VLOOKUP(C3235,[1]master_data!$A$2:$E$495,4,FALSE)</f>
        <v>200</v>
      </c>
      <c r="H3235" s="5">
        <f t="shared" si="156"/>
        <v>5000</v>
      </c>
      <c r="I3235" s="5">
        <f t="shared" si="157"/>
        <v>10000</v>
      </c>
      <c r="J3235" s="5">
        <f t="shared" si="158"/>
        <v>5000</v>
      </c>
      <c r="K3235" s="5" t="str">
        <f>VLOOKUP(C3235,[1]master_data!$A$2:$E$495,5,FALSE)</f>
        <v>Ikan</v>
      </c>
      <c r="L3235" s="5" t="s">
        <v>471</v>
      </c>
    </row>
    <row r="3236" spans="1:12" ht="12" customHeight="1" x14ac:dyDescent="0.25">
      <c r="A3236" s="6">
        <v>44632</v>
      </c>
      <c r="B3236" s="1">
        <v>2201327</v>
      </c>
      <c r="C3236" s="5" t="s">
        <v>425</v>
      </c>
      <c r="D3236" s="5" t="str">
        <f>VLOOKUP(C3236,[1]master_data!$A$2:$E$495,2,FALSE)</f>
        <v>CAROLINE</v>
      </c>
      <c r="E3236" s="5">
        <v>10</v>
      </c>
      <c r="F3236" s="5">
        <f>VLOOKUP(C3236,[1]master_data!$A$2:$E$495,3,FALSE)</f>
        <v>900</v>
      </c>
      <c r="G3236" s="5">
        <f>VLOOKUP(C3236,[1]master_data!$A$2:$E$495,4,FALSE)</f>
        <v>2000</v>
      </c>
      <c r="H3236" s="5">
        <f t="shared" si="156"/>
        <v>9000</v>
      </c>
      <c r="I3236" s="5">
        <f t="shared" si="157"/>
        <v>20000</v>
      </c>
      <c r="J3236" s="5">
        <f t="shared" si="158"/>
        <v>11000</v>
      </c>
      <c r="K3236" s="5" t="str">
        <f>VLOOKUP(C3236,[1]master_data!$A$2:$E$495,5,FALSE)</f>
        <v>Ikan</v>
      </c>
      <c r="L3236" s="5" t="s">
        <v>471</v>
      </c>
    </row>
    <row r="3237" spans="1:12" ht="12" customHeight="1" x14ac:dyDescent="0.25">
      <c r="A3237" s="6">
        <v>44632</v>
      </c>
      <c r="B3237" s="1">
        <v>2201326</v>
      </c>
      <c r="C3237" s="5" t="s">
        <v>459</v>
      </c>
      <c r="D3237" s="5" t="str">
        <f>VLOOKUP(C3237,[1]master_data!$A$2:$E$495,2,FALSE)</f>
        <v>ZEBRA UNGU</v>
      </c>
      <c r="E3237" s="5">
        <v>10</v>
      </c>
      <c r="F3237" s="5">
        <f>VLOOKUP(C3237,[1]master_data!$A$2:$E$495,3,FALSE)</f>
        <v>800</v>
      </c>
      <c r="G3237" s="5">
        <f>VLOOKUP(C3237,[1]master_data!$A$2:$E$495,4,FALSE)</f>
        <v>2000</v>
      </c>
      <c r="H3237" s="5">
        <f t="shared" si="156"/>
        <v>8000</v>
      </c>
      <c r="I3237" s="5">
        <f t="shared" si="157"/>
        <v>20000</v>
      </c>
      <c r="J3237" s="5">
        <f t="shared" si="158"/>
        <v>12000</v>
      </c>
      <c r="K3237" s="5" t="str">
        <f>VLOOKUP(C3237,[1]master_data!$A$2:$E$495,5,FALSE)</f>
        <v>Ikan</v>
      </c>
      <c r="L3237" s="5" t="s">
        <v>471</v>
      </c>
    </row>
    <row r="3238" spans="1:12" ht="12" customHeight="1" x14ac:dyDescent="0.25">
      <c r="A3238" s="6">
        <v>44632</v>
      </c>
      <c r="B3238" s="1">
        <v>2201325</v>
      </c>
      <c r="C3238" s="5" t="s">
        <v>120</v>
      </c>
      <c r="D3238" s="5" t="str">
        <f>VLOOKUP(C3238,[1]master_data!$A$2:$E$495,2,FALSE)</f>
        <v>LED ROSTON 50 CM</v>
      </c>
      <c r="E3238" s="5">
        <v>1</v>
      </c>
      <c r="F3238" s="5">
        <f>VLOOKUP(C3238,[1]master_data!$A$2:$E$495,3,FALSE)</f>
        <v>27000</v>
      </c>
      <c r="G3238" s="5">
        <f>VLOOKUP(C3238,[1]master_data!$A$2:$E$495,4,FALSE)</f>
        <v>50000</v>
      </c>
      <c r="H3238" s="5">
        <f t="shared" si="156"/>
        <v>27000</v>
      </c>
      <c r="I3238" s="5">
        <f t="shared" si="157"/>
        <v>50000</v>
      </c>
      <c r="J3238" s="5">
        <f t="shared" si="158"/>
        <v>23000</v>
      </c>
      <c r="K3238" s="5" t="str">
        <f>VLOOKUP(C3238,[1]master_data!$A$2:$E$495,5,FALSE)</f>
        <v>Aksesoris</v>
      </c>
      <c r="L3238" s="5" t="s">
        <v>471</v>
      </c>
    </row>
    <row r="3239" spans="1:12" ht="12" customHeight="1" x14ac:dyDescent="0.25">
      <c r="A3239" s="6">
        <v>44632</v>
      </c>
      <c r="B3239" s="1">
        <v>2201324</v>
      </c>
      <c r="C3239" s="5" t="s">
        <v>334</v>
      </c>
      <c r="D3239" s="5" t="str">
        <f>VLOOKUP(C3239,[1]master_data!$A$2:$E$495,2,FALSE)</f>
        <v>KARPET RUMPUT</v>
      </c>
      <c r="E3239" s="5">
        <v>1</v>
      </c>
      <c r="F3239" s="5">
        <f>VLOOKUP(C3239,[1]master_data!$A$2:$E$495,3,FALSE)</f>
        <v>15000</v>
      </c>
      <c r="G3239" s="5">
        <f>VLOOKUP(C3239,[1]master_data!$A$2:$E$495,4,FALSE)</f>
        <v>25000</v>
      </c>
      <c r="H3239" s="5">
        <f t="shared" si="156"/>
        <v>15000</v>
      </c>
      <c r="I3239" s="5">
        <f t="shared" si="157"/>
        <v>25000</v>
      </c>
      <c r="J3239" s="5">
        <f t="shared" si="158"/>
        <v>10000</v>
      </c>
      <c r="K3239" s="5" t="str">
        <f>VLOOKUP(C3239,[1]master_data!$A$2:$E$495,5,FALSE)</f>
        <v>Aksesoris</v>
      </c>
      <c r="L3239" s="5" t="s">
        <v>471</v>
      </c>
    </row>
    <row r="3240" spans="1:12" ht="12" customHeight="1" x14ac:dyDescent="0.25">
      <c r="A3240" s="6">
        <v>44632</v>
      </c>
      <c r="B3240" s="1">
        <v>2201323</v>
      </c>
      <c r="C3240" s="5" t="s">
        <v>458</v>
      </c>
      <c r="D3240" s="5" t="str">
        <f>VLOOKUP(C3240,[1]master_data!$A$2:$E$495,2,FALSE)</f>
        <v>ZEBRA HIJAU</v>
      </c>
      <c r="E3240" s="5">
        <v>10</v>
      </c>
      <c r="F3240" s="5">
        <f>VLOOKUP(C3240,[1]master_data!$A$2:$E$495,3,FALSE)</f>
        <v>800</v>
      </c>
      <c r="G3240" s="5">
        <f>VLOOKUP(C3240,[1]master_data!$A$2:$E$495,4,FALSE)</f>
        <v>2000</v>
      </c>
      <c r="H3240" s="5">
        <f t="shared" si="156"/>
        <v>8000</v>
      </c>
      <c r="I3240" s="5">
        <f t="shared" si="157"/>
        <v>20000</v>
      </c>
      <c r="J3240" s="5">
        <f t="shared" si="158"/>
        <v>12000</v>
      </c>
      <c r="K3240" s="5" t="str">
        <f>VLOOKUP(C3240,[1]master_data!$A$2:$E$495,5,FALSE)</f>
        <v>Ikan</v>
      </c>
      <c r="L3240" s="5" t="s">
        <v>471</v>
      </c>
    </row>
    <row r="3241" spans="1:12" ht="12" customHeight="1" x14ac:dyDescent="0.25">
      <c r="A3241" s="6">
        <v>44632</v>
      </c>
      <c r="B3241" s="1">
        <v>2201322</v>
      </c>
      <c r="C3241" s="5" t="s">
        <v>439</v>
      </c>
      <c r="D3241" s="5" t="str">
        <f>VLOOKUP(C3241,[1]master_data!$A$2:$E$495,2,FALSE)</f>
        <v>NEON</v>
      </c>
      <c r="E3241" s="5">
        <v>10</v>
      </c>
      <c r="F3241" s="5">
        <f>VLOOKUP(C3241,[1]master_data!$A$2:$E$495,3,FALSE)</f>
        <v>1250</v>
      </c>
      <c r="G3241" s="5">
        <f>VLOOKUP(C3241,[1]master_data!$A$2:$E$495,4,FALSE)</f>
        <v>5000</v>
      </c>
      <c r="H3241" s="5">
        <f t="shared" si="156"/>
        <v>12500</v>
      </c>
      <c r="I3241" s="5">
        <f t="shared" si="157"/>
        <v>50000</v>
      </c>
      <c r="J3241" s="5">
        <f t="shared" si="158"/>
        <v>37500</v>
      </c>
      <c r="K3241" s="5" t="str">
        <f>VLOOKUP(C3241,[1]master_data!$A$2:$E$495,5,FALSE)</f>
        <v>Ikan</v>
      </c>
      <c r="L3241" s="5" t="s">
        <v>471</v>
      </c>
    </row>
    <row r="3242" spans="1:12" ht="12" customHeight="1" x14ac:dyDescent="0.25">
      <c r="A3242" s="6">
        <v>44632</v>
      </c>
      <c r="B3242" s="1">
        <v>2201321</v>
      </c>
      <c r="C3242" s="5" t="s">
        <v>407</v>
      </c>
      <c r="D3242" s="5" t="str">
        <f>VLOOKUP(C3242,[1]master_data!$A$2:$E$495,2,FALSE)</f>
        <v>CUPANG</v>
      </c>
      <c r="E3242" s="5">
        <v>2</v>
      </c>
      <c r="F3242" s="5">
        <f>VLOOKUP(C3242,[1]master_data!$A$2:$E$495,3,FALSE)</f>
        <v>2000</v>
      </c>
      <c r="G3242" s="5">
        <f>VLOOKUP(C3242,[1]master_data!$A$2:$E$495,4,FALSE)</f>
        <v>5000</v>
      </c>
      <c r="H3242" s="5">
        <f t="shared" si="156"/>
        <v>4000</v>
      </c>
      <c r="I3242" s="5">
        <f t="shared" si="157"/>
        <v>10000</v>
      </c>
      <c r="J3242" s="5">
        <f t="shared" si="158"/>
        <v>6000</v>
      </c>
      <c r="K3242" s="5" t="str">
        <f>VLOOKUP(C3242,[1]master_data!$A$2:$E$495,5,FALSE)</f>
        <v>Ikan</v>
      </c>
      <c r="L3242" s="5" t="s">
        <v>471</v>
      </c>
    </row>
    <row r="3243" spans="1:12" ht="12" customHeight="1" x14ac:dyDescent="0.25">
      <c r="A3243" s="6">
        <v>44632</v>
      </c>
      <c r="B3243" s="1">
        <v>2201320</v>
      </c>
      <c r="C3243" s="5" t="s">
        <v>412</v>
      </c>
      <c r="D3243" s="5" t="str">
        <f>VLOOKUP(C3243,[1]master_data!$A$2:$E$495,2,FALSE)</f>
        <v>HIU TAWAR</v>
      </c>
      <c r="E3243" s="5">
        <v>5</v>
      </c>
      <c r="F3243" s="5">
        <f>VLOOKUP(C3243,[1]master_data!$A$2:$E$495,3,FALSE)</f>
        <v>600</v>
      </c>
      <c r="G3243" s="5">
        <f>VLOOKUP(C3243,[1]master_data!$A$2:$E$495,4,FALSE)</f>
        <v>2000</v>
      </c>
      <c r="H3243" s="5">
        <f t="shared" si="156"/>
        <v>3000</v>
      </c>
      <c r="I3243" s="5">
        <f t="shared" si="157"/>
        <v>10000</v>
      </c>
      <c r="J3243" s="5">
        <f t="shared" si="158"/>
        <v>7000</v>
      </c>
      <c r="K3243" s="5" t="str">
        <f>VLOOKUP(C3243,[1]master_data!$A$2:$E$495,5,FALSE)</f>
        <v>Ikan</v>
      </c>
      <c r="L3243" s="5" t="s">
        <v>471</v>
      </c>
    </row>
    <row r="3244" spans="1:12" ht="12" customHeight="1" x14ac:dyDescent="0.25">
      <c r="A3244" s="6">
        <v>44632</v>
      </c>
      <c r="B3244" s="1">
        <v>2201319</v>
      </c>
      <c r="C3244" s="5" t="s">
        <v>281</v>
      </c>
      <c r="D3244" s="5" t="str">
        <f>VLOOKUP(C3244,[1]master_data!$A$2:$E$495,2,FALSE)</f>
        <v>KRAN 3 W</v>
      </c>
      <c r="E3244" s="5">
        <v>3</v>
      </c>
      <c r="F3244" s="5">
        <f>VLOOKUP(C3244,[1]master_data!$A$2:$E$495,3,FALSE)</f>
        <v>5500</v>
      </c>
      <c r="G3244" s="5">
        <f>VLOOKUP(C3244,[1]master_data!$A$2:$E$495,4,FALSE)</f>
        <v>8000</v>
      </c>
      <c r="H3244" s="5">
        <f t="shared" si="156"/>
        <v>16500</v>
      </c>
      <c r="I3244" s="5">
        <f t="shared" si="157"/>
        <v>24000</v>
      </c>
      <c r="J3244" s="5">
        <f t="shared" si="158"/>
        <v>7500</v>
      </c>
      <c r="K3244" s="5" t="str">
        <f>VLOOKUP(C3244,[1]master_data!$A$2:$E$495,5,FALSE)</f>
        <v>Aksesoris</v>
      </c>
      <c r="L3244" s="5" t="s">
        <v>471</v>
      </c>
    </row>
    <row r="3245" spans="1:12" ht="12" customHeight="1" x14ac:dyDescent="0.25">
      <c r="A3245" s="6">
        <v>44632</v>
      </c>
      <c r="B3245" s="1">
        <v>2201318</v>
      </c>
      <c r="C3245" s="5" t="s">
        <v>451</v>
      </c>
      <c r="D3245" s="5" t="str">
        <f>VLOOKUP(C3245,[1]master_data!$A$2:$E$495,2,FALSE)</f>
        <v>SUMATRA GOLD FISH</v>
      </c>
      <c r="E3245" s="5">
        <v>10</v>
      </c>
      <c r="F3245" s="5">
        <f>VLOOKUP(C3245,[1]master_data!$A$2:$E$495,3,FALSE)</f>
        <v>2500</v>
      </c>
      <c r="G3245" s="5">
        <f>VLOOKUP(C3245,[1]master_data!$A$2:$E$495,4,FALSE)</f>
        <v>4000</v>
      </c>
      <c r="H3245" s="5">
        <f t="shared" si="156"/>
        <v>25000</v>
      </c>
      <c r="I3245" s="5">
        <f t="shared" si="157"/>
        <v>40000</v>
      </c>
      <c r="J3245" s="5">
        <f t="shared" si="158"/>
        <v>15000</v>
      </c>
      <c r="K3245" s="5" t="str">
        <f>VLOOKUP(C3245,[1]master_data!$A$2:$E$495,5,FALSE)</f>
        <v>Ikan</v>
      </c>
      <c r="L3245" s="5" t="s">
        <v>471</v>
      </c>
    </row>
    <row r="3246" spans="1:12" ht="12" customHeight="1" x14ac:dyDescent="0.25">
      <c r="A3246" s="6">
        <v>44631</v>
      </c>
      <c r="B3246" s="1">
        <v>2201317</v>
      </c>
      <c r="C3246" s="5" t="s">
        <v>451</v>
      </c>
      <c r="D3246" s="5" t="str">
        <f>VLOOKUP(C3246,[1]master_data!$A$2:$E$495,2,FALSE)</f>
        <v>SUMATRA GOLD FISH</v>
      </c>
      <c r="E3246" s="5">
        <v>6</v>
      </c>
      <c r="F3246" s="5">
        <f>VLOOKUP(C3246,[1]master_data!$A$2:$E$495,3,FALSE)</f>
        <v>2500</v>
      </c>
      <c r="G3246" s="5">
        <f>VLOOKUP(C3246,[1]master_data!$A$2:$E$495,4,FALSE)</f>
        <v>4000</v>
      </c>
      <c r="H3246" s="5">
        <f t="shared" si="156"/>
        <v>15000</v>
      </c>
      <c r="I3246" s="5">
        <f t="shared" si="157"/>
        <v>24000</v>
      </c>
      <c r="J3246" s="5">
        <f t="shared" si="158"/>
        <v>9000</v>
      </c>
      <c r="K3246" s="5" t="str">
        <f>VLOOKUP(C3246,[1]master_data!$A$2:$E$495,5,FALSE)</f>
        <v>Ikan</v>
      </c>
      <c r="L3246" s="5" t="s">
        <v>471</v>
      </c>
    </row>
    <row r="3247" spans="1:12" ht="12" customHeight="1" x14ac:dyDescent="0.25">
      <c r="A3247" s="6">
        <v>44631</v>
      </c>
      <c r="B3247" s="1">
        <v>2201316</v>
      </c>
      <c r="C3247" s="5" t="s">
        <v>420</v>
      </c>
      <c r="D3247" s="5" t="str">
        <f>VLOOKUP(C3247,[1]master_data!$A$2:$E$495,2,FALSE)</f>
        <v>KAVIAT</v>
      </c>
      <c r="E3247" s="5">
        <v>2</v>
      </c>
      <c r="F3247" s="5">
        <f>VLOOKUP(C3247,[1]master_data!$A$2:$E$495,3,FALSE)</f>
        <v>3500</v>
      </c>
      <c r="G3247" s="5">
        <f>VLOOKUP(C3247,[1]master_data!$A$2:$E$495,4,FALSE)</f>
        <v>8000</v>
      </c>
      <c r="H3247" s="5">
        <f t="shared" si="156"/>
        <v>7000</v>
      </c>
      <c r="I3247" s="5">
        <f t="shared" si="157"/>
        <v>16000</v>
      </c>
      <c r="J3247" s="5">
        <f t="shared" si="158"/>
        <v>9000</v>
      </c>
      <c r="K3247" s="5" t="str">
        <f>VLOOKUP(C3247,[1]master_data!$A$2:$E$495,5,FALSE)</f>
        <v>Ikan</v>
      </c>
      <c r="L3247" s="5" t="s">
        <v>471</v>
      </c>
    </row>
    <row r="3248" spans="1:12" ht="12" customHeight="1" x14ac:dyDescent="0.25">
      <c r="A3248" s="6">
        <v>44631</v>
      </c>
      <c r="B3248" s="1">
        <v>2201315</v>
      </c>
      <c r="C3248" s="5" t="s">
        <v>445</v>
      </c>
      <c r="D3248" s="5" t="str">
        <f>VLOOKUP(C3248,[1]master_data!$A$2:$E$495,2,FALSE)</f>
        <v>PESO</v>
      </c>
      <c r="E3248" s="5">
        <v>1</v>
      </c>
      <c r="F3248" s="5">
        <f>VLOOKUP(C3248,[1]master_data!$A$2:$E$495,3,FALSE)</f>
        <v>19000</v>
      </c>
      <c r="G3248" s="5">
        <f>VLOOKUP(C3248,[1]master_data!$A$2:$E$495,4,FALSE)</f>
        <v>40000</v>
      </c>
      <c r="H3248" s="5">
        <f t="shared" si="156"/>
        <v>19000</v>
      </c>
      <c r="I3248" s="5">
        <f t="shared" si="157"/>
        <v>40000</v>
      </c>
      <c r="J3248" s="5">
        <f t="shared" si="158"/>
        <v>21000</v>
      </c>
      <c r="K3248" s="5" t="str">
        <f>VLOOKUP(C3248,[1]master_data!$A$2:$E$495,5,FALSE)</f>
        <v>Ikan</v>
      </c>
      <c r="L3248" s="5" t="s">
        <v>471</v>
      </c>
    </row>
    <row r="3249" spans="1:12" ht="12" customHeight="1" x14ac:dyDescent="0.25">
      <c r="A3249" s="6">
        <v>44631</v>
      </c>
      <c r="B3249" s="1">
        <v>2201314</v>
      </c>
      <c r="C3249" s="5" t="s">
        <v>310</v>
      </c>
      <c r="D3249" s="5" t="str">
        <f>VLOOKUP(C3249,[1]master_data!$A$2:$E$495,2,FALSE)</f>
        <v>SELANG FUSO</v>
      </c>
      <c r="E3249" s="5">
        <v>15</v>
      </c>
      <c r="F3249" s="5">
        <f>VLOOKUP(C3249,[1]master_data!$A$2:$E$495,3,FALSE)</f>
        <v>800</v>
      </c>
      <c r="G3249" s="5">
        <f>VLOOKUP(C3249,[1]master_data!$A$2:$E$495,4,FALSE)</f>
        <v>2000</v>
      </c>
      <c r="H3249" s="5">
        <f t="shared" si="156"/>
        <v>12000</v>
      </c>
      <c r="I3249" s="5">
        <f t="shared" si="157"/>
        <v>30000</v>
      </c>
      <c r="J3249" s="5">
        <f t="shared" si="158"/>
        <v>18000</v>
      </c>
      <c r="K3249" s="5" t="str">
        <f>VLOOKUP(C3249,[1]master_data!$A$2:$E$495,5,FALSE)</f>
        <v>Aksesoris</v>
      </c>
      <c r="L3249" s="5" t="s">
        <v>471</v>
      </c>
    </row>
    <row r="3250" spans="1:12" ht="12" customHeight="1" x14ac:dyDescent="0.25">
      <c r="A3250" s="6">
        <v>44631</v>
      </c>
      <c r="B3250" s="1">
        <v>2201313</v>
      </c>
      <c r="C3250" s="5" t="s">
        <v>280</v>
      </c>
      <c r="D3250" s="5" t="str">
        <f>VLOOKUP(C3250,[1]master_data!$A$2:$E$495,2,FALSE)</f>
        <v>KRAN 2 W</v>
      </c>
      <c r="E3250" s="5">
        <v>1</v>
      </c>
      <c r="F3250" s="5">
        <f>VLOOKUP(C3250,[1]master_data!$A$2:$E$495,3,FALSE)</f>
        <v>4000</v>
      </c>
      <c r="G3250" s="5">
        <f>VLOOKUP(C3250,[1]master_data!$A$2:$E$495,4,FALSE)</f>
        <v>6000</v>
      </c>
      <c r="H3250" s="5">
        <f t="shared" si="156"/>
        <v>4000</v>
      </c>
      <c r="I3250" s="5">
        <f t="shared" si="157"/>
        <v>6000</v>
      </c>
      <c r="J3250" s="5">
        <f t="shared" si="158"/>
        <v>2000</v>
      </c>
      <c r="K3250" s="5" t="str">
        <f>VLOOKUP(C3250,[1]master_data!$A$2:$E$495,5,FALSE)</f>
        <v>Aksesoris</v>
      </c>
      <c r="L3250" s="5" t="s">
        <v>471</v>
      </c>
    </row>
    <row r="3251" spans="1:12" ht="12" customHeight="1" x14ac:dyDescent="0.25">
      <c r="A3251" s="6">
        <v>44631</v>
      </c>
      <c r="B3251" s="1">
        <v>2201312</v>
      </c>
      <c r="C3251" s="5" t="s">
        <v>403</v>
      </c>
      <c r="D3251" s="5" t="str">
        <f>VLOOKUP(C3251,[1]master_data!$A$2:$E$495,2,FALSE)</f>
        <v>CHANNA BLUE PULCHRA K</v>
      </c>
      <c r="E3251" s="5">
        <v>1</v>
      </c>
      <c r="F3251" s="5">
        <f>VLOOKUP(C3251,[1]master_data!$A$2:$E$495,3,FALSE)</f>
        <v>25000</v>
      </c>
      <c r="G3251" s="5">
        <f>VLOOKUP(C3251,[1]master_data!$A$2:$E$495,4,FALSE)</f>
        <v>50000</v>
      </c>
      <c r="H3251" s="5">
        <f t="shared" si="156"/>
        <v>25000</v>
      </c>
      <c r="I3251" s="5">
        <f t="shared" si="157"/>
        <v>50000</v>
      </c>
      <c r="J3251" s="5">
        <f t="shared" si="158"/>
        <v>25000</v>
      </c>
      <c r="K3251" s="5" t="str">
        <f>VLOOKUP(C3251,[1]master_data!$A$2:$E$495,5,FALSE)</f>
        <v>Ikan</v>
      </c>
      <c r="L3251" s="5" t="s">
        <v>471</v>
      </c>
    </row>
    <row r="3252" spans="1:12" ht="12" customHeight="1" x14ac:dyDescent="0.25">
      <c r="A3252" s="6">
        <v>44631</v>
      </c>
      <c r="B3252" s="1">
        <v>2201311</v>
      </c>
      <c r="C3252" s="5" t="s">
        <v>44</v>
      </c>
      <c r="D3252" s="5" t="str">
        <f>VLOOKUP(C3252,[1]master_data!$A$2:$E$495,2,FALSE)</f>
        <v>TOP FILTER NIKITA B</v>
      </c>
      <c r="E3252" s="5">
        <v>2</v>
      </c>
      <c r="F3252" s="5">
        <f>VLOOKUP(C3252,[1]master_data!$A$2:$E$495,3,FALSE)</f>
        <v>45000</v>
      </c>
      <c r="G3252" s="5">
        <f>VLOOKUP(C3252,[1]master_data!$A$2:$E$495,4,FALSE)</f>
        <v>70000</v>
      </c>
      <c r="H3252" s="5">
        <f t="shared" si="156"/>
        <v>90000</v>
      </c>
      <c r="I3252" s="5">
        <f t="shared" si="157"/>
        <v>140000</v>
      </c>
      <c r="J3252" s="5">
        <f t="shared" si="158"/>
        <v>50000</v>
      </c>
      <c r="K3252" s="5" t="str">
        <f>VLOOKUP(C3252,[1]master_data!$A$2:$E$495,5,FALSE)</f>
        <v>Aksesoris</v>
      </c>
      <c r="L3252" s="5" t="s">
        <v>471</v>
      </c>
    </row>
    <row r="3253" spans="1:12" ht="12" customHeight="1" x14ac:dyDescent="0.25">
      <c r="A3253" s="6">
        <v>44631</v>
      </c>
      <c r="B3253" s="1">
        <v>2201310</v>
      </c>
      <c r="C3253" s="5" t="s">
        <v>458</v>
      </c>
      <c r="D3253" s="5" t="str">
        <f>VLOOKUP(C3253,[1]master_data!$A$2:$E$495,2,FALSE)</f>
        <v>ZEBRA HIJAU</v>
      </c>
      <c r="E3253" s="5">
        <v>10</v>
      </c>
      <c r="F3253" s="5">
        <f>VLOOKUP(C3253,[1]master_data!$A$2:$E$495,3,FALSE)</f>
        <v>800</v>
      </c>
      <c r="G3253" s="5">
        <f>VLOOKUP(C3253,[1]master_data!$A$2:$E$495,4,FALSE)</f>
        <v>2000</v>
      </c>
      <c r="H3253" s="5">
        <f t="shared" si="156"/>
        <v>8000</v>
      </c>
      <c r="I3253" s="5">
        <f t="shared" si="157"/>
        <v>20000</v>
      </c>
      <c r="J3253" s="5">
        <f t="shared" si="158"/>
        <v>12000</v>
      </c>
      <c r="K3253" s="5" t="str">
        <f>VLOOKUP(C3253,[1]master_data!$A$2:$E$495,5,FALSE)</f>
        <v>Ikan</v>
      </c>
      <c r="L3253" s="5" t="s">
        <v>471</v>
      </c>
    </row>
    <row r="3254" spans="1:12" ht="12" customHeight="1" x14ac:dyDescent="0.25">
      <c r="A3254" s="6">
        <v>44631</v>
      </c>
      <c r="B3254" s="1">
        <v>2201309</v>
      </c>
      <c r="C3254" s="5" t="s">
        <v>335</v>
      </c>
      <c r="D3254" s="5" t="str">
        <f>VLOOKUP(C3254,[1]master_data!$A$2:$E$495,2,FALSE)</f>
        <v>PENJERNIH</v>
      </c>
      <c r="E3254" s="5">
        <v>1</v>
      </c>
      <c r="F3254" s="5">
        <f>VLOOKUP(C3254,[1]master_data!$A$2:$E$495,3,FALSE)</f>
        <v>3000</v>
      </c>
      <c r="G3254" s="5">
        <f>VLOOKUP(C3254,[1]master_data!$A$2:$E$495,4,FALSE)</f>
        <v>8000</v>
      </c>
      <c r="H3254" s="5">
        <f t="shared" si="156"/>
        <v>3000</v>
      </c>
      <c r="I3254" s="5">
        <f t="shared" si="157"/>
        <v>8000</v>
      </c>
      <c r="J3254" s="5">
        <f t="shared" si="158"/>
        <v>5000</v>
      </c>
      <c r="K3254" s="5" t="str">
        <f>VLOOKUP(C3254,[1]master_data!$A$2:$E$495,5,FALSE)</f>
        <v>Aksesoris</v>
      </c>
      <c r="L3254" s="5" t="s">
        <v>471</v>
      </c>
    </row>
    <row r="3255" spans="1:12" ht="12" customHeight="1" x14ac:dyDescent="0.25">
      <c r="A3255" s="6">
        <v>44631</v>
      </c>
      <c r="B3255" s="1">
        <v>2201308</v>
      </c>
      <c r="C3255" s="5" t="s">
        <v>333</v>
      </c>
      <c r="D3255" s="5" t="str">
        <f>VLOOKUP(C3255,[1]master_data!$A$2:$E$495,2,FALSE)</f>
        <v>KAPAS 2 LAPIS</v>
      </c>
      <c r="E3255" s="5">
        <v>1</v>
      </c>
      <c r="F3255" s="5">
        <f>VLOOKUP(C3255,[1]master_data!$A$2:$E$495,3,FALSE)</f>
        <v>2000</v>
      </c>
      <c r="G3255" s="5">
        <f>VLOOKUP(C3255,[1]master_data!$A$2:$E$495,4,FALSE)</f>
        <v>4000</v>
      </c>
      <c r="H3255" s="5">
        <f t="shared" si="156"/>
        <v>2000</v>
      </c>
      <c r="I3255" s="5">
        <f t="shared" si="157"/>
        <v>4000</v>
      </c>
      <c r="J3255" s="5">
        <f t="shared" si="158"/>
        <v>2000</v>
      </c>
      <c r="K3255" s="5" t="str">
        <f>VLOOKUP(C3255,[1]master_data!$A$2:$E$495,5,FALSE)</f>
        <v>Aksesoris</v>
      </c>
      <c r="L3255" s="5" t="s">
        <v>471</v>
      </c>
    </row>
    <row r="3256" spans="1:12" ht="12" customHeight="1" x14ac:dyDescent="0.25">
      <c r="A3256" s="6">
        <v>44631</v>
      </c>
      <c r="B3256" s="1">
        <v>2201307</v>
      </c>
      <c r="C3256" s="5" t="s">
        <v>310</v>
      </c>
      <c r="D3256" s="5" t="str">
        <f>VLOOKUP(C3256,[1]master_data!$A$2:$E$495,2,FALSE)</f>
        <v>SELANG FUSO</v>
      </c>
      <c r="E3256" s="5">
        <v>2</v>
      </c>
      <c r="F3256" s="5">
        <f>VLOOKUP(C3256,[1]master_data!$A$2:$E$495,3,FALSE)</f>
        <v>800</v>
      </c>
      <c r="G3256" s="5">
        <f>VLOOKUP(C3256,[1]master_data!$A$2:$E$495,4,FALSE)</f>
        <v>2000</v>
      </c>
      <c r="H3256" s="5">
        <f t="shared" si="156"/>
        <v>1600</v>
      </c>
      <c r="I3256" s="5">
        <f t="shared" si="157"/>
        <v>4000</v>
      </c>
      <c r="J3256" s="5">
        <f t="shared" si="158"/>
        <v>2400</v>
      </c>
      <c r="K3256" s="5" t="str">
        <f>VLOOKUP(C3256,[1]master_data!$A$2:$E$495,5,FALSE)</f>
        <v>Aksesoris</v>
      </c>
      <c r="L3256" s="5" t="s">
        <v>471</v>
      </c>
    </row>
    <row r="3257" spans="1:12" ht="12" customHeight="1" x14ac:dyDescent="0.25">
      <c r="A3257" s="6">
        <v>44631</v>
      </c>
      <c r="B3257" s="1">
        <v>2201306</v>
      </c>
      <c r="C3257" s="5" t="s">
        <v>386</v>
      </c>
      <c r="D3257" s="5" t="str">
        <f>VLOOKUP(C3257,[1]master_data!$A$2:$E$495,2,FALSE)</f>
        <v>BATU KARANG JAHE</v>
      </c>
      <c r="E3257" s="5">
        <v>1</v>
      </c>
      <c r="F3257" s="5">
        <f>VLOOKUP(C3257,[1]master_data!$A$2:$E$495,3,FALSE)</f>
        <v>15000</v>
      </c>
      <c r="G3257" s="5">
        <f>VLOOKUP(C3257,[1]master_data!$A$2:$E$495,4,FALSE)</f>
        <v>25000</v>
      </c>
      <c r="H3257" s="5">
        <f t="shared" si="156"/>
        <v>15000</v>
      </c>
      <c r="I3257" s="5">
        <f t="shared" si="157"/>
        <v>25000</v>
      </c>
      <c r="J3257" s="5">
        <f t="shared" si="158"/>
        <v>10000</v>
      </c>
      <c r="K3257" s="5" t="str">
        <f>VLOOKUP(C3257,[1]master_data!$A$2:$E$495,5,FALSE)</f>
        <v>Aksesoris</v>
      </c>
      <c r="L3257" s="5" t="s">
        <v>471</v>
      </c>
    </row>
    <row r="3258" spans="1:12" ht="12" customHeight="1" x14ac:dyDescent="0.25">
      <c r="A3258" s="6">
        <v>44631</v>
      </c>
      <c r="B3258" s="1">
        <v>2201305</v>
      </c>
      <c r="C3258" s="5" t="s">
        <v>416</v>
      </c>
      <c r="D3258" s="5" t="str">
        <f>VLOOKUP(C3258,[1]master_data!$A$2:$E$495,2,FALSE)</f>
        <v>KOI K</v>
      </c>
      <c r="E3258" s="5">
        <v>10</v>
      </c>
      <c r="F3258" s="5">
        <f>VLOOKUP(C3258,[1]master_data!$A$2:$E$495,3,FALSE)</f>
        <v>2500</v>
      </c>
      <c r="G3258" s="5">
        <f>VLOOKUP(C3258,[1]master_data!$A$2:$E$495,4,FALSE)</f>
        <v>10000</v>
      </c>
      <c r="H3258" s="5">
        <f t="shared" si="156"/>
        <v>25000</v>
      </c>
      <c r="I3258" s="5">
        <f t="shared" si="157"/>
        <v>100000</v>
      </c>
      <c r="J3258" s="5">
        <f t="shared" si="158"/>
        <v>75000</v>
      </c>
      <c r="K3258" s="5" t="str">
        <f>VLOOKUP(C3258,[1]master_data!$A$2:$E$495,5,FALSE)</f>
        <v>Ikan</v>
      </c>
      <c r="L3258" s="5" t="s">
        <v>471</v>
      </c>
    </row>
    <row r="3259" spans="1:12" ht="12" customHeight="1" x14ac:dyDescent="0.25">
      <c r="A3259" s="6">
        <v>44631</v>
      </c>
      <c r="B3259" s="1">
        <v>2201304</v>
      </c>
      <c r="C3259" s="5" t="s">
        <v>431</v>
      </c>
      <c r="D3259" s="5" t="str">
        <f>VLOOKUP(C3259,[1]master_data!$A$2:$E$495,2,FALSE)</f>
        <v>MANFISH B</v>
      </c>
      <c r="E3259" s="5">
        <v>3</v>
      </c>
      <c r="F3259" s="5">
        <f>VLOOKUP(C3259,[1]master_data!$A$2:$E$495,3,FALSE)</f>
        <v>4000</v>
      </c>
      <c r="G3259" s="5">
        <f>VLOOKUP(C3259,[1]master_data!$A$2:$E$495,4,FALSE)</f>
        <v>10000</v>
      </c>
      <c r="H3259" s="5">
        <f t="shared" si="156"/>
        <v>12000</v>
      </c>
      <c r="I3259" s="5">
        <f t="shared" si="157"/>
        <v>30000</v>
      </c>
      <c r="J3259" s="5">
        <f t="shared" si="158"/>
        <v>18000</v>
      </c>
      <c r="K3259" s="5" t="str">
        <f>VLOOKUP(C3259,[1]master_data!$A$2:$E$495,5,FALSE)</f>
        <v>Ikan</v>
      </c>
      <c r="L3259" s="5" t="s">
        <v>471</v>
      </c>
    </row>
    <row r="3260" spans="1:12" ht="12" customHeight="1" x14ac:dyDescent="0.25">
      <c r="A3260" s="6">
        <v>44631</v>
      </c>
      <c r="B3260" s="1">
        <v>2201303</v>
      </c>
      <c r="C3260" s="5" t="s">
        <v>423</v>
      </c>
      <c r="D3260" s="5" t="str">
        <f>VLOOKUP(C3260,[1]master_data!$A$2:$E$495,2,FALSE)</f>
        <v>KOI SLAYER K</v>
      </c>
      <c r="E3260" s="5">
        <v>10</v>
      </c>
      <c r="F3260" s="5">
        <f>VLOOKUP(C3260,[1]master_data!$A$2:$E$495,3,FALSE)</f>
        <v>3500</v>
      </c>
      <c r="G3260" s="5">
        <f>VLOOKUP(C3260,[1]master_data!$A$2:$E$495,4,FALSE)</f>
        <v>10000</v>
      </c>
      <c r="H3260" s="5">
        <f t="shared" si="156"/>
        <v>35000</v>
      </c>
      <c r="I3260" s="5">
        <f t="shared" si="157"/>
        <v>100000</v>
      </c>
      <c r="J3260" s="5">
        <f t="shared" si="158"/>
        <v>65000</v>
      </c>
      <c r="K3260" s="5" t="str">
        <f>VLOOKUP(C3260,[1]master_data!$A$2:$E$495,5,FALSE)</f>
        <v>Ikan</v>
      </c>
      <c r="L3260" s="5" t="s">
        <v>471</v>
      </c>
    </row>
    <row r="3261" spans="1:12" ht="12" customHeight="1" x14ac:dyDescent="0.25">
      <c r="A3261" s="6">
        <v>44631</v>
      </c>
      <c r="B3261" s="1">
        <v>2201302</v>
      </c>
      <c r="C3261" s="5" t="s">
        <v>457</v>
      </c>
      <c r="D3261" s="5" t="str">
        <f>VLOOKUP(C3261,[1]master_data!$A$2:$E$495,2,FALSE)</f>
        <v>ZEBRA PINK</v>
      </c>
      <c r="E3261" s="5">
        <v>10</v>
      </c>
      <c r="F3261" s="5">
        <f>VLOOKUP(C3261,[1]master_data!$A$2:$E$495,3,FALSE)</f>
        <v>800</v>
      </c>
      <c r="G3261" s="5">
        <f>VLOOKUP(C3261,[1]master_data!$A$2:$E$495,4,FALSE)</f>
        <v>2000</v>
      </c>
      <c r="H3261" s="5">
        <f t="shared" si="156"/>
        <v>8000</v>
      </c>
      <c r="I3261" s="5">
        <f t="shared" si="157"/>
        <v>20000</v>
      </c>
      <c r="J3261" s="5">
        <f t="shared" si="158"/>
        <v>12000</v>
      </c>
      <c r="K3261" s="5" t="str">
        <f>VLOOKUP(C3261,[1]master_data!$A$2:$E$495,5,FALSE)</f>
        <v>Ikan</v>
      </c>
      <c r="L3261" s="5" t="s">
        <v>471</v>
      </c>
    </row>
    <row r="3262" spans="1:12" ht="12" customHeight="1" x14ac:dyDescent="0.25">
      <c r="A3262" s="6">
        <v>44631</v>
      </c>
      <c r="B3262" s="1">
        <v>2201301</v>
      </c>
      <c r="C3262" s="5" t="s">
        <v>410</v>
      </c>
      <c r="D3262" s="5" t="str">
        <f>VLOOKUP(C3262,[1]master_data!$A$2:$E$495,2,FALSE)</f>
        <v>GUPY</v>
      </c>
      <c r="E3262" s="5">
        <v>10</v>
      </c>
      <c r="F3262" s="5">
        <f>VLOOKUP(C3262,[1]master_data!$A$2:$E$495,3,FALSE)</f>
        <v>1200</v>
      </c>
      <c r="G3262" s="5">
        <f>VLOOKUP(C3262,[1]master_data!$A$2:$E$495,4,FALSE)</f>
        <v>2500</v>
      </c>
      <c r="H3262" s="5">
        <f t="shared" si="156"/>
        <v>12000</v>
      </c>
      <c r="I3262" s="5">
        <f t="shared" si="157"/>
        <v>25000</v>
      </c>
      <c r="J3262" s="5">
        <f t="shared" si="158"/>
        <v>13000</v>
      </c>
      <c r="K3262" s="5" t="str">
        <f>VLOOKUP(C3262,[1]master_data!$A$2:$E$495,5,FALSE)</f>
        <v>Ikan</v>
      </c>
      <c r="L3262" s="5" t="s">
        <v>471</v>
      </c>
    </row>
    <row r="3263" spans="1:12" ht="12" customHeight="1" x14ac:dyDescent="0.25">
      <c r="A3263" s="6">
        <v>44631</v>
      </c>
      <c r="B3263" s="1">
        <v>2201300</v>
      </c>
      <c r="C3263" s="5" t="s">
        <v>439</v>
      </c>
      <c r="D3263" s="5" t="str">
        <f>VLOOKUP(C3263,[1]master_data!$A$2:$E$495,2,FALSE)</f>
        <v>NEON</v>
      </c>
      <c r="E3263" s="5">
        <v>5</v>
      </c>
      <c r="F3263" s="5">
        <f>VLOOKUP(C3263,[1]master_data!$A$2:$E$495,3,FALSE)</f>
        <v>1250</v>
      </c>
      <c r="G3263" s="5">
        <f>VLOOKUP(C3263,[1]master_data!$A$2:$E$495,4,FALSE)</f>
        <v>5000</v>
      </c>
      <c r="H3263" s="5">
        <f t="shared" si="156"/>
        <v>6250</v>
      </c>
      <c r="I3263" s="5">
        <f t="shared" si="157"/>
        <v>25000</v>
      </c>
      <c r="J3263" s="5">
        <f t="shared" si="158"/>
        <v>18750</v>
      </c>
      <c r="K3263" s="5" t="str">
        <f>VLOOKUP(C3263,[1]master_data!$A$2:$E$495,5,FALSE)</f>
        <v>Ikan</v>
      </c>
      <c r="L3263" s="5" t="s">
        <v>471</v>
      </c>
    </row>
    <row r="3264" spans="1:12" ht="12" customHeight="1" x14ac:dyDescent="0.25">
      <c r="A3264" s="6">
        <v>44631</v>
      </c>
      <c r="B3264" s="1">
        <v>2201299</v>
      </c>
      <c r="C3264" s="5" t="s">
        <v>419</v>
      </c>
      <c r="D3264" s="5" t="str">
        <f>VLOOKUP(C3264,[1]master_data!$A$2:$E$495,2,FALSE)</f>
        <v>KURA - KURA</v>
      </c>
      <c r="E3264" s="5">
        <v>2</v>
      </c>
      <c r="F3264" s="5">
        <f>VLOOKUP(C3264,[1]master_data!$A$2:$E$495,3,FALSE)</f>
        <v>25000</v>
      </c>
      <c r="G3264" s="5">
        <f>VLOOKUP(C3264,[1]master_data!$A$2:$E$495,4,FALSE)</f>
        <v>35000</v>
      </c>
      <c r="H3264" s="5">
        <f t="shared" si="156"/>
        <v>50000</v>
      </c>
      <c r="I3264" s="5">
        <f t="shared" si="157"/>
        <v>70000</v>
      </c>
      <c r="J3264" s="5">
        <f t="shared" si="158"/>
        <v>20000</v>
      </c>
      <c r="K3264" s="5" t="str">
        <f>VLOOKUP(C3264,[1]master_data!$A$2:$E$495,5,FALSE)</f>
        <v>Ikan</v>
      </c>
      <c r="L3264" s="5" t="s">
        <v>471</v>
      </c>
    </row>
    <row r="3265" spans="1:12" ht="12" customHeight="1" x14ac:dyDescent="0.25">
      <c r="A3265" s="6">
        <v>44631</v>
      </c>
      <c r="B3265" s="1">
        <v>2201298</v>
      </c>
      <c r="C3265" s="5" t="s">
        <v>463</v>
      </c>
      <c r="D3265" s="5" t="str">
        <f>VLOOKUP(C3265,[1]master_data!$A$2:$E$495,2,FALSE)</f>
        <v>CHANNA STEWARTI</v>
      </c>
      <c r="E3265" s="5">
        <v>1</v>
      </c>
      <c r="F3265" s="5">
        <f>VLOOKUP(C3265,[1]master_data!$A$2:$E$495,3,FALSE)</f>
        <v>15000</v>
      </c>
      <c r="G3265" s="5">
        <f>VLOOKUP(C3265,[1]master_data!$A$2:$E$495,4,FALSE)</f>
        <v>40000</v>
      </c>
      <c r="H3265" s="5">
        <f t="shared" si="156"/>
        <v>15000</v>
      </c>
      <c r="I3265" s="5">
        <f t="shared" si="157"/>
        <v>40000</v>
      </c>
      <c r="J3265" s="5">
        <f t="shared" si="158"/>
        <v>25000</v>
      </c>
      <c r="K3265" s="5" t="str">
        <f>VLOOKUP(C3265,[1]master_data!$A$2:$E$495,5,FALSE)</f>
        <v>Ikan</v>
      </c>
      <c r="L3265" s="5" t="s">
        <v>471</v>
      </c>
    </row>
    <row r="3266" spans="1:12" ht="12" customHeight="1" x14ac:dyDescent="0.25">
      <c r="A3266" s="6">
        <v>44630</v>
      </c>
      <c r="B3266" s="1">
        <v>2201297</v>
      </c>
      <c r="C3266" s="5" t="s">
        <v>310</v>
      </c>
      <c r="D3266" s="5" t="str">
        <f>VLOOKUP(C3266,[1]master_data!$A$2:$E$495,2,FALSE)</f>
        <v>SELANG FUSO</v>
      </c>
      <c r="E3266" s="5">
        <v>10</v>
      </c>
      <c r="F3266" s="5">
        <f>VLOOKUP(C3266,[1]master_data!$A$2:$E$495,3,FALSE)</f>
        <v>800</v>
      </c>
      <c r="G3266" s="5">
        <f>VLOOKUP(C3266,[1]master_data!$A$2:$E$495,4,FALSE)</f>
        <v>2000</v>
      </c>
      <c r="H3266" s="5">
        <f t="shared" si="156"/>
        <v>8000</v>
      </c>
      <c r="I3266" s="5">
        <f t="shared" si="157"/>
        <v>20000</v>
      </c>
      <c r="J3266" s="5">
        <f t="shared" si="158"/>
        <v>12000</v>
      </c>
      <c r="K3266" s="5" t="str">
        <f>VLOOKUP(C3266,[1]master_data!$A$2:$E$495,5,FALSE)</f>
        <v>Aksesoris</v>
      </c>
      <c r="L3266" s="5" t="s">
        <v>471</v>
      </c>
    </row>
    <row r="3267" spans="1:12" ht="12" customHeight="1" x14ac:dyDescent="0.25">
      <c r="A3267" s="6">
        <v>44630</v>
      </c>
      <c r="B3267" s="1">
        <v>2201296</v>
      </c>
      <c r="C3267" s="5" t="s">
        <v>432</v>
      </c>
      <c r="D3267" s="5" t="str">
        <f>VLOOKUP(C3267,[1]master_data!$A$2:$E$495,2,FALSE)</f>
        <v>MARU K</v>
      </c>
      <c r="E3267" s="5">
        <v>2</v>
      </c>
      <c r="F3267" s="5">
        <f>VLOOKUP(C3267,[1]master_data!$A$2:$E$495,3,FALSE)</f>
        <v>23000</v>
      </c>
      <c r="G3267" s="5">
        <f>VLOOKUP(C3267,[1]master_data!$A$2:$E$495,4,FALSE)</f>
        <v>50000</v>
      </c>
      <c r="H3267" s="5">
        <f t="shared" si="156"/>
        <v>46000</v>
      </c>
      <c r="I3267" s="5">
        <f t="shared" si="157"/>
        <v>100000</v>
      </c>
      <c r="J3267" s="5">
        <f t="shared" si="158"/>
        <v>54000</v>
      </c>
      <c r="K3267" s="5" t="str">
        <f>VLOOKUP(C3267,[1]master_data!$A$2:$E$495,5,FALSE)</f>
        <v>Ikan</v>
      </c>
      <c r="L3267" s="5" t="s">
        <v>471</v>
      </c>
    </row>
    <row r="3268" spans="1:12" ht="12" customHeight="1" x14ac:dyDescent="0.25">
      <c r="A3268" s="6">
        <v>44630</v>
      </c>
      <c r="B3268" s="1">
        <v>2201295</v>
      </c>
      <c r="C3268" s="5" t="s">
        <v>233</v>
      </c>
      <c r="D3268" s="5" t="str">
        <f>VLOOKUP(C3268,[1]master_data!$A$2:$E$495,2,FALSE)</f>
        <v>FISH LOVE PAKAN</v>
      </c>
      <c r="E3268" s="5">
        <v>2</v>
      </c>
      <c r="F3268" s="5">
        <f>VLOOKUP(C3268,[1]master_data!$A$2:$E$495,3,FALSE)</f>
        <v>2500</v>
      </c>
      <c r="G3268" s="5">
        <f>VLOOKUP(C3268,[1]master_data!$A$2:$E$495,4,FALSE)</f>
        <v>5000</v>
      </c>
      <c r="H3268" s="5">
        <f t="shared" si="156"/>
        <v>5000</v>
      </c>
      <c r="I3268" s="5">
        <f t="shared" si="157"/>
        <v>10000</v>
      </c>
      <c r="J3268" s="5">
        <f t="shared" si="158"/>
        <v>5000</v>
      </c>
      <c r="K3268" s="5" t="str">
        <f>VLOOKUP(C3268,[1]master_data!$A$2:$E$495,5,FALSE)</f>
        <v>Aksesoris</v>
      </c>
      <c r="L3268" s="5" t="s">
        <v>471</v>
      </c>
    </row>
    <row r="3269" spans="1:12" ht="12" customHeight="1" x14ac:dyDescent="0.25">
      <c r="A3269" s="6">
        <v>44630</v>
      </c>
      <c r="B3269" s="1">
        <v>2201294</v>
      </c>
      <c r="C3269" s="5" t="s">
        <v>455</v>
      </c>
      <c r="D3269" s="5" t="str">
        <f>VLOOKUP(C3269,[1]master_data!$A$2:$E$495,2,FALSE)</f>
        <v>TETRA</v>
      </c>
      <c r="E3269" s="5">
        <v>10</v>
      </c>
      <c r="F3269" s="5">
        <f>VLOOKUP(C3269,[1]master_data!$A$2:$E$495,3,FALSE)</f>
        <v>800</v>
      </c>
      <c r="G3269" s="5">
        <f>VLOOKUP(C3269,[1]master_data!$A$2:$E$495,4,FALSE)</f>
        <v>2000</v>
      </c>
      <c r="H3269" s="5">
        <f t="shared" ref="H3269:H3332" si="159">E3269*F3269</f>
        <v>8000</v>
      </c>
      <c r="I3269" s="5">
        <f t="shared" ref="I3269:I3332" si="160">E3269*G3269</f>
        <v>20000</v>
      </c>
      <c r="J3269" s="5">
        <f t="shared" ref="J3269:J3332" si="161">I3269-H3269</f>
        <v>12000</v>
      </c>
      <c r="K3269" s="5" t="str">
        <f>VLOOKUP(C3269,[1]master_data!$A$2:$E$495,5,FALSE)</f>
        <v>Ikan</v>
      </c>
      <c r="L3269" s="5" t="s">
        <v>471</v>
      </c>
    </row>
    <row r="3270" spans="1:12" ht="12" customHeight="1" x14ac:dyDescent="0.25">
      <c r="A3270" s="6">
        <v>44630</v>
      </c>
      <c r="B3270" s="1">
        <v>2201293</v>
      </c>
      <c r="C3270" s="5" t="s">
        <v>104</v>
      </c>
      <c r="D3270" s="5" t="str">
        <f>VLOOKUP(C3270,[1]master_data!$A$2:$E$495,2,FALSE)</f>
        <v>AIRATOR AMARA LUB 2</v>
      </c>
      <c r="E3270" s="5">
        <v>1</v>
      </c>
      <c r="F3270" s="5">
        <f>VLOOKUP(C3270,[1]master_data!$A$2:$E$495,3,FALSE)</f>
        <v>33000</v>
      </c>
      <c r="G3270" s="5">
        <f>VLOOKUP(C3270,[1]master_data!$A$2:$E$495,4,FALSE)</f>
        <v>50000</v>
      </c>
      <c r="H3270" s="5">
        <f t="shared" si="159"/>
        <v>33000</v>
      </c>
      <c r="I3270" s="5">
        <f t="shared" si="160"/>
        <v>50000</v>
      </c>
      <c r="J3270" s="5">
        <f t="shared" si="161"/>
        <v>17000</v>
      </c>
      <c r="K3270" s="5" t="str">
        <f>VLOOKUP(C3270,[1]master_data!$A$2:$E$495,5,FALSE)</f>
        <v>Aksesoris</v>
      </c>
      <c r="L3270" s="5" t="s">
        <v>471</v>
      </c>
    </row>
    <row r="3271" spans="1:12" ht="12" customHeight="1" x14ac:dyDescent="0.25">
      <c r="A3271" s="6">
        <v>44630</v>
      </c>
      <c r="B3271" s="1">
        <v>2201292</v>
      </c>
      <c r="C3271" s="5" t="s">
        <v>438</v>
      </c>
      <c r="D3271" s="5" t="str">
        <f>VLOOKUP(C3271,[1]master_data!$A$2:$E$495,2,FALSE)</f>
        <v>NENTINEN</v>
      </c>
      <c r="E3271" s="5">
        <v>3</v>
      </c>
      <c r="F3271" s="5">
        <f>VLOOKUP(C3271,[1]master_data!$A$2:$E$495,3,FALSE)</f>
        <v>1000</v>
      </c>
      <c r="G3271" s="5">
        <f>VLOOKUP(C3271,[1]master_data!$A$2:$E$495,4,FALSE)</f>
        <v>2500</v>
      </c>
      <c r="H3271" s="5">
        <f t="shared" si="159"/>
        <v>3000</v>
      </c>
      <c r="I3271" s="5">
        <f t="shared" si="160"/>
        <v>7500</v>
      </c>
      <c r="J3271" s="5">
        <f t="shared" si="161"/>
        <v>4500</v>
      </c>
      <c r="K3271" s="5" t="str">
        <f>VLOOKUP(C3271,[1]master_data!$A$2:$E$495,5,FALSE)</f>
        <v>Ikan</v>
      </c>
      <c r="L3271" s="5" t="s">
        <v>471</v>
      </c>
    </row>
    <row r="3272" spans="1:12" ht="12" customHeight="1" x14ac:dyDescent="0.25">
      <c r="A3272" s="6">
        <v>44630</v>
      </c>
      <c r="B3272" s="1">
        <v>2201291</v>
      </c>
      <c r="C3272" s="5" t="s">
        <v>414</v>
      </c>
      <c r="D3272" s="5" t="str">
        <f>VLOOKUP(C3272,[1]master_data!$A$2:$E$495,2,FALSE)</f>
        <v>KOKI T</v>
      </c>
      <c r="E3272" s="5">
        <v>2</v>
      </c>
      <c r="F3272" s="5">
        <f>VLOOKUP(C3272,[1]master_data!$A$2:$E$495,3,FALSE)</f>
        <v>8000</v>
      </c>
      <c r="G3272" s="5">
        <f>VLOOKUP(C3272,[1]master_data!$A$2:$E$495,4,FALSE)</f>
        <v>15000</v>
      </c>
      <c r="H3272" s="5">
        <f t="shared" si="159"/>
        <v>16000</v>
      </c>
      <c r="I3272" s="5">
        <f t="shared" si="160"/>
        <v>30000</v>
      </c>
      <c r="J3272" s="5">
        <f t="shared" si="161"/>
        <v>14000</v>
      </c>
      <c r="K3272" s="5" t="str">
        <f>VLOOKUP(C3272,[1]master_data!$A$2:$E$495,5,FALSE)</f>
        <v>Ikan</v>
      </c>
      <c r="L3272" s="5" t="s">
        <v>471</v>
      </c>
    </row>
    <row r="3273" spans="1:12" ht="12" customHeight="1" x14ac:dyDescent="0.25">
      <c r="A3273" s="6">
        <v>44630</v>
      </c>
      <c r="B3273" s="1">
        <v>2201290</v>
      </c>
      <c r="C3273" s="5" t="s">
        <v>409</v>
      </c>
      <c r="D3273" s="5" t="str">
        <f>VLOOKUP(C3273,[1]master_data!$A$2:$E$495,2,FALSE)</f>
        <v>GOLD FISH</v>
      </c>
      <c r="E3273" s="5">
        <v>20</v>
      </c>
      <c r="F3273" s="5">
        <f>VLOOKUP(C3273,[1]master_data!$A$2:$E$495,3,FALSE)</f>
        <v>800</v>
      </c>
      <c r="G3273" s="5">
        <f>VLOOKUP(C3273,[1]master_data!$A$2:$E$495,4,FALSE)</f>
        <v>2000</v>
      </c>
      <c r="H3273" s="5">
        <f t="shared" si="159"/>
        <v>16000</v>
      </c>
      <c r="I3273" s="5">
        <f t="shared" si="160"/>
        <v>40000</v>
      </c>
      <c r="J3273" s="5">
        <f t="shared" si="161"/>
        <v>24000</v>
      </c>
      <c r="K3273" s="5" t="str">
        <f>VLOOKUP(C3273,[1]master_data!$A$2:$E$495,5,FALSE)</f>
        <v>Ikan</v>
      </c>
      <c r="L3273" s="5" t="s">
        <v>471</v>
      </c>
    </row>
    <row r="3274" spans="1:12" ht="12" customHeight="1" x14ac:dyDescent="0.25">
      <c r="A3274" s="6">
        <v>44630</v>
      </c>
      <c r="B3274" s="1">
        <v>2201289</v>
      </c>
      <c r="C3274" s="5" t="s">
        <v>312</v>
      </c>
      <c r="D3274" s="5" t="str">
        <f>VLOOKUP(C3274,[1]master_data!$A$2:$E$495,2,FALSE)</f>
        <v>T PIPA</v>
      </c>
      <c r="E3274" s="5">
        <v>2</v>
      </c>
      <c r="F3274" s="5">
        <f>VLOOKUP(C3274,[1]master_data!$A$2:$E$495,3,FALSE)</f>
        <v>800</v>
      </c>
      <c r="G3274" s="5">
        <f>VLOOKUP(C3274,[1]master_data!$A$2:$E$495,4,FALSE)</f>
        <v>2000</v>
      </c>
      <c r="H3274" s="5">
        <f t="shared" si="159"/>
        <v>1600</v>
      </c>
      <c r="I3274" s="5">
        <f t="shared" si="160"/>
        <v>4000</v>
      </c>
      <c r="J3274" s="5">
        <f t="shared" si="161"/>
        <v>2400</v>
      </c>
      <c r="K3274" s="5" t="str">
        <f>VLOOKUP(C3274,[1]master_data!$A$2:$E$495,5,FALSE)</f>
        <v>Aksesoris</v>
      </c>
      <c r="L3274" s="5" t="s">
        <v>471</v>
      </c>
    </row>
    <row r="3275" spans="1:12" ht="12" customHeight="1" x14ac:dyDescent="0.25">
      <c r="A3275" s="6">
        <v>44630</v>
      </c>
      <c r="B3275" s="1">
        <v>2201288</v>
      </c>
      <c r="C3275" s="5" t="s">
        <v>327</v>
      </c>
      <c r="D3275" s="5" t="str">
        <f>VLOOKUP(C3275,[1]master_data!$A$2:$E$495,2,FALSE)</f>
        <v>AIRSTONE K</v>
      </c>
      <c r="E3275" s="5">
        <v>4</v>
      </c>
      <c r="F3275" s="5">
        <f>VLOOKUP(C3275,[1]master_data!$A$2:$E$495,3,FALSE)</f>
        <v>850</v>
      </c>
      <c r="G3275" s="5">
        <f>VLOOKUP(C3275,[1]master_data!$A$2:$E$495,4,FALSE)</f>
        <v>3000</v>
      </c>
      <c r="H3275" s="5">
        <f t="shared" si="159"/>
        <v>3400</v>
      </c>
      <c r="I3275" s="5">
        <f t="shared" si="160"/>
        <v>12000</v>
      </c>
      <c r="J3275" s="5">
        <f t="shared" si="161"/>
        <v>8600</v>
      </c>
      <c r="K3275" s="5" t="str">
        <f>VLOOKUP(C3275,[1]master_data!$A$2:$E$495,5,FALSE)</f>
        <v>Aksesoris</v>
      </c>
      <c r="L3275" s="5" t="s">
        <v>471</v>
      </c>
    </row>
    <row r="3276" spans="1:12" ht="12" customHeight="1" x14ac:dyDescent="0.25">
      <c r="A3276" s="6">
        <v>44630</v>
      </c>
      <c r="B3276" s="1">
        <v>2201287</v>
      </c>
      <c r="C3276" s="5" t="s">
        <v>282</v>
      </c>
      <c r="D3276" s="5" t="str">
        <f>VLOOKUP(C3276,[1]master_data!$A$2:$E$495,2,FALSE)</f>
        <v>HIASAN KELAPA</v>
      </c>
      <c r="E3276" s="5">
        <v>1</v>
      </c>
      <c r="F3276" s="5">
        <f>VLOOKUP(C3276,[1]master_data!$A$2:$E$495,3,FALSE)</f>
        <v>8000</v>
      </c>
      <c r="G3276" s="5">
        <f>VLOOKUP(C3276,[1]master_data!$A$2:$E$495,4,FALSE)</f>
        <v>15000</v>
      </c>
      <c r="H3276" s="5">
        <f t="shared" si="159"/>
        <v>8000</v>
      </c>
      <c r="I3276" s="5">
        <f t="shared" si="160"/>
        <v>15000</v>
      </c>
      <c r="J3276" s="5">
        <f t="shared" si="161"/>
        <v>7000</v>
      </c>
      <c r="K3276" s="5" t="str">
        <f>VLOOKUP(C3276,[1]master_data!$A$2:$E$495,5,FALSE)</f>
        <v>Aksesoris</v>
      </c>
      <c r="L3276" s="5" t="s">
        <v>471</v>
      </c>
    </row>
    <row r="3277" spans="1:12" ht="12" customHeight="1" x14ac:dyDescent="0.25">
      <c r="A3277" s="6">
        <v>44630</v>
      </c>
      <c r="B3277" s="1">
        <v>2201286</v>
      </c>
      <c r="C3277" s="5" t="s">
        <v>463</v>
      </c>
      <c r="D3277" s="5" t="str">
        <f>VLOOKUP(C3277,[1]master_data!$A$2:$E$495,2,FALSE)</f>
        <v>CHANNA STEWARTI</v>
      </c>
      <c r="E3277" s="5">
        <v>2</v>
      </c>
      <c r="F3277" s="5">
        <f>VLOOKUP(C3277,[1]master_data!$A$2:$E$495,3,FALSE)</f>
        <v>15000</v>
      </c>
      <c r="G3277" s="5">
        <f>VLOOKUP(C3277,[1]master_data!$A$2:$E$495,4,FALSE)</f>
        <v>40000</v>
      </c>
      <c r="H3277" s="5">
        <f t="shared" si="159"/>
        <v>30000</v>
      </c>
      <c r="I3277" s="5">
        <f t="shared" si="160"/>
        <v>80000</v>
      </c>
      <c r="J3277" s="5">
        <f t="shared" si="161"/>
        <v>50000</v>
      </c>
      <c r="K3277" s="5" t="str">
        <f>VLOOKUP(C3277,[1]master_data!$A$2:$E$495,5,FALSE)</f>
        <v>Ikan</v>
      </c>
      <c r="L3277" s="5" t="s">
        <v>471</v>
      </c>
    </row>
    <row r="3278" spans="1:12" ht="12" customHeight="1" x14ac:dyDescent="0.25">
      <c r="A3278" s="6">
        <v>44630</v>
      </c>
      <c r="B3278" s="1">
        <v>2201285</v>
      </c>
      <c r="C3278" s="5" t="s">
        <v>451</v>
      </c>
      <c r="D3278" s="5" t="str">
        <f>VLOOKUP(C3278,[1]master_data!$A$2:$E$495,2,FALSE)</f>
        <v>SUMATRA GOLD FISH</v>
      </c>
      <c r="E3278" s="5">
        <v>10</v>
      </c>
      <c r="F3278" s="5">
        <f>VLOOKUP(C3278,[1]master_data!$A$2:$E$495,3,FALSE)</f>
        <v>2500</v>
      </c>
      <c r="G3278" s="5">
        <f>VLOOKUP(C3278,[1]master_data!$A$2:$E$495,4,FALSE)</f>
        <v>4000</v>
      </c>
      <c r="H3278" s="5">
        <f t="shared" si="159"/>
        <v>25000</v>
      </c>
      <c r="I3278" s="5">
        <f t="shared" si="160"/>
        <v>40000</v>
      </c>
      <c r="J3278" s="5">
        <f t="shared" si="161"/>
        <v>15000</v>
      </c>
      <c r="K3278" s="5" t="str">
        <f>VLOOKUP(C3278,[1]master_data!$A$2:$E$495,5,FALSE)</f>
        <v>Ikan</v>
      </c>
      <c r="L3278" s="5" t="s">
        <v>471</v>
      </c>
    </row>
    <row r="3279" spans="1:12" ht="12" customHeight="1" x14ac:dyDescent="0.25">
      <c r="A3279" s="6">
        <v>44630</v>
      </c>
      <c r="B3279" s="1">
        <v>2201284</v>
      </c>
      <c r="C3279" s="5" t="s">
        <v>310</v>
      </c>
      <c r="D3279" s="5" t="str">
        <f>VLOOKUP(C3279,[1]master_data!$A$2:$E$495,2,FALSE)</f>
        <v>SELANG FUSO</v>
      </c>
      <c r="E3279" s="5">
        <v>4</v>
      </c>
      <c r="F3279" s="5">
        <f>VLOOKUP(C3279,[1]master_data!$A$2:$E$495,3,FALSE)</f>
        <v>800</v>
      </c>
      <c r="G3279" s="5">
        <f>VLOOKUP(C3279,[1]master_data!$A$2:$E$495,4,FALSE)</f>
        <v>2000</v>
      </c>
      <c r="H3279" s="5">
        <f t="shared" si="159"/>
        <v>3200</v>
      </c>
      <c r="I3279" s="5">
        <f t="shared" si="160"/>
        <v>8000</v>
      </c>
      <c r="J3279" s="5">
        <f t="shared" si="161"/>
        <v>4800</v>
      </c>
      <c r="K3279" s="5" t="str">
        <f>VLOOKUP(C3279,[1]master_data!$A$2:$E$495,5,FALSE)</f>
        <v>Aksesoris</v>
      </c>
      <c r="L3279" s="5" t="s">
        <v>471</v>
      </c>
    </row>
    <row r="3280" spans="1:12" ht="12" customHeight="1" x14ac:dyDescent="0.25">
      <c r="A3280" s="6">
        <v>44630</v>
      </c>
      <c r="B3280" s="1">
        <v>2201283</v>
      </c>
      <c r="C3280" s="5" t="s">
        <v>452</v>
      </c>
      <c r="D3280" s="5" t="str">
        <f>VLOOKUP(C3280,[1]master_data!$A$2:$E$495,2,FALSE)</f>
        <v>SNOW WHITE</v>
      </c>
      <c r="E3280" s="5">
        <v>5</v>
      </c>
      <c r="F3280" s="5">
        <f>VLOOKUP(C3280,[1]master_data!$A$2:$E$495,3,FALSE)</f>
        <v>1500</v>
      </c>
      <c r="G3280" s="5">
        <f>VLOOKUP(C3280,[1]master_data!$A$2:$E$495,4,FALSE)</f>
        <v>3000</v>
      </c>
      <c r="H3280" s="5">
        <f t="shared" si="159"/>
        <v>7500</v>
      </c>
      <c r="I3280" s="5">
        <f t="shared" si="160"/>
        <v>15000</v>
      </c>
      <c r="J3280" s="5">
        <f t="shared" si="161"/>
        <v>7500</v>
      </c>
      <c r="K3280" s="5" t="str">
        <f>VLOOKUP(C3280,[1]master_data!$A$2:$E$495,5,FALSE)</f>
        <v>Ikan</v>
      </c>
      <c r="L3280" s="5" t="s">
        <v>471</v>
      </c>
    </row>
    <row r="3281" spans="1:12" ht="12" customHeight="1" x14ac:dyDescent="0.25">
      <c r="A3281" s="6">
        <v>44630</v>
      </c>
      <c r="B3281" s="1">
        <v>2201282</v>
      </c>
      <c r="C3281" s="5" t="s">
        <v>106</v>
      </c>
      <c r="D3281" s="5" t="str">
        <f>VLOOKUP(C3281,[1]master_data!$A$2:$E$495,2,FALSE)</f>
        <v>AIRATOR KIYOSAKI LUB 2</v>
      </c>
      <c r="E3281" s="5">
        <v>1</v>
      </c>
      <c r="F3281" s="5">
        <f>VLOOKUP(C3281,[1]master_data!$A$2:$E$495,3,FALSE)</f>
        <v>29000</v>
      </c>
      <c r="G3281" s="5">
        <f>VLOOKUP(C3281,[1]master_data!$A$2:$E$495,4,FALSE)</f>
        <v>50000</v>
      </c>
      <c r="H3281" s="5">
        <f t="shared" si="159"/>
        <v>29000</v>
      </c>
      <c r="I3281" s="5">
        <f t="shared" si="160"/>
        <v>50000</v>
      </c>
      <c r="J3281" s="5">
        <f t="shared" si="161"/>
        <v>21000</v>
      </c>
      <c r="K3281" s="5" t="str">
        <f>VLOOKUP(C3281,[1]master_data!$A$2:$E$495,5,FALSE)</f>
        <v>Aksesoris</v>
      </c>
      <c r="L3281" s="5" t="s">
        <v>471</v>
      </c>
    </row>
    <row r="3282" spans="1:12" ht="12" customHeight="1" x14ac:dyDescent="0.25">
      <c r="A3282" s="6">
        <v>44630</v>
      </c>
      <c r="B3282" s="1">
        <v>2201281</v>
      </c>
      <c r="C3282" s="5" t="s">
        <v>407</v>
      </c>
      <c r="D3282" s="5" t="str">
        <f>VLOOKUP(C3282,[1]master_data!$A$2:$E$495,2,FALSE)</f>
        <v>CUPANG</v>
      </c>
      <c r="E3282" s="5">
        <v>2</v>
      </c>
      <c r="F3282" s="5">
        <f>VLOOKUP(C3282,[1]master_data!$A$2:$E$495,3,FALSE)</f>
        <v>2000</v>
      </c>
      <c r="G3282" s="5">
        <f>VLOOKUP(C3282,[1]master_data!$A$2:$E$495,4,FALSE)</f>
        <v>5000</v>
      </c>
      <c r="H3282" s="5">
        <f t="shared" si="159"/>
        <v>4000</v>
      </c>
      <c r="I3282" s="5">
        <f t="shared" si="160"/>
        <v>10000</v>
      </c>
      <c r="J3282" s="5">
        <f t="shared" si="161"/>
        <v>6000</v>
      </c>
      <c r="K3282" s="5" t="str">
        <f>VLOOKUP(C3282,[1]master_data!$A$2:$E$495,5,FALSE)</f>
        <v>Ikan</v>
      </c>
      <c r="L3282" s="5" t="s">
        <v>471</v>
      </c>
    </row>
    <row r="3283" spans="1:12" ht="12" customHeight="1" x14ac:dyDescent="0.25">
      <c r="A3283" s="6">
        <v>44630</v>
      </c>
      <c r="B3283" s="1">
        <v>2201280</v>
      </c>
      <c r="C3283" s="5" t="s">
        <v>408</v>
      </c>
      <c r="D3283" s="5" t="str">
        <f>VLOOKUP(C3283,[1]master_data!$A$2:$E$495,2,FALSE)</f>
        <v>CATFISH</v>
      </c>
      <c r="E3283" s="5">
        <v>1</v>
      </c>
      <c r="F3283" s="5">
        <f>VLOOKUP(C3283,[1]master_data!$A$2:$E$495,3,FALSE)</f>
        <v>20000</v>
      </c>
      <c r="G3283" s="5">
        <f>VLOOKUP(C3283,[1]master_data!$A$2:$E$495,4,FALSE)</f>
        <v>50000</v>
      </c>
      <c r="H3283" s="5">
        <f t="shared" si="159"/>
        <v>20000</v>
      </c>
      <c r="I3283" s="5">
        <f t="shared" si="160"/>
        <v>50000</v>
      </c>
      <c r="J3283" s="5">
        <f t="shared" si="161"/>
        <v>30000</v>
      </c>
      <c r="K3283" s="5" t="str">
        <f>VLOOKUP(C3283,[1]master_data!$A$2:$E$495,5,FALSE)</f>
        <v>Ikan</v>
      </c>
      <c r="L3283" s="5" t="s">
        <v>471</v>
      </c>
    </row>
    <row r="3284" spans="1:12" ht="12" customHeight="1" x14ac:dyDescent="0.25">
      <c r="A3284" s="6">
        <v>44630</v>
      </c>
      <c r="B3284" s="1">
        <v>2201279</v>
      </c>
      <c r="C3284" s="5" t="s">
        <v>410</v>
      </c>
      <c r="D3284" s="5" t="str">
        <f>VLOOKUP(C3284,[1]master_data!$A$2:$E$495,2,FALSE)</f>
        <v>GUPY</v>
      </c>
      <c r="E3284" s="5">
        <v>4</v>
      </c>
      <c r="F3284" s="5">
        <f>VLOOKUP(C3284,[1]master_data!$A$2:$E$495,3,FALSE)</f>
        <v>1200</v>
      </c>
      <c r="G3284" s="5">
        <f>VLOOKUP(C3284,[1]master_data!$A$2:$E$495,4,FALSE)</f>
        <v>2500</v>
      </c>
      <c r="H3284" s="5">
        <f t="shared" si="159"/>
        <v>4800</v>
      </c>
      <c r="I3284" s="5">
        <f t="shared" si="160"/>
        <v>10000</v>
      </c>
      <c r="J3284" s="5">
        <f t="shared" si="161"/>
        <v>5200</v>
      </c>
      <c r="K3284" s="5" t="str">
        <f>VLOOKUP(C3284,[1]master_data!$A$2:$E$495,5,FALSE)</f>
        <v>Ikan</v>
      </c>
      <c r="L3284" s="5" t="s">
        <v>471</v>
      </c>
    </row>
    <row r="3285" spans="1:12" ht="12" customHeight="1" x14ac:dyDescent="0.25">
      <c r="A3285" s="6">
        <v>44630</v>
      </c>
      <c r="B3285" s="1">
        <v>2201278</v>
      </c>
      <c r="C3285" s="5" t="s">
        <v>431</v>
      </c>
      <c r="D3285" s="5" t="str">
        <f>VLOOKUP(C3285,[1]master_data!$A$2:$E$495,2,FALSE)</f>
        <v>MANFISH B</v>
      </c>
      <c r="E3285" s="5">
        <v>1</v>
      </c>
      <c r="F3285" s="5">
        <f>VLOOKUP(C3285,[1]master_data!$A$2:$E$495,3,FALSE)</f>
        <v>4000</v>
      </c>
      <c r="G3285" s="5">
        <f>VLOOKUP(C3285,[1]master_data!$A$2:$E$495,4,FALSE)</f>
        <v>10000</v>
      </c>
      <c r="H3285" s="5">
        <f t="shared" si="159"/>
        <v>4000</v>
      </c>
      <c r="I3285" s="5">
        <f t="shared" si="160"/>
        <v>10000</v>
      </c>
      <c r="J3285" s="5">
        <f t="shared" si="161"/>
        <v>6000</v>
      </c>
      <c r="K3285" s="5" t="str">
        <f>VLOOKUP(C3285,[1]master_data!$A$2:$E$495,5,FALSE)</f>
        <v>Ikan</v>
      </c>
      <c r="L3285" s="5" t="s">
        <v>471</v>
      </c>
    </row>
    <row r="3286" spans="1:12" ht="12" customHeight="1" x14ac:dyDescent="0.25">
      <c r="A3286" s="6">
        <v>44630</v>
      </c>
      <c r="B3286" s="1">
        <v>2201277</v>
      </c>
      <c r="C3286" s="5" t="s">
        <v>104</v>
      </c>
      <c r="D3286" s="5" t="str">
        <f>VLOOKUP(C3286,[1]master_data!$A$2:$E$495,2,FALSE)</f>
        <v>AIRATOR AMARA LUB 2</v>
      </c>
      <c r="E3286" s="5">
        <v>1</v>
      </c>
      <c r="F3286" s="5">
        <f>VLOOKUP(C3286,[1]master_data!$A$2:$E$495,3,FALSE)</f>
        <v>33000</v>
      </c>
      <c r="G3286" s="5">
        <f>VLOOKUP(C3286,[1]master_data!$A$2:$E$495,4,FALSE)</f>
        <v>50000</v>
      </c>
      <c r="H3286" s="5">
        <f t="shared" si="159"/>
        <v>33000</v>
      </c>
      <c r="I3286" s="5">
        <f t="shared" si="160"/>
        <v>50000</v>
      </c>
      <c r="J3286" s="5">
        <f t="shared" si="161"/>
        <v>17000</v>
      </c>
      <c r="K3286" s="5" t="str">
        <f>VLOOKUP(C3286,[1]master_data!$A$2:$E$495,5,FALSE)</f>
        <v>Aksesoris</v>
      </c>
      <c r="L3286" s="5" t="s">
        <v>471</v>
      </c>
    </row>
    <row r="3287" spans="1:12" ht="12" customHeight="1" x14ac:dyDescent="0.25">
      <c r="A3287" s="6">
        <v>44629</v>
      </c>
      <c r="B3287" s="1">
        <v>2201276</v>
      </c>
      <c r="C3287" s="5" t="s">
        <v>461</v>
      </c>
      <c r="D3287" s="5" t="str">
        <f>VLOOKUP(C3287,[1]master_data!$A$2:$E$495,2,FALSE)</f>
        <v>SEPAT</v>
      </c>
      <c r="E3287" s="5">
        <v>5</v>
      </c>
      <c r="F3287" s="5">
        <f>VLOOKUP(C3287,[1]master_data!$A$2:$E$495,3,FALSE)</f>
        <v>600</v>
      </c>
      <c r="G3287" s="5">
        <f>VLOOKUP(C3287,[1]master_data!$A$2:$E$495,4,FALSE)</f>
        <v>2000</v>
      </c>
      <c r="H3287" s="5">
        <f t="shared" si="159"/>
        <v>3000</v>
      </c>
      <c r="I3287" s="5">
        <f t="shared" si="160"/>
        <v>10000</v>
      </c>
      <c r="J3287" s="5">
        <f t="shared" si="161"/>
        <v>7000</v>
      </c>
      <c r="K3287" s="5" t="str">
        <f>VLOOKUP(C3287,[1]master_data!$A$2:$E$495,5,FALSE)</f>
        <v>Ikan</v>
      </c>
      <c r="L3287" s="5" t="s">
        <v>471</v>
      </c>
    </row>
    <row r="3288" spans="1:12" ht="12" customHeight="1" x14ac:dyDescent="0.25">
      <c r="A3288" s="6">
        <v>44629</v>
      </c>
      <c r="B3288" s="1">
        <v>2201275</v>
      </c>
      <c r="C3288" s="5" t="s">
        <v>6</v>
      </c>
      <c r="D3288" s="5" t="str">
        <f>VLOOKUP(C3288,[1]master_data!$A$2:$E$495,2,FALSE)</f>
        <v>MESIN YANG 1200</v>
      </c>
      <c r="E3288" s="5">
        <v>3</v>
      </c>
      <c r="F3288" s="5">
        <f>VLOOKUP(C3288,[1]master_data!$A$2:$E$495,3,FALSE)</f>
        <v>25000</v>
      </c>
      <c r="G3288" s="5">
        <f>VLOOKUP(C3288,[1]master_data!$A$2:$E$495,4,FALSE)</f>
        <v>40000</v>
      </c>
      <c r="H3288" s="5">
        <f t="shared" si="159"/>
        <v>75000</v>
      </c>
      <c r="I3288" s="5">
        <f t="shared" si="160"/>
        <v>120000</v>
      </c>
      <c r="J3288" s="5">
        <f t="shared" si="161"/>
        <v>45000</v>
      </c>
      <c r="K3288" s="5" t="str">
        <f>VLOOKUP(C3288,[1]master_data!$A$2:$E$495,5,FALSE)</f>
        <v>Aksesoris</v>
      </c>
      <c r="L3288" s="5" t="s">
        <v>471</v>
      </c>
    </row>
    <row r="3289" spans="1:12" ht="12" customHeight="1" x14ac:dyDescent="0.25">
      <c r="A3289" s="6">
        <v>44629</v>
      </c>
      <c r="B3289" s="1">
        <v>2201274</v>
      </c>
      <c r="C3289" s="5" t="s">
        <v>430</v>
      </c>
      <c r="D3289" s="5" t="str">
        <f>VLOOKUP(C3289,[1]master_data!$A$2:$E$495,2,FALSE)</f>
        <v>MANFISH K</v>
      </c>
      <c r="E3289" s="5">
        <v>1</v>
      </c>
      <c r="F3289" s="5">
        <f>VLOOKUP(C3289,[1]master_data!$A$2:$E$495,3,FALSE)</f>
        <v>2000</v>
      </c>
      <c r="G3289" s="5">
        <f>VLOOKUP(C3289,[1]master_data!$A$2:$E$495,4,FALSE)</f>
        <v>5000</v>
      </c>
      <c r="H3289" s="5">
        <f t="shared" si="159"/>
        <v>2000</v>
      </c>
      <c r="I3289" s="5">
        <f t="shared" si="160"/>
        <v>5000</v>
      </c>
      <c r="J3289" s="5">
        <f t="shared" si="161"/>
        <v>3000</v>
      </c>
      <c r="K3289" s="5" t="str">
        <f>VLOOKUP(C3289,[1]master_data!$A$2:$E$495,5,FALSE)</f>
        <v>Ikan</v>
      </c>
      <c r="L3289" s="5" t="s">
        <v>471</v>
      </c>
    </row>
    <row r="3290" spans="1:12" ht="12" customHeight="1" x14ac:dyDescent="0.25">
      <c r="A3290" s="6">
        <v>44629</v>
      </c>
      <c r="B3290" s="1">
        <v>2201273</v>
      </c>
      <c r="C3290" s="5" t="s">
        <v>282</v>
      </c>
      <c r="D3290" s="5" t="str">
        <f>VLOOKUP(C3290,[1]master_data!$A$2:$E$495,2,FALSE)</f>
        <v>HIASAN KELAPA</v>
      </c>
      <c r="E3290" s="5">
        <v>2</v>
      </c>
      <c r="F3290" s="5">
        <f>VLOOKUP(C3290,[1]master_data!$A$2:$E$495,3,FALSE)</f>
        <v>8000</v>
      </c>
      <c r="G3290" s="5">
        <f>VLOOKUP(C3290,[1]master_data!$A$2:$E$495,4,FALSE)</f>
        <v>15000</v>
      </c>
      <c r="H3290" s="5">
        <f t="shared" si="159"/>
        <v>16000</v>
      </c>
      <c r="I3290" s="5">
        <f t="shared" si="160"/>
        <v>30000</v>
      </c>
      <c r="J3290" s="5">
        <f t="shared" si="161"/>
        <v>14000</v>
      </c>
      <c r="K3290" s="5" t="str">
        <f>VLOOKUP(C3290,[1]master_data!$A$2:$E$495,5,FALSE)</f>
        <v>Aksesoris</v>
      </c>
      <c r="L3290" s="5" t="s">
        <v>471</v>
      </c>
    </row>
    <row r="3291" spans="1:12" ht="12" customHeight="1" x14ac:dyDescent="0.25">
      <c r="A3291" s="6">
        <v>44629</v>
      </c>
      <c r="B3291" s="1">
        <v>2201272</v>
      </c>
      <c r="C3291" s="5" t="s">
        <v>424</v>
      </c>
      <c r="D3291" s="5" t="str">
        <f>VLOOKUP(C3291,[1]master_data!$A$2:$E$495,2,FALSE)</f>
        <v>KOI SLAYER B</v>
      </c>
      <c r="E3291" s="5">
        <v>4</v>
      </c>
      <c r="F3291" s="5">
        <f>VLOOKUP(C3291,[1]master_data!$A$2:$E$495,3,FALSE)</f>
        <v>8000</v>
      </c>
      <c r="G3291" s="5">
        <f>VLOOKUP(C3291,[1]master_data!$A$2:$E$495,4,FALSE)</f>
        <v>20000</v>
      </c>
      <c r="H3291" s="5">
        <f t="shared" si="159"/>
        <v>32000</v>
      </c>
      <c r="I3291" s="5">
        <f t="shared" si="160"/>
        <v>80000</v>
      </c>
      <c r="J3291" s="5">
        <f t="shared" si="161"/>
        <v>48000</v>
      </c>
      <c r="K3291" s="5" t="str">
        <f>VLOOKUP(C3291,[1]master_data!$A$2:$E$495,5,FALSE)</f>
        <v>Ikan</v>
      </c>
      <c r="L3291" s="5" t="s">
        <v>471</v>
      </c>
    </row>
    <row r="3292" spans="1:12" ht="12" customHeight="1" x14ac:dyDescent="0.25">
      <c r="A3292" s="6">
        <v>44629</v>
      </c>
      <c r="B3292" s="1">
        <v>2201271</v>
      </c>
      <c r="C3292" s="5" t="s">
        <v>407</v>
      </c>
      <c r="D3292" s="5" t="str">
        <f>VLOOKUP(C3292,[1]master_data!$A$2:$E$495,2,FALSE)</f>
        <v>CUPANG</v>
      </c>
      <c r="E3292" s="5">
        <v>2</v>
      </c>
      <c r="F3292" s="5">
        <f>VLOOKUP(C3292,[1]master_data!$A$2:$E$495,3,FALSE)</f>
        <v>2000</v>
      </c>
      <c r="G3292" s="5">
        <f>VLOOKUP(C3292,[1]master_data!$A$2:$E$495,4,FALSE)</f>
        <v>5000</v>
      </c>
      <c r="H3292" s="5">
        <f t="shared" si="159"/>
        <v>4000</v>
      </c>
      <c r="I3292" s="5">
        <f t="shared" si="160"/>
        <v>10000</v>
      </c>
      <c r="J3292" s="5">
        <f t="shared" si="161"/>
        <v>6000</v>
      </c>
      <c r="K3292" s="5" t="str">
        <f>VLOOKUP(C3292,[1]master_data!$A$2:$E$495,5,FALSE)</f>
        <v>Ikan</v>
      </c>
      <c r="L3292" s="5" t="s">
        <v>471</v>
      </c>
    </row>
    <row r="3293" spans="1:12" ht="12" customHeight="1" x14ac:dyDescent="0.25">
      <c r="A3293" s="6">
        <v>44629</v>
      </c>
      <c r="B3293" s="1">
        <v>2201270</v>
      </c>
      <c r="C3293" s="5" t="s">
        <v>450</v>
      </c>
      <c r="D3293" s="5" t="str">
        <f>VLOOKUP(C3293,[1]master_data!$A$2:$E$495,2,FALSE)</f>
        <v>SUMATRA BIASA</v>
      </c>
      <c r="E3293" s="5">
        <v>2</v>
      </c>
      <c r="F3293" s="5">
        <f>VLOOKUP(C3293,[1]master_data!$A$2:$E$495,3,FALSE)</f>
        <v>800</v>
      </c>
      <c r="G3293" s="5">
        <f>VLOOKUP(C3293,[1]master_data!$A$2:$E$495,4,FALSE)</f>
        <v>2000</v>
      </c>
      <c r="H3293" s="5">
        <f t="shared" si="159"/>
        <v>1600</v>
      </c>
      <c r="I3293" s="5">
        <f t="shared" si="160"/>
        <v>4000</v>
      </c>
      <c r="J3293" s="5">
        <f t="shared" si="161"/>
        <v>2400</v>
      </c>
      <c r="K3293" s="5" t="str">
        <f>VLOOKUP(C3293,[1]master_data!$A$2:$E$495,5,FALSE)</f>
        <v>Ikan</v>
      </c>
      <c r="L3293" s="5" t="s">
        <v>471</v>
      </c>
    </row>
    <row r="3294" spans="1:12" ht="12" customHeight="1" x14ac:dyDescent="0.25">
      <c r="A3294" s="6">
        <v>44629</v>
      </c>
      <c r="B3294" s="1">
        <v>2201269</v>
      </c>
      <c r="C3294" s="5" t="s">
        <v>413</v>
      </c>
      <c r="D3294" s="5" t="str">
        <f>VLOOKUP(C3294,[1]master_data!$A$2:$E$495,2,FALSE)</f>
        <v>KOKI K</v>
      </c>
      <c r="E3294" s="5">
        <v>3</v>
      </c>
      <c r="F3294" s="5">
        <f>VLOOKUP(C3294,[1]master_data!$A$2:$E$495,3,FALSE)</f>
        <v>3500</v>
      </c>
      <c r="G3294" s="5">
        <f>VLOOKUP(C3294,[1]master_data!$A$2:$E$495,4,FALSE)</f>
        <v>10000</v>
      </c>
      <c r="H3294" s="5">
        <f t="shared" si="159"/>
        <v>10500</v>
      </c>
      <c r="I3294" s="5">
        <f t="shared" si="160"/>
        <v>30000</v>
      </c>
      <c r="J3294" s="5">
        <f t="shared" si="161"/>
        <v>19500</v>
      </c>
      <c r="K3294" s="5" t="str">
        <f>VLOOKUP(C3294,[1]master_data!$A$2:$E$495,5,FALSE)</f>
        <v>Ikan</v>
      </c>
      <c r="L3294" s="5" t="s">
        <v>471</v>
      </c>
    </row>
    <row r="3295" spans="1:12" ht="12" customHeight="1" x14ac:dyDescent="0.25">
      <c r="A3295" s="6">
        <v>44629</v>
      </c>
      <c r="B3295" s="1">
        <v>2201268</v>
      </c>
      <c r="C3295" s="5" t="s">
        <v>415</v>
      </c>
      <c r="D3295" s="5" t="str">
        <f>VLOOKUP(C3295,[1]master_data!$A$2:$E$495,2,FALSE)</f>
        <v>KOKI B</v>
      </c>
      <c r="E3295" s="5">
        <v>1</v>
      </c>
      <c r="F3295" s="5">
        <f>VLOOKUP(C3295,[1]master_data!$A$2:$E$495,3,FALSE)</f>
        <v>20000</v>
      </c>
      <c r="G3295" s="5">
        <f>VLOOKUP(C3295,[1]master_data!$A$2:$E$495,4,FALSE)</f>
        <v>50000</v>
      </c>
      <c r="H3295" s="5">
        <f t="shared" si="159"/>
        <v>20000</v>
      </c>
      <c r="I3295" s="5">
        <f t="shared" si="160"/>
        <v>50000</v>
      </c>
      <c r="J3295" s="5">
        <f t="shared" si="161"/>
        <v>30000</v>
      </c>
      <c r="K3295" s="5" t="str">
        <f>VLOOKUP(C3295,[1]master_data!$A$2:$E$495,5,FALSE)</f>
        <v>Ikan</v>
      </c>
      <c r="L3295" s="5" t="s">
        <v>471</v>
      </c>
    </row>
    <row r="3296" spans="1:12" ht="12" customHeight="1" x14ac:dyDescent="0.25">
      <c r="A3296" s="6">
        <v>44629</v>
      </c>
      <c r="B3296" s="1">
        <v>2201267</v>
      </c>
      <c r="C3296" s="5" t="s">
        <v>402</v>
      </c>
      <c r="D3296" s="5" t="str">
        <f>VLOOKUP(C3296,[1]master_data!$A$2:$E$495,2,FALSE)</f>
        <v>BLACK GHOST</v>
      </c>
      <c r="E3296" s="5">
        <v>2</v>
      </c>
      <c r="F3296" s="5">
        <f>VLOOKUP(C3296,[1]master_data!$A$2:$E$495,3,FALSE)</f>
        <v>4000</v>
      </c>
      <c r="G3296" s="5">
        <f>VLOOKUP(C3296,[1]master_data!$A$2:$E$495,4,FALSE)</f>
        <v>10000</v>
      </c>
      <c r="H3296" s="5">
        <f t="shared" si="159"/>
        <v>8000</v>
      </c>
      <c r="I3296" s="5">
        <f t="shared" si="160"/>
        <v>20000</v>
      </c>
      <c r="J3296" s="5">
        <f t="shared" si="161"/>
        <v>12000</v>
      </c>
      <c r="K3296" s="5" t="str">
        <f>VLOOKUP(C3296,[1]master_data!$A$2:$E$495,5,FALSE)</f>
        <v>Ikan</v>
      </c>
      <c r="L3296" s="5" t="s">
        <v>471</v>
      </c>
    </row>
    <row r="3297" spans="1:12" ht="12" customHeight="1" x14ac:dyDescent="0.25">
      <c r="A3297" s="6">
        <v>44629</v>
      </c>
      <c r="B3297" s="1">
        <v>2201266</v>
      </c>
      <c r="C3297" s="5" t="s">
        <v>311</v>
      </c>
      <c r="D3297" s="5" t="str">
        <f>VLOOKUP(C3297,[1]master_data!$A$2:$E$495,2,FALSE)</f>
        <v>L PIPA</v>
      </c>
      <c r="E3297" s="5">
        <v>10</v>
      </c>
      <c r="F3297" s="5">
        <f>VLOOKUP(C3297,[1]master_data!$A$2:$E$495,3,FALSE)</f>
        <v>800</v>
      </c>
      <c r="G3297" s="5">
        <f>VLOOKUP(C3297,[1]master_data!$A$2:$E$495,4,FALSE)</f>
        <v>2000</v>
      </c>
      <c r="H3297" s="5">
        <f t="shared" si="159"/>
        <v>8000</v>
      </c>
      <c r="I3297" s="5">
        <f t="shared" si="160"/>
        <v>20000</v>
      </c>
      <c r="J3297" s="5">
        <f t="shared" si="161"/>
        <v>12000</v>
      </c>
      <c r="K3297" s="5" t="str">
        <f>VLOOKUP(C3297,[1]master_data!$A$2:$E$495,5,FALSE)</f>
        <v>Aksesoris</v>
      </c>
      <c r="L3297" s="5" t="s">
        <v>471</v>
      </c>
    </row>
    <row r="3298" spans="1:12" ht="12" customHeight="1" x14ac:dyDescent="0.25">
      <c r="A3298" s="6">
        <v>44629</v>
      </c>
      <c r="B3298" s="1">
        <v>2201265</v>
      </c>
      <c r="C3298" s="5" t="s">
        <v>333</v>
      </c>
      <c r="D3298" s="5" t="str">
        <f>VLOOKUP(C3298,[1]master_data!$A$2:$E$495,2,FALSE)</f>
        <v>KAPAS 2 LAPIS</v>
      </c>
      <c r="E3298" s="5">
        <v>1</v>
      </c>
      <c r="F3298" s="5">
        <f>VLOOKUP(C3298,[1]master_data!$A$2:$E$495,3,FALSE)</f>
        <v>2000</v>
      </c>
      <c r="G3298" s="5">
        <f>VLOOKUP(C3298,[1]master_data!$A$2:$E$495,4,FALSE)</f>
        <v>4000</v>
      </c>
      <c r="H3298" s="5">
        <f t="shared" si="159"/>
        <v>2000</v>
      </c>
      <c r="I3298" s="5">
        <f t="shared" si="160"/>
        <v>4000</v>
      </c>
      <c r="J3298" s="5">
        <f t="shared" si="161"/>
        <v>2000</v>
      </c>
      <c r="K3298" s="5" t="str">
        <f>VLOOKUP(C3298,[1]master_data!$A$2:$E$495,5,FALSE)</f>
        <v>Aksesoris</v>
      </c>
      <c r="L3298" s="5" t="s">
        <v>471</v>
      </c>
    </row>
    <row r="3299" spans="1:12" ht="12" customHeight="1" x14ac:dyDescent="0.25">
      <c r="A3299" s="6">
        <v>44629</v>
      </c>
      <c r="B3299" s="1">
        <v>2201264</v>
      </c>
      <c r="C3299" s="5" t="s">
        <v>425</v>
      </c>
      <c r="D3299" s="5" t="str">
        <f>VLOOKUP(C3299,[1]master_data!$A$2:$E$495,2,FALSE)</f>
        <v>CAROLINE</v>
      </c>
      <c r="E3299" s="5">
        <v>10</v>
      </c>
      <c r="F3299" s="5">
        <f>VLOOKUP(C3299,[1]master_data!$A$2:$E$495,3,FALSE)</f>
        <v>900</v>
      </c>
      <c r="G3299" s="5">
        <f>VLOOKUP(C3299,[1]master_data!$A$2:$E$495,4,FALSE)</f>
        <v>2000</v>
      </c>
      <c r="H3299" s="5">
        <f t="shared" si="159"/>
        <v>9000</v>
      </c>
      <c r="I3299" s="5">
        <f t="shared" si="160"/>
        <v>20000</v>
      </c>
      <c r="J3299" s="5">
        <f t="shared" si="161"/>
        <v>11000</v>
      </c>
      <c r="K3299" s="5" t="str">
        <f>VLOOKUP(C3299,[1]master_data!$A$2:$E$495,5,FALSE)</f>
        <v>Ikan</v>
      </c>
      <c r="L3299" s="5" t="s">
        <v>471</v>
      </c>
    </row>
    <row r="3300" spans="1:12" ht="12" customHeight="1" x14ac:dyDescent="0.25">
      <c r="A3300" s="6">
        <v>44629</v>
      </c>
      <c r="B3300" s="1">
        <v>2201263</v>
      </c>
      <c r="C3300" s="5" t="s">
        <v>406</v>
      </c>
      <c r="D3300" s="5" t="str">
        <f>VLOOKUP(C3300,[1]master_data!$A$2:$E$495,2,FALSE)</f>
        <v>BARBIR</v>
      </c>
      <c r="E3300" s="5">
        <v>15</v>
      </c>
      <c r="F3300" s="5">
        <f>VLOOKUP(C3300,[1]master_data!$A$2:$E$495,3,FALSE)</f>
        <v>800</v>
      </c>
      <c r="G3300" s="5">
        <f>VLOOKUP(C3300,[1]master_data!$A$2:$E$495,4,FALSE)</f>
        <v>2000</v>
      </c>
      <c r="H3300" s="5">
        <f t="shared" si="159"/>
        <v>12000</v>
      </c>
      <c r="I3300" s="5">
        <f t="shared" si="160"/>
        <v>30000</v>
      </c>
      <c r="J3300" s="5">
        <f t="shared" si="161"/>
        <v>18000</v>
      </c>
      <c r="K3300" s="5" t="str">
        <f>VLOOKUP(C3300,[1]master_data!$A$2:$E$495,5,FALSE)</f>
        <v>Ikan</v>
      </c>
      <c r="L3300" s="5" t="s">
        <v>471</v>
      </c>
    </row>
    <row r="3301" spans="1:12" ht="12" customHeight="1" x14ac:dyDescent="0.25">
      <c r="A3301" s="6">
        <v>44629</v>
      </c>
      <c r="B3301" s="1">
        <v>2201262</v>
      </c>
      <c r="C3301" s="5" t="s">
        <v>45</v>
      </c>
      <c r="D3301" s="5" t="str">
        <f>VLOOKUP(C3301,[1]master_data!$A$2:$E$495,2,FALSE)</f>
        <v>TOP FILTER NIKITA K</v>
      </c>
      <c r="E3301" s="5">
        <v>1</v>
      </c>
      <c r="F3301" s="5">
        <f>VLOOKUP(C3301,[1]master_data!$A$2:$E$495,3,FALSE)</f>
        <v>36000</v>
      </c>
      <c r="G3301" s="5">
        <f>VLOOKUP(C3301,[1]master_data!$A$2:$E$495,4,FALSE)</f>
        <v>55000</v>
      </c>
      <c r="H3301" s="5">
        <f t="shared" si="159"/>
        <v>36000</v>
      </c>
      <c r="I3301" s="5">
        <f t="shared" si="160"/>
        <v>55000</v>
      </c>
      <c r="J3301" s="5">
        <f t="shared" si="161"/>
        <v>19000</v>
      </c>
      <c r="K3301" s="5" t="str">
        <f>VLOOKUP(C3301,[1]master_data!$A$2:$E$495,5,FALSE)</f>
        <v>Aksesoris</v>
      </c>
      <c r="L3301" s="5" t="s">
        <v>471</v>
      </c>
    </row>
    <row r="3302" spans="1:12" ht="12" customHeight="1" x14ac:dyDescent="0.25">
      <c r="A3302" s="6">
        <v>44629</v>
      </c>
      <c r="B3302" s="1">
        <v>2201261</v>
      </c>
      <c r="C3302" s="5" t="s">
        <v>444</v>
      </c>
      <c r="D3302" s="5" t="str">
        <f>VLOOKUP(C3302,[1]master_data!$A$2:$E$495,2,FALSE)</f>
        <v>PARROT</v>
      </c>
      <c r="E3302" s="5">
        <v>1</v>
      </c>
      <c r="F3302" s="5">
        <f>VLOOKUP(C3302,[1]master_data!$A$2:$E$495,3,FALSE)</f>
        <v>27000</v>
      </c>
      <c r="G3302" s="5">
        <f>VLOOKUP(C3302,[1]master_data!$A$2:$E$495,4,FALSE)</f>
        <v>60000</v>
      </c>
      <c r="H3302" s="5">
        <f t="shared" si="159"/>
        <v>27000</v>
      </c>
      <c r="I3302" s="5">
        <f t="shared" si="160"/>
        <v>60000</v>
      </c>
      <c r="J3302" s="5">
        <f t="shared" si="161"/>
        <v>33000</v>
      </c>
      <c r="K3302" s="5" t="str">
        <f>VLOOKUP(C3302,[1]master_data!$A$2:$E$495,5,FALSE)</f>
        <v>Ikan</v>
      </c>
      <c r="L3302" s="5" t="s">
        <v>471</v>
      </c>
    </row>
    <row r="3303" spans="1:12" ht="12" customHeight="1" x14ac:dyDescent="0.25">
      <c r="A3303" s="6">
        <v>44629</v>
      </c>
      <c r="B3303" s="1">
        <v>2201260</v>
      </c>
      <c r="C3303" s="5" t="s">
        <v>440</v>
      </c>
      <c r="D3303" s="5" t="str">
        <f>VLOOKUP(C3303,[1]master_data!$A$2:$E$495,2,FALSE)</f>
        <v>OSCAR</v>
      </c>
      <c r="E3303" s="5">
        <v>2</v>
      </c>
      <c r="F3303" s="5">
        <f>VLOOKUP(C3303,[1]master_data!$A$2:$E$495,3,FALSE)</f>
        <v>25000</v>
      </c>
      <c r="G3303" s="5">
        <f>VLOOKUP(C3303,[1]master_data!$A$2:$E$495,4,FALSE)</f>
        <v>50000</v>
      </c>
      <c r="H3303" s="5">
        <f t="shared" si="159"/>
        <v>50000</v>
      </c>
      <c r="I3303" s="5">
        <f t="shared" si="160"/>
        <v>100000</v>
      </c>
      <c r="J3303" s="5">
        <f t="shared" si="161"/>
        <v>50000</v>
      </c>
      <c r="K3303" s="5" t="str">
        <f>VLOOKUP(C3303,[1]master_data!$A$2:$E$495,5,FALSE)</f>
        <v>Ikan</v>
      </c>
      <c r="L3303" s="5" t="s">
        <v>471</v>
      </c>
    </row>
    <row r="3304" spans="1:12" ht="12" customHeight="1" x14ac:dyDescent="0.25">
      <c r="A3304" s="6">
        <v>44629</v>
      </c>
      <c r="B3304" s="1">
        <v>2201259</v>
      </c>
      <c r="C3304" s="5" t="s">
        <v>420</v>
      </c>
      <c r="D3304" s="5" t="str">
        <f>VLOOKUP(C3304,[1]master_data!$A$2:$E$495,2,FALSE)</f>
        <v>KAVIAT</v>
      </c>
      <c r="E3304" s="5">
        <v>2</v>
      </c>
      <c r="F3304" s="5">
        <f>VLOOKUP(C3304,[1]master_data!$A$2:$E$495,3,FALSE)</f>
        <v>3500</v>
      </c>
      <c r="G3304" s="5">
        <f>VLOOKUP(C3304,[1]master_data!$A$2:$E$495,4,FALSE)</f>
        <v>8000</v>
      </c>
      <c r="H3304" s="5">
        <f t="shared" si="159"/>
        <v>7000</v>
      </c>
      <c r="I3304" s="5">
        <f t="shared" si="160"/>
        <v>16000</v>
      </c>
      <c r="J3304" s="5">
        <f t="shared" si="161"/>
        <v>9000</v>
      </c>
      <c r="K3304" s="5" t="str">
        <f>VLOOKUP(C3304,[1]master_data!$A$2:$E$495,5,FALSE)</f>
        <v>Ikan</v>
      </c>
      <c r="L3304" s="5" t="s">
        <v>471</v>
      </c>
    </row>
    <row r="3305" spans="1:12" ht="12" customHeight="1" x14ac:dyDescent="0.25">
      <c r="A3305" s="6">
        <v>44629</v>
      </c>
      <c r="B3305" s="1">
        <v>2201258</v>
      </c>
      <c r="C3305" s="5" t="s">
        <v>423</v>
      </c>
      <c r="D3305" s="5" t="str">
        <f>VLOOKUP(C3305,[1]master_data!$A$2:$E$495,2,FALSE)</f>
        <v>KOI SLAYER K</v>
      </c>
      <c r="E3305" s="5">
        <v>3</v>
      </c>
      <c r="F3305" s="5">
        <f>VLOOKUP(C3305,[1]master_data!$A$2:$E$495,3,FALSE)</f>
        <v>3500</v>
      </c>
      <c r="G3305" s="5">
        <f>VLOOKUP(C3305,[1]master_data!$A$2:$E$495,4,FALSE)</f>
        <v>10000</v>
      </c>
      <c r="H3305" s="5">
        <f t="shared" si="159"/>
        <v>10500</v>
      </c>
      <c r="I3305" s="5">
        <f t="shared" si="160"/>
        <v>30000</v>
      </c>
      <c r="J3305" s="5">
        <f t="shared" si="161"/>
        <v>19500</v>
      </c>
      <c r="K3305" s="5" t="str">
        <f>VLOOKUP(C3305,[1]master_data!$A$2:$E$495,5,FALSE)</f>
        <v>Ikan</v>
      </c>
      <c r="L3305" s="5" t="s">
        <v>471</v>
      </c>
    </row>
    <row r="3306" spans="1:12" ht="12" customHeight="1" x14ac:dyDescent="0.25">
      <c r="A3306" s="6">
        <v>44629</v>
      </c>
      <c r="B3306" s="1">
        <v>2201257</v>
      </c>
      <c r="C3306" s="5" t="s">
        <v>288</v>
      </c>
      <c r="D3306" s="5" t="str">
        <f>VLOOKUP(C3306,[1]master_data!$A$2:$E$495,2,FALSE)</f>
        <v>JARING 8</v>
      </c>
      <c r="E3306" s="5">
        <v>1</v>
      </c>
      <c r="F3306" s="5">
        <f>VLOOKUP(C3306,[1]master_data!$A$2:$E$495,3,FALSE)</f>
        <v>3000</v>
      </c>
      <c r="G3306" s="5">
        <f>VLOOKUP(C3306,[1]master_data!$A$2:$E$495,4,FALSE)</f>
        <v>5000</v>
      </c>
      <c r="H3306" s="5">
        <f t="shared" si="159"/>
        <v>3000</v>
      </c>
      <c r="I3306" s="5">
        <f t="shared" si="160"/>
        <v>5000</v>
      </c>
      <c r="J3306" s="5">
        <f t="shared" si="161"/>
        <v>2000</v>
      </c>
      <c r="K3306" s="5" t="str">
        <f>VLOOKUP(C3306,[1]master_data!$A$2:$E$495,5,FALSE)</f>
        <v>Aksesoris</v>
      </c>
      <c r="L3306" s="5" t="s">
        <v>471</v>
      </c>
    </row>
    <row r="3307" spans="1:12" ht="12" customHeight="1" x14ac:dyDescent="0.25">
      <c r="A3307" s="6">
        <v>44628</v>
      </c>
      <c r="B3307" s="1">
        <v>2201256</v>
      </c>
      <c r="C3307" s="5" t="s">
        <v>136</v>
      </c>
      <c r="D3307" s="5" t="str">
        <f>VLOOKUP(C3307,[1]master_data!$A$2:$E$495,2,FALSE)</f>
        <v>LED NIKITA NS 600</v>
      </c>
      <c r="E3307" s="5">
        <v>1</v>
      </c>
      <c r="F3307" s="5">
        <f>VLOOKUP(C3307,[1]master_data!$A$2:$E$495,3,FALSE)</f>
        <v>50000</v>
      </c>
      <c r="G3307" s="5">
        <f>VLOOKUP(C3307,[1]master_data!$A$2:$E$495,4,FALSE)</f>
        <v>75000</v>
      </c>
      <c r="H3307" s="5">
        <f t="shared" si="159"/>
        <v>50000</v>
      </c>
      <c r="I3307" s="5">
        <f t="shared" si="160"/>
        <v>75000</v>
      </c>
      <c r="J3307" s="5">
        <f t="shared" si="161"/>
        <v>25000</v>
      </c>
      <c r="K3307" s="5" t="str">
        <f>VLOOKUP(C3307,[1]master_data!$A$2:$E$495,5,FALSE)</f>
        <v>Aksesoris</v>
      </c>
      <c r="L3307" s="5" t="s">
        <v>471</v>
      </c>
    </row>
    <row r="3308" spans="1:12" ht="12" customHeight="1" x14ac:dyDescent="0.25">
      <c r="A3308" s="6">
        <v>44628</v>
      </c>
      <c r="B3308" s="1">
        <v>2201255</v>
      </c>
      <c r="C3308" s="5" t="s">
        <v>408</v>
      </c>
      <c r="D3308" s="5" t="str">
        <f>VLOOKUP(C3308,[1]master_data!$A$2:$E$495,2,FALSE)</f>
        <v>CATFISH</v>
      </c>
      <c r="E3308" s="5">
        <v>4</v>
      </c>
      <c r="F3308" s="5">
        <f>VLOOKUP(C3308,[1]master_data!$A$2:$E$495,3,FALSE)</f>
        <v>20000</v>
      </c>
      <c r="G3308" s="5">
        <f>VLOOKUP(C3308,[1]master_data!$A$2:$E$495,4,FALSE)</f>
        <v>50000</v>
      </c>
      <c r="H3308" s="5">
        <f t="shared" si="159"/>
        <v>80000</v>
      </c>
      <c r="I3308" s="5">
        <f t="shared" si="160"/>
        <v>200000</v>
      </c>
      <c r="J3308" s="5">
        <f t="shared" si="161"/>
        <v>120000</v>
      </c>
      <c r="K3308" s="5" t="str">
        <f>VLOOKUP(C3308,[1]master_data!$A$2:$E$495,5,FALSE)</f>
        <v>Ikan</v>
      </c>
      <c r="L3308" s="5" t="s">
        <v>471</v>
      </c>
    </row>
    <row r="3309" spans="1:12" ht="12" customHeight="1" x14ac:dyDescent="0.25">
      <c r="A3309" s="6">
        <v>44628</v>
      </c>
      <c r="B3309" s="1">
        <v>2201254</v>
      </c>
      <c r="C3309" s="5" t="s">
        <v>443</v>
      </c>
      <c r="D3309" s="5" t="str">
        <f>VLOOKUP(C3309,[1]master_data!$A$2:$E$495,2,FALSE)</f>
        <v>PALMAS</v>
      </c>
      <c r="E3309" s="5">
        <v>1</v>
      </c>
      <c r="F3309" s="5">
        <f>VLOOKUP(C3309,[1]master_data!$A$2:$E$495,3,FALSE)</f>
        <v>10000</v>
      </c>
      <c r="G3309" s="5">
        <f>VLOOKUP(C3309,[1]master_data!$A$2:$E$495,4,FALSE)</f>
        <v>25000</v>
      </c>
      <c r="H3309" s="5">
        <f t="shared" si="159"/>
        <v>10000</v>
      </c>
      <c r="I3309" s="5">
        <f t="shared" si="160"/>
        <v>25000</v>
      </c>
      <c r="J3309" s="5">
        <f t="shared" si="161"/>
        <v>15000</v>
      </c>
      <c r="K3309" s="5" t="str">
        <f>VLOOKUP(C3309,[1]master_data!$A$2:$E$495,5,FALSE)</f>
        <v>Ikan</v>
      </c>
      <c r="L3309" s="5" t="s">
        <v>471</v>
      </c>
    </row>
    <row r="3310" spans="1:12" ht="12" customHeight="1" x14ac:dyDescent="0.25">
      <c r="A3310" s="6">
        <v>44628</v>
      </c>
      <c r="B3310" s="1">
        <v>2201253</v>
      </c>
      <c r="C3310" s="5" t="s">
        <v>275</v>
      </c>
      <c r="D3310" s="5" t="str">
        <f>VLOOKUP(C3310,[1]master_data!$A$2:$E$495,2,FALSE)</f>
        <v>JARING 20</v>
      </c>
      <c r="E3310" s="5">
        <v>1</v>
      </c>
      <c r="F3310" s="5">
        <f>VLOOKUP(C3310,[1]master_data!$A$2:$E$495,3,FALSE)</f>
        <v>5600</v>
      </c>
      <c r="G3310" s="5">
        <f>VLOOKUP(C3310,[1]master_data!$A$2:$E$495,4,FALSE)</f>
        <v>10000</v>
      </c>
      <c r="H3310" s="5">
        <f t="shared" si="159"/>
        <v>5600</v>
      </c>
      <c r="I3310" s="5">
        <f t="shared" si="160"/>
        <v>10000</v>
      </c>
      <c r="J3310" s="5">
        <f t="shared" si="161"/>
        <v>4400</v>
      </c>
      <c r="K3310" s="5" t="str">
        <f>VLOOKUP(C3310,[1]master_data!$A$2:$E$495,5,FALSE)</f>
        <v>Aksesoris</v>
      </c>
      <c r="L3310" s="5" t="s">
        <v>471</v>
      </c>
    </row>
    <row r="3311" spans="1:12" ht="12" customHeight="1" x14ac:dyDescent="0.25">
      <c r="A3311" s="6">
        <v>44628</v>
      </c>
      <c r="B3311" s="1">
        <v>2201252</v>
      </c>
      <c r="C3311" s="5" t="s">
        <v>405</v>
      </c>
      <c r="D3311" s="5" t="str">
        <f>VLOOKUP(C3311,[1]master_data!$A$2:$E$495,2,FALSE)</f>
        <v>KOMET BOKIM</v>
      </c>
      <c r="E3311" s="5">
        <v>4</v>
      </c>
      <c r="F3311" s="5">
        <f>VLOOKUP(C3311,[1]master_data!$A$2:$E$495,3,FALSE)</f>
        <v>1500</v>
      </c>
      <c r="G3311" s="5">
        <f>VLOOKUP(C3311,[1]master_data!$A$2:$E$495,4,FALSE)</f>
        <v>5000</v>
      </c>
      <c r="H3311" s="5">
        <f t="shared" si="159"/>
        <v>6000</v>
      </c>
      <c r="I3311" s="5">
        <f t="shared" si="160"/>
        <v>20000</v>
      </c>
      <c r="J3311" s="5">
        <f t="shared" si="161"/>
        <v>14000</v>
      </c>
      <c r="K3311" s="5" t="str">
        <f>VLOOKUP(C3311,[1]master_data!$A$2:$E$495,5,FALSE)</f>
        <v>Ikan</v>
      </c>
      <c r="L3311" s="5" t="s">
        <v>471</v>
      </c>
    </row>
    <row r="3312" spans="1:12" ht="12" customHeight="1" x14ac:dyDescent="0.25">
      <c r="A3312" s="6">
        <v>44628</v>
      </c>
      <c r="B3312" s="1">
        <v>2201251</v>
      </c>
      <c r="C3312" s="5" t="s">
        <v>455</v>
      </c>
      <c r="D3312" s="5" t="str">
        <f>VLOOKUP(C3312,[1]master_data!$A$2:$E$495,2,FALSE)</f>
        <v>TETRA</v>
      </c>
      <c r="E3312" s="5">
        <v>10</v>
      </c>
      <c r="F3312" s="5">
        <f>VLOOKUP(C3312,[1]master_data!$A$2:$E$495,3,FALSE)</f>
        <v>800</v>
      </c>
      <c r="G3312" s="5">
        <f>VLOOKUP(C3312,[1]master_data!$A$2:$E$495,4,FALSE)</f>
        <v>2000</v>
      </c>
      <c r="H3312" s="5">
        <f t="shared" si="159"/>
        <v>8000</v>
      </c>
      <c r="I3312" s="5">
        <f t="shared" si="160"/>
        <v>20000</v>
      </c>
      <c r="J3312" s="5">
        <f t="shared" si="161"/>
        <v>12000</v>
      </c>
      <c r="K3312" s="5" t="str">
        <f>VLOOKUP(C3312,[1]master_data!$A$2:$E$495,5,FALSE)</f>
        <v>Ikan</v>
      </c>
      <c r="L3312" s="5" t="s">
        <v>471</v>
      </c>
    </row>
    <row r="3313" spans="1:12" ht="12" customHeight="1" x14ac:dyDescent="0.25">
      <c r="A3313" s="6">
        <v>44628</v>
      </c>
      <c r="B3313" s="1">
        <v>2201250</v>
      </c>
      <c r="C3313" s="5" t="s">
        <v>430</v>
      </c>
      <c r="D3313" s="5" t="str">
        <f>VLOOKUP(C3313,[1]master_data!$A$2:$E$495,2,FALSE)</f>
        <v>MANFISH K</v>
      </c>
      <c r="E3313" s="5">
        <v>2</v>
      </c>
      <c r="F3313" s="5">
        <f>VLOOKUP(C3313,[1]master_data!$A$2:$E$495,3,FALSE)</f>
        <v>2000</v>
      </c>
      <c r="G3313" s="5">
        <f>VLOOKUP(C3313,[1]master_data!$A$2:$E$495,4,FALSE)</f>
        <v>5000</v>
      </c>
      <c r="H3313" s="5">
        <f t="shared" si="159"/>
        <v>4000</v>
      </c>
      <c r="I3313" s="5">
        <f t="shared" si="160"/>
        <v>10000</v>
      </c>
      <c r="J3313" s="5">
        <f t="shared" si="161"/>
        <v>6000</v>
      </c>
      <c r="K3313" s="5" t="str">
        <f>VLOOKUP(C3313,[1]master_data!$A$2:$E$495,5,FALSE)</f>
        <v>Ikan</v>
      </c>
      <c r="L3313" s="5" t="s">
        <v>471</v>
      </c>
    </row>
    <row r="3314" spans="1:12" ht="12" customHeight="1" x14ac:dyDescent="0.25">
      <c r="A3314" s="6">
        <v>44628</v>
      </c>
      <c r="B3314" s="1">
        <v>2201249</v>
      </c>
      <c r="C3314" s="5" t="s">
        <v>427</v>
      </c>
      <c r="D3314" s="5" t="str">
        <f>VLOOKUP(C3314,[1]master_data!$A$2:$E$495,2,FALSE)</f>
        <v>LEMON</v>
      </c>
      <c r="E3314" s="5">
        <v>1</v>
      </c>
      <c r="F3314" s="5">
        <f>VLOOKUP(C3314,[1]master_data!$A$2:$E$495,3,FALSE)</f>
        <v>1000</v>
      </c>
      <c r="G3314" s="5">
        <f>VLOOKUP(C3314,[1]master_data!$A$2:$E$495,4,FALSE)</f>
        <v>2000</v>
      </c>
      <c r="H3314" s="5">
        <f t="shared" si="159"/>
        <v>1000</v>
      </c>
      <c r="I3314" s="5">
        <f t="shared" si="160"/>
        <v>2000</v>
      </c>
      <c r="J3314" s="5">
        <f t="shared" si="161"/>
        <v>1000</v>
      </c>
      <c r="K3314" s="5" t="str">
        <f>VLOOKUP(C3314,[1]master_data!$A$2:$E$495,5,FALSE)</f>
        <v>Ikan</v>
      </c>
      <c r="L3314" s="5" t="s">
        <v>471</v>
      </c>
    </row>
    <row r="3315" spans="1:12" ht="12" customHeight="1" x14ac:dyDescent="0.25">
      <c r="A3315" s="6">
        <v>44628</v>
      </c>
      <c r="B3315" s="1">
        <v>2201248</v>
      </c>
      <c r="C3315" s="5" t="s">
        <v>419</v>
      </c>
      <c r="D3315" s="5" t="str">
        <f>VLOOKUP(C3315,[1]master_data!$A$2:$E$495,2,FALSE)</f>
        <v>KURA - KURA</v>
      </c>
      <c r="E3315" s="5">
        <v>2</v>
      </c>
      <c r="F3315" s="5">
        <f>VLOOKUP(C3315,[1]master_data!$A$2:$E$495,3,FALSE)</f>
        <v>25000</v>
      </c>
      <c r="G3315" s="5">
        <f>VLOOKUP(C3315,[1]master_data!$A$2:$E$495,4,FALSE)</f>
        <v>35000</v>
      </c>
      <c r="H3315" s="5">
        <f t="shared" si="159"/>
        <v>50000</v>
      </c>
      <c r="I3315" s="5">
        <f t="shared" si="160"/>
        <v>70000</v>
      </c>
      <c r="J3315" s="5">
        <f t="shared" si="161"/>
        <v>20000</v>
      </c>
      <c r="K3315" s="5" t="str">
        <f>VLOOKUP(C3315,[1]master_data!$A$2:$E$495,5,FALSE)</f>
        <v>Ikan</v>
      </c>
      <c r="L3315" s="5" t="s">
        <v>471</v>
      </c>
    </row>
    <row r="3316" spans="1:12" ht="12" customHeight="1" x14ac:dyDescent="0.25">
      <c r="A3316" s="6">
        <v>44628</v>
      </c>
      <c r="B3316" s="1">
        <v>2201247</v>
      </c>
      <c r="C3316" s="5" t="s">
        <v>399</v>
      </c>
      <c r="D3316" s="5" t="str">
        <f>VLOOKUP(C3316,[1]master_data!$A$2:$E$495,2,FALSE)</f>
        <v>BUENOS AIRES TETRA</v>
      </c>
      <c r="E3316" s="5">
        <v>10</v>
      </c>
      <c r="F3316" s="5">
        <f>VLOOKUP(C3316,[1]master_data!$A$2:$E$495,3,FALSE)</f>
        <v>800</v>
      </c>
      <c r="G3316" s="5">
        <f>VLOOKUP(C3316,[1]master_data!$A$2:$E$495,4,FALSE)</f>
        <v>2000</v>
      </c>
      <c r="H3316" s="5">
        <f t="shared" si="159"/>
        <v>8000</v>
      </c>
      <c r="I3316" s="5">
        <f t="shared" si="160"/>
        <v>20000</v>
      </c>
      <c r="J3316" s="5">
        <f t="shared" si="161"/>
        <v>12000</v>
      </c>
      <c r="K3316" s="5" t="str">
        <f>VLOOKUP(C3316,[1]master_data!$A$2:$E$495,5,FALSE)</f>
        <v>Ikan</v>
      </c>
      <c r="L3316" s="5" t="s">
        <v>471</v>
      </c>
    </row>
    <row r="3317" spans="1:12" ht="12" customHeight="1" x14ac:dyDescent="0.25">
      <c r="A3317" s="6">
        <v>44628</v>
      </c>
      <c r="B3317" s="1">
        <v>2201246</v>
      </c>
      <c r="C3317" s="5" t="s">
        <v>7</v>
      </c>
      <c r="D3317" s="5" t="str">
        <f>VLOOKUP(C3317,[1]master_data!$A$2:$E$495,2,FALSE)</f>
        <v>MESIN YANG 1600</v>
      </c>
      <c r="E3317" s="5">
        <v>1</v>
      </c>
      <c r="F3317" s="5">
        <f>VLOOKUP(C3317,[1]master_data!$A$2:$E$495,3,FALSE)</f>
        <v>64000</v>
      </c>
      <c r="G3317" s="5">
        <f>VLOOKUP(C3317,[1]master_data!$A$2:$E$495,4,FALSE)</f>
        <v>90000</v>
      </c>
      <c r="H3317" s="5">
        <f t="shared" si="159"/>
        <v>64000</v>
      </c>
      <c r="I3317" s="5">
        <f t="shared" si="160"/>
        <v>90000</v>
      </c>
      <c r="J3317" s="5">
        <f t="shared" si="161"/>
        <v>26000</v>
      </c>
      <c r="K3317" s="5" t="str">
        <f>VLOOKUP(C3317,[1]master_data!$A$2:$E$495,5,FALSE)</f>
        <v>Aksesoris</v>
      </c>
      <c r="L3317" s="5" t="s">
        <v>471</v>
      </c>
    </row>
    <row r="3318" spans="1:12" ht="12" customHeight="1" x14ac:dyDescent="0.25">
      <c r="A3318" s="6">
        <v>44628</v>
      </c>
      <c r="B3318" s="1">
        <v>2201245</v>
      </c>
      <c r="C3318" s="5" t="s">
        <v>422</v>
      </c>
      <c r="D3318" s="5" t="str">
        <f>VLOOKUP(C3318,[1]master_data!$A$2:$E$495,2,FALSE)</f>
        <v>KOMET SLAYER</v>
      </c>
      <c r="E3318" s="5">
        <v>10</v>
      </c>
      <c r="F3318" s="5">
        <f>VLOOKUP(C3318,[1]master_data!$A$2:$E$495,3,FALSE)</f>
        <v>2000</v>
      </c>
      <c r="G3318" s="5">
        <f>VLOOKUP(C3318,[1]master_data!$A$2:$E$495,4,FALSE)</f>
        <v>5000</v>
      </c>
      <c r="H3318" s="5">
        <f t="shared" si="159"/>
        <v>20000</v>
      </c>
      <c r="I3318" s="5">
        <f t="shared" si="160"/>
        <v>50000</v>
      </c>
      <c r="J3318" s="5">
        <f t="shared" si="161"/>
        <v>30000</v>
      </c>
      <c r="K3318" s="5" t="str">
        <f>VLOOKUP(C3318,[1]master_data!$A$2:$E$495,5,FALSE)</f>
        <v>Ikan</v>
      </c>
      <c r="L3318" s="5" t="s">
        <v>471</v>
      </c>
    </row>
    <row r="3319" spans="1:12" ht="12" customHeight="1" x14ac:dyDescent="0.25">
      <c r="A3319" s="6">
        <v>44628</v>
      </c>
      <c r="B3319" s="1">
        <v>2201244</v>
      </c>
      <c r="C3319" s="5" t="s">
        <v>255</v>
      </c>
      <c r="D3319" s="5" t="str">
        <f>VLOOKUP(C3319,[1]master_data!$A$2:$E$495,2,FALSE)</f>
        <v>ACRIPLAVIN</v>
      </c>
      <c r="E3319" s="5">
        <v>1</v>
      </c>
      <c r="F3319" s="5">
        <f>VLOOKUP(C3319,[1]master_data!$A$2:$E$495,3,FALSE)</f>
        <v>3000</v>
      </c>
      <c r="G3319" s="5">
        <f>VLOOKUP(C3319,[1]master_data!$A$2:$E$495,4,FALSE)</f>
        <v>8000</v>
      </c>
      <c r="H3319" s="5">
        <f t="shared" si="159"/>
        <v>3000</v>
      </c>
      <c r="I3319" s="5">
        <f t="shared" si="160"/>
        <v>8000</v>
      </c>
      <c r="J3319" s="5">
        <f t="shared" si="161"/>
        <v>5000</v>
      </c>
      <c r="K3319" s="5" t="str">
        <f>VLOOKUP(C3319,[1]master_data!$A$2:$E$495,5,FALSE)</f>
        <v>Aksesoris</v>
      </c>
      <c r="L3319" s="5" t="s">
        <v>471</v>
      </c>
    </row>
    <row r="3320" spans="1:12" ht="12" customHeight="1" x14ac:dyDescent="0.25">
      <c r="A3320" s="6">
        <v>44628</v>
      </c>
      <c r="B3320" s="1">
        <v>2201243</v>
      </c>
      <c r="C3320" s="5" t="s">
        <v>215</v>
      </c>
      <c r="D3320" s="5" t="str">
        <f>VLOOKUP(C3320,[1]master_data!$A$2:$E$495,2,FALSE)</f>
        <v>MEM PRIME 10 GR</v>
      </c>
      <c r="E3320" s="5">
        <v>1</v>
      </c>
      <c r="F3320" s="5">
        <f>VLOOKUP(C3320,[1]master_data!$A$2:$E$495,3,FALSE)</f>
        <v>5000</v>
      </c>
      <c r="G3320" s="5">
        <f>VLOOKUP(C3320,[1]master_data!$A$2:$E$495,4,FALSE)</f>
        <v>10000</v>
      </c>
      <c r="H3320" s="5">
        <f t="shared" si="159"/>
        <v>5000</v>
      </c>
      <c r="I3320" s="5">
        <f t="shared" si="160"/>
        <v>10000</v>
      </c>
      <c r="J3320" s="5">
        <f t="shared" si="161"/>
        <v>5000</v>
      </c>
      <c r="K3320" s="5" t="str">
        <f>VLOOKUP(C3320,[1]master_data!$A$2:$E$495,5,FALSE)</f>
        <v>Aksesoris</v>
      </c>
      <c r="L3320" s="5" t="s">
        <v>471</v>
      </c>
    </row>
    <row r="3321" spans="1:12" ht="12" customHeight="1" x14ac:dyDescent="0.25">
      <c r="A3321" s="6">
        <v>44628</v>
      </c>
      <c r="B3321" s="1">
        <v>2201242</v>
      </c>
      <c r="C3321" s="5" t="s">
        <v>409</v>
      </c>
      <c r="D3321" s="5" t="str">
        <f>VLOOKUP(C3321,[1]master_data!$A$2:$E$495,2,FALSE)</f>
        <v>GOLD FISH</v>
      </c>
      <c r="E3321" s="5">
        <v>10</v>
      </c>
      <c r="F3321" s="5">
        <f>VLOOKUP(C3321,[1]master_data!$A$2:$E$495,3,FALSE)</f>
        <v>800</v>
      </c>
      <c r="G3321" s="5">
        <f>VLOOKUP(C3321,[1]master_data!$A$2:$E$495,4,FALSE)</f>
        <v>2000</v>
      </c>
      <c r="H3321" s="5">
        <f t="shared" si="159"/>
        <v>8000</v>
      </c>
      <c r="I3321" s="5">
        <f t="shared" si="160"/>
        <v>20000</v>
      </c>
      <c r="J3321" s="5">
        <f t="shared" si="161"/>
        <v>12000</v>
      </c>
      <c r="K3321" s="5" t="str">
        <f>VLOOKUP(C3321,[1]master_data!$A$2:$E$495,5,FALSE)</f>
        <v>Ikan</v>
      </c>
      <c r="L3321" s="5" t="s">
        <v>471</v>
      </c>
    </row>
    <row r="3322" spans="1:12" ht="12" customHeight="1" x14ac:dyDescent="0.25">
      <c r="A3322" s="6">
        <v>44628</v>
      </c>
      <c r="B3322" s="1">
        <v>2201241</v>
      </c>
      <c r="C3322" s="5" t="s">
        <v>408</v>
      </c>
      <c r="D3322" s="5" t="str">
        <f>VLOOKUP(C3322,[1]master_data!$A$2:$E$495,2,FALSE)</f>
        <v>CATFISH</v>
      </c>
      <c r="E3322" s="5">
        <v>1</v>
      </c>
      <c r="F3322" s="5">
        <f>VLOOKUP(C3322,[1]master_data!$A$2:$E$495,3,FALSE)</f>
        <v>20000</v>
      </c>
      <c r="G3322" s="5">
        <f>VLOOKUP(C3322,[1]master_data!$A$2:$E$495,4,FALSE)</f>
        <v>50000</v>
      </c>
      <c r="H3322" s="5">
        <f t="shared" si="159"/>
        <v>20000</v>
      </c>
      <c r="I3322" s="5">
        <f t="shared" si="160"/>
        <v>50000</v>
      </c>
      <c r="J3322" s="5">
        <f t="shared" si="161"/>
        <v>30000</v>
      </c>
      <c r="K3322" s="5" t="str">
        <f>VLOOKUP(C3322,[1]master_data!$A$2:$E$495,5,FALSE)</f>
        <v>Ikan</v>
      </c>
      <c r="L3322" s="5" t="s">
        <v>471</v>
      </c>
    </row>
    <row r="3323" spans="1:12" ht="12" customHeight="1" x14ac:dyDescent="0.25">
      <c r="A3323" s="6">
        <v>44627</v>
      </c>
      <c r="B3323" s="1">
        <v>2201240</v>
      </c>
      <c r="C3323" s="5" t="s">
        <v>234</v>
      </c>
      <c r="D3323" s="5" t="str">
        <f>VLOOKUP(C3323,[1]master_data!$A$2:$E$495,2,FALSE)</f>
        <v>FISH LOVE PAKAN BURAYAK</v>
      </c>
      <c r="E3323" s="5">
        <v>1</v>
      </c>
      <c r="F3323" s="5">
        <f>VLOOKUP(C3323,[1]master_data!$A$2:$E$495,3,FALSE)</f>
        <v>2500</v>
      </c>
      <c r="G3323" s="5">
        <f>VLOOKUP(C3323,[1]master_data!$A$2:$E$495,4,FALSE)</f>
        <v>5000</v>
      </c>
      <c r="H3323" s="5">
        <f t="shared" si="159"/>
        <v>2500</v>
      </c>
      <c r="I3323" s="5">
        <f t="shared" si="160"/>
        <v>5000</v>
      </c>
      <c r="J3323" s="5">
        <f t="shared" si="161"/>
        <v>2500</v>
      </c>
      <c r="K3323" s="5" t="str">
        <f>VLOOKUP(C3323,[1]master_data!$A$2:$E$495,5,FALSE)</f>
        <v>Aksesoris</v>
      </c>
      <c r="L3323" s="5" t="s">
        <v>471</v>
      </c>
    </row>
    <row r="3324" spans="1:12" ht="12" customHeight="1" x14ac:dyDescent="0.25">
      <c r="A3324" s="6">
        <v>44627</v>
      </c>
      <c r="B3324" s="1">
        <v>2201239</v>
      </c>
      <c r="C3324" s="5" t="s">
        <v>456</v>
      </c>
      <c r="D3324" s="5" t="str">
        <f>VLOOKUP(C3324,[1]master_data!$A$2:$E$495,2,FALSE)</f>
        <v>TOMAN</v>
      </c>
      <c r="E3324" s="5">
        <v>1</v>
      </c>
      <c r="F3324" s="5">
        <f>VLOOKUP(C3324,[1]master_data!$A$2:$E$495,3,FALSE)</f>
        <v>10000</v>
      </c>
      <c r="G3324" s="5">
        <f>VLOOKUP(C3324,[1]master_data!$A$2:$E$495,4,FALSE)</f>
        <v>25000</v>
      </c>
      <c r="H3324" s="5">
        <f t="shared" si="159"/>
        <v>10000</v>
      </c>
      <c r="I3324" s="5">
        <f t="shared" si="160"/>
        <v>25000</v>
      </c>
      <c r="J3324" s="5">
        <f t="shared" si="161"/>
        <v>15000</v>
      </c>
      <c r="K3324" s="5" t="str">
        <f>VLOOKUP(C3324,[1]master_data!$A$2:$E$495,5,FALSE)</f>
        <v>Ikan</v>
      </c>
      <c r="L3324" s="5" t="s">
        <v>471</v>
      </c>
    </row>
    <row r="3325" spans="1:12" ht="12" customHeight="1" x14ac:dyDescent="0.25">
      <c r="A3325" s="6">
        <v>44627</v>
      </c>
      <c r="B3325" s="1">
        <v>2201238</v>
      </c>
      <c r="C3325" s="5" t="s">
        <v>208</v>
      </c>
      <c r="D3325" s="5" t="str">
        <f>VLOOKUP(C3325,[1]master_data!$A$2:$E$495,2,FALSE)</f>
        <v>TOP VIT</v>
      </c>
      <c r="E3325" s="5">
        <v>1</v>
      </c>
      <c r="F3325" s="5">
        <f>VLOOKUP(C3325,[1]master_data!$A$2:$E$495,3,FALSE)</f>
        <v>4000</v>
      </c>
      <c r="G3325" s="5">
        <f>VLOOKUP(C3325,[1]master_data!$A$2:$E$495,4,FALSE)</f>
        <v>7000</v>
      </c>
      <c r="H3325" s="5">
        <f t="shared" si="159"/>
        <v>4000</v>
      </c>
      <c r="I3325" s="5">
        <f t="shared" si="160"/>
        <v>7000</v>
      </c>
      <c r="J3325" s="5">
        <f t="shared" si="161"/>
        <v>3000</v>
      </c>
      <c r="K3325" s="5" t="str">
        <f>VLOOKUP(C3325,[1]master_data!$A$2:$E$495,5,FALSE)</f>
        <v>Aksesoris</v>
      </c>
      <c r="L3325" s="5" t="s">
        <v>471</v>
      </c>
    </row>
    <row r="3326" spans="1:12" ht="12" customHeight="1" x14ac:dyDescent="0.25">
      <c r="A3326" s="6">
        <v>44627</v>
      </c>
      <c r="B3326" s="1">
        <v>2201237</v>
      </c>
      <c r="C3326" s="5" t="s">
        <v>463</v>
      </c>
      <c r="D3326" s="5" t="str">
        <f>VLOOKUP(C3326,[1]master_data!$A$2:$E$495,2,FALSE)</f>
        <v>CHANNA STEWARTI</v>
      </c>
      <c r="E3326" s="5">
        <v>2</v>
      </c>
      <c r="F3326" s="5">
        <f>VLOOKUP(C3326,[1]master_data!$A$2:$E$495,3,FALSE)</f>
        <v>15000</v>
      </c>
      <c r="G3326" s="5">
        <f>VLOOKUP(C3326,[1]master_data!$A$2:$E$495,4,FALSE)</f>
        <v>40000</v>
      </c>
      <c r="H3326" s="5">
        <f t="shared" si="159"/>
        <v>30000</v>
      </c>
      <c r="I3326" s="5">
        <f t="shared" si="160"/>
        <v>80000</v>
      </c>
      <c r="J3326" s="5">
        <f t="shared" si="161"/>
        <v>50000</v>
      </c>
      <c r="K3326" s="5" t="str">
        <f>VLOOKUP(C3326,[1]master_data!$A$2:$E$495,5,FALSE)</f>
        <v>Ikan</v>
      </c>
      <c r="L3326" s="5" t="s">
        <v>471</v>
      </c>
    </row>
    <row r="3327" spans="1:12" ht="12" customHeight="1" x14ac:dyDescent="0.25">
      <c r="A3327" s="6">
        <v>44627</v>
      </c>
      <c r="B3327" s="1">
        <v>2201236</v>
      </c>
      <c r="C3327" s="5" t="s">
        <v>296</v>
      </c>
      <c r="D3327" s="5" t="str">
        <f>VLOOKUP(C3327,[1]master_data!$A$2:$E$495,2,FALSE)</f>
        <v>MAGNET S</v>
      </c>
      <c r="E3327" s="5">
        <v>1</v>
      </c>
      <c r="F3327" s="5">
        <f>VLOOKUP(C3327,[1]master_data!$A$2:$E$495,3,FALSE)</f>
        <v>20000</v>
      </c>
      <c r="G3327" s="5">
        <f>VLOOKUP(C3327,[1]master_data!$A$2:$E$495,4,FALSE)</f>
        <v>30000</v>
      </c>
      <c r="H3327" s="5">
        <f t="shared" si="159"/>
        <v>20000</v>
      </c>
      <c r="I3327" s="5">
        <f t="shared" si="160"/>
        <v>30000</v>
      </c>
      <c r="J3327" s="5">
        <f t="shared" si="161"/>
        <v>10000</v>
      </c>
      <c r="K3327" s="5" t="str">
        <f>VLOOKUP(C3327,[1]master_data!$A$2:$E$495,5,FALSE)</f>
        <v>Aksesoris</v>
      </c>
      <c r="L3327" s="5" t="s">
        <v>471</v>
      </c>
    </row>
    <row r="3328" spans="1:12" ht="12" customHeight="1" x14ac:dyDescent="0.25">
      <c r="A3328" s="6">
        <v>44627</v>
      </c>
      <c r="B3328" s="1">
        <v>2201235</v>
      </c>
      <c r="C3328" s="5" t="s">
        <v>431</v>
      </c>
      <c r="D3328" s="5" t="str">
        <f>VLOOKUP(C3328,[1]master_data!$A$2:$E$495,2,FALSE)</f>
        <v>MANFISH B</v>
      </c>
      <c r="E3328" s="5">
        <v>2</v>
      </c>
      <c r="F3328" s="5">
        <f>VLOOKUP(C3328,[1]master_data!$A$2:$E$495,3,FALSE)</f>
        <v>4000</v>
      </c>
      <c r="G3328" s="5">
        <f>VLOOKUP(C3328,[1]master_data!$A$2:$E$495,4,FALSE)</f>
        <v>10000</v>
      </c>
      <c r="H3328" s="5">
        <f t="shared" si="159"/>
        <v>8000</v>
      </c>
      <c r="I3328" s="5">
        <f t="shared" si="160"/>
        <v>20000</v>
      </c>
      <c r="J3328" s="5">
        <f t="shared" si="161"/>
        <v>12000</v>
      </c>
      <c r="K3328" s="5" t="str">
        <f>VLOOKUP(C3328,[1]master_data!$A$2:$E$495,5,FALSE)</f>
        <v>Ikan</v>
      </c>
      <c r="L3328" s="5" t="s">
        <v>471</v>
      </c>
    </row>
    <row r="3329" spans="1:12" ht="12" customHeight="1" x14ac:dyDescent="0.25">
      <c r="A3329" s="6">
        <v>44627</v>
      </c>
      <c r="B3329" s="1">
        <v>2201234</v>
      </c>
      <c r="C3329" s="5" t="s">
        <v>276</v>
      </c>
      <c r="D3329" s="5" t="str">
        <f>VLOOKUP(C3329,[1]master_data!$A$2:$E$495,2,FALSE)</f>
        <v>JARING 30</v>
      </c>
      <c r="E3329" s="5">
        <v>1</v>
      </c>
      <c r="F3329" s="5">
        <f>VLOOKUP(C3329,[1]master_data!$A$2:$E$495,3,FALSE)</f>
        <v>7100</v>
      </c>
      <c r="G3329" s="5">
        <f>VLOOKUP(C3329,[1]master_data!$A$2:$E$495,4,FALSE)</f>
        <v>12000</v>
      </c>
      <c r="H3329" s="5">
        <f t="shared" si="159"/>
        <v>7100</v>
      </c>
      <c r="I3329" s="5">
        <f t="shared" si="160"/>
        <v>12000</v>
      </c>
      <c r="J3329" s="5">
        <f t="shared" si="161"/>
        <v>4900</v>
      </c>
      <c r="K3329" s="5" t="str">
        <f>VLOOKUP(C3329,[1]master_data!$A$2:$E$495,5,FALSE)</f>
        <v>Aksesoris</v>
      </c>
      <c r="L3329" s="5" t="s">
        <v>471</v>
      </c>
    </row>
    <row r="3330" spans="1:12" ht="12" customHeight="1" x14ac:dyDescent="0.25">
      <c r="A3330" s="6">
        <v>44627</v>
      </c>
      <c r="B3330" s="1">
        <v>2201233</v>
      </c>
      <c r="C3330" s="5" t="s">
        <v>333</v>
      </c>
      <c r="D3330" s="5" t="str">
        <f>VLOOKUP(C3330,[1]master_data!$A$2:$E$495,2,FALSE)</f>
        <v>KAPAS 2 LAPIS</v>
      </c>
      <c r="E3330" s="5">
        <v>1</v>
      </c>
      <c r="F3330" s="5">
        <f>VLOOKUP(C3330,[1]master_data!$A$2:$E$495,3,FALSE)</f>
        <v>2000</v>
      </c>
      <c r="G3330" s="5">
        <f>VLOOKUP(C3330,[1]master_data!$A$2:$E$495,4,FALSE)</f>
        <v>4000</v>
      </c>
      <c r="H3330" s="5">
        <f t="shared" si="159"/>
        <v>2000</v>
      </c>
      <c r="I3330" s="5">
        <f t="shared" si="160"/>
        <v>4000</v>
      </c>
      <c r="J3330" s="5">
        <f t="shared" si="161"/>
        <v>2000</v>
      </c>
      <c r="K3330" s="5" t="str">
        <f>VLOOKUP(C3330,[1]master_data!$A$2:$E$495,5,FALSE)</f>
        <v>Aksesoris</v>
      </c>
      <c r="L3330" s="5" t="s">
        <v>471</v>
      </c>
    </row>
    <row r="3331" spans="1:12" ht="12" customHeight="1" x14ac:dyDescent="0.25">
      <c r="A3331" s="6">
        <v>44627</v>
      </c>
      <c r="B3331" s="1">
        <v>2201232</v>
      </c>
      <c r="C3331" s="5" t="s">
        <v>394</v>
      </c>
      <c r="D3331" s="5" t="str">
        <f>VLOOKUP(C3331,[1]master_data!$A$2:$E$495,2,FALSE)</f>
        <v>ARWANA SILVER K</v>
      </c>
      <c r="E3331" s="5">
        <v>1</v>
      </c>
      <c r="F3331" s="5">
        <f>VLOOKUP(C3331,[1]master_data!$A$2:$E$495,3,FALSE)</f>
        <v>100000</v>
      </c>
      <c r="G3331" s="5">
        <f>VLOOKUP(C3331,[1]master_data!$A$2:$E$495,4,FALSE)</f>
        <v>200000</v>
      </c>
      <c r="H3331" s="5">
        <f t="shared" si="159"/>
        <v>100000</v>
      </c>
      <c r="I3331" s="5">
        <f t="shared" si="160"/>
        <v>200000</v>
      </c>
      <c r="J3331" s="5">
        <f t="shared" si="161"/>
        <v>100000</v>
      </c>
      <c r="K3331" s="5" t="str">
        <f>VLOOKUP(C3331,[1]master_data!$A$2:$E$495,5,FALSE)</f>
        <v>Ikan</v>
      </c>
      <c r="L3331" s="5" t="s">
        <v>471</v>
      </c>
    </row>
    <row r="3332" spans="1:12" ht="12" customHeight="1" x14ac:dyDescent="0.25">
      <c r="A3332" s="6">
        <v>44627</v>
      </c>
      <c r="B3332" s="1">
        <v>2201231</v>
      </c>
      <c r="C3332" s="5" t="s">
        <v>310</v>
      </c>
      <c r="D3332" s="5" t="str">
        <f>VLOOKUP(C3332,[1]master_data!$A$2:$E$495,2,FALSE)</f>
        <v>SELANG FUSO</v>
      </c>
      <c r="E3332" s="5">
        <v>10</v>
      </c>
      <c r="F3332" s="5">
        <f>VLOOKUP(C3332,[1]master_data!$A$2:$E$495,3,FALSE)</f>
        <v>800</v>
      </c>
      <c r="G3332" s="5">
        <f>VLOOKUP(C3332,[1]master_data!$A$2:$E$495,4,FALSE)</f>
        <v>2000</v>
      </c>
      <c r="H3332" s="5">
        <f t="shared" si="159"/>
        <v>8000</v>
      </c>
      <c r="I3332" s="5">
        <f t="shared" si="160"/>
        <v>20000</v>
      </c>
      <c r="J3332" s="5">
        <f t="shared" si="161"/>
        <v>12000</v>
      </c>
      <c r="K3332" s="5" t="str">
        <f>VLOOKUP(C3332,[1]master_data!$A$2:$E$495,5,FALSE)</f>
        <v>Aksesoris</v>
      </c>
      <c r="L3332" s="5" t="s">
        <v>471</v>
      </c>
    </row>
    <row r="3333" spans="1:12" ht="12" customHeight="1" x14ac:dyDescent="0.25">
      <c r="A3333" s="6">
        <v>44627</v>
      </c>
      <c r="B3333" s="1">
        <v>2201230</v>
      </c>
      <c r="C3333" s="5" t="s">
        <v>414</v>
      </c>
      <c r="D3333" s="5" t="str">
        <f>VLOOKUP(C3333,[1]master_data!$A$2:$E$495,2,FALSE)</f>
        <v>KOKI T</v>
      </c>
      <c r="E3333" s="5">
        <v>5</v>
      </c>
      <c r="F3333" s="5">
        <f>VLOOKUP(C3333,[1]master_data!$A$2:$E$495,3,FALSE)</f>
        <v>8000</v>
      </c>
      <c r="G3333" s="5">
        <f>VLOOKUP(C3333,[1]master_data!$A$2:$E$495,4,FALSE)</f>
        <v>15000</v>
      </c>
      <c r="H3333" s="5">
        <f t="shared" ref="H3333:H3396" si="162">E3333*F3333</f>
        <v>40000</v>
      </c>
      <c r="I3333" s="5">
        <f t="shared" ref="I3333:I3396" si="163">E3333*G3333</f>
        <v>75000</v>
      </c>
      <c r="J3333" s="5">
        <f t="shared" ref="J3333:J3396" si="164">I3333-H3333</f>
        <v>35000</v>
      </c>
      <c r="K3333" s="5" t="str">
        <f>VLOOKUP(C3333,[1]master_data!$A$2:$E$495,5,FALSE)</f>
        <v>Ikan</v>
      </c>
      <c r="L3333" s="5" t="s">
        <v>471</v>
      </c>
    </row>
    <row r="3334" spans="1:12" ht="12" customHeight="1" x14ac:dyDescent="0.25">
      <c r="A3334" s="6">
        <v>44627</v>
      </c>
      <c r="B3334" s="1">
        <v>2201229</v>
      </c>
      <c r="C3334" s="5" t="s">
        <v>403</v>
      </c>
      <c r="D3334" s="5" t="str">
        <f>VLOOKUP(C3334,[1]master_data!$A$2:$E$495,2,FALSE)</f>
        <v>CHANNA BLUE PULCHRA K</v>
      </c>
      <c r="E3334" s="5">
        <v>2</v>
      </c>
      <c r="F3334" s="5">
        <f>VLOOKUP(C3334,[1]master_data!$A$2:$E$495,3,FALSE)</f>
        <v>25000</v>
      </c>
      <c r="G3334" s="5">
        <f>VLOOKUP(C3334,[1]master_data!$A$2:$E$495,4,FALSE)</f>
        <v>50000</v>
      </c>
      <c r="H3334" s="5">
        <f t="shared" si="162"/>
        <v>50000</v>
      </c>
      <c r="I3334" s="5">
        <f t="shared" si="163"/>
        <v>100000</v>
      </c>
      <c r="J3334" s="5">
        <f t="shared" si="164"/>
        <v>50000</v>
      </c>
      <c r="K3334" s="5" t="str">
        <f>VLOOKUP(C3334,[1]master_data!$A$2:$E$495,5,FALSE)</f>
        <v>Ikan</v>
      </c>
      <c r="L3334" s="5" t="s">
        <v>471</v>
      </c>
    </row>
    <row r="3335" spans="1:12" ht="12" customHeight="1" x14ac:dyDescent="0.25">
      <c r="A3335" s="6">
        <v>44627</v>
      </c>
      <c r="B3335" s="1">
        <v>2201228</v>
      </c>
      <c r="C3335" s="5" t="s">
        <v>419</v>
      </c>
      <c r="D3335" s="5" t="str">
        <f>VLOOKUP(C3335,[1]master_data!$A$2:$E$495,2,FALSE)</f>
        <v>KURA - KURA</v>
      </c>
      <c r="E3335" s="5">
        <v>1</v>
      </c>
      <c r="F3335" s="5">
        <f>VLOOKUP(C3335,[1]master_data!$A$2:$E$495,3,FALSE)</f>
        <v>25000</v>
      </c>
      <c r="G3335" s="5">
        <f>VLOOKUP(C3335,[1]master_data!$A$2:$E$495,4,FALSE)</f>
        <v>35000</v>
      </c>
      <c r="H3335" s="5">
        <f t="shared" si="162"/>
        <v>25000</v>
      </c>
      <c r="I3335" s="5">
        <f t="shared" si="163"/>
        <v>35000</v>
      </c>
      <c r="J3335" s="5">
        <f t="shared" si="164"/>
        <v>10000</v>
      </c>
      <c r="K3335" s="5" t="str">
        <f>VLOOKUP(C3335,[1]master_data!$A$2:$E$495,5,FALSE)</f>
        <v>Ikan</v>
      </c>
      <c r="L3335" s="5" t="s">
        <v>471</v>
      </c>
    </row>
    <row r="3336" spans="1:12" ht="12" customHeight="1" x14ac:dyDescent="0.25">
      <c r="A3336" s="6">
        <v>44627</v>
      </c>
      <c r="B3336" s="1">
        <v>2201227</v>
      </c>
      <c r="C3336" s="5" t="s">
        <v>452</v>
      </c>
      <c r="D3336" s="5" t="str">
        <f>VLOOKUP(C3336,[1]master_data!$A$2:$E$495,2,FALSE)</f>
        <v>SNOW WHITE</v>
      </c>
      <c r="E3336" s="5">
        <v>5</v>
      </c>
      <c r="F3336" s="5">
        <f>VLOOKUP(C3336,[1]master_data!$A$2:$E$495,3,FALSE)</f>
        <v>1500</v>
      </c>
      <c r="G3336" s="5">
        <f>VLOOKUP(C3336,[1]master_data!$A$2:$E$495,4,FALSE)</f>
        <v>3000</v>
      </c>
      <c r="H3336" s="5">
        <f t="shared" si="162"/>
        <v>7500</v>
      </c>
      <c r="I3336" s="5">
        <f t="shared" si="163"/>
        <v>15000</v>
      </c>
      <c r="J3336" s="5">
        <f t="shared" si="164"/>
        <v>7500</v>
      </c>
      <c r="K3336" s="5" t="str">
        <f>VLOOKUP(C3336,[1]master_data!$A$2:$E$495,5,FALSE)</f>
        <v>Ikan</v>
      </c>
      <c r="L3336" s="5" t="s">
        <v>471</v>
      </c>
    </row>
    <row r="3337" spans="1:12" ht="12" customHeight="1" x14ac:dyDescent="0.25">
      <c r="A3337" s="6">
        <v>44627</v>
      </c>
      <c r="B3337" s="1">
        <v>2201226</v>
      </c>
      <c r="C3337" s="5" t="s">
        <v>427</v>
      </c>
      <c r="D3337" s="5" t="str">
        <f>VLOOKUP(C3337,[1]master_data!$A$2:$E$495,2,FALSE)</f>
        <v>LEMON</v>
      </c>
      <c r="E3337" s="5">
        <v>5</v>
      </c>
      <c r="F3337" s="5">
        <f>VLOOKUP(C3337,[1]master_data!$A$2:$E$495,3,FALSE)</f>
        <v>1000</v>
      </c>
      <c r="G3337" s="5">
        <f>VLOOKUP(C3337,[1]master_data!$A$2:$E$495,4,FALSE)</f>
        <v>2000</v>
      </c>
      <c r="H3337" s="5">
        <f t="shared" si="162"/>
        <v>5000</v>
      </c>
      <c r="I3337" s="5">
        <f t="shared" si="163"/>
        <v>10000</v>
      </c>
      <c r="J3337" s="5">
        <f t="shared" si="164"/>
        <v>5000</v>
      </c>
      <c r="K3337" s="5" t="str">
        <f>VLOOKUP(C3337,[1]master_data!$A$2:$E$495,5,FALSE)</f>
        <v>Ikan</v>
      </c>
      <c r="L3337" s="5" t="s">
        <v>471</v>
      </c>
    </row>
    <row r="3338" spans="1:12" ht="12" customHeight="1" x14ac:dyDescent="0.25">
      <c r="A3338" s="6">
        <v>44627</v>
      </c>
      <c r="B3338" s="1">
        <v>2201225</v>
      </c>
      <c r="C3338" s="5" t="s">
        <v>399</v>
      </c>
      <c r="D3338" s="5" t="str">
        <f>VLOOKUP(C3338,[1]master_data!$A$2:$E$495,2,FALSE)</f>
        <v>BUENOS AIRES TETRA</v>
      </c>
      <c r="E3338" s="5">
        <v>10</v>
      </c>
      <c r="F3338" s="5">
        <f>VLOOKUP(C3338,[1]master_data!$A$2:$E$495,3,FALSE)</f>
        <v>800</v>
      </c>
      <c r="G3338" s="5">
        <f>VLOOKUP(C3338,[1]master_data!$A$2:$E$495,4,FALSE)</f>
        <v>2000</v>
      </c>
      <c r="H3338" s="5">
        <f t="shared" si="162"/>
        <v>8000</v>
      </c>
      <c r="I3338" s="5">
        <f t="shared" si="163"/>
        <v>20000</v>
      </c>
      <c r="J3338" s="5">
        <f t="shared" si="164"/>
        <v>12000</v>
      </c>
      <c r="K3338" s="5" t="str">
        <f>VLOOKUP(C3338,[1]master_data!$A$2:$E$495,5,FALSE)</f>
        <v>Ikan</v>
      </c>
      <c r="L3338" s="5" t="s">
        <v>471</v>
      </c>
    </row>
    <row r="3339" spans="1:12" ht="12" customHeight="1" x14ac:dyDescent="0.25">
      <c r="A3339" s="6">
        <v>44627</v>
      </c>
      <c r="B3339" s="1">
        <v>2201224</v>
      </c>
      <c r="C3339" s="5" t="s">
        <v>438</v>
      </c>
      <c r="D3339" s="5" t="str">
        <f>VLOOKUP(C3339,[1]master_data!$A$2:$E$495,2,FALSE)</f>
        <v>NENTINEN</v>
      </c>
      <c r="E3339" s="5">
        <v>5</v>
      </c>
      <c r="F3339" s="5">
        <f>VLOOKUP(C3339,[1]master_data!$A$2:$E$495,3,FALSE)</f>
        <v>1000</v>
      </c>
      <c r="G3339" s="5">
        <f>VLOOKUP(C3339,[1]master_data!$A$2:$E$495,4,FALSE)</f>
        <v>2500</v>
      </c>
      <c r="H3339" s="5">
        <f t="shared" si="162"/>
        <v>5000</v>
      </c>
      <c r="I3339" s="5">
        <f t="shared" si="163"/>
        <v>12500</v>
      </c>
      <c r="J3339" s="5">
        <f t="shared" si="164"/>
        <v>7500</v>
      </c>
      <c r="K3339" s="5" t="str">
        <f>VLOOKUP(C3339,[1]master_data!$A$2:$E$495,5,FALSE)</f>
        <v>Ikan</v>
      </c>
      <c r="L3339" s="5" t="s">
        <v>471</v>
      </c>
    </row>
    <row r="3340" spans="1:12" ht="12" customHeight="1" x14ac:dyDescent="0.25">
      <c r="A3340" s="6">
        <v>44626</v>
      </c>
      <c r="B3340" s="1">
        <v>2201223</v>
      </c>
      <c r="C3340" s="5" t="s">
        <v>329</v>
      </c>
      <c r="D3340" s="5" t="str">
        <f>VLOOKUP(C3340,[1]master_data!$A$2:$E$495,2,FALSE)</f>
        <v>AIRSTONE D2L5</v>
      </c>
      <c r="E3340" s="5">
        <v>1</v>
      </c>
      <c r="F3340" s="5">
        <f>VLOOKUP(C3340,[1]master_data!$A$2:$E$495,3,FALSE)</f>
        <v>1850</v>
      </c>
      <c r="G3340" s="5">
        <f>VLOOKUP(C3340,[1]master_data!$A$2:$E$495,4,FALSE)</f>
        <v>5000</v>
      </c>
      <c r="H3340" s="5">
        <f t="shared" si="162"/>
        <v>1850</v>
      </c>
      <c r="I3340" s="5">
        <f t="shared" si="163"/>
        <v>5000</v>
      </c>
      <c r="J3340" s="5">
        <f t="shared" si="164"/>
        <v>3150</v>
      </c>
      <c r="K3340" s="5" t="str">
        <f>VLOOKUP(C3340,[1]master_data!$A$2:$E$495,5,FALSE)</f>
        <v>Aksesoris</v>
      </c>
      <c r="L3340" s="5" t="s">
        <v>471</v>
      </c>
    </row>
    <row r="3341" spans="1:12" ht="12" customHeight="1" x14ac:dyDescent="0.25">
      <c r="A3341" s="6">
        <v>44626</v>
      </c>
      <c r="B3341" s="1">
        <v>2201222</v>
      </c>
      <c r="C3341" s="5" t="s">
        <v>333</v>
      </c>
      <c r="D3341" s="5" t="str">
        <f>VLOOKUP(C3341,[1]master_data!$A$2:$E$495,2,FALSE)</f>
        <v>KAPAS 2 LAPIS</v>
      </c>
      <c r="E3341" s="5">
        <v>2</v>
      </c>
      <c r="F3341" s="5">
        <f>VLOOKUP(C3341,[1]master_data!$A$2:$E$495,3,FALSE)</f>
        <v>2000</v>
      </c>
      <c r="G3341" s="5">
        <f>VLOOKUP(C3341,[1]master_data!$A$2:$E$495,4,FALSE)</f>
        <v>4000</v>
      </c>
      <c r="H3341" s="5">
        <f t="shared" si="162"/>
        <v>4000</v>
      </c>
      <c r="I3341" s="5">
        <f t="shared" si="163"/>
        <v>8000</v>
      </c>
      <c r="J3341" s="5">
        <f t="shared" si="164"/>
        <v>4000</v>
      </c>
      <c r="K3341" s="5" t="str">
        <f>VLOOKUP(C3341,[1]master_data!$A$2:$E$495,5,FALSE)</f>
        <v>Aksesoris</v>
      </c>
      <c r="L3341" s="5" t="s">
        <v>471</v>
      </c>
    </row>
    <row r="3342" spans="1:12" ht="12" customHeight="1" x14ac:dyDescent="0.25">
      <c r="A3342" s="6">
        <v>44626</v>
      </c>
      <c r="B3342" s="1">
        <v>2201221</v>
      </c>
      <c r="C3342" s="5" t="s">
        <v>410</v>
      </c>
      <c r="D3342" s="5" t="str">
        <f>VLOOKUP(C3342,[1]master_data!$A$2:$E$495,2,FALSE)</f>
        <v>GUPY</v>
      </c>
      <c r="E3342" s="5">
        <v>6</v>
      </c>
      <c r="F3342" s="5">
        <f>VLOOKUP(C3342,[1]master_data!$A$2:$E$495,3,FALSE)</f>
        <v>1200</v>
      </c>
      <c r="G3342" s="5">
        <f>VLOOKUP(C3342,[1]master_data!$A$2:$E$495,4,FALSE)</f>
        <v>2500</v>
      </c>
      <c r="H3342" s="5">
        <f t="shared" si="162"/>
        <v>7200</v>
      </c>
      <c r="I3342" s="5">
        <f t="shared" si="163"/>
        <v>15000</v>
      </c>
      <c r="J3342" s="5">
        <f t="shared" si="164"/>
        <v>7800</v>
      </c>
      <c r="K3342" s="5" t="str">
        <f>VLOOKUP(C3342,[1]master_data!$A$2:$E$495,5,FALSE)</f>
        <v>Ikan</v>
      </c>
      <c r="L3342" s="5" t="s">
        <v>471</v>
      </c>
    </row>
    <row r="3343" spans="1:12" ht="12" customHeight="1" x14ac:dyDescent="0.25">
      <c r="A3343" s="6">
        <v>44626</v>
      </c>
      <c r="B3343" s="1">
        <v>2201220</v>
      </c>
      <c r="C3343" s="5" t="s">
        <v>407</v>
      </c>
      <c r="D3343" s="5" t="str">
        <f>VLOOKUP(C3343,[1]master_data!$A$2:$E$495,2,FALSE)</f>
        <v>CUPANG</v>
      </c>
      <c r="E3343" s="5">
        <v>3</v>
      </c>
      <c r="F3343" s="5">
        <f>VLOOKUP(C3343,[1]master_data!$A$2:$E$495,3,FALSE)</f>
        <v>2000</v>
      </c>
      <c r="G3343" s="5">
        <f>VLOOKUP(C3343,[1]master_data!$A$2:$E$495,4,FALSE)</f>
        <v>5000</v>
      </c>
      <c r="H3343" s="5">
        <f t="shared" si="162"/>
        <v>6000</v>
      </c>
      <c r="I3343" s="5">
        <f t="shared" si="163"/>
        <v>15000</v>
      </c>
      <c r="J3343" s="5">
        <f t="shared" si="164"/>
        <v>9000</v>
      </c>
      <c r="K3343" s="5" t="str">
        <f>VLOOKUP(C3343,[1]master_data!$A$2:$E$495,5,FALSE)</f>
        <v>Ikan</v>
      </c>
      <c r="L3343" s="5" t="s">
        <v>471</v>
      </c>
    </row>
    <row r="3344" spans="1:12" ht="12" customHeight="1" x14ac:dyDescent="0.25">
      <c r="A3344" s="6">
        <v>44626</v>
      </c>
      <c r="B3344" s="1">
        <v>2201219</v>
      </c>
      <c r="C3344" s="5" t="s">
        <v>420</v>
      </c>
      <c r="D3344" s="5" t="str">
        <f>VLOOKUP(C3344,[1]master_data!$A$2:$E$495,2,FALSE)</f>
        <v>KAVIAT</v>
      </c>
      <c r="E3344" s="5">
        <v>5</v>
      </c>
      <c r="F3344" s="5">
        <f>VLOOKUP(C3344,[1]master_data!$A$2:$E$495,3,FALSE)</f>
        <v>3500</v>
      </c>
      <c r="G3344" s="5">
        <f>VLOOKUP(C3344,[1]master_data!$A$2:$E$495,4,FALSE)</f>
        <v>8000</v>
      </c>
      <c r="H3344" s="5">
        <f t="shared" si="162"/>
        <v>17500</v>
      </c>
      <c r="I3344" s="5">
        <f t="shared" si="163"/>
        <v>40000</v>
      </c>
      <c r="J3344" s="5">
        <f t="shared" si="164"/>
        <v>22500</v>
      </c>
      <c r="K3344" s="5" t="str">
        <f>VLOOKUP(C3344,[1]master_data!$A$2:$E$495,5,FALSE)</f>
        <v>Ikan</v>
      </c>
      <c r="L3344" s="5" t="s">
        <v>471</v>
      </c>
    </row>
    <row r="3345" spans="1:12" ht="12" customHeight="1" x14ac:dyDescent="0.25">
      <c r="A3345" s="6">
        <v>44626</v>
      </c>
      <c r="B3345" s="1">
        <v>2201218</v>
      </c>
      <c r="C3345" s="5" t="s">
        <v>416</v>
      </c>
      <c r="D3345" s="5" t="str">
        <f>VLOOKUP(C3345,[1]master_data!$A$2:$E$495,2,FALSE)</f>
        <v>KOI K</v>
      </c>
      <c r="E3345" s="5">
        <v>10</v>
      </c>
      <c r="F3345" s="5">
        <f>VLOOKUP(C3345,[1]master_data!$A$2:$E$495,3,FALSE)</f>
        <v>2500</v>
      </c>
      <c r="G3345" s="5">
        <f>VLOOKUP(C3345,[1]master_data!$A$2:$E$495,4,FALSE)</f>
        <v>10000</v>
      </c>
      <c r="H3345" s="5">
        <f t="shared" si="162"/>
        <v>25000</v>
      </c>
      <c r="I3345" s="5">
        <f t="shared" si="163"/>
        <v>100000</v>
      </c>
      <c r="J3345" s="5">
        <f t="shared" si="164"/>
        <v>75000</v>
      </c>
      <c r="K3345" s="5" t="str">
        <f>VLOOKUP(C3345,[1]master_data!$A$2:$E$495,5,FALSE)</f>
        <v>Ikan</v>
      </c>
      <c r="L3345" s="5" t="s">
        <v>471</v>
      </c>
    </row>
    <row r="3346" spans="1:12" ht="12" customHeight="1" x14ac:dyDescent="0.25">
      <c r="A3346" s="6">
        <v>44626</v>
      </c>
      <c r="B3346" s="1">
        <v>2201217</v>
      </c>
      <c r="C3346" s="5" t="s">
        <v>256</v>
      </c>
      <c r="D3346" s="5" t="str">
        <f>VLOOKUP(C3346,[1]master_data!$A$2:$E$495,2,FALSE)</f>
        <v>BACKGROUND</v>
      </c>
      <c r="E3346" s="5">
        <v>0.5</v>
      </c>
      <c r="F3346" s="5">
        <f>VLOOKUP(C3346,[1]master_data!$A$2:$E$495,3,FALSE)</f>
        <v>8000</v>
      </c>
      <c r="G3346" s="5">
        <f>VLOOKUP(C3346,[1]master_data!$A$2:$E$495,4,FALSE)</f>
        <v>15000</v>
      </c>
      <c r="H3346" s="5">
        <f t="shared" si="162"/>
        <v>4000</v>
      </c>
      <c r="I3346" s="5">
        <f t="shared" si="163"/>
        <v>7500</v>
      </c>
      <c r="J3346" s="5">
        <f t="shared" si="164"/>
        <v>3500</v>
      </c>
      <c r="K3346" s="5" t="str">
        <f>VLOOKUP(C3346,[1]master_data!$A$2:$E$495,5,FALSE)</f>
        <v>Aksesoris</v>
      </c>
      <c r="L3346" s="5" t="s">
        <v>471</v>
      </c>
    </row>
    <row r="3347" spans="1:12" ht="12" customHeight="1" x14ac:dyDescent="0.25">
      <c r="A3347" s="6">
        <v>44626</v>
      </c>
      <c r="B3347" s="1">
        <v>2201216</v>
      </c>
      <c r="C3347" s="5" t="s">
        <v>281</v>
      </c>
      <c r="D3347" s="5" t="str">
        <f>VLOOKUP(C3347,[1]master_data!$A$2:$E$495,2,FALSE)</f>
        <v>KRAN 3 W</v>
      </c>
      <c r="E3347" s="5">
        <v>4</v>
      </c>
      <c r="F3347" s="5">
        <f>VLOOKUP(C3347,[1]master_data!$A$2:$E$495,3,FALSE)</f>
        <v>5500</v>
      </c>
      <c r="G3347" s="5">
        <f>VLOOKUP(C3347,[1]master_data!$A$2:$E$495,4,FALSE)</f>
        <v>8000</v>
      </c>
      <c r="H3347" s="5">
        <f t="shared" si="162"/>
        <v>22000</v>
      </c>
      <c r="I3347" s="5">
        <f t="shared" si="163"/>
        <v>32000</v>
      </c>
      <c r="J3347" s="5">
        <f t="shared" si="164"/>
        <v>10000</v>
      </c>
      <c r="K3347" s="5" t="str">
        <f>VLOOKUP(C3347,[1]master_data!$A$2:$E$495,5,FALSE)</f>
        <v>Aksesoris</v>
      </c>
      <c r="L3347" s="5" t="s">
        <v>471</v>
      </c>
    </row>
    <row r="3348" spans="1:12" ht="12" customHeight="1" x14ac:dyDescent="0.25">
      <c r="A3348" s="6">
        <v>44626</v>
      </c>
      <c r="B3348" s="1">
        <v>2201215</v>
      </c>
      <c r="C3348" s="5" t="s">
        <v>262</v>
      </c>
      <c r="D3348" s="5" t="str">
        <f>VLOOKUP(C3348,[1]master_data!$A$2:$E$495,2,FALSE)</f>
        <v>COP PIPA</v>
      </c>
      <c r="E3348" s="5">
        <v>2</v>
      </c>
      <c r="F3348" s="5">
        <f>VLOOKUP(C3348,[1]master_data!$A$2:$E$495,3,FALSE)</f>
        <v>800</v>
      </c>
      <c r="G3348" s="5">
        <f>VLOOKUP(C3348,[1]master_data!$A$2:$E$495,4,FALSE)</f>
        <v>2000</v>
      </c>
      <c r="H3348" s="5">
        <f t="shared" si="162"/>
        <v>1600</v>
      </c>
      <c r="I3348" s="5">
        <f t="shared" si="163"/>
        <v>4000</v>
      </c>
      <c r="J3348" s="5">
        <f t="shared" si="164"/>
        <v>2400</v>
      </c>
      <c r="K3348" s="5" t="str">
        <f>VLOOKUP(C3348,[1]master_data!$A$2:$E$495,5,FALSE)</f>
        <v>Aksesoris</v>
      </c>
      <c r="L3348" s="5" t="s">
        <v>471</v>
      </c>
    </row>
    <row r="3349" spans="1:12" ht="12" customHeight="1" x14ac:dyDescent="0.25">
      <c r="A3349" s="6">
        <v>44626</v>
      </c>
      <c r="B3349" s="1">
        <v>2201214</v>
      </c>
      <c r="C3349" s="5" t="s">
        <v>308</v>
      </c>
      <c r="D3349" s="5" t="str">
        <f>VLOOKUP(C3349,[1]master_data!$A$2:$E$495,2,FALSE)</f>
        <v>SUPER BLUE</v>
      </c>
      <c r="E3349" s="5">
        <v>2</v>
      </c>
      <c r="F3349" s="5">
        <f>VLOOKUP(C3349,[1]master_data!$A$2:$E$495,3,FALSE)</f>
        <v>8000</v>
      </c>
      <c r="G3349" s="5">
        <f>VLOOKUP(C3349,[1]master_data!$A$2:$E$495,4,FALSE)</f>
        <v>12000</v>
      </c>
      <c r="H3349" s="5">
        <f t="shared" si="162"/>
        <v>16000</v>
      </c>
      <c r="I3349" s="5">
        <f t="shared" si="163"/>
        <v>24000</v>
      </c>
      <c r="J3349" s="5">
        <f t="shared" si="164"/>
        <v>8000</v>
      </c>
      <c r="K3349" s="5" t="str">
        <f>VLOOKUP(C3349,[1]master_data!$A$2:$E$495,5,FALSE)</f>
        <v>Aksesoris</v>
      </c>
      <c r="L3349" s="5" t="s">
        <v>471</v>
      </c>
    </row>
    <row r="3350" spans="1:12" ht="12" customHeight="1" x14ac:dyDescent="0.25">
      <c r="A3350" s="6">
        <v>44626</v>
      </c>
      <c r="B3350" s="1">
        <v>2201213</v>
      </c>
      <c r="C3350" s="5" t="s">
        <v>427</v>
      </c>
      <c r="D3350" s="5" t="str">
        <f>VLOOKUP(C3350,[1]master_data!$A$2:$E$495,2,FALSE)</f>
        <v>LEMON</v>
      </c>
      <c r="E3350" s="5">
        <v>10</v>
      </c>
      <c r="F3350" s="5">
        <f>VLOOKUP(C3350,[1]master_data!$A$2:$E$495,3,FALSE)</f>
        <v>1000</v>
      </c>
      <c r="G3350" s="5">
        <f>VLOOKUP(C3350,[1]master_data!$A$2:$E$495,4,FALSE)</f>
        <v>2000</v>
      </c>
      <c r="H3350" s="5">
        <f t="shared" si="162"/>
        <v>10000</v>
      </c>
      <c r="I3350" s="5">
        <f t="shared" si="163"/>
        <v>20000</v>
      </c>
      <c r="J3350" s="5">
        <f t="shared" si="164"/>
        <v>10000</v>
      </c>
      <c r="K3350" s="5" t="str">
        <f>VLOOKUP(C3350,[1]master_data!$A$2:$E$495,5,FALSE)</f>
        <v>Ikan</v>
      </c>
      <c r="L3350" s="5" t="s">
        <v>471</v>
      </c>
    </row>
    <row r="3351" spans="1:12" ht="12" customHeight="1" x14ac:dyDescent="0.25">
      <c r="A3351" s="6">
        <v>44626</v>
      </c>
      <c r="B3351" s="1">
        <v>2201212</v>
      </c>
      <c r="C3351" s="5" t="s">
        <v>432</v>
      </c>
      <c r="D3351" s="5" t="str">
        <f>VLOOKUP(C3351,[1]master_data!$A$2:$E$495,2,FALSE)</f>
        <v>MARU K</v>
      </c>
      <c r="E3351" s="5">
        <v>2</v>
      </c>
      <c r="F3351" s="5">
        <f>VLOOKUP(C3351,[1]master_data!$A$2:$E$495,3,FALSE)</f>
        <v>23000</v>
      </c>
      <c r="G3351" s="5">
        <f>VLOOKUP(C3351,[1]master_data!$A$2:$E$495,4,FALSE)</f>
        <v>50000</v>
      </c>
      <c r="H3351" s="5">
        <f t="shared" si="162"/>
        <v>46000</v>
      </c>
      <c r="I3351" s="5">
        <f t="shared" si="163"/>
        <v>100000</v>
      </c>
      <c r="J3351" s="5">
        <f t="shared" si="164"/>
        <v>54000</v>
      </c>
      <c r="K3351" s="5" t="str">
        <f>VLOOKUP(C3351,[1]master_data!$A$2:$E$495,5,FALSE)</f>
        <v>Ikan</v>
      </c>
      <c r="L3351" s="5" t="s">
        <v>471</v>
      </c>
    </row>
    <row r="3352" spans="1:12" ht="12" customHeight="1" x14ac:dyDescent="0.25">
      <c r="A3352" s="6">
        <v>44626</v>
      </c>
      <c r="B3352" s="1">
        <v>2201211</v>
      </c>
      <c r="C3352" s="5" t="s">
        <v>434</v>
      </c>
      <c r="D3352" s="5" t="str">
        <f>VLOOKUP(C3352,[1]master_data!$A$2:$E$495,2,FALSE)</f>
        <v>MOLI PAKAN</v>
      </c>
      <c r="E3352" s="5">
        <v>50</v>
      </c>
      <c r="F3352" s="5">
        <f>VLOOKUP(C3352,[1]master_data!$A$2:$E$495,3,FALSE)</f>
        <v>100</v>
      </c>
      <c r="G3352" s="5">
        <f>VLOOKUP(C3352,[1]master_data!$A$2:$E$495,4,FALSE)</f>
        <v>200</v>
      </c>
      <c r="H3352" s="5">
        <f t="shared" si="162"/>
        <v>5000</v>
      </c>
      <c r="I3352" s="5">
        <f t="shared" si="163"/>
        <v>10000</v>
      </c>
      <c r="J3352" s="5">
        <f t="shared" si="164"/>
        <v>5000</v>
      </c>
      <c r="K3352" s="5" t="str">
        <f>VLOOKUP(C3352,[1]master_data!$A$2:$E$495,5,FALSE)</f>
        <v>Ikan</v>
      </c>
      <c r="L3352" s="5" t="s">
        <v>471</v>
      </c>
    </row>
    <row r="3353" spans="1:12" ht="12" customHeight="1" x14ac:dyDescent="0.25">
      <c r="A3353" s="6">
        <v>44626</v>
      </c>
      <c r="B3353" s="1">
        <v>2201210</v>
      </c>
      <c r="C3353" s="5" t="s">
        <v>444</v>
      </c>
      <c r="D3353" s="5" t="str">
        <f>VLOOKUP(C3353,[1]master_data!$A$2:$E$495,2,FALSE)</f>
        <v>PARROT</v>
      </c>
      <c r="E3353" s="5">
        <v>1</v>
      </c>
      <c r="F3353" s="5">
        <f>VLOOKUP(C3353,[1]master_data!$A$2:$E$495,3,FALSE)</f>
        <v>27000</v>
      </c>
      <c r="G3353" s="5">
        <f>VLOOKUP(C3353,[1]master_data!$A$2:$E$495,4,FALSE)</f>
        <v>60000</v>
      </c>
      <c r="H3353" s="5">
        <f t="shared" si="162"/>
        <v>27000</v>
      </c>
      <c r="I3353" s="5">
        <f t="shared" si="163"/>
        <v>60000</v>
      </c>
      <c r="J3353" s="5">
        <f t="shared" si="164"/>
        <v>33000</v>
      </c>
      <c r="K3353" s="5" t="str">
        <f>VLOOKUP(C3353,[1]master_data!$A$2:$E$495,5,FALSE)</f>
        <v>Ikan</v>
      </c>
      <c r="L3353" s="5" t="s">
        <v>471</v>
      </c>
    </row>
    <row r="3354" spans="1:12" ht="12" customHeight="1" x14ac:dyDescent="0.25">
      <c r="A3354" s="6">
        <v>44626</v>
      </c>
      <c r="B3354" s="1">
        <v>2201209</v>
      </c>
      <c r="C3354" s="5" t="s">
        <v>461</v>
      </c>
      <c r="D3354" s="5" t="str">
        <f>VLOOKUP(C3354,[1]master_data!$A$2:$E$495,2,FALSE)</f>
        <v>SEPAT</v>
      </c>
      <c r="E3354" s="5">
        <v>4</v>
      </c>
      <c r="F3354" s="5">
        <f>VLOOKUP(C3354,[1]master_data!$A$2:$E$495,3,FALSE)</f>
        <v>600</v>
      </c>
      <c r="G3354" s="5">
        <f>VLOOKUP(C3354,[1]master_data!$A$2:$E$495,4,FALSE)</f>
        <v>2000</v>
      </c>
      <c r="H3354" s="5">
        <f t="shared" si="162"/>
        <v>2400</v>
      </c>
      <c r="I3354" s="5">
        <f t="shared" si="163"/>
        <v>8000</v>
      </c>
      <c r="J3354" s="5">
        <f t="shared" si="164"/>
        <v>5600</v>
      </c>
      <c r="K3354" s="5" t="str">
        <f>VLOOKUP(C3354,[1]master_data!$A$2:$E$495,5,FALSE)</f>
        <v>Ikan</v>
      </c>
      <c r="L3354" s="5" t="s">
        <v>471</v>
      </c>
    </row>
    <row r="3355" spans="1:12" ht="12" customHeight="1" x14ac:dyDescent="0.25">
      <c r="A3355" s="6">
        <v>44626</v>
      </c>
      <c r="B3355" s="1">
        <v>2201208</v>
      </c>
      <c r="C3355" s="5" t="s">
        <v>390</v>
      </c>
      <c r="D3355" s="5" t="str">
        <f>VLOOKUP(C3355,[1]master_data!$A$2:$E$495,2,FALSE)</f>
        <v>CHANNA ASIATICA K</v>
      </c>
      <c r="E3355" s="5">
        <v>1</v>
      </c>
      <c r="F3355" s="5">
        <f>VLOOKUP(C3355,[1]master_data!$A$2:$E$495,3,FALSE)</f>
        <v>10000</v>
      </c>
      <c r="G3355" s="5">
        <f>VLOOKUP(C3355,[1]master_data!$A$2:$E$495,4,FALSE)</f>
        <v>40000</v>
      </c>
      <c r="H3355" s="5">
        <f t="shared" si="162"/>
        <v>10000</v>
      </c>
      <c r="I3355" s="5">
        <f t="shared" si="163"/>
        <v>40000</v>
      </c>
      <c r="J3355" s="5">
        <f t="shared" si="164"/>
        <v>30000</v>
      </c>
      <c r="K3355" s="5" t="str">
        <f>VLOOKUP(C3355,[1]master_data!$A$2:$E$495,5,FALSE)</f>
        <v>Ikan</v>
      </c>
      <c r="L3355" s="5" t="s">
        <v>471</v>
      </c>
    </row>
    <row r="3356" spans="1:12" ht="12" customHeight="1" x14ac:dyDescent="0.25">
      <c r="A3356" s="6">
        <v>44626</v>
      </c>
      <c r="B3356" s="1">
        <v>2201207</v>
      </c>
      <c r="C3356" s="5" t="s">
        <v>15</v>
      </c>
      <c r="D3356" s="5" t="str">
        <f>VLOOKUP(C3356,[1]master_data!$A$2:$E$495,2,FALSE)</f>
        <v>MESIN YANG 107</v>
      </c>
      <c r="E3356" s="5">
        <v>1</v>
      </c>
      <c r="F3356" s="5">
        <f>VLOOKUP(C3356,[1]master_data!$A$2:$E$495,3,FALSE)</f>
        <v>330000</v>
      </c>
      <c r="G3356" s="5">
        <f>VLOOKUP(C3356,[1]master_data!$A$2:$E$495,4,FALSE)</f>
        <v>400000</v>
      </c>
      <c r="H3356" s="5">
        <f t="shared" si="162"/>
        <v>330000</v>
      </c>
      <c r="I3356" s="5">
        <f t="shared" si="163"/>
        <v>400000</v>
      </c>
      <c r="J3356" s="5">
        <f t="shared" si="164"/>
        <v>70000</v>
      </c>
      <c r="K3356" s="5" t="str">
        <f>VLOOKUP(C3356,[1]master_data!$A$2:$E$495,5,FALSE)</f>
        <v>Aksesoris</v>
      </c>
      <c r="L3356" s="5" t="s">
        <v>471</v>
      </c>
    </row>
    <row r="3357" spans="1:12" ht="12" customHeight="1" x14ac:dyDescent="0.25">
      <c r="A3357" s="6">
        <v>44626</v>
      </c>
      <c r="B3357" s="1">
        <v>2201206</v>
      </c>
      <c r="C3357" s="5" t="s">
        <v>335</v>
      </c>
      <c r="D3357" s="5" t="str">
        <f>VLOOKUP(C3357,[1]master_data!$A$2:$E$495,2,FALSE)</f>
        <v>PENJERNIH</v>
      </c>
      <c r="E3357" s="5">
        <v>1</v>
      </c>
      <c r="F3357" s="5">
        <f>VLOOKUP(C3357,[1]master_data!$A$2:$E$495,3,FALSE)</f>
        <v>3000</v>
      </c>
      <c r="G3357" s="5">
        <f>VLOOKUP(C3357,[1]master_data!$A$2:$E$495,4,FALSE)</f>
        <v>8000</v>
      </c>
      <c r="H3357" s="5">
        <f t="shared" si="162"/>
        <v>3000</v>
      </c>
      <c r="I3357" s="5">
        <f t="shared" si="163"/>
        <v>8000</v>
      </c>
      <c r="J3357" s="5">
        <f t="shared" si="164"/>
        <v>5000</v>
      </c>
      <c r="K3357" s="5" t="str">
        <f>VLOOKUP(C3357,[1]master_data!$A$2:$E$495,5,FALSE)</f>
        <v>Aksesoris</v>
      </c>
      <c r="L3357" s="5" t="s">
        <v>471</v>
      </c>
    </row>
    <row r="3358" spans="1:12" ht="12" customHeight="1" x14ac:dyDescent="0.25">
      <c r="A3358" s="6">
        <v>44626</v>
      </c>
      <c r="B3358" s="1">
        <v>2201205</v>
      </c>
      <c r="C3358" s="5" t="s">
        <v>419</v>
      </c>
      <c r="D3358" s="5" t="str">
        <f>VLOOKUP(C3358,[1]master_data!$A$2:$E$495,2,FALSE)</f>
        <v>KURA - KURA</v>
      </c>
      <c r="E3358" s="5">
        <v>2</v>
      </c>
      <c r="F3358" s="5">
        <f>VLOOKUP(C3358,[1]master_data!$A$2:$E$495,3,FALSE)</f>
        <v>25000</v>
      </c>
      <c r="G3358" s="5">
        <f>VLOOKUP(C3358,[1]master_data!$A$2:$E$495,4,FALSE)</f>
        <v>35000</v>
      </c>
      <c r="H3358" s="5">
        <f t="shared" si="162"/>
        <v>50000</v>
      </c>
      <c r="I3358" s="5">
        <f t="shared" si="163"/>
        <v>70000</v>
      </c>
      <c r="J3358" s="5">
        <f t="shared" si="164"/>
        <v>20000</v>
      </c>
      <c r="K3358" s="5" t="str">
        <f>VLOOKUP(C3358,[1]master_data!$A$2:$E$495,5,FALSE)</f>
        <v>Ikan</v>
      </c>
      <c r="L3358" s="5" t="s">
        <v>471</v>
      </c>
    </row>
    <row r="3359" spans="1:12" ht="12" customHeight="1" x14ac:dyDescent="0.25">
      <c r="A3359" s="6">
        <v>44626</v>
      </c>
      <c r="B3359" s="1">
        <v>2201204</v>
      </c>
      <c r="C3359" s="5" t="s">
        <v>418</v>
      </c>
      <c r="D3359" s="5" t="str">
        <f>VLOOKUP(C3359,[1]master_data!$A$2:$E$495,2,FALSE)</f>
        <v>KOI B</v>
      </c>
      <c r="E3359" s="5">
        <v>2</v>
      </c>
      <c r="F3359" s="5">
        <f>VLOOKUP(C3359,[1]master_data!$A$2:$E$495,3,FALSE)</f>
        <v>9000</v>
      </c>
      <c r="G3359" s="5">
        <f>VLOOKUP(C3359,[1]master_data!$A$2:$E$495,4,FALSE)</f>
        <v>30000</v>
      </c>
      <c r="H3359" s="5">
        <f t="shared" si="162"/>
        <v>18000</v>
      </c>
      <c r="I3359" s="5">
        <f t="shared" si="163"/>
        <v>60000</v>
      </c>
      <c r="J3359" s="5">
        <f t="shared" si="164"/>
        <v>42000</v>
      </c>
      <c r="K3359" s="5" t="str">
        <f>VLOOKUP(C3359,[1]master_data!$A$2:$E$495,5,FALSE)</f>
        <v>Ikan</v>
      </c>
      <c r="L3359" s="5" t="s">
        <v>471</v>
      </c>
    </row>
    <row r="3360" spans="1:12" ht="12" customHeight="1" x14ac:dyDescent="0.25">
      <c r="A3360" s="6">
        <v>44626</v>
      </c>
      <c r="B3360" s="1">
        <v>2201203</v>
      </c>
      <c r="C3360" s="5" t="s">
        <v>455</v>
      </c>
      <c r="D3360" s="5" t="str">
        <f>VLOOKUP(C3360,[1]master_data!$A$2:$E$495,2,FALSE)</f>
        <v>TETRA</v>
      </c>
      <c r="E3360" s="5">
        <v>10</v>
      </c>
      <c r="F3360" s="5">
        <f>VLOOKUP(C3360,[1]master_data!$A$2:$E$495,3,FALSE)</f>
        <v>800</v>
      </c>
      <c r="G3360" s="5">
        <f>VLOOKUP(C3360,[1]master_data!$A$2:$E$495,4,FALSE)</f>
        <v>2000</v>
      </c>
      <c r="H3360" s="5">
        <f t="shared" si="162"/>
        <v>8000</v>
      </c>
      <c r="I3360" s="5">
        <f t="shared" si="163"/>
        <v>20000</v>
      </c>
      <c r="J3360" s="5">
        <f t="shared" si="164"/>
        <v>12000</v>
      </c>
      <c r="K3360" s="5" t="str">
        <f>VLOOKUP(C3360,[1]master_data!$A$2:$E$495,5,FALSE)</f>
        <v>Ikan</v>
      </c>
      <c r="L3360" s="5" t="s">
        <v>471</v>
      </c>
    </row>
    <row r="3361" spans="1:12" ht="12" customHeight="1" x14ac:dyDescent="0.25">
      <c r="A3361" s="6">
        <v>44626</v>
      </c>
      <c r="B3361" s="1">
        <v>2201202</v>
      </c>
      <c r="C3361" s="5" t="s">
        <v>431</v>
      </c>
      <c r="D3361" s="5" t="str">
        <f>VLOOKUP(C3361,[1]master_data!$A$2:$E$495,2,FALSE)</f>
        <v>MANFISH B</v>
      </c>
      <c r="E3361" s="5">
        <v>3</v>
      </c>
      <c r="F3361" s="5">
        <f>VLOOKUP(C3361,[1]master_data!$A$2:$E$495,3,FALSE)</f>
        <v>4000</v>
      </c>
      <c r="G3361" s="5">
        <f>VLOOKUP(C3361,[1]master_data!$A$2:$E$495,4,FALSE)</f>
        <v>10000</v>
      </c>
      <c r="H3361" s="5">
        <f t="shared" si="162"/>
        <v>12000</v>
      </c>
      <c r="I3361" s="5">
        <f t="shared" si="163"/>
        <v>30000</v>
      </c>
      <c r="J3361" s="5">
        <f t="shared" si="164"/>
        <v>18000</v>
      </c>
      <c r="K3361" s="5" t="str">
        <f>VLOOKUP(C3361,[1]master_data!$A$2:$E$495,5,FALSE)</f>
        <v>Ikan</v>
      </c>
      <c r="L3361" s="5" t="s">
        <v>471</v>
      </c>
    </row>
    <row r="3362" spans="1:12" ht="12" customHeight="1" x14ac:dyDescent="0.25">
      <c r="A3362" s="6">
        <v>44626</v>
      </c>
      <c r="B3362" s="1">
        <v>2201201</v>
      </c>
      <c r="C3362" s="5" t="s">
        <v>446</v>
      </c>
      <c r="D3362" s="5" t="str">
        <f>VLOOKUP(C3362,[1]master_data!$A$2:$E$495,2,FALSE)</f>
        <v>REDFIN HITAM</v>
      </c>
      <c r="E3362" s="5">
        <v>2</v>
      </c>
      <c r="F3362" s="5">
        <f>VLOOKUP(C3362,[1]master_data!$A$2:$E$495,3,FALSE)</f>
        <v>1500</v>
      </c>
      <c r="G3362" s="5">
        <f>VLOOKUP(C3362,[1]master_data!$A$2:$E$495,4,FALSE)</f>
        <v>4000</v>
      </c>
      <c r="H3362" s="5">
        <f t="shared" si="162"/>
        <v>3000</v>
      </c>
      <c r="I3362" s="5">
        <f t="shared" si="163"/>
        <v>8000</v>
      </c>
      <c r="J3362" s="5">
        <f t="shared" si="164"/>
        <v>5000</v>
      </c>
      <c r="K3362" s="5" t="str">
        <f>VLOOKUP(C3362,[1]master_data!$A$2:$E$495,5,FALSE)</f>
        <v>Ikan</v>
      </c>
      <c r="L3362" s="5" t="s">
        <v>471</v>
      </c>
    </row>
    <row r="3363" spans="1:12" ht="12" customHeight="1" x14ac:dyDescent="0.25">
      <c r="A3363" s="6">
        <v>44625</v>
      </c>
      <c r="B3363" s="1">
        <v>2201200</v>
      </c>
      <c r="C3363" s="5" t="s">
        <v>405</v>
      </c>
      <c r="D3363" s="5" t="str">
        <f>VLOOKUP(C3363,[1]master_data!$A$2:$E$495,2,FALSE)</f>
        <v>KOMET BOKIM</v>
      </c>
      <c r="E3363" s="5">
        <v>5</v>
      </c>
      <c r="F3363" s="5">
        <f>VLOOKUP(C3363,[1]master_data!$A$2:$E$495,3,FALSE)</f>
        <v>1500</v>
      </c>
      <c r="G3363" s="5">
        <f>VLOOKUP(C3363,[1]master_data!$A$2:$E$495,4,FALSE)</f>
        <v>5000</v>
      </c>
      <c r="H3363" s="5">
        <f t="shared" si="162"/>
        <v>7500</v>
      </c>
      <c r="I3363" s="5">
        <f t="shared" si="163"/>
        <v>25000</v>
      </c>
      <c r="J3363" s="5">
        <f t="shared" si="164"/>
        <v>17500</v>
      </c>
      <c r="K3363" s="5" t="str">
        <f>VLOOKUP(C3363,[1]master_data!$A$2:$E$495,5,FALSE)</f>
        <v>Ikan</v>
      </c>
      <c r="L3363" s="5" t="s">
        <v>471</v>
      </c>
    </row>
    <row r="3364" spans="1:12" ht="12" customHeight="1" x14ac:dyDescent="0.25">
      <c r="A3364" s="6">
        <v>44625</v>
      </c>
      <c r="B3364" s="1">
        <v>2201199</v>
      </c>
      <c r="C3364" s="5" t="s">
        <v>135</v>
      </c>
      <c r="D3364" s="5" t="str">
        <f>VLOOKUP(C3364,[1]master_data!$A$2:$E$495,2,FALSE)</f>
        <v>LED NIKITA NS 400</v>
      </c>
      <c r="E3364" s="5">
        <v>1</v>
      </c>
      <c r="F3364" s="5">
        <f>VLOOKUP(C3364,[1]master_data!$A$2:$E$495,3,FALSE)</f>
        <v>41000</v>
      </c>
      <c r="G3364" s="5">
        <f>VLOOKUP(C3364,[1]master_data!$A$2:$E$495,4,FALSE)</f>
        <v>65000</v>
      </c>
      <c r="H3364" s="5">
        <f t="shared" si="162"/>
        <v>41000</v>
      </c>
      <c r="I3364" s="5">
        <f t="shared" si="163"/>
        <v>65000</v>
      </c>
      <c r="J3364" s="5">
        <f t="shared" si="164"/>
        <v>24000</v>
      </c>
      <c r="K3364" s="5" t="str">
        <f>VLOOKUP(C3364,[1]master_data!$A$2:$E$495,5,FALSE)</f>
        <v>Aksesoris</v>
      </c>
      <c r="L3364" s="5" t="s">
        <v>471</v>
      </c>
    </row>
    <row r="3365" spans="1:12" ht="12" customHeight="1" x14ac:dyDescent="0.25">
      <c r="A3365" s="6">
        <v>44625</v>
      </c>
      <c r="B3365" s="1">
        <v>2201198</v>
      </c>
      <c r="C3365" s="5" t="s">
        <v>456</v>
      </c>
      <c r="D3365" s="5" t="str">
        <f>VLOOKUP(C3365,[1]master_data!$A$2:$E$495,2,FALSE)</f>
        <v>TOMAN</v>
      </c>
      <c r="E3365" s="5">
        <v>2</v>
      </c>
      <c r="F3365" s="5">
        <f>VLOOKUP(C3365,[1]master_data!$A$2:$E$495,3,FALSE)</f>
        <v>10000</v>
      </c>
      <c r="G3365" s="5">
        <f>VLOOKUP(C3365,[1]master_data!$A$2:$E$495,4,FALSE)</f>
        <v>25000</v>
      </c>
      <c r="H3365" s="5">
        <f t="shared" si="162"/>
        <v>20000</v>
      </c>
      <c r="I3365" s="5">
        <f t="shared" si="163"/>
        <v>50000</v>
      </c>
      <c r="J3365" s="5">
        <f t="shared" si="164"/>
        <v>30000</v>
      </c>
      <c r="K3365" s="5" t="str">
        <f>VLOOKUP(C3365,[1]master_data!$A$2:$E$495,5,FALSE)</f>
        <v>Ikan</v>
      </c>
      <c r="L3365" s="5" t="s">
        <v>471</v>
      </c>
    </row>
    <row r="3366" spans="1:12" ht="12" customHeight="1" x14ac:dyDescent="0.25">
      <c r="A3366" s="6">
        <v>44625</v>
      </c>
      <c r="B3366" s="1">
        <v>2201197</v>
      </c>
      <c r="C3366" s="5" t="s">
        <v>408</v>
      </c>
      <c r="D3366" s="5" t="str">
        <f>VLOOKUP(C3366,[1]master_data!$A$2:$E$495,2,FALSE)</f>
        <v>CATFISH</v>
      </c>
      <c r="E3366" s="5">
        <v>1</v>
      </c>
      <c r="F3366" s="5">
        <f>VLOOKUP(C3366,[1]master_data!$A$2:$E$495,3,FALSE)</f>
        <v>20000</v>
      </c>
      <c r="G3366" s="5">
        <f>VLOOKUP(C3366,[1]master_data!$A$2:$E$495,4,FALSE)</f>
        <v>50000</v>
      </c>
      <c r="H3366" s="5">
        <f t="shared" si="162"/>
        <v>20000</v>
      </c>
      <c r="I3366" s="5">
        <f t="shared" si="163"/>
        <v>50000</v>
      </c>
      <c r="J3366" s="5">
        <f t="shared" si="164"/>
        <v>30000</v>
      </c>
      <c r="K3366" s="5" t="str">
        <f>VLOOKUP(C3366,[1]master_data!$A$2:$E$495,5,FALSE)</f>
        <v>Ikan</v>
      </c>
      <c r="L3366" s="5" t="s">
        <v>471</v>
      </c>
    </row>
    <row r="3367" spans="1:12" ht="12" customHeight="1" x14ac:dyDescent="0.25">
      <c r="A3367" s="6">
        <v>44625</v>
      </c>
      <c r="B3367" s="1">
        <v>2201196</v>
      </c>
      <c r="C3367" s="5" t="s">
        <v>416</v>
      </c>
      <c r="D3367" s="5" t="str">
        <f>VLOOKUP(C3367,[1]master_data!$A$2:$E$495,2,FALSE)</f>
        <v>KOI K</v>
      </c>
      <c r="E3367" s="5">
        <v>5</v>
      </c>
      <c r="F3367" s="5">
        <f>VLOOKUP(C3367,[1]master_data!$A$2:$E$495,3,FALSE)</f>
        <v>2500</v>
      </c>
      <c r="G3367" s="5">
        <f>VLOOKUP(C3367,[1]master_data!$A$2:$E$495,4,FALSE)</f>
        <v>10000</v>
      </c>
      <c r="H3367" s="5">
        <f t="shared" si="162"/>
        <v>12500</v>
      </c>
      <c r="I3367" s="5">
        <f t="shared" si="163"/>
        <v>50000</v>
      </c>
      <c r="J3367" s="5">
        <f t="shared" si="164"/>
        <v>37500</v>
      </c>
      <c r="K3367" s="5" t="str">
        <f>VLOOKUP(C3367,[1]master_data!$A$2:$E$495,5,FALSE)</f>
        <v>Ikan</v>
      </c>
      <c r="L3367" s="5" t="s">
        <v>471</v>
      </c>
    </row>
    <row r="3368" spans="1:12" ht="12" customHeight="1" x14ac:dyDescent="0.25">
      <c r="A3368" s="6">
        <v>44625</v>
      </c>
      <c r="B3368" s="1">
        <v>2201195</v>
      </c>
      <c r="C3368" s="5" t="s">
        <v>208</v>
      </c>
      <c r="D3368" s="5" t="str">
        <f>VLOOKUP(C3368,[1]master_data!$A$2:$E$495,2,FALSE)</f>
        <v>TOP VIT</v>
      </c>
      <c r="E3368" s="5">
        <v>1</v>
      </c>
      <c r="F3368" s="5">
        <f>VLOOKUP(C3368,[1]master_data!$A$2:$E$495,3,FALSE)</f>
        <v>4000</v>
      </c>
      <c r="G3368" s="5">
        <f>VLOOKUP(C3368,[1]master_data!$A$2:$E$495,4,FALSE)</f>
        <v>7000</v>
      </c>
      <c r="H3368" s="5">
        <f t="shared" si="162"/>
        <v>4000</v>
      </c>
      <c r="I3368" s="5">
        <f t="shared" si="163"/>
        <v>7000</v>
      </c>
      <c r="J3368" s="5">
        <f t="shared" si="164"/>
        <v>3000</v>
      </c>
      <c r="K3368" s="5" t="str">
        <f>VLOOKUP(C3368,[1]master_data!$A$2:$E$495,5,FALSE)</f>
        <v>Aksesoris</v>
      </c>
      <c r="L3368" s="5" t="s">
        <v>471</v>
      </c>
    </row>
    <row r="3369" spans="1:12" ht="12" customHeight="1" x14ac:dyDescent="0.25">
      <c r="A3369" s="6">
        <v>44625</v>
      </c>
      <c r="B3369" s="1">
        <v>2201194</v>
      </c>
      <c r="C3369" s="5" t="s">
        <v>233</v>
      </c>
      <c r="D3369" s="5" t="str">
        <f>VLOOKUP(C3369,[1]master_data!$A$2:$E$495,2,FALSE)</f>
        <v>FISH LOVE PAKAN</v>
      </c>
      <c r="E3369" s="5">
        <v>1</v>
      </c>
      <c r="F3369" s="5">
        <f>VLOOKUP(C3369,[1]master_data!$A$2:$E$495,3,FALSE)</f>
        <v>2500</v>
      </c>
      <c r="G3369" s="5">
        <f>VLOOKUP(C3369,[1]master_data!$A$2:$E$495,4,FALSE)</f>
        <v>5000</v>
      </c>
      <c r="H3369" s="5">
        <f t="shared" si="162"/>
        <v>2500</v>
      </c>
      <c r="I3369" s="5">
        <f t="shared" si="163"/>
        <v>5000</v>
      </c>
      <c r="J3369" s="5">
        <f t="shared" si="164"/>
        <v>2500</v>
      </c>
      <c r="K3369" s="5" t="str">
        <f>VLOOKUP(C3369,[1]master_data!$A$2:$E$495,5,FALSE)</f>
        <v>Aksesoris</v>
      </c>
      <c r="L3369" s="5" t="s">
        <v>471</v>
      </c>
    </row>
    <row r="3370" spans="1:12" ht="12" customHeight="1" x14ac:dyDescent="0.25">
      <c r="A3370" s="6">
        <v>44625</v>
      </c>
      <c r="B3370" s="1">
        <v>2201193</v>
      </c>
      <c r="C3370" s="5" t="s">
        <v>447</v>
      </c>
      <c r="D3370" s="5" t="str">
        <f>VLOOKUP(C3370,[1]master_data!$A$2:$E$495,2,FALSE)</f>
        <v>REDFIN ALBINO</v>
      </c>
      <c r="E3370" s="5">
        <v>4</v>
      </c>
      <c r="F3370" s="5">
        <f>VLOOKUP(C3370,[1]master_data!$A$2:$E$495,3,FALSE)</f>
        <v>1500</v>
      </c>
      <c r="G3370" s="5">
        <f>VLOOKUP(C3370,[1]master_data!$A$2:$E$495,4,FALSE)</f>
        <v>4000</v>
      </c>
      <c r="H3370" s="5">
        <f t="shared" si="162"/>
        <v>6000</v>
      </c>
      <c r="I3370" s="5">
        <f t="shared" si="163"/>
        <v>16000</v>
      </c>
      <c r="J3370" s="5">
        <f t="shared" si="164"/>
        <v>10000</v>
      </c>
      <c r="K3370" s="5" t="str">
        <f>VLOOKUP(C3370,[1]master_data!$A$2:$E$495,5,FALSE)</f>
        <v>Ikan</v>
      </c>
      <c r="L3370" s="5" t="s">
        <v>471</v>
      </c>
    </row>
    <row r="3371" spans="1:12" ht="12" customHeight="1" x14ac:dyDescent="0.25">
      <c r="A3371" s="6">
        <v>44625</v>
      </c>
      <c r="B3371" s="1">
        <v>2201192</v>
      </c>
      <c r="C3371" s="5" t="s">
        <v>452</v>
      </c>
      <c r="D3371" s="5" t="str">
        <f>VLOOKUP(C3371,[1]master_data!$A$2:$E$495,2,FALSE)</f>
        <v>SNOW WHITE</v>
      </c>
      <c r="E3371" s="5">
        <v>5</v>
      </c>
      <c r="F3371" s="5">
        <f>VLOOKUP(C3371,[1]master_data!$A$2:$E$495,3,FALSE)</f>
        <v>1500</v>
      </c>
      <c r="G3371" s="5">
        <f>VLOOKUP(C3371,[1]master_data!$A$2:$E$495,4,FALSE)</f>
        <v>3000</v>
      </c>
      <c r="H3371" s="5">
        <f t="shared" si="162"/>
        <v>7500</v>
      </c>
      <c r="I3371" s="5">
        <f t="shared" si="163"/>
        <v>15000</v>
      </c>
      <c r="J3371" s="5">
        <f t="shared" si="164"/>
        <v>7500</v>
      </c>
      <c r="K3371" s="5" t="str">
        <f>VLOOKUP(C3371,[1]master_data!$A$2:$E$495,5,FALSE)</f>
        <v>Ikan</v>
      </c>
      <c r="L3371" s="5" t="s">
        <v>471</v>
      </c>
    </row>
    <row r="3372" spans="1:12" ht="12" customHeight="1" x14ac:dyDescent="0.25">
      <c r="A3372" s="6">
        <v>44625</v>
      </c>
      <c r="B3372" s="1">
        <v>2201191</v>
      </c>
      <c r="C3372" s="5" t="s">
        <v>422</v>
      </c>
      <c r="D3372" s="5" t="str">
        <f>VLOOKUP(C3372,[1]master_data!$A$2:$E$495,2,FALSE)</f>
        <v>KOMET SLAYER</v>
      </c>
      <c r="E3372" s="5">
        <v>3</v>
      </c>
      <c r="F3372" s="5">
        <f>VLOOKUP(C3372,[1]master_data!$A$2:$E$495,3,FALSE)</f>
        <v>2000</v>
      </c>
      <c r="G3372" s="5">
        <f>VLOOKUP(C3372,[1]master_data!$A$2:$E$495,4,FALSE)</f>
        <v>5000</v>
      </c>
      <c r="H3372" s="5">
        <f t="shared" si="162"/>
        <v>6000</v>
      </c>
      <c r="I3372" s="5">
        <f t="shared" si="163"/>
        <v>15000</v>
      </c>
      <c r="J3372" s="5">
        <f t="shared" si="164"/>
        <v>9000</v>
      </c>
      <c r="K3372" s="5" t="str">
        <f>VLOOKUP(C3372,[1]master_data!$A$2:$E$495,5,FALSE)</f>
        <v>Ikan</v>
      </c>
      <c r="L3372" s="5" t="s">
        <v>471</v>
      </c>
    </row>
    <row r="3373" spans="1:12" ht="12" customHeight="1" x14ac:dyDescent="0.25">
      <c r="A3373" s="6">
        <v>44625</v>
      </c>
      <c r="B3373" s="1">
        <v>2201190</v>
      </c>
      <c r="C3373" s="5" t="s">
        <v>115</v>
      </c>
      <c r="D3373" s="5" t="str">
        <f>VLOOKUP(C3373,[1]master_data!$A$2:$E$495,2,FALSE)</f>
        <v>LED ROSTON 30 CM</v>
      </c>
      <c r="E3373" s="5">
        <v>1</v>
      </c>
      <c r="F3373" s="5">
        <f>VLOOKUP(C3373,[1]master_data!$A$2:$E$495,3,FALSE)</f>
        <v>21000</v>
      </c>
      <c r="G3373" s="5">
        <f>VLOOKUP(C3373,[1]master_data!$A$2:$E$495,4,FALSE)</f>
        <v>35000</v>
      </c>
      <c r="H3373" s="5">
        <f t="shared" si="162"/>
        <v>21000</v>
      </c>
      <c r="I3373" s="5">
        <f t="shared" si="163"/>
        <v>35000</v>
      </c>
      <c r="J3373" s="5">
        <f t="shared" si="164"/>
        <v>14000</v>
      </c>
      <c r="K3373" s="5" t="str">
        <f>VLOOKUP(C3373,[1]master_data!$A$2:$E$495,5,FALSE)</f>
        <v>Aksesoris</v>
      </c>
      <c r="L3373" s="5" t="s">
        <v>471</v>
      </c>
    </row>
    <row r="3374" spans="1:12" ht="12" customHeight="1" x14ac:dyDescent="0.25">
      <c r="A3374" s="6">
        <v>44625</v>
      </c>
      <c r="B3374" s="1">
        <v>2201189</v>
      </c>
      <c r="C3374" s="5" t="s">
        <v>402</v>
      </c>
      <c r="D3374" s="5" t="str">
        <f>VLOOKUP(C3374,[1]master_data!$A$2:$E$495,2,FALSE)</f>
        <v>BLACK GHOST</v>
      </c>
      <c r="E3374" s="5">
        <v>3</v>
      </c>
      <c r="F3374" s="5">
        <f>VLOOKUP(C3374,[1]master_data!$A$2:$E$495,3,FALSE)</f>
        <v>4000</v>
      </c>
      <c r="G3374" s="5">
        <f>VLOOKUP(C3374,[1]master_data!$A$2:$E$495,4,FALSE)</f>
        <v>10000</v>
      </c>
      <c r="H3374" s="5">
        <f t="shared" si="162"/>
        <v>12000</v>
      </c>
      <c r="I3374" s="5">
        <f t="shared" si="163"/>
        <v>30000</v>
      </c>
      <c r="J3374" s="5">
        <f t="shared" si="164"/>
        <v>18000</v>
      </c>
      <c r="K3374" s="5" t="str">
        <f>VLOOKUP(C3374,[1]master_data!$A$2:$E$495,5,FALSE)</f>
        <v>Ikan</v>
      </c>
      <c r="L3374" s="5" t="s">
        <v>471</v>
      </c>
    </row>
    <row r="3375" spans="1:12" ht="12" customHeight="1" x14ac:dyDescent="0.25">
      <c r="A3375" s="6">
        <v>44625</v>
      </c>
      <c r="B3375" s="1">
        <v>2201188</v>
      </c>
      <c r="C3375" s="5" t="s">
        <v>131</v>
      </c>
      <c r="D3375" s="5" t="str">
        <f>VLOOKUP(C3375,[1]master_data!$A$2:$E$495,2,FALSE)</f>
        <v>LED YAMANO S800</v>
      </c>
      <c r="E3375" s="5">
        <v>1</v>
      </c>
      <c r="F3375" s="5">
        <f>VLOOKUP(C3375,[1]master_data!$A$2:$E$495,3,FALSE)</f>
        <v>70000</v>
      </c>
      <c r="G3375" s="5">
        <f>VLOOKUP(C3375,[1]master_data!$A$2:$E$495,4,FALSE)</f>
        <v>115000</v>
      </c>
      <c r="H3375" s="5">
        <f t="shared" si="162"/>
        <v>70000</v>
      </c>
      <c r="I3375" s="5">
        <f t="shared" si="163"/>
        <v>115000</v>
      </c>
      <c r="J3375" s="5">
        <f t="shared" si="164"/>
        <v>45000</v>
      </c>
      <c r="K3375" s="5" t="str">
        <f>VLOOKUP(C3375,[1]master_data!$A$2:$E$495,5,FALSE)</f>
        <v>Aksesoris</v>
      </c>
      <c r="L3375" s="5" t="s">
        <v>471</v>
      </c>
    </row>
    <row r="3376" spans="1:12" ht="12" customHeight="1" x14ac:dyDescent="0.25">
      <c r="A3376" s="6">
        <v>44625</v>
      </c>
      <c r="B3376" s="1">
        <v>2201187</v>
      </c>
      <c r="C3376" s="5" t="s">
        <v>313</v>
      </c>
      <c r="D3376" s="5" t="str">
        <f>VLOOKUP(C3376,[1]master_data!$A$2:$E$495,2,FALSE)</f>
        <v>LURUS PIPA</v>
      </c>
      <c r="E3376" s="5">
        <v>20</v>
      </c>
      <c r="F3376" s="5">
        <f>VLOOKUP(C3376,[1]master_data!$A$2:$E$495,3,FALSE)</f>
        <v>800</v>
      </c>
      <c r="G3376" s="5">
        <f>VLOOKUP(C3376,[1]master_data!$A$2:$E$495,4,FALSE)</f>
        <v>2000</v>
      </c>
      <c r="H3376" s="5">
        <f t="shared" si="162"/>
        <v>16000</v>
      </c>
      <c r="I3376" s="5">
        <f t="shared" si="163"/>
        <v>40000</v>
      </c>
      <c r="J3376" s="5">
        <f t="shared" si="164"/>
        <v>24000</v>
      </c>
      <c r="K3376" s="5" t="str">
        <f>VLOOKUP(C3376,[1]master_data!$A$2:$E$495,5,FALSE)</f>
        <v>Aksesoris</v>
      </c>
      <c r="L3376" s="5" t="s">
        <v>471</v>
      </c>
    </row>
    <row r="3377" spans="1:12" ht="12" customHeight="1" x14ac:dyDescent="0.25">
      <c r="A3377" s="6">
        <v>44625</v>
      </c>
      <c r="B3377" s="1">
        <v>2201186</v>
      </c>
      <c r="C3377" s="5" t="s">
        <v>455</v>
      </c>
      <c r="D3377" s="5" t="str">
        <f>VLOOKUP(C3377,[1]master_data!$A$2:$E$495,2,FALSE)</f>
        <v>TETRA</v>
      </c>
      <c r="E3377" s="5">
        <v>10</v>
      </c>
      <c r="F3377" s="5">
        <f>VLOOKUP(C3377,[1]master_data!$A$2:$E$495,3,FALSE)</f>
        <v>800</v>
      </c>
      <c r="G3377" s="5">
        <f>VLOOKUP(C3377,[1]master_data!$A$2:$E$495,4,FALSE)</f>
        <v>2000</v>
      </c>
      <c r="H3377" s="5">
        <f t="shared" si="162"/>
        <v>8000</v>
      </c>
      <c r="I3377" s="5">
        <f t="shared" si="163"/>
        <v>20000</v>
      </c>
      <c r="J3377" s="5">
        <f t="shared" si="164"/>
        <v>12000</v>
      </c>
      <c r="K3377" s="5" t="str">
        <f>VLOOKUP(C3377,[1]master_data!$A$2:$E$495,5,FALSE)</f>
        <v>Ikan</v>
      </c>
      <c r="L3377" s="5" t="s">
        <v>471</v>
      </c>
    </row>
    <row r="3378" spans="1:12" ht="12" customHeight="1" x14ac:dyDescent="0.25">
      <c r="A3378" s="6">
        <v>44625</v>
      </c>
      <c r="B3378" s="1">
        <v>2201185</v>
      </c>
      <c r="C3378" s="5" t="s">
        <v>423</v>
      </c>
      <c r="D3378" s="5" t="str">
        <f>VLOOKUP(C3378,[1]master_data!$A$2:$E$495,2,FALSE)</f>
        <v>KOI SLAYER K</v>
      </c>
      <c r="E3378" s="5">
        <v>10</v>
      </c>
      <c r="F3378" s="5">
        <f>VLOOKUP(C3378,[1]master_data!$A$2:$E$495,3,FALSE)</f>
        <v>3500</v>
      </c>
      <c r="G3378" s="5">
        <f>VLOOKUP(C3378,[1]master_data!$A$2:$E$495,4,FALSE)</f>
        <v>10000</v>
      </c>
      <c r="H3378" s="5">
        <f t="shared" si="162"/>
        <v>35000</v>
      </c>
      <c r="I3378" s="5">
        <f t="shared" si="163"/>
        <v>100000</v>
      </c>
      <c r="J3378" s="5">
        <f t="shared" si="164"/>
        <v>65000</v>
      </c>
      <c r="K3378" s="5" t="str">
        <f>VLOOKUP(C3378,[1]master_data!$A$2:$E$495,5,FALSE)</f>
        <v>Ikan</v>
      </c>
      <c r="L3378" s="5" t="s">
        <v>471</v>
      </c>
    </row>
    <row r="3379" spans="1:12" ht="12" customHeight="1" x14ac:dyDescent="0.25">
      <c r="A3379" s="6">
        <v>44625</v>
      </c>
      <c r="B3379" s="1">
        <v>2201184</v>
      </c>
      <c r="C3379" s="5" t="s">
        <v>451</v>
      </c>
      <c r="D3379" s="5" t="str">
        <f>VLOOKUP(C3379,[1]master_data!$A$2:$E$495,2,FALSE)</f>
        <v>SUMATRA GOLD FISH</v>
      </c>
      <c r="E3379" s="5">
        <v>3</v>
      </c>
      <c r="F3379" s="5">
        <f>VLOOKUP(C3379,[1]master_data!$A$2:$E$495,3,FALSE)</f>
        <v>2500</v>
      </c>
      <c r="G3379" s="5">
        <f>VLOOKUP(C3379,[1]master_data!$A$2:$E$495,4,FALSE)</f>
        <v>4000</v>
      </c>
      <c r="H3379" s="5">
        <f t="shared" si="162"/>
        <v>7500</v>
      </c>
      <c r="I3379" s="5">
        <f t="shared" si="163"/>
        <v>12000</v>
      </c>
      <c r="J3379" s="5">
        <f t="shared" si="164"/>
        <v>4500</v>
      </c>
      <c r="K3379" s="5" t="str">
        <f>VLOOKUP(C3379,[1]master_data!$A$2:$E$495,5,FALSE)</f>
        <v>Ikan</v>
      </c>
      <c r="L3379" s="5" t="s">
        <v>471</v>
      </c>
    </row>
    <row r="3380" spans="1:12" ht="12" customHeight="1" x14ac:dyDescent="0.25">
      <c r="A3380" s="6">
        <v>44624</v>
      </c>
      <c r="B3380" s="1">
        <v>2201183</v>
      </c>
      <c r="C3380" s="5" t="s">
        <v>281</v>
      </c>
      <c r="D3380" s="5" t="str">
        <f>VLOOKUP(C3380,[1]master_data!$A$2:$E$495,2,FALSE)</f>
        <v>KRAN 3 W</v>
      </c>
      <c r="E3380" s="5">
        <v>1</v>
      </c>
      <c r="F3380" s="5">
        <f>VLOOKUP(C3380,[1]master_data!$A$2:$E$495,3,FALSE)</f>
        <v>5500</v>
      </c>
      <c r="G3380" s="5">
        <f>VLOOKUP(C3380,[1]master_data!$A$2:$E$495,4,FALSE)</f>
        <v>8000</v>
      </c>
      <c r="H3380" s="5">
        <f t="shared" si="162"/>
        <v>5500</v>
      </c>
      <c r="I3380" s="5">
        <f t="shared" si="163"/>
        <v>8000</v>
      </c>
      <c r="J3380" s="5">
        <f t="shared" si="164"/>
        <v>2500</v>
      </c>
      <c r="K3380" s="5" t="str">
        <f>VLOOKUP(C3380,[1]master_data!$A$2:$E$495,5,FALSE)</f>
        <v>Aksesoris</v>
      </c>
      <c r="L3380" s="5" t="s">
        <v>471</v>
      </c>
    </row>
    <row r="3381" spans="1:12" ht="12" customHeight="1" x14ac:dyDescent="0.25">
      <c r="A3381" s="6">
        <v>44624</v>
      </c>
      <c r="B3381" s="1">
        <v>2201182</v>
      </c>
      <c r="C3381" s="5" t="s">
        <v>444</v>
      </c>
      <c r="D3381" s="5" t="str">
        <f>VLOOKUP(C3381,[1]master_data!$A$2:$E$495,2,FALSE)</f>
        <v>PARROT</v>
      </c>
      <c r="E3381" s="5">
        <v>1</v>
      </c>
      <c r="F3381" s="5">
        <f>VLOOKUP(C3381,[1]master_data!$A$2:$E$495,3,FALSE)</f>
        <v>27000</v>
      </c>
      <c r="G3381" s="5">
        <f>VLOOKUP(C3381,[1]master_data!$A$2:$E$495,4,FALSE)</f>
        <v>60000</v>
      </c>
      <c r="H3381" s="5">
        <f t="shared" si="162"/>
        <v>27000</v>
      </c>
      <c r="I3381" s="5">
        <f t="shared" si="163"/>
        <v>60000</v>
      </c>
      <c r="J3381" s="5">
        <f t="shared" si="164"/>
        <v>33000</v>
      </c>
      <c r="K3381" s="5" t="str">
        <f>VLOOKUP(C3381,[1]master_data!$A$2:$E$495,5,FALSE)</f>
        <v>Ikan</v>
      </c>
      <c r="L3381" s="5" t="s">
        <v>471</v>
      </c>
    </row>
    <row r="3382" spans="1:12" ht="12" customHeight="1" x14ac:dyDescent="0.25">
      <c r="A3382" s="6">
        <v>44624</v>
      </c>
      <c r="B3382" s="1">
        <v>2201181</v>
      </c>
      <c r="C3382" s="5" t="s">
        <v>397</v>
      </c>
      <c r="D3382" s="5" t="str">
        <f>VLOOKUP(C3382,[1]master_data!$A$2:$E$495,2,FALSE)</f>
        <v>ALIGATOR</v>
      </c>
      <c r="E3382" s="5">
        <v>1</v>
      </c>
      <c r="F3382" s="5">
        <f>VLOOKUP(C3382,[1]master_data!$A$2:$E$495,3,FALSE)</f>
        <v>17000</v>
      </c>
      <c r="G3382" s="5">
        <f>VLOOKUP(C3382,[1]master_data!$A$2:$E$495,4,FALSE)</f>
        <v>35000</v>
      </c>
      <c r="H3382" s="5">
        <f t="shared" si="162"/>
        <v>17000</v>
      </c>
      <c r="I3382" s="5">
        <f t="shared" si="163"/>
        <v>35000</v>
      </c>
      <c r="J3382" s="5">
        <f t="shared" si="164"/>
        <v>18000</v>
      </c>
      <c r="K3382" s="5" t="str">
        <f>VLOOKUP(C3382,[1]master_data!$A$2:$E$495,5,FALSE)</f>
        <v>Ikan</v>
      </c>
      <c r="L3382" s="5" t="s">
        <v>471</v>
      </c>
    </row>
    <row r="3383" spans="1:12" ht="12" customHeight="1" x14ac:dyDescent="0.25">
      <c r="A3383" s="6">
        <v>44624</v>
      </c>
      <c r="B3383" s="1">
        <v>2201180</v>
      </c>
      <c r="C3383" s="5" t="s">
        <v>442</v>
      </c>
      <c r="D3383" s="5" t="str">
        <f>VLOOKUP(C3383,[1]master_data!$A$2:$E$495,2,FALSE)</f>
        <v>PEMBERSIH KACA ALBINO</v>
      </c>
      <c r="E3383" s="5">
        <v>1</v>
      </c>
      <c r="F3383" s="5">
        <f>VLOOKUP(C3383,[1]master_data!$A$2:$E$495,3,FALSE)</f>
        <v>2500</v>
      </c>
      <c r="G3383" s="5">
        <f>VLOOKUP(C3383,[1]master_data!$A$2:$E$495,4,FALSE)</f>
        <v>5000</v>
      </c>
      <c r="H3383" s="5">
        <f t="shared" si="162"/>
        <v>2500</v>
      </c>
      <c r="I3383" s="5">
        <f t="shared" si="163"/>
        <v>5000</v>
      </c>
      <c r="J3383" s="5">
        <f t="shared" si="164"/>
        <v>2500</v>
      </c>
      <c r="K3383" s="5" t="str">
        <f>VLOOKUP(C3383,[1]master_data!$A$2:$E$495,5,FALSE)</f>
        <v>Ikan</v>
      </c>
      <c r="L3383" s="5" t="s">
        <v>471</v>
      </c>
    </row>
    <row r="3384" spans="1:12" ht="12" customHeight="1" x14ac:dyDescent="0.25">
      <c r="A3384" s="6">
        <v>44624</v>
      </c>
      <c r="B3384" s="1">
        <v>2201179</v>
      </c>
      <c r="C3384" s="5" t="s">
        <v>428</v>
      </c>
      <c r="D3384" s="5" t="str">
        <f>VLOOKUP(C3384,[1]master_data!$A$2:$E$495,2,FALSE)</f>
        <v>LOUHAN</v>
      </c>
      <c r="E3384" s="5">
        <v>2</v>
      </c>
      <c r="F3384" s="5">
        <f>VLOOKUP(C3384,[1]master_data!$A$2:$E$495,3,FALSE)</f>
        <v>85000</v>
      </c>
      <c r="G3384" s="5">
        <f>VLOOKUP(C3384,[1]master_data!$A$2:$E$495,4,FALSE)</f>
        <v>200000</v>
      </c>
      <c r="H3384" s="5">
        <f t="shared" si="162"/>
        <v>170000</v>
      </c>
      <c r="I3384" s="5">
        <f t="shared" si="163"/>
        <v>400000</v>
      </c>
      <c r="J3384" s="5">
        <f t="shared" si="164"/>
        <v>230000</v>
      </c>
      <c r="K3384" s="5" t="str">
        <f>VLOOKUP(C3384,[1]master_data!$A$2:$E$495,5,FALSE)</f>
        <v>Ikan</v>
      </c>
      <c r="L3384" s="5" t="s">
        <v>471</v>
      </c>
    </row>
    <row r="3385" spans="1:12" ht="12" customHeight="1" x14ac:dyDescent="0.25">
      <c r="A3385" s="6">
        <v>44624</v>
      </c>
      <c r="B3385" s="1">
        <v>2201178</v>
      </c>
      <c r="C3385" s="5" t="s">
        <v>89</v>
      </c>
      <c r="D3385" s="5" t="str">
        <f>VLOOKUP(C3385,[1]master_data!$A$2:$E$495,2,FALSE)</f>
        <v>MESIN AMARA 1200</v>
      </c>
      <c r="E3385" s="5">
        <v>1</v>
      </c>
      <c r="F3385" s="5">
        <f>VLOOKUP(C3385,[1]master_data!$A$2:$E$495,3,FALSE)</f>
        <v>25000</v>
      </c>
      <c r="G3385" s="5">
        <f>VLOOKUP(C3385,[1]master_data!$A$2:$E$495,4,FALSE)</f>
        <v>40000</v>
      </c>
      <c r="H3385" s="5">
        <f t="shared" si="162"/>
        <v>25000</v>
      </c>
      <c r="I3385" s="5">
        <f t="shared" si="163"/>
        <v>40000</v>
      </c>
      <c r="J3385" s="5">
        <f t="shared" si="164"/>
        <v>15000</v>
      </c>
      <c r="K3385" s="5" t="str">
        <f>VLOOKUP(C3385,[1]master_data!$A$2:$E$495,5,FALSE)</f>
        <v>Aksesoris</v>
      </c>
      <c r="L3385" s="5" t="s">
        <v>471</v>
      </c>
    </row>
    <row r="3386" spans="1:12" ht="12" customHeight="1" x14ac:dyDescent="0.25">
      <c r="A3386" s="6">
        <v>44624</v>
      </c>
      <c r="B3386" s="1">
        <v>2201177</v>
      </c>
      <c r="C3386" s="5" t="s">
        <v>211</v>
      </c>
      <c r="D3386" s="5" t="str">
        <f>VLOOKUP(C3386,[1]master_data!$A$2:$E$495,2,FALSE)</f>
        <v>CRISTAL PAKAN CUPANG</v>
      </c>
      <c r="E3386" s="5">
        <v>1</v>
      </c>
      <c r="F3386" s="5">
        <f>VLOOKUP(C3386,[1]master_data!$A$2:$E$495,3,FALSE)</f>
        <v>1500</v>
      </c>
      <c r="G3386" s="5">
        <f>VLOOKUP(C3386,[1]master_data!$A$2:$E$495,4,FALSE)</f>
        <v>3000</v>
      </c>
      <c r="H3386" s="5">
        <f t="shared" si="162"/>
        <v>1500</v>
      </c>
      <c r="I3386" s="5">
        <f t="shared" si="163"/>
        <v>3000</v>
      </c>
      <c r="J3386" s="5">
        <f t="shared" si="164"/>
        <v>1500</v>
      </c>
      <c r="K3386" s="5" t="str">
        <f>VLOOKUP(C3386,[1]master_data!$A$2:$E$495,5,FALSE)</f>
        <v>Aksesoris</v>
      </c>
      <c r="L3386" s="5" t="s">
        <v>471</v>
      </c>
    </row>
    <row r="3387" spans="1:12" ht="12" customHeight="1" x14ac:dyDescent="0.25">
      <c r="A3387" s="6">
        <v>44624</v>
      </c>
      <c r="B3387" s="1">
        <v>2201176</v>
      </c>
      <c r="C3387" s="5" t="s">
        <v>249</v>
      </c>
      <c r="D3387" s="5" t="str">
        <f>VLOOKUP(C3387,[1]master_data!$A$2:$E$495,2,FALSE)</f>
        <v>AIRSTONE BAKSO B</v>
      </c>
      <c r="E3387" s="5">
        <v>2</v>
      </c>
      <c r="F3387" s="5">
        <f>VLOOKUP(C3387,[1]master_data!$A$2:$E$495,3,FALSE)</f>
        <v>7700</v>
      </c>
      <c r="G3387" s="5">
        <f>VLOOKUP(C3387,[1]master_data!$A$2:$E$495,4,FALSE)</f>
        <v>10000</v>
      </c>
      <c r="H3387" s="5">
        <f t="shared" si="162"/>
        <v>15400</v>
      </c>
      <c r="I3387" s="5">
        <f t="shared" si="163"/>
        <v>20000</v>
      </c>
      <c r="J3387" s="5">
        <f t="shared" si="164"/>
        <v>4600</v>
      </c>
      <c r="K3387" s="5" t="str">
        <f>VLOOKUP(C3387,[1]master_data!$A$2:$E$495,5,FALSE)</f>
        <v>Aksesoris</v>
      </c>
      <c r="L3387" s="5" t="s">
        <v>471</v>
      </c>
    </row>
    <row r="3388" spans="1:12" ht="12" customHeight="1" x14ac:dyDescent="0.25">
      <c r="A3388" s="6">
        <v>44624</v>
      </c>
      <c r="B3388" s="1">
        <v>2201175</v>
      </c>
      <c r="C3388" s="5" t="s">
        <v>411</v>
      </c>
      <c r="D3388" s="5" t="str">
        <f>VLOOKUP(C3388,[1]master_data!$A$2:$E$495,2,FALSE)</f>
        <v>GOLDEN BLACK</v>
      </c>
      <c r="E3388" s="5">
        <v>10</v>
      </c>
      <c r="F3388" s="5">
        <f>VLOOKUP(C3388,[1]master_data!$A$2:$E$495,3,FALSE)</f>
        <v>800</v>
      </c>
      <c r="G3388" s="5">
        <f>VLOOKUP(C3388,[1]master_data!$A$2:$E$495,4,FALSE)</f>
        <v>2000</v>
      </c>
      <c r="H3388" s="5">
        <f t="shared" si="162"/>
        <v>8000</v>
      </c>
      <c r="I3388" s="5">
        <f t="shared" si="163"/>
        <v>20000</v>
      </c>
      <c r="J3388" s="5">
        <f t="shared" si="164"/>
        <v>12000</v>
      </c>
      <c r="K3388" s="5" t="str">
        <f>VLOOKUP(C3388,[1]master_data!$A$2:$E$495,5,FALSE)</f>
        <v>Ikan</v>
      </c>
      <c r="L3388" s="5" t="s">
        <v>471</v>
      </c>
    </row>
    <row r="3389" spans="1:12" ht="12" customHeight="1" x14ac:dyDescent="0.25">
      <c r="A3389" s="6">
        <v>44624</v>
      </c>
      <c r="B3389" s="1">
        <v>2201174</v>
      </c>
      <c r="C3389" s="5" t="s">
        <v>407</v>
      </c>
      <c r="D3389" s="5" t="str">
        <f>VLOOKUP(C3389,[1]master_data!$A$2:$E$495,2,FALSE)</f>
        <v>CUPANG</v>
      </c>
      <c r="E3389" s="5">
        <v>5</v>
      </c>
      <c r="F3389" s="5">
        <f>VLOOKUP(C3389,[1]master_data!$A$2:$E$495,3,FALSE)</f>
        <v>2000</v>
      </c>
      <c r="G3389" s="5">
        <f>VLOOKUP(C3389,[1]master_data!$A$2:$E$495,4,FALSE)</f>
        <v>5000</v>
      </c>
      <c r="H3389" s="5">
        <f t="shared" si="162"/>
        <v>10000</v>
      </c>
      <c r="I3389" s="5">
        <f t="shared" si="163"/>
        <v>25000</v>
      </c>
      <c r="J3389" s="5">
        <f t="shared" si="164"/>
        <v>15000</v>
      </c>
      <c r="K3389" s="5" t="str">
        <f>VLOOKUP(C3389,[1]master_data!$A$2:$E$495,5,FALSE)</f>
        <v>Ikan</v>
      </c>
      <c r="L3389" s="5" t="s">
        <v>471</v>
      </c>
    </row>
    <row r="3390" spans="1:12" ht="12" customHeight="1" x14ac:dyDescent="0.25">
      <c r="A3390" s="6">
        <v>44624</v>
      </c>
      <c r="B3390" s="1">
        <v>2201173</v>
      </c>
      <c r="C3390" s="5" t="s">
        <v>455</v>
      </c>
      <c r="D3390" s="5" t="str">
        <f>VLOOKUP(C3390,[1]master_data!$A$2:$E$495,2,FALSE)</f>
        <v>TETRA</v>
      </c>
      <c r="E3390" s="5">
        <v>10</v>
      </c>
      <c r="F3390" s="5">
        <f>VLOOKUP(C3390,[1]master_data!$A$2:$E$495,3,FALSE)</f>
        <v>800</v>
      </c>
      <c r="G3390" s="5">
        <f>VLOOKUP(C3390,[1]master_data!$A$2:$E$495,4,FALSE)</f>
        <v>2000</v>
      </c>
      <c r="H3390" s="5">
        <f t="shared" si="162"/>
        <v>8000</v>
      </c>
      <c r="I3390" s="5">
        <f t="shared" si="163"/>
        <v>20000</v>
      </c>
      <c r="J3390" s="5">
        <f t="shared" si="164"/>
        <v>12000</v>
      </c>
      <c r="K3390" s="5" t="str">
        <f>VLOOKUP(C3390,[1]master_data!$A$2:$E$495,5,FALSE)</f>
        <v>Ikan</v>
      </c>
      <c r="L3390" s="5" t="s">
        <v>471</v>
      </c>
    </row>
    <row r="3391" spans="1:12" ht="12" customHeight="1" x14ac:dyDescent="0.25">
      <c r="A3391" s="6">
        <v>44624</v>
      </c>
      <c r="B3391" s="1">
        <v>2201172</v>
      </c>
      <c r="C3391" s="5" t="s">
        <v>443</v>
      </c>
      <c r="D3391" s="5" t="str">
        <f>VLOOKUP(C3391,[1]master_data!$A$2:$E$495,2,FALSE)</f>
        <v>PALMAS</v>
      </c>
      <c r="E3391" s="5">
        <v>1</v>
      </c>
      <c r="F3391" s="5">
        <f>VLOOKUP(C3391,[1]master_data!$A$2:$E$495,3,FALSE)</f>
        <v>10000</v>
      </c>
      <c r="G3391" s="5">
        <f>VLOOKUP(C3391,[1]master_data!$A$2:$E$495,4,FALSE)</f>
        <v>25000</v>
      </c>
      <c r="H3391" s="5">
        <f t="shared" si="162"/>
        <v>10000</v>
      </c>
      <c r="I3391" s="5">
        <f t="shared" si="163"/>
        <v>25000</v>
      </c>
      <c r="J3391" s="5">
        <f t="shared" si="164"/>
        <v>15000</v>
      </c>
      <c r="K3391" s="5" t="str">
        <f>VLOOKUP(C3391,[1]master_data!$A$2:$E$495,5,FALSE)</f>
        <v>Ikan</v>
      </c>
      <c r="L3391" s="5" t="s">
        <v>471</v>
      </c>
    </row>
    <row r="3392" spans="1:12" ht="12" customHeight="1" x14ac:dyDescent="0.25">
      <c r="A3392" s="6">
        <v>44624</v>
      </c>
      <c r="B3392" s="1">
        <v>2201171</v>
      </c>
      <c r="C3392" s="5" t="s">
        <v>420</v>
      </c>
      <c r="D3392" s="5" t="str">
        <f>VLOOKUP(C3392,[1]master_data!$A$2:$E$495,2,FALSE)</f>
        <v>KAVIAT</v>
      </c>
      <c r="E3392" s="5">
        <v>4</v>
      </c>
      <c r="F3392" s="5">
        <f>VLOOKUP(C3392,[1]master_data!$A$2:$E$495,3,FALSE)</f>
        <v>3500</v>
      </c>
      <c r="G3392" s="5">
        <f>VLOOKUP(C3392,[1]master_data!$A$2:$E$495,4,FALSE)</f>
        <v>8000</v>
      </c>
      <c r="H3392" s="5">
        <f t="shared" si="162"/>
        <v>14000</v>
      </c>
      <c r="I3392" s="5">
        <f t="shared" si="163"/>
        <v>32000</v>
      </c>
      <c r="J3392" s="5">
        <f t="shared" si="164"/>
        <v>18000</v>
      </c>
      <c r="K3392" s="5" t="str">
        <f>VLOOKUP(C3392,[1]master_data!$A$2:$E$495,5,FALSE)</f>
        <v>Ikan</v>
      </c>
      <c r="L3392" s="5" t="s">
        <v>471</v>
      </c>
    </row>
    <row r="3393" spans="1:12" ht="12" customHeight="1" x14ac:dyDescent="0.25">
      <c r="A3393" s="6">
        <v>44624</v>
      </c>
      <c r="B3393" s="1">
        <v>2201170</v>
      </c>
      <c r="C3393" s="5" t="s">
        <v>430</v>
      </c>
      <c r="D3393" s="5" t="str">
        <f>VLOOKUP(C3393,[1]master_data!$A$2:$E$495,2,FALSE)</f>
        <v>MANFISH K</v>
      </c>
      <c r="E3393" s="5">
        <v>5</v>
      </c>
      <c r="F3393" s="5">
        <f>VLOOKUP(C3393,[1]master_data!$A$2:$E$495,3,FALSE)</f>
        <v>2000</v>
      </c>
      <c r="G3393" s="5">
        <f>VLOOKUP(C3393,[1]master_data!$A$2:$E$495,4,FALSE)</f>
        <v>5000</v>
      </c>
      <c r="H3393" s="5">
        <f t="shared" si="162"/>
        <v>10000</v>
      </c>
      <c r="I3393" s="5">
        <f t="shared" si="163"/>
        <v>25000</v>
      </c>
      <c r="J3393" s="5">
        <f t="shared" si="164"/>
        <v>15000</v>
      </c>
      <c r="K3393" s="5" t="str">
        <f>VLOOKUP(C3393,[1]master_data!$A$2:$E$495,5,FALSE)</f>
        <v>Ikan</v>
      </c>
      <c r="L3393" s="5" t="s">
        <v>471</v>
      </c>
    </row>
    <row r="3394" spans="1:12" ht="12" customHeight="1" x14ac:dyDescent="0.25">
      <c r="A3394" s="6">
        <v>44623</v>
      </c>
      <c r="B3394" s="1">
        <v>2201169</v>
      </c>
      <c r="C3394" s="5" t="s">
        <v>457</v>
      </c>
      <c r="D3394" s="5" t="str">
        <f>VLOOKUP(C3394,[1]master_data!$A$2:$E$495,2,FALSE)</f>
        <v>ZEBRA PINK</v>
      </c>
      <c r="E3394" s="5">
        <v>10</v>
      </c>
      <c r="F3394" s="5">
        <f>VLOOKUP(C3394,[1]master_data!$A$2:$E$495,3,FALSE)</f>
        <v>800</v>
      </c>
      <c r="G3394" s="5">
        <f>VLOOKUP(C3394,[1]master_data!$A$2:$E$495,4,FALSE)</f>
        <v>2000</v>
      </c>
      <c r="H3394" s="5">
        <f t="shared" si="162"/>
        <v>8000</v>
      </c>
      <c r="I3394" s="5">
        <f t="shared" si="163"/>
        <v>20000</v>
      </c>
      <c r="J3394" s="5">
        <f t="shared" si="164"/>
        <v>12000</v>
      </c>
      <c r="K3394" s="5" t="str">
        <f>VLOOKUP(C3394,[1]master_data!$A$2:$E$495,5,FALSE)</f>
        <v>Ikan</v>
      </c>
      <c r="L3394" s="5" t="s">
        <v>471</v>
      </c>
    </row>
    <row r="3395" spans="1:12" ht="12" customHeight="1" x14ac:dyDescent="0.25">
      <c r="A3395" s="6">
        <v>44623</v>
      </c>
      <c r="B3395" s="1">
        <v>2201168</v>
      </c>
      <c r="C3395" s="5" t="s">
        <v>118</v>
      </c>
      <c r="D3395" s="5" t="str">
        <f>VLOOKUP(C3395,[1]master_data!$A$2:$E$495,2,FALSE)</f>
        <v>LED ROSTON 40 CM</v>
      </c>
      <c r="E3395" s="5">
        <v>1</v>
      </c>
      <c r="F3395" s="5">
        <f>VLOOKUP(C3395,[1]master_data!$A$2:$E$495,3,FALSE)</f>
        <v>23000</v>
      </c>
      <c r="G3395" s="5">
        <f>VLOOKUP(C3395,[1]master_data!$A$2:$E$495,4,FALSE)</f>
        <v>40000</v>
      </c>
      <c r="H3395" s="5">
        <f t="shared" si="162"/>
        <v>23000</v>
      </c>
      <c r="I3395" s="5">
        <f t="shared" si="163"/>
        <v>40000</v>
      </c>
      <c r="J3395" s="5">
        <f t="shared" si="164"/>
        <v>17000</v>
      </c>
      <c r="K3395" s="5" t="str">
        <f>VLOOKUP(C3395,[1]master_data!$A$2:$E$495,5,FALSE)</f>
        <v>Aksesoris</v>
      </c>
      <c r="L3395" s="5" t="s">
        <v>471</v>
      </c>
    </row>
    <row r="3396" spans="1:12" ht="12" customHeight="1" x14ac:dyDescent="0.25">
      <c r="A3396" s="6">
        <v>44623</v>
      </c>
      <c r="B3396" s="1">
        <v>2201167</v>
      </c>
      <c r="C3396" s="5" t="s">
        <v>411</v>
      </c>
      <c r="D3396" s="5" t="str">
        <f>VLOOKUP(C3396,[1]master_data!$A$2:$E$495,2,FALSE)</f>
        <v>GOLDEN BLACK</v>
      </c>
      <c r="E3396" s="5">
        <v>10</v>
      </c>
      <c r="F3396" s="5">
        <f>VLOOKUP(C3396,[1]master_data!$A$2:$E$495,3,FALSE)</f>
        <v>800</v>
      </c>
      <c r="G3396" s="5">
        <f>VLOOKUP(C3396,[1]master_data!$A$2:$E$495,4,FALSE)</f>
        <v>2000</v>
      </c>
      <c r="H3396" s="5">
        <f t="shared" si="162"/>
        <v>8000</v>
      </c>
      <c r="I3396" s="5">
        <f t="shared" si="163"/>
        <v>20000</v>
      </c>
      <c r="J3396" s="5">
        <f t="shared" si="164"/>
        <v>12000</v>
      </c>
      <c r="K3396" s="5" t="str">
        <f>VLOOKUP(C3396,[1]master_data!$A$2:$E$495,5,FALSE)</f>
        <v>Ikan</v>
      </c>
      <c r="L3396" s="5" t="s">
        <v>471</v>
      </c>
    </row>
    <row r="3397" spans="1:12" ht="12" customHeight="1" x14ac:dyDescent="0.25">
      <c r="A3397" s="6">
        <v>44623</v>
      </c>
      <c r="B3397" s="1">
        <v>2201166</v>
      </c>
      <c r="C3397" s="5" t="s">
        <v>458</v>
      </c>
      <c r="D3397" s="5" t="str">
        <f>VLOOKUP(C3397,[1]master_data!$A$2:$E$495,2,FALSE)</f>
        <v>ZEBRA HIJAU</v>
      </c>
      <c r="E3397" s="5">
        <v>10</v>
      </c>
      <c r="F3397" s="5">
        <f>VLOOKUP(C3397,[1]master_data!$A$2:$E$495,3,FALSE)</f>
        <v>800</v>
      </c>
      <c r="G3397" s="5">
        <f>VLOOKUP(C3397,[1]master_data!$A$2:$E$495,4,FALSE)</f>
        <v>2000</v>
      </c>
      <c r="H3397" s="5">
        <f t="shared" ref="H3397:H3460" si="165">E3397*F3397</f>
        <v>8000</v>
      </c>
      <c r="I3397" s="5">
        <f t="shared" ref="I3397:I3460" si="166">E3397*G3397</f>
        <v>20000</v>
      </c>
      <c r="J3397" s="5">
        <f t="shared" ref="J3397:J3460" si="167">I3397-H3397</f>
        <v>12000</v>
      </c>
      <c r="K3397" s="5" t="str">
        <f>VLOOKUP(C3397,[1]master_data!$A$2:$E$495,5,FALSE)</f>
        <v>Ikan</v>
      </c>
      <c r="L3397" s="5" t="s">
        <v>471</v>
      </c>
    </row>
    <row r="3398" spans="1:12" ht="12" customHeight="1" x14ac:dyDescent="0.25">
      <c r="A3398" s="6">
        <v>44623</v>
      </c>
      <c r="B3398" s="1">
        <v>2201165</v>
      </c>
      <c r="C3398" s="5" t="s">
        <v>204</v>
      </c>
      <c r="D3398" s="5" t="str">
        <f>VLOOKUP(C3398,[1]master_data!$A$2:$E$495,2,FALSE)</f>
        <v>MAGOT</v>
      </c>
      <c r="E3398" s="5">
        <v>1</v>
      </c>
      <c r="F3398" s="5">
        <f>VLOOKUP(C3398,[1]master_data!$A$2:$E$495,3,FALSE)</f>
        <v>4500</v>
      </c>
      <c r="G3398" s="5">
        <f>VLOOKUP(C3398,[1]master_data!$A$2:$E$495,4,FALSE)</f>
        <v>10000</v>
      </c>
      <c r="H3398" s="5">
        <f t="shared" si="165"/>
        <v>4500</v>
      </c>
      <c r="I3398" s="5">
        <f t="shared" si="166"/>
        <v>10000</v>
      </c>
      <c r="J3398" s="5">
        <f t="shared" si="167"/>
        <v>5500</v>
      </c>
      <c r="K3398" s="5" t="str">
        <f>VLOOKUP(C3398,[1]master_data!$A$2:$E$495,5,FALSE)</f>
        <v>Aksesoris</v>
      </c>
      <c r="L3398" s="5" t="s">
        <v>471</v>
      </c>
    </row>
    <row r="3399" spans="1:12" ht="12" customHeight="1" x14ac:dyDescent="0.25">
      <c r="A3399" s="6">
        <v>44623</v>
      </c>
      <c r="B3399" s="1">
        <v>2201164</v>
      </c>
      <c r="C3399" s="5" t="s">
        <v>249</v>
      </c>
      <c r="D3399" s="5" t="str">
        <f>VLOOKUP(C3399,[1]master_data!$A$2:$E$495,2,FALSE)</f>
        <v>AIRSTONE BAKSO B</v>
      </c>
      <c r="E3399" s="5">
        <v>4</v>
      </c>
      <c r="F3399" s="5">
        <f>VLOOKUP(C3399,[1]master_data!$A$2:$E$495,3,FALSE)</f>
        <v>7700</v>
      </c>
      <c r="G3399" s="5">
        <f>VLOOKUP(C3399,[1]master_data!$A$2:$E$495,4,FALSE)</f>
        <v>10000</v>
      </c>
      <c r="H3399" s="5">
        <f t="shared" si="165"/>
        <v>30800</v>
      </c>
      <c r="I3399" s="5">
        <f t="shared" si="166"/>
        <v>40000</v>
      </c>
      <c r="J3399" s="5">
        <f t="shared" si="167"/>
        <v>9200</v>
      </c>
      <c r="K3399" s="5" t="str">
        <f>VLOOKUP(C3399,[1]master_data!$A$2:$E$495,5,FALSE)</f>
        <v>Aksesoris</v>
      </c>
      <c r="L3399" s="5" t="s">
        <v>471</v>
      </c>
    </row>
    <row r="3400" spans="1:12" ht="12" customHeight="1" x14ac:dyDescent="0.25">
      <c r="A3400" s="6">
        <v>44623</v>
      </c>
      <c r="B3400" s="1">
        <v>2201163</v>
      </c>
      <c r="C3400" s="5" t="s">
        <v>451</v>
      </c>
      <c r="D3400" s="5" t="str">
        <f>VLOOKUP(C3400,[1]master_data!$A$2:$E$495,2,FALSE)</f>
        <v>SUMATRA GOLD FISH</v>
      </c>
      <c r="E3400" s="5">
        <v>10</v>
      </c>
      <c r="F3400" s="5">
        <f>VLOOKUP(C3400,[1]master_data!$A$2:$E$495,3,FALSE)</f>
        <v>2500</v>
      </c>
      <c r="G3400" s="5">
        <f>VLOOKUP(C3400,[1]master_data!$A$2:$E$495,4,FALSE)</f>
        <v>4000</v>
      </c>
      <c r="H3400" s="5">
        <f t="shared" si="165"/>
        <v>25000</v>
      </c>
      <c r="I3400" s="5">
        <f t="shared" si="166"/>
        <v>40000</v>
      </c>
      <c r="J3400" s="5">
        <f t="shared" si="167"/>
        <v>15000</v>
      </c>
      <c r="K3400" s="5" t="str">
        <f>VLOOKUP(C3400,[1]master_data!$A$2:$E$495,5,FALSE)</f>
        <v>Ikan</v>
      </c>
      <c r="L3400" s="5" t="s">
        <v>471</v>
      </c>
    </row>
    <row r="3401" spans="1:12" ht="12" customHeight="1" x14ac:dyDescent="0.25">
      <c r="A3401" s="6">
        <v>44623</v>
      </c>
      <c r="B3401" s="1">
        <v>2201162</v>
      </c>
      <c r="C3401" s="5" t="s">
        <v>455</v>
      </c>
      <c r="D3401" s="5" t="str">
        <f>VLOOKUP(C3401,[1]master_data!$A$2:$E$495,2,FALSE)</f>
        <v>TETRA</v>
      </c>
      <c r="E3401" s="5">
        <v>20</v>
      </c>
      <c r="F3401" s="5">
        <f>VLOOKUP(C3401,[1]master_data!$A$2:$E$495,3,FALSE)</f>
        <v>800</v>
      </c>
      <c r="G3401" s="5">
        <f>VLOOKUP(C3401,[1]master_data!$A$2:$E$495,4,FALSE)</f>
        <v>2000</v>
      </c>
      <c r="H3401" s="5">
        <f t="shared" si="165"/>
        <v>16000</v>
      </c>
      <c r="I3401" s="5">
        <f t="shared" si="166"/>
        <v>40000</v>
      </c>
      <c r="J3401" s="5">
        <f t="shared" si="167"/>
        <v>24000</v>
      </c>
      <c r="K3401" s="5" t="str">
        <f>VLOOKUP(C3401,[1]master_data!$A$2:$E$495,5,FALSE)</f>
        <v>Ikan</v>
      </c>
      <c r="L3401" s="5" t="s">
        <v>471</v>
      </c>
    </row>
    <row r="3402" spans="1:12" ht="12" customHeight="1" x14ac:dyDescent="0.25">
      <c r="A3402" s="6">
        <v>44623</v>
      </c>
      <c r="B3402" s="1">
        <v>2201161</v>
      </c>
      <c r="C3402" s="5" t="s">
        <v>333</v>
      </c>
      <c r="D3402" s="5" t="str">
        <f>VLOOKUP(C3402,[1]master_data!$A$2:$E$495,2,FALSE)</f>
        <v>KAPAS 2 LAPIS</v>
      </c>
      <c r="E3402" s="5">
        <v>1</v>
      </c>
      <c r="F3402" s="5">
        <f>VLOOKUP(C3402,[1]master_data!$A$2:$E$495,3,FALSE)</f>
        <v>2000</v>
      </c>
      <c r="G3402" s="5">
        <f>VLOOKUP(C3402,[1]master_data!$A$2:$E$495,4,FALSE)</f>
        <v>4000</v>
      </c>
      <c r="H3402" s="5">
        <f t="shared" si="165"/>
        <v>2000</v>
      </c>
      <c r="I3402" s="5">
        <f t="shared" si="166"/>
        <v>4000</v>
      </c>
      <c r="J3402" s="5">
        <f t="shared" si="167"/>
        <v>2000</v>
      </c>
      <c r="K3402" s="5" t="str">
        <f>VLOOKUP(C3402,[1]master_data!$A$2:$E$495,5,FALSE)</f>
        <v>Aksesoris</v>
      </c>
      <c r="L3402" s="5" t="s">
        <v>471</v>
      </c>
    </row>
    <row r="3403" spans="1:12" ht="12" customHeight="1" x14ac:dyDescent="0.25">
      <c r="A3403" s="6">
        <v>44623</v>
      </c>
      <c r="B3403" s="1">
        <v>2201160</v>
      </c>
      <c r="C3403" s="5" t="s">
        <v>419</v>
      </c>
      <c r="D3403" s="5" t="str">
        <f>VLOOKUP(C3403,[1]master_data!$A$2:$E$495,2,FALSE)</f>
        <v>KURA - KURA</v>
      </c>
      <c r="E3403" s="5">
        <v>10</v>
      </c>
      <c r="F3403" s="5">
        <f>VLOOKUP(C3403,[1]master_data!$A$2:$E$495,3,FALSE)</f>
        <v>25000</v>
      </c>
      <c r="G3403" s="5">
        <f>VLOOKUP(C3403,[1]master_data!$A$2:$E$495,4,FALSE)</f>
        <v>35000</v>
      </c>
      <c r="H3403" s="5">
        <f t="shared" si="165"/>
        <v>250000</v>
      </c>
      <c r="I3403" s="5">
        <f t="shared" si="166"/>
        <v>350000</v>
      </c>
      <c r="J3403" s="5">
        <f t="shared" si="167"/>
        <v>100000</v>
      </c>
      <c r="K3403" s="5" t="str">
        <f>VLOOKUP(C3403,[1]master_data!$A$2:$E$495,5,FALSE)</f>
        <v>Ikan</v>
      </c>
      <c r="L3403" s="5" t="s">
        <v>471</v>
      </c>
    </row>
    <row r="3404" spans="1:12" ht="12" customHeight="1" x14ac:dyDescent="0.25">
      <c r="A3404" s="6">
        <v>44623</v>
      </c>
      <c r="B3404" s="1">
        <v>2201159</v>
      </c>
      <c r="C3404" s="5" t="s">
        <v>405</v>
      </c>
      <c r="D3404" s="5" t="str">
        <f>VLOOKUP(C3404,[1]master_data!$A$2:$E$495,2,FALSE)</f>
        <v>KOMET BOKIM</v>
      </c>
      <c r="E3404" s="5">
        <v>10</v>
      </c>
      <c r="F3404" s="5">
        <f>VLOOKUP(C3404,[1]master_data!$A$2:$E$495,3,FALSE)</f>
        <v>1500</v>
      </c>
      <c r="G3404" s="5">
        <f>VLOOKUP(C3404,[1]master_data!$A$2:$E$495,4,FALSE)</f>
        <v>5000</v>
      </c>
      <c r="H3404" s="5">
        <f t="shared" si="165"/>
        <v>15000</v>
      </c>
      <c r="I3404" s="5">
        <f t="shared" si="166"/>
        <v>50000</v>
      </c>
      <c r="J3404" s="5">
        <f t="shared" si="167"/>
        <v>35000</v>
      </c>
      <c r="K3404" s="5" t="str">
        <f>VLOOKUP(C3404,[1]master_data!$A$2:$E$495,5,FALSE)</f>
        <v>Ikan</v>
      </c>
      <c r="L3404" s="5" t="s">
        <v>471</v>
      </c>
    </row>
    <row r="3405" spans="1:12" ht="12" customHeight="1" x14ac:dyDescent="0.25">
      <c r="A3405" s="6">
        <v>44623</v>
      </c>
      <c r="B3405" s="1">
        <v>2201158</v>
      </c>
      <c r="C3405" s="5" t="s">
        <v>402</v>
      </c>
      <c r="D3405" s="5" t="str">
        <f>VLOOKUP(C3405,[1]master_data!$A$2:$E$495,2,FALSE)</f>
        <v>BLACK GHOST</v>
      </c>
      <c r="E3405" s="5">
        <v>2</v>
      </c>
      <c r="F3405" s="5">
        <f>VLOOKUP(C3405,[1]master_data!$A$2:$E$495,3,FALSE)</f>
        <v>4000</v>
      </c>
      <c r="G3405" s="5">
        <f>VLOOKUP(C3405,[1]master_data!$A$2:$E$495,4,FALSE)</f>
        <v>10000</v>
      </c>
      <c r="H3405" s="5">
        <f t="shared" si="165"/>
        <v>8000</v>
      </c>
      <c r="I3405" s="5">
        <f t="shared" si="166"/>
        <v>20000</v>
      </c>
      <c r="J3405" s="5">
        <f t="shared" si="167"/>
        <v>12000</v>
      </c>
      <c r="K3405" s="5" t="str">
        <f>VLOOKUP(C3405,[1]master_data!$A$2:$E$495,5,FALSE)</f>
        <v>Ikan</v>
      </c>
      <c r="L3405" s="5" t="s">
        <v>471</v>
      </c>
    </row>
    <row r="3406" spans="1:12" ht="12" customHeight="1" x14ac:dyDescent="0.25">
      <c r="A3406" s="6">
        <v>44623</v>
      </c>
      <c r="B3406" s="1">
        <v>2201157</v>
      </c>
      <c r="C3406" s="5" t="s">
        <v>446</v>
      </c>
      <c r="D3406" s="5" t="str">
        <f>VLOOKUP(C3406,[1]master_data!$A$2:$E$495,2,FALSE)</f>
        <v>REDFIN HITAM</v>
      </c>
      <c r="E3406" s="5">
        <v>2</v>
      </c>
      <c r="F3406" s="5">
        <f>VLOOKUP(C3406,[1]master_data!$A$2:$E$495,3,FALSE)</f>
        <v>1500</v>
      </c>
      <c r="G3406" s="5">
        <f>VLOOKUP(C3406,[1]master_data!$A$2:$E$495,4,FALSE)</f>
        <v>4000</v>
      </c>
      <c r="H3406" s="5">
        <f t="shared" si="165"/>
        <v>3000</v>
      </c>
      <c r="I3406" s="5">
        <f t="shared" si="166"/>
        <v>8000</v>
      </c>
      <c r="J3406" s="5">
        <f t="shared" si="167"/>
        <v>5000</v>
      </c>
      <c r="K3406" s="5" t="str">
        <f>VLOOKUP(C3406,[1]master_data!$A$2:$E$495,5,FALSE)</f>
        <v>Ikan</v>
      </c>
      <c r="L3406" s="5" t="s">
        <v>471</v>
      </c>
    </row>
    <row r="3407" spans="1:12" ht="12" customHeight="1" x14ac:dyDescent="0.25">
      <c r="A3407" s="6">
        <v>44623</v>
      </c>
      <c r="B3407" s="1">
        <v>2201156</v>
      </c>
      <c r="C3407" s="5" t="s">
        <v>447</v>
      </c>
      <c r="D3407" s="5" t="str">
        <f>VLOOKUP(C3407,[1]master_data!$A$2:$E$495,2,FALSE)</f>
        <v>REDFIN ALBINO</v>
      </c>
      <c r="E3407" s="5">
        <v>2</v>
      </c>
      <c r="F3407" s="5">
        <f>VLOOKUP(C3407,[1]master_data!$A$2:$E$495,3,FALSE)</f>
        <v>1500</v>
      </c>
      <c r="G3407" s="5">
        <f>VLOOKUP(C3407,[1]master_data!$A$2:$E$495,4,FALSE)</f>
        <v>4000</v>
      </c>
      <c r="H3407" s="5">
        <f t="shared" si="165"/>
        <v>3000</v>
      </c>
      <c r="I3407" s="5">
        <f t="shared" si="166"/>
        <v>8000</v>
      </c>
      <c r="J3407" s="5">
        <f t="shared" si="167"/>
        <v>5000</v>
      </c>
      <c r="K3407" s="5" t="str">
        <f>VLOOKUP(C3407,[1]master_data!$A$2:$E$495,5,FALSE)</f>
        <v>Ikan</v>
      </c>
      <c r="L3407" s="5" t="s">
        <v>471</v>
      </c>
    </row>
    <row r="3408" spans="1:12" ht="12" customHeight="1" x14ac:dyDescent="0.25">
      <c r="A3408" s="6">
        <v>44623</v>
      </c>
      <c r="B3408" s="1">
        <v>2201155</v>
      </c>
      <c r="C3408" s="5" t="s">
        <v>462</v>
      </c>
      <c r="D3408" s="5" t="str">
        <f>VLOOKUP(C3408,[1]master_data!$A$2:$E$495,2,FALSE)</f>
        <v>SEPAT ALBINO</v>
      </c>
      <c r="E3408" s="5">
        <v>2</v>
      </c>
      <c r="F3408" s="5">
        <f>VLOOKUP(C3408,[1]master_data!$A$2:$E$495,3,FALSE)</f>
        <v>2000</v>
      </c>
      <c r="G3408" s="5">
        <f>VLOOKUP(C3408,[1]master_data!$A$2:$E$495,4,FALSE)</f>
        <v>5000</v>
      </c>
      <c r="H3408" s="5">
        <f t="shared" si="165"/>
        <v>4000</v>
      </c>
      <c r="I3408" s="5">
        <f t="shared" si="166"/>
        <v>10000</v>
      </c>
      <c r="J3408" s="5">
        <f t="shared" si="167"/>
        <v>6000</v>
      </c>
      <c r="K3408" s="5" t="str">
        <f>VLOOKUP(C3408,[1]master_data!$A$2:$E$495,5,FALSE)</f>
        <v>Ikan</v>
      </c>
      <c r="L3408" s="5" t="s">
        <v>471</v>
      </c>
    </row>
    <row r="3409" spans="1:12" ht="12" customHeight="1" x14ac:dyDescent="0.25">
      <c r="A3409" s="6">
        <v>44623</v>
      </c>
      <c r="B3409" s="1">
        <v>2201154</v>
      </c>
      <c r="C3409" s="5" t="s">
        <v>312</v>
      </c>
      <c r="D3409" s="5" t="str">
        <f>VLOOKUP(C3409,[1]master_data!$A$2:$E$495,2,FALSE)</f>
        <v>T PIPA</v>
      </c>
      <c r="E3409" s="5">
        <v>30</v>
      </c>
      <c r="F3409" s="5">
        <f>VLOOKUP(C3409,[1]master_data!$A$2:$E$495,3,FALSE)</f>
        <v>800</v>
      </c>
      <c r="G3409" s="5">
        <f>VLOOKUP(C3409,[1]master_data!$A$2:$E$495,4,FALSE)</f>
        <v>2000</v>
      </c>
      <c r="H3409" s="5">
        <f t="shared" si="165"/>
        <v>24000</v>
      </c>
      <c r="I3409" s="5">
        <f t="shared" si="166"/>
        <v>60000</v>
      </c>
      <c r="J3409" s="5">
        <f t="shared" si="167"/>
        <v>36000</v>
      </c>
      <c r="K3409" s="5" t="str">
        <f>VLOOKUP(C3409,[1]master_data!$A$2:$E$495,5,FALSE)</f>
        <v>Aksesoris</v>
      </c>
      <c r="L3409" s="5" t="s">
        <v>471</v>
      </c>
    </row>
    <row r="3410" spans="1:12" ht="12" customHeight="1" x14ac:dyDescent="0.25">
      <c r="A3410" s="6">
        <v>44623</v>
      </c>
      <c r="B3410" s="1">
        <v>2201153</v>
      </c>
      <c r="C3410" s="5" t="s">
        <v>413</v>
      </c>
      <c r="D3410" s="5" t="str">
        <f>VLOOKUP(C3410,[1]master_data!$A$2:$E$495,2,FALSE)</f>
        <v>KOKI K</v>
      </c>
      <c r="E3410" s="5">
        <v>3</v>
      </c>
      <c r="F3410" s="5">
        <f>VLOOKUP(C3410,[1]master_data!$A$2:$E$495,3,FALSE)</f>
        <v>3500</v>
      </c>
      <c r="G3410" s="5">
        <f>VLOOKUP(C3410,[1]master_data!$A$2:$E$495,4,FALSE)</f>
        <v>10000</v>
      </c>
      <c r="H3410" s="5">
        <f t="shared" si="165"/>
        <v>10500</v>
      </c>
      <c r="I3410" s="5">
        <f t="shared" si="166"/>
        <v>30000</v>
      </c>
      <c r="J3410" s="5">
        <f t="shared" si="167"/>
        <v>19500</v>
      </c>
      <c r="K3410" s="5" t="str">
        <f>VLOOKUP(C3410,[1]master_data!$A$2:$E$495,5,FALSE)</f>
        <v>Ikan</v>
      </c>
      <c r="L3410" s="5" t="s">
        <v>471</v>
      </c>
    </row>
    <row r="3411" spans="1:12" ht="12" customHeight="1" x14ac:dyDescent="0.25">
      <c r="A3411" s="6">
        <v>44623</v>
      </c>
      <c r="B3411" s="1">
        <v>2201152</v>
      </c>
      <c r="C3411" s="5" t="s">
        <v>439</v>
      </c>
      <c r="D3411" s="5" t="str">
        <f>VLOOKUP(C3411,[1]master_data!$A$2:$E$495,2,FALSE)</f>
        <v>NEON</v>
      </c>
      <c r="E3411" s="5">
        <v>5</v>
      </c>
      <c r="F3411" s="5">
        <f>VLOOKUP(C3411,[1]master_data!$A$2:$E$495,3,FALSE)</f>
        <v>1250</v>
      </c>
      <c r="G3411" s="5">
        <f>VLOOKUP(C3411,[1]master_data!$A$2:$E$495,4,FALSE)</f>
        <v>5000</v>
      </c>
      <c r="H3411" s="5">
        <f t="shared" si="165"/>
        <v>6250</v>
      </c>
      <c r="I3411" s="5">
        <f t="shared" si="166"/>
        <v>25000</v>
      </c>
      <c r="J3411" s="5">
        <f t="shared" si="167"/>
        <v>18750</v>
      </c>
      <c r="K3411" s="5" t="str">
        <f>VLOOKUP(C3411,[1]master_data!$A$2:$E$495,5,FALSE)</f>
        <v>Ikan</v>
      </c>
      <c r="L3411" s="5" t="s">
        <v>471</v>
      </c>
    </row>
    <row r="3412" spans="1:12" ht="12" customHeight="1" x14ac:dyDescent="0.25">
      <c r="A3412" s="6">
        <v>44622</v>
      </c>
      <c r="B3412" s="1">
        <v>2201151</v>
      </c>
      <c r="C3412" s="5" t="s">
        <v>409</v>
      </c>
      <c r="D3412" s="5" t="str">
        <f>VLOOKUP(C3412,[1]master_data!$A$2:$E$495,2,FALSE)</f>
        <v>GOLD FISH</v>
      </c>
      <c r="E3412" s="5">
        <v>20</v>
      </c>
      <c r="F3412" s="5">
        <f>VLOOKUP(C3412,[1]master_data!$A$2:$E$495,3,FALSE)</f>
        <v>800</v>
      </c>
      <c r="G3412" s="5">
        <f>VLOOKUP(C3412,[1]master_data!$A$2:$E$495,4,FALSE)</f>
        <v>2000</v>
      </c>
      <c r="H3412" s="5">
        <f t="shared" si="165"/>
        <v>16000</v>
      </c>
      <c r="I3412" s="5">
        <f t="shared" si="166"/>
        <v>40000</v>
      </c>
      <c r="J3412" s="5">
        <f t="shared" si="167"/>
        <v>24000</v>
      </c>
      <c r="K3412" s="5" t="str">
        <f>VLOOKUP(C3412,[1]master_data!$A$2:$E$495,5,FALSE)</f>
        <v>Ikan</v>
      </c>
      <c r="L3412" s="5" t="s">
        <v>471</v>
      </c>
    </row>
    <row r="3413" spans="1:12" ht="12" customHeight="1" x14ac:dyDescent="0.25">
      <c r="A3413" s="6">
        <v>44622</v>
      </c>
      <c r="B3413" s="1">
        <v>2201150</v>
      </c>
      <c r="C3413" s="5" t="s">
        <v>126</v>
      </c>
      <c r="D3413" s="5" t="str">
        <f>VLOOKUP(C3413,[1]master_data!$A$2:$E$495,2,FALSE)</f>
        <v>LAMPU YAMANO UV 11W</v>
      </c>
      <c r="E3413" s="5">
        <v>1</v>
      </c>
      <c r="F3413" s="5">
        <f>VLOOKUP(C3413,[1]master_data!$A$2:$E$495,3,FALSE)</f>
        <v>69000</v>
      </c>
      <c r="G3413" s="5">
        <f>VLOOKUP(C3413,[1]master_data!$A$2:$E$495,4,FALSE)</f>
        <v>85000</v>
      </c>
      <c r="H3413" s="5">
        <f t="shared" si="165"/>
        <v>69000</v>
      </c>
      <c r="I3413" s="5">
        <f t="shared" si="166"/>
        <v>85000</v>
      </c>
      <c r="J3413" s="5">
        <f t="shared" si="167"/>
        <v>16000</v>
      </c>
      <c r="K3413" s="5" t="str">
        <f>VLOOKUP(C3413,[1]master_data!$A$2:$E$495,5,FALSE)</f>
        <v>Aksesoris</v>
      </c>
      <c r="L3413" s="5" t="s">
        <v>471</v>
      </c>
    </row>
    <row r="3414" spans="1:12" ht="12" customHeight="1" x14ac:dyDescent="0.25">
      <c r="A3414" s="6">
        <v>44622</v>
      </c>
      <c r="B3414" s="1">
        <v>2201149</v>
      </c>
      <c r="C3414" s="5" t="s">
        <v>38</v>
      </c>
      <c r="D3414" s="5" t="str">
        <f>VLOOKUP(C3414,[1]master_data!$A$2:$E$495,2,FALSE)</f>
        <v>MESIN YAMANO 105</v>
      </c>
      <c r="E3414" s="5">
        <v>1</v>
      </c>
      <c r="F3414" s="5">
        <f>VLOOKUP(C3414,[1]master_data!$A$2:$E$495,3,FALSE)</f>
        <v>125000</v>
      </c>
      <c r="G3414" s="5">
        <f>VLOOKUP(C3414,[1]master_data!$A$2:$E$495,4,FALSE)</f>
        <v>160000</v>
      </c>
      <c r="H3414" s="5">
        <f t="shared" si="165"/>
        <v>125000</v>
      </c>
      <c r="I3414" s="5">
        <f t="shared" si="166"/>
        <v>160000</v>
      </c>
      <c r="J3414" s="5">
        <f t="shared" si="167"/>
        <v>35000</v>
      </c>
      <c r="K3414" s="5" t="str">
        <f>VLOOKUP(C3414,[1]master_data!$A$2:$E$495,5,FALSE)</f>
        <v>Aksesoris</v>
      </c>
      <c r="L3414" s="5" t="s">
        <v>471</v>
      </c>
    </row>
    <row r="3415" spans="1:12" ht="12" customHeight="1" x14ac:dyDescent="0.25">
      <c r="A3415" s="6">
        <v>44622</v>
      </c>
      <c r="B3415" s="1">
        <v>2201148</v>
      </c>
      <c r="C3415" s="5" t="s">
        <v>399</v>
      </c>
      <c r="D3415" s="5" t="str">
        <f>VLOOKUP(C3415,[1]master_data!$A$2:$E$495,2,FALSE)</f>
        <v>BUENOS AIRES TETRA</v>
      </c>
      <c r="E3415" s="5">
        <v>10</v>
      </c>
      <c r="F3415" s="5">
        <f>VLOOKUP(C3415,[1]master_data!$A$2:$E$495,3,FALSE)</f>
        <v>800</v>
      </c>
      <c r="G3415" s="5">
        <f>VLOOKUP(C3415,[1]master_data!$A$2:$E$495,4,FALSE)</f>
        <v>2000</v>
      </c>
      <c r="H3415" s="5">
        <f t="shared" si="165"/>
        <v>8000</v>
      </c>
      <c r="I3415" s="5">
        <f t="shared" si="166"/>
        <v>20000</v>
      </c>
      <c r="J3415" s="5">
        <f t="shared" si="167"/>
        <v>12000</v>
      </c>
      <c r="K3415" s="5" t="str">
        <f>VLOOKUP(C3415,[1]master_data!$A$2:$E$495,5,FALSE)</f>
        <v>Ikan</v>
      </c>
      <c r="L3415" s="5" t="s">
        <v>471</v>
      </c>
    </row>
    <row r="3416" spans="1:12" ht="12" customHeight="1" x14ac:dyDescent="0.25">
      <c r="A3416" s="6">
        <v>44622</v>
      </c>
      <c r="B3416" s="1">
        <v>2201147</v>
      </c>
      <c r="C3416" s="5" t="s">
        <v>443</v>
      </c>
      <c r="D3416" s="5" t="str">
        <f>VLOOKUP(C3416,[1]master_data!$A$2:$E$495,2,FALSE)</f>
        <v>PALMAS</v>
      </c>
      <c r="E3416" s="5">
        <v>1</v>
      </c>
      <c r="F3416" s="5">
        <f>VLOOKUP(C3416,[1]master_data!$A$2:$E$495,3,FALSE)</f>
        <v>10000</v>
      </c>
      <c r="G3416" s="5">
        <f>VLOOKUP(C3416,[1]master_data!$A$2:$E$495,4,FALSE)</f>
        <v>25000</v>
      </c>
      <c r="H3416" s="5">
        <f t="shared" si="165"/>
        <v>10000</v>
      </c>
      <c r="I3416" s="5">
        <f t="shared" si="166"/>
        <v>25000</v>
      </c>
      <c r="J3416" s="5">
        <f t="shared" si="167"/>
        <v>15000</v>
      </c>
      <c r="K3416" s="5" t="str">
        <f>VLOOKUP(C3416,[1]master_data!$A$2:$E$495,5,FALSE)</f>
        <v>Ikan</v>
      </c>
      <c r="L3416" s="5" t="s">
        <v>471</v>
      </c>
    </row>
    <row r="3417" spans="1:12" ht="12" customHeight="1" x14ac:dyDescent="0.25">
      <c r="A3417" s="6">
        <v>44622</v>
      </c>
      <c r="B3417" s="1">
        <v>2201146</v>
      </c>
      <c r="C3417" s="5" t="s">
        <v>456</v>
      </c>
      <c r="D3417" s="5" t="str">
        <f>VLOOKUP(C3417,[1]master_data!$A$2:$E$495,2,FALSE)</f>
        <v>TOMAN</v>
      </c>
      <c r="E3417" s="5">
        <v>2</v>
      </c>
      <c r="F3417" s="5">
        <f>VLOOKUP(C3417,[1]master_data!$A$2:$E$495,3,FALSE)</f>
        <v>10000</v>
      </c>
      <c r="G3417" s="5">
        <f>VLOOKUP(C3417,[1]master_data!$A$2:$E$495,4,FALSE)</f>
        <v>25000</v>
      </c>
      <c r="H3417" s="5">
        <f t="shared" si="165"/>
        <v>20000</v>
      </c>
      <c r="I3417" s="5">
        <f t="shared" si="166"/>
        <v>50000</v>
      </c>
      <c r="J3417" s="5">
        <f t="shared" si="167"/>
        <v>30000</v>
      </c>
      <c r="K3417" s="5" t="str">
        <f>VLOOKUP(C3417,[1]master_data!$A$2:$E$495,5,FALSE)</f>
        <v>Ikan</v>
      </c>
      <c r="L3417" s="5" t="s">
        <v>471</v>
      </c>
    </row>
    <row r="3418" spans="1:12" ht="12" customHeight="1" x14ac:dyDescent="0.25">
      <c r="A3418" s="6">
        <v>44622</v>
      </c>
      <c r="B3418" s="1">
        <v>2201145</v>
      </c>
      <c r="C3418" s="5" t="s">
        <v>413</v>
      </c>
      <c r="D3418" s="5" t="str">
        <f>VLOOKUP(C3418,[1]master_data!$A$2:$E$495,2,FALSE)</f>
        <v>KOKI K</v>
      </c>
      <c r="E3418" s="5">
        <v>4</v>
      </c>
      <c r="F3418" s="5">
        <f>VLOOKUP(C3418,[1]master_data!$A$2:$E$495,3,FALSE)</f>
        <v>3500</v>
      </c>
      <c r="G3418" s="5">
        <f>VLOOKUP(C3418,[1]master_data!$A$2:$E$495,4,FALSE)</f>
        <v>10000</v>
      </c>
      <c r="H3418" s="5">
        <f t="shared" si="165"/>
        <v>14000</v>
      </c>
      <c r="I3418" s="5">
        <f t="shared" si="166"/>
        <v>40000</v>
      </c>
      <c r="J3418" s="5">
        <f t="shared" si="167"/>
        <v>26000</v>
      </c>
      <c r="K3418" s="5" t="str">
        <f>VLOOKUP(C3418,[1]master_data!$A$2:$E$495,5,FALSE)</f>
        <v>Ikan</v>
      </c>
      <c r="L3418" s="5" t="s">
        <v>471</v>
      </c>
    </row>
    <row r="3419" spans="1:12" ht="12" customHeight="1" x14ac:dyDescent="0.25">
      <c r="A3419" s="6">
        <v>44622</v>
      </c>
      <c r="B3419" s="1">
        <v>2201144</v>
      </c>
      <c r="C3419" s="5" t="s">
        <v>285</v>
      </c>
      <c r="D3419" s="5" t="str">
        <f>VLOOKUP(C3419,[1]master_data!$A$2:$E$495,2,FALSE)</f>
        <v>KAPAS 4 LAPIS</v>
      </c>
      <c r="E3419" s="5">
        <v>1</v>
      </c>
      <c r="F3419" s="5">
        <f>VLOOKUP(C3419,[1]master_data!$A$2:$E$495,3,FALSE)</f>
        <v>6500</v>
      </c>
      <c r="G3419" s="5">
        <f>VLOOKUP(C3419,[1]master_data!$A$2:$E$495,4,FALSE)</f>
        <v>10000</v>
      </c>
      <c r="H3419" s="5">
        <f t="shared" si="165"/>
        <v>6500</v>
      </c>
      <c r="I3419" s="5">
        <f t="shared" si="166"/>
        <v>10000</v>
      </c>
      <c r="J3419" s="5">
        <f t="shared" si="167"/>
        <v>3500</v>
      </c>
      <c r="K3419" s="5" t="str">
        <f>VLOOKUP(C3419,[1]master_data!$A$2:$E$495,5,FALSE)</f>
        <v>Aksesoris</v>
      </c>
      <c r="L3419" s="5" t="s">
        <v>471</v>
      </c>
    </row>
    <row r="3420" spans="1:12" ht="12" customHeight="1" x14ac:dyDescent="0.25">
      <c r="A3420" s="6">
        <v>44622</v>
      </c>
      <c r="B3420" s="1">
        <v>2201143</v>
      </c>
      <c r="C3420" s="5" t="s">
        <v>451</v>
      </c>
      <c r="D3420" s="5" t="str">
        <f>VLOOKUP(C3420,[1]master_data!$A$2:$E$495,2,FALSE)</f>
        <v>SUMATRA GOLD FISH</v>
      </c>
      <c r="E3420" s="5">
        <v>5</v>
      </c>
      <c r="F3420" s="5">
        <f>VLOOKUP(C3420,[1]master_data!$A$2:$E$495,3,FALSE)</f>
        <v>2500</v>
      </c>
      <c r="G3420" s="5">
        <f>VLOOKUP(C3420,[1]master_data!$A$2:$E$495,4,FALSE)</f>
        <v>4000</v>
      </c>
      <c r="H3420" s="5">
        <f t="shared" si="165"/>
        <v>12500</v>
      </c>
      <c r="I3420" s="5">
        <f t="shared" si="166"/>
        <v>20000</v>
      </c>
      <c r="J3420" s="5">
        <f t="shared" si="167"/>
        <v>7500</v>
      </c>
      <c r="K3420" s="5" t="str">
        <f>VLOOKUP(C3420,[1]master_data!$A$2:$E$495,5,FALSE)</f>
        <v>Ikan</v>
      </c>
      <c r="L3420" s="5" t="s">
        <v>471</v>
      </c>
    </row>
    <row r="3421" spans="1:12" ht="12" customHeight="1" x14ac:dyDescent="0.25">
      <c r="A3421" s="6">
        <v>44622</v>
      </c>
      <c r="B3421" s="1">
        <v>2201142</v>
      </c>
      <c r="C3421" s="5" t="s">
        <v>432</v>
      </c>
      <c r="D3421" s="5" t="str">
        <f>VLOOKUP(C3421,[1]master_data!$A$2:$E$495,2,FALSE)</f>
        <v>MARU K</v>
      </c>
      <c r="E3421" s="5">
        <v>3</v>
      </c>
      <c r="F3421" s="5">
        <f>VLOOKUP(C3421,[1]master_data!$A$2:$E$495,3,FALSE)</f>
        <v>23000</v>
      </c>
      <c r="G3421" s="5">
        <f>VLOOKUP(C3421,[1]master_data!$A$2:$E$495,4,FALSE)</f>
        <v>50000</v>
      </c>
      <c r="H3421" s="5">
        <f t="shared" si="165"/>
        <v>69000</v>
      </c>
      <c r="I3421" s="5">
        <f t="shared" si="166"/>
        <v>150000</v>
      </c>
      <c r="J3421" s="5">
        <f t="shared" si="167"/>
        <v>81000</v>
      </c>
      <c r="K3421" s="5" t="str">
        <f>VLOOKUP(C3421,[1]master_data!$A$2:$E$495,5,FALSE)</f>
        <v>Ikan</v>
      </c>
      <c r="L3421" s="5" t="s">
        <v>471</v>
      </c>
    </row>
    <row r="3422" spans="1:12" ht="12" customHeight="1" x14ac:dyDescent="0.25">
      <c r="A3422" s="6">
        <v>44622</v>
      </c>
      <c r="B3422" s="1">
        <v>2201141</v>
      </c>
      <c r="C3422" s="5" t="s">
        <v>415</v>
      </c>
      <c r="D3422" s="5" t="str">
        <f>VLOOKUP(C3422,[1]master_data!$A$2:$E$495,2,FALSE)</f>
        <v>KOKI B</v>
      </c>
      <c r="E3422" s="5">
        <v>2</v>
      </c>
      <c r="F3422" s="5">
        <f>VLOOKUP(C3422,[1]master_data!$A$2:$E$495,3,FALSE)</f>
        <v>20000</v>
      </c>
      <c r="G3422" s="5">
        <f>VLOOKUP(C3422,[1]master_data!$A$2:$E$495,4,FALSE)</f>
        <v>50000</v>
      </c>
      <c r="H3422" s="5">
        <f t="shared" si="165"/>
        <v>40000</v>
      </c>
      <c r="I3422" s="5">
        <f t="shared" si="166"/>
        <v>100000</v>
      </c>
      <c r="J3422" s="5">
        <f t="shared" si="167"/>
        <v>60000</v>
      </c>
      <c r="K3422" s="5" t="str">
        <f>VLOOKUP(C3422,[1]master_data!$A$2:$E$495,5,FALSE)</f>
        <v>Ikan</v>
      </c>
      <c r="L3422" s="5" t="s">
        <v>471</v>
      </c>
    </row>
    <row r="3423" spans="1:12" ht="12" customHeight="1" x14ac:dyDescent="0.25">
      <c r="A3423" s="6">
        <v>44622</v>
      </c>
      <c r="B3423" s="1">
        <v>2201140</v>
      </c>
      <c r="C3423" s="5" t="s">
        <v>434</v>
      </c>
      <c r="D3423" s="5" t="str">
        <f>VLOOKUP(C3423,[1]master_data!$A$2:$E$495,2,FALSE)</f>
        <v>MOLI PAKAN</v>
      </c>
      <c r="E3423" s="5">
        <v>100</v>
      </c>
      <c r="F3423" s="5">
        <f>VLOOKUP(C3423,[1]master_data!$A$2:$E$495,3,FALSE)</f>
        <v>100</v>
      </c>
      <c r="G3423" s="5">
        <f>VLOOKUP(C3423,[1]master_data!$A$2:$E$495,4,FALSE)</f>
        <v>200</v>
      </c>
      <c r="H3423" s="5">
        <f t="shared" si="165"/>
        <v>10000</v>
      </c>
      <c r="I3423" s="5">
        <f t="shared" si="166"/>
        <v>20000</v>
      </c>
      <c r="J3423" s="5">
        <f t="shared" si="167"/>
        <v>10000</v>
      </c>
      <c r="K3423" s="5" t="str">
        <f>VLOOKUP(C3423,[1]master_data!$A$2:$E$495,5,FALSE)</f>
        <v>Ikan</v>
      </c>
      <c r="L3423" s="5" t="s">
        <v>471</v>
      </c>
    </row>
    <row r="3424" spans="1:12" ht="12" customHeight="1" x14ac:dyDescent="0.25">
      <c r="A3424" s="6">
        <v>44622</v>
      </c>
      <c r="B3424" s="1">
        <v>2201139</v>
      </c>
      <c r="C3424" s="5" t="s">
        <v>445</v>
      </c>
      <c r="D3424" s="5" t="str">
        <f>VLOOKUP(C3424,[1]master_data!$A$2:$E$495,2,FALSE)</f>
        <v>PESO</v>
      </c>
      <c r="E3424" s="5">
        <v>1</v>
      </c>
      <c r="F3424" s="5">
        <f>VLOOKUP(C3424,[1]master_data!$A$2:$E$495,3,FALSE)</f>
        <v>19000</v>
      </c>
      <c r="G3424" s="5">
        <f>VLOOKUP(C3424,[1]master_data!$A$2:$E$495,4,FALSE)</f>
        <v>40000</v>
      </c>
      <c r="H3424" s="5">
        <f t="shared" si="165"/>
        <v>19000</v>
      </c>
      <c r="I3424" s="5">
        <f t="shared" si="166"/>
        <v>40000</v>
      </c>
      <c r="J3424" s="5">
        <f t="shared" si="167"/>
        <v>21000</v>
      </c>
      <c r="K3424" s="5" t="str">
        <f>VLOOKUP(C3424,[1]master_data!$A$2:$E$495,5,FALSE)</f>
        <v>Ikan</v>
      </c>
      <c r="L3424" s="5" t="s">
        <v>471</v>
      </c>
    </row>
    <row r="3425" spans="1:12" ht="12" customHeight="1" x14ac:dyDescent="0.25">
      <c r="A3425" s="6">
        <v>44622</v>
      </c>
      <c r="B3425" s="1">
        <v>2201138</v>
      </c>
      <c r="C3425" s="5" t="s">
        <v>255</v>
      </c>
      <c r="D3425" s="5" t="str">
        <f>VLOOKUP(C3425,[1]master_data!$A$2:$E$495,2,FALSE)</f>
        <v>ACRIPLAVIN</v>
      </c>
      <c r="E3425" s="5">
        <v>1</v>
      </c>
      <c r="F3425" s="5">
        <f>VLOOKUP(C3425,[1]master_data!$A$2:$E$495,3,FALSE)</f>
        <v>3000</v>
      </c>
      <c r="G3425" s="5">
        <f>VLOOKUP(C3425,[1]master_data!$A$2:$E$495,4,FALSE)</f>
        <v>8000</v>
      </c>
      <c r="H3425" s="5">
        <f t="shared" si="165"/>
        <v>3000</v>
      </c>
      <c r="I3425" s="5">
        <f t="shared" si="166"/>
        <v>8000</v>
      </c>
      <c r="J3425" s="5">
        <f t="shared" si="167"/>
        <v>5000</v>
      </c>
      <c r="K3425" s="5" t="str">
        <f>VLOOKUP(C3425,[1]master_data!$A$2:$E$495,5,FALSE)</f>
        <v>Aksesoris</v>
      </c>
      <c r="L3425" s="5" t="s">
        <v>471</v>
      </c>
    </row>
    <row r="3426" spans="1:12" ht="12" customHeight="1" x14ac:dyDescent="0.25">
      <c r="A3426" s="6">
        <v>44621</v>
      </c>
      <c r="B3426" s="1">
        <v>2201137</v>
      </c>
      <c r="C3426" s="5" t="s">
        <v>420</v>
      </c>
      <c r="D3426" s="5" t="str">
        <f>VLOOKUP(C3426,[1]master_data!$A$2:$E$495,2,FALSE)</f>
        <v>KAVIAT</v>
      </c>
      <c r="E3426" s="5">
        <v>3</v>
      </c>
      <c r="F3426" s="5">
        <f>VLOOKUP(C3426,[1]master_data!$A$2:$E$495,3,FALSE)</f>
        <v>3500</v>
      </c>
      <c r="G3426" s="5">
        <f>VLOOKUP(C3426,[1]master_data!$A$2:$E$495,4,FALSE)</f>
        <v>8000</v>
      </c>
      <c r="H3426" s="5">
        <f t="shared" si="165"/>
        <v>10500</v>
      </c>
      <c r="I3426" s="5">
        <f t="shared" si="166"/>
        <v>24000</v>
      </c>
      <c r="J3426" s="5">
        <f t="shared" si="167"/>
        <v>13500</v>
      </c>
      <c r="K3426" s="5" t="str">
        <f>VLOOKUP(C3426,[1]master_data!$A$2:$E$495,5,FALSE)</f>
        <v>Ikan</v>
      </c>
      <c r="L3426" s="5" t="s">
        <v>471</v>
      </c>
    </row>
    <row r="3427" spans="1:12" ht="12" customHeight="1" x14ac:dyDescent="0.25">
      <c r="A3427" s="6">
        <v>44621</v>
      </c>
      <c r="B3427" s="1">
        <v>2201136</v>
      </c>
      <c r="C3427" s="5" t="s">
        <v>383</v>
      </c>
      <c r="D3427" s="5" t="str">
        <f>VLOOKUP(C3427,[1]master_data!$A$2:$E$495,2,FALSE)</f>
        <v>BATU GOMBONG K</v>
      </c>
      <c r="E3427" s="5">
        <v>1</v>
      </c>
      <c r="F3427" s="5">
        <f>VLOOKUP(C3427,[1]master_data!$A$2:$E$495,3,FALSE)</f>
        <v>20000</v>
      </c>
      <c r="G3427" s="5">
        <f>VLOOKUP(C3427,[1]master_data!$A$2:$E$495,4,FALSE)</f>
        <v>40000</v>
      </c>
      <c r="H3427" s="5">
        <f t="shared" si="165"/>
        <v>20000</v>
      </c>
      <c r="I3427" s="5">
        <f t="shared" si="166"/>
        <v>40000</v>
      </c>
      <c r="J3427" s="5">
        <f t="shared" si="167"/>
        <v>20000</v>
      </c>
      <c r="K3427" s="5" t="str">
        <f>VLOOKUP(C3427,[1]master_data!$A$2:$E$495,5,FALSE)</f>
        <v>Aksesoris</v>
      </c>
      <c r="L3427" s="5" t="s">
        <v>471</v>
      </c>
    </row>
    <row r="3428" spans="1:12" ht="12" customHeight="1" x14ac:dyDescent="0.25">
      <c r="A3428" s="6">
        <v>44621</v>
      </c>
      <c r="B3428" s="1">
        <v>2201135</v>
      </c>
      <c r="C3428" s="5" t="s">
        <v>439</v>
      </c>
      <c r="D3428" s="5" t="str">
        <f>VLOOKUP(C3428,[1]master_data!$A$2:$E$495,2,FALSE)</f>
        <v>NEON</v>
      </c>
      <c r="E3428" s="5">
        <v>5</v>
      </c>
      <c r="F3428" s="5">
        <f>VLOOKUP(C3428,[1]master_data!$A$2:$E$495,3,FALSE)</f>
        <v>1250</v>
      </c>
      <c r="G3428" s="5">
        <f>VLOOKUP(C3428,[1]master_data!$A$2:$E$495,4,FALSE)</f>
        <v>5000</v>
      </c>
      <c r="H3428" s="5">
        <f t="shared" si="165"/>
        <v>6250</v>
      </c>
      <c r="I3428" s="5">
        <f t="shared" si="166"/>
        <v>25000</v>
      </c>
      <c r="J3428" s="5">
        <f t="shared" si="167"/>
        <v>18750</v>
      </c>
      <c r="K3428" s="5" t="str">
        <f>VLOOKUP(C3428,[1]master_data!$A$2:$E$495,5,FALSE)</f>
        <v>Ikan</v>
      </c>
      <c r="L3428" s="5" t="s">
        <v>471</v>
      </c>
    </row>
    <row r="3429" spans="1:12" ht="12" customHeight="1" x14ac:dyDescent="0.25">
      <c r="A3429" s="6">
        <v>44621</v>
      </c>
      <c r="B3429" s="1">
        <v>2201134</v>
      </c>
      <c r="C3429" s="5" t="s">
        <v>310</v>
      </c>
      <c r="D3429" s="5" t="str">
        <f>VLOOKUP(C3429,[1]master_data!$A$2:$E$495,2,FALSE)</f>
        <v>SELANG FUSO</v>
      </c>
      <c r="E3429" s="5">
        <v>10</v>
      </c>
      <c r="F3429" s="5">
        <f>VLOOKUP(C3429,[1]master_data!$A$2:$E$495,3,FALSE)</f>
        <v>800</v>
      </c>
      <c r="G3429" s="5">
        <f>VLOOKUP(C3429,[1]master_data!$A$2:$E$495,4,FALSE)</f>
        <v>2000</v>
      </c>
      <c r="H3429" s="5">
        <f t="shared" si="165"/>
        <v>8000</v>
      </c>
      <c r="I3429" s="5">
        <f t="shared" si="166"/>
        <v>20000</v>
      </c>
      <c r="J3429" s="5">
        <f t="shared" si="167"/>
        <v>12000</v>
      </c>
      <c r="K3429" s="5" t="str">
        <f>VLOOKUP(C3429,[1]master_data!$A$2:$E$495,5,FALSE)</f>
        <v>Aksesoris</v>
      </c>
      <c r="L3429" s="5" t="s">
        <v>471</v>
      </c>
    </row>
    <row r="3430" spans="1:12" ht="12" customHeight="1" x14ac:dyDescent="0.25">
      <c r="A3430" s="6">
        <v>44621</v>
      </c>
      <c r="B3430" s="1">
        <v>2201133</v>
      </c>
      <c r="C3430" s="5" t="s">
        <v>410</v>
      </c>
      <c r="D3430" s="5" t="str">
        <f>VLOOKUP(C3430,[1]master_data!$A$2:$E$495,2,FALSE)</f>
        <v>GUPY</v>
      </c>
      <c r="E3430" s="5">
        <v>6</v>
      </c>
      <c r="F3430" s="5">
        <f>VLOOKUP(C3430,[1]master_data!$A$2:$E$495,3,FALSE)</f>
        <v>1200</v>
      </c>
      <c r="G3430" s="5">
        <f>VLOOKUP(C3430,[1]master_data!$A$2:$E$495,4,FALSE)</f>
        <v>2500</v>
      </c>
      <c r="H3430" s="5">
        <f t="shared" si="165"/>
        <v>7200</v>
      </c>
      <c r="I3430" s="5">
        <f t="shared" si="166"/>
        <v>15000</v>
      </c>
      <c r="J3430" s="5">
        <f t="shared" si="167"/>
        <v>7800</v>
      </c>
      <c r="K3430" s="5" t="str">
        <f>VLOOKUP(C3430,[1]master_data!$A$2:$E$495,5,FALSE)</f>
        <v>Ikan</v>
      </c>
      <c r="L3430" s="5" t="s">
        <v>471</v>
      </c>
    </row>
    <row r="3431" spans="1:12" ht="12" customHeight="1" x14ac:dyDescent="0.25">
      <c r="A3431" s="6">
        <v>44621</v>
      </c>
      <c r="B3431" s="1">
        <v>2201132</v>
      </c>
      <c r="C3431" s="5" t="s">
        <v>463</v>
      </c>
      <c r="D3431" s="5" t="str">
        <f>VLOOKUP(C3431,[1]master_data!$A$2:$E$495,2,FALSE)</f>
        <v>CHANNA STEWARTI</v>
      </c>
      <c r="E3431" s="5">
        <v>4</v>
      </c>
      <c r="F3431" s="5">
        <f>VLOOKUP(C3431,[1]master_data!$A$2:$E$495,3,FALSE)</f>
        <v>15000</v>
      </c>
      <c r="G3431" s="5">
        <f>VLOOKUP(C3431,[1]master_data!$A$2:$E$495,4,FALSE)</f>
        <v>40000</v>
      </c>
      <c r="H3431" s="5">
        <f t="shared" si="165"/>
        <v>60000</v>
      </c>
      <c r="I3431" s="5">
        <f t="shared" si="166"/>
        <v>160000</v>
      </c>
      <c r="J3431" s="5">
        <f t="shared" si="167"/>
        <v>100000</v>
      </c>
      <c r="K3431" s="5" t="str">
        <f>VLOOKUP(C3431,[1]master_data!$A$2:$E$495,5,FALSE)</f>
        <v>Ikan</v>
      </c>
      <c r="L3431" s="5" t="s">
        <v>471</v>
      </c>
    </row>
    <row r="3432" spans="1:12" ht="12" customHeight="1" x14ac:dyDescent="0.25">
      <c r="A3432" s="6">
        <v>44621</v>
      </c>
      <c r="B3432" s="1">
        <v>2201131</v>
      </c>
      <c r="C3432" s="5" t="s">
        <v>233</v>
      </c>
      <c r="D3432" s="5" t="str">
        <f>VLOOKUP(C3432,[1]master_data!$A$2:$E$495,2,FALSE)</f>
        <v>FISH LOVE PAKAN</v>
      </c>
      <c r="E3432" s="5">
        <v>1</v>
      </c>
      <c r="F3432" s="5">
        <f>VLOOKUP(C3432,[1]master_data!$A$2:$E$495,3,FALSE)</f>
        <v>2500</v>
      </c>
      <c r="G3432" s="5">
        <f>VLOOKUP(C3432,[1]master_data!$A$2:$E$495,4,FALSE)</f>
        <v>5000</v>
      </c>
      <c r="H3432" s="5">
        <f t="shared" si="165"/>
        <v>2500</v>
      </c>
      <c r="I3432" s="5">
        <f t="shared" si="166"/>
        <v>5000</v>
      </c>
      <c r="J3432" s="5">
        <f t="shared" si="167"/>
        <v>2500</v>
      </c>
      <c r="K3432" s="5" t="str">
        <f>VLOOKUP(C3432,[1]master_data!$A$2:$E$495,5,FALSE)</f>
        <v>Aksesoris</v>
      </c>
      <c r="L3432" s="5" t="s">
        <v>471</v>
      </c>
    </row>
    <row r="3433" spans="1:12" ht="12" customHeight="1" x14ac:dyDescent="0.25">
      <c r="A3433" s="6">
        <v>44621</v>
      </c>
      <c r="B3433" s="1">
        <v>2201130</v>
      </c>
      <c r="C3433" s="5" t="s">
        <v>333</v>
      </c>
      <c r="D3433" s="5" t="str">
        <f>VLOOKUP(C3433,[1]master_data!$A$2:$E$495,2,FALSE)</f>
        <v>KAPAS 2 LAPIS</v>
      </c>
      <c r="E3433" s="5">
        <v>1</v>
      </c>
      <c r="F3433" s="5">
        <f>VLOOKUP(C3433,[1]master_data!$A$2:$E$495,3,FALSE)</f>
        <v>2000</v>
      </c>
      <c r="G3433" s="5">
        <f>VLOOKUP(C3433,[1]master_data!$A$2:$E$495,4,FALSE)</f>
        <v>4000</v>
      </c>
      <c r="H3433" s="5">
        <f t="shared" si="165"/>
        <v>2000</v>
      </c>
      <c r="I3433" s="5">
        <f t="shared" si="166"/>
        <v>4000</v>
      </c>
      <c r="J3433" s="5">
        <f t="shared" si="167"/>
        <v>2000</v>
      </c>
      <c r="K3433" s="5" t="str">
        <f>VLOOKUP(C3433,[1]master_data!$A$2:$E$495,5,FALSE)</f>
        <v>Aksesoris</v>
      </c>
      <c r="L3433" s="5" t="s">
        <v>471</v>
      </c>
    </row>
    <row r="3434" spans="1:12" ht="12" customHeight="1" x14ac:dyDescent="0.25">
      <c r="A3434" s="6">
        <v>44621</v>
      </c>
      <c r="B3434" s="1">
        <v>2201129</v>
      </c>
      <c r="C3434" s="5" t="s">
        <v>458</v>
      </c>
      <c r="D3434" s="5" t="str">
        <f>VLOOKUP(C3434,[1]master_data!$A$2:$E$495,2,FALSE)</f>
        <v>ZEBRA HIJAU</v>
      </c>
      <c r="E3434" s="5">
        <v>5</v>
      </c>
      <c r="F3434" s="5">
        <f>VLOOKUP(C3434,[1]master_data!$A$2:$E$495,3,FALSE)</f>
        <v>800</v>
      </c>
      <c r="G3434" s="5">
        <f>VLOOKUP(C3434,[1]master_data!$A$2:$E$495,4,FALSE)</f>
        <v>2000</v>
      </c>
      <c r="H3434" s="5">
        <f t="shared" si="165"/>
        <v>4000</v>
      </c>
      <c r="I3434" s="5">
        <f t="shared" si="166"/>
        <v>10000</v>
      </c>
      <c r="J3434" s="5">
        <f t="shared" si="167"/>
        <v>6000</v>
      </c>
      <c r="K3434" s="5" t="str">
        <f>VLOOKUP(C3434,[1]master_data!$A$2:$E$495,5,FALSE)</f>
        <v>Ikan</v>
      </c>
      <c r="L3434" s="5" t="s">
        <v>471</v>
      </c>
    </row>
    <row r="3435" spans="1:12" ht="12" customHeight="1" x14ac:dyDescent="0.25">
      <c r="A3435" s="6">
        <v>44621</v>
      </c>
      <c r="B3435" s="1">
        <v>2201128</v>
      </c>
      <c r="C3435" s="5" t="s">
        <v>19</v>
      </c>
      <c r="D3435" s="5" t="str">
        <f>VLOOKUP(C3435,[1]master_data!$A$2:$E$495,2,FALSE)</f>
        <v>MESIN ROSTON 1000 L</v>
      </c>
      <c r="E3435" s="5">
        <v>1</v>
      </c>
      <c r="F3435" s="5">
        <f>VLOOKUP(C3435,[1]master_data!$A$2:$E$495,3,FALSE)</f>
        <v>30000</v>
      </c>
      <c r="G3435" s="5">
        <f>VLOOKUP(C3435,[1]master_data!$A$2:$E$495,4,FALSE)</f>
        <v>45000</v>
      </c>
      <c r="H3435" s="5">
        <f t="shared" si="165"/>
        <v>30000</v>
      </c>
      <c r="I3435" s="5">
        <f t="shared" si="166"/>
        <v>45000</v>
      </c>
      <c r="J3435" s="5">
        <f t="shared" si="167"/>
        <v>15000</v>
      </c>
      <c r="K3435" s="5" t="str">
        <f>VLOOKUP(C3435,[1]master_data!$A$2:$E$495,5,FALSE)</f>
        <v>Aksesoris</v>
      </c>
      <c r="L3435" s="5" t="s">
        <v>471</v>
      </c>
    </row>
    <row r="3436" spans="1:12" ht="12" customHeight="1" x14ac:dyDescent="0.25">
      <c r="A3436" s="6">
        <v>44621</v>
      </c>
      <c r="B3436" s="1">
        <v>2201127</v>
      </c>
      <c r="C3436" s="5" t="s">
        <v>457</v>
      </c>
      <c r="D3436" s="5" t="str">
        <f>VLOOKUP(C3436,[1]master_data!$A$2:$E$495,2,FALSE)</f>
        <v>ZEBRA PINK</v>
      </c>
      <c r="E3436" s="5">
        <v>5</v>
      </c>
      <c r="F3436" s="5">
        <f>VLOOKUP(C3436,[1]master_data!$A$2:$E$495,3,FALSE)</f>
        <v>800</v>
      </c>
      <c r="G3436" s="5">
        <f>VLOOKUP(C3436,[1]master_data!$A$2:$E$495,4,FALSE)</f>
        <v>2000</v>
      </c>
      <c r="H3436" s="5">
        <f t="shared" si="165"/>
        <v>4000</v>
      </c>
      <c r="I3436" s="5">
        <f t="shared" si="166"/>
        <v>10000</v>
      </c>
      <c r="J3436" s="5">
        <f t="shared" si="167"/>
        <v>6000</v>
      </c>
      <c r="K3436" s="5" t="str">
        <f>VLOOKUP(C3436,[1]master_data!$A$2:$E$495,5,FALSE)</f>
        <v>Ikan</v>
      </c>
      <c r="L3436" s="5" t="s">
        <v>471</v>
      </c>
    </row>
    <row r="3437" spans="1:12" ht="12" customHeight="1" x14ac:dyDescent="0.25">
      <c r="A3437" s="6">
        <v>44621</v>
      </c>
      <c r="B3437" s="1">
        <v>2201126</v>
      </c>
      <c r="C3437" s="5" t="s">
        <v>407</v>
      </c>
      <c r="D3437" s="5" t="str">
        <f>VLOOKUP(C3437,[1]master_data!$A$2:$E$495,2,FALSE)</f>
        <v>CUPANG</v>
      </c>
      <c r="E3437" s="5">
        <v>4</v>
      </c>
      <c r="F3437" s="5">
        <f>VLOOKUP(C3437,[1]master_data!$A$2:$E$495,3,FALSE)</f>
        <v>2000</v>
      </c>
      <c r="G3437" s="5">
        <f>VLOOKUP(C3437,[1]master_data!$A$2:$E$495,4,FALSE)</f>
        <v>5000</v>
      </c>
      <c r="H3437" s="5">
        <f t="shared" si="165"/>
        <v>8000</v>
      </c>
      <c r="I3437" s="5">
        <f t="shared" si="166"/>
        <v>20000</v>
      </c>
      <c r="J3437" s="5">
        <f t="shared" si="167"/>
        <v>12000</v>
      </c>
      <c r="K3437" s="5" t="str">
        <f>VLOOKUP(C3437,[1]master_data!$A$2:$E$495,5,FALSE)</f>
        <v>Ikan</v>
      </c>
      <c r="L3437" s="5" t="s">
        <v>471</v>
      </c>
    </row>
    <row r="3438" spans="1:12" ht="12" customHeight="1" x14ac:dyDescent="0.25">
      <c r="A3438" s="6">
        <v>44621</v>
      </c>
      <c r="B3438" s="1">
        <v>2201125</v>
      </c>
      <c r="C3438" s="5" t="s">
        <v>419</v>
      </c>
      <c r="D3438" s="5" t="str">
        <f>VLOOKUP(C3438,[1]master_data!$A$2:$E$495,2,FALSE)</f>
        <v>KURA - KURA</v>
      </c>
      <c r="E3438" s="5">
        <v>1</v>
      </c>
      <c r="F3438" s="5">
        <f>VLOOKUP(C3438,[1]master_data!$A$2:$E$495,3,FALSE)</f>
        <v>25000</v>
      </c>
      <c r="G3438" s="5">
        <f>VLOOKUP(C3438,[1]master_data!$A$2:$E$495,4,FALSE)</f>
        <v>35000</v>
      </c>
      <c r="H3438" s="5">
        <f t="shared" si="165"/>
        <v>25000</v>
      </c>
      <c r="I3438" s="5">
        <f t="shared" si="166"/>
        <v>35000</v>
      </c>
      <c r="J3438" s="5">
        <f t="shared" si="167"/>
        <v>10000</v>
      </c>
      <c r="K3438" s="5" t="str">
        <f>VLOOKUP(C3438,[1]master_data!$A$2:$E$495,5,FALSE)</f>
        <v>Ikan</v>
      </c>
      <c r="L3438" s="5" t="s">
        <v>471</v>
      </c>
    </row>
    <row r="3439" spans="1:12" ht="12" customHeight="1" x14ac:dyDescent="0.25">
      <c r="A3439" s="6">
        <v>44621</v>
      </c>
      <c r="B3439" s="1">
        <v>2201124</v>
      </c>
      <c r="C3439" s="5" t="s">
        <v>258</v>
      </c>
      <c r="D3439" s="5" t="str">
        <f>VLOOKUP(C3439,[1]master_data!$A$2:$E$495,2,FALSE)</f>
        <v>BIOBOL</v>
      </c>
      <c r="E3439" s="5">
        <v>60</v>
      </c>
      <c r="F3439" s="5">
        <f>VLOOKUP(C3439,[1]master_data!$A$2:$E$495,3,FALSE)</f>
        <v>4000</v>
      </c>
      <c r="G3439" s="5">
        <f>VLOOKUP(C3439,[1]master_data!$A$2:$E$495,4,FALSE)</f>
        <v>7500</v>
      </c>
      <c r="H3439" s="5">
        <f t="shared" si="165"/>
        <v>240000</v>
      </c>
      <c r="I3439" s="5">
        <f t="shared" si="166"/>
        <v>450000</v>
      </c>
      <c r="J3439" s="5">
        <f t="shared" si="167"/>
        <v>210000</v>
      </c>
      <c r="K3439" s="5" t="str">
        <f>VLOOKUP(C3439,[1]master_data!$A$2:$E$495,5,FALSE)</f>
        <v>Aksesoris</v>
      </c>
      <c r="L3439" s="5" t="s">
        <v>471</v>
      </c>
    </row>
    <row r="3440" spans="1:12" ht="12" customHeight="1" x14ac:dyDescent="0.25">
      <c r="A3440" s="6">
        <v>44621</v>
      </c>
      <c r="B3440" s="1">
        <v>2201123</v>
      </c>
      <c r="C3440" s="5" t="s">
        <v>444</v>
      </c>
      <c r="D3440" s="5" t="str">
        <f>VLOOKUP(C3440,[1]master_data!$A$2:$E$495,2,FALSE)</f>
        <v>PARROT</v>
      </c>
      <c r="E3440" s="5">
        <v>1</v>
      </c>
      <c r="F3440" s="5">
        <f>VLOOKUP(C3440,[1]master_data!$A$2:$E$495,3,FALSE)</f>
        <v>27000</v>
      </c>
      <c r="G3440" s="5">
        <f>VLOOKUP(C3440,[1]master_data!$A$2:$E$495,4,FALSE)</f>
        <v>60000</v>
      </c>
      <c r="H3440" s="5">
        <f t="shared" si="165"/>
        <v>27000</v>
      </c>
      <c r="I3440" s="5">
        <f t="shared" si="166"/>
        <v>60000</v>
      </c>
      <c r="J3440" s="5">
        <f t="shared" si="167"/>
        <v>33000</v>
      </c>
      <c r="K3440" s="5" t="str">
        <f>VLOOKUP(C3440,[1]master_data!$A$2:$E$495,5,FALSE)</f>
        <v>Ikan</v>
      </c>
      <c r="L3440" s="5" t="s">
        <v>471</v>
      </c>
    </row>
    <row r="3441" spans="1:12" ht="12" customHeight="1" x14ac:dyDescent="0.25">
      <c r="A3441" s="6">
        <v>44621</v>
      </c>
      <c r="B3441" s="1">
        <v>2201122</v>
      </c>
      <c r="C3441" s="5" t="s">
        <v>453</v>
      </c>
      <c r="D3441" s="5" t="str">
        <f>VLOOKUP(C3441,[1]master_data!$A$2:$E$495,2,FALSE)</f>
        <v>SYNODONTIS K</v>
      </c>
      <c r="E3441" s="5">
        <v>2</v>
      </c>
      <c r="F3441" s="5">
        <f>VLOOKUP(C3441,[1]master_data!$A$2:$E$495,3,FALSE)</f>
        <v>1500</v>
      </c>
      <c r="G3441" s="5">
        <f>VLOOKUP(C3441,[1]master_data!$A$2:$E$495,4,FALSE)</f>
        <v>5000</v>
      </c>
      <c r="H3441" s="5">
        <f t="shared" si="165"/>
        <v>3000</v>
      </c>
      <c r="I3441" s="5">
        <f t="shared" si="166"/>
        <v>10000</v>
      </c>
      <c r="J3441" s="5">
        <f t="shared" si="167"/>
        <v>7000</v>
      </c>
      <c r="K3441" s="5" t="str">
        <f>VLOOKUP(C3441,[1]master_data!$A$2:$E$495,5,FALSE)</f>
        <v>Ikan</v>
      </c>
      <c r="L3441" s="5" t="s">
        <v>471</v>
      </c>
    </row>
    <row r="3442" spans="1:12" ht="12" customHeight="1" x14ac:dyDescent="0.25">
      <c r="A3442" s="6">
        <v>44621</v>
      </c>
      <c r="B3442" s="1">
        <v>2201121</v>
      </c>
      <c r="C3442" s="5" t="s">
        <v>460</v>
      </c>
      <c r="D3442" s="5" t="str">
        <f>VLOOKUP(C3442,[1]master_data!$A$2:$E$495,2,FALSE)</f>
        <v>ZEBRA KUNING</v>
      </c>
      <c r="E3442" s="5">
        <v>5</v>
      </c>
      <c r="F3442" s="5">
        <f>VLOOKUP(C3442,[1]master_data!$A$2:$E$495,3,FALSE)</f>
        <v>800</v>
      </c>
      <c r="G3442" s="5">
        <f>VLOOKUP(C3442,[1]master_data!$A$2:$E$495,4,FALSE)</f>
        <v>2000</v>
      </c>
      <c r="H3442" s="5">
        <f t="shared" si="165"/>
        <v>4000</v>
      </c>
      <c r="I3442" s="5">
        <f t="shared" si="166"/>
        <v>10000</v>
      </c>
      <c r="J3442" s="5">
        <f t="shared" si="167"/>
        <v>6000</v>
      </c>
      <c r="K3442" s="5" t="str">
        <f>VLOOKUP(C3442,[1]master_data!$A$2:$E$495,5,FALSE)</f>
        <v>Ikan</v>
      </c>
      <c r="L3442" s="5" t="s">
        <v>471</v>
      </c>
    </row>
    <row r="3443" spans="1:12" ht="12" customHeight="1" x14ac:dyDescent="0.25">
      <c r="A3443" s="6">
        <v>44621</v>
      </c>
      <c r="B3443" s="1">
        <v>2201120</v>
      </c>
      <c r="C3443" s="5" t="s">
        <v>459</v>
      </c>
      <c r="D3443" s="5" t="str">
        <f>VLOOKUP(C3443,[1]master_data!$A$2:$E$495,2,FALSE)</f>
        <v>ZEBRA UNGU</v>
      </c>
      <c r="E3443" s="5">
        <v>5</v>
      </c>
      <c r="F3443" s="5">
        <f>VLOOKUP(C3443,[1]master_data!$A$2:$E$495,3,FALSE)</f>
        <v>800</v>
      </c>
      <c r="G3443" s="5">
        <f>VLOOKUP(C3443,[1]master_data!$A$2:$E$495,4,FALSE)</f>
        <v>2000</v>
      </c>
      <c r="H3443" s="5">
        <f t="shared" si="165"/>
        <v>4000</v>
      </c>
      <c r="I3443" s="5">
        <f t="shared" si="166"/>
        <v>10000</v>
      </c>
      <c r="J3443" s="5">
        <f t="shared" si="167"/>
        <v>6000</v>
      </c>
      <c r="K3443" s="5" t="str">
        <f>VLOOKUP(C3443,[1]master_data!$A$2:$E$495,5,FALSE)</f>
        <v>Ikan</v>
      </c>
      <c r="L3443" s="5" t="s">
        <v>471</v>
      </c>
    </row>
    <row r="3444" spans="1:12" ht="12" customHeight="1" x14ac:dyDescent="0.25">
      <c r="A3444" s="6">
        <v>44621</v>
      </c>
      <c r="B3444" s="1">
        <v>2201119</v>
      </c>
      <c r="C3444" s="5" t="s">
        <v>397</v>
      </c>
      <c r="D3444" s="5" t="str">
        <f>VLOOKUP(C3444,[1]master_data!$A$2:$E$495,2,FALSE)</f>
        <v>ALIGATOR</v>
      </c>
      <c r="E3444" s="5">
        <v>2</v>
      </c>
      <c r="F3444" s="5">
        <f>VLOOKUP(C3444,[1]master_data!$A$2:$E$495,3,FALSE)</f>
        <v>17000</v>
      </c>
      <c r="G3444" s="5">
        <f>VLOOKUP(C3444,[1]master_data!$A$2:$E$495,4,FALSE)</f>
        <v>35000</v>
      </c>
      <c r="H3444" s="5">
        <f t="shared" si="165"/>
        <v>34000</v>
      </c>
      <c r="I3444" s="5">
        <f t="shared" si="166"/>
        <v>70000</v>
      </c>
      <c r="J3444" s="5">
        <f t="shared" si="167"/>
        <v>36000</v>
      </c>
      <c r="K3444" s="5" t="str">
        <f>VLOOKUP(C3444,[1]master_data!$A$2:$E$495,5,FALSE)</f>
        <v>Ikan</v>
      </c>
      <c r="L3444" s="5" t="s">
        <v>471</v>
      </c>
    </row>
    <row r="3445" spans="1:12" ht="12" customHeight="1" x14ac:dyDescent="0.25">
      <c r="A3445" s="6">
        <v>44620</v>
      </c>
      <c r="B3445" s="1">
        <v>2201118</v>
      </c>
      <c r="C3445" s="5" t="s">
        <v>204</v>
      </c>
      <c r="D3445" s="5" t="str">
        <f>VLOOKUP(C3445,[1]master_data!$A$2:$E$495,2,FALSE)</f>
        <v>MAGOT</v>
      </c>
      <c r="E3445" s="5">
        <v>1</v>
      </c>
      <c r="F3445" s="5">
        <f>VLOOKUP(C3445,[1]master_data!$A$2:$E$495,3,FALSE)</f>
        <v>4500</v>
      </c>
      <c r="G3445" s="5">
        <f>VLOOKUP(C3445,[1]master_data!$A$2:$E$495,4,FALSE)</f>
        <v>10000</v>
      </c>
      <c r="H3445" s="5">
        <f t="shared" si="165"/>
        <v>4500</v>
      </c>
      <c r="I3445" s="5">
        <f t="shared" si="166"/>
        <v>10000</v>
      </c>
      <c r="J3445" s="5">
        <f t="shared" si="167"/>
        <v>5500</v>
      </c>
      <c r="K3445" s="5" t="str">
        <f>VLOOKUP(C3445,[1]master_data!$A$2:$E$495,5,FALSE)</f>
        <v>Aksesoris</v>
      </c>
      <c r="L3445" s="5" t="s">
        <v>471</v>
      </c>
    </row>
    <row r="3446" spans="1:12" ht="12" customHeight="1" x14ac:dyDescent="0.25">
      <c r="A3446" s="6">
        <v>44620</v>
      </c>
      <c r="B3446" s="1">
        <v>2201117</v>
      </c>
      <c r="C3446" s="5" t="s">
        <v>398</v>
      </c>
      <c r="D3446" s="5" t="str">
        <f>VLOOKUP(C3446,[1]master_data!$A$2:$E$495,2,FALSE)</f>
        <v>BIPOLAR</v>
      </c>
      <c r="E3446" s="5">
        <v>4</v>
      </c>
      <c r="F3446" s="5">
        <f>VLOOKUP(C3446,[1]master_data!$A$2:$E$495,3,FALSE)</f>
        <v>1000</v>
      </c>
      <c r="G3446" s="5">
        <f>VLOOKUP(C3446,[1]master_data!$A$2:$E$495,4,FALSE)</f>
        <v>2500</v>
      </c>
      <c r="H3446" s="5">
        <f t="shared" si="165"/>
        <v>4000</v>
      </c>
      <c r="I3446" s="5">
        <f t="shared" si="166"/>
        <v>10000</v>
      </c>
      <c r="J3446" s="5">
        <f t="shared" si="167"/>
        <v>6000</v>
      </c>
      <c r="K3446" s="5" t="str">
        <f>VLOOKUP(C3446,[1]master_data!$A$2:$E$495,5,FALSE)</f>
        <v>Ikan</v>
      </c>
      <c r="L3446" s="5" t="s">
        <v>471</v>
      </c>
    </row>
    <row r="3447" spans="1:12" ht="12" customHeight="1" x14ac:dyDescent="0.25">
      <c r="A3447" s="6">
        <v>44620</v>
      </c>
      <c r="B3447" s="1">
        <v>2201116</v>
      </c>
      <c r="C3447" s="5" t="s">
        <v>118</v>
      </c>
      <c r="D3447" s="5" t="str">
        <f>VLOOKUP(C3447,[1]master_data!$A$2:$E$495,2,FALSE)</f>
        <v>LED ROSTON 40 CM</v>
      </c>
      <c r="E3447" s="5">
        <v>1</v>
      </c>
      <c r="F3447" s="5">
        <f>VLOOKUP(C3447,[1]master_data!$A$2:$E$495,3,FALSE)</f>
        <v>23000</v>
      </c>
      <c r="G3447" s="5">
        <f>VLOOKUP(C3447,[1]master_data!$A$2:$E$495,4,FALSE)</f>
        <v>40000</v>
      </c>
      <c r="H3447" s="5">
        <f t="shared" si="165"/>
        <v>23000</v>
      </c>
      <c r="I3447" s="5">
        <f t="shared" si="166"/>
        <v>40000</v>
      </c>
      <c r="J3447" s="5">
        <f t="shared" si="167"/>
        <v>17000</v>
      </c>
      <c r="K3447" s="5" t="str">
        <f>VLOOKUP(C3447,[1]master_data!$A$2:$E$495,5,FALSE)</f>
        <v>Aksesoris</v>
      </c>
      <c r="L3447" s="5" t="s">
        <v>471</v>
      </c>
    </row>
    <row r="3448" spans="1:12" ht="12" customHeight="1" x14ac:dyDescent="0.25">
      <c r="A3448" s="6">
        <v>44620</v>
      </c>
      <c r="B3448" s="1">
        <v>2201115</v>
      </c>
      <c r="C3448" s="5" t="s">
        <v>333</v>
      </c>
      <c r="D3448" s="5" t="str">
        <f>VLOOKUP(C3448,[1]master_data!$A$2:$E$495,2,FALSE)</f>
        <v>KAPAS 2 LAPIS</v>
      </c>
      <c r="E3448" s="5">
        <v>2</v>
      </c>
      <c r="F3448" s="5">
        <f>VLOOKUP(C3448,[1]master_data!$A$2:$E$495,3,FALSE)</f>
        <v>2000</v>
      </c>
      <c r="G3448" s="5">
        <f>VLOOKUP(C3448,[1]master_data!$A$2:$E$495,4,FALSE)</f>
        <v>4000</v>
      </c>
      <c r="H3448" s="5">
        <f t="shared" si="165"/>
        <v>4000</v>
      </c>
      <c r="I3448" s="5">
        <f t="shared" si="166"/>
        <v>8000</v>
      </c>
      <c r="J3448" s="5">
        <f t="shared" si="167"/>
        <v>4000</v>
      </c>
      <c r="K3448" s="5" t="str">
        <f>VLOOKUP(C3448,[1]master_data!$A$2:$E$495,5,FALSE)</f>
        <v>Aksesoris</v>
      </c>
      <c r="L3448" s="5" t="s">
        <v>471</v>
      </c>
    </row>
    <row r="3449" spans="1:12" ht="12" customHeight="1" x14ac:dyDescent="0.25">
      <c r="A3449" s="6">
        <v>44620</v>
      </c>
      <c r="B3449" s="1">
        <v>2201114</v>
      </c>
      <c r="C3449" s="5" t="s">
        <v>256</v>
      </c>
      <c r="D3449" s="5" t="str">
        <f>VLOOKUP(C3449,[1]master_data!$A$2:$E$495,2,FALSE)</f>
        <v>BACKGROUND</v>
      </c>
      <c r="E3449" s="5">
        <v>3</v>
      </c>
      <c r="F3449" s="5">
        <f>VLOOKUP(C3449,[1]master_data!$A$2:$E$495,3,FALSE)</f>
        <v>8000</v>
      </c>
      <c r="G3449" s="5">
        <f>VLOOKUP(C3449,[1]master_data!$A$2:$E$495,4,FALSE)</f>
        <v>15000</v>
      </c>
      <c r="H3449" s="5">
        <f t="shared" si="165"/>
        <v>24000</v>
      </c>
      <c r="I3449" s="5">
        <f t="shared" si="166"/>
        <v>45000</v>
      </c>
      <c r="J3449" s="5">
        <f t="shared" si="167"/>
        <v>21000</v>
      </c>
      <c r="K3449" s="5" t="str">
        <f>VLOOKUP(C3449,[1]master_data!$A$2:$E$495,5,FALSE)</f>
        <v>Aksesoris</v>
      </c>
      <c r="L3449" s="5" t="s">
        <v>471</v>
      </c>
    </row>
    <row r="3450" spans="1:12" ht="12" customHeight="1" x14ac:dyDescent="0.25">
      <c r="A3450" s="6">
        <v>44620</v>
      </c>
      <c r="B3450" s="1">
        <v>2201113</v>
      </c>
      <c r="C3450" s="5" t="s">
        <v>333</v>
      </c>
      <c r="D3450" s="5" t="str">
        <f>VLOOKUP(C3450,[1]master_data!$A$2:$E$495,2,FALSE)</f>
        <v>KAPAS 2 LAPIS</v>
      </c>
      <c r="E3450" s="5">
        <v>1</v>
      </c>
      <c r="F3450" s="5">
        <f>VLOOKUP(C3450,[1]master_data!$A$2:$E$495,3,FALSE)</f>
        <v>2000</v>
      </c>
      <c r="G3450" s="5">
        <f>VLOOKUP(C3450,[1]master_data!$A$2:$E$495,4,FALSE)</f>
        <v>4000</v>
      </c>
      <c r="H3450" s="5">
        <f t="shared" si="165"/>
        <v>2000</v>
      </c>
      <c r="I3450" s="5">
        <f t="shared" si="166"/>
        <v>4000</v>
      </c>
      <c r="J3450" s="5">
        <f t="shared" si="167"/>
        <v>2000</v>
      </c>
      <c r="K3450" s="5" t="str">
        <f>VLOOKUP(C3450,[1]master_data!$A$2:$E$495,5,FALSE)</f>
        <v>Aksesoris</v>
      </c>
      <c r="L3450" s="5" t="s">
        <v>471</v>
      </c>
    </row>
    <row r="3451" spans="1:12" ht="12" customHeight="1" x14ac:dyDescent="0.25">
      <c r="A3451" s="6">
        <v>44620</v>
      </c>
      <c r="B3451" s="1">
        <v>2201112</v>
      </c>
      <c r="C3451" s="5" t="s">
        <v>420</v>
      </c>
      <c r="D3451" s="5" t="str">
        <f>VLOOKUP(C3451,[1]master_data!$A$2:$E$495,2,FALSE)</f>
        <v>KAVIAT</v>
      </c>
      <c r="E3451" s="5">
        <v>1</v>
      </c>
      <c r="F3451" s="5">
        <f>VLOOKUP(C3451,[1]master_data!$A$2:$E$495,3,FALSE)</f>
        <v>3500</v>
      </c>
      <c r="G3451" s="5">
        <f>VLOOKUP(C3451,[1]master_data!$A$2:$E$495,4,FALSE)</f>
        <v>8000</v>
      </c>
      <c r="H3451" s="5">
        <f t="shared" si="165"/>
        <v>3500</v>
      </c>
      <c r="I3451" s="5">
        <f t="shared" si="166"/>
        <v>8000</v>
      </c>
      <c r="J3451" s="5">
        <f t="shared" si="167"/>
        <v>4500</v>
      </c>
      <c r="K3451" s="5" t="str">
        <f>VLOOKUP(C3451,[1]master_data!$A$2:$E$495,5,FALSE)</f>
        <v>Ikan</v>
      </c>
      <c r="L3451" s="5" t="s">
        <v>471</v>
      </c>
    </row>
    <row r="3452" spans="1:12" ht="12" customHeight="1" x14ac:dyDescent="0.25">
      <c r="A3452" s="6">
        <v>44620</v>
      </c>
      <c r="B3452" s="1">
        <v>2201111</v>
      </c>
      <c r="C3452" s="5" t="s">
        <v>418</v>
      </c>
      <c r="D3452" s="5" t="str">
        <f>VLOOKUP(C3452,[1]master_data!$A$2:$E$495,2,FALSE)</f>
        <v>KOI B</v>
      </c>
      <c r="E3452" s="5">
        <v>5</v>
      </c>
      <c r="F3452" s="5">
        <f>VLOOKUP(C3452,[1]master_data!$A$2:$E$495,3,FALSE)</f>
        <v>9000</v>
      </c>
      <c r="G3452" s="5">
        <f>VLOOKUP(C3452,[1]master_data!$A$2:$E$495,4,FALSE)</f>
        <v>30000</v>
      </c>
      <c r="H3452" s="5">
        <f t="shared" si="165"/>
        <v>45000</v>
      </c>
      <c r="I3452" s="5">
        <f t="shared" si="166"/>
        <v>150000</v>
      </c>
      <c r="J3452" s="5">
        <f t="shared" si="167"/>
        <v>105000</v>
      </c>
      <c r="K3452" s="5" t="str">
        <f>VLOOKUP(C3452,[1]master_data!$A$2:$E$495,5,FALSE)</f>
        <v>Ikan</v>
      </c>
      <c r="L3452" s="5" t="s">
        <v>471</v>
      </c>
    </row>
    <row r="3453" spans="1:12" ht="12" customHeight="1" x14ac:dyDescent="0.25">
      <c r="A3453" s="6">
        <v>44620</v>
      </c>
      <c r="B3453" s="1">
        <v>2201110</v>
      </c>
      <c r="C3453" s="5" t="s">
        <v>452</v>
      </c>
      <c r="D3453" s="5" t="str">
        <f>VLOOKUP(C3453,[1]master_data!$A$2:$E$495,2,FALSE)</f>
        <v>SNOW WHITE</v>
      </c>
      <c r="E3453" s="5">
        <v>5</v>
      </c>
      <c r="F3453" s="5">
        <f>VLOOKUP(C3453,[1]master_data!$A$2:$E$495,3,FALSE)</f>
        <v>1500</v>
      </c>
      <c r="G3453" s="5">
        <f>VLOOKUP(C3453,[1]master_data!$A$2:$E$495,4,FALSE)</f>
        <v>3000</v>
      </c>
      <c r="H3453" s="5">
        <f t="shared" si="165"/>
        <v>7500</v>
      </c>
      <c r="I3453" s="5">
        <f t="shared" si="166"/>
        <v>15000</v>
      </c>
      <c r="J3453" s="5">
        <f t="shared" si="167"/>
        <v>7500</v>
      </c>
      <c r="K3453" s="5" t="str">
        <f>VLOOKUP(C3453,[1]master_data!$A$2:$E$495,5,FALSE)</f>
        <v>Ikan</v>
      </c>
      <c r="L3453" s="5" t="s">
        <v>471</v>
      </c>
    </row>
    <row r="3454" spans="1:12" ht="12" customHeight="1" x14ac:dyDescent="0.25">
      <c r="A3454" s="6">
        <v>44620</v>
      </c>
      <c r="B3454" s="1">
        <v>2201109</v>
      </c>
      <c r="C3454" s="5" t="s">
        <v>438</v>
      </c>
      <c r="D3454" s="5" t="str">
        <f>VLOOKUP(C3454,[1]master_data!$A$2:$E$495,2,FALSE)</f>
        <v>NENTINEN</v>
      </c>
      <c r="E3454" s="5">
        <v>5</v>
      </c>
      <c r="F3454" s="5">
        <f>VLOOKUP(C3454,[1]master_data!$A$2:$E$495,3,FALSE)</f>
        <v>1000</v>
      </c>
      <c r="G3454" s="5">
        <f>VLOOKUP(C3454,[1]master_data!$A$2:$E$495,4,FALSE)</f>
        <v>2500</v>
      </c>
      <c r="H3454" s="5">
        <f t="shared" si="165"/>
        <v>5000</v>
      </c>
      <c r="I3454" s="5">
        <f t="shared" si="166"/>
        <v>12500</v>
      </c>
      <c r="J3454" s="5">
        <f t="shared" si="167"/>
        <v>7500</v>
      </c>
      <c r="K3454" s="5" t="str">
        <f>VLOOKUP(C3454,[1]master_data!$A$2:$E$495,5,FALSE)</f>
        <v>Ikan</v>
      </c>
      <c r="L3454" s="5" t="s">
        <v>471</v>
      </c>
    </row>
    <row r="3455" spans="1:12" ht="12" customHeight="1" x14ac:dyDescent="0.25">
      <c r="A3455" s="6">
        <v>44620</v>
      </c>
      <c r="B3455" s="1">
        <v>2201108</v>
      </c>
      <c r="C3455" s="5" t="s">
        <v>432</v>
      </c>
      <c r="D3455" s="5" t="str">
        <f>VLOOKUP(C3455,[1]master_data!$A$2:$E$495,2,FALSE)</f>
        <v>MARU K</v>
      </c>
      <c r="E3455" s="5">
        <v>2</v>
      </c>
      <c r="F3455" s="5">
        <f>VLOOKUP(C3455,[1]master_data!$A$2:$E$495,3,FALSE)</f>
        <v>23000</v>
      </c>
      <c r="G3455" s="5">
        <f>VLOOKUP(C3455,[1]master_data!$A$2:$E$495,4,FALSE)</f>
        <v>50000</v>
      </c>
      <c r="H3455" s="5">
        <f t="shared" si="165"/>
        <v>46000</v>
      </c>
      <c r="I3455" s="5">
        <f t="shared" si="166"/>
        <v>100000</v>
      </c>
      <c r="J3455" s="5">
        <f t="shared" si="167"/>
        <v>54000</v>
      </c>
      <c r="K3455" s="5" t="str">
        <f>VLOOKUP(C3455,[1]master_data!$A$2:$E$495,5,FALSE)</f>
        <v>Ikan</v>
      </c>
      <c r="L3455" s="5" t="s">
        <v>471</v>
      </c>
    </row>
    <row r="3456" spans="1:12" ht="12" customHeight="1" x14ac:dyDescent="0.25">
      <c r="A3456" s="6">
        <v>44620</v>
      </c>
      <c r="B3456" s="1">
        <v>2201107</v>
      </c>
      <c r="C3456" s="5" t="s">
        <v>383</v>
      </c>
      <c r="D3456" s="5" t="str">
        <f>VLOOKUP(C3456,[1]master_data!$A$2:$E$495,2,FALSE)</f>
        <v>BATU GOMBONG K</v>
      </c>
      <c r="E3456" s="5">
        <v>1</v>
      </c>
      <c r="F3456" s="5">
        <f>VLOOKUP(C3456,[1]master_data!$A$2:$E$495,3,FALSE)</f>
        <v>20000</v>
      </c>
      <c r="G3456" s="5">
        <f>VLOOKUP(C3456,[1]master_data!$A$2:$E$495,4,FALSE)</f>
        <v>40000</v>
      </c>
      <c r="H3456" s="5">
        <f t="shared" si="165"/>
        <v>20000</v>
      </c>
      <c r="I3456" s="5">
        <f t="shared" si="166"/>
        <v>40000</v>
      </c>
      <c r="J3456" s="5">
        <f t="shared" si="167"/>
        <v>20000</v>
      </c>
      <c r="K3456" s="5" t="str">
        <f>VLOOKUP(C3456,[1]master_data!$A$2:$E$495,5,FALSE)</f>
        <v>Aksesoris</v>
      </c>
      <c r="L3456" s="5" t="s">
        <v>471</v>
      </c>
    </row>
    <row r="3457" spans="1:12" ht="12" customHeight="1" x14ac:dyDescent="0.25">
      <c r="A3457" s="6">
        <v>44620</v>
      </c>
      <c r="B3457" s="1">
        <v>2201106</v>
      </c>
      <c r="C3457" s="5" t="s">
        <v>451</v>
      </c>
      <c r="D3457" s="5" t="str">
        <f>VLOOKUP(C3457,[1]master_data!$A$2:$E$495,2,FALSE)</f>
        <v>SUMATRA GOLD FISH</v>
      </c>
      <c r="E3457" s="5">
        <v>5</v>
      </c>
      <c r="F3457" s="5">
        <f>VLOOKUP(C3457,[1]master_data!$A$2:$E$495,3,FALSE)</f>
        <v>2500</v>
      </c>
      <c r="G3457" s="5">
        <f>VLOOKUP(C3457,[1]master_data!$A$2:$E$495,4,FALSE)</f>
        <v>4000</v>
      </c>
      <c r="H3457" s="5">
        <f t="shared" si="165"/>
        <v>12500</v>
      </c>
      <c r="I3457" s="5">
        <f t="shared" si="166"/>
        <v>20000</v>
      </c>
      <c r="J3457" s="5">
        <f t="shared" si="167"/>
        <v>7500</v>
      </c>
      <c r="K3457" s="5" t="str">
        <f>VLOOKUP(C3457,[1]master_data!$A$2:$E$495,5,FALSE)</f>
        <v>Ikan</v>
      </c>
      <c r="L3457" s="5" t="s">
        <v>471</v>
      </c>
    </row>
    <row r="3458" spans="1:12" ht="12" customHeight="1" x14ac:dyDescent="0.25">
      <c r="A3458" s="6">
        <v>44620</v>
      </c>
      <c r="B3458" s="1">
        <v>2201105</v>
      </c>
      <c r="C3458" s="5" t="s">
        <v>442</v>
      </c>
      <c r="D3458" s="5" t="str">
        <f>VLOOKUP(C3458,[1]master_data!$A$2:$E$495,2,FALSE)</f>
        <v>PEMBERSIH KACA ALBINO</v>
      </c>
      <c r="E3458" s="5">
        <v>3</v>
      </c>
      <c r="F3458" s="5">
        <f>VLOOKUP(C3458,[1]master_data!$A$2:$E$495,3,FALSE)</f>
        <v>2500</v>
      </c>
      <c r="G3458" s="5">
        <f>VLOOKUP(C3458,[1]master_data!$A$2:$E$495,4,FALSE)</f>
        <v>5000</v>
      </c>
      <c r="H3458" s="5">
        <f t="shared" si="165"/>
        <v>7500</v>
      </c>
      <c r="I3458" s="5">
        <f t="shared" si="166"/>
        <v>15000</v>
      </c>
      <c r="J3458" s="5">
        <f t="shared" si="167"/>
        <v>7500</v>
      </c>
      <c r="K3458" s="5" t="str">
        <f>VLOOKUP(C3458,[1]master_data!$A$2:$E$495,5,FALSE)</f>
        <v>Ikan</v>
      </c>
      <c r="L3458" s="5" t="s">
        <v>471</v>
      </c>
    </row>
    <row r="3459" spans="1:12" ht="12" customHeight="1" x14ac:dyDescent="0.25">
      <c r="A3459" s="6">
        <v>44620</v>
      </c>
      <c r="B3459" s="1">
        <v>2201104</v>
      </c>
      <c r="C3459" s="5" t="s">
        <v>430</v>
      </c>
      <c r="D3459" s="5" t="str">
        <f>VLOOKUP(C3459,[1]master_data!$A$2:$E$495,2,FALSE)</f>
        <v>MANFISH K</v>
      </c>
      <c r="E3459" s="5">
        <v>4</v>
      </c>
      <c r="F3459" s="5">
        <f>VLOOKUP(C3459,[1]master_data!$A$2:$E$495,3,FALSE)</f>
        <v>2000</v>
      </c>
      <c r="G3459" s="5">
        <f>VLOOKUP(C3459,[1]master_data!$A$2:$E$495,4,FALSE)</f>
        <v>5000</v>
      </c>
      <c r="H3459" s="5">
        <f t="shared" si="165"/>
        <v>8000</v>
      </c>
      <c r="I3459" s="5">
        <f t="shared" si="166"/>
        <v>20000</v>
      </c>
      <c r="J3459" s="5">
        <f t="shared" si="167"/>
        <v>12000</v>
      </c>
      <c r="K3459" s="5" t="str">
        <f>VLOOKUP(C3459,[1]master_data!$A$2:$E$495,5,FALSE)</f>
        <v>Ikan</v>
      </c>
      <c r="L3459" s="5" t="s">
        <v>471</v>
      </c>
    </row>
    <row r="3460" spans="1:12" ht="12" customHeight="1" x14ac:dyDescent="0.25">
      <c r="A3460" s="6">
        <v>44620</v>
      </c>
      <c r="B3460" s="1">
        <v>2201103</v>
      </c>
      <c r="C3460" s="5" t="s">
        <v>311</v>
      </c>
      <c r="D3460" s="5" t="str">
        <f>VLOOKUP(C3460,[1]master_data!$A$2:$E$495,2,FALSE)</f>
        <v>L PIPA</v>
      </c>
      <c r="E3460" s="5">
        <v>20</v>
      </c>
      <c r="F3460" s="5">
        <f>VLOOKUP(C3460,[1]master_data!$A$2:$E$495,3,FALSE)</f>
        <v>800</v>
      </c>
      <c r="G3460" s="5">
        <f>VLOOKUP(C3460,[1]master_data!$A$2:$E$495,4,FALSE)</f>
        <v>2000</v>
      </c>
      <c r="H3460" s="5">
        <f t="shared" si="165"/>
        <v>16000</v>
      </c>
      <c r="I3460" s="5">
        <f t="shared" si="166"/>
        <v>40000</v>
      </c>
      <c r="J3460" s="5">
        <f t="shared" si="167"/>
        <v>24000</v>
      </c>
      <c r="K3460" s="5" t="str">
        <f>VLOOKUP(C3460,[1]master_data!$A$2:$E$495,5,FALSE)</f>
        <v>Aksesoris</v>
      </c>
      <c r="L3460" s="5" t="s">
        <v>471</v>
      </c>
    </row>
    <row r="3461" spans="1:12" ht="12" customHeight="1" x14ac:dyDescent="0.25">
      <c r="A3461" s="6">
        <v>44620</v>
      </c>
      <c r="B3461" s="1">
        <v>2201102</v>
      </c>
      <c r="C3461" s="5" t="s">
        <v>215</v>
      </c>
      <c r="D3461" s="5" t="str">
        <f>VLOOKUP(C3461,[1]master_data!$A$2:$E$495,2,FALSE)</f>
        <v>MEM PRIME 10 GR</v>
      </c>
      <c r="E3461" s="5">
        <v>1</v>
      </c>
      <c r="F3461" s="5">
        <f>VLOOKUP(C3461,[1]master_data!$A$2:$E$495,3,FALSE)</f>
        <v>5000</v>
      </c>
      <c r="G3461" s="5">
        <f>VLOOKUP(C3461,[1]master_data!$A$2:$E$495,4,FALSE)</f>
        <v>10000</v>
      </c>
      <c r="H3461" s="5">
        <f t="shared" ref="H3461:H3524" si="168">E3461*F3461</f>
        <v>5000</v>
      </c>
      <c r="I3461" s="5">
        <f t="shared" ref="I3461:I3524" si="169">E3461*G3461</f>
        <v>10000</v>
      </c>
      <c r="J3461" s="5">
        <f t="shared" ref="J3461:J3524" si="170">I3461-H3461</f>
        <v>5000</v>
      </c>
      <c r="K3461" s="5" t="str">
        <f>VLOOKUP(C3461,[1]master_data!$A$2:$E$495,5,FALSE)</f>
        <v>Aksesoris</v>
      </c>
      <c r="L3461" s="5" t="s">
        <v>471</v>
      </c>
    </row>
    <row r="3462" spans="1:12" ht="12" customHeight="1" x14ac:dyDescent="0.25">
      <c r="A3462" s="6">
        <v>44619</v>
      </c>
      <c r="B3462" s="1">
        <v>2201101</v>
      </c>
      <c r="C3462" s="5" t="s">
        <v>422</v>
      </c>
      <c r="D3462" s="5" t="str">
        <f>VLOOKUP(C3462,[1]master_data!$A$2:$E$495,2,FALSE)</f>
        <v>KOMET SLAYER</v>
      </c>
      <c r="E3462" s="5">
        <v>5</v>
      </c>
      <c r="F3462" s="5">
        <f>VLOOKUP(C3462,[1]master_data!$A$2:$E$495,3,FALSE)</f>
        <v>2000</v>
      </c>
      <c r="G3462" s="5">
        <f>VLOOKUP(C3462,[1]master_data!$A$2:$E$495,4,FALSE)</f>
        <v>5000</v>
      </c>
      <c r="H3462" s="5">
        <f t="shared" si="168"/>
        <v>10000</v>
      </c>
      <c r="I3462" s="5">
        <f t="shared" si="169"/>
        <v>25000</v>
      </c>
      <c r="J3462" s="5">
        <f t="shared" si="170"/>
        <v>15000</v>
      </c>
      <c r="K3462" s="5" t="str">
        <f>VLOOKUP(C3462,[1]master_data!$A$2:$E$495,5,FALSE)</f>
        <v>Ikan</v>
      </c>
      <c r="L3462" s="5" t="s">
        <v>471</v>
      </c>
    </row>
    <row r="3463" spans="1:12" ht="12" customHeight="1" x14ac:dyDescent="0.25">
      <c r="A3463" s="6">
        <v>44619</v>
      </c>
      <c r="B3463" s="1">
        <v>2201100</v>
      </c>
      <c r="C3463" s="5" t="s">
        <v>394</v>
      </c>
      <c r="D3463" s="5" t="str">
        <f>VLOOKUP(C3463,[1]master_data!$A$2:$E$495,2,FALSE)</f>
        <v>ARWANA SILVER K</v>
      </c>
      <c r="E3463" s="5">
        <v>1</v>
      </c>
      <c r="F3463" s="5">
        <f>VLOOKUP(C3463,[1]master_data!$A$2:$E$495,3,FALSE)</f>
        <v>100000</v>
      </c>
      <c r="G3463" s="5">
        <f>VLOOKUP(C3463,[1]master_data!$A$2:$E$495,4,FALSE)</f>
        <v>200000</v>
      </c>
      <c r="H3463" s="5">
        <f t="shared" si="168"/>
        <v>100000</v>
      </c>
      <c r="I3463" s="5">
        <f t="shared" si="169"/>
        <v>200000</v>
      </c>
      <c r="J3463" s="5">
        <f t="shared" si="170"/>
        <v>100000</v>
      </c>
      <c r="K3463" s="5" t="str">
        <f>VLOOKUP(C3463,[1]master_data!$A$2:$E$495,5,FALSE)</f>
        <v>Ikan</v>
      </c>
      <c r="L3463" s="5" t="s">
        <v>471</v>
      </c>
    </row>
    <row r="3464" spans="1:12" ht="12" customHeight="1" x14ac:dyDescent="0.25">
      <c r="A3464" s="6">
        <v>44619</v>
      </c>
      <c r="B3464" s="1">
        <v>2201099</v>
      </c>
      <c r="C3464" s="5" t="s">
        <v>406</v>
      </c>
      <c r="D3464" s="5" t="str">
        <f>VLOOKUP(C3464,[1]master_data!$A$2:$E$495,2,FALSE)</f>
        <v>BARBIR</v>
      </c>
      <c r="E3464" s="5">
        <v>10</v>
      </c>
      <c r="F3464" s="5">
        <f>VLOOKUP(C3464,[1]master_data!$A$2:$E$495,3,FALSE)</f>
        <v>800</v>
      </c>
      <c r="G3464" s="5">
        <f>VLOOKUP(C3464,[1]master_data!$A$2:$E$495,4,FALSE)</f>
        <v>2000</v>
      </c>
      <c r="H3464" s="5">
        <f t="shared" si="168"/>
        <v>8000</v>
      </c>
      <c r="I3464" s="5">
        <f t="shared" si="169"/>
        <v>20000</v>
      </c>
      <c r="J3464" s="5">
        <f t="shared" si="170"/>
        <v>12000</v>
      </c>
      <c r="K3464" s="5" t="str">
        <f>VLOOKUP(C3464,[1]master_data!$A$2:$E$495,5,FALSE)</f>
        <v>Ikan</v>
      </c>
      <c r="L3464" s="5" t="s">
        <v>471</v>
      </c>
    </row>
    <row r="3465" spans="1:12" ht="12" customHeight="1" x14ac:dyDescent="0.25">
      <c r="A3465" s="6">
        <v>44619</v>
      </c>
      <c r="B3465" s="1">
        <v>2201098</v>
      </c>
      <c r="C3465" s="5" t="s">
        <v>310</v>
      </c>
      <c r="D3465" s="5" t="str">
        <f>VLOOKUP(C3465,[1]master_data!$A$2:$E$495,2,FALSE)</f>
        <v>SELANG FUSO</v>
      </c>
      <c r="E3465" s="5">
        <v>2</v>
      </c>
      <c r="F3465" s="5">
        <f>VLOOKUP(C3465,[1]master_data!$A$2:$E$495,3,FALSE)</f>
        <v>800</v>
      </c>
      <c r="G3465" s="5">
        <f>VLOOKUP(C3465,[1]master_data!$A$2:$E$495,4,FALSE)</f>
        <v>2000</v>
      </c>
      <c r="H3465" s="5">
        <f t="shared" si="168"/>
        <v>1600</v>
      </c>
      <c r="I3465" s="5">
        <f t="shared" si="169"/>
        <v>4000</v>
      </c>
      <c r="J3465" s="5">
        <f t="shared" si="170"/>
        <v>2400</v>
      </c>
      <c r="K3465" s="5" t="str">
        <f>VLOOKUP(C3465,[1]master_data!$A$2:$E$495,5,FALSE)</f>
        <v>Aksesoris</v>
      </c>
      <c r="L3465" s="5" t="s">
        <v>471</v>
      </c>
    </row>
    <row r="3466" spans="1:12" ht="12" customHeight="1" x14ac:dyDescent="0.25">
      <c r="A3466" s="6">
        <v>44619</v>
      </c>
      <c r="B3466" s="1">
        <v>2201097</v>
      </c>
      <c r="C3466" s="5" t="s">
        <v>215</v>
      </c>
      <c r="D3466" s="5" t="str">
        <f>VLOOKUP(C3466,[1]master_data!$A$2:$E$495,2,FALSE)</f>
        <v>MEM PRIME 10 GR</v>
      </c>
      <c r="E3466" s="5">
        <v>1</v>
      </c>
      <c r="F3466" s="5">
        <f>VLOOKUP(C3466,[1]master_data!$A$2:$E$495,3,FALSE)</f>
        <v>5000</v>
      </c>
      <c r="G3466" s="5">
        <f>VLOOKUP(C3466,[1]master_data!$A$2:$E$495,4,FALSE)</f>
        <v>10000</v>
      </c>
      <c r="H3466" s="5">
        <f t="shared" si="168"/>
        <v>5000</v>
      </c>
      <c r="I3466" s="5">
        <f t="shared" si="169"/>
        <v>10000</v>
      </c>
      <c r="J3466" s="5">
        <f t="shared" si="170"/>
        <v>5000</v>
      </c>
      <c r="K3466" s="5" t="str">
        <f>VLOOKUP(C3466,[1]master_data!$A$2:$E$495,5,FALSE)</f>
        <v>Aksesoris</v>
      </c>
      <c r="L3466" s="5" t="s">
        <v>471</v>
      </c>
    </row>
    <row r="3467" spans="1:12" ht="12" customHeight="1" x14ac:dyDescent="0.25">
      <c r="A3467" s="6">
        <v>44619</v>
      </c>
      <c r="B3467" s="1">
        <v>2201096</v>
      </c>
      <c r="C3467" s="5" t="s">
        <v>104</v>
      </c>
      <c r="D3467" s="5" t="str">
        <f>VLOOKUP(C3467,[1]master_data!$A$2:$E$495,2,FALSE)</f>
        <v>AIRATOR AMARA LUB 2</v>
      </c>
      <c r="E3467" s="5">
        <v>1</v>
      </c>
      <c r="F3467" s="5">
        <f>VLOOKUP(C3467,[1]master_data!$A$2:$E$495,3,FALSE)</f>
        <v>33000</v>
      </c>
      <c r="G3467" s="5">
        <f>VLOOKUP(C3467,[1]master_data!$A$2:$E$495,4,FALSE)</f>
        <v>50000</v>
      </c>
      <c r="H3467" s="5">
        <f t="shared" si="168"/>
        <v>33000</v>
      </c>
      <c r="I3467" s="5">
        <f t="shared" si="169"/>
        <v>50000</v>
      </c>
      <c r="J3467" s="5">
        <f t="shared" si="170"/>
        <v>17000</v>
      </c>
      <c r="K3467" s="5" t="str">
        <f>VLOOKUP(C3467,[1]master_data!$A$2:$E$495,5,FALSE)</f>
        <v>Aksesoris</v>
      </c>
      <c r="L3467" s="5" t="s">
        <v>471</v>
      </c>
    </row>
    <row r="3468" spans="1:12" ht="12" customHeight="1" x14ac:dyDescent="0.25">
      <c r="A3468" s="6">
        <v>44619</v>
      </c>
      <c r="B3468" s="1">
        <v>2201095</v>
      </c>
      <c r="C3468" s="5" t="s">
        <v>419</v>
      </c>
      <c r="D3468" s="5" t="str">
        <f>VLOOKUP(C3468,[1]master_data!$A$2:$E$495,2,FALSE)</f>
        <v>KURA - KURA</v>
      </c>
      <c r="E3468" s="5">
        <v>1</v>
      </c>
      <c r="F3468" s="5">
        <f>VLOOKUP(C3468,[1]master_data!$A$2:$E$495,3,FALSE)</f>
        <v>25000</v>
      </c>
      <c r="G3468" s="5">
        <f>VLOOKUP(C3468,[1]master_data!$A$2:$E$495,4,FALSE)</f>
        <v>35000</v>
      </c>
      <c r="H3468" s="5">
        <f t="shared" si="168"/>
        <v>25000</v>
      </c>
      <c r="I3468" s="5">
        <f t="shared" si="169"/>
        <v>35000</v>
      </c>
      <c r="J3468" s="5">
        <f t="shared" si="170"/>
        <v>10000</v>
      </c>
      <c r="K3468" s="5" t="str">
        <f>VLOOKUP(C3468,[1]master_data!$A$2:$E$495,5,FALSE)</f>
        <v>Ikan</v>
      </c>
      <c r="L3468" s="5" t="s">
        <v>471</v>
      </c>
    </row>
    <row r="3469" spans="1:12" ht="12" customHeight="1" x14ac:dyDescent="0.25">
      <c r="A3469" s="6">
        <v>44619</v>
      </c>
      <c r="B3469" s="1">
        <v>2201094</v>
      </c>
      <c r="C3469" s="5" t="s">
        <v>408</v>
      </c>
      <c r="D3469" s="5" t="str">
        <f>VLOOKUP(C3469,[1]master_data!$A$2:$E$495,2,FALSE)</f>
        <v>CATFISH</v>
      </c>
      <c r="E3469" s="5">
        <v>1</v>
      </c>
      <c r="F3469" s="5">
        <f>VLOOKUP(C3469,[1]master_data!$A$2:$E$495,3,FALSE)</f>
        <v>20000</v>
      </c>
      <c r="G3469" s="5">
        <f>VLOOKUP(C3469,[1]master_data!$A$2:$E$495,4,FALSE)</f>
        <v>50000</v>
      </c>
      <c r="H3469" s="5">
        <f t="shared" si="168"/>
        <v>20000</v>
      </c>
      <c r="I3469" s="5">
        <f t="shared" si="169"/>
        <v>50000</v>
      </c>
      <c r="J3469" s="5">
        <f t="shared" si="170"/>
        <v>30000</v>
      </c>
      <c r="K3469" s="5" t="str">
        <f>VLOOKUP(C3469,[1]master_data!$A$2:$E$495,5,FALSE)</f>
        <v>Ikan</v>
      </c>
      <c r="L3469" s="5" t="s">
        <v>471</v>
      </c>
    </row>
    <row r="3470" spans="1:12" ht="12" customHeight="1" x14ac:dyDescent="0.25">
      <c r="A3470" s="6">
        <v>44619</v>
      </c>
      <c r="B3470" s="1">
        <v>2201093</v>
      </c>
      <c r="C3470" s="5" t="s">
        <v>447</v>
      </c>
      <c r="D3470" s="5" t="str">
        <f>VLOOKUP(C3470,[1]master_data!$A$2:$E$495,2,FALSE)</f>
        <v>REDFIN ALBINO</v>
      </c>
      <c r="E3470" s="5">
        <v>3</v>
      </c>
      <c r="F3470" s="5">
        <f>VLOOKUP(C3470,[1]master_data!$A$2:$E$495,3,FALSE)</f>
        <v>1500</v>
      </c>
      <c r="G3470" s="5">
        <f>VLOOKUP(C3470,[1]master_data!$A$2:$E$495,4,FALSE)</f>
        <v>4000</v>
      </c>
      <c r="H3470" s="5">
        <f t="shared" si="168"/>
        <v>4500</v>
      </c>
      <c r="I3470" s="5">
        <f t="shared" si="169"/>
        <v>12000</v>
      </c>
      <c r="J3470" s="5">
        <f t="shared" si="170"/>
        <v>7500</v>
      </c>
      <c r="K3470" s="5" t="str">
        <f>VLOOKUP(C3470,[1]master_data!$A$2:$E$495,5,FALSE)</f>
        <v>Ikan</v>
      </c>
      <c r="L3470" s="5" t="s">
        <v>471</v>
      </c>
    </row>
    <row r="3471" spans="1:12" ht="12" customHeight="1" x14ac:dyDescent="0.25">
      <c r="A3471" s="6">
        <v>44619</v>
      </c>
      <c r="B3471" s="1">
        <v>2201092</v>
      </c>
      <c r="C3471" s="5" t="s">
        <v>432</v>
      </c>
      <c r="D3471" s="5" t="str">
        <f>VLOOKUP(C3471,[1]master_data!$A$2:$E$495,2,FALSE)</f>
        <v>MARU K</v>
      </c>
      <c r="E3471" s="5">
        <v>2</v>
      </c>
      <c r="F3471" s="5">
        <f>VLOOKUP(C3471,[1]master_data!$A$2:$E$495,3,FALSE)</f>
        <v>23000</v>
      </c>
      <c r="G3471" s="5">
        <f>VLOOKUP(C3471,[1]master_data!$A$2:$E$495,4,FALSE)</f>
        <v>50000</v>
      </c>
      <c r="H3471" s="5">
        <f t="shared" si="168"/>
        <v>46000</v>
      </c>
      <c r="I3471" s="5">
        <f t="shared" si="169"/>
        <v>100000</v>
      </c>
      <c r="J3471" s="5">
        <f t="shared" si="170"/>
        <v>54000</v>
      </c>
      <c r="K3471" s="5" t="str">
        <f>VLOOKUP(C3471,[1]master_data!$A$2:$E$495,5,FALSE)</f>
        <v>Ikan</v>
      </c>
      <c r="L3471" s="5" t="s">
        <v>471</v>
      </c>
    </row>
    <row r="3472" spans="1:12" ht="12" customHeight="1" x14ac:dyDescent="0.25">
      <c r="A3472" s="6">
        <v>44619</v>
      </c>
      <c r="B3472" s="1">
        <v>2201091</v>
      </c>
      <c r="C3472" s="5" t="s">
        <v>414</v>
      </c>
      <c r="D3472" s="5" t="str">
        <f>VLOOKUP(C3472,[1]master_data!$A$2:$E$495,2,FALSE)</f>
        <v>KOKI T</v>
      </c>
      <c r="E3472" s="5">
        <v>3</v>
      </c>
      <c r="F3472" s="5">
        <f>VLOOKUP(C3472,[1]master_data!$A$2:$E$495,3,FALSE)</f>
        <v>8000</v>
      </c>
      <c r="G3472" s="5">
        <f>VLOOKUP(C3472,[1]master_data!$A$2:$E$495,4,FALSE)</f>
        <v>15000</v>
      </c>
      <c r="H3472" s="5">
        <f t="shared" si="168"/>
        <v>24000</v>
      </c>
      <c r="I3472" s="5">
        <f t="shared" si="169"/>
        <v>45000</v>
      </c>
      <c r="J3472" s="5">
        <f t="shared" si="170"/>
        <v>21000</v>
      </c>
      <c r="K3472" s="5" t="str">
        <f>VLOOKUP(C3472,[1]master_data!$A$2:$E$495,5,FALSE)</f>
        <v>Ikan</v>
      </c>
      <c r="L3472" s="5" t="s">
        <v>471</v>
      </c>
    </row>
    <row r="3473" spans="1:12" ht="12" customHeight="1" x14ac:dyDescent="0.25">
      <c r="A3473" s="6">
        <v>44619</v>
      </c>
      <c r="B3473" s="1">
        <v>2201090</v>
      </c>
      <c r="C3473" s="5" t="s">
        <v>431</v>
      </c>
      <c r="D3473" s="5" t="str">
        <f>VLOOKUP(C3473,[1]master_data!$A$2:$E$495,2,FALSE)</f>
        <v>MANFISH B</v>
      </c>
      <c r="E3473" s="5">
        <v>3</v>
      </c>
      <c r="F3473" s="5">
        <f>VLOOKUP(C3473,[1]master_data!$A$2:$E$495,3,FALSE)</f>
        <v>4000</v>
      </c>
      <c r="G3473" s="5">
        <f>VLOOKUP(C3473,[1]master_data!$A$2:$E$495,4,FALSE)</f>
        <v>10000</v>
      </c>
      <c r="H3473" s="5">
        <f t="shared" si="168"/>
        <v>12000</v>
      </c>
      <c r="I3473" s="5">
        <f t="shared" si="169"/>
        <v>30000</v>
      </c>
      <c r="J3473" s="5">
        <f t="shared" si="170"/>
        <v>18000</v>
      </c>
      <c r="K3473" s="5" t="str">
        <f>VLOOKUP(C3473,[1]master_data!$A$2:$E$495,5,FALSE)</f>
        <v>Ikan</v>
      </c>
      <c r="L3473" s="5" t="s">
        <v>471</v>
      </c>
    </row>
    <row r="3474" spans="1:12" ht="12" customHeight="1" x14ac:dyDescent="0.25">
      <c r="A3474" s="6">
        <v>44619</v>
      </c>
      <c r="B3474" s="1">
        <v>2201089</v>
      </c>
      <c r="C3474" s="5" t="s">
        <v>455</v>
      </c>
      <c r="D3474" s="5" t="str">
        <f>VLOOKUP(C3474,[1]master_data!$A$2:$E$495,2,FALSE)</f>
        <v>TETRA</v>
      </c>
      <c r="E3474" s="5">
        <v>10</v>
      </c>
      <c r="F3474" s="5">
        <f>VLOOKUP(C3474,[1]master_data!$A$2:$E$495,3,FALSE)</f>
        <v>800</v>
      </c>
      <c r="G3474" s="5">
        <f>VLOOKUP(C3474,[1]master_data!$A$2:$E$495,4,FALSE)</f>
        <v>2000</v>
      </c>
      <c r="H3474" s="5">
        <f t="shared" si="168"/>
        <v>8000</v>
      </c>
      <c r="I3474" s="5">
        <f t="shared" si="169"/>
        <v>20000</v>
      </c>
      <c r="J3474" s="5">
        <f t="shared" si="170"/>
        <v>12000</v>
      </c>
      <c r="K3474" s="5" t="str">
        <f>VLOOKUP(C3474,[1]master_data!$A$2:$E$495,5,FALSE)</f>
        <v>Ikan</v>
      </c>
      <c r="L3474" s="5" t="s">
        <v>471</v>
      </c>
    </row>
    <row r="3475" spans="1:12" ht="12" customHeight="1" x14ac:dyDescent="0.25">
      <c r="A3475" s="6">
        <v>44619</v>
      </c>
      <c r="B3475" s="1">
        <v>2201088</v>
      </c>
      <c r="C3475" s="5" t="s">
        <v>307</v>
      </c>
      <c r="D3475" s="5" t="str">
        <f>VLOOKUP(C3475,[1]master_data!$A$2:$E$495,2,FALSE)</f>
        <v>QUICK FILTER</v>
      </c>
      <c r="E3475" s="5">
        <v>1</v>
      </c>
      <c r="F3475" s="5">
        <f>VLOOKUP(C3475,[1]master_data!$A$2:$E$495,3,FALSE)</f>
        <v>12000</v>
      </c>
      <c r="G3475" s="5">
        <f>VLOOKUP(C3475,[1]master_data!$A$2:$E$495,4,FALSE)</f>
        <v>20000</v>
      </c>
      <c r="H3475" s="5">
        <f t="shared" si="168"/>
        <v>12000</v>
      </c>
      <c r="I3475" s="5">
        <f t="shared" si="169"/>
        <v>20000</v>
      </c>
      <c r="J3475" s="5">
        <f t="shared" si="170"/>
        <v>8000</v>
      </c>
      <c r="K3475" s="5" t="str">
        <f>VLOOKUP(C3475,[1]master_data!$A$2:$E$495,5,FALSE)</f>
        <v>Aksesoris</v>
      </c>
      <c r="L3475" s="5" t="s">
        <v>471</v>
      </c>
    </row>
    <row r="3476" spans="1:12" ht="12" customHeight="1" x14ac:dyDescent="0.25">
      <c r="A3476" s="6">
        <v>44619</v>
      </c>
      <c r="B3476" s="1">
        <v>2201087</v>
      </c>
      <c r="C3476" s="5" t="s">
        <v>413</v>
      </c>
      <c r="D3476" s="5" t="str">
        <f>VLOOKUP(C3476,[1]master_data!$A$2:$E$495,2,FALSE)</f>
        <v>KOKI K</v>
      </c>
      <c r="E3476" s="5">
        <v>2</v>
      </c>
      <c r="F3476" s="5">
        <f>VLOOKUP(C3476,[1]master_data!$A$2:$E$495,3,FALSE)</f>
        <v>3500</v>
      </c>
      <c r="G3476" s="5">
        <f>VLOOKUP(C3476,[1]master_data!$A$2:$E$495,4,FALSE)</f>
        <v>10000</v>
      </c>
      <c r="H3476" s="5">
        <f t="shared" si="168"/>
        <v>7000</v>
      </c>
      <c r="I3476" s="5">
        <f t="shared" si="169"/>
        <v>20000</v>
      </c>
      <c r="J3476" s="5">
        <f t="shared" si="170"/>
        <v>13000</v>
      </c>
      <c r="K3476" s="5" t="str">
        <f>VLOOKUP(C3476,[1]master_data!$A$2:$E$495,5,FALSE)</f>
        <v>Ikan</v>
      </c>
      <c r="L3476" s="5" t="s">
        <v>471</v>
      </c>
    </row>
    <row r="3477" spans="1:12" ht="12" customHeight="1" x14ac:dyDescent="0.25">
      <c r="A3477" s="6">
        <v>44619</v>
      </c>
      <c r="B3477" s="1">
        <v>2201086</v>
      </c>
      <c r="C3477" s="5" t="s">
        <v>7</v>
      </c>
      <c r="D3477" s="5" t="str">
        <f>VLOOKUP(C3477,[1]master_data!$A$2:$E$495,2,FALSE)</f>
        <v>MESIN YANG 1600</v>
      </c>
      <c r="E3477" s="5">
        <v>1</v>
      </c>
      <c r="F3477" s="5">
        <f>VLOOKUP(C3477,[1]master_data!$A$2:$E$495,3,FALSE)</f>
        <v>64000</v>
      </c>
      <c r="G3477" s="5">
        <f>VLOOKUP(C3477,[1]master_data!$A$2:$E$495,4,FALSE)</f>
        <v>90000</v>
      </c>
      <c r="H3477" s="5">
        <f t="shared" si="168"/>
        <v>64000</v>
      </c>
      <c r="I3477" s="5">
        <f t="shared" si="169"/>
        <v>90000</v>
      </c>
      <c r="J3477" s="5">
        <f t="shared" si="170"/>
        <v>26000</v>
      </c>
      <c r="K3477" s="5" t="str">
        <f>VLOOKUP(C3477,[1]master_data!$A$2:$E$495,5,FALSE)</f>
        <v>Aksesoris</v>
      </c>
      <c r="L3477" s="5" t="s">
        <v>471</v>
      </c>
    </row>
    <row r="3478" spans="1:12" ht="12" customHeight="1" x14ac:dyDescent="0.25">
      <c r="A3478" s="6">
        <v>44619</v>
      </c>
      <c r="B3478" s="1">
        <v>2201085</v>
      </c>
      <c r="C3478" s="5" t="s">
        <v>310</v>
      </c>
      <c r="D3478" s="5" t="str">
        <f>VLOOKUP(C3478,[1]master_data!$A$2:$E$495,2,FALSE)</f>
        <v>SELANG FUSO</v>
      </c>
      <c r="E3478" s="5">
        <v>10</v>
      </c>
      <c r="F3478" s="5">
        <f>VLOOKUP(C3478,[1]master_data!$A$2:$E$495,3,FALSE)</f>
        <v>800</v>
      </c>
      <c r="G3478" s="5">
        <f>VLOOKUP(C3478,[1]master_data!$A$2:$E$495,4,FALSE)</f>
        <v>2000</v>
      </c>
      <c r="H3478" s="5">
        <f t="shared" si="168"/>
        <v>8000</v>
      </c>
      <c r="I3478" s="5">
        <f t="shared" si="169"/>
        <v>20000</v>
      </c>
      <c r="J3478" s="5">
        <f t="shared" si="170"/>
        <v>12000</v>
      </c>
      <c r="K3478" s="5" t="str">
        <f>VLOOKUP(C3478,[1]master_data!$A$2:$E$495,5,FALSE)</f>
        <v>Aksesoris</v>
      </c>
      <c r="L3478" s="5" t="s">
        <v>471</v>
      </c>
    </row>
    <row r="3479" spans="1:12" ht="12" customHeight="1" x14ac:dyDescent="0.25">
      <c r="A3479" s="6">
        <v>44619</v>
      </c>
      <c r="B3479" s="1">
        <v>2201084</v>
      </c>
      <c r="C3479" s="5" t="s">
        <v>444</v>
      </c>
      <c r="D3479" s="5" t="str">
        <f>VLOOKUP(C3479,[1]master_data!$A$2:$E$495,2,FALSE)</f>
        <v>PARROT</v>
      </c>
      <c r="E3479" s="5">
        <v>1</v>
      </c>
      <c r="F3479" s="5">
        <f>VLOOKUP(C3479,[1]master_data!$A$2:$E$495,3,FALSE)</f>
        <v>27000</v>
      </c>
      <c r="G3479" s="5">
        <f>VLOOKUP(C3479,[1]master_data!$A$2:$E$495,4,FALSE)</f>
        <v>60000</v>
      </c>
      <c r="H3479" s="5">
        <f t="shared" si="168"/>
        <v>27000</v>
      </c>
      <c r="I3479" s="5">
        <f t="shared" si="169"/>
        <v>60000</v>
      </c>
      <c r="J3479" s="5">
        <f t="shared" si="170"/>
        <v>33000</v>
      </c>
      <c r="K3479" s="5" t="str">
        <f>VLOOKUP(C3479,[1]master_data!$A$2:$E$495,5,FALSE)</f>
        <v>Ikan</v>
      </c>
      <c r="L3479" s="5" t="s">
        <v>471</v>
      </c>
    </row>
    <row r="3480" spans="1:12" ht="12" customHeight="1" x14ac:dyDescent="0.25">
      <c r="A3480" s="6">
        <v>44619</v>
      </c>
      <c r="B3480" s="1">
        <v>2201083</v>
      </c>
      <c r="C3480" s="5" t="s">
        <v>115</v>
      </c>
      <c r="D3480" s="5" t="str">
        <f>VLOOKUP(C3480,[1]master_data!$A$2:$E$495,2,FALSE)</f>
        <v>LED ROSTON 30 CM</v>
      </c>
      <c r="E3480" s="5">
        <v>1</v>
      </c>
      <c r="F3480" s="5">
        <f>VLOOKUP(C3480,[1]master_data!$A$2:$E$495,3,FALSE)</f>
        <v>21000</v>
      </c>
      <c r="G3480" s="5">
        <f>VLOOKUP(C3480,[1]master_data!$A$2:$E$495,4,FALSE)</f>
        <v>35000</v>
      </c>
      <c r="H3480" s="5">
        <f t="shared" si="168"/>
        <v>21000</v>
      </c>
      <c r="I3480" s="5">
        <f t="shared" si="169"/>
        <v>35000</v>
      </c>
      <c r="J3480" s="5">
        <f t="shared" si="170"/>
        <v>14000</v>
      </c>
      <c r="K3480" s="5" t="str">
        <f>VLOOKUP(C3480,[1]master_data!$A$2:$E$495,5,FALSE)</f>
        <v>Aksesoris</v>
      </c>
      <c r="L3480" s="5" t="s">
        <v>471</v>
      </c>
    </row>
    <row r="3481" spans="1:12" ht="12" customHeight="1" x14ac:dyDescent="0.25">
      <c r="A3481" s="6">
        <v>44619</v>
      </c>
      <c r="B3481" s="1">
        <v>2201082</v>
      </c>
      <c r="C3481" s="5" t="s">
        <v>405</v>
      </c>
      <c r="D3481" s="5" t="str">
        <f>VLOOKUP(C3481,[1]master_data!$A$2:$E$495,2,FALSE)</f>
        <v>KOMET BOKIM</v>
      </c>
      <c r="E3481" s="5">
        <v>5</v>
      </c>
      <c r="F3481" s="5">
        <f>VLOOKUP(C3481,[1]master_data!$A$2:$E$495,3,FALSE)</f>
        <v>1500</v>
      </c>
      <c r="G3481" s="5">
        <f>VLOOKUP(C3481,[1]master_data!$A$2:$E$495,4,FALSE)</f>
        <v>5000</v>
      </c>
      <c r="H3481" s="5">
        <f t="shared" si="168"/>
        <v>7500</v>
      </c>
      <c r="I3481" s="5">
        <f t="shared" si="169"/>
        <v>25000</v>
      </c>
      <c r="J3481" s="5">
        <f t="shared" si="170"/>
        <v>17500</v>
      </c>
      <c r="K3481" s="5" t="str">
        <f>VLOOKUP(C3481,[1]master_data!$A$2:$E$495,5,FALSE)</f>
        <v>Ikan</v>
      </c>
      <c r="L3481" s="5" t="s">
        <v>471</v>
      </c>
    </row>
    <row r="3482" spans="1:12" ht="12" customHeight="1" x14ac:dyDescent="0.25">
      <c r="A3482" s="6">
        <v>44619</v>
      </c>
      <c r="B3482" s="1">
        <v>2201081</v>
      </c>
      <c r="C3482" s="5" t="s">
        <v>461</v>
      </c>
      <c r="D3482" s="5" t="str">
        <f>VLOOKUP(C3482,[1]master_data!$A$2:$E$495,2,FALSE)</f>
        <v>SEPAT</v>
      </c>
      <c r="E3482" s="5">
        <v>5</v>
      </c>
      <c r="F3482" s="5">
        <f>VLOOKUP(C3482,[1]master_data!$A$2:$E$495,3,FALSE)</f>
        <v>600</v>
      </c>
      <c r="G3482" s="5">
        <f>VLOOKUP(C3482,[1]master_data!$A$2:$E$495,4,FALSE)</f>
        <v>2000</v>
      </c>
      <c r="H3482" s="5">
        <f t="shared" si="168"/>
        <v>3000</v>
      </c>
      <c r="I3482" s="5">
        <f t="shared" si="169"/>
        <v>10000</v>
      </c>
      <c r="J3482" s="5">
        <f t="shared" si="170"/>
        <v>7000</v>
      </c>
      <c r="K3482" s="5" t="str">
        <f>VLOOKUP(C3482,[1]master_data!$A$2:$E$495,5,FALSE)</f>
        <v>Ikan</v>
      </c>
      <c r="L3482" s="5" t="s">
        <v>471</v>
      </c>
    </row>
    <row r="3483" spans="1:12" ht="12" customHeight="1" x14ac:dyDescent="0.25">
      <c r="A3483" s="6">
        <v>44618</v>
      </c>
      <c r="B3483" s="1">
        <v>2201080</v>
      </c>
      <c r="C3483" s="5" t="s">
        <v>313</v>
      </c>
      <c r="D3483" s="5" t="str">
        <f>VLOOKUP(C3483,[1]master_data!$A$2:$E$495,2,FALSE)</f>
        <v>LURUS PIPA</v>
      </c>
      <c r="E3483" s="5">
        <v>15</v>
      </c>
      <c r="F3483" s="5">
        <f>VLOOKUP(C3483,[1]master_data!$A$2:$E$495,3,FALSE)</f>
        <v>800</v>
      </c>
      <c r="G3483" s="5">
        <f>VLOOKUP(C3483,[1]master_data!$A$2:$E$495,4,FALSE)</f>
        <v>2000</v>
      </c>
      <c r="H3483" s="5">
        <f t="shared" si="168"/>
        <v>12000</v>
      </c>
      <c r="I3483" s="5">
        <f t="shared" si="169"/>
        <v>30000</v>
      </c>
      <c r="J3483" s="5">
        <f t="shared" si="170"/>
        <v>18000</v>
      </c>
      <c r="K3483" s="5" t="str">
        <f>VLOOKUP(C3483,[1]master_data!$A$2:$E$495,5,FALSE)</f>
        <v>Aksesoris</v>
      </c>
      <c r="L3483" s="5" t="s">
        <v>471</v>
      </c>
    </row>
    <row r="3484" spans="1:12" ht="12" customHeight="1" x14ac:dyDescent="0.25">
      <c r="A3484" s="6">
        <v>44618</v>
      </c>
      <c r="B3484" s="1">
        <v>2201079</v>
      </c>
      <c r="C3484" s="5" t="s">
        <v>20</v>
      </c>
      <c r="D3484" s="5" t="str">
        <f>VLOOKUP(C3484,[1]master_data!$A$2:$E$495,2,FALSE)</f>
        <v>MESIN ROSTON 1200</v>
      </c>
      <c r="E3484" s="5">
        <v>1</v>
      </c>
      <c r="F3484" s="5">
        <f>VLOOKUP(C3484,[1]master_data!$A$2:$E$495,3,FALSE)</f>
        <v>23000</v>
      </c>
      <c r="G3484" s="5">
        <f>VLOOKUP(C3484,[1]master_data!$A$2:$E$495,4,FALSE)</f>
        <v>35000</v>
      </c>
      <c r="H3484" s="5">
        <f t="shared" si="168"/>
        <v>23000</v>
      </c>
      <c r="I3484" s="5">
        <f t="shared" si="169"/>
        <v>35000</v>
      </c>
      <c r="J3484" s="5">
        <f t="shared" si="170"/>
        <v>12000</v>
      </c>
      <c r="K3484" s="5" t="str">
        <f>VLOOKUP(C3484,[1]master_data!$A$2:$E$495,5,FALSE)</f>
        <v>Aksesoris</v>
      </c>
      <c r="L3484" s="5" t="s">
        <v>471</v>
      </c>
    </row>
    <row r="3485" spans="1:12" ht="12" customHeight="1" x14ac:dyDescent="0.25">
      <c r="A3485" s="6">
        <v>44618</v>
      </c>
      <c r="B3485" s="1">
        <v>2201078</v>
      </c>
      <c r="C3485" s="5" t="s">
        <v>413</v>
      </c>
      <c r="D3485" s="5" t="str">
        <f>VLOOKUP(C3485,[1]master_data!$A$2:$E$495,2,FALSE)</f>
        <v>KOKI K</v>
      </c>
      <c r="E3485" s="5">
        <v>20</v>
      </c>
      <c r="F3485" s="5">
        <f>VLOOKUP(C3485,[1]master_data!$A$2:$E$495,3,FALSE)</f>
        <v>3500</v>
      </c>
      <c r="G3485" s="5">
        <f>VLOOKUP(C3485,[1]master_data!$A$2:$E$495,4,FALSE)</f>
        <v>10000</v>
      </c>
      <c r="H3485" s="5">
        <f t="shared" si="168"/>
        <v>70000</v>
      </c>
      <c r="I3485" s="5">
        <f t="shared" si="169"/>
        <v>200000</v>
      </c>
      <c r="J3485" s="5">
        <f t="shared" si="170"/>
        <v>130000</v>
      </c>
      <c r="K3485" s="5" t="str">
        <f>VLOOKUP(C3485,[1]master_data!$A$2:$E$495,5,FALSE)</f>
        <v>Ikan</v>
      </c>
      <c r="L3485" s="5" t="s">
        <v>471</v>
      </c>
    </row>
    <row r="3486" spans="1:12" ht="12" customHeight="1" x14ac:dyDescent="0.25">
      <c r="A3486" s="6">
        <v>44618</v>
      </c>
      <c r="B3486" s="1">
        <v>2201077</v>
      </c>
      <c r="C3486" s="5" t="s">
        <v>46</v>
      </c>
      <c r="D3486" s="5" t="str">
        <f>VLOOKUP(C3486,[1]master_data!$A$2:$E$495,2,FALSE)</f>
        <v>MESIN NIKITA 104</v>
      </c>
      <c r="E3486" s="5">
        <v>1</v>
      </c>
      <c r="F3486" s="5">
        <f>VLOOKUP(C3486,[1]master_data!$A$2:$E$495,3,FALSE)</f>
        <v>70000</v>
      </c>
      <c r="G3486" s="5">
        <f>VLOOKUP(C3486,[1]master_data!$A$2:$E$495,4,FALSE)</f>
        <v>120000</v>
      </c>
      <c r="H3486" s="5">
        <f t="shared" si="168"/>
        <v>70000</v>
      </c>
      <c r="I3486" s="5">
        <f t="shared" si="169"/>
        <v>120000</v>
      </c>
      <c r="J3486" s="5">
        <f t="shared" si="170"/>
        <v>50000</v>
      </c>
      <c r="K3486" s="5" t="str">
        <f>VLOOKUP(C3486,[1]master_data!$A$2:$E$495,5,FALSE)</f>
        <v>Aksesoris</v>
      </c>
      <c r="L3486" s="5" t="s">
        <v>471</v>
      </c>
    </row>
    <row r="3487" spans="1:12" ht="12" customHeight="1" x14ac:dyDescent="0.25">
      <c r="A3487" s="6">
        <v>44618</v>
      </c>
      <c r="B3487" s="1">
        <v>2201076</v>
      </c>
      <c r="C3487" s="5" t="s">
        <v>401</v>
      </c>
      <c r="D3487" s="5" t="str">
        <f>VLOOKUP(C3487,[1]master_data!$A$2:$E$495,2,FALSE)</f>
        <v>BALA BALA B</v>
      </c>
      <c r="E3487" s="5">
        <v>2</v>
      </c>
      <c r="F3487" s="5">
        <f>VLOOKUP(C3487,[1]master_data!$A$2:$E$495,3,FALSE)</f>
        <v>7000</v>
      </c>
      <c r="G3487" s="5">
        <f>VLOOKUP(C3487,[1]master_data!$A$2:$E$495,4,FALSE)</f>
        <v>15000</v>
      </c>
      <c r="H3487" s="5">
        <f t="shared" si="168"/>
        <v>14000</v>
      </c>
      <c r="I3487" s="5">
        <f t="shared" si="169"/>
        <v>30000</v>
      </c>
      <c r="J3487" s="5">
        <f t="shared" si="170"/>
        <v>16000</v>
      </c>
      <c r="K3487" s="5" t="str">
        <f>VLOOKUP(C3487,[1]master_data!$A$2:$E$495,5,FALSE)</f>
        <v>Ikan</v>
      </c>
      <c r="L3487" s="5" t="s">
        <v>471</v>
      </c>
    </row>
    <row r="3488" spans="1:12" ht="12" customHeight="1" x14ac:dyDescent="0.25">
      <c r="A3488" s="6">
        <v>44618</v>
      </c>
      <c r="B3488" s="1">
        <v>2201075</v>
      </c>
      <c r="C3488" s="5" t="s">
        <v>410</v>
      </c>
      <c r="D3488" s="5" t="str">
        <f>VLOOKUP(C3488,[1]master_data!$A$2:$E$495,2,FALSE)</f>
        <v>GUPY</v>
      </c>
      <c r="E3488" s="5">
        <v>10</v>
      </c>
      <c r="F3488" s="5">
        <f>VLOOKUP(C3488,[1]master_data!$A$2:$E$495,3,FALSE)</f>
        <v>1200</v>
      </c>
      <c r="G3488" s="5">
        <f>VLOOKUP(C3488,[1]master_data!$A$2:$E$495,4,FALSE)</f>
        <v>2500</v>
      </c>
      <c r="H3488" s="5">
        <f t="shared" si="168"/>
        <v>12000</v>
      </c>
      <c r="I3488" s="5">
        <f t="shared" si="169"/>
        <v>25000</v>
      </c>
      <c r="J3488" s="5">
        <f t="shared" si="170"/>
        <v>13000</v>
      </c>
      <c r="K3488" s="5" t="str">
        <f>VLOOKUP(C3488,[1]master_data!$A$2:$E$495,5,FALSE)</f>
        <v>Ikan</v>
      </c>
      <c r="L3488" s="5" t="s">
        <v>471</v>
      </c>
    </row>
    <row r="3489" spans="1:12" ht="12" customHeight="1" x14ac:dyDescent="0.25">
      <c r="A3489" s="6">
        <v>44618</v>
      </c>
      <c r="B3489" s="1">
        <v>2201074</v>
      </c>
      <c r="C3489" s="5" t="s">
        <v>309</v>
      </c>
      <c r="D3489" s="5" t="str">
        <f>VLOOKUP(C3489,[1]master_data!$A$2:$E$495,2,FALSE)</f>
        <v>SELANG SPIRAL</v>
      </c>
      <c r="E3489" s="5">
        <v>1</v>
      </c>
      <c r="F3489" s="5">
        <f>VLOOKUP(C3489,[1]master_data!$A$2:$E$495,3,FALSE)</f>
        <v>2600</v>
      </c>
      <c r="G3489" s="5">
        <f>VLOOKUP(C3489,[1]master_data!$A$2:$E$495,4,FALSE)</f>
        <v>5000</v>
      </c>
      <c r="H3489" s="5">
        <f t="shared" si="168"/>
        <v>2600</v>
      </c>
      <c r="I3489" s="5">
        <f t="shared" si="169"/>
        <v>5000</v>
      </c>
      <c r="J3489" s="5">
        <f t="shared" si="170"/>
        <v>2400</v>
      </c>
      <c r="K3489" s="5" t="str">
        <f>VLOOKUP(C3489,[1]master_data!$A$2:$E$495,5,FALSE)</f>
        <v>Aksesoris</v>
      </c>
      <c r="L3489" s="5" t="s">
        <v>471</v>
      </c>
    </row>
    <row r="3490" spans="1:12" ht="12" customHeight="1" x14ac:dyDescent="0.25">
      <c r="A3490" s="6">
        <v>44618</v>
      </c>
      <c r="B3490" s="1">
        <v>2201073</v>
      </c>
      <c r="C3490" s="5" t="s">
        <v>418</v>
      </c>
      <c r="D3490" s="5" t="str">
        <f>VLOOKUP(C3490,[1]master_data!$A$2:$E$495,2,FALSE)</f>
        <v>KOI B</v>
      </c>
      <c r="E3490" s="5">
        <v>2</v>
      </c>
      <c r="F3490" s="5">
        <f>VLOOKUP(C3490,[1]master_data!$A$2:$E$495,3,FALSE)</f>
        <v>9000</v>
      </c>
      <c r="G3490" s="5">
        <f>VLOOKUP(C3490,[1]master_data!$A$2:$E$495,4,FALSE)</f>
        <v>30000</v>
      </c>
      <c r="H3490" s="5">
        <f t="shared" si="168"/>
        <v>18000</v>
      </c>
      <c r="I3490" s="5">
        <f t="shared" si="169"/>
        <v>60000</v>
      </c>
      <c r="J3490" s="5">
        <f t="shared" si="170"/>
        <v>42000</v>
      </c>
      <c r="K3490" s="5" t="str">
        <f>VLOOKUP(C3490,[1]master_data!$A$2:$E$495,5,FALSE)</f>
        <v>Ikan</v>
      </c>
      <c r="L3490" s="5" t="s">
        <v>471</v>
      </c>
    </row>
    <row r="3491" spans="1:12" ht="12" customHeight="1" x14ac:dyDescent="0.25">
      <c r="A3491" s="6">
        <v>44618</v>
      </c>
      <c r="B3491" s="1">
        <v>2201072</v>
      </c>
      <c r="C3491" s="5" t="s">
        <v>407</v>
      </c>
      <c r="D3491" s="5" t="str">
        <f>VLOOKUP(C3491,[1]master_data!$A$2:$E$495,2,FALSE)</f>
        <v>CUPANG</v>
      </c>
      <c r="E3491" s="5">
        <v>1</v>
      </c>
      <c r="F3491" s="5">
        <f>VLOOKUP(C3491,[1]master_data!$A$2:$E$495,3,FALSE)</f>
        <v>2000</v>
      </c>
      <c r="G3491" s="5">
        <f>VLOOKUP(C3491,[1]master_data!$A$2:$E$495,4,FALSE)</f>
        <v>5000</v>
      </c>
      <c r="H3491" s="5">
        <f t="shared" si="168"/>
        <v>2000</v>
      </c>
      <c r="I3491" s="5">
        <f t="shared" si="169"/>
        <v>5000</v>
      </c>
      <c r="J3491" s="5">
        <f t="shared" si="170"/>
        <v>3000</v>
      </c>
      <c r="K3491" s="5" t="str">
        <f>VLOOKUP(C3491,[1]master_data!$A$2:$E$495,5,FALSE)</f>
        <v>Ikan</v>
      </c>
      <c r="L3491" s="5" t="s">
        <v>471</v>
      </c>
    </row>
    <row r="3492" spans="1:12" ht="12" customHeight="1" x14ac:dyDescent="0.25">
      <c r="A3492" s="6">
        <v>44618</v>
      </c>
      <c r="B3492" s="1">
        <v>2201071</v>
      </c>
      <c r="C3492" s="5" t="s">
        <v>451</v>
      </c>
      <c r="D3492" s="5" t="str">
        <f>VLOOKUP(C3492,[1]master_data!$A$2:$E$495,2,FALSE)</f>
        <v>SUMATRA GOLD FISH</v>
      </c>
      <c r="E3492" s="5">
        <v>10</v>
      </c>
      <c r="F3492" s="5">
        <f>VLOOKUP(C3492,[1]master_data!$A$2:$E$495,3,FALSE)</f>
        <v>2500</v>
      </c>
      <c r="G3492" s="5">
        <f>VLOOKUP(C3492,[1]master_data!$A$2:$E$495,4,FALSE)</f>
        <v>4000</v>
      </c>
      <c r="H3492" s="5">
        <f t="shared" si="168"/>
        <v>25000</v>
      </c>
      <c r="I3492" s="5">
        <f t="shared" si="169"/>
        <v>40000</v>
      </c>
      <c r="J3492" s="5">
        <f t="shared" si="170"/>
        <v>15000</v>
      </c>
      <c r="K3492" s="5" t="str">
        <f>VLOOKUP(C3492,[1]master_data!$A$2:$E$495,5,FALSE)</f>
        <v>Ikan</v>
      </c>
      <c r="L3492" s="5" t="s">
        <v>471</v>
      </c>
    </row>
    <row r="3493" spans="1:12" ht="12" customHeight="1" x14ac:dyDescent="0.25">
      <c r="A3493" s="6">
        <v>44618</v>
      </c>
      <c r="B3493" s="1">
        <v>2201070</v>
      </c>
      <c r="C3493" s="5" t="s">
        <v>452</v>
      </c>
      <c r="D3493" s="5" t="str">
        <f>VLOOKUP(C3493,[1]master_data!$A$2:$E$495,2,FALSE)</f>
        <v>SNOW WHITE</v>
      </c>
      <c r="E3493" s="5">
        <v>10</v>
      </c>
      <c r="F3493" s="5">
        <f>VLOOKUP(C3493,[1]master_data!$A$2:$E$495,3,FALSE)</f>
        <v>1500</v>
      </c>
      <c r="G3493" s="5">
        <f>VLOOKUP(C3493,[1]master_data!$A$2:$E$495,4,FALSE)</f>
        <v>3000</v>
      </c>
      <c r="H3493" s="5">
        <f t="shared" si="168"/>
        <v>15000</v>
      </c>
      <c r="I3493" s="5">
        <f t="shared" si="169"/>
        <v>30000</v>
      </c>
      <c r="J3493" s="5">
        <f t="shared" si="170"/>
        <v>15000</v>
      </c>
      <c r="K3493" s="5" t="str">
        <f>VLOOKUP(C3493,[1]master_data!$A$2:$E$495,5,FALSE)</f>
        <v>Ikan</v>
      </c>
      <c r="L3493" s="5" t="s">
        <v>471</v>
      </c>
    </row>
    <row r="3494" spans="1:12" ht="12" customHeight="1" x14ac:dyDescent="0.25">
      <c r="A3494" s="6">
        <v>44618</v>
      </c>
      <c r="B3494" s="1">
        <v>2201069</v>
      </c>
      <c r="C3494" s="5" t="s">
        <v>442</v>
      </c>
      <c r="D3494" s="5" t="str">
        <f>VLOOKUP(C3494,[1]master_data!$A$2:$E$495,2,FALSE)</f>
        <v>PEMBERSIH KACA ALBINO</v>
      </c>
      <c r="E3494" s="5">
        <v>2</v>
      </c>
      <c r="F3494" s="5">
        <f>VLOOKUP(C3494,[1]master_data!$A$2:$E$495,3,FALSE)</f>
        <v>2500</v>
      </c>
      <c r="G3494" s="5">
        <f>VLOOKUP(C3494,[1]master_data!$A$2:$E$495,4,FALSE)</f>
        <v>5000</v>
      </c>
      <c r="H3494" s="5">
        <f t="shared" si="168"/>
        <v>5000</v>
      </c>
      <c r="I3494" s="5">
        <f t="shared" si="169"/>
        <v>10000</v>
      </c>
      <c r="J3494" s="5">
        <f t="shared" si="170"/>
        <v>5000</v>
      </c>
      <c r="K3494" s="5" t="str">
        <f>VLOOKUP(C3494,[1]master_data!$A$2:$E$495,5,FALSE)</f>
        <v>Ikan</v>
      </c>
      <c r="L3494" s="5" t="s">
        <v>471</v>
      </c>
    </row>
    <row r="3495" spans="1:12" ht="12" customHeight="1" x14ac:dyDescent="0.25">
      <c r="A3495" s="6">
        <v>44618</v>
      </c>
      <c r="B3495" s="1">
        <v>2201068</v>
      </c>
      <c r="C3495" s="5" t="s">
        <v>409</v>
      </c>
      <c r="D3495" s="5" t="str">
        <f>VLOOKUP(C3495,[1]master_data!$A$2:$E$495,2,FALSE)</f>
        <v>GOLD FISH</v>
      </c>
      <c r="E3495" s="5">
        <v>10</v>
      </c>
      <c r="F3495" s="5">
        <f>VLOOKUP(C3495,[1]master_data!$A$2:$E$495,3,FALSE)</f>
        <v>800</v>
      </c>
      <c r="G3495" s="5">
        <f>VLOOKUP(C3495,[1]master_data!$A$2:$E$495,4,FALSE)</f>
        <v>2000</v>
      </c>
      <c r="H3495" s="5">
        <f t="shared" si="168"/>
        <v>8000</v>
      </c>
      <c r="I3495" s="5">
        <f t="shared" si="169"/>
        <v>20000</v>
      </c>
      <c r="J3495" s="5">
        <f t="shared" si="170"/>
        <v>12000</v>
      </c>
      <c r="K3495" s="5" t="str">
        <f>VLOOKUP(C3495,[1]master_data!$A$2:$E$495,5,FALSE)</f>
        <v>Ikan</v>
      </c>
      <c r="L3495" s="5" t="s">
        <v>471</v>
      </c>
    </row>
    <row r="3496" spans="1:12" ht="12" customHeight="1" x14ac:dyDescent="0.25">
      <c r="A3496" s="6">
        <v>44618</v>
      </c>
      <c r="B3496" s="1">
        <v>2201067</v>
      </c>
      <c r="C3496" s="5" t="s">
        <v>413</v>
      </c>
      <c r="D3496" s="5" t="str">
        <f>VLOOKUP(C3496,[1]master_data!$A$2:$E$495,2,FALSE)</f>
        <v>KOKI K</v>
      </c>
      <c r="E3496" s="5">
        <v>3</v>
      </c>
      <c r="F3496" s="5">
        <f>VLOOKUP(C3496,[1]master_data!$A$2:$E$495,3,FALSE)</f>
        <v>3500</v>
      </c>
      <c r="G3496" s="5">
        <f>VLOOKUP(C3496,[1]master_data!$A$2:$E$495,4,FALSE)</f>
        <v>10000</v>
      </c>
      <c r="H3496" s="5">
        <f t="shared" si="168"/>
        <v>10500</v>
      </c>
      <c r="I3496" s="5">
        <f t="shared" si="169"/>
        <v>30000</v>
      </c>
      <c r="J3496" s="5">
        <f t="shared" si="170"/>
        <v>19500</v>
      </c>
      <c r="K3496" s="5" t="str">
        <f>VLOOKUP(C3496,[1]master_data!$A$2:$E$495,5,FALSE)</f>
        <v>Ikan</v>
      </c>
      <c r="L3496" s="5" t="s">
        <v>471</v>
      </c>
    </row>
    <row r="3497" spans="1:12" ht="12" customHeight="1" x14ac:dyDescent="0.25">
      <c r="A3497" s="6">
        <v>44618</v>
      </c>
      <c r="B3497" s="1">
        <v>2201066</v>
      </c>
      <c r="C3497" s="5" t="s">
        <v>333</v>
      </c>
      <c r="D3497" s="5" t="str">
        <f>VLOOKUP(C3497,[1]master_data!$A$2:$E$495,2,FALSE)</f>
        <v>KAPAS 2 LAPIS</v>
      </c>
      <c r="E3497" s="5">
        <v>2</v>
      </c>
      <c r="F3497" s="5">
        <f>VLOOKUP(C3497,[1]master_data!$A$2:$E$495,3,FALSE)</f>
        <v>2000</v>
      </c>
      <c r="G3497" s="5">
        <f>VLOOKUP(C3497,[1]master_data!$A$2:$E$495,4,FALSE)</f>
        <v>4000</v>
      </c>
      <c r="H3497" s="5">
        <f t="shared" si="168"/>
        <v>4000</v>
      </c>
      <c r="I3497" s="5">
        <f t="shared" si="169"/>
        <v>8000</v>
      </c>
      <c r="J3497" s="5">
        <f t="shared" si="170"/>
        <v>4000</v>
      </c>
      <c r="K3497" s="5" t="str">
        <f>VLOOKUP(C3497,[1]master_data!$A$2:$E$495,5,FALSE)</f>
        <v>Aksesoris</v>
      </c>
      <c r="L3497" s="5" t="s">
        <v>471</v>
      </c>
    </row>
    <row r="3498" spans="1:12" ht="12" customHeight="1" x14ac:dyDescent="0.25">
      <c r="A3498" s="6">
        <v>44618</v>
      </c>
      <c r="B3498" s="1">
        <v>2201065</v>
      </c>
      <c r="C3498" s="5" t="s">
        <v>430</v>
      </c>
      <c r="D3498" s="5" t="str">
        <f>VLOOKUP(C3498,[1]master_data!$A$2:$E$495,2,FALSE)</f>
        <v>MANFISH K</v>
      </c>
      <c r="E3498" s="5">
        <v>2</v>
      </c>
      <c r="F3498" s="5">
        <f>VLOOKUP(C3498,[1]master_data!$A$2:$E$495,3,FALSE)</f>
        <v>2000</v>
      </c>
      <c r="G3498" s="5">
        <f>VLOOKUP(C3498,[1]master_data!$A$2:$E$495,4,FALSE)</f>
        <v>5000</v>
      </c>
      <c r="H3498" s="5">
        <f t="shared" si="168"/>
        <v>4000</v>
      </c>
      <c r="I3498" s="5">
        <f t="shared" si="169"/>
        <v>10000</v>
      </c>
      <c r="J3498" s="5">
        <f t="shared" si="170"/>
        <v>6000</v>
      </c>
      <c r="K3498" s="5" t="str">
        <f>VLOOKUP(C3498,[1]master_data!$A$2:$E$495,5,FALSE)</f>
        <v>Ikan</v>
      </c>
      <c r="L3498" s="5" t="s">
        <v>471</v>
      </c>
    </row>
    <row r="3499" spans="1:12" ht="12" customHeight="1" x14ac:dyDescent="0.25">
      <c r="A3499" s="6">
        <v>44618</v>
      </c>
      <c r="B3499" s="1">
        <v>2201064</v>
      </c>
      <c r="C3499" s="5" t="s">
        <v>402</v>
      </c>
      <c r="D3499" s="5" t="str">
        <f>VLOOKUP(C3499,[1]master_data!$A$2:$E$495,2,FALSE)</f>
        <v>BLACK GHOST</v>
      </c>
      <c r="E3499" s="5">
        <v>5</v>
      </c>
      <c r="F3499" s="5">
        <f>VLOOKUP(C3499,[1]master_data!$A$2:$E$495,3,FALSE)</f>
        <v>4000</v>
      </c>
      <c r="G3499" s="5">
        <f>VLOOKUP(C3499,[1]master_data!$A$2:$E$495,4,FALSE)</f>
        <v>10000</v>
      </c>
      <c r="H3499" s="5">
        <f t="shared" si="168"/>
        <v>20000</v>
      </c>
      <c r="I3499" s="5">
        <f t="shared" si="169"/>
        <v>50000</v>
      </c>
      <c r="J3499" s="5">
        <f t="shared" si="170"/>
        <v>30000</v>
      </c>
      <c r="K3499" s="5" t="str">
        <f>VLOOKUP(C3499,[1]master_data!$A$2:$E$495,5,FALSE)</f>
        <v>Ikan</v>
      </c>
      <c r="L3499" s="5" t="s">
        <v>471</v>
      </c>
    </row>
    <row r="3500" spans="1:12" ht="12" customHeight="1" x14ac:dyDescent="0.25">
      <c r="A3500" s="6">
        <v>44617</v>
      </c>
      <c r="B3500" s="1">
        <v>2201063</v>
      </c>
      <c r="C3500" s="5" t="s">
        <v>37</v>
      </c>
      <c r="D3500" s="5" t="str">
        <f>VLOOKUP(C3500,[1]master_data!$A$2:$E$495,2,FALSE)</f>
        <v>MESIN YAMANO 104</v>
      </c>
      <c r="E3500" s="5">
        <v>1</v>
      </c>
      <c r="F3500" s="5">
        <f>VLOOKUP(C3500,[1]master_data!$A$2:$E$495,3,FALSE)</f>
        <v>98000</v>
      </c>
      <c r="G3500" s="5">
        <f>VLOOKUP(C3500,[1]master_data!$A$2:$E$495,4,FALSE)</f>
        <v>135000</v>
      </c>
      <c r="H3500" s="5">
        <f t="shared" si="168"/>
        <v>98000</v>
      </c>
      <c r="I3500" s="5">
        <f t="shared" si="169"/>
        <v>135000</v>
      </c>
      <c r="J3500" s="5">
        <f t="shared" si="170"/>
        <v>37000</v>
      </c>
      <c r="K3500" s="5" t="str">
        <f>VLOOKUP(C3500,[1]master_data!$A$2:$E$495,5,FALSE)</f>
        <v>Aksesoris</v>
      </c>
      <c r="L3500" s="5" t="s">
        <v>471</v>
      </c>
    </row>
    <row r="3501" spans="1:12" ht="12" customHeight="1" x14ac:dyDescent="0.25">
      <c r="A3501" s="6">
        <v>44617</v>
      </c>
      <c r="B3501" s="1">
        <v>2201062</v>
      </c>
      <c r="C3501" s="5" t="s">
        <v>312</v>
      </c>
      <c r="D3501" s="5" t="str">
        <f>VLOOKUP(C3501,[1]master_data!$A$2:$E$495,2,FALSE)</f>
        <v>T PIPA</v>
      </c>
      <c r="E3501" s="5">
        <v>5</v>
      </c>
      <c r="F3501" s="5">
        <f>VLOOKUP(C3501,[1]master_data!$A$2:$E$495,3,FALSE)</f>
        <v>800</v>
      </c>
      <c r="G3501" s="5">
        <f>VLOOKUP(C3501,[1]master_data!$A$2:$E$495,4,FALSE)</f>
        <v>2000</v>
      </c>
      <c r="H3501" s="5">
        <f t="shared" si="168"/>
        <v>4000</v>
      </c>
      <c r="I3501" s="5">
        <f t="shared" si="169"/>
        <v>10000</v>
      </c>
      <c r="J3501" s="5">
        <f t="shared" si="170"/>
        <v>6000</v>
      </c>
      <c r="K3501" s="5" t="str">
        <f>VLOOKUP(C3501,[1]master_data!$A$2:$E$495,5,FALSE)</f>
        <v>Aksesoris</v>
      </c>
      <c r="L3501" s="5" t="s">
        <v>471</v>
      </c>
    </row>
    <row r="3502" spans="1:12" ht="12" customHeight="1" x14ac:dyDescent="0.25">
      <c r="A3502" s="6">
        <v>44617</v>
      </c>
      <c r="B3502" s="1">
        <v>2201061</v>
      </c>
      <c r="C3502" s="5" t="s">
        <v>309</v>
      </c>
      <c r="D3502" s="5" t="str">
        <f>VLOOKUP(C3502,[1]master_data!$A$2:$E$495,2,FALSE)</f>
        <v>SELANG SPIRAL</v>
      </c>
      <c r="E3502" s="5">
        <v>1</v>
      </c>
      <c r="F3502" s="5">
        <f>VLOOKUP(C3502,[1]master_data!$A$2:$E$495,3,FALSE)</f>
        <v>2600</v>
      </c>
      <c r="G3502" s="5">
        <f>VLOOKUP(C3502,[1]master_data!$A$2:$E$495,4,FALSE)</f>
        <v>5000</v>
      </c>
      <c r="H3502" s="5">
        <f t="shared" si="168"/>
        <v>2600</v>
      </c>
      <c r="I3502" s="5">
        <f t="shared" si="169"/>
        <v>5000</v>
      </c>
      <c r="J3502" s="5">
        <f t="shared" si="170"/>
        <v>2400</v>
      </c>
      <c r="K3502" s="5" t="str">
        <f>VLOOKUP(C3502,[1]master_data!$A$2:$E$495,5,FALSE)</f>
        <v>Aksesoris</v>
      </c>
      <c r="L3502" s="5" t="s">
        <v>471</v>
      </c>
    </row>
    <row r="3503" spans="1:12" ht="12" customHeight="1" x14ac:dyDescent="0.25">
      <c r="A3503" s="6">
        <v>44617</v>
      </c>
      <c r="B3503" s="1">
        <v>2201060</v>
      </c>
      <c r="C3503" s="5" t="s">
        <v>262</v>
      </c>
      <c r="D3503" s="5" t="str">
        <f>VLOOKUP(C3503,[1]master_data!$A$2:$E$495,2,FALSE)</f>
        <v>COP PIPA</v>
      </c>
      <c r="E3503" s="5">
        <v>5</v>
      </c>
      <c r="F3503" s="5">
        <f>VLOOKUP(C3503,[1]master_data!$A$2:$E$495,3,FALSE)</f>
        <v>800</v>
      </c>
      <c r="G3503" s="5">
        <f>VLOOKUP(C3503,[1]master_data!$A$2:$E$495,4,FALSE)</f>
        <v>2000</v>
      </c>
      <c r="H3503" s="5">
        <f t="shared" si="168"/>
        <v>4000</v>
      </c>
      <c r="I3503" s="5">
        <f t="shared" si="169"/>
        <v>10000</v>
      </c>
      <c r="J3503" s="5">
        <f t="shared" si="170"/>
        <v>6000</v>
      </c>
      <c r="K3503" s="5" t="str">
        <f>VLOOKUP(C3503,[1]master_data!$A$2:$E$495,5,FALSE)</f>
        <v>Aksesoris</v>
      </c>
      <c r="L3503" s="5" t="s">
        <v>471</v>
      </c>
    </row>
    <row r="3504" spans="1:12" ht="12" customHeight="1" x14ac:dyDescent="0.25">
      <c r="A3504" s="6">
        <v>44617</v>
      </c>
      <c r="B3504" s="1">
        <v>2201059</v>
      </c>
      <c r="C3504" s="5" t="s">
        <v>445</v>
      </c>
      <c r="D3504" s="5" t="str">
        <f>VLOOKUP(C3504,[1]master_data!$A$2:$E$495,2,FALSE)</f>
        <v>PESO</v>
      </c>
      <c r="E3504" s="5">
        <v>1</v>
      </c>
      <c r="F3504" s="5">
        <f>VLOOKUP(C3504,[1]master_data!$A$2:$E$495,3,FALSE)</f>
        <v>19000</v>
      </c>
      <c r="G3504" s="5">
        <f>VLOOKUP(C3504,[1]master_data!$A$2:$E$495,4,FALSE)</f>
        <v>40000</v>
      </c>
      <c r="H3504" s="5">
        <f t="shared" si="168"/>
        <v>19000</v>
      </c>
      <c r="I3504" s="5">
        <f t="shared" si="169"/>
        <v>40000</v>
      </c>
      <c r="J3504" s="5">
        <f t="shared" si="170"/>
        <v>21000</v>
      </c>
      <c r="K3504" s="5" t="str">
        <f>VLOOKUP(C3504,[1]master_data!$A$2:$E$495,5,FALSE)</f>
        <v>Ikan</v>
      </c>
      <c r="L3504" s="5" t="s">
        <v>471</v>
      </c>
    </row>
    <row r="3505" spans="1:12" ht="12" customHeight="1" x14ac:dyDescent="0.25">
      <c r="A3505" s="6">
        <v>44617</v>
      </c>
      <c r="B3505" s="1">
        <v>2201058</v>
      </c>
      <c r="C3505" s="5" t="s">
        <v>319</v>
      </c>
      <c r="D3505" s="5" t="str">
        <f>VLOOKUP(C3505,[1]master_data!$A$2:$E$495,2,FALSE)</f>
        <v>KAPAS HIJAU HITAM</v>
      </c>
      <c r="E3505" s="5">
        <v>1</v>
      </c>
      <c r="F3505" s="5">
        <f>VLOOKUP(C3505,[1]master_data!$A$2:$E$495,3,FALSE)</f>
        <v>11000</v>
      </c>
      <c r="G3505" s="5">
        <f>VLOOKUP(C3505,[1]master_data!$A$2:$E$495,4,FALSE)</f>
        <v>15000</v>
      </c>
      <c r="H3505" s="5">
        <f t="shared" si="168"/>
        <v>11000</v>
      </c>
      <c r="I3505" s="5">
        <f t="shared" si="169"/>
        <v>15000</v>
      </c>
      <c r="J3505" s="5">
        <f t="shared" si="170"/>
        <v>4000</v>
      </c>
      <c r="K3505" s="5" t="str">
        <f>VLOOKUP(C3505,[1]master_data!$A$2:$E$495,5,FALSE)</f>
        <v>Aksesoris</v>
      </c>
      <c r="L3505" s="5" t="s">
        <v>471</v>
      </c>
    </row>
    <row r="3506" spans="1:12" ht="12" customHeight="1" x14ac:dyDescent="0.25">
      <c r="A3506" s="6">
        <v>44617</v>
      </c>
      <c r="B3506" s="1">
        <v>2201057</v>
      </c>
      <c r="C3506" s="5" t="s">
        <v>427</v>
      </c>
      <c r="D3506" s="5" t="str">
        <f>VLOOKUP(C3506,[1]master_data!$A$2:$E$495,2,FALSE)</f>
        <v>LEMON</v>
      </c>
      <c r="E3506" s="5">
        <v>5</v>
      </c>
      <c r="F3506" s="5">
        <f>VLOOKUP(C3506,[1]master_data!$A$2:$E$495,3,FALSE)</f>
        <v>1000</v>
      </c>
      <c r="G3506" s="5">
        <f>VLOOKUP(C3506,[1]master_data!$A$2:$E$495,4,FALSE)</f>
        <v>2000</v>
      </c>
      <c r="H3506" s="5">
        <f t="shared" si="168"/>
        <v>5000</v>
      </c>
      <c r="I3506" s="5">
        <f t="shared" si="169"/>
        <v>10000</v>
      </c>
      <c r="J3506" s="5">
        <f t="shared" si="170"/>
        <v>5000</v>
      </c>
      <c r="K3506" s="5" t="str">
        <f>VLOOKUP(C3506,[1]master_data!$A$2:$E$495,5,FALSE)</f>
        <v>Ikan</v>
      </c>
      <c r="L3506" s="5" t="s">
        <v>471</v>
      </c>
    </row>
    <row r="3507" spans="1:12" ht="12" customHeight="1" x14ac:dyDescent="0.25">
      <c r="A3507" s="6">
        <v>44617</v>
      </c>
      <c r="B3507" s="1">
        <v>2201056</v>
      </c>
      <c r="C3507" s="5" t="s">
        <v>455</v>
      </c>
      <c r="D3507" s="5" t="str">
        <f>VLOOKUP(C3507,[1]master_data!$A$2:$E$495,2,FALSE)</f>
        <v>TETRA</v>
      </c>
      <c r="E3507" s="5">
        <v>20</v>
      </c>
      <c r="F3507" s="5">
        <f>VLOOKUP(C3507,[1]master_data!$A$2:$E$495,3,FALSE)</f>
        <v>800</v>
      </c>
      <c r="G3507" s="5">
        <f>VLOOKUP(C3507,[1]master_data!$A$2:$E$495,4,FALSE)</f>
        <v>2000</v>
      </c>
      <c r="H3507" s="5">
        <f t="shared" si="168"/>
        <v>16000</v>
      </c>
      <c r="I3507" s="5">
        <f t="shared" si="169"/>
        <v>40000</v>
      </c>
      <c r="J3507" s="5">
        <f t="shared" si="170"/>
        <v>24000</v>
      </c>
      <c r="K3507" s="5" t="str">
        <f>VLOOKUP(C3507,[1]master_data!$A$2:$E$495,5,FALSE)</f>
        <v>Ikan</v>
      </c>
      <c r="L3507" s="5" t="s">
        <v>471</v>
      </c>
    </row>
    <row r="3508" spans="1:12" ht="12" customHeight="1" x14ac:dyDescent="0.25">
      <c r="A3508" s="6">
        <v>44617</v>
      </c>
      <c r="B3508" s="1">
        <v>2201055</v>
      </c>
      <c r="C3508" s="5" t="s">
        <v>397</v>
      </c>
      <c r="D3508" s="5" t="str">
        <f>VLOOKUP(C3508,[1]master_data!$A$2:$E$495,2,FALSE)</f>
        <v>ALIGATOR</v>
      </c>
      <c r="E3508" s="5">
        <v>2</v>
      </c>
      <c r="F3508" s="5">
        <f>VLOOKUP(C3508,[1]master_data!$A$2:$E$495,3,FALSE)</f>
        <v>17000</v>
      </c>
      <c r="G3508" s="5">
        <f>VLOOKUP(C3508,[1]master_data!$A$2:$E$495,4,FALSE)</f>
        <v>35000</v>
      </c>
      <c r="H3508" s="5">
        <f t="shared" si="168"/>
        <v>34000</v>
      </c>
      <c r="I3508" s="5">
        <f t="shared" si="169"/>
        <v>70000</v>
      </c>
      <c r="J3508" s="5">
        <f t="shared" si="170"/>
        <v>36000</v>
      </c>
      <c r="K3508" s="5" t="str">
        <f>VLOOKUP(C3508,[1]master_data!$A$2:$E$495,5,FALSE)</f>
        <v>Ikan</v>
      </c>
      <c r="L3508" s="5" t="s">
        <v>471</v>
      </c>
    </row>
    <row r="3509" spans="1:12" ht="12" customHeight="1" x14ac:dyDescent="0.25">
      <c r="A3509" s="6">
        <v>44617</v>
      </c>
      <c r="B3509" s="1">
        <v>2201054</v>
      </c>
      <c r="C3509" s="5" t="s">
        <v>407</v>
      </c>
      <c r="D3509" s="5" t="str">
        <f>VLOOKUP(C3509,[1]master_data!$A$2:$E$495,2,FALSE)</f>
        <v>CUPANG</v>
      </c>
      <c r="E3509" s="5">
        <v>2</v>
      </c>
      <c r="F3509" s="5">
        <f>VLOOKUP(C3509,[1]master_data!$A$2:$E$495,3,FALSE)</f>
        <v>2000</v>
      </c>
      <c r="G3509" s="5">
        <f>VLOOKUP(C3509,[1]master_data!$A$2:$E$495,4,FALSE)</f>
        <v>5000</v>
      </c>
      <c r="H3509" s="5">
        <f t="shared" si="168"/>
        <v>4000</v>
      </c>
      <c r="I3509" s="5">
        <f t="shared" si="169"/>
        <v>10000</v>
      </c>
      <c r="J3509" s="5">
        <f t="shared" si="170"/>
        <v>6000</v>
      </c>
      <c r="K3509" s="5" t="str">
        <f>VLOOKUP(C3509,[1]master_data!$A$2:$E$495,5,FALSE)</f>
        <v>Ikan</v>
      </c>
      <c r="L3509" s="5" t="s">
        <v>471</v>
      </c>
    </row>
    <row r="3510" spans="1:12" ht="12" customHeight="1" x14ac:dyDescent="0.25">
      <c r="A3510" s="6">
        <v>44617</v>
      </c>
      <c r="B3510" s="1">
        <v>2201053</v>
      </c>
      <c r="C3510" s="5" t="s">
        <v>409</v>
      </c>
      <c r="D3510" s="5" t="str">
        <f>VLOOKUP(C3510,[1]master_data!$A$2:$E$495,2,FALSE)</f>
        <v>GOLD FISH</v>
      </c>
      <c r="E3510" s="5">
        <v>25</v>
      </c>
      <c r="F3510" s="5">
        <f>VLOOKUP(C3510,[1]master_data!$A$2:$E$495,3,FALSE)</f>
        <v>800</v>
      </c>
      <c r="G3510" s="5">
        <f>VLOOKUP(C3510,[1]master_data!$A$2:$E$495,4,FALSE)</f>
        <v>2000</v>
      </c>
      <c r="H3510" s="5">
        <f t="shared" si="168"/>
        <v>20000</v>
      </c>
      <c r="I3510" s="5">
        <f t="shared" si="169"/>
        <v>50000</v>
      </c>
      <c r="J3510" s="5">
        <f t="shared" si="170"/>
        <v>30000</v>
      </c>
      <c r="K3510" s="5" t="str">
        <f>VLOOKUP(C3510,[1]master_data!$A$2:$E$495,5,FALSE)</f>
        <v>Ikan</v>
      </c>
      <c r="L3510" s="5" t="s">
        <v>471</v>
      </c>
    </row>
    <row r="3511" spans="1:12" ht="12" customHeight="1" x14ac:dyDescent="0.25">
      <c r="A3511" s="6">
        <v>44617</v>
      </c>
      <c r="B3511" s="1">
        <v>2201052</v>
      </c>
      <c r="C3511" s="5" t="s">
        <v>311</v>
      </c>
      <c r="D3511" s="5" t="str">
        <f>VLOOKUP(C3511,[1]master_data!$A$2:$E$495,2,FALSE)</f>
        <v>L PIPA</v>
      </c>
      <c r="E3511" s="5">
        <v>5</v>
      </c>
      <c r="F3511" s="5">
        <f>VLOOKUP(C3511,[1]master_data!$A$2:$E$495,3,FALSE)</f>
        <v>800</v>
      </c>
      <c r="G3511" s="5">
        <f>VLOOKUP(C3511,[1]master_data!$A$2:$E$495,4,FALSE)</f>
        <v>2000</v>
      </c>
      <c r="H3511" s="5">
        <f t="shared" si="168"/>
        <v>4000</v>
      </c>
      <c r="I3511" s="5">
        <f t="shared" si="169"/>
        <v>10000</v>
      </c>
      <c r="J3511" s="5">
        <f t="shared" si="170"/>
        <v>6000</v>
      </c>
      <c r="K3511" s="5" t="str">
        <f>VLOOKUP(C3511,[1]master_data!$A$2:$E$495,5,FALSE)</f>
        <v>Aksesoris</v>
      </c>
      <c r="L3511" s="5" t="s">
        <v>471</v>
      </c>
    </row>
    <row r="3512" spans="1:12" ht="12" customHeight="1" x14ac:dyDescent="0.25">
      <c r="A3512" s="6">
        <v>44617</v>
      </c>
      <c r="B3512" s="1">
        <v>2201051</v>
      </c>
      <c r="C3512" s="5" t="s">
        <v>452</v>
      </c>
      <c r="D3512" s="5" t="str">
        <f>VLOOKUP(C3512,[1]master_data!$A$2:$E$495,2,FALSE)</f>
        <v>SNOW WHITE</v>
      </c>
      <c r="E3512" s="5">
        <v>3</v>
      </c>
      <c r="F3512" s="5">
        <f>VLOOKUP(C3512,[1]master_data!$A$2:$E$495,3,FALSE)</f>
        <v>1500</v>
      </c>
      <c r="G3512" s="5">
        <f>VLOOKUP(C3512,[1]master_data!$A$2:$E$495,4,FALSE)</f>
        <v>3000</v>
      </c>
      <c r="H3512" s="5">
        <f t="shared" si="168"/>
        <v>4500</v>
      </c>
      <c r="I3512" s="5">
        <f t="shared" si="169"/>
        <v>9000</v>
      </c>
      <c r="J3512" s="5">
        <f t="shared" si="170"/>
        <v>4500</v>
      </c>
      <c r="K3512" s="5" t="str">
        <f>VLOOKUP(C3512,[1]master_data!$A$2:$E$495,5,FALSE)</f>
        <v>Ikan</v>
      </c>
      <c r="L3512" s="5" t="s">
        <v>471</v>
      </c>
    </row>
    <row r="3513" spans="1:12" ht="12" customHeight="1" x14ac:dyDescent="0.25">
      <c r="A3513" s="6">
        <v>44617</v>
      </c>
      <c r="B3513" s="1">
        <v>2201050</v>
      </c>
      <c r="C3513" s="5" t="s">
        <v>420</v>
      </c>
      <c r="D3513" s="5" t="str">
        <f>VLOOKUP(C3513,[1]master_data!$A$2:$E$495,2,FALSE)</f>
        <v>KAVIAT</v>
      </c>
      <c r="E3513" s="5">
        <v>2</v>
      </c>
      <c r="F3513" s="5">
        <f>VLOOKUP(C3513,[1]master_data!$A$2:$E$495,3,FALSE)</f>
        <v>3500</v>
      </c>
      <c r="G3513" s="5">
        <f>VLOOKUP(C3513,[1]master_data!$A$2:$E$495,4,FALSE)</f>
        <v>8000</v>
      </c>
      <c r="H3513" s="5">
        <f t="shared" si="168"/>
        <v>7000</v>
      </c>
      <c r="I3513" s="5">
        <f t="shared" si="169"/>
        <v>16000</v>
      </c>
      <c r="J3513" s="5">
        <f t="shared" si="170"/>
        <v>9000</v>
      </c>
      <c r="K3513" s="5" t="str">
        <f>VLOOKUP(C3513,[1]master_data!$A$2:$E$495,5,FALSE)</f>
        <v>Ikan</v>
      </c>
      <c r="L3513" s="5" t="s">
        <v>471</v>
      </c>
    </row>
    <row r="3514" spans="1:12" ht="12" customHeight="1" x14ac:dyDescent="0.25">
      <c r="A3514" s="6">
        <v>44617</v>
      </c>
      <c r="B3514" s="1">
        <v>2201049</v>
      </c>
      <c r="C3514" s="5" t="s">
        <v>414</v>
      </c>
      <c r="D3514" s="5" t="str">
        <f>VLOOKUP(C3514,[1]master_data!$A$2:$E$495,2,FALSE)</f>
        <v>KOKI T</v>
      </c>
      <c r="E3514" s="5">
        <v>3</v>
      </c>
      <c r="F3514" s="5">
        <f>VLOOKUP(C3514,[1]master_data!$A$2:$E$495,3,FALSE)</f>
        <v>8000</v>
      </c>
      <c r="G3514" s="5">
        <f>VLOOKUP(C3514,[1]master_data!$A$2:$E$495,4,FALSE)</f>
        <v>15000</v>
      </c>
      <c r="H3514" s="5">
        <f t="shared" si="168"/>
        <v>24000</v>
      </c>
      <c r="I3514" s="5">
        <f t="shared" si="169"/>
        <v>45000</v>
      </c>
      <c r="J3514" s="5">
        <f t="shared" si="170"/>
        <v>21000</v>
      </c>
      <c r="K3514" s="5" t="str">
        <f>VLOOKUP(C3514,[1]master_data!$A$2:$E$495,5,FALSE)</f>
        <v>Ikan</v>
      </c>
      <c r="L3514" s="5" t="s">
        <v>471</v>
      </c>
    </row>
    <row r="3515" spans="1:12" ht="12" customHeight="1" x14ac:dyDescent="0.25">
      <c r="A3515" s="6">
        <v>44617</v>
      </c>
      <c r="B3515" s="1">
        <v>2201048</v>
      </c>
      <c r="C3515" s="5" t="s">
        <v>256</v>
      </c>
      <c r="D3515" s="5" t="str">
        <f>VLOOKUP(C3515,[1]master_data!$A$2:$E$495,2,FALSE)</f>
        <v>BACKGROUND</v>
      </c>
      <c r="E3515" s="5">
        <v>3</v>
      </c>
      <c r="F3515" s="5">
        <f>VLOOKUP(C3515,[1]master_data!$A$2:$E$495,3,FALSE)</f>
        <v>8000</v>
      </c>
      <c r="G3515" s="5">
        <f>VLOOKUP(C3515,[1]master_data!$A$2:$E$495,4,FALSE)</f>
        <v>15000</v>
      </c>
      <c r="H3515" s="5">
        <f t="shared" si="168"/>
        <v>24000</v>
      </c>
      <c r="I3515" s="5">
        <f t="shared" si="169"/>
        <v>45000</v>
      </c>
      <c r="J3515" s="5">
        <f t="shared" si="170"/>
        <v>21000</v>
      </c>
      <c r="K3515" s="5" t="str">
        <f>VLOOKUP(C3515,[1]master_data!$A$2:$E$495,5,FALSE)</f>
        <v>Aksesoris</v>
      </c>
      <c r="L3515" s="5" t="s">
        <v>471</v>
      </c>
    </row>
    <row r="3516" spans="1:12" ht="12" customHeight="1" x14ac:dyDescent="0.25">
      <c r="A3516" s="6">
        <v>44617</v>
      </c>
      <c r="B3516" s="1">
        <v>2201047</v>
      </c>
      <c r="C3516" s="5" t="s">
        <v>311</v>
      </c>
      <c r="D3516" s="5" t="str">
        <f>VLOOKUP(C3516,[1]master_data!$A$2:$E$495,2,FALSE)</f>
        <v>L PIPA</v>
      </c>
      <c r="E3516" s="5">
        <v>5</v>
      </c>
      <c r="F3516" s="5">
        <f>VLOOKUP(C3516,[1]master_data!$A$2:$E$495,3,FALSE)</f>
        <v>800</v>
      </c>
      <c r="G3516" s="5">
        <f>VLOOKUP(C3516,[1]master_data!$A$2:$E$495,4,FALSE)</f>
        <v>2000</v>
      </c>
      <c r="H3516" s="5">
        <f t="shared" si="168"/>
        <v>4000</v>
      </c>
      <c r="I3516" s="5">
        <f t="shared" si="169"/>
        <v>10000</v>
      </c>
      <c r="J3516" s="5">
        <f t="shared" si="170"/>
        <v>6000</v>
      </c>
      <c r="K3516" s="5" t="str">
        <f>VLOOKUP(C3516,[1]master_data!$A$2:$E$495,5,FALSE)</f>
        <v>Aksesoris</v>
      </c>
      <c r="L3516" s="5" t="s">
        <v>471</v>
      </c>
    </row>
    <row r="3517" spans="1:12" ht="12" customHeight="1" x14ac:dyDescent="0.25">
      <c r="A3517" s="6">
        <v>44617</v>
      </c>
      <c r="B3517" s="1">
        <v>2201046</v>
      </c>
      <c r="C3517" s="5" t="s">
        <v>461</v>
      </c>
      <c r="D3517" s="5" t="str">
        <f>VLOOKUP(C3517,[1]master_data!$A$2:$E$495,2,FALSE)</f>
        <v>SEPAT</v>
      </c>
      <c r="E3517" s="5">
        <v>2</v>
      </c>
      <c r="F3517" s="5">
        <f>VLOOKUP(C3517,[1]master_data!$A$2:$E$495,3,FALSE)</f>
        <v>600</v>
      </c>
      <c r="G3517" s="5">
        <f>VLOOKUP(C3517,[1]master_data!$A$2:$E$495,4,FALSE)</f>
        <v>2000</v>
      </c>
      <c r="H3517" s="5">
        <f t="shared" si="168"/>
        <v>1200</v>
      </c>
      <c r="I3517" s="5">
        <f t="shared" si="169"/>
        <v>4000</v>
      </c>
      <c r="J3517" s="5">
        <f t="shared" si="170"/>
        <v>2800</v>
      </c>
      <c r="K3517" s="5" t="str">
        <f>VLOOKUP(C3517,[1]master_data!$A$2:$E$495,5,FALSE)</f>
        <v>Ikan</v>
      </c>
      <c r="L3517" s="5" t="s">
        <v>471</v>
      </c>
    </row>
    <row r="3518" spans="1:12" ht="12" customHeight="1" x14ac:dyDescent="0.25">
      <c r="A3518" s="6">
        <v>44617</v>
      </c>
      <c r="B3518" s="1">
        <v>2201045</v>
      </c>
      <c r="C3518" s="5" t="s">
        <v>303</v>
      </c>
      <c r="D3518" s="5" t="str">
        <f>VLOOKUP(C3518,[1]master_data!$A$2:$E$495,2,FALSE)</f>
        <v>PIPA LONJOR 2 M</v>
      </c>
      <c r="E3518" s="5">
        <v>1</v>
      </c>
      <c r="F3518" s="5">
        <f>VLOOKUP(C3518,[1]master_data!$A$2:$E$495,3,FALSE)</f>
        <v>5000</v>
      </c>
      <c r="G3518" s="5">
        <f>VLOOKUP(C3518,[1]master_data!$A$2:$E$495,4,FALSE)</f>
        <v>10000</v>
      </c>
      <c r="H3518" s="5">
        <f t="shared" si="168"/>
        <v>5000</v>
      </c>
      <c r="I3518" s="5">
        <f t="shared" si="169"/>
        <v>10000</v>
      </c>
      <c r="J3518" s="5">
        <f t="shared" si="170"/>
        <v>5000</v>
      </c>
      <c r="K3518" s="5" t="str">
        <f>VLOOKUP(C3518,[1]master_data!$A$2:$E$495,5,FALSE)</f>
        <v>Aksesoris</v>
      </c>
      <c r="L3518" s="5" t="s">
        <v>471</v>
      </c>
    </row>
    <row r="3519" spans="1:12" ht="12" customHeight="1" x14ac:dyDescent="0.25">
      <c r="A3519" s="6">
        <v>44617</v>
      </c>
      <c r="B3519" s="1">
        <v>2201044</v>
      </c>
      <c r="C3519" s="5" t="s">
        <v>415</v>
      </c>
      <c r="D3519" s="5" t="str">
        <f>VLOOKUP(C3519,[1]master_data!$A$2:$E$495,2,FALSE)</f>
        <v>KOKI B</v>
      </c>
      <c r="E3519" s="5">
        <v>1</v>
      </c>
      <c r="F3519" s="5">
        <f>VLOOKUP(C3519,[1]master_data!$A$2:$E$495,3,FALSE)</f>
        <v>20000</v>
      </c>
      <c r="G3519" s="5">
        <f>VLOOKUP(C3519,[1]master_data!$A$2:$E$495,4,FALSE)</f>
        <v>50000</v>
      </c>
      <c r="H3519" s="5">
        <f t="shared" si="168"/>
        <v>20000</v>
      </c>
      <c r="I3519" s="5">
        <f t="shared" si="169"/>
        <v>50000</v>
      </c>
      <c r="J3519" s="5">
        <f t="shared" si="170"/>
        <v>30000</v>
      </c>
      <c r="K3519" s="5" t="str">
        <f>VLOOKUP(C3519,[1]master_data!$A$2:$E$495,5,FALSE)</f>
        <v>Ikan</v>
      </c>
      <c r="L3519" s="5" t="s">
        <v>471</v>
      </c>
    </row>
    <row r="3520" spans="1:12" ht="12" customHeight="1" x14ac:dyDescent="0.25">
      <c r="A3520" s="6">
        <v>44617</v>
      </c>
      <c r="B3520" s="1">
        <v>2201043</v>
      </c>
      <c r="C3520" s="5" t="s">
        <v>307</v>
      </c>
      <c r="D3520" s="5" t="str">
        <f>VLOOKUP(C3520,[1]master_data!$A$2:$E$495,2,FALSE)</f>
        <v>QUICK FILTER</v>
      </c>
      <c r="E3520" s="5">
        <v>1</v>
      </c>
      <c r="F3520" s="5">
        <f>VLOOKUP(C3520,[1]master_data!$A$2:$E$495,3,FALSE)</f>
        <v>12000</v>
      </c>
      <c r="G3520" s="5">
        <f>VLOOKUP(C3520,[1]master_data!$A$2:$E$495,4,FALSE)</f>
        <v>20000</v>
      </c>
      <c r="H3520" s="5">
        <f t="shared" si="168"/>
        <v>12000</v>
      </c>
      <c r="I3520" s="5">
        <f t="shared" si="169"/>
        <v>20000</v>
      </c>
      <c r="J3520" s="5">
        <f t="shared" si="170"/>
        <v>8000</v>
      </c>
      <c r="K3520" s="5" t="str">
        <f>VLOOKUP(C3520,[1]master_data!$A$2:$E$495,5,FALSE)</f>
        <v>Aksesoris</v>
      </c>
      <c r="L3520" s="5" t="s">
        <v>471</v>
      </c>
    </row>
    <row r="3521" spans="1:12" ht="12" customHeight="1" x14ac:dyDescent="0.25">
      <c r="A3521" s="6">
        <v>44617</v>
      </c>
      <c r="B3521" s="1">
        <v>2201042</v>
      </c>
      <c r="C3521" s="5" t="s">
        <v>422</v>
      </c>
      <c r="D3521" s="5" t="str">
        <f>VLOOKUP(C3521,[1]master_data!$A$2:$E$495,2,FALSE)</f>
        <v>KOMET SLAYER</v>
      </c>
      <c r="E3521" s="5">
        <v>6</v>
      </c>
      <c r="F3521" s="5">
        <f>VLOOKUP(C3521,[1]master_data!$A$2:$E$495,3,FALSE)</f>
        <v>2000</v>
      </c>
      <c r="G3521" s="5">
        <f>VLOOKUP(C3521,[1]master_data!$A$2:$E$495,4,FALSE)</f>
        <v>5000</v>
      </c>
      <c r="H3521" s="5">
        <f t="shared" si="168"/>
        <v>12000</v>
      </c>
      <c r="I3521" s="5">
        <f t="shared" si="169"/>
        <v>30000</v>
      </c>
      <c r="J3521" s="5">
        <f t="shared" si="170"/>
        <v>18000</v>
      </c>
      <c r="K3521" s="5" t="str">
        <f>VLOOKUP(C3521,[1]master_data!$A$2:$E$495,5,FALSE)</f>
        <v>Ikan</v>
      </c>
      <c r="L3521" s="5" t="s">
        <v>471</v>
      </c>
    </row>
    <row r="3522" spans="1:12" ht="12" customHeight="1" x14ac:dyDescent="0.25">
      <c r="A3522" s="6">
        <v>44617</v>
      </c>
      <c r="B3522" s="1">
        <v>2201041</v>
      </c>
      <c r="C3522" s="5" t="s">
        <v>390</v>
      </c>
      <c r="D3522" s="5" t="str">
        <f>VLOOKUP(C3522,[1]master_data!$A$2:$E$495,2,FALSE)</f>
        <v>CHANNA ASIATICA K</v>
      </c>
      <c r="E3522" s="5">
        <v>1</v>
      </c>
      <c r="F3522" s="5">
        <f>VLOOKUP(C3522,[1]master_data!$A$2:$E$495,3,FALSE)</f>
        <v>10000</v>
      </c>
      <c r="G3522" s="5">
        <f>VLOOKUP(C3522,[1]master_data!$A$2:$E$495,4,FALSE)</f>
        <v>40000</v>
      </c>
      <c r="H3522" s="5">
        <f t="shared" si="168"/>
        <v>10000</v>
      </c>
      <c r="I3522" s="5">
        <f t="shared" si="169"/>
        <v>40000</v>
      </c>
      <c r="J3522" s="5">
        <f t="shared" si="170"/>
        <v>30000</v>
      </c>
      <c r="K3522" s="5" t="str">
        <f>VLOOKUP(C3522,[1]master_data!$A$2:$E$495,5,FALSE)</f>
        <v>Ikan</v>
      </c>
      <c r="L3522" s="5" t="s">
        <v>471</v>
      </c>
    </row>
    <row r="3523" spans="1:12" ht="12" customHeight="1" x14ac:dyDescent="0.25">
      <c r="A3523" s="6">
        <v>44616</v>
      </c>
      <c r="B3523" s="1">
        <v>2201040</v>
      </c>
      <c r="C3523" s="5" t="s">
        <v>447</v>
      </c>
      <c r="D3523" s="5" t="str">
        <f>VLOOKUP(C3523,[1]master_data!$A$2:$E$495,2,FALSE)</f>
        <v>REDFIN ALBINO</v>
      </c>
      <c r="E3523" s="5">
        <v>5</v>
      </c>
      <c r="F3523" s="5">
        <f>VLOOKUP(C3523,[1]master_data!$A$2:$E$495,3,FALSE)</f>
        <v>1500</v>
      </c>
      <c r="G3523" s="5">
        <f>VLOOKUP(C3523,[1]master_data!$A$2:$E$495,4,FALSE)</f>
        <v>4000</v>
      </c>
      <c r="H3523" s="5">
        <f t="shared" si="168"/>
        <v>7500</v>
      </c>
      <c r="I3523" s="5">
        <f t="shared" si="169"/>
        <v>20000</v>
      </c>
      <c r="J3523" s="5">
        <f t="shared" si="170"/>
        <v>12500</v>
      </c>
      <c r="K3523" s="5" t="str">
        <f>VLOOKUP(C3523,[1]master_data!$A$2:$E$495,5,FALSE)</f>
        <v>Ikan</v>
      </c>
      <c r="L3523" s="5" t="s">
        <v>471</v>
      </c>
    </row>
    <row r="3524" spans="1:12" ht="12" customHeight="1" x14ac:dyDescent="0.25">
      <c r="A3524" s="6">
        <v>44616</v>
      </c>
      <c r="B3524" s="1">
        <v>2201039</v>
      </c>
      <c r="C3524" s="5" t="s">
        <v>446</v>
      </c>
      <c r="D3524" s="5" t="str">
        <f>VLOOKUP(C3524,[1]master_data!$A$2:$E$495,2,FALSE)</f>
        <v>REDFIN HITAM</v>
      </c>
      <c r="E3524" s="5">
        <v>5</v>
      </c>
      <c r="F3524" s="5">
        <f>VLOOKUP(C3524,[1]master_data!$A$2:$E$495,3,FALSE)</f>
        <v>1500</v>
      </c>
      <c r="G3524" s="5">
        <f>VLOOKUP(C3524,[1]master_data!$A$2:$E$495,4,FALSE)</f>
        <v>4000</v>
      </c>
      <c r="H3524" s="5">
        <f t="shared" si="168"/>
        <v>7500</v>
      </c>
      <c r="I3524" s="5">
        <f t="shared" si="169"/>
        <v>20000</v>
      </c>
      <c r="J3524" s="5">
        <f t="shared" si="170"/>
        <v>12500</v>
      </c>
      <c r="K3524" s="5" t="str">
        <f>VLOOKUP(C3524,[1]master_data!$A$2:$E$495,5,FALSE)</f>
        <v>Ikan</v>
      </c>
      <c r="L3524" s="5" t="s">
        <v>471</v>
      </c>
    </row>
    <row r="3525" spans="1:12" ht="12" customHeight="1" x14ac:dyDescent="0.25">
      <c r="A3525" s="6">
        <v>44616</v>
      </c>
      <c r="B3525" s="1">
        <v>2201038</v>
      </c>
      <c r="C3525" s="5" t="s">
        <v>7</v>
      </c>
      <c r="D3525" s="5" t="str">
        <f>VLOOKUP(C3525,[1]master_data!$A$2:$E$495,2,FALSE)</f>
        <v>MESIN YANG 1600</v>
      </c>
      <c r="E3525" s="5">
        <v>1</v>
      </c>
      <c r="F3525" s="5">
        <f>VLOOKUP(C3525,[1]master_data!$A$2:$E$495,3,FALSE)</f>
        <v>64000</v>
      </c>
      <c r="G3525" s="5">
        <f>VLOOKUP(C3525,[1]master_data!$A$2:$E$495,4,FALSE)</f>
        <v>90000</v>
      </c>
      <c r="H3525" s="5">
        <f t="shared" ref="H3525:H3588" si="171">E3525*F3525</f>
        <v>64000</v>
      </c>
      <c r="I3525" s="5">
        <f t="shared" ref="I3525:I3588" si="172">E3525*G3525</f>
        <v>90000</v>
      </c>
      <c r="J3525" s="5">
        <f t="shared" ref="J3525:J3588" si="173">I3525-H3525</f>
        <v>26000</v>
      </c>
      <c r="K3525" s="5" t="str">
        <f>VLOOKUP(C3525,[1]master_data!$A$2:$E$495,5,FALSE)</f>
        <v>Aksesoris</v>
      </c>
      <c r="L3525" s="5" t="s">
        <v>471</v>
      </c>
    </row>
    <row r="3526" spans="1:12" ht="12" customHeight="1" x14ac:dyDescent="0.25">
      <c r="A3526" s="6">
        <v>44616</v>
      </c>
      <c r="B3526" s="1">
        <v>2201037</v>
      </c>
      <c r="C3526" s="5" t="s">
        <v>310</v>
      </c>
      <c r="D3526" s="5" t="str">
        <f>VLOOKUP(C3526,[1]master_data!$A$2:$E$495,2,FALSE)</f>
        <v>SELANG FUSO</v>
      </c>
      <c r="E3526" s="5">
        <v>10</v>
      </c>
      <c r="F3526" s="5">
        <f>VLOOKUP(C3526,[1]master_data!$A$2:$E$495,3,FALSE)</f>
        <v>800</v>
      </c>
      <c r="G3526" s="5">
        <f>VLOOKUP(C3526,[1]master_data!$A$2:$E$495,4,FALSE)</f>
        <v>2000</v>
      </c>
      <c r="H3526" s="5">
        <f t="shared" si="171"/>
        <v>8000</v>
      </c>
      <c r="I3526" s="5">
        <f t="shared" si="172"/>
        <v>20000</v>
      </c>
      <c r="J3526" s="5">
        <f t="shared" si="173"/>
        <v>12000</v>
      </c>
      <c r="K3526" s="5" t="str">
        <f>VLOOKUP(C3526,[1]master_data!$A$2:$E$495,5,FALSE)</f>
        <v>Aksesoris</v>
      </c>
      <c r="L3526" s="5" t="s">
        <v>471</v>
      </c>
    </row>
    <row r="3527" spans="1:12" ht="12" customHeight="1" x14ac:dyDescent="0.25">
      <c r="A3527" s="6">
        <v>44616</v>
      </c>
      <c r="B3527" s="1">
        <v>2201036</v>
      </c>
      <c r="C3527" s="5" t="s">
        <v>451</v>
      </c>
      <c r="D3527" s="5" t="str">
        <f>VLOOKUP(C3527,[1]master_data!$A$2:$E$495,2,FALSE)</f>
        <v>SUMATRA GOLD FISH</v>
      </c>
      <c r="E3527" s="5">
        <v>15</v>
      </c>
      <c r="F3527" s="5">
        <f>VLOOKUP(C3527,[1]master_data!$A$2:$E$495,3,FALSE)</f>
        <v>2500</v>
      </c>
      <c r="G3527" s="5">
        <f>VLOOKUP(C3527,[1]master_data!$A$2:$E$495,4,FALSE)</f>
        <v>4000</v>
      </c>
      <c r="H3527" s="5">
        <f t="shared" si="171"/>
        <v>37500</v>
      </c>
      <c r="I3527" s="5">
        <f t="shared" si="172"/>
        <v>60000</v>
      </c>
      <c r="J3527" s="5">
        <f t="shared" si="173"/>
        <v>22500</v>
      </c>
      <c r="K3527" s="5" t="str">
        <f>VLOOKUP(C3527,[1]master_data!$A$2:$E$495,5,FALSE)</f>
        <v>Ikan</v>
      </c>
      <c r="L3527" s="5" t="s">
        <v>471</v>
      </c>
    </row>
    <row r="3528" spans="1:12" ht="12" customHeight="1" x14ac:dyDescent="0.25">
      <c r="A3528" s="6">
        <v>44616</v>
      </c>
      <c r="B3528" s="1">
        <v>2201035</v>
      </c>
      <c r="C3528" s="5" t="s">
        <v>434</v>
      </c>
      <c r="D3528" s="5" t="str">
        <f>VLOOKUP(C3528,[1]master_data!$A$2:$E$495,2,FALSE)</f>
        <v>MOLI PAKAN</v>
      </c>
      <c r="E3528" s="5">
        <v>25</v>
      </c>
      <c r="F3528" s="5">
        <f>VLOOKUP(C3528,[1]master_data!$A$2:$E$495,3,FALSE)</f>
        <v>100</v>
      </c>
      <c r="G3528" s="5">
        <f>VLOOKUP(C3528,[1]master_data!$A$2:$E$495,4,FALSE)</f>
        <v>200</v>
      </c>
      <c r="H3528" s="5">
        <f t="shared" si="171"/>
        <v>2500</v>
      </c>
      <c r="I3528" s="5">
        <f t="shared" si="172"/>
        <v>5000</v>
      </c>
      <c r="J3528" s="5">
        <f t="shared" si="173"/>
        <v>2500</v>
      </c>
      <c r="K3528" s="5" t="str">
        <f>VLOOKUP(C3528,[1]master_data!$A$2:$E$495,5,FALSE)</f>
        <v>Ikan</v>
      </c>
      <c r="L3528" s="5" t="s">
        <v>471</v>
      </c>
    </row>
    <row r="3529" spans="1:12" ht="12" customHeight="1" x14ac:dyDescent="0.25">
      <c r="A3529" s="6">
        <v>44616</v>
      </c>
      <c r="B3529" s="1">
        <v>2201034</v>
      </c>
      <c r="C3529" s="5" t="s">
        <v>303</v>
      </c>
      <c r="D3529" s="5" t="str">
        <f>VLOOKUP(C3529,[1]master_data!$A$2:$E$495,2,FALSE)</f>
        <v>PIPA LONJOR 2 M</v>
      </c>
      <c r="E3529" s="5">
        <v>1</v>
      </c>
      <c r="F3529" s="5">
        <f>VLOOKUP(C3529,[1]master_data!$A$2:$E$495,3,FALSE)</f>
        <v>5000</v>
      </c>
      <c r="G3529" s="5">
        <f>VLOOKUP(C3529,[1]master_data!$A$2:$E$495,4,FALSE)</f>
        <v>10000</v>
      </c>
      <c r="H3529" s="5">
        <f t="shared" si="171"/>
        <v>5000</v>
      </c>
      <c r="I3529" s="5">
        <f t="shared" si="172"/>
        <v>10000</v>
      </c>
      <c r="J3529" s="5">
        <f t="shared" si="173"/>
        <v>5000</v>
      </c>
      <c r="K3529" s="5" t="str">
        <f>VLOOKUP(C3529,[1]master_data!$A$2:$E$495,5,FALSE)</f>
        <v>Aksesoris</v>
      </c>
      <c r="L3529" s="5" t="s">
        <v>471</v>
      </c>
    </row>
    <row r="3530" spans="1:12" ht="12" customHeight="1" x14ac:dyDescent="0.25">
      <c r="A3530" s="6">
        <v>44616</v>
      </c>
      <c r="B3530" s="1">
        <v>2201033</v>
      </c>
      <c r="C3530" s="5" t="s">
        <v>419</v>
      </c>
      <c r="D3530" s="5" t="str">
        <f>VLOOKUP(C3530,[1]master_data!$A$2:$E$495,2,FALSE)</f>
        <v>KURA - KURA</v>
      </c>
      <c r="E3530" s="5">
        <v>1</v>
      </c>
      <c r="F3530" s="5">
        <f>VLOOKUP(C3530,[1]master_data!$A$2:$E$495,3,FALSE)</f>
        <v>25000</v>
      </c>
      <c r="G3530" s="5">
        <f>VLOOKUP(C3530,[1]master_data!$A$2:$E$495,4,FALSE)</f>
        <v>35000</v>
      </c>
      <c r="H3530" s="5">
        <f t="shared" si="171"/>
        <v>25000</v>
      </c>
      <c r="I3530" s="5">
        <f t="shared" si="172"/>
        <v>35000</v>
      </c>
      <c r="J3530" s="5">
        <f t="shared" si="173"/>
        <v>10000</v>
      </c>
      <c r="K3530" s="5" t="str">
        <f>VLOOKUP(C3530,[1]master_data!$A$2:$E$495,5,FALSE)</f>
        <v>Ikan</v>
      </c>
      <c r="L3530" s="5" t="s">
        <v>471</v>
      </c>
    </row>
    <row r="3531" spans="1:12" ht="12" customHeight="1" x14ac:dyDescent="0.25">
      <c r="A3531" s="6">
        <v>44616</v>
      </c>
      <c r="B3531" s="1">
        <v>2201032</v>
      </c>
      <c r="C3531" s="5" t="s">
        <v>262</v>
      </c>
      <c r="D3531" s="5" t="str">
        <f>VLOOKUP(C3531,[1]master_data!$A$2:$E$495,2,FALSE)</f>
        <v>COP PIPA</v>
      </c>
      <c r="E3531" s="5">
        <v>3</v>
      </c>
      <c r="F3531" s="5">
        <f>VLOOKUP(C3531,[1]master_data!$A$2:$E$495,3,FALSE)</f>
        <v>800</v>
      </c>
      <c r="G3531" s="5">
        <f>VLOOKUP(C3531,[1]master_data!$A$2:$E$495,4,FALSE)</f>
        <v>2000</v>
      </c>
      <c r="H3531" s="5">
        <f t="shared" si="171"/>
        <v>2400</v>
      </c>
      <c r="I3531" s="5">
        <f t="shared" si="172"/>
        <v>6000</v>
      </c>
      <c r="J3531" s="5">
        <f t="shared" si="173"/>
        <v>3600</v>
      </c>
      <c r="K3531" s="5" t="str">
        <f>VLOOKUP(C3531,[1]master_data!$A$2:$E$495,5,FALSE)</f>
        <v>Aksesoris</v>
      </c>
      <c r="L3531" s="5" t="s">
        <v>471</v>
      </c>
    </row>
    <row r="3532" spans="1:12" ht="12" customHeight="1" x14ac:dyDescent="0.25">
      <c r="A3532" s="6">
        <v>44616</v>
      </c>
      <c r="B3532" s="1">
        <v>2201031</v>
      </c>
      <c r="C3532" s="5" t="s">
        <v>233</v>
      </c>
      <c r="D3532" s="5" t="str">
        <f>VLOOKUP(C3532,[1]master_data!$A$2:$E$495,2,FALSE)</f>
        <v>FISH LOVE PAKAN</v>
      </c>
      <c r="E3532" s="5">
        <v>1</v>
      </c>
      <c r="F3532" s="5">
        <f>VLOOKUP(C3532,[1]master_data!$A$2:$E$495,3,FALSE)</f>
        <v>2500</v>
      </c>
      <c r="G3532" s="5">
        <f>VLOOKUP(C3532,[1]master_data!$A$2:$E$495,4,FALSE)</f>
        <v>5000</v>
      </c>
      <c r="H3532" s="5">
        <f t="shared" si="171"/>
        <v>2500</v>
      </c>
      <c r="I3532" s="5">
        <f t="shared" si="172"/>
        <v>5000</v>
      </c>
      <c r="J3532" s="5">
        <f t="shared" si="173"/>
        <v>2500</v>
      </c>
      <c r="K3532" s="5" t="str">
        <f>VLOOKUP(C3532,[1]master_data!$A$2:$E$495,5,FALSE)</f>
        <v>Aksesoris</v>
      </c>
      <c r="L3532" s="5" t="s">
        <v>471</v>
      </c>
    </row>
    <row r="3533" spans="1:12" ht="12" customHeight="1" x14ac:dyDescent="0.25">
      <c r="A3533" s="6">
        <v>44616</v>
      </c>
      <c r="B3533" s="1">
        <v>2201030</v>
      </c>
      <c r="C3533" s="5" t="s">
        <v>313</v>
      </c>
      <c r="D3533" s="5" t="str">
        <f>VLOOKUP(C3533,[1]master_data!$A$2:$E$495,2,FALSE)</f>
        <v>LURUS PIPA</v>
      </c>
      <c r="E3533" s="5">
        <v>15</v>
      </c>
      <c r="F3533" s="5">
        <f>VLOOKUP(C3533,[1]master_data!$A$2:$E$495,3,FALSE)</f>
        <v>800</v>
      </c>
      <c r="G3533" s="5">
        <f>VLOOKUP(C3533,[1]master_data!$A$2:$E$495,4,FALSE)</f>
        <v>2000</v>
      </c>
      <c r="H3533" s="5">
        <f t="shared" si="171"/>
        <v>12000</v>
      </c>
      <c r="I3533" s="5">
        <f t="shared" si="172"/>
        <v>30000</v>
      </c>
      <c r="J3533" s="5">
        <f t="shared" si="173"/>
        <v>18000</v>
      </c>
      <c r="K3533" s="5" t="str">
        <f>VLOOKUP(C3533,[1]master_data!$A$2:$E$495,5,FALSE)</f>
        <v>Aksesoris</v>
      </c>
      <c r="L3533" s="5" t="s">
        <v>471</v>
      </c>
    </row>
    <row r="3534" spans="1:12" ht="12" customHeight="1" x14ac:dyDescent="0.25">
      <c r="A3534" s="6">
        <v>44616</v>
      </c>
      <c r="B3534" s="1">
        <v>2201029</v>
      </c>
      <c r="C3534" s="5" t="s">
        <v>407</v>
      </c>
      <c r="D3534" s="5" t="str">
        <f>VLOOKUP(C3534,[1]master_data!$A$2:$E$495,2,FALSE)</f>
        <v>CUPANG</v>
      </c>
      <c r="E3534" s="5">
        <v>2</v>
      </c>
      <c r="F3534" s="5">
        <f>VLOOKUP(C3534,[1]master_data!$A$2:$E$495,3,FALSE)</f>
        <v>2000</v>
      </c>
      <c r="G3534" s="5">
        <f>VLOOKUP(C3534,[1]master_data!$A$2:$E$495,4,FALSE)</f>
        <v>5000</v>
      </c>
      <c r="H3534" s="5">
        <f t="shared" si="171"/>
        <v>4000</v>
      </c>
      <c r="I3534" s="5">
        <f t="shared" si="172"/>
        <v>10000</v>
      </c>
      <c r="J3534" s="5">
        <f t="shared" si="173"/>
        <v>6000</v>
      </c>
      <c r="K3534" s="5" t="str">
        <f>VLOOKUP(C3534,[1]master_data!$A$2:$E$495,5,FALSE)</f>
        <v>Ikan</v>
      </c>
      <c r="L3534" s="5" t="s">
        <v>471</v>
      </c>
    </row>
    <row r="3535" spans="1:12" ht="12" customHeight="1" x14ac:dyDescent="0.25">
      <c r="A3535" s="6">
        <v>44616</v>
      </c>
      <c r="B3535" s="1">
        <v>2201028</v>
      </c>
      <c r="C3535" s="5" t="s">
        <v>434</v>
      </c>
      <c r="D3535" s="5" t="str">
        <f>VLOOKUP(C3535,[1]master_data!$A$2:$E$495,2,FALSE)</f>
        <v>MOLI PAKAN</v>
      </c>
      <c r="E3535" s="5">
        <v>50</v>
      </c>
      <c r="F3535" s="5">
        <f>VLOOKUP(C3535,[1]master_data!$A$2:$E$495,3,FALSE)</f>
        <v>100</v>
      </c>
      <c r="G3535" s="5">
        <f>VLOOKUP(C3535,[1]master_data!$A$2:$E$495,4,FALSE)</f>
        <v>200</v>
      </c>
      <c r="H3535" s="5">
        <f t="shared" si="171"/>
        <v>5000</v>
      </c>
      <c r="I3535" s="5">
        <f t="shared" si="172"/>
        <v>10000</v>
      </c>
      <c r="J3535" s="5">
        <f t="shared" si="173"/>
        <v>5000</v>
      </c>
      <c r="K3535" s="5" t="str">
        <f>VLOOKUP(C3535,[1]master_data!$A$2:$E$495,5,FALSE)</f>
        <v>Ikan</v>
      </c>
      <c r="L3535" s="5" t="s">
        <v>471</v>
      </c>
    </row>
    <row r="3536" spans="1:12" ht="12" customHeight="1" x14ac:dyDescent="0.25">
      <c r="A3536" s="6">
        <v>44616</v>
      </c>
      <c r="B3536" s="1">
        <v>2201027</v>
      </c>
      <c r="C3536" s="5" t="s">
        <v>261</v>
      </c>
      <c r="D3536" s="5" t="str">
        <f>VLOOKUP(C3536,[1]master_data!$A$2:$E$495,2,FALSE)</f>
        <v>BONSAI</v>
      </c>
      <c r="E3536" s="5">
        <v>2</v>
      </c>
      <c r="F3536" s="5">
        <f>VLOOKUP(C3536,[1]master_data!$A$2:$E$495,3,FALSE)</f>
        <v>15000</v>
      </c>
      <c r="G3536" s="5">
        <f>VLOOKUP(C3536,[1]master_data!$A$2:$E$495,4,FALSE)</f>
        <v>20000</v>
      </c>
      <c r="H3536" s="5">
        <f t="shared" si="171"/>
        <v>30000</v>
      </c>
      <c r="I3536" s="5">
        <f t="shared" si="172"/>
        <v>40000</v>
      </c>
      <c r="J3536" s="5">
        <f t="shared" si="173"/>
        <v>10000</v>
      </c>
      <c r="K3536" s="5" t="str">
        <f>VLOOKUP(C3536,[1]master_data!$A$2:$E$495,5,FALSE)</f>
        <v>Aksesoris</v>
      </c>
      <c r="L3536" s="5" t="s">
        <v>471</v>
      </c>
    </row>
    <row r="3537" spans="1:12" ht="12" customHeight="1" x14ac:dyDescent="0.25">
      <c r="A3537" s="6">
        <v>44616</v>
      </c>
      <c r="B3537" s="1">
        <v>2201026</v>
      </c>
      <c r="C3537" s="5" t="s">
        <v>426</v>
      </c>
      <c r="D3537" s="5" t="str">
        <f>VLOOKUP(C3537,[1]master_data!$A$2:$E$495,2,FALSE)</f>
        <v>DISCUS</v>
      </c>
      <c r="E3537" s="5">
        <v>1</v>
      </c>
      <c r="F3537" s="5">
        <f>VLOOKUP(C3537,[1]master_data!$A$2:$E$495,3,FALSE)</f>
        <v>50000</v>
      </c>
      <c r="G3537" s="5">
        <f>VLOOKUP(C3537,[1]master_data!$A$2:$E$495,4,FALSE)</f>
        <v>150000</v>
      </c>
      <c r="H3537" s="5">
        <f t="shared" si="171"/>
        <v>50000</v>
      </c>
      <c r="I3537" s="5">
        <f t="shared" si="172"/>
        <v>150000</v>
      </c>
      <c r="J3537" s="5">
        <f t="shared" si="173"/>
        <v>100000</v>
      </c>
      <c r="K3537" s="5" t="str">
        <f>VLOOKUP(C3537,[1]master_data!$A$2:$E$495,5,FALSE)</f>
        <v>Ikan</v>
      </c>
      <c r="L3537" s="5" t="s">
        <v>471</v>
      </c>
    </row>
    <row r="3538" spans="1:12" ht="12" customHeight="1" x14ac:dyDescent="0.25">
      <c r="A3538" s="6">
        <v>44616</v>
      </c>
      <c r="B3538" s="1">
        <v>2201025</v>
      </c>
      <c r="C3538" s="5" t="s">
        <v>131</v>
      </c>
      <c r="D3538" s="5" t="str">
        <f>VLOOKUP(C3538,[1]master_data!$A$2:$E$495,2,FALSE)</f>
        <v>LED YAMANO S800</v>
      </c>
      <c r="E3538" s="5">
        <v>1</v>
      </c>
      <c r="F3538" s="5">
        <f>VLOOKUP(C3538,[1]master_data!$A$2:$E$495,3,FALSE)</f>
        <v>70000</v>
      </c>
      <c r="G3538" s="5">
        <f>VLOOKUP(C3538,[1]master_data!$A$2:$E$495,4,FALSE)</f>
        <v>115000</v>
      </c>
      <c r="H3538" s="5">
        <f t="shared" si="171"/>
        <v>70000</v>
      </c>
      <c r="I3538" s="5">
        <f t="shared" si="172"/>
        <v>115000</v>
      </c>
      <c r="J3538" s="5">
        <f t="shared" si="173"/>
        <v>45000</v>
      </c>
      <c r="K3538" s="5" t="str">
        <f>VLOOKUP(C3538,[1]master_data!$A$2:$E$495,5,FALSE)</f>
        <v>Aksesoris</v>
      </c>
      <c r="L3538" s="5" t="s">
        <v>471</v>
      </c>
    </row>
    <row r="3539" spans="1:12" ht="12" customHeight="1" x14ac:dyDescent="0.25">
      <c r="A3539" s="6">
        <v>44616</v>
      </c>
      <c r="B3539" s="1">
        <v>2201024</v>
      </c>
      <c r="C3539" s="5" t="s">
        <v>462</v>
      </c>
      <c r="D3539" s="5" t="str">
        <f>VLOOKUP(C3539,[1]master_data!$A$2:$E$495,2,FALSE)</f>
        <v>SEPAT ALBINO</v>
      </c>
      <c r="E3539" s="5">
        <v>3</v>
      </c>
      <c r="F3539" s="5">
        <f>VLOOKUP(C3539,[1]master_data!$A$2:$E$495,3,FALSE)</f>
        <v>2000</v>
      </c>
      <c r="G3539" s="5">
        <f>VLOOKUP(C3539,[1]master_data!$A$2:$E$495,4,FALSE)</f>
        <v>5000</v>
      </c>
      <c r="H3539" s="5">
        <f t="shared" si="171"/>
        <v>6000</v>
      </c>
      <c r="I3539" s="5">
        <f t="shared" si="172"/>
        <v>15000</v>
      </c>
      <c r="J3539" s="5">
        <f t="shared" si="173"/>
        <v>9000</v>
      </c>
      <c r="K3539" s="5" t="str">
        <f>VLOOKUP(C3539,[1]master_data!$A$2:$E$495,5,FALSE)</f>
        <v>Ikan</v>
      </c>
      <c r="L3539" s="5" t="s">
        <v>471</v>
      </c>
    </row>
    <row r="3540" spans="1:12" ht="12" customHeight="1" x14ac:dyDescent="0.25">
      <c r="A3540" s="6">
        <v>44616</v>
      </c>
      <c r="B3540" s="1">
        <v>2201023</v>
      </c>
      <c r="C3540" s="5" t="s">
        <v>415</v>
      </c>
      <c r="D3540" s="5" t="str">
        <f>VLOOKUP(C3540,[1]master_data!$A$2:$E$495,2,FALSE)</f>
        <v>KOKI B</v>
      </c>
      <c r="E3540" s="5">
        <v>2</v>
      </c>
      <c r="F3540" s="5">
        <f>VLOOKUP(C3540,[1]master_data!$A$2:$E$495,3,FALSE)</f>
        <v>20000</v>
      </c>
      <c r="G3540" s="5">
        <f>VLOOKUP(C3540,[1]master_data!$A$2:$E$495,4,FALSE)</f>
        <v>50000</v>
      </c>
      <c r="H3540" s="5">
        <f t="shared" si="171"/>
        <v>40000</v>
      </c>
      <c r="I3540" s="5">
        <f t="shared" si="172"/>
        <v>100000</v>
      </c>
      <c r="J3540" s="5">
        <f t="shared" si="173"/>
        <v>60000</v>
      </c>
      <c r="K3540" s="5" t="str">
        <f>VLOOKUP(C3540,[1]master_data!$A$2:$E$495,5,FALSE)</f>
        <v>Ikan</v>
      </c>
      <c r="L3540" s="5" t="s">
        <v>471</v>
      </c>
    </row>
    <row r="3541" spans="1:12" ht="12" customHeight="1" x14ac:dyDescent="0.25">
      <c r="A3541" s="6">
        <v>44616</v>
      </c>
      <c r="B3541" s="1">
        <v>2201022</v>
      </c>
      <c r="C3541" s="5" t="s">
        <v>441</v>
      </c>
      <c r="D3541" s="5" t="str">
        <f>VLOOKUP(C3541,[1]master_data!$A$2:$E$495,2,FALSE)</f>
        <v>PEMBERSIH KACA BIASA</v>
      </c>
      <c r="E3541" s="5">
        <v>2</v>
      </c>
      <c r="F3541" s="5">
        <f>VLOOKUP(C3541,[1]master_data!$A$2:$E$495,3,FALSE)</f>
        <v>2000</v>
      </c>
      <c r="G3541" s="5">
        <f>VLOOKUP(C3541,[1]master_data!$A$2:$E$495,4,FALSE)</f>
        <v>5000</v>
      </c>
      <c r="H3541" s="5">
        <f t="shared" si="171"/>
        <v>4000</v>
      </c>
      <c r="I3541" s="5">
        <f t="shared" si="172"/>
        <v>10000</v>
      </c>
      <c r="J3541" s="5">
        <f t="shared" si="173"/>
        <v>6000</v>
      </c>
      <c r="K3541" s="5" t="str">
        <f>VLOOKUP(C3541,[1]master_data!$A$2:$E$495,5,FALSE)</f>
        <v>Ikan</v>
      </c>
      <c r="L3541" s="5" t="s">
        <v>471</v>
      </c>
    </row>
    <row r="3542" spans="1:12" ht="12" customHeight="1" x14ac:dyDescent="0.25">
      <c r="A3542" s="6">
        <v>44615</v>
      </c>
      <c r="B3542" s="1">
        <v>2201021</v>
      </c>
      <c r="C3542" s="5" t="s">
        <v>434</v>
      </c>
      <c r="D3542" s="5" t="str">
        <f>VLOOKUP(C3542,[1]master_data!$A$2:$E$495,2,FALSE)</f>
        <v>MOLI PAKAN</v>
      </c>
      <c r="E3542" s="5">
        <v>50</v>
      </c>
      <c r="F3542" s="5">
        <f>VLOOKUP(C3542,[1]master_data!$A$2:$E$495,3,FALSE)</f>
        <v>100</v>
      </c>
      <c r="G3542" s="5">
        <f>VLOOKUP(C3542,[1]master_data!$A$2:$E$495,4,FALSE)</f>
        <v>200</v>
      </c>
      <c r="H3542" s="5">
        <f t="shared" si="171"/>
        <v>5000</v>
      </c>
      <c r="I3542" s="5">
        <f t="shared" si="172"/>
        <v>10000</v>
      </c>
      <c r="J3542" s="5">
        <f t="shared" si="173"/>
        <v>5000</v>
      </c>
      <c r="K3542" s="5" t="str">
        <f>VLOOKUP(C3542,[1]master_data!$A$2:$E$495,5,FALSE)</f>
        <v>Ikan</v>
      </c>
      <c r="L3542" s="5" t="s">
        <v>471</v>
      </c>
    </row>
    <row r="3543" spans="1:12" ht="12" customHeight="1" x14ac:dyDescent="0.25">
      <c r="A3543" s="6">
        <v>44615</v>
      </c>
      <c r="B3543" s="1">
        <v>2201020</v>
      </c>
      <c r="C3543" s="5" t="s">
        <v>234</v>
      </c>
      <c r="D3543" s="5" t="str">
        <f>VLOOKUP(C3543,[1]master_data!$A$2:$E$495,2,FALSE)</f>
        <v>FISH LOVE PAKAN BURAYAK</v>
      </c>
      <c r="E3543" s="5">
        <v>2</v>
      </c>
      <c r="F3543" s="5">
        <f>VLOOKUP(C3543,[1]master_data!$A$2:$E$495,3,FALSE)</f>
        <v>2500</v>
      </c>
      <c r="G3543" s="5">
        <f>VLOOKUP(C3543,[1]master_data!$A$2:$E$495,4,FALSE)</f>
        <v>5000</v>
      </c>
      <c r="H3543" s="5">
        <f t="shared" si="171"/>
        <v>5000</v>
      </c>
      <c r="I3543" s="5">
        <f t="shared" si="172"/>
        <v>10000</v>
      </c>
      <c r="J3543" s="5">
        <f t="shared" si="173"/>
        <v>5000</v>
      </c>
      <c r="K3543" s="5" t="str">
        <f>VLOOKUP(C3543,[1]master_data!$A$2:$E$495,5,FALSE)</f>
        <v>Aksesoris</v>
      </c>
      <c r="L3543" s="5" t="s">
        <v>471</v>
      </c>
    </row>
    <row r="3544" spans="1:12" ht="12" customHeight="1" x14ac:dyDescent="0.25">
      <c r="A3544" s="6">
        <v>44615</v>
      </c>
      <c r="B3544" s="1">
        <v>2201019</v>
      </c>
      <c r="C3544" s="5" t="s">
        <v>402</v>
      </c>
      <c r="D3544" s="5" t="str">
        <f>VLOOKUP(C3544,[1]master_data!$A$2:$E$495,2,FALSE)</f>
        <v>BLACK GHOST</v>
      </c>
      <c r="E3544" s="5">
        <v>3</v>
      </c>
      <c r="F3544" s="5">
        <f>VLOOKUP(C3544,[1]master_data!$A$2:$E$495,3,FALSE)</f>
        <v>4000</v>
      </c>
      <c r="G3544" s="5">
        <f>VLOOKUP(C3544,[1]master_data!$A$2:$E$495,4,FALSE)</f>
        <v>10000</v>
      </c>
      <c r="H3544" s="5">
        <f t="shared" si="171"/>
        <v>12000</v>
      </c>
      <c r="I3544" s="5">
        <f t="shared" si="172"/>
        <v>30000</v>
      </c>
      <c r="J3544" s="5">
        <f t="shared" si="173"/>
        <v>18000</v>
      </c>
      <c r="K3544" s="5" t="str">
        <f>VLOOKUP(C3544,[1]master_data!$A$2:$E$495,5,FALSE)</f>
        <v>Ikan</v>
      </c>
      <c r="L3544" s="5" t="s">
        <v>471</v>
      </c>
    </row>
    <row r="3545" spans="1:12" ht="12" customHeight="1" x14ac:dyDescent="0.25">
      <c r="A3545" s="6">
        <v>44615</v>
      </c>
      <c r="B3545" s="1">
        <v>2201018</v>
      </c>
      <c r="C3545" s="5" t="s">
        <v>249</v>
      </c>
      <c r="D3545" s="5" t="str">
        <f>VLOOKUP(C3545,[1]master_data!$A$2:$E$495,2,FALSE)</f>
        <v>AIRSTONE BAKSO B</v>
      </c>
      <c r="E3545" s="5">
        <v>4</v>
      </c>
      <c r="F3545" s="5">
        <f>VLOOKUP(C3545,[1]master_data!$A$2:$E$495,3,FALSE)</f>
        <v>7700</v>
      </c>
      <c r="G3545" s="5">
        <f>VLOOKUP(C3545,[1]master_data!$A$2:$E$495,4,FALSE)</f>
        <v>10000</v>
      </c>
      <c r="H3545" s="5">
        <f t="shared" si="171"/>
        <v>30800</v>
      </c>
      <c r="I3545" s="5">
        <f t="shared" si="172"/>
        <v>40000</v>
      </c>
      <c r="J3545" s="5">
        <f t="shared" si="173"/>
        <v>9200</v>
      </c>
      <c r="K3545" s="5" t="str">
        <f>VLOOKUP(C3545,[1]master_data!$A$2:$E$495,5,FALSE)</f>
        <v>Aksesoris</v>
      </c>
      <c r="L3545" s="5" t="s">
        <v>471</v>
      </c>
    </row>
    <row r="3546" spans="1:12" ht="12" customHeight="1" x14ac:dyDescent="0.25">
      <c r="A3546" s="6">
        <v>44615</v>
      </c>
      <c r="B3546" s="1">
        <v>2201017</v>
      </c>
      <c r="C3546" s="5" t="s">
        <v>419</v>
      </c>
      <c r="D3546" s="5" t="str">
        <f>VLOOKUP(C3546,[1]master_data!$A$2:$E$495,2,FALSE)</f>
        <v>KURA - KURA</v>
      </c>
      <c r="E3546" s="5">
        <v>2</v>
      </c>
      <c r="F3546" s="5">
        <f>VLOOKUP(C3546,[1]master_data!$A$2:$E$495,3,FALSE)</f>
        <v>25000</v>
      </c>
      <c r="G3546" s="5">
        <f>VLOOKUP(C3546,[1]master_data!$A$2:$E$495,4,FALSE)</f>
        <v>35000</v>
      </c>
      <c r="H3546" s="5">
        <f t="shared" si="171"/>
        <v>50000</v>
      </c>
      <c r="I3546" s="5">
        <f t="shared" si="172"/>
        <v>70000</v>
      </c>
      <c r="J3546" s="5">
        <f t="shared" si="173"/>
        <v>20000</v>
      </c>
      <c r="K3546" s="5" t="str">
        <f>VLOOKUP(C3546,[1]master_data!$A$2:$E$495,5,FALSE)</f>
        <v>Ikan</v>
      </c>
      <c r="L3546" s="5" t="s">
        <v>471</v>
      </c>
    </row>
    <row r="3547" spans="1:12" ht="12" customHeight="1" x14ac:dyDescent="0.25">
      <c r="A3547" s="6">
        <v>44615</v>
      </c>
      <c r="B3547" s="1">
        <v>2201016</v>
      </c>
      <c r="C3547" s="5" t="s">
        <v>281</v>
      </c>
      <c r="D3547" s="5" t="str">
        <f>VLOOKUP(C3547,[1]master_data!$A$2:$E$495,2,FALSE)</f>
        <v>KRAN 3 W</v>
      </c>
      <c r="E3547" s="5">
        <v>2</v>
      </c>
      <c r="F3547" s="5">
        <f>VLOOKUP(C3547,[1]master_data!$A$2:$E$495,3,FALSE)</f>
        <v>5500</v>
      </c>
      <c r="G3547" s="5">
        <f>VLOOKUP(C3547,[1]master_data!$A$2:$E$495,4,FALSE)</f>
        <v>8000</v>
      </c>
      <c r="H3547" s="5">
        <f t="shared" si="171"/>
        <v>11000</v>
      </c>
      <c r="I3547" s="5">
        <f t="shared" si="172"/>
        <v>16000</v>
      </c>
      <c r="J3547" s="5">
        <f t="shared" si="173"/>
        <v>5000</v>
      </c>
      <c r="K3547" s="5" t="str">
        <f>VLOOKUP(C3547,[1]master_data!$A$2:$E$495,5,FALSE)</f>
        <v>Aksesoris</v>
      </c>
      <c r="L3547" s="5" t="s">
        <v>471</v>
      </c>
    </row>
    <row r="3548" spans="1:12" ht="12" customHeight="1" x14ac:dyDescent="0.25">
      <c r="A3548" s="6">
        <v>44615</v>
      </c>
      <c r="B3548" s="1">
        <v>2201015</v>
      </c>
      <c r="C3548" s="5" t="s">
        <v>208</v>
      </c>
      <c r="D3548" s="5" t="str">
        <f>VLOOKUP(C3548,[1]master_data!$A$2:$E$495,2,FALSE)</f>
        <v>TOP VIT</v>
      </c>
      <c r="E3548" s="5">
        <v>1</v>
      </c>
      <c r="F3548" s="5">
        <f>VLOOKUP(C3548,[1]master_data!$A$2:$E$495,3,FALSE)</f>
        <v>4000</v>
      </c>
      <c r="G3548" s="5">
        <f>VLOOKUP(C3548,[1]master_data!$A$2:$E$495,4,FALSE)</f>
        <v>7000</v>
      </c>
      <c r="H3548" s="5">
        <f t="shared" si="171"/>
        <v>4000</v>
      </c>
      <c r="I3548" s="5">
        <f t="shared" si="172"/>
        <v>7000</v>
      </c>
      <c r="J3548" s="5">
        <f t="shared" si="173"/>
        <v>3000</v>
      </c>
      <c r="K3548" s="5" t="str">
        <f>VLOOKUP(C3548,[1]master_data!$A$2:$E$495,5,FALSE)</f>
        <v>Aksesoris</v>
      </c>
      <c r="L3548" s="5" t="s">
        <v>471</v>
      </c>
    </row>
    <row r="3549" spans="1:12" ht="12" customHeight="1" x14ac:dyDescent="0.25">
      <c r="A3549" s="6">
        <v>44615</v>
      </c>
      <c r="B3549" s="1">
        <v>2201014</v>
      </c>
      <c r="C3549" s="5" t="s">
        <v>333</v>
      </c>
      <c r="D3549" s="5" t="str">
        <f>VLOOKUP(C3549,[1]master_data!$A$2:$E$495,2,FALSE)</f>
        <v>KAPAS 2 LAPIS</v>
      </c>
      <c r="E3549" s="5">
        <v>1</v>
      </c>
      <c r="F3549" s="5">
        <f>VLOOKUP(C3549,[1]master_data!$A$2:$E$495,3,FALSE)</f>
        <v>2000</v>
      </c>
      <c r="G3549" s="5">
        <f>VLOOKUP(C3549,[1]master_data!$A$2:$E$495,4,FALSE)</f>
        <v>4000</v>
      </c>
      <c r="H3549" s="5">
        <f t="shared" si="171"/>
        <v>2000</v>
      </c>
      <c r="I3549" s="5">
        <f t="shared" si="172"/>
        <v>4000</v>
      </c>
      <c r="J3549" s="5">
        <f t="shared" si="173"/>
        <v>2000</v>
      </c>
      <c r="K3549" s="5" t="str">
        <f>VLOOKUP(C3549,[1]master_data!$A$2:$E$495,5,FALSE)</f>
        <v>Aksesoris</v>
      </c>
      <c r="L3549" s="5" t="s">
        <v>471</v>
      </c>
    </row>
    <row r="3550" spans="1:12" ht="12" customHeight="1" x14ac:dyDescent="0.25">
      <c r="A3550" s="6">
        <v>44615</v>
      </c>
      <c r="B3550" s="1">
        <v>2201013</v>
      </c>
      <c r="C3550" s="5" t="s">
        <v>420</v>
      </c>
      <c r="D3550" s="5" t="str">
        <f>VLOOKUP(C3550,[1]master_data!$A$2:$E$495,2,FALSE)</f>
        <v>KAVIAT</v>
      </c>
      <c r="E3550" s="5">
        <v>4</v>
      </c>
      <c r="F3550" s="5">
        <f>VLOOKUP(C3550,[1]master_data!$A$2:$E$495,3,FALSE)</f>
        <v>3500</v>
      </c>
      <c r="G3550" s="5">
        <f>VLOOKUP(C3550,[1]master_data!$A$2:$E$495,4,FALSE)</f>
        <v>8000</v>
      </c>
      <c r="H3550" s="5">
        <f t="shared" si="171"/>
        <v>14000</v>
      </c>
      <c r="I3550" s="5">
        <f t="shared" si="172"/>
        <v>32000</v>
      </c>
      <c r="J3550" s="5">
        <f t="shared" si="173"/>
        <v>18000</v>
      </c>
      <c r="K3550" s="5" t="str">
        <f>VLOOKUP(C3550,[1]master_data!$A$2:$E$495,5,FALSE)</f>
        <v>Ikan</v>
      </c>
      <c r="L3550" s="5" t="s">
        <v>471</v>
      </c>
    </row>
    <row r="3551" spans="1:12" ht="12" customHeight="1" x14ac:dyDescent="0.25">
      <c r="A3551" s="6">
        <v>44615</v>
      </c>
      <c r="B3551" s="1">
        <v>2201012</v>
      </c>
      <c r="C3551" s="5" t="s">
        <v>444</v>
      </c>
      <c r="D3551" s="5" t="str">
        <f>VLOOKUP(C3551,[1]master_data!$A$2:$E$495,2,FALSE)</f>
        <v>PARROT</v>
      </c>
      <c r="E3551" s="5">
        <v>3</v>
      </c>
      <c r="F3551" s="5">
        <f>VLOOKUP(C3551,[1]master_data!$A$2:$E$495,3,FALSE)</f>
        <v>27000</v>
      </c>
      <c r="G3551" s="5">
        <f>VLOOKUP(C3551,[1]master_data!$A$2:$E$495,4,FALSE)</f>
        <v>60000</v>
      </c>
      <c r="H3551" s="5">
        <f t="shared" si="171"/>
        <v>81000</v>
      </c>
      <c r="I3551" s="5">
        <f t="shared" si="172"/>
        <v>180000</v>
      </c>
      <c r="J3551" s="5">
        <f t="shared" si="173"/>
        <v>99000</v>
      </c>
      <c r="K3551" s="5" t="str">
        <f>VLOOKUP(C3551,[1]master_data!$A$2:$E$495,5,FALSE)</f>
        <v>Ikan</v>
      </c>
      <c r="L3551" s="5" t="s">
        <v>471</v>
      </c>
    </row>
    <row r="3552" spans="1:12" ht="12" customHeight="1" x14ac:dyDescent="0.25">
      <c r="A3552" s="6">
        <v>44615</v>
      </c>
      <c r="B3552" s="1">
        <v>2201011</v>
      </c>
      <c r="C3552" s="5" t="s">
        <v>443</v>
      </c>
      <c r="D3552" s="5" t="str">
        <f>VLOOKUP(C3552,[1]master_data!$A$2:$E$495,2,FALSE)</f>
        <v>PALMAS</v>
      </c>
      <c r="E3552" s="5">
        <v>3</v>
      </c>
      <c r="F3552" s="5">
        <f>VLOOKUP(C3552,[1]master_data!$A$2:$E$495,3,FALSE)</f>
        <v>10000</v>
      </c>
      <c r="G3552" s="5">
        <f>VLOOKUP(C3552,[1]master_data!$A$2:$E$495,4,FALSE)</f>
        <v>25000</v>
      </c>
      <c r="H3552" s="5">
        <f t="shared" si="171"/>
        <v>30000</v>
      </c>
      <c r="I3552" s="5">
        <f t="shared" si="172"/>
        <v>75000</v>
      </c>
      <c r="J3552" s="5">
        <f t="shared" si="173"/>
        <v>45000</v>
      </c>
      <c r="K3552" s="5" t="str">
        <f>VLOOKUP(C3552,[1]master_data!$A$2:$E$495,5,FALSE)</f>
        <v>Ikan</v>
      </c>
      <c r="L3552" s="5" t="s">
        <v>471</v>
      </c>
    </row>
    <row r="3553" spans="1:12" ht="12" customHeight="1" x14ac:dyDescent="0.25">
      <c r="A3553" s="6">
        <v>44615</v>
      </c>
      <c r="B3553" s="1">
        <v>2201010</v>
      </c>
      <c r="C3553" s="5" t="s">
        <v>409</v>
      </c>
      <c r="D3553" s="5" t="str">
        <f>VLOOKUP(C3553,[1]master_data!$A$2:$E$495,2,FALSE)</f>
        <v>GOLD FISH</v>
      </c>
      <c r="E3553" s="5">
        <v>30</v>
      </c>
      <c r="F3553" s="5">
        <f>VLOOKUP(C3553,[1]master_data!$A$2:$E$495,3,FALSE)</f>
        <v>800</v>
      </c>
      <c r="G3553" s="5">
        <f>VLOOKUP(C3553,[1]master_data!$A$2:$E$495,4,FALSE)</f>
        <v>2000</v>
      </c>
      <c r="H3553" s="5">
        <f t="shared" si="171"/>
        <v>24000</v>
      </c>
      <c r="I3553" s="5">
        <f t="shared" si="172"/>
        <v>60000</v>
      </c>
      <c r="J3553" s="5">
        <f t="shared" si="173"/>
        <v>36000</v>
      </c>
      <c r="K3553" s="5" t="str">
        <f>VLOOKUP(C3553,[1]master_data!$A$2:$E$495,5,FALSE)</f>
        <v>Ikan</v>
      </c>
      <c r="L3553" s="5" t="s">
        <v>471</v>
      </c>
    </row>
    <row r="3554" spans="1:12" ht="12" customHeight="1" x14ac:dyDescent="0.25">
      <c r="A3554" s="6">
        <v>44615</v>
      </c>
      <c r="B3554" s="1">
        <v>2201009</v>
      </c>
      <c r="C3554" s="5" t="s">
        <v>458</v>
      </c>
      <c r="D3554" s="5" t="str">
        <f>VLOOKUP(C3554,[1]master_data!$A$2:$E$495,2,FALSE)</f>
        <v>ZEBRA HIJAU</v>
      </c>
      <c r="E3554" s="5">
        <v>1</v>
      </c>
      <c r="F3554" s="5">
        <f>VLOOKUP(C3554,[1]master_data!$A$2:$E$495,3,FALSE)</f>
        <v>800</v>
      </c>
      <c r="G3554" s="5">
        <f>VLOOKUP(C3554,[1]master_data!$A$2:$E$495,4,FALSE)</f>
        <v>2000</v>
      </c>
      <c r="H3554" s="5">
        <f t="shared" si="171"/>
        <v>800</v>
      </c>
      <c r="I3554" s="5">
        <f t="shared" si="172"/>
        <v>2000</v>
      </c>
      <c r="J3554" s="5">
        <f t="shared" si="173"/>
        <v>1200</v>
      </c>
      <c r="K3554" s="5" t="str">
        <f>VLOOKUP(C3554,[1]master_data!$A$2:$E$495,5,FALSE)</f>
        <v>Ikan</v>
      </c>
      <c r="L3554" s="5" t="s">
        <v>471</v>
      </c>
    </row>
    <row r="3555" spans="1:12" ht="12" customHeight="1" x14ac:dyDescent="0.25">
      <c r="A3555" s="6">
        <v>44615</v>
      </c>
      <c r="B3555" s="1">
        <v>2201008</v>
      </c>
      <c r="C3555" s="5" t="s">
        <v>401</v>
      </c>
      <c r="D3555" s="5" t="str">
        <f>VLOOKUP(C3555,[1]master_data!$A$2:$E$495,2,FALSE)</f>
        <v>BALA BALA B</v>
      </c>
      <c r="E3555" s="5">
        <v>2</v>
      </c>
      <c r="F3555" s="5">
        <f>VLOOKUP(C3555,[1]master_data!$A$2:$E$495,3,FALSE)</f>
        <v>7000</v>
      </c>
      <c r="G3555" s="5">
        <f>VLOOKUP(C3555,[1]master_data!$A$2:$E$495,4,FALSE)</f>
        <v>15000</v>
      </c>
      <c r="H3555" s="5">
        <f t="shared" si="171"/>
        <v>14000</v>
      </c>
      <c r="I3555" s="5">
        <f t="shared" si="172"/>
        <v>30000</v>
      </c>
      <c r="J3555" s="5">
        <f t="shared" si="173"/>
        <v>16000</v>
      </c>
      <c r="K3555" s="5" t="str">
        <f>VLOOKUP(C3555,[1]master_data!$A$2:$E$495,5,FALSE)</f>
        <v>Ikan</v>
      </c>
      <c r="L3555" s="5" t="s">
        <v>471</v>
      </c>
    </row>
    <row r="3556" spans="1:12" ht="12" customHeight="1" x14ac:dyDescent="0.25">
      <c r="A3556" s="6">
        <v>44615</v>
      </c>
      <c r="B3556" s="1">
        <v>2201007</v>
      </c>
      <c r="C3556" s="5" t="s">
        <v>453</v>
      </c>
      <c r="D3556" s="5" t="str">
        <f>VLOOKUP(C3556,[1]master_data!$A$2:$E$495,2,FALSE)</f>
        <v>SYNODONTIS K</v>
      </c>
      <c r="E3556" s="5">
        <v>3</v>
      </c>
      <c r="F3556" s="5">
        <f>VLOOKUP(C3556,[1]master_data!$A$2:$E$495,3,FALSE)</f>
        <v>1500</v>
      </c>
      <c r="G3556" s="5">
        <f>VLOOKUP(C3556,[1]master_data!$A$2:$E$495,4,FALSE)</f>
        <v>5000</v>
      </c>
      <c r="H3556" s="5">
        <f t="shared" si="171"/>
        <v>4500</v>
      </c>
      <c r="I3556" s="5">
        <f t="shared" si="172"/>
        <v>15000</v>
      </c>
      <c r="J3556" s="5">
        <f t="shared" si="173"/>
        <v>10500</v>
      </c>
      <c r="K3556" s="5" t="str">
        <f>VLOOKUP(C3556,[1]master_data!$A$2:$E$495,5,FALSE)</f>
        <v>Ikan</v>
      </c>
      <c r="L3556" s="5" t="s">
        <v>471</v>
      </c>
    </row>
    <row r="3557" spans="1:12" ht="12" customHeight="1" x14ac:dyDescent="0.25">
      <c r="A3557" s="6">
        <v>44615</v>
      </c>
      <c r="B3557" s="1">
        <v>2201006</v>
      </c>
      <c r="C3557" s="5" t="s">
        <v>407</v>
      </c>
      <c r="D3557" s="5" t="str">
        <f>VLOOKUP(C3557,[1]master_data!$A$2:$E$495,2,FALSE)</f>
        <v>CUPANG</v>
      </c>
      <c r="E3557" s="5">
        <v>5</v>
      </c>
      <c r="F3557" s="5">
        <f>VLOOKUP(C3557,[1]master_data!$A$2:$E$495,3,FALSE)</f>
        <v>2000</v>
      </c>
      <c r="G3557" s="5">
        <f>VLOOKUP(C3557,[1]master_data!$A$2:$E$495,4,FALSE)</f>
        <v>5000</v>
      </c>
      <c r="H3557" s="5">
        <f t="shared" si="171"/>
        <v>10000</v>
      </c>
      <c r="I3557" s="5">
        <f t="shared" si="172"/>
        <v>25000</v>
      </c>
      <c r="J3557" s="5">
        <f t="shared" si="173"/>
        <v>15000</v>
      </c>
      <c r="K3557" s="5" t="str">
        <f>VLOOKUP(C3557,[1]master_data!$A$2:$E$495,5,FALSE)</f>
        <v>Ikan</v>
      </c>
      <c r="L3557" s="5" t="s">
        <v>471</v>
      </c>
    </row>
    <row r="3558" spans="1:12" ht="12" customHeight="1" x14ac:dyDescent="0.25">
      <c r="A3558" s="6">
        <v>44614</v>
      </c>
      <c r="B3558" s="1">
        <v>2201005</v>
      </c>
      <c r="C3558" s="5" t="s">
        <v>310</v>
      </c>
      <c r="D3558" s="5" t="str">
        <f>VLOOKUP(C3558,[1]master_data!$A$2:$E$495,2,FALSE)</f>
        <v>SELANG FUSO</v>
      </c>
      <c r="E3558" s="5">
        <v>20</v>
      </c>
      <c r="F3558" s="5">
        <f>VLOOKUP(C3558,[1]master_data!$A$2:$E$495,3,FALSE)</f>
        <v>800</v>
      </c>
      <c r="G3558" s="5">
        <f>VLOOKUP(C3558,[1]master_data!$A$2:$E$495,4,FALSE)</f>
        <v>2000</v>
      </c>
      <c r="H3558" s="5">
        <f t="shared" si="171"/>
        <v>16000</v>
      </c>
      <c r="I3558" s="5">
        <f t="shared" si="172"/>
        <v>40000</v>
      </c>
      <c r="J3558" s="5">
        <f t="shared" si="173"/>
        <v>24000</v>
      </c>
      <c r="K3558" s="5" t="str">
        <f>VLOOKUP(C3558,[1]master_data!$A$2:$E$495,5,FALSE)</f>
        <v>Aksesoris</v>
      </c>
      <c r="L3558" s="5" t="s">
        <v>471</v>
      </c>
    </row>
    <row r="3559" spans="1:12" ht="12" customHeight="1" x14ac:dyDescent="0.25">
      <c r="A3559" s="6">
        <v>44614</v>
      </c>
      <c r="B3559" s="1">
        <v>2201004</v>
      </c>
      <c r="C3559" s="5" t="s">
        <v>400</v>
      </c>
      <c r="D3559" s="5" t="str">
        <f>VLOOKUP(C3559,[1]master_data!$A$2:$E$495,2,FALSE)</f>
        <v>BALA BALA K</v>
      </c>
      <c r="E3559" s="5">
        <v>4</v>
      </c>
      <c r="F3559" s="5">
        <f>VLOOKUP(C3559,[1]master_data!$A$2:$E$495,3,FALSE)</f>
        <v>4000</v>
      </c>
      <c r="G3559" s="5">
        <f>VLOOKUP(C3559,[1]master_data!$A$2:$E$495,4,FALSE)</f>
        <v>8000</v>
      </c>
      <c r="H3559" s="5">
        <f t="shared" si="171"/>
        <v>16000</v>
      </c>
      <c r="I3559" s="5">
        <f t="shared" si="172"/>
        <v>32000</v>
      </c>
      <c r="J3559" s="5">
        <f t="shared" si="173"/>
        <v>16000</v>
      </c>
      <c r="K3559" s="5" t="str">
        <f>VLOOKUP(C3559,[1]master_data!$A$2:$E$495,5,FALSE)</f>
        <v>Ikan</v>
      </c>
      <c r="L3559" s="5" t="s">
        <v>471</v>
      </c>
    </row>
    <row r="3560" spans="1:12" ht="12" customHeight="1" x14ac:dyDescent="0.25">
      <c r="A3560" s="6">
        <v>44614</v>
      </c>
      <c r="B3560" s="1">
        <v>2201003</v>
      </c>
      <c r="C3560" s="5" t="s">
        <v>390</v>
      </c>
      <c r="D3560" s="5" t="str">
        <f>VLOOKUP(C3560,[1]master_data!$A$2:$E$495,2,FALSE)</f>
        <v>CHANNA ASIATICA K</v>
      </c>
      <c r="E3560" s="5">
        <v>2</v>
      </c>
      <c r="F3560" s="5">
        <f>VLOOKUP(C3560,[1]master_data!$A$2:$E$495,3,FALSE)</f>
        <v>10000</v>
      </c>
      <c r="G3560" s="5">
        <f>VLOOKUP(C3560,[1]master_data!$A$2:$E$495,4,FALSE)</f>
        <v>40000</v>
      </c>
      <c r="H3560" s="5">
        <f t="shared" si="171"/>
        <v>20000</v>
      </c>
      <c r="I3560" s="5">
        <f t="shared" si="172"/>
        <v>80000</v>
      </c>
      <c r="J3560" s="5">
        <f t="shared" si="173"/>
        <v>60000</v>
      </c>
      <c r="K3560" s="5" t="str">
        <f>VLOOKUP(C3560,[1]master_data!$A$2:$E$495,5,FALSE)</f>
        <v>Ikan</v>
      </c>
      <c r="L3560" s="5" t="s">
        <v>471</v>
      </c>
    </row>
    <row r="3561" spans="1:12" ht="12" customHeight="1" x14ac:dyDescent="0.25">
      <c r="A3561" s="6">
        <v>44614</v>
      </c>
      <c r="B3561" s="1">
        <v>2201002</v>
      </c>
      <c r="C3561" s="5" t="s">
        <v>451</v>
      </c>
      <c r="D3561" s="5" t="str">
        <f>VLOOKUP(C3561,[1]master_data!$A$2:$E$495,2,FALSE)</f>
        <v>SUMATRA GOLD FISH</v>
      </c>
      <c r="E3561" s="5">
        <v>5</v>
      </c>
      <c r="F3561" s="5">
        <f>VLOOKUP(C3561,[1]master_data!$A$2:$E$495,3,FALSE)</f>
        <v>2500</v>
      </c>
      <c r="G3561" s="5">
        <f>VLOOKUP(C3561,[1]master_data!$A$2:$E$495,4,FALSE)</f>
        <v>4000</v>
      </c>
      <c r="H3561" s="5">
        <f t="shared" si="171"/>
        <v>12500</v>
      </c>
      <c r="I3561" s="5">
        <f t="shared" si="172"/>
        <v>20000</v>
      </c>
      <c r="J3561" s="5">
        <f t="shared" si="173"/>
        <v>7500</v>
      </c>
      <c r="K3561" s="5" t="str">
        <f>VLOOKUP(C3561,[1]master_data!$A$2:$E$495,5,FALSE)</f>
        <v>Ikan</v>
      </c>
      <c r="L3561" s="5" t="s">
        <v>471</v>
      </c>
    </row>
    <row r="3562" spans="1:12" ht="12" customHeight="1" x14ac:dyDescent="0.25">
      <c r="A3562" s="6">
        <v>44614</v>
      </c>
      <c r="B3562" s="1">
        <v>2201001</v>
      </c>
      <c r="C3562" s="5" t="s">
        <v>456</v>
      </c>
      <c r="D3562" s="5" t="str">
        <f>VLOOKUP(C3562,[1]master_data!$A$2:$E$495,2,FALSE)</f>
        <v>TOMAN</v>
      </c>
      <c r="E3562" s="5">
        <v>3</v>
      </c>
      <c r="F3562" s="5">
        <f>VLOOKUP(C3562,[1]master_data!$A$2:$E$495,3,FALSE)</f>
        <v>10000</v>
      </c>
      <c r="G3562" s="5">
        <f>VLOOKUP(C3562,[1]master_data!$A$2:$E$495,4,FALSE)</f>
        <v>25000</v>
      </c>
      <c r="H3562" s="5">
        <f t="shared" si="171"/>
        <v>30000</v>
      </c>
      <c r="I3562" s="5">
        <f t="shared" si="172"/>
        <v>75000</v>
      </c>
      <c r="J3562" s="5">
        <f t="shared" si="173"/>
        <v>45000</v>
      </c>
      <c r="K3562" s="5" t="str">
        <f>VLOOKUP(C3562,[1]master_data!$A$2:$E$495,5,FALSE)</f>
        <v>Ikan</v>
      </c>
      <c r="L3562" s="5" t="s">
        <v>471</v>
      </c>
    </row>
    <row r="3563" spans="1:12" ht="12" customHeight="1" x14ac:dyDescent="0.25">
      <c r="A3563" s="6">
        <v>44614</v>
      </c>
      <c r="B3563" s="1">
        <v>2201000</v>
      </c>
      <c r="C3563" s="5" t="s">
        <v>11</v>
      </c>
      <c r="D3563" s="5" t="str">
        <f>VLOOKUP(C3563,[1]master_data!$A$2:$E$495,2,FALSE)</f>
        <v>MESIN YANG 103</v>
      </c>
      <c r="E3563" s="5">
        <v>1</v>
      </c>
      <c r="F3563" s="5">
        <f>VLOOKUP(C3563,[1]master_data!$A$2:$E$495,3,FALSE)</f>
        <v>66000</v>
      </c>
      <c r="G3563" s="5">
        <f>VLOOKUP(C3563,[1]master_data!$A$2:$E$495,4,FALSE)</f>
        <v>95000</v>
      </c>
      <c r="H3563" s="5">
        <f t="shared" si="171"/>
        <v>66000</v>
      </c>
      <c r="I3563" s="5">
        <f t="shared" si="172"/>
        <v>95000</v>
      </c>
      <c r="J3563" s="5">
        <f t="shared" si="173"/>
        <v>29000</v>
      </c>
      <c r="K3563" s="5" t="str">
        <f>VLOOKUP(C3563,[1]master_data!$A$2:$E$495,5,FALSE)</f>
        <v>Aksesoris</v>
      </c>
      <c r="L3563" s="5" t="s">
        <v>471</v>
      </c>
    </row>
    <row r="3564" spans="1:12" ht="12" customHeight="1" x14ac:dyDescent="0.25">
      <c r="A3564" s="6">
        <v>44614</v>
      </c>
      <c r="B3564" s="1">
        <v>2200999</v>
      </c>
      <c r="C3564" s="5" t="s">
        <v>234</v>
      </c>
      <c r="D3564" s="5" t="str">
        <f>VLOOKUP(C3564,[1]master_data!$A$2:$E$495,2,FALSE)</f>
        <v>FISH LOVE PAKAN BURAYAK</v>
      </c>
      <c r="E3564" s="5">
        <v>1</v>
      </c>
      <c r="F3564" s="5">
        <f>VLOOKUP(C3564,[1]master_data!$A$2:$E$495,3,FALSE)</f>
        <v>2500</v>
      </c>
      <c r="G3564" s="5">
        <f>VLOOKUP(C3564,[1]master_data!$A$2:$E$495,4,FALSE)</f>
        <v>5000</v>
      </c>
      <c r="H3564" s="5">
        <f t="shared" si="171"/>
        <v>2500</v>
      </c>
      <c r="I3564" s="5">
        <f t="shared" si="172"/>
        <v>5000</v>
      </c>
      <c r="J3564" s="5">
        <f t="shared" si="173"/>
        <v>2500</v>
      </c>
      <c r="K3564" s="5" t="str">
        <f>VLOOKUP(C3564,[1]master_data!$A$2:$E$495,5,FALSE)</f>
        <v>Aksesoris</v>
      </c>
      <c r="L3564" s="5" t="s">
        <v>471</v>
      </c>
    </row>
    <row r="3565" spans="1:12" ht="12" customHeight="1" x14ac:dyDescent="0.25">
      <c r="A3565" s="6">
        <v>44614</v>
      </c>
      <c r="B3565" s="1">
        <v>2200998</v>
      </c>
      <c r="C3565" s="5" t="s">
        <v>411</v>
      </c>
      <c r="D3565" s="5" t="str">
        <f>VLOOKUP(C3565,[1]master_data!$A$2:$E$495,2,FALSE)</f>
        <v>GOLDEN BLACK</v>
      </c>
      <c r="E3565" s="5">
        <v>10</v>
      </c>
      <c r="F3565" s="5">
        <f>VLOOKUP(C3565,[1]master_data!$A$2:$E$495,3,FALSE)</f>
        <v>800</v>
      </c>
      <c r="G3565" s="5">
        <f>VLOOKUP(C3565,[1]master_data!$A$2:$E$495,4,FALSE)</f>
        <v>2000</v>
      </c>
      <c r="H3565" s="5">
        <f t="shared" si="171"/>
        <v>8000</v>
      </c>
      <c r="I3565" s="5">
        <f t="shared" si="172"/>
        <v>20000</v>
      </c>
      <c r="J3565" s="5">
        <f t="shared" si="173"/>
        <v>12000</v>
      </c>
      <c r="K3565" s="5" t="str">
        <f>VLOOKUP(C3565,[1]master_data!$A$2:$E$495,5,FALSE)</f>
        <v>Ikan</v>
      </c>
      <c r="L3565" s="5" t="s">
        <v>471</v>
      </c>
    </row>
    <row r="3566" spans="1:12" ht="12" customHeight="1" x14ac:dyDescent="0.25">
      <c r="A3566" s="6">
        <v>44614</v>
      </c>
      <c r="B3566" s="1">
        <v>2200997</v>
      </c>
      <c r="C3566" s="5" t="s">
        <v>233</v>
      </c>
      <c r="D3566" s="5" t="str">
        <f>VLOOKUP(C3566,[1]master_data!$A$2:$E$495,2,FALSE)</f>
        <v>FISH LOVE PAKAN</v>
      </c>
      <c r="E3566" s="5">
        <v>1</v>
      </c>
      <c r="F3566" s="5">
        <f>VLOOKUP(C3566,[1]master_data!$A$2:$E$495,3,FALSE)</f>
        <v>2500</v>
      </c>
      <c r="G3566" s="5">
        <f>VLOOKUP(C3566,[1]master_data!$A$2:$E$495,4,FALSE)</f>
        <v>5000</v>
      </c>
      <c r="H3566" s="5">
        <f t="shared" si="171"/>
        <v>2500</v>
      </c>
      <c r="I3566" s="5">
        <f t="shared" si="172"/>
        <v>5000</v>
      </c>
      <c r="J3566" s="5">
        <f t="shared" si="173"/>
        <v>2500</v>
      </c>
      <c r="K3566" s="5" t="str">
        <f>VLOOKUP(C3566,[1]master_data!$A$2:$E$495,5,FALSE)</f>
        <v>Aksesoris</v>
      </c>
      <c r="L3566" s="5" t="s">
        <v>471</v>
      </c>
    </row>
    <row r="3567" spans="1:12" ht="12" customHeight="1" x14ac:dyDescent="0.25">
      <c r="A3567" s="6">
        <v>44614</v>
      </c>
      <c r="B3567" s="1">
        <v>2200996</v>
      </c>
      <c r="C3567" s="5" t="s">
        <v>311</v>
      </c>
      <c r="D3567" s="5" t="str">
        <f>VLOOKUP(C3567,[1]master_data!$A$2:$E$495,2,FALSE)</f>
        <v>L PIPA</v>
      </c>
      <c r="E3567" s="5">
        <v>10</v>
      </c>
      <c r="F3567" s="5">
        <f>VLOOKUP(C3567,[1]master_data!$A$2:$E$495,3,FALSE)</f>
        <v>800</v>
      </c>
      <c r="G3567" s="5">
        <f>VLOOKUP(C3567,[1]master_data!$A$2:$E$495,4,FALSE)</f>
        <v>2000</v>
      </c>
      <c r="H3567" s="5">
        <f t="shared" si="171"/>
        <v>8000</v>
      </c>
      <c r="I3567" s="5">
        <f t="shared" si="172"/>
        <v>20000</v>
      </c>
      <c r="J3567" s="5">
        <f t="shared" si="173"/>
        <v>12000</v>
      </c>
      <c r="K3567" s="5" t="str">
        <f>VLOOKUP(C3567,[1]master_data!$A$2:$E$495,5,FALSE)</f>
        <v>Aksesoris</v>
      </c>
      <c r="L3567" s="5" t="s">
        <v>471</v>
      </c>
    </row>
    <row r="3568" spans="1:12" ht="12" customHeight="1" x14ac:dyDescent="0.25">
      <c r="A3568" s="6">
        <v>44614</v>
      </c>
      <c r="B3568" s="1">
        <v>2200995</v>
      </c>
      <c r="C3568" s="5" t="s">
        <v>418</v>
      </c>
      <c r="D3568" s="5" t="str">
        <f>VLOOKUP(C3568,[1]master_data!$A$2:$E$495,2,FALSE)</f>
        <v>KOI B</v>
      </c>
      <c r="E3568" s="5">
        <v>10</v>
      </c>
      <c r="F3568" s="5">
        <f>VLOOKUP(C3568,[1]master_data!$A$2:$E$495,3,FALSE)</f>
        <v>9000</v>
      </c>
      <c r="G3568" s="5">
        <f>VLOOKUP(C3568,[1]master_data!$A$2:$E$495,4,FALSE)</f>
        <v>30000</v>
      </c>
      <c r="H3568" s="5">
        <f t="shared" si="171"/>
        <v>90000</v>
      </c>
      <c r="I3568" s="5">
        <f t="shared" si="172"/>
        <v>300000</v>
      </c>
      <c r="J3568" s="5">
        <f t="shared" si="173"/>
        <v>210000</v>
      </c>
      <c r="K3568" s="5" t="str">
        <f>VLOOKUP(C3568,[1]master_data!$A$2:$E$495,5,FALSE)</f>
        <v>Ikan</v>
      </c>
      <c r="L3568" s="5" t="s">
        <v>471</v>
      </c>
    </row>
    <row r="3569" spans="1:12" ht="12" customHeight="1" x14ac:dyDescent="0.25">
      <c r="A3569" s="6">
        <v>44614</v>
      </c>
      <c r="B3569" s="1">
        <v>2200994</v>
      </c>
      <c r="C3569" s="5" t="s">
        <v>445</v>
      </c>
      <c r="D3569" s="5" t="str">
        <f>VLOOKUP(C3569,[1]master_data!$A$2:$E$495,2,FALSE)</f>
        <v>PESO</v>
      </c>
      <c r="E3569" s="5">
        <v>1</v>
      </c>
      <c r="F3569" s="5">
        <f>VLOOKUP(C3569,[1]master_data!$A$2:$E$495,3,FALSE)</f>
        <v>19000</v>
      </c>
      <c r="G3569" s="5">
        <f>VLOOKUP(C3569,[1]master_data!$A$2:$E$495,4,FALSE)</f>
        <v>40000</v>
      </c>
      <c r="H3569" s="5">
        <f t="shared" si="171"/>
        <v>19000</v>
      </c>
      <c r="I3569" s="5">
        <f t="shared" si="172"/>
        <v>40000</v>
      </c>
      <c r="J3569" s="5">
        <f t="shared" si="173"/>
        <v>21000</v>
      </c>
      <c r="K3569" s="5" t="str">
        <f>VLOOKUP(C3569,[1]master_data!$A$2:$E$495,5,FALSE)</f>
        <v>Ikan</v>
      </c>
      <c r="L3569" s="5" t="s">
        <v>471</v>
      </c>
    </row>
    <row r="3570" spans="1:12" ht="12" customHeight="1" x14ac:dyDescent="0.25">
      <c r="A3570" s="6">
        <v>44614</v>
      </c>
      <c r="B3570" s="1">
        <v>2200993</v>
      </c>
      <c r="C3570" s="5" t="s">
        <v>210</v>
      </c>
      <c r="D3570" s="5" t="str">
        <f>VLOOKUP(C3570,[1]master_data!$A$2:$E$495,2,FALSE)</f>
        <v>TETRA BITS 30 GR</v>
      </c>
      <c r="E3570" s="5">
        <v>1</v>
      </c>
      <c r="F3570" s="5">
        <f>VLOOKUP(C3570,[1]master_data!$A$2:$E$495,3,FALSE)</f>
        <v>32000</v>
      </c>
      <c r="G3570" s="5">
        <f>VLOOKUP(C3570,[1]master_data!$A$2:$E$495,4,FALSE)</f>
        <v>45000</v>
      </c>
      <c r="H3570" s="5">
        <f t="shared" si="171"/>
        <v>32000</v>
      </c>
      <c r="I3570" s="5">
        <f t="shared" si="172"/>
        <v>45000</v>
      </c>
      <c r="J3570" s="5">
        <f t="shared" si="173"/>
        <v>13000</v>
      </c>
      <c r="K3570" s="5" t="str">
        <f>VLOOKUP(C3570,[1]master_data!$A$2:$E$495,5,FALSE)</f>
        <v>Aksesoris</v>
      </c>
      <c r="L3570" s="5" t="s">
        <v>471</v>
      </c>
    </row>
    <row r="3571" spans="1:12" ht="12" customHeight="1" x14ac:dyDescent="0.25">
      <c r="A3571" s="6">
        <v>44614</v>
      </c>
      <c r="B3571" s="1">
        <v>2200992</v>
      </c>
      <c r="C3571" s="5" t="s">
        <v>210</v>
      </c>
      <c r="D3571" s="5" t="str">
        <f>VLOOKUP(C3571,[1]master_data!$A$2:$E$495,2,FALSE)</f>
        <v>TETRA BITS 30 GR</v>
      </c>
      <c r="E3571" s="5">
        <v>1</v>
      </c>
      <c r="F3571" s="5">
        <f>VLOOKUP(C3571,[1]master_data!$A$2:$E$495,3,FALSE)</f>
        <v>32000</v>
      </c>
      <c r="G3571" s="5">
        <f>VLOOKUP(C3571,[1]master_data!$A$2:$E$495,4,FALSE)</f>
        <v>45000</v>
      </c>
      <c r="H3571" s="5">
        <f t="shared" si="171"/>
        <v>32000</v>
      </c>
      <c r="I3571" s="5">
        <f t="shared" si="172"/>
        <v>45000</v>
      </c>
      <c r="J3571" s="5">
        <f t="shared" si="173"/>
        <v>13000</v>
      </c>
      <c r="K3571" s="5" t="str">
        <f>VLOOKUP(C3571,[1]master_data!$A$2:$E$495,5,FALSE)</f>
        <v>Aksesoris</v>
      </c>
      <c r="L3571" s="5" t="s">
        <v>471</v>
      </c>
    </row>
    <row r="3572" spans="1:12" ht="12" customHeight="1" x14ac:dyDescent="0.25">
      <c r="A3572" s="6">
        <v>44614</v>
      </c>
      <c r="B3572" s="1">
        <v>2200991</v>
      </c>
      <c r="C3572" s="5" t="s">
        <v>443</v>
      </c>
      <c r="D3572" s="5" t="str">
        <f>VLOOKUP(C3572,[1]master_data!$A$2:$E$495,2,FALSE)</f>
        <v>PALMAS</v>
      </c>
      <c r="E3572" s="5">
        <v>2</v>
      </c>
      <c r="F3572" s="5">
        <f>VLOOKUP(C3572,[1]master_data!$A$2:$E$495,3,FALSE)</f>
        <v>10000</v>
      </c>
      <c r="G3572" s="5">
        <f>VLOOKUP(C3572,[1]master_data!$A$2:$E$495,4,FALSE)</f>
        <v>25000</v>
      </c>
      <c r="H3572" s="5">
        <f t="shared" si="171"/>
        <v>20000</v>
      </c>
      <c r="I3572" s="5">
        <f t="shared" si="172"/>
        <v>50000</v>
      </c>
      <c r="J3572" s="5">
        <f t="shared" si="173"/>
        <v>30000</v>
      </c>
      <c r="K3572" s="5" t="str">
        <f>VLOOKUP(C3572,[1]master_data!$A$2:$E$495,5,FALSE)</f>
        <v>Ikan</v>
      </c>
      <c r="L3572" s="5" t="s">
        <v>471</v>
      </c>
    </row>
    <row r="3573" spans="1:12" ht="12" customHeight="1" x14ac:dyDescent="0.25">
      <c r="A3573" s="6">
        <v>44613</v>
      </c>
      <c r="B3573" s="1">
        <v>2200990</v>
      </c>
      <c r="C3573" s="5" t="s">
        <v>410</v>
      </c>
      <c r="D3573" s="5" t="str">
        <f>VLOOKUP(C3573,[1]master_data!$A$2:$E$495,2,FALSE)</f>
        <v>GUPY</v>
      </c>
      <c r="E3573" s="5">
        <v>10</v>
      </c>
      <c r="F3573" s="5">
        <f>VLOOKUP(C3573,[1]master_data!$A$2:$E$495,3,FALSE)</f>
        <v>1200</v>
      </c>
      <c r="G3573" s="5">
        <f>VLOOKUP(C3573,[1]master_data!$A$2:$E$495,4,FALSE)</f>
        <v>2500</v>
      </c>
      <c r="H3573" s="5">
        <f t="shared" si="171"/>
        <v>12000</v>
      </c>
      <c r="I3573" s="5">
        <f t="shared" si="172"/>
        <v>25000</v>
      </c>
      <c r="J3573" s="5">
        <f t="shared" si="173"/>
        <v>13000</v>
      </c>
      <c r="K3573" s="5" t="str">
        <f>VLOOKUP(C3573,[1]master_data!$A$2:$E$495,5,FALSE)</f>
        <v>Ikan</v>
      </c>
      <c r="L3573" s="5" t="s">
        <v>471</v>
      </c>
    </row>
    <row r="3574" spans="1:12" ht="12" customHeight="1" x14ac:dyDescent="0.25">
      <c r="A3574" s="6">
        <v>44613</v>
      </c>
      <c r="B3574" s="1">
        <v>2200989</v>
      </c>
      <c r="C3574" s="5" t="s">
        <v>255</v>
      </c>
      <c r="D3574" s="5" t="str">
        <f>VLOOKUP(C3574,[1]master_data!$A$2:$E$495,2,FALSE)</f>
        <v>ACRIPLAVIN</v>
      </c>
      <c r="E3574" s="5">
        <v>1</v>
      </c>
      <c r="F3574" s="5">
        <f>VLOOKUP(C3574,[1]master_data!$A$2:$E$495,3,FALSE)</f>
        <v>3000</v>
      </c>
      <c r="G3574" s="5">
        <f>VLOOKUP(C3574,[1]master_data!$A$2:$E$495,4,FALSE)</f>
        <v>8000</v>
      </c>
      <c r="H3574" s="5">
        <f t="shared" si="171"/>
        <v>3000</v>
      </c>
      <c r="I3574" s="5">
        <f t="shared" si="172"/>
        <v>8000</v>
      </c>
      <c r="J3574" s="5">
        <f t="shared" si="173"/>
        <v>5000</v>
      </c>
      <c r="K3574" s="5" t="str">
        <f>VLOOKUP(C3574,[1]master_data!$A$2:$E$495,5,FALSE)</f>
        <v>Aksesoris</v>
      </c>
      <c r="L3574" s="5" t="s">
        <v>471</v>
      </c>
    </row>
    <row r="3575" spans="1:12" ht="12" customHeight="1" x14ac:dyDescent="0.25">
      <c r="A3575" s="6">
        <v>44613</v>
      </c>
      <c r="B3575" s="1">
        <v>2200988</v>
      </c>
      <c r="C3575" s="5" t="s">
        <v>455</v>
      </c>
      <c r="D3575" s="5" t="str">
        <f>VLOOKUP(C3575,[1]master_data!$A$2:$E$495,2,FALSE)</f>
        <v>TETRA</v>
      </c>
      <c r="E3575" s="5">
        <v>5</v>
      </c>
      <c r="F3575" s="5">
        <f>VLOOKUP(C3575,[1]master_data!$A$2:$E$495,3,FALSE)</f>
        <v>800</v>
      </c>
      <c r="G3575" s="5">
        <f>VLOOKUP(C3575,[1]master_data!$A$2:$E$495,4,FALSE)</f>
        <v>2000</v>
      </c>
      <c r="H3575" s="5">
        <f t="shared" si="171"/>
        <v>4000</v>
      </c>
      <c r="I3575" s="5">
        <f t="shared" si="172"/>
        <v>10000</v>
      </c>
      <c r="J3575" s="5">
        <f t="shared" si="173"/>
        <v>6000</v>
      </c>
      <c r="K3575" s="5" t="str">
        <f>VLOOKUP(C3575,[1]master_data!$A$2:$E$495,5,FALSE)</f>
        <v>Ikan</v>
      </c>
      <c r="L3575" s="5" t="s">
        <v>471</v>
      </c>
    </row>
    <row r="3576" spans="1:12" ht="12" customHeight="1" x14ac:dyDescent="0.25">
      <c r="A3576" s="6">
        <v>44613</v>
      </c>
      <c r="B3576" s="1">
        <v>2200987</v>
      </c>
      <c r="C3576" s="5" t="s">
        <v>45</v>
      </c>
      <c r="D3576" s="5" t="str">
        <f>VLOOKUP(C3576,[1]master_data!$A$2:$E$495,2,FALSE)</f>
        <v>TOP FILTER NIKITA K</v>
      </c>
      <c r="E3576" s="5">
        <v>1</v>
      </c>
      <c r="F3576" s="5">
        <f>VLOOKUP(C3576,[1]master_data!$A$2:$E$495,3,FALSE)</f>
        <v>36000</v>
      </c>
      <c r="G3576" s="5">
        <f>VLOOKUP(C3576,[1]master_data!$A$2:$E$495,4,FALSE)</f>
        <v>55000</v>
      </c>
      <c r="H3576" s="5">
        <f t="shared" si="171"/>
        <v>36000</v>
      </c>
      <c r="I3576" s="5">
        <f t="shared" si="172"/>
        <v>55000</v>
      </c>
      <c r="J3576" s="5">
        <f t="shared" si="173"/>
        <v>19000</v>
      </c>
      <c r="K3576" s="5" t="str">
        <f>VLOOKUP(C3576,[1]master_data!$A$2:$E$495,5,FALSE)</f>
        <v>Aksesoris</v>
      </c>
      <c r="L3576" s="5" t="s">
        <v>471</v>
      </c>
    </row>
    <row r="3577" spans="1:12" ht="12" customHeight="1" x14ac:dyDescent="0.25">
      <c r="A3577" s="6">
        <v>44613</v>
      </c>
      <c r="B3577" s="1">
        <v>2200986</v>
      </c>
      <c r="C3577" s="5" t="s">
        <v>18</v>
      </c>
      <c r="D3577" s="5" t="str">
        <f>VLOOKUP(C3577,[1]master_data!$A$2:$E$495,2,FALSE)</f>
        <v>MESIN YANG WAVE MAKER 200</v>
      </c>
      <c r="E3577" s="5">
        <v>1</v>
      </c>
      <c r="F3577" s="5">
        <f>VLOOKUP(C3577,[1]master_data!$A$2:$E$495,3,FALSE)</f>
        <v>118000</v>
      </c>
      <c r="G3577" s="5">
        <f>VLOOKUP(C3577,[1]master_data!$A$2:$E$495,4,FALSE)</f>
        <v>150000</v>
      </c>
      <c r="H3577" s="5">
        <f t="shared" si="171"/>
        <v>118000</v>
      </c>
      <c r="I3577" s="5">
        <f t="shared" si="172"/>
        <v>150000</v>
      </c>
      <c r="J3577" s="5">
        <f t="shared" si="173"/>
        <v>32000</v>
      </c>
      <c r="K3577" s="5" t="str">
        <f>VLOOKUP(C3577,[1]master_data!$A$2:$E$495,5,FALSE)</f>
        <v>Aksesoris</v>
      </c>
      <c r="L3577" s="5" t="s">
        <v>471</v>
      </c>
    </row>
    <row r="3578" spans="1:12" ht="12" customHeight="1" x14ac:dyDescent="0.25">
      <c r="A3578" s="6">
        <v>44613</v>
      </c>
      <c r="B3578" s="1">
        <v>2200985</v>
      </c>
      <c r="C3578" s="5" t="s">
        <v>310</v>
      </c>
      <c r="D3578" s="5" t="str">
        <f>VLOOKUP(C3578,[1]master_data!$A$2:$E$495,2,FALSE)</f>
        <v>SELANG FUSO</v>
      </c>
      <c r="E3578" s="5">
        <v>5</v>
      </c>
      <c r="F3578" s="5">
        <f>VLOOKUP(C3578,[1]master_data!$A$2:$E$495,3,FALSE)</f>
        <v>800</v>
      </c>
      <c r="G3578" s="5">
        <f>VLOOKUP(C3578,[1]master_data!$A$2:$E$495,4,FALSE)</f>
        <v>2000</v>
      </c>
      <c r="H3578" s="5">
        <f t="shared" si="171"/>
        <v>4000</v>
      </c>
      <c r="I3578" s="5">
        <f t="shared" si="172"/>
        <v>10000</v>
      </c>
      <c r="J3578" s="5">
        <f t="shared" si="173"/>
        <v>6000</v>
      </c>
      <c r="K3578" s="5" t="str">
        <f>VLOOKUP(C3578,[1]master_data!$A$2:$E$495,5,FALSE)</f>
        <v>Aksesoris</v>
      </c>
      <c r="L3578" s="5" t="s">
        <v>471</v>
      </c>
    </row>
    <row r="3579" spans="1:12" ht="12" customHeight="1" x14ac:dyDescent="0.25">
      <c r="A3579" s="6">
        <v>44613</v>
      </c>
      <c r="B3579" s="1">
        <v>2200984</v>
      </c>
      <c r="C3579" s="5" t="s">
        <v>208</v>
      </c>
      <c r="D3579" s="5" t="str">
        <f>VLOOKUP(C3579,[1]master_data!$A$2:$E$495,2,FALSE)</f>
        <v>TOP VIT</v>
      </c>
      <c r="E3579" s="5">
        <v>1</v>
      </c>
      <c r="F3579" s="5">
        <f>VLOOKUP(C3579,[1]master_data!$A$2:$E$495,3,FALSE)</f>
        <v>4000</v>
      </c>
      <c r="G3579" s="5">
        <f>VLOOKUP(C3579,[1]master_data!$A$2:$E$495,4,FALSE)</f>
        <v>7000</v>
      </c>
      <c r="H3579" s="5">
        <f t="shared" si="171"/>
        <v>4000</v>
      </c>
      <c r="I3579" s="5">
        <f t="shared" si="172"/>
        <v>7000</v>
      </c>
      <c r="J3579" s="5">
        <f t="shared" si="173"/>
        <v>3000</v>
      </c>
      <c r="K3579" s="5" t="str">
        <f>VLOOKUP(C3579,[1]master_data!$A$2:$E$495,5,FALSE)</f>
        <v>Aksesoris</v>
      </c>
      <c r="L3579" s="5" t="s">
        <v>471</v>
      </c>
    </row>
    <row r="3580" spans="1:12" ht="12" customHeight="1" x14ac:dyDescent="0.25">
      <c r="A3580" s="6">
        <v>44613</v>
      </c>
      <c r="B3580" s="1">
        <v>2200983</v>
      </c>
      <c r="C3580" s="5" t="s">
        <v>342</v>
      </c>
      <c r="D3580" s="5" t="str">
        <f>VLOOKUP(C3580,[1]master_data!$A$2:$E$495,2,FALSE)</f>
        <v>KUTUB LAS</v>
      </c>
      <c r="E3580" s="5">
        <v>2</v>
      </c>
      <c r="F3580" s="5">
        <f>VLOOKUP(C3580,[1]master_data!$A$2:$E$495,3,FALSE)</f>
        <v>15000</v>
      </c>
      <c r="G3580" s="5">
        <f>VLOOKUP(C3580,[1]master_data!$A$2:$E$495,4,FALSE)</f>
        <v>25000</v>
      </c>
      <c r="H3580" s="5">
        <f t="shared" si="171"/>
        <v>30000</v>
      </c>
      <c r="I3580" s="5">
        <f t="shared" si="172"/>
        <v>50000</v>
      </c>
      <c r="J3580" s="5">
        <f t="shared" si="173"/>
        <v>20000</v>
      </c>
      <c r="K3580" s="5" t="str">
        <f>VLOOKUP(C3580,[1]master_data!$A$2:$E$495,5,FALSE)</f>
        <v>Aksesoris</v>
      </c>
      <c r="L3580" s="5" t="s">
        <v>471</v>
      </c>
    </row>
    <row r="3581" spans="1:12" ht="12" customHeight="1" x14ac:dyDescent="0.25">
      <c r="A3581" s="6">
        <v>44613</v>
      </c>
      <c r="B3581" s="1">
        <v>2200982</v>
      </c>
      <c r="C3581" s="5" t="s">
        <v>405</v>
      </c>
      <c r="D3581" s="5" t="str">
        <f>VLOOKUP(C3581,[1]master_data!$A$2:$E$495,2,FALSE)</f>
        <v>KOMET BOKIM</v>
      </c>
      <c r="E3581" s="5">
        <v>10</v>
      </c>
      <c r="F3581" s="5">
        <f>VLOOKUP(C3581,[1]master_data!$A$2:$E$495,3,FALSE)</f>
        <v>1500</v>
      </c>
      <c r="G3581" s="5">
        <f>VLOOKUP(C3581,[1]master_data!$A$2:$E$495,4,FALSE)</f>
        <v>5000</v>
      </c>
      <c r="H3581" s="5">
        <f t="shared" si="171"/>
        <v>15000</v>
      </c>
      <c r="I3581" s="5">
        <f t="shared" si="172"/>
        <v>50000</v>
      </c>
      <c r="J3581" s="5">
        <f t="shared" si="173"/>
        <v>35000</v>
      </c>
      <c r="K3581" s="5" t="str">
        <f>VLOOKUP(C3581,[1]master_data!$A$2:$E$495,5,FALSE)</f>
        <v>Ikan</v>
      </c>
      <c r="L3581" s="5" t="s">
        <v>471</v>
      </c>
    </row>
    <row r="3582" spans="1:12" ht="12" customHeight="1" x14ac:dyDescent="0.25">
      <c r="A3582" s="6">
        <v>44613</v>
      </c>
      <c r="B3582" s="1">
        <v>2200981</v>
      </c>
      <c r="C3582" s="5" t="s">
        <v>350</v>
      </c>
      <c r="D3582" s="5" t="str">
        <f>VLOOKUP(C3582,[1]master_data!$A$2:$E$495,2,FALSE)</f>
        <v>AKUARIUM 70 ROBOT</v>
      </c>
      <c r="E3582" s="5">
        <v>1</v>
      </c>
      <c r="F3582" s="5">
        <f>VLOOKUP(C3582,[1]master_data!$A$2:$E$495,3,FALSE)</f>
        <v>260000</v>
      </c>
      <c r="G3582" s="5">
        <f>VLOOKUP(C3582,[1]master_data!$A$2:$E$495,4,FALSE)</f>
        <v>350000</v>
      </c>
      <c r="H3582" s="5">
        <f t="shared" si="171"/>
        <v>260000</v>
      </c>
      <c r="I3582" s="5">
        <f t="shared" si="172"/>
        <v>350000</v>
      </c>
      <c r="J3582" s="5">
        <f t="shared" si="173"/>
        <v>90000</v>
      </c>
      <c r="K3582" s="5" t="str">
        <f>VLOOKUP(C3582,[1]master_data!$A$2:$E$495,5,FALSE)</f>
        <v>Aksesoris</v>
      </c>
      <c r="L3582" s="5" t="s">
        <v>471</v>
      </c>
    </row>
    <row r="3583" spans="1:12" ht="12" customHeight="1" x14ac:dyDescent="0.25">
      <c r="A3583" s="6">
        <v>44613</v>
      </c>
      <c r="B3583" s="1">
        <v>2200980</v>
      </c>
      <c r="C3583" s="5" t="s">
        <v>414</v>
      </c>
      <c r="D3583" s="5" t="str">
        <f>VLOOKUP(C3583,[1]master_data!$A$2:$E$495,2,FALSE)</f>
        <v>KOKI T</v>
      </c>
      <c r="E3583" s="5">
        <v>2</v>
      </c>
      <c r="F3583" s="5">
        <f>VLOOKUP(C3583,[1]master_data!$A$2:$E$495,3,FALSE)</f>
        <v>8000</v>
      </c>
      <c r="G3583" s="5">
        <f>VLOOKUP(C3583,[1]master_data!$A$2:$E$495,4,FALSE)</f>
        <v>15000</v>
      </c>
      <c r="H3583" s="5">
        <f t="shared" si="171"/>
        <v>16000</v>
      </c>
      <c r="I3583" s="5">
        <f t="shared" si="172"/>
        <v>30000</v>
      </c>
      <c r="J3583" s="5">
        <f t="shared" si="173"/>
        <v>14000</v>
      </c>
      <c r="K3583" s="5" t="str">
        <f>VLOOKUP(C3583,[1]master_data!$A$2:$E$495,5,FALSE)</f>
        <v>Ikan</v>
      </c>
      <c r="L3583" s="5" t="s">
        <v>471</v>
      </c>
    </row>
    <row r="3584" spans="1:12" ht="12" customHeight="1" x14ac:dyDescent="0.25">
      <c r="A3584" s="6">
        <v>44613</v>
      </c>
      <c r="B3584" s="1">
        <v>2200979</v>
      </c>
      <c r="C3584" s="5" t="s">
        <v>420</v>
      </c>
      <c r="D3584" s="5" t="str">
        <f>VLOOKUP(C3584,[1]master_data!$A$2:$E$495,2,FALSE)</f>
        <v>KAVIAT</v>
      </c>
      <c r="E3584" s="5">
        <v>3</v>
      </c>
      <c r="F3584" s="5">
        <f>VLOOKUP(C3584,[1]master_data!$A$2:$E$495,3,FALSE)</f>
        <v>3500</v>
      </c>
      <c r="G3584" s="5">
        <f>VLOOKUP(C3584,[1]master_data!$A$2:$E$495,4,FALSE)</f>
        <v>8000</v>
      </c>
      <c r="H3584" s="5">
        <f t="shared" si="171"/>
        <v>10500</v>
      </c>
      <c r="I3584" s="5">
        <f t="shared" si="172"/>
        <v>24000</v>
      </c>
      <c r="J3584" s="5">
        <f t="shared" si="173"/>
        <v>13500</v>
      </c>
      <c r="K3584" s="5" t="str">
        <f>VLOOKUP(C3584,[1]master_data!$A$2:$E$495,5,FALSE)</f>
        <v>Ikan</v>
      </c>
      <c r="L3584" s="5" t="s">
        <v>471</v>
      </c>
    </row>
    <row r="3585" spans="1:12" ht="12" customHeight="1" x14ac:dyDescent="0.25">
      <c r="A3585" s="6">
        <v>44613</v>
      </c>
      <c r="B3585" s="1">
        <v>2200978</v>
      </c>
      <c r="C3585" s="5" t="s">
        <v>430</v>
      </c>
      <c r="D3585" s="5" t="str">
        <f>VLOOKUP(C3585,[1]master_data!$A$2:$E$495,2,FALSE)</f>
        <v>MANFISH K</v>
      </c>
      <c r="E3585" s="5">
        <v>2</v>
      </c>
      <c r="F3585" s="5">
        <f>VLOOKUP(C3585,[1]master_data!$A$2:$E$495,3,FALSE)</f>
        <v>2000</v>
      </c>
      <c r="G3585" s="5">
        <f>VLOOKUP(C3585,[1]master_data!$A$2:$E$495,4,FALSE)</f>
        <v>5000</v>
      </c>
      <c r="H3585" s="5">
        <f t="shared" si="171"/>
        <v>4000</v>
      </c>
      <c r="I3585" s="5">
        <f t="shared" si="172"/>
        <v>10000</v>
      </c>
      <c r="J3585" s="5">
        <f t="shared" si="173"/>
        <v>6000</v>
      </c>
      <c r="K3585" s="5" t="str">
        <f>VLOOKUP(C3585,[1]master_data!$A$2:$E$495,5,FALSE)</f>
        <v>Ikan</v>
      </c>
      <c r="L3585" s="5" t="s">
        <v>471</v>
      </c>
    </row>
    <row r="3586" spans="1:12" ht="12" customHeight="1" x14ac:dyDescent="0.25">
      <c r="A3586" s="6">
        <v>44613</v>
      </c>
      <c r="B3586" s="1">
        <v>2200977</v>
      </c>
      <c r="C3586" s="5" t="s">
        <v>440</v>
      </c>
      <c r="D3586" s="5" t="str">
        <f>VLOOKUP(C3586,[1]master_data!$A$2:$E$495,2,FALSE)</f>
        <v>OSCAR</v>
      </c>
      <c r="E3586" s="5">
        <v>1</v>
      </c>
      <c r="F3586" s="5">
        <f>VLOOKUP(C3586,[1]master_data!$A$2:$E$495,3,FALSE)</f>
        <v>25000</v>
      </c>
      <c r="G3586" s="5">
        <f>VLOOKUP(C3586,[1]master_data!$A$2:$E$495,4,FALSE)</f>
        <v>50000</v>
      </c>
      <c r="H3586" s="5">
        <f t="shared" si="171"/>
        <v>25000</v>
      </c>
      <c r="I3586" s="5">
        <f t="shared" si="172"/>
        <v>50000</v>
      </c>
      <c r="J3586" s="5">
        <f t="shared" si="173"/>
        <v>25000</v>
      </c>
      <c r="K3586" s="5" t="str">
        <f>VLOOKUP(C3586,[1]master_data!$A$2:$E$495,5,FALSE)</f>
        <v>Ikan</v>
      </c>
      <c r="L3586" s="5" t="s">
        <v>471</v>
      </c>
    </row>
    <row r="3587" spans="1:12" ht="12" customHeight="1" x14ac:dyDescent="0.25">
      <c r="A3587" s="6">
        <v>44613</v>
      </c>
      <c r="B3587" s="1">
        <v>2200976</v>
      </c>
      <c r="C3587" s="5" t="s">
        <v>413</v>
      </c>
      <c r="D3587" s="5" t="str">
        <f>VLOOKUP(C3587,[1]master_data!$A$2:$E$495,2,FALSE)</f>
        <v>KOKI K</v>
      </c>
      <c r="E3587" s="5">
        <v>5</v>
      </c>
      <c r="F3587" s="5">
        <f>VLOOKUP(C3587,[1]master_data!$A$2:$E$495,3,FALSE)</f>
        <v>3500</v>
      </c>
      <c r="G3587" s="5">
        <f>VLOOKUP(C3587,[1]master_data!$A$2:$E$495,4,FALSE)</f>
        <v>10000</v>
      </c>
      <c r="H3587" s="5">
        <f t="shared" si="171"/>
        <v>17500</v>
      </c>
      <c r="I3587" s="5">
        <f t="shared" si="172"/>
        <v>50000</v>
      </c>
      <c r="J3587" s="5">
        <f t="shared" si="173"/>
        <v>32500</v>
      </c>
      <c r="K3587" s="5" t="str">
        <f>VLOOKUP(C3587,[1]master_data!$A$2:$E$495,5,FALSE)</f>
        <v>Ikan</v>
      </c>
      <c r="L3587" s="5" t="s">
        <v>471</v>
      </c>
    </row>
    <row r="3588" spans="1:12" ht="12" customHeight="1" x14ac:dyDescent="0.25">
      <c r="A3588" s="6">
        <v>44613</v>
      </c>
      <c r="B3588" s="1">
        <v>2200975</v>
      </c>
      <c r="C3588" s="5" t="s">
        <v>428</v>
      </c>
      <c r="D3588" s="5" t="str">
        <f>VLOOKUP(C3588,[1]master_data!$A$2:$E$495,2,FALSE)</f>
        <v>LOUHAN</v>
      </c>
      <c r="E3588" s="5">
        <v>1</v>
      </c>
      <c r="F3588" s="5">
        <f>VLOOKUP(C3588,[1]master_data!$A$2:$E$495,3,FALSE)</f>
        <v>85000</v>
      </c>
      <c r="G3588" s="5">
        <f>VLOOKUP(C3588,[1]master_data!$A$2:$E$495,4,FALSE)</f>
        <v>200000</v>
      </c>
      <c r="H3588" s="5">
        <f t="shared" si="171"/>
        <v>85000</v>
      </c>
      <c r="I3588" s="5">
        <f t="shared" si="172"/>
        <v>200000</v>
      </c>
      <c r="J3588" s="5">
        <f t="shared" si="173"/>
        <v>115000</v>
      </c>
      <c r="K3588" s="5" t="str">
        <f>VLOOKUP(C3588,[1]master_data!$A$2:$E$495,5,FALSE)</f>
        <v>Ikan</v>
      </c>
      <c r="L3588" s="5" t="s">
        <v>471</v>
      </c>
    </row>
    <row r="3589" spans="1:12" ht="12" customHeight="1" x14ac:dyDescent="0.25">
      <c r="A3589" s="6">
        <v>44613</v>
      </c>
      <c r="B3589" s="1">
        <v>2200974</v>
      </c>
      <c r="C3589" s="5" t="s">
        <v>423</v>
      </c>
      <c r="D3589" s="5" t="str">
        <f>VLOOKUP(C3589,[1]master_data!$A$2:$E$495,2,FALSE)</f>
        <v>KOI SLAYER K</v>
      </c>
      <c r="E3589" s="5">
        <v>10</v>
      </c>
      <c r="F3589" s="5">
        <f>VLOOKUP(C3589,[1]master_data!$A$2:$E$495,3,FALSE)</f>
        <v>3500</v>
      </c>
      <c r="G3589" s="5">
        <f>VLOOKUP(C3589,[1]master_data!$A$2:$E$495,4,FALSE)</f>
        <v>10000</v>
      </c>
      <c r="H3589" s="5">
        <f t="shared" ref="H3589:H3652" si="174">E3589*F3589</f>
        <v>35000</v>
      </c>
      <c r="I3589" s="5">
        <f t="shared" ref="I3589:I3652" si="175">E3589*G3589</f>
        <v>100000</v>
      </c>
      <c r="J3589" s="5">
        <f t="shared" ref="J3589:J3652" si="176">I3589-H3589</f>
        <v>65000</v>
      </c>
      <c r="K3589" s="5" t="str">
        <f>VLOOKUP(C3589,[1]master_data!$A$2:$E$495,5,FALSE)</f>
        <v>Ikan</v>
      </c>
      <c r="L3589" s="5" t="s">
        <v>471</v>
      </c>
    </row>
    <row r="3590" spans="1:12" ht="12" customHeight="1" x14ac:dyDescent="0.25">
      <c r="A3590" s="6">
        <v>44613</v>
      </c>
      <c r="B3590" s="1">
        <v>2200973</v>
      </c>
      <c r="C3590" s="5" t="s">
        <v>439</v>
      </c>
      <c r="D3590" s="5" t="str">
        <f>VLOOKUP(C3590,[1]master_data!$A$2:$E$495,2,FALSE)</f>
        <v>NEON</v>
      </c>
      <c r="E3590" s="5">
        <v>10</v>
      </c>
      <c r="F3590" s="5">
        <f>VLOOKUP(C3590,[1]master_data!$A$2:$E$495,3,FALSE)</f>
        <v>1250</v>
      </c>
      <c r="G3590" s="5">
        <f>VLOOKUP(C3590,[1]master_data!$A$2:$E$495,4,FALSE)</f>
        <v>5000</v>
      </c>
      <c r="H3590" s="5">
        <f t="shared" si="174"/>
        <v>12500</v>
      </c>
      <c r="I3590" s="5">
        <f t="shared" si="175"/>
        <v>50000</v>
      </c>
      <c r="J3590" s="5">
        <f t="shared" si="176"/>
        <v>37500</v>
      </c>
      <c r="K3590" s="5" t="str">
        <f>VLOOKUP(C3590,[1]master_data!$A$2:$E$495,5,FALSE)</f>
        <v>Ikan</v>
      </c>
      <c r="L3590" s="5" t="s">
        <v>471</v>
      </c>
    </row>
    <row r="3591" spans="1:12" ht="12" customHeight="1" x14ac:dyDescent="0.25">
      <c r="A3591" s="6">
        <v>44613</v>
      </c>
      <c r="B3591" s="1">
        <v>2200972</v>
      </c>
      <c r="C3591" s="5" t="s">
        <v>457</v>
      </c>
      <c r="D3591" s="5" t="str">
        <f>VLOOKUP(C3591,[1]master_data!$A$2:$E$495,2,FALSE)</f>
        <v>ZEBRA PINK</v>
      </c>
      <c r="E3591" s="5">
        <v>10</v>
      </c>
      <c r="F3591" s="5">
        <f>VLOOKUP(C3591,[1]master_data!$A$2:$E$495,3,FALSE)</f>
        <v>800</v>
      </c>
      <c r="G3591" s="5">
        <f>VLOOKUP(C3591,[1]master_data!$A$2:$E$495,4,FALSE)</f>
        <v>2000</v>
      </c>
      <c r="H3591" s="5">
        <f t="shared" si="174"/>
        <v>8000</v>
      </c>
      <c r="I3591" s="5">
        <f t="shared" si="175"/>
        <v>20000</v>
      </c>
      <c r="J3591" s="5">
        <f t="shared" si="176"/>
        <v>12000</v>
      </c>
      <c r="K3591" s="5" t="str">
        <f>VLOOKUP(C3591,[1]master_data!$A$2:$E$495,5,FALSE)</f>
        <v>Ikan</v>
      </c>
      <c r="L3591" s="5" t="s">
        <v>471</v>
      </c>
    </row>
    <row r="3592" spans="1:12" ht="12" customHeight="1" x14ac:dyDescent="0.25">
      <c r="A3592" s="6">
        <v>44613</v>
      </c>
      <c r="B3592" s="1">
        <v>2200971</v>
      </c>
      <c r="C3592" s="5" t="s">
        <v>333</v>
      </c>
      <c r="D3592" s="5" t="str">
        <f>VLOOKUP(C3592,[1]master_data!$A$2:$E$495,2,FALSE)</f>
        <v>KAPAS 2 LAPIS</v>
      </c>
      <c r="E3592" s="5">
        <v>2</v>
      </c>
      <c r="F3592" s="5">
        <f>VLOOKUP(C3592,[1]master_data!$A$2:$E$495,3,FALSE)</f>
        <v>2000</v>
      </c>
      <c r="G3592" s="5">
        <f>VLOOKUP(C3592,[1]master_data!$A$2:$E$495,4,FALSE)</f>
        <v>4000</v>
      </c>
      <c r="H3592" s="5">
        <f t="shared" si="174"/>
        <v>4000</v>
      </c>
      <c r="I3592" s="5">
        <f t="shared" si="175"/>
        <v>8000</v>
      </c>
      <c r="J3592" s="5">
        <f t="shared" si="176"/>
        <v>4000</v>
      </c>
      <c r="K3592" s="5" t="str">
        <f>VLOOKUP(C3592,[1]master_data!$A$2:$E$495,5,FALSE)</f>
        <v>Aksesoris</v>
      </c>
      <c r="L3592" s="5" t="s">
        <v>471</v>
      </c>
    </row>
    <row r="3593" spans="1:12" ht="12" customHeight="1" x14ac:dyDescent="0.25">
      <c r="A3593" s="6">
        <v>44612</v>
      </c>
      <c r="B3593" s="1">
        <v>2200970</v>
      </c>
      <c r="C3593" s="5" t="s">
        <v>452</v>
      </c>
      <c r="D3593" s="5" t="str">
        <f>VLOOKUP(C3593,[1]master_data!$A$2:$E$495,2,FALSE)</f>
        <v>SNOW WHITE</v>
      </c>
      <c r="E3593" s="5">
        <v>5</v>
      </c>
      <c r="F3593" s="5">
        <f>VLOOKUP(C3593,[1]master_data!$A$2:$E$495,3,FALSE)</f>
        <v>1500</v>
      </c>
      <c r="G3593" s="5">
        <f>VLOOKUP(C3593,[1]master_data!$A$2:$E$495,4,FALSE)</f>
        <v>3000</v>
      </c>
      <c r="H3593" s="5">
        <f t="shared" si="174"/>
        <v>7500</v>
      </c>
      <c r="I3593" s="5">
        <f t="shared" si="175"/>
        <v>15000</v>
      </c>
      <c r="J3593" s="5">
        <f t="shared" si="176"/>
        <v>7500</v>
      </c>
      <c r="K3593" s="5" t="str">
        <f>VLOOKUP(C3593,[1]master_data!$A$2:$E$495,5,FALSE)</f>
        <v>Ikan</v>
      </c>
      <c r="L3593" s="5" t="s">
        <v>471</v>
      </c>
    </row>
    <row r="3594" spans="1:12" ht="12" customHeight="1" x14ac:dyDescent="0.25">
      <c r="A3594" s="6">
        <v>44612</v>
      </c>
      <c r="B3594" s="1">
        <v>2200969</v>
      </c>
      <c r="C3594" s="5" t="s">
        <v>450</v>
      </c>
      <c r="D3594" s="5" t="str">
        <f>VLOOKUP(C3594,[1]master_data!$A$2:$E$495,2,FALSE)</f>
        <v>SUMATRA BIASA</v>
      </c>
      <c r="E3594" s="5">
        <v>2</v>
      </c>
      <c r="F3594" s="5">
        <f>VLOOKUP(C3594,[1]master_data!$A$2:$E$495,3,FALSE)</f>
        <v>800</v>
      </c>
      <c r="G3594" s="5">
        <f>VLOOKUP(C3594,[1]master_data!$A$2:$E$495,4,FALSE)</f>
        <v>2000</v>
      </c>
      <c r="H3594" s="5">
        <f t="shared" si="174"/>
        <v>1600</v>
      </c>
      <c r="I3594" s="5">
        <f t="shared" si="175"/>
        <v>4000</v>
      </c>
      <c r="J3594" s="5">
        <f t="shared" si="176"/>
        <v>2400</v>
      </c>
      <c r="K3594" s="5" t="str">
        <f>VLOOKUP(C3594,[1]master_data!$A$2:$E$495,5,FALSE)</f>
        <v>Ikan</v>
      </c>
      <c r="L3594" s="5" t="s">
        <v>471</v>
      </c>
    </row>
    <row r="3595" spans="1:12" ht="12" customHeight="1" x14ac:dyDescent="0.25">
      <c r="A3595" s="6">
        <v>44612</v>
      </c>
      <c r="B3595" s="1">
        <v>2200968</v>
      </c>
      <c r="C3595" s="5" t="s">
        <v>438</v>
      </c>
      <c r="D3595" s="5" t="str">
        <f>VLOOKUP(C3595,[1]master_data!$A$2:$E$495,2,FALSE)</f>
        <v>NENTINEN</v>
      </c>
      <c r="E3595" s="5">
        <v>5</v>
      </c>
      <c r="F3595" s="5">
        <f>VLOOKUP(C3595,[1]master_data!$A$2:$E$495,3,FALSE)</f>
        <v>1000</v>
      </c>
      <c r="G3595" s="5">
        <f>VLOOKUP(C3595,[1]master_data!$A$2:$E$495,4,FALSE)</f>
        <v>2500</v>
      </c>
      <c r="H3595" s="5">
        <f t="shared" si="174"/>
        <v>5000</v>
      </c>
      <c r="I3595" s="5">
        <f t="shared" si="175"/>
        <v>12500</v>
      </c>
      <c r="J3595" s="5">
        <f t="shared" si="176"/>
        <v>7500</v>
      </c>
      <c r="K3595" s="5" t="str">
        <f>VLOOKUP(C3595,[1]master_data!$A$2:$E$495,5,FALSE)</f>
        <v>Ikan</v>
      </c>
      <c r="L3595" s="5" t="s">
        <v>471</v>
      </c>
    </row>
    <row r="3596" spans="1:12" ht="12" customHeight="1" x14ac:dyDescent="0.25">
      <c r="A3596" s="6">
        <v>44612</v>
      </c>
      <c r="B3596" s="1">
        <v>2200967</v>
      </c>
      <c r="C3596" s="5" t="s">
        <v>374</v>
      </c>
      <c r="D3596" s="5" t="str">
        <f>VLOOKUP(C3596,[1]master_data!$A$2:$E$495,2,FALSE)</f>
        <v>PASIR HITAM B</v>
      </c>
      <c r="E3596" s="5">
        <v>1</v>
      </c>
      <c r="F3596" s="5">
        <f>VLOOKUP(C3596,[1]master_data!$A$2:$E$495,3,FALSE)</f>
        <v>8000</v>
      </c>
      <c r="G3596" s="5">
        <f>VLOOKUP(C3596,[1]master_data!$A$2:$E$495,4,FALSE)</f>
        <v>15000</v>
      </c>
      <c r="H3596" s="5">
        <f t="shared" si="174"/>
        <v>8000</v>
      </c>
      <c r="I3596" s="5">
        <f t="shared" si="175"/>
        <v>15000</v>
      </c>
      <c r="J3596" s="5">
        <f t="shared" si="176"/>
        <v>7000</v>
      </c>
      <c r="K3596" s="5" t="str">
        <f>VLOOKUP(C3596,[1]master_data!$A$2:$E$495,5,FALSE)</f>
        <v>Aksesoris</v>
      </c>
      <c r="L3596" s="5" t="s">
        <v>471</v>
      </c>
    </row>
    <row r="3597" spans="1:12" ht="12" customHeight="1" x14ac:dyDescent="0.25">
      <c r="A3597" s="6">
        <v>44612</v>
      </c>
      <c r="B3597" s="1">
        <v>2200966</v>
      </c>
      <c r="C3597" s="5" t="s">
        <v>255</v>
      </c>
      <c r="D3597" s="5" t="str">
        <f>VLOOKUP(C3597,[1]master_data!$A$2:$E$495,2,FALSE)</f>
        <v>ACRIPLAVIN</v>
      </c>
      <c r="E3597" s="5">
        <v>1</v>
      </c>
      <c r="F3597" s="5">
        <f>VLOOKUP(C3597,[1]master_data!$A$2:$E$495,3,FALSE)</f>
        <v>3000</v>
      </c>
      <c r="G3597" s="5">
        <f>VLOOKUP(C3597,[1]master_data!$A$2:$E$495,4,FALSE)</f>
        <v>8000</v>
      </c>
      <c r="H3597" s="5">
        <f t="shared" si="174"/>
        <v>3000</v>
      </c>
      <c r="I3597" s="5">
        <f t="shared" si="175"/>
        <v>8000</v>
      </c>
      <c r="J3597" s="5">
        <f t="shared" si="176"/>
        <v>5000</v>
      </c>
      <c r="K3597" s="5" t="str">
        <f>VLOOKUP(C3597,[1]master_data!$A$2:$E$495,5,FALSE)</f>
        <v>Aksesoris</v>
      </c>
      <c r="L3597" s="5" t="s">
        <v>471</v>
      </c>
    </row>
    <row r="3598" spans="1:12" ht="12" customHeight="1" x14ac:dyDescent="0.25">
      <c r="A3598" s="6">
        <v>44612</v>
      </c>
      <c r="B3598" s="1">
        <v>2200965</v>
      </c>
      <c r="C3598" s="5" t="s">
        <v>431</v>
      </c>
      <c r="D3598" s="5" t="str">
        <f>VLOOKUP(C3598,[1]master_data!$A$2:$E$495,2,FALSE)</f>
        <v>MANFISH B</v>
      </c>
      <c r="E3598" s="5">
        <v>5</v>
      </c>
      <c r="F3598" s="5">
        <f>VLOOKUP(C3598,[1]master_data!$A$2:$E$495,3,FALSE)</f>
        <v>4000</v>
      </c>
      <c r="G3598" s="5">
        <f>VLOOKUP(C3598,[1]master_data!$A$2:$E$495,4,FALSE)</f>
        <v>10000</v>
      </c>
      <c r="H3598" s="5">
        <f t="shared" si="174"/>
        <v>20000</v>
      </c>
      <c r="I3598" s="5">
        <f t="shared" si="175"/>
        <v>50000</v>
      </c>
      <c r="J3598" s="5">
        <f t="shared" si="176"/>
        <v>30000</v>
      </c>
      <c r="K3598" s="5" t="str">
        <f>VLOOKUP(C3598,[1]master_data!$A$2:$E$495,5,FALSE)</f>
        <v>Ikan</v>
      </c>
      <c r="L3598" s="5" t="s">
        <v>471</v>
      </c>
    </row>
    <row r="3599" spans="1:12" ht="12" customHeight="1" x14ac:dyDescent="0.25">
      <c r="A3599" s="6">
        <v>44612</v>
      </c>
      <c r="B3599" s="1">
        <v>2200964</v>
      </c>
      <c r="C3599" s="5" t="s">
        <v>100</v>
      </c>
      <c r="D3599" s="5" t="str">
        <f>VLOOKUP(C3599,[1]master_data!$A$2:$E$495,2,FALSE)</f>
        <v>AIRATOR AMARA LUB 1</v>
      </c>
      <c r="E3599" s="5">
        <v>1</v>
      </c>
      <c r="F3599" s="5">
        <f>VLOOKUP(C3599,[1]master_data!$A$2:$E$495,3,FALSE)</f>
        <v>17500</v>
      </c>
      <c r="G3599" s="5">
        <f>VLOOKUP(C3599,[1]master_data!$A$2:$E$495,4,FALSE)</f>
        <v>30000</v>
      </c>
      <c r="H3599" s="5">
        <f t="shared" si="174"/>
        <v>17500</v>
      </c>
      <c r="I3599" s="5">
        <f t="shared" si="175"/>
        <v>30000</v>
      </c>
      <c r="J3599" s="5">
        <f t="shared" si="176"/>
        <v>12500</v>
      </c>
      <c r="K3599" s="5" t="str">
        <f>VLOOKUP(C3599,[1]master_data!$A$2:$E$495,5,FALSE)</f>
        <v>Aksesoris</v>
      </c>
      <c r="L3599" s="5" t="s">
        <v>471</v>
      </c>
    </row>
    <row r="3600" spans="1:12" ht="12" customHeight="1" x14ac:dyDescent="0.25">
      <c r="A3600" s="6">
        <v>44612</v>
      </c>
      <c r="B3600" s="1">
        <v>2200963</v>
      </c>
      <c r="C3600" s="5" t="s">
        <v>455</v>
      </c>
      <c r="D3600" s="5" t="str">
        <f>VLOOKUP(C3600,[1]master_data!$A$2:$E$495,2,FALSE)</f>
        <v>TETRA</v>
      </c>
      <c r="E3600" s="5">
        <v>10</v>
      </c>
      <c r="F3600" s="5">
        <f>VLOOKUP(C3600,[1]master_data!$A$2:$E$495,3,FALSE)</f>
        <v>800</v>
      </c>
      <c r="G3600" s="5">
        <f>VLOOKUP(C3600,[1]master_data!$A$2:$E$495,4,FALSE)</f>
        <v>2000</v>
      </c>
      <c r="H3600" s="5">
        <f t="shared" si="174"/>
        <v>8000</v>
      </c>
      <c r="I3600" s="5">
        <f t="shared" si="175"/>
        <v>20000</v>
      </c>
      <c r="J3600" s="5">
        <f t="shared" si="176"/>
        <v>12000</v>
      </c>
      <c r="K3600" s="5" t="str">
        <f>VLOOKUP(C3600,[1]master_data!$A$2:$E$495,5,FALSE)</f>
        <v>Ikan</v>
      </c>
      <c r="L3600" s="5" t="s">
        <v>471</v>
      </c>
    </row>
    <row r="3601" spans="1:12" ht="12" customHeight="1" x14ac:dyDescent="0.25">
      <c r="A3601" s="6">
        <v>44612</v>
      </c>
      <c r="B3601" s="1">
        <v>2200962</v>
      </c>
      <c r="C3601" s="5" t="s">
        <v>98</v>
      </c>
      <c r="D3601" s="5" t="str">
        <f>VLOOKUP(C3601,[1]master_data!$A$2:$E$495,2,FALSE)</f>
        <v>AIRATOR ROSTON LUB 2</v>
      </c>
      <c r="E3601" s="5">
        <v>1</v>
      </c>
      <c r="F3601" s="5">
        <f>VLOOKUP(C3601,[1]master_data!$A$2:$E$495,3,FALSE)</f>
        <v>31000</v>
      </c>
      <c r="G3601" s="5">
        <f>VLOOKUP(C3601,[1]master_data!$A$2:$E$495,4,FALSE)</f>
        <v>50000</v>
      </c>
      <c r="H3601" s="5">
        <f t="shared" si="174"/>
        <v>31000</v>
      </c>
      <c r="I3601" s="5">
        <f t="shared" si="175"/>
        <v>50000</v>
      </c>
      <c r="J3601" s="5">
        <f t="shared" si="176"/>
        <v>19000</v>
      </c>
      <c r="K3601" s="5" t="str">
        <f>VLOOKUP(C3601,[1]master_data!$A$2:$E$495,5,FALSE)</f>
        <v>Aksesoris</v>
      </c>
      <c r="L3601" s="5" t="s">
        <v>471</v>
      </c>
    </row>
    <row r="3602" spans="1:12" ht="12" customHeight="1" x14ac:dyDescent="0.25">
      <c r="A3602" s="6">
        <v>44612</v>
      </c>
      <c r="B3602" s="1">
        <v>2200961</v>
      </c>
      <c r="C3602" s="5" t="s">
        <v>409</v>
      </c>
      <c r="D3602" s="5" t="str">
        <f>VLOOKUP(C3602,[1]master_data!$A$2:$E$495,2,FALSE)</f>
        <v>GOLD FISH</v>
      </c>
      <c r="E3602" s="5">
        <v>25</v>
      </c>
      <c r="F3602" s="5">
        <f>VLOOKUP(C3602,[1]master_data!$A$2:$E$495,3,FALSE)</f>
        <v>800</v>
      </c>
      <c r="G3602" s="5">
        <f>VLOOKUP(C3602,[1]master_data!$A$2:$E$495,4,FALSE)</f>
        <v>2000</v>
      </c>
      <c r="H3602" s="5">
        <f t="shared" si="174"/>
        <v>20000</v>
      </c>
      <c r="I3602" s="5">
        <f t="shared" si="175"/>
        <v>50000</v>
      </c>
      <c r="J3602" s="5">
        <f t="shared" si="176"/>
        <v>30000</v>
      </c>
      <c r="K3602" s="5" t="str">
        <f>VLOOKUP(C3602,[1]master_data!$A$2:$E$495,5,FALSE)</f>
        <v>Ikan</v>
      </c>
      <c r="L3602" s="5" t="s">
        <v>471</v>
      </c>
    </row>
    <row r="3603" spans="1:12" ht="12" customHeight="1" x14ac:dyDescent="0.25">
      <c r="A3603" s="6">
        <v>44612</v>
      </c>
      <c r="B3603" s="1">
        <v>2200960</v>
      </c>
      <c r="C3603" s="5" t="s">
        <v>445</v>
      </c>
      <c r="D3603" s="5" t="str">
        <f>VLOOKUP(C3603,[1]master_data!$A$2:$E$495,2,FALSE)</f>
        <v>PESO</v>
      </c>
      <c r="E3603" s="5">
        <v>1</v>
      </c>
      <c r="F3603" s="5">
        <f>VLOOKUP(C3603,[1]master_data!$A$2:$E$495,3,FALSE)</f>
        <v>19000</v>
      </c>
      <c r="G3603" s="5">
        <f>VLOOKUP(C3603,[1]master_data!$A$2:$E$495,4,FALSE)</f>
        <v>40000</v>
      </c>
      <c r="H3603" s="5">
        <f t="shared" si="174"/>
        <v>19000</v>
      </c>
      <c r="I3603" s="5">
        <f t="shared" si="175"/>
        <v>40000</v>
      </c>
      <c r="J3603" s="5">
        <f t="shared" si="176"/>
        <v>21000</v>
      </c>
      <c r="K3603" s="5" t="str">
        <f>VLOOKUP(C3603,[1]master_data!$A$2:$E$495,5,FALSE)</f>
        <v>Ikan</v>
      </c>
      <c r="L3603" s="5" t="s">
        <v>471</v>
      </c>
    </row>
    <row r="3604" spans="1:12" ht="12" customHeight="1" x14ac:dyDescent="0.25">
      <c r="A3604" s="6">
        <v>44612</v>
      </c>
      <c r="B3604" s="1">
        <v>2200959</v>
      </c>
      <c r="C3604" s="5" t="s">
        <v>432</v>
      </c>
      <c r="D3604" s="5" t="str">
        <f>VLOOKUP(C3604,[1]master_data!$A$2:$E$495,2,FALSE)</f>
        <v>MARU K</v>
      </c>
      <c r="E3604" s="5">
        <v>1</v>
      </c>
      <c r="F3604" s="5">
        <f>VLOOKUP(C3604,[1]master_data!$A$2:$E$495,3,FALSE)</f>
        <v>23000</v>
      </c>
      <c r="G3604" s="5">
        <f>VLOOKUP(C3604,[1]master_data!$A$2:$E$495,4,FALSE)</f>
        <v>50000</v>
      </c>
      <c r="H3604" s="5">
        <f t="shared" si="174"/>
        <v>23000</v>
      </c>
      <c r="I3604" s="5">
        <f t="shared" si="175"/>
        <v>50000</v>
      </c>
      <c r="J3604" s="5">
        <f t="shared" si="176"/>
        <v>27000</v>
      </c>
      <c r="K3604" s="5" t="str">
        <f>VLOOKUP(C3604,[1]master_data!$A$2:$E$495,5,FALSE)</f>
        <v>Ikan</v>
      </c>
      <c r="L3604" s="5" t="s">
        <v>471</v>
      </c>
    </row>
    <row r="3605" spans="1:12" ht="12" customHeight="1" x14ac:dyDescent="0.25">
      <c r="A3605" s="6">
        <v>44612</v>
      </c>
      <c r="B3605" s="1">
        <v>2200958</v>
      </c>
      <c r="C3605" s="5" t="s">
        <v>267</v>
      </c>
      <c r="D3605" s="5" t="str">
        <f>VLOOKUP(C3605,[1]master_data!$A$2:$E$495,2,FALSE)</f>
        <v>GARAM</v>
      </c>
      <c r="E3605" s="5">
        <v>2</v>
      </c>
      <c r="F3605" s="5">
        <f>VLOOKUP(C3605,[1]master_data!$A$2:$E$495,3,FALSE)</f>
        <v>3000</v>
      </c>
      <c r="G3605" s="5">
        <f>VLOOKUP(C3605,[1]master_data!$A$2:$E$495,4,FALSE)</f>
        <v>5000</v>
      </c>
      <c r="H3605" s="5">
        <f t="shared" si="174"/>
        <v>6000</v>
      </c>
      <c r="I3605" s="5">
        <f t="shared" si="175"/>
        <v>10000</v>
      </c>
      <c r="J3605" s="5">
        <f t="shared" si="176"/>
        <v>4000</v>
      </c>
      <c r="K3605" s="5" t="str">
        <f>VLOOKUP(C3605,[1]master_data!$A$2:$E$495,5,FALSE)</f>
        <v>Aksesoris</v>
      </c>
      <c r="L3605" s="5" t="s">
        <v>471</v>
      </c>
    </row>
    <row r="3606" spans="1:12" ht="12" customHeight="1" x14ac:dyDescent="0.25">
      <c r="A3606" s="6">
        <v>44612</v>
      </c>
      <c r="B3606" s="1">
        <v>2200957</v>
      </c>
      <c r="C3606" s="5" t="s">
        <v>403</v>
      </c>
      <c r="D3606" s="5" t="str">
        <f>VLOOKUP(C3606,[1]master_data!$A$2:$E$495,2,FALSE)</f>
        <v>CHANNA BLUE PULCHRA K</v>
      </c>
      <c r="E3606" s="5">
        <v>1</v>
      </c>
      <c r="F3606" s="5">
        <f>VLOOKUP(C3606,[1]master_data!$A$2:$E$495,3,FALSE)</f>
        <v>25000</v>
      </c>
      <c r="G3606" s="5">
        <f>VLOOKUP(C3606,[1]master_data!$A$2:$E$495,4,FALSE)</f>
        <v>50000</v>
      </c>
      <c r="H3606" s="5">
        <f t="shared" si="174"/>
        <v>25000</v>
      </c>
      <c r="I3606" s="5">
        <f t="shared" si="175"/>
        <v>50000</v>
      </c>
      <c r="J3606" s="5">
        <f t="shared" si="176"/>
        <v>25000</v>
      </c>
      <c r="K3606" s="5" t="str">
        <f>VLOOKUP(C3606,[1]master_data!$A$2:$E$495,5,FALSE)</f>
        <v>Ikan</v>
      </c>
      <c r="L3606" s="5" t="s">
        <v>471</v>
      </c>
    </row>
    <row r="3607" spans="1:12" ht="12" customHeight="1" x14ac:dyDescent="0.25">
      <c r="A3607" s="6">
        <v>44612</v>
      </c>
      <c r="B3607" s="1">
        <v>2200956</v>
      </c>
      <c r="C3607" s="5" t="s">
        <v>310</v>
      </c>
      <c r="D3607" s="5" t="str">
        <f>VLOOKUP(C3607,[1]master_data!$A$2:$E$495,2,FALSE)</f>
        <v>SELANG FUSO</v>
      </c>
      <c r="E3607" s="5">
        <v>2</v>
      </c>
      <c r="F3607" s="5">
        <f>VLOOKUP(C3607,[1]master_data!$A$2:$E$495,3,FALSE)</f>
        <v>800</v>
      </c>
      <c r="G3607" s="5">
        <f>VLOOKUP(C3607,[1]master_data!$A$2:$E$495,4,FALSE)</f>
        <v>2000</v>
      </c>
      <c r="H3607" s="5">
        <f t="shared" si="174"/>
        <v>1600</v>
      </c>
      <c r="I3607" s="5">
        <f t="shared" si="175"/>
        <v>4000</v>
      </c>
      <c r="J3607" s="5">
        <f t="shared" si="176"/>
        <v>2400</v>
      </c>
      <c r="K3607" s="5" t="str">
        <f>VLOOKUP(C3607,[1]master_data!$A$2:$E$495,5,FALSE)</f>
        <v>Aksesoris</v>
      </c>
      <c r="L3607" s="5" t="s">
        <v>471</v>
      </c>
    </row>
    <row r="3608" spans="1:12" ht="12" customHeight="1" x14ac:dyDescent="0.25">
      <c r="A3608" s="6">
        <v>44612</v>
      </c>
      <c r="B3608" s="1">
        <v>2200955</v>
      </c>
      <c r="C3608" s="5" t="s">
        <v>327</v>
      </c>
      <c r="D3608" s="5" t="str">
        <f>VLOOKUP(C3608,[1]master_data!$A$2:$E$495,2,FALSE)</f>
        <v>AIRSTONE K</v>
      </c>
      <c r="E3608" s="5">
        <v>1</v>
      </c>
      <c r="F3608" s="5">
        <f>VLOOKUP(C3608,[1]master_data!$A$2:$E$495,3,FALSE)</f>
        <v>850</v>
      </c>
      <c r="G3608" s="5">
        <f>VLOOKUP(C3608,[1]master_data!$A$2:$E$495,4,FALSE)</f>
        <v>3000</v>
      </c>
      <c r="H3608" s="5">
        <f t="shared" si="174"/>
        <v>850</v>
      </c>
      <c r="I3608" s="5">
        <f t="shared" si="175"/>
        <v>3000</v>
      </c>
      <c r="J3608" s="5">
        <f t="shared" si="176"/>
        <v>2150</v>
      </c>
      <c r="K3608" s="5" t="str">
        <f>VLOOKUP(C3608,[1]master_data!$A$2:$E$495,5,FALSE)</f>
        <v>Aksesoris</v>
      </c>
      <c r="L3608" s="5" t="s">
        <v>471</v>
      </c>
    </row>
    <row r="3609" spans="1:12" ht="12" customHeight="1" x14ac:dyDescent="0.25">
      <c r="A3609" s="6">
        <v>44612</v>
      </c>
      <c r="B3609" s="1">
        <v>2200954</v>
      </c>
      <c r="C3609" s="5" t="s">
        <v>310</v>
      </c>
      <c r="D3609" s="5" t="str">
        <f>VLOOKUP(C3609,[1]master_data!$A$2:$E$495,2,FALSE)</f>
        <v>SELANG FUSO</v>
      </c>
      <c r="E3609" s="5">
        <v>2</v>
      </c>
      <c r="F3609" s="5">
        <f>VLOOKUP(C3609,[1]master_data!$A$2:$E$495,3,FALSE)</f>
        <v>800</v>
      </c>
      <c r="G3609" s="5">
        <f>VLOOKUP(C3609,[1]master_data!$A$2:$E$495,4,FALSE)</f>
        <v>2000</v>
      </c>
      <c r="H3609" s="5">
        <f t="shared" si="174"/>
        <v>1600</v>
      </c>
      <c r="I3609" s="5">
        <f t="shared" si="175"/>
        <v>4000</v>
      </c>
      <c r="J3609" s="5">
        <f t="shared" si="176"/>
        <v>2400</v>
      </c>
      <c r="K3609" s="5" t="str">
        <f>VLOOKUP(C3609,[1]master_data!$A$2:$E$495,5,FALSE)</f>
        <v>Aksesoris</v>
      </c>
      <c r="L3609" s="5" t="s">
        <v>471</v>
      </c>
    </row>
    <row r="3610" spans="1:12" ht="12" customHeight="1" x14ac:dyDescent="0.25">
      <c r="A3610" s="6">
        <v>44612</v>
      </c>
      <c r="B3610" s="1">
        <v>2200953</v>
      </c>
      <c r="C3610" s="5" t="s">
        <v>407</v>
      </c>
      <c r="D3610" s="5" t="str">
        <f>VLOOKUP(C3610,[1]master_data!$A$2:$E$495,2,FALSE)</f>
        <v>CUPANG</v>
      </c>
      <c r="E3610" s="5">
        <v>4</v>
      </c>
      <c r="F3610" s="5">
        <f>VLOOKUP(C3610,[1]master_data!$A$2:$E$495,3,FALSE)</f>
        <v>2000</v>
      </c>
      <c r="G3610" s="5">
        <f>VLOOKUP(C3610,[1]master_data!$A$2:$E$495,4,FALSE)</f>
        <v>5000</v>
      </c>
      <c r="H3610" s="5">
        <f t="shared" si="174"/>
        <v>8000</v>
      </c>
      <c r="I3610" s="5">
        <f t="shared" si="175"/>
        <v>20000</v>
      </c>
      <c r="J3610" s="5">
        <f t="shared" si="176"/>
        <v>12000</v>
      </c>
      <c r="K3610" s="5" t="str">
        <f>VLOOKUP(C3610,[1]master_data!$A$2:$E$495,5,FALSE)</f>
        <v>Ikan</v>
      </c>
      <c r="L3610" s="5" t="s">
        <v>471</v>
      </c>
    </row>
    <row r="3611" spans="1:12" ht="12" customHeight="1" x14ac:dyDescent="0.25">
      <c r="A3611" s="6">
        <v>44612</v>
      </c>
      <c r="B3611" s="1">
        <v>2200952</v>
      </c>
      <c r="C3611" s="5" t="s">
        <v>427</v>
      </c>
      <c r="D3611" s="5" t="str">
        <f>VLOOKUP(C3611,[1]master_data!$A$2:$E$495,2,FALSE)</f>
        <v>LEMON</v>
      </c>
      <c r="E3611" s="5">
        <v>5</v>
      </c>
      <c r="F3611" s="5">
        <f>VLOOKUP(C3611,[1]master_data!$A$2:$E$495,3,FALSE)</f>
        <v>1000</v>
      </c>
      <c r="G3611" s="5">
        <f>VLOOKUP(C3611,[1]master_data!$A$2:$E$495,4,FALSE)</f>
        <v>2000</v>
      </c>
      <c r="H3611" s="5">
        <f t="shared" si="174"/>
        <v>5000</v>
      </c>
      <c r="I3611" s="5">
        <f t="shared" si="175"/>
        <v>10000</v>
      </c>
      <c r="J3611" s="5">
        <f t="shared" si="176"/>
        <v>5000</v>
      </c>
      <c r="K3611" s="5" t="str">
        <f>VLOOKUP(C3611,[1]master_data!$A$2:$E$495,5,FALSE)</f>
        <v>Ikan</v>
      </c>
      <c r="L3611" s="5" t="s">
        <v>471</v>
      </c>
    </row>
    <row r="3612" spans="1:12" ht="12" customHeight="1" x14ac:dyDescent="0.25">
      <c r="A3612" s="6">
        <v>44612</v>
      </c>
      <c r="B3612" s="1">
        <v>2200951</v>
      </c>
      <c r="C3612" s="5" t="s">
        <v>327</v>
      </c>
      <c r="D3612" s="5" t="str">
        <f>VLOOKUP(C3612,[1]master_data!$A$2:$E$495,2,FALSE)</f>
        <v>AIRSTONE K</v>
      </c>
      <c r="E3612" s="5">
        <v>2</v>
      </c>
      <c r="F3612" s="5">
        <f>VLOOKUP(C3612,[1]master_data!$A$2:$E$495,3,FALSE)</f>
        <v>850</v>
      </c>
      <c r="G3612" s="5">
        <f>VLOOKUP(C3612,[1]master_data!$A$2:$E$495,4,FALSE)</f>
        <v>3000</v>
      </c>
      <c r="H3612" s="5">
        <f t="shared" si="174"/>
        <v>1700</v>
      </c>
      <c r="I3612" s="5">
        <f t="shared" si="175"/>
        <v>6000</v>
      </c>
      <c r="J3612" s="5">
        <f t="shared" si="176"/>
        <v>4300</v>
      </c>
      <c r="K3612" s="5" t="str">
        <f>VLOOKUP(C3612,[1]master_data!$A$2:$E$495,5,FALSE)</f>
        <v>Aksesoris</v>
      </c>
      <c r="L3612" s="5" t="s">
        <v>471</v>
      </c>
    </row>
    <row r="3613" spans="1:12" ht="12" customHeight="1" x14ac:dyDescent="0.25">
      <c r="A3613" s="6">
        <v>44612</v>
      </c>
      <c r="B3613" s="1">
        <v>2200950</v>
      </c>
      <c r="C3613" s="5" t="s">
        <v>451</v>
      </c>
      <c r="D3613" s="5" t="str">
        <f>VLOOKUP(C3613,[1]master_data!$A$2:$E$495,2,FALSE)</f>
        <v>SUMATRA GOLD FISH</v>
      </c>
      <c r="E3613" s="5">
        <v>10</v>
      </c>
      <c r="F3613" s="5">
        <f>VLOOKUP(C3613,[1]master_data!$A$2:$E$495,3,FALSE)</f>
        <v>2500</v>
      </c>
      <c r="G3613" s="5">
        <f>VLOOKUP(C3613,[1]master_data!$A$2:$E$495,4,FALSE)</f>
        <v>4000</v>
      </c>
      <c r="H3613" s="5">
        <f t="shared" si="174"/>
        <v>25000</v>
      </c>
      <c r="I3613" s="5">
        <f t="shared" si="175"/>
        <v>40000</v>
      </c>
      <c r="J3613" s="5">
        <f t="shared" si="176"/>
        <v>15000</v>
      </c>
      <c r="K3613" s="5" t="str">
        <f>VLOOKUP(C3613,[1]master_data!$A$2:$E$495,5,FALSE)</f>
        <v>Ikan</v>
      </c>
      <c r="L3613" s="5" t="s">
        <v>471</v>
      </c>
    </row>
    <row r="3614" spans="1:12" ht="12" customHeight="1" x14ac:dyDescent="0.25">
      <c r="A3614" s="6">
        <v>44612</v>
      </c>
      <c r="B3614" s="1">
        <v>2200949</v>
      </c>
      <c r="C3614" s="5" t="s">
        <v>451</v>
      </c>
      <c r="D3614" s="5" t="str">
        <f>VLOOKUP(C3614,[1]master_data!$A$2:$E$495,2,FALSE)</f>
        <v>SUMATRA GOLD FISH</v>
      </c>
      <c r="E3614" s="5">
        <v>10</v>
      </c>
      <c r="F3614" s="5">
        <f>VLOOKUP(C3614,[1]master_data!$A$2:$E$495,3,FALSE)</f>
        <v>2500</v>
      </c>
      <c r="G3614" s="5">
        <f>VLOOKUP(C3614,[1]master_data!$A$2:$E$495,4,FALSE)</f>
        <v>4000</v>
      </c>
      <c r="H3614" s="5">
        <f t="shared" si="174"/>
        <v>25000</v>
      </c>
      <c r="I3614" s="5">
        <f t="shared" si="175"/>
        <v>40000</v>
      </c>
      <c r="J3614" s="5">
        <f t="shared" si="176"/>
        <v>15000</v>
      </c>
      <c r="K3614" s="5" t="str">
        <f>VLOOKUP(C3614,[1]master_data!$A$2:$E$495,5,FALSE)</f>
        <v>Ikan</v>
      </c>
      <c r="L3614" s="5" t="s">
        <v>471</v>
      </c>
    </row>
    <row r="3615" spans="1:12" ht="12" customHeight="1" x14ac:dyDescent="0.25">
      <c r="A3615" s="6">
        <v>44612</v>
      </c>
      <c r="B3615" s="1">
        <v>2200948</v>
      </c>
      <c r="C3615" s="5" t="s">
        <v>211</v>
      </c>
      <c r="D3615" s="5" t="str">
        <f>VLOOKUP(C3615,[1]master_data!$A$2:$E$495,2,FALSE)</f>
        <v>CRISTAL PAKAN CUPANG</v>
      </c>
      <c r="E3615" s="5">
        <v>1</v>
      </c>
      <c r="F3615" s="5">
        <f>VLOOKUP(C3615,[1]master_data!$A$2:$E$495,3,FALSE)</f>
        <v>1500</v>
      </c>
      <c r="G3615" s="5">
        <f>VLOOKUP(C3615,[1]master_data!$A$2:$E$495,4,FALSE)</f>
        <v>3000</v>
      </c>
      <c r="H3615" s="5">
        <f t="shared" si="174"/>
        <v>1500</v>
      </c>
      <c r="I3615" s="5">
        <f t="shared" si="175"/>
        <v>3000</v>
      </c>
      <c r="J3615" s="5">
        <f t="shared" si="176"/>
        <v>1500</v>
      </c>
      <c r="K3615" s="5" t="str">
        <f>VLOOKUP(C3615,[1]master_data!$A$2:$E$495,5,FALSE)</f>
        <v>Aksesoris</v>
      </c>
      <c r="L3615" s="5" t="s">
        <v>471</v>
      </c>
    </row>
    <row r="3616" spans="1:12" ht="12" customHeight="1" x14ac:dyDescent="0.25">
      <c r="A3616" s="6">
        <v>44611</v>
      </c>
      <c r="B3616" s="1">
        <v>2200947</v>
      </c>
      <c r="C3616" s="5" t="s">
        <v>409</v>
      </c>
      <c r="D3616" s="5" t="str">
        <f>VLOOKUP(C3616,[1]master_data!$A$2:$E$495,2,FALSE)</f>
        <v>GOLD FISH</v>
      </c>
      <c r="E3616" s="5">
        <v>5</v>
      </c>
      <c r="F3616" s="5">
        <f>VLOOKUP(C3616,[1]master_data!$A$2:$E$495,3,FALSE)</f>
        <v>800</v>
      </c>
      <c r="G3616" s="5">
        <f>VLOOKUP(C3616,[1]master_data!$A$2:$E$495,4,FALSE)</f>
        <v>2000</v>
      </c>
      <c r="H3616" s="5">
        <f t="shared" si="174"/>
        <v>4000</v>
      </c>
      <c r="I3616" s="5">
        <f t="shared" si="175"/>
        <v>10000</v>
      </c>
      <c r="J3616" s="5">
        <f t="shared" si="176"/>
        <v>6000</v>
      </c>
      <c r="K3616" s="5" t="str">
        <f>VLOOKUP(C3616,[1]master_data!$A$2:$E$495,5,FALSE)</f>
        <v>Ikan</v>
      </c>
      <c r="L3616" s="5" t="s">
        <v>471</v>
      </c>
    </row>
    <row r="3617" spans="1:12" ht="12" customHeight="1" x14ac:dyDescent="0.25">
      <c r="A3617" s="6">
        <v>44611</v>
      </c>
      <c r="B3617" s="1">
        <v>2200946</v>
      </c>
      <c r="C3617" s="5" t="s">
        <v>257</v>
      </c>
      <c r="D3617" s="5" t="str">
        <f>VLOOKUP(C3617,[1]master_data!$A$2:$E$495,2,FALSE)</f>
        <v>BILTS K</v>
      </c>
      <c r="E3617" s="5">
        <v>1</v>
      </c>
      <c r="F3617" s="5">
        <f>VLOOKUP(C3617,[1]master_data!$A$2:$E$495,3,FALSE)</f>
        <v>5000</v>
      </c>
      <c r="G3617" s="5">
        <f>VLOOKUP(C3617,[1]master_data!$A$2:$E$495,4,FALSE)</f>
        <v>7000</v>
      </c>
      <c r="H3617" s="5">
        <f t="shared" si="174"/>
        <v>5000</v>
      </c>
      <c r="I3617" s="5">
        <f t="shared" si="175"/>
        <v>7000</v>
      </c>
      <c r="J3617" s="5">
        <f t="shared" si="176"/>
        <v>2000</v>
      </c>
      <c r="K3617" s="5" t="str">
        <f>VLOOKUP(C3617,[1]master_data!$A$2:$E$495,5,FALSE)</f>
        <v>Aksesoris</v>
      </c>
      <c r="L3617" s="5" t="s">
        <v>471</v>
      </c>
    </row>
    <row r="3618" spans="1:12" ht="12" customHeight="1" x14ac:dyDescent="0.25">
      <c r="A3618" s="6">
        <v>44611</v>
      </c>
      <c r="B3618" s="1">
        <v>2200945</v>
      </c>
      <c r="C3618" s="5" t="s">
        <v>314</v>
      </c>
      <c r="D3618" s="5" t="str">
        <f>VLOOKUP(C3618,[1]master_data!$A$2:$E$495,2,FALSE)</f>
        <v>L SELANG</v>
      </c>
      <c r="E3618" s="5">
        <v>3</v>
      </c>
      <c r="F3618" s="5">
        <f>VLOOKUP(C3618,[1]master_data!$A$2:$E$495,3,FALSE)</f>
        <v>750</v>
      </c>
      <c r="G3618" s="5">
        <f>VLOOKUP(C3618,[1]master_data!$A$2:$E$495,4,FALSE)</f>
        <v>1500</v>
      </c>
      <c r="H3618" s="5">
        <f t="shared" si="174"/>
        <v>2250</v>
      </c>
      <c r="I3618" s="5">
        <f t="shared" si="175"/>
        <v>4500</v>
      </c>
      <c r="J3618" s="5">
        <f t="shared" si="176"/>
        <v>2250</v>
      </c>
      <c r="K3618" s="5" t="str">
        <f>VLOOKUP(C3618,[1]master_data!$A$2:$E$495,5,FALSE)</f>
        <v>Aksesoris</v>
      </c>
      <c r="L3618" s="5" t="s">
        <v>471</v>
      </c>
    </row>
    <row r="3619" spans="1:12" ht="12" customHeight="1" x14ac:dyDescent="0.25">
      <c r="A3619" s="6">
        <v>44611</v>
      </c>
      <c r="B3619" s="1">
        <v>2200944</v>
      </c>
      <c r="C3619" s="5" t="s">
        <v>311</v>
      </c>
      <c r="D3619" s="5" t="str">
        <f>VLOOKUP(C3619,[1]master_data!$A$2:$E$495,2,FALSE)</f>
        <v>L PIPA</v>
      </c>
      <c r="E3619" s="5">
        <v>3</v>
      </c>
      <c r="F3619" s="5">
        <f>VLOOKUP(C3619,[1]master_data!$A$2:$E$495,3,FALSE)</f>
        <v>800</v>
      </c>
      <c r="G3619" s="5">
        <f>VLOOKUP(C3619,[1]master_data!$A$2:$E$495,4,FALSE)</f>
        <v>2000</v>
      </c>
      <c r="H3619" s="5">
        <f t="shared" si="174"/>
        <v>2400</v>
      </c>
      <c r="I3619" s="5">
        <f t="shared" si="175"/>
        <v>6000</v>
      </c>
      <c r="J3619" s="5">
        <f t="shared" si="176"/>
        <v>3600</v>
      </c>
      <c r="K3619" s="5" t="str">
        <f>VLOOKUP(C3619,[1]master_data!$A$2:$E$495,5,FALSE)</f>
        <v>Aksesoris</v>
      </c>
      <c r="L3619" s="5" t="s">
        <v>471</v>
      </c>
    </row>
    <row r="3620" spans="1:12" ht="12" customHeight="1" x14ac:dyDescent="0.25">
      <c r="A3620" s="6">
        <v>44611</v>
      </c>
      <c r="B3620" s="1">
        <v>2200943</v>
      </c>
      <c r="C3620" s="5" t="s">
        <v>415</v>
      </c>
      <c r="D3620" s="5" t="str">
        <f>VLOOKUP(C3620,[1]master_data!$A$2:$E$495,2,FALSE)</f>
        <v>KOKI B</v>
      </c>
      <c r="E3620" s="5">
        <v>2</v>
      </c>
      <c r="F3620" s="5">
        <f>VLOOKUP(C3620,[1]master_data!$A$2:$E$495,3,FALSE)</f>
        <v>20000</v>
      </c>
      <c r="G3620" s="5">
        <f>VLOOKUP(C3620,[1]master_data!$A$2:$E$495,4,FALSE)</f>
        <v>50000</v>
      </c>
      <c r="H3620" s="5">
        <f t="shared" si="174"/>
        <v>40000</v>
      </c>
      <c r="I3620" s="5">
        <f t="shared" si="175"/>
        <v>100000</v>
      </c>
      <c r="J3620" s="5">
        <f t="shared" si="176"/>
        <v>60000</v>
      </c>
      <c r="K3620" s="5" t="str">
        <f>VLOOKUP(C3620,[1]master_data!$A$2:$E$495,5,FALSE)</f>
        <v>Ikan</v>
      </c>
      <c r="L3620" s="5" t="s">
        <v>471</v>
      </c>
    </row>
    <row r="3621" spans="1:12" ht="12" customHeight="1" x14ac:dyDescent="0.25">
      <c r="A3621" s="6">
        <v>44611</v>
      </c>
      <c r="B3621" s="1">
        <v>2200942</v>
      </c>
      <c r="C3621" s="5" t="s">
        <v>310</v>
      </c>
      <c r="D3621" s="5" t="str">
        <f>VLOOKUP(C3621,[1]master_data!$A$2:$E$495,2,FALSE)</f>
        <v>SELANG FUSO</v>
      </c>
      <c r="E3621" s="5">
        <v>1</v>
      </c>
      <c r="F3621" s="5">
        <f>VLOOKUP(C3621,[1]master_data!$A$2:$E$495,3,FALSE)</f>
        <v>800</v>
      </c>
      <c r="G3621" s="5">
        <f>VLOOKUP(C3621,[1]master_data!$A$2:$E$495,4,FALSE)</f>
        <v>2000</v>
      </c>
      <c r="H3621" s="5">
        <f t="shared" si="174"/>
        <v>800</v>
      </c>
      <c r="I3621" s="5">
        <f t="shared" si="175"/>
        <v>2000</v>
      </c>
      <c r="J3621" s="5">
        <f t="shared" si="176"/>
        <v>1200</v>
      </c>
      <c r="K3621" s="5" t="str">
        <f>VLOOKUP(C3621,[1]master_data!$A$2:$E$495,5,FALSE)</f>
        <v>Aksesoris</v>
      </c>
      <c r="L3621" s="5" t="s">
        <v>471</v>
      </c>
    </row>
    <row r="3622" spans="1:12" ht="12" customHeight="1" x14ac:dyDescent="0.25">
      <c r="A3622" s="6">
        <v>44611</v>
      </c>
      <c r="B3622" s="1">
        <v>2200941</v>
      </c>
      <c r="C3622" s="5" t="s">
        <v>267</v>
      </c>
      <c r="D3622" s="5" t="str">
        <f>VLOOKUP(C3622,[1]master_data!$A$2:$E$495,2,FALSE)</f>
        <v>GARAM</v>
      </c>
      <c r="E3622" s="5">
        <v>1</v>
      </c>
      <c r="F3622" s="5">
        <f>VLOOKUP(C3622,[1]master_data!$A$2:$E$495,3,FALSE)</f>
        <v>3000</v>
      </c>
      <c r="G3622" s="5">
        <f>VLOOKUP(C3622,[1]master_data!$A$2:$E$495,4,FALSE)</f>
        <v>5000</v>
      </c>
      <c r="H3622" s="5">
        <f t="shared" si="174"/>
        <v>3000</v>
      </c>
      <c r="I3622" s="5">
        <f t="shared" si="175"/>
        <v>5000</v>
      </c>
      <c r="J3622" s="5">
        <f t="shared" si="176"/>
        <v>2000</v>
      </c>
      <c r="K3622" s="5" t="str">
        <f>VLOOKUP(C3622,[1]master_data!$A$2:$E$495,5,FALSE)</f>
        <v>Aksesoris</v>
      </c>
      <c r="L3622" s="5" t="s">
        <v>471</v>
      </c>
    </row>
    <row r="3623" spans="1:12" ht="12" customHeight="1" x14ac:dyDescent="0.25">
      <c r="A3623" s="6">
        <v>44611</v>
      </c>
      <c r="B3623" s="1">
        <v>2200940</v>
      </c>
      <c r="C3623" s="5" t="s">
        <v>303</v>
      </c>
      <c r="D3623" s="5" t="str">
        <f>VLOOKUP(C3623,[1]master_data!$A$2:$E$495,2,FALSE)</f>
        <v>PIPA LONJOR 2 M</v>
      </c>
      <c r="E3623" s="5">
        <v>1</v>
      </c>
      <c r="F3623" s="5">
        <f>VLOOKUP(C3623,[1]master_data!$A$2:$E$495,3,FALSE)</f>
        <v>5000</v>
      </c>
      <c r="G3623" s="5">
        <f>VLOOKUP(C3623,[1]master_data!$A$2:$E$495,4,FALSE)</f>
        <v>10000</v>
      </c>
      <c r="H3623" s="5">
        <f t="shared" si="174"/>
        <v>5000</v>
      </c>
      <c r="I3623" s="5">
        <f t="shared" si="175"/>
        <v>10000</v>
      </c>
      <c r="J3623" s="5">
        <f t="shared" si="176"/>
        <v>5000</v>
      </c>
      <c r="K3623" s="5" t="str">
        <f>VLOOKUP(C3623,[1]master_data!$A$2:$E$495,5,FALSE)</f>
        <v>Aksesoris</v>
      </c>
      <c r="L3623" s="5" t="s">
        <v>471</v>
      </c>
    </row>
    <row r="3624" spans="1:12" ht="12" customHeight="1" x14ac:dyDescent="0.25">
      <c r="A3624" s="6">
        <v>44611</v>
      </c>
      <c r="B3624" s="1">
        <v>2200939</v>
      </c>
      <c r="C3624" s="5" t="s">
        <v>260</v>
      </c>
      <c r="D3624" s="5" t="str">
        <f>VLOOKUP(C3624,[1]master_data!$A$2:$E$495,2,FALSE)</f>
        <v>BUNGA K</v>
      </c>
      <c r="E3624" s="5">
        <v>3</v>
      </c>
      <c r="F3624" s="5">
        <f>VLOOKUP(C3624,[1]master_data!$A$2:$E$495,3,FALSE)</f>
        <v>2500</v>
      </c>
      <c r="G3624" s="5">
        <f>VLOOKUP(C3624,[1]master_data!$A$2:$E$495,4,FALSE)</f>
        <v>5000</v>
      </c>
      <c r="H3624" s="5">
        <f t="shared" si="174"/>
        <v>7500</v>
      </c>
      <c r="I3624" s="5">
        <f t="shared" si="175"/>
        <v>15000</v>
      </c>
      <c r="J3624" s="5">
        <f t="shared" si="176"/>
        <v>7500</v>
      </c>
      <c r="K3624" s="5" t="str">
        <f>VLOOKUP(C3624,[1]master_data!$A$2:$E$495,5,FALSE)</f>
        <v>Aksesoris</v>
      </c>
      <c r="L3624" s="5" t="s">
        <v>471</v>
      </c>
    </row>
    <row r="3625" spans="1:12" ht="12" customHeight="1" x14ac:dyDescent="0.25">
      <c r="A3625" s="6">
        <v>44611</v>
      </c>
      <c r="B3625" s="1">
        <v>2200938</v>
      </c>
      <c r="C3625" s="5" t="s">
        <v>267</v>
      </c>
      <c r="D3625" s="5" t="str">
        <f>VLOOKUP(C3625,[1]master_data!$A$2:$E$495,2,FALSE)</f>
        <v>GARAM</v>
      </c>
      <c r="E3625" s="5">
        <v>5</v>
      </c>
      <c r="F3625" s="5">
        <f>VLOOKUP(C3625,[1]master_data!$A$2:$E$495,3,FALSE)</f>
        <v>3000</v>
      </c>
      <c r="G3625" s="5">
        <f>VLOOKUP(C3625,[1]master_data!$A$2:$E$495,4,FALSE)</f>
        <v>5000</v>
      </c>
      <c r="H3625" s="5">
        <f t="shared" si="174"/>
        <v>15000</v>
      </c>
      <c r="I3625" s="5">
        <f t="shared" si="175"/>
        <v>25000</v>
      </c>
      <c r="J3625" s="5">
        <f t="shared" si="176"/>
        <v>10000</v>
      </c>
      <c r="K3625" s="5" t="str">
        <f>VLOOKUP(C3625,[1]master_data!$A$2:$E$495,5,FALSE)</f>
        <v>Aksesoris</v>
      </c>
      <c r="L3625" s="5" t="s">
        <v>471</v>
      </c>
    </row>
    <row r="3626" spans="1:12" ht="12" customHeight="1" x14ac:dyDescent="0.25">
      <c r="A3626" s="6">
        <v>44611</v>
      </c>
      <c r="B3626" s="1">
        <v>2200937</v>
      </c>
      <c r="C3626" s="5" t="s">
        <v>313</v>
      </c>
      <c r="D3626" s="5" t="str">
        <f>VLOOKUP(C3626,[1]master_data!$A$2:$E$495,2,FALSE)</f>
        <v>LURUS PIPA</v>
      </c>
      <c r="E3626" s="5">
        <v>20</v>
      </c>
      <c r="F3626" s="5">
        <f>VLOOKUP(C3626,[1]master_data!$A$2:$E$495,3,FALSE)</f>
        <v>800</v>
      </c>
      <c r="G3626" s="5">
        <f>VLOOKUP(C3626,[1]master_data!$A$2:$E$495,4,FALSE)</f>
        <v>2000</v>
      </c>
      <c r="H3626" s="5">
        <f t="shared" si="174"/>
        <v>16000</v>
      </c>
      <c r="I3626" s="5">
        <f t="shared" si="175"/>
        <v>40000</v>
      </c>
      <c r="J3626" s="5">
        <f t="shared" si="176"/>
        <v>24000</v>
      </c>
      <c r="K3626" s="5" t="str">
        <f>VLOOKUP(C3626,[1]master_data!$A$2:$E$495,5,FALSE)</f>
        <v>Aksesoris</v>
      </c>
      <c r="L3626" s="5" t="s">
        <v>471</v>
      </c>
    </row>
    <row r="3627" spans="1:12" ht="12" customHeight="1" x14ac:dyDescent="0.25">
      <c r="A3627" s="6">
        <v>44611</v>
      </c>
      <c r="B3627" s="1">
        <v>2200936</v>
      </c>
      <c r="C3627" s="5" t="s">
        <v>420</v>
      </c>
      <c r="D3627" s="5" t="str">
        <f>VLOOKUP(C3627,[1]master_data!$A$2:$E$495,2,FALSE)</f>
        <v>KAVIAT</v>
      </c>
      <c r="E3627" s="5">
        <v>10</v>
      </c>
      <c r="F3627" s="5">
        <f>VLOOKUP(C3627,[1]master_data!$A$2:$E$495,3,FALSE)</f>
        <v>3500</v>
      </c>
      <c r="G3627" s="5">
        <f>VLOOKUP(C3627,[1]master_data!$A$2:$E$495,4,FALSE)</f>
        <v>8000</v>
      </c>
      <c r="H3627" s="5">
        <f t="shared" si="174"/>
        <v>35000</v>
      </c>
      <c r="I3627" s="5">
        <f t="shared" si="175"/>
        <v>80000</v>
      </c>
      <c r="J3627" s="5">
        <f t="shared" si="176"/>
        <v>45000</v>
      </c>
      <c r="K3627" s="5" t="str">
        <f>VLOOKUP(C3627,[1]master_data!$A$2:$E$495,5,FALSE)</f>
        <v>Ikan</v>
      </c>
      <c r="L3627" s="5" t="s">
        <v>471</v>
      </c>
    </row>
    <row r="3628" spans="1:12" ht="12" customHeight="1" x14ac:dyDescent="0.25">
      <c r="A3628" s="6">
        <v>44611</v>
      </c>
      <c r="B3628" s="1">
        <v>2200935</v>
      </c>
      <c r="C3628" s="5" t="s">
        <v>333</v>
      </c>
      <c r="D3628" s="5" t="str">
        <f>VLOOKUP(C3628,[1]master_data!$A$2:$E$495,2,FALSE)</f>
        <v>KAPAS 2 LAPIS</v>
      </c>
      <c r="E3628" s="5">
        <v>1</v>
      </c>
      <c r="F3628" s="5">
        <f>VLOOKUP(C3628,[1]master_data!$A$2:$E$495,3,FALSE)</f>
        <v>2000</v>
      </c>
      <c r="G3628" s="5">
        <f>VLOOKUP(C3628,[1]master_data!$A$2:$E$495,4,FALSE)</f>
        <v>4000</v>
      </c>
      <c r="H3628" s="5">
        <f t="shared" si="174"/>
        <v>2000</v>
      </c>
      <c r="I3628" s="5">
        <f t="shared" si="175"/>
        <v>4000</v>
      </c>
      <c r="J3628" s="5">
        <f t="shared" si="176"/>
        <v>2000</v>
      </c>
      <c r="K3628" s="5" t="str">
        <f>VLOOKUP(C3628,[1]master_data!$A$2:$E$495,5,FALSE)</f>
        <v>Aksesoris</v>
      </c>
      <c r="L3628" s="5" t="s">
        <v>471</v>
      </c>
    </row>
    <row r="3629" spans="1:12" ht="12" customHeight="1" x14ac:dyDescent="0.25">
      <c r="A3629" s="6">
        <v>44611</v>
      </c>
      <c r="B3629" s="1">
        <v>2200934</v>
      </c>
      <c r="C3629" s="5" t="s">
        <v>418</v>
      </c>
      <c r="D3629" s="5" t="str">
        <f>VLOOKUP(C3629,[1]master_data!$A$2:$E$495,2,FALSE)</f>
        <v>KOI B</v>
      </c>
      <c r="E3629" s="5">
        <v>5</v>
      </c>
      <c r="F3629" s="5">
        <f>VLOOKUP(C3629,[1]master_data!$A$2:$E$495,3,FALSE)</f>
        <v>9000</v>
      </c>
      <c r="G3629" s="5">
        <f>VLOOKUP(C3629,[1]master_data!$A$2:$E$495,4,FALSE)</f>
        <v>30000</v>
      </c>
      <c r="H3629" s="5">
        <f t="shared" si="174"/>
        <v>45000</v>
      </c>
      <c r="I3629" s="5">
        <f t="shared" si="175"/>
        <v>150000</v>
      </c>
      <c r="J3629" s="5">
        <f t="shared" si="176"/>
        <v>105000</v>
      </c>
      <c r="K3629" s="5" t="str">
        <f>VLOOKUP(C3629,[1]master_data!$A$2:$E$495,5,FALSE)</f>
        <v>Ikan</v>
      </c>
      <c r="L3629" s="5" t="s">
        <v>471</v>
      </c>
    </row>
    <row r="3630" spans="1:12" ht="12" customHeight="1" x14ac:dyDescent="0.25">
      <c r="A3630" s="6">
        <v>44611</v>
      </c>
      <c r="B3630" s="1">
        <v>2200933</v>
      </c>
      <c r="C3630" s="5" t="s">
        <v>430</v>
      </c>
      <c r="D3630" s="5" t="str">
        <f>VLOOKUP(C3630,[1]master_data!$A$2:$E$495,2,FALSE)</f>
        <v>MANFISH K</v>
      </c>
      <c r="E3630" s="5">
        <v>4</v>
      </c>
      <c r="F3630" s="5">
        <f>VLOOKUP(C3630,[1]master_data!$A$2:$E$495,3,FALSE)</f>
        <v>2000</v>
      </c>
      <c r="G3630" s="5">
        <f>VLOOKUP(C3630,[1]master_data!$A$2:$E$495,4,FALSE)</f>
        <v>5000</v>
      </c>
      <c r="H3630" s="5">
        <f t="shared" si="174"/>
        <v>8000</v>
      </c>
      <c r="I3630" s="5">
        <f t="shared" si="175"/>
        <v>20000</v>
      </c>
      <c r="J3630" s="5">
        <f t="shared" si="176"/>
        <v>12000</v>
      </c>
      <c r="K3630" s="5" t="str">
        <f>VLOOKUP(C3630,[1]master_data!$A$2:$E$495,5,FALSE)</f>
        <v>Ikan</v>
      </c>
      <c r="L3630" s="5" t="s">
        <v>471</v>
      </c>
    </row>
    <row r="3631" spans="1:12" ht="12" customHeight="1" x14ac:dyDescent="0.25">
      <c r="A3631" s="6">
        <v>44611</v>
      </c>
      <c r="B3631" s="1">
        <v>2200932</v>
      </c>
      <c r="C3631" s="5" t="s">
        <v>455</v>
      </c>
      <c r="D3631" s="5" t="str">
        <f>VLOOKUP(C3631,[1]master_data!$A$2:$E$495,2,FALSE)</f>
        <v>TETRA</v>
      </c>
      <c r="E3631" s="5">
        <v>10</v>
      </c>
      <c r="F3631" s="5">
        <f>VLOOKUP(C3631,[1]master_data!$A$2:$E$495,3,FALSE)</f>
        <v>800</v>
      </c>
      <c r="G3631" s="5">
        <f>VLOOKUP(C3631,[1]master_data!$A$2:$E$495,4,FALSE)</f>
        <v>2000</v>
      </c>
      <c r="H3631" s="5">
        <f t="shared" si="174"/>
        <v>8000</v>
      </c>
      <c r="I3631" s="5">
        <f t="shared" si="175"/>
        <v>20000</v>
      </c>
      <c r="J3631" s="5">
        <f t="shared" si="176"/>
        <v>12000</v>
      </c>
      <c r="K3631" s="5" t="str">
        <f>VLOOKUP(C3631,[1]master_data!$A$2:$E$495,5,FALSE)</f>
        <v>Ikan</v>
      </c>
      <c r="L3631" s="5" t="s">
        <v>471</v>
      </c>
    </row>
    <row r="3632" spans="1:12" ht="12" customHeight="1" x14ac:dyDescent="0.25">
      <c r="A3632" s="6">
        <v>44611</v>
      </c>
      <c r="B3632" s="1">
        <v>2200931</v>
      </c>
      <c r="C3632" s="5" t="s">
        <v>402</v>
      </c>
      <c r="D3632" s="5" t="str">
        <f>VLOOKUP(C3632,[1]master_data!$A$2:$E$495,2,FALSE)</f>
        <v>BLACK GHOST</v>
      </c>
      <c r="E3632" s="5">
        <v>1</v>
      </c>
      <c r="F3632" s="5">
        <f>VLOOKUP(C3632,[1]master_data!$A$2:$E$495,3,FALSE)</f>
        <v>4000</v>
      </c>
      <c r="G3632" s="5">
        <f>VLOOKUP(C3632,[1]master_data!$A$2:$E$495,4,FALSE)</f>
        <v>10000</v>
      </c>
      <c r="H3632" s="5">
        <f t="shared" si="174"/>
        <v>4000</v>
      </c>
      <c r="I3632" s="5">
        <f t="shared" si="175"/>
        <v>10000</v>
      </c>
      <c r="J3632" s="5">
        <f t="shared" si="176"/>
        <v>6000</v>
      </c>
      <c r="K3632" s="5" t="str">
        <f>VLOOKUP(C3632,[1]master_data!$A$2:$E$495,5,FALSE)</f>
        <v>Ikan</v>
      </c>
      <c r="L3632" s="5" t="s">
        <v>471</v>
      </c>
    </row>
    <row r="3633" spans="1:12" ht="12" customHeight="1" x14ac:dyDescent="0.25">
      <c r="A3633" s="6">
        <v>44611</v>
      </c>
      <c r="B3633" s="1">
        <v>2200930</v>
      </c>
      <c r="C3633" s="5" t="s">
        <v>255</v>
      </c>
      <c r="D3633" s="5" t="str">
        <f>VLOOKUP(C3633,[1]master_data!$A$2:$E$495,2,FALSE)</f>
        <v>ACRIPLAVIN</v>
      </c>
      <c r="E3633" s="5">
        <v>1</v>
      </c>
      <c r="F3633" s="5">
        <f>VLOOKUP(C3633,[1]master_data!$A$2:$E$495,3,FALSE)</f>
        <v>3000</v>
      </c>
      <c r="G3633" s="5">
        <f>VLOOKUP(C3633,[1]master_data!$A$2:$E$495,4,FALSE)</f>
        <v>8000</v>
      </c>
      <c r="H3633" s="5">
        <f t="shared" si="174"/>
        <v>3000</v>
      </c>
      <c r="I3633" s="5">
        <f t="shared" si="175"/>
        <v>8000</v>
      </c>
      <c r="J3633" s="5">
        <f t="shared" si="176"/>
        <v>5000</v>
      </c>
      <c r="K3633" s="5" t="str">
        <f>VLOOKUP(C3633,[1]master_data!$A$2:$E$495,5,FALSE)</f>
        <v>Aksesoris</v>
      </c>
      <c r="L3633" s="5" t="s">
        <v>471</v>
      </c>
    </row>
    <row r="3634" spans="1:12" ht="12" customHeight="1" x14ac:dyDescent="0.25">
      <c r="A3634" s="6">
        <v>44611</v>
      </c>
      <c r="B3634" s="1">
        <v>2200929</v>
      </c>
      <c r="C3634" s="5" t="s">
        <v>440</v>
      </c>
      <c r="D3634" s="5" t="str">
        <f>VLOOKUP(C3634,[1]master_data!$A$2:$E$495,2,FALSE)</f>
        <v>OSCAR</v>
      </c>
      <c r="E3634" s="5">
        <v>2</v>
      </c>
      <c r="F3634" s="5">
        <f>VLOOKUP(C3634,[1]master_data!$A$2:$E$495,3,FALSE)</f>
        <v>25000</v>
      </c>
      <c r="G3634" s="5">
        <f>VLOOKUP(C3634,[1]master_data!$A$2:$E$495,4,FALSE)</f>
        <v>50000</v>
      </c>
      <c r="H3634" s="5">
        <f t="shared" si="174"/>
        <v>50000</v>
      </c>
      <c r="I3634" s="5">
        <f t="shared" si="175"/>
        <v>100000</v>
      </c>
      <c r="J3634" s="5">
        <f t="shared" si="176"/>
        <v>50000</v>
      </c>
      <c r="K3634" s="5" t="str">
        <f>VLOOKUP(C3634,[1]master_data!$A$2:$E$495,5,FALSE)</f>
        <v>Ikan</v>
      </c>
      <c r="L3634" s="5" t="s">
        <v>471</v>
      </c>
    </row>
    <row r="3635" spans="1:12" ht="12" customHeight="1" x14ac:dyDescent="0.25">
      <c r="A3635" s="6">
        <v>44610</v>
      </c>
      <c r="B3635" s="1">
        <v>2200928</v>
      </c>
      <c r="C3635" s="5" t="s">
        <v>122</v>
      </c>
      <c r="D3635" s="5" t="str">
        <f>VLOOKUP(C3635,[1]master_data!$A$2:$E$495,2,FALSE)</f>
        <v>LED ROSTON 60 CM</v>
      </c>
      <c r="E3635" s="5">
        <v>1</v>
      </c>
      <c r="F3635" s="5">
        <f>VLOOKUP(C3635,[1]master_data!$A$2:$E$495,3,FALSE)</f>
        <v>28000</v>
      </c>
      <c r="G3635" s="5">
        <f>VLOOKUP(C3635,[1]master_data!$A$2:$E$495,4,FALSE)</f>
        <v>60000</v>
      </c>
      <c r="H3635" s="5">
        <f t="shared" si="174"/>
        <v>28000</v>
      </c>
      <c r="I3635" s="5">
        <f t="shared" si="175"/>
        <v>60000</v>
      </c>
      <c r="J3635" s="5">
        <f t="shared" si="176"/>
        <v>32000</v>
      </c>
      <c r="K3635" s="5" t="str">
        <f>VLOOKUP(C3635,[1]master_data!$A$2:$E$495,5,FALSE)</f>
        <v>Aksesoris</v>
      </c>
      <c r="L3635" s="5" t="s">
        <v>471</v>
      </c>
    </row>
    <row r="3636" spans="1:12" ht="12" customHeight="1" x14ac:dyDescent="0.25">
      <c r="A3636" s="6">
        <v>44610</v>
      </c>
      <c r="B3636" s="1">
        <v>2200927</v>
      </c>
      <c r="C3636" s="5" t="s">
        <v>457</v>
      </c>
      <c r="D3636" s="5" t="str">
        <f>VLOOKUP(C3636,[1]master_data!$A$2:$E$495,2,FALSE)</f>
        <v>ZEBRA PINK</v>
      </c>
      <c r="E3636" s="5">
        <v>5</v>
      </c>
      <c r="F3636" s="5">
        <f>VLOOKUP(C3636,[1]master_data!$A$2:$E$495,3,FALSE)</f>
        <v>800</v>
      </c>
      <c r="G3636" s="5">
        <f>VLOOKUP(C3636,[1]master_data!$A$2:$E$495,4,FALSE)</f>
        <v>2000</v>
      </c>
      <c r="H3636" s="5">
        <f t="shared" si="174"/>
        <v>4000</v>
      </c>
      <c r="I3636" s="5">
        <f t="shared" si="175"/>
        <v>10000</v>
      </c>
      <c r="J3636" s="5">
        <f t="shared" si="176"/>
        <v>6000</v>
      </c>
      <c r="K3636" s="5" t="str">
        <f>VLOOKUP(C3636,[1]master_data!$A$2:$E$495,5,FALSE)</f>
        <v>Ikan</v>
      </c>
      <c r="L3636" s="5" t="s">
        <v>471</v>
      </c>
    </row>
    <row r="3637" spans="1:12" ht="12" customHeight="1" x14ac:dyDescent="0.25">
      <c r="A3637" s="6">
        <v>44610</v>
      </c>
      <c r="B3637" s="1">
        <v>2200926</v>
      </c>
      <c r="C3637" s="5" t="s">
        <v>446</v>
      </c>
      <c r="D3637" s="5" t="str">
        <f>VLOOKUP(C3637,[1]master_data!$A$2:$E$495,2,FALSE)</f>
        <v>REDFIN HITAM</v>
      </c>
      <c r="E3637" s="5">
        <v>4</v>
      </c>
      <c r="F3637" s="5">
        <f>VLOOKUP(C3637,[1]master_data!$A$2:$E$495,3,FALSE)</f>
        <v>1500</v>
      </c>
      <c r="G3637" s="5">
        <f>VLOOKUP(C3637,[1]master_data!$A$2:$E$495,4,FALSE)</f>
        <v>4000</v>
      </c>
      <c r="H3637" s="5">
        <f t="shared" si="174"/>
        <v>6000</v>
      </c>
      <c r="I3637" s="5">
        <f t="shared" si="175"/>
        <v>16000</v>
      </c>
      <c r="J3637" s="5">
        <f t="shared" si="176"/>
        <v>10000</v>
      </c>
      <c r="K3637" s="5" t="str">
        <f>VLOOKUP(C3637,[1]master_data!$A$2:$E$495,5,FALSE)</f>
        <v>Ikan</v>
      </c>
      <c r="L3637" s="5" t="s">
        <v>471</v>
      </c>
    </row>
    <row r="3638" spans="1:12" ht="12" customHeight="1" x14ac:dyDescent="0.25">
      <c r="A3638" s="6">
        <v>44610</v>
      </c>
      <c r="B3638" s="1">
        <v>2200925</v>
      </c>
      <c r="C3638" s="5" t="s">
        <v>383</v>
      </c>
      <c r="D3638" s="5" t="str">
        <f>VLOOKUP(C3638,[1]master_data!$A$2:$E$495,2,FALSE)</f>
        <v>BATU GOMBONG K</v>
      </c>
      <c r="E3638" s="5">
        <v>1</v>
      </c>
      <c r="F3638" s="5">
        <f>VLOOKUP(C3638,[1]master_data!$A$2:$E$495,3,FALSE)</f>
        <v>20000</v>
      </c>
      <c r="G3638" s="5">
        <f>VLOOKUP(C3638,[1]master_data!$A$2:$E$495,4,FALSE)</f>
        <v>40000</v>
      </c>
      <c r="H3638" s="5">
        <f t="shared" si="174"/>
        <v>20000</v>
      </c>
      <c r="I3638" s="5">
        <f t="shared" si="175"/>
        <v>40000</v>
      </c>
      <c r="J3638" s="5">
        <f t="shared" si="176"/>
        <v>20000</v>
      </c>
      <c r="K3638" s="5" t="str">
        <f>VLOOKUP(C3638,[1]master_data!$A$2:$E$495,5,FALSE)</f>
        <v>Aksesoris</v>
      </c>
      <c r="L3638" s="5" t="s">
        <v>471</v>
      </c>
    </row>
    <row r="3639" spans="1:12" ht="12" customHeight="1" x14ac:dyDescent="0.25">
      <c r="A3639" s="6">
        <v>44610</v>
      </c>
      <c r="B3639" s="1">
        <v>2200924</v>
      </c>
      <c r="C3639" s="5" t="s">
        <v>311</v>
      </c>
      <c r="D3639" s="5" t="str">
        <f>VLOOKUP(C3639,[1]master_data!$A$2:$E$495,2,FALSE)</f>
        <v>L PIPA</v>
      </c>
      <c r="E3639" s="5">
        <v>3</v>
      </c>
      <c r="F3639" s="5">
        <f>VLOOKUP(C3639,[1]master_data!$A$2:$E$495,3,FALSE)</f>
        <v>800</v>
      </c>
      <c r="G3639" s="5">
        <f>VLOOKUP(C3639,[1]master_data!$A$2:$E$495,4,FALSE)</f>
        <v>2000</v>
      </c>
      <c r="H3639" s="5">
        <f t="shared" si="174"/>
        <v>2400</v>
      </c>
      <c r="I3639" s="5">
        <f t="shared" si="175"/>
        <v>6000</v>
      </c>
      <c r="J3639" s="5">
        <f t="shared" si="176"/>
        <v>3600</v>
      </c>
      <c r="K3639" s="5" t="str">
        <f>VLOOKUP(C3639,[1]master_data!$A$2:$E$495,5,FALSE)</f>
        <v>Aksesoris</v>
      </c>
      <c r="L3639" s="5" t="s">
        <v>471</v>
      </c>
    </row>
    <row r="3640" spans="1:12" ht="12" customHeight="1" x14ac:dyDescent="0.25">
      <c r="A3640" s="6">
        <v>44610</v>
      </c>
      <c r="B3640" s="1">
        <v>2200923</v>
      </c>
      <c r="C3640" s="5" t="s">
        <v>405</v>
      </c>
      <c r="D3640" s="5" t="str">
        <f>VLOOKUP(C3640,[1]master_data!$A$2:$E$495,2,FALSE)</f>
        <v>KOMET BOKIM</v>
      </c>
      <c r="E3640" s="5">
        <v>10</v>
      </c>
      <c r="F3640" s="5">
        <f>VLOOKUP(C3640,[1]master_data!$A$2:$E$495,3,FALSE)</f>
        <v>1500</v>
      </c>
      <c r="G3640" s="5">
        <f>VLOOKUP(C3640,[1]master_data!$A$2:$E$495,4,FALSE)</f>
        <v>5000</v>
      </c>
      <c r="H3640" s="5">
        <f t="shared" si="174"/>
        <v>15000</v>
      </c>
      <c r="I3640" s="5">
        <f t="shared" si="175"/>
        <v>50000</v>
      </c>
      <c r="J3640" s="5">
        <f t="shared" si="176"/>
        <v>35000</v>
      </c>
      <c r="K3640" s="5" t="str">
        <f>VLOOKUP(C3640,[1]master_data!$A$2:$E$495,5,FALSE)</f>
        <v>Ikan</v>
      </c>
      <c r="L3640" s="5" t="s">
        <v>471</v>
      </c>
    </row>
    <row r="3641" spans="1:12" ht="12" customHeight="1" x14ac:dyDescent="0.25">
      <c r="A3641" s="6">
        <v>44610</v>
      </c>
      <c r="B3641" s="1">
        <v>2200922</v>
      </c>
      <c r="C3641" s="5" t="s">
        <v>115</v>
      </c>
      <c r="D3641" s="5" t="str">
        <f>VLOOKUP(C3641,[1]master_data!$A$2:$E$495,2,FALSE)</f>
        <v>LED ROSTON 30 CM</v>
      </c>
      <c r="E3641" s="5">
        <v>1</v>
      </c>
      <c r="F3641" s="5">
        <f>VLOOKUP(C3641,[1]master_data!$A$2:$E$495,3,FALSE)</f>
        <v>21000</v>
      </c>
      <c r="G3641" s="5">
        <f>VLOOKUP(C3641,[1]master_data!$A$2:$E$495,4,FALSE)</f>
        <v>35000</v>
      </c>
      <c r="H3641" s="5">
        <f t="shared" si="174"/>
        <v>21000</v>
      </c>
      <c r="I3641" s="5">
        <f t="shared" si="175"/>
        <v>35000</v>
      </c>
      <c r="J3641" s="5">
        <f t="shared" si="176"/>
        <v>14000</v>
      </c>
      <c r="K3641" s="5" t="str">
        <f>VLOOKUP(C3641,[1]master_data!$A$2:$E$495,5,FALSE)</f>
        <v>Aksesoris</v>
      </c>
      <c r="L3641" s="5" t="s">
        <v>471</v>
      </c>
    </row>
    <row r="3642" spans="1:12" ht="12" customHeight="1" x14ac:dyDescent="0.25">
      <c r="A3642" s="6">
        <v>44610</v>
      </c>
      <c r="B3642" s="1">
        <v>2200921</v>
      </c>
      <c r="C3642" s="5" t="s">
        <v>333</v>
      </c>
      <c r="D3642" s="5" t="str">
        <f>VLOOKUP(C3642,[1]master_data!$A$2:$E$495,2,FALSE)</f>
        <v>KAPAS 2 LAPIS</v>
      </c>
      <c r="E3642" s="5">
        <v>2</v>
      </c>
      <c r="F3642" s="5">
        <f>VLOOKUP(C3642,[1]master_data!$A$2:$E$495,3,FALSE)</f>
        <v>2000</v>
      </c>
      <c r="G3642" s="5">
        <f>VLOOKUP(C3642,[1]master_data!$A$2:$E$495,4,FALSE)</f>
        <v>4000</v>
      </c>
      <c r="H3642" s="5">
        <f t="shared" si="174"/>
        <v>4000</v>
      </c>
      <c r="I3642" s="5">
        <f t="shared" si="175"/>
        <v>8000</v>
      </c>
      <c r="J3642" s="5">
        <f t="shared" si="176"/>
        <v>4000</v>
      </c>
      <c r="K3642" s="5" t="str">
        <f>VLOOKUP(C3642,[1]master_data!$A$2:$E$495,5,FALSE)</f>
        <v>Aksesoris</v>
      </c>
      <c r="L3642" s="5" t="s">
        <v>471</v>
      </c>
    </row>
    <row r="3643" spans="1:12" ht="12" customHeight="1" x14ac:dyDescent="0.25">
      <c r="A3643" s="6">
        <v>44610</v>
      </c>
      <c r="B3643" s="1">
        <v>2200920</v>
      </c>
      <c r="C3643" s="5" t="s">
        <v>7</v>
      </c>
      <c r="D3643" s="5" t="str">
        <f>VLOOKUP(C3643,[1]master_data!$A$2:$E$495,2,FALSE)</f>
        <v>MESIN YANG 1600</v>
      </c>
      <c r="E3643" s="5">
        <v>1</v>
      </c>
      <c r="F3643" s="5">
        <f>VLOOKUP(C3643,[1]master_data!$A$2:$E$495,3,FALSE)</f>
        <v>64000</v>
      </c>
      <c r="G3643" s="5">
        <f>VLOOKUP(C3643,[1]master_data!$A$2:$E$495,4,FALSE)</f>
        <v>90000</v>
      </c>
      <c r="H3643" s="5">
        <f t="shared" si="174"/>
        <v>64000</v>
      </c>
      <c r="I3643" s="5">
        <f t="shared" si="175"/>
        <v>90000</v>
      </c>
      <c r="J3643" s="5">
        <f t="shared" si="176"/>
        <v>26000</v>
      </c>
      <c r="K3643" s="5" t="str">
        <f>VLOOKUP(C3643,[1]master_data!$A$2:$E$495,5,FALSE)</f>
        <v>Aksesoris</v>
      </c>
      <c r="L3643" s="5" t="s">
        <v>471</v>
      </c>
    </row>
    <row r="3644" spans="1:12" ht="12" customHeight="1" x14ac:dyDescent="0.25">
      <c r="A3644" s="6">
        <v>44610</v>
      </c>
      <c r="B3644" s="1">
        <v>2200919</v>
      </c>
      <c r="C3644" s="5" t="s">
        <v>129</v>
      </c>
      <c r="D3644" s="5" t="str">
        <f>VLOOKUP(C3644,[1]master_data!$A$2:$E$495,2,FALSE)</f>
        <v>LED YAMANO S400</v>
      </c>
      <c r="E3644" s="5">
        <v>1</v>
      </c>
      <c r="F3644" s="5">
        <f>VLOOKUP(C3644,[1]master_data!$A$2:$E$495,3,FALSE)</f>
        <v>50000</v>
      </c>
      <c r="G3644" s="5">
        <f>VLOOKUP(C3644,[1]master_data!$A$2:$E$495,4,FALSE)</f>
        <v>75000</v>
      </c>
      <c r="H3644" s="5">
        <f t="shared" si="174"/>
        <v>50000</v>
      </c>
      <c r="I3644" s="5">
        <f t="shared" si="175"/>
        <v>75000</v>
      </c>
      <c r="J3644" s="5">
        <f t="shared" si="176"/>
        <v>25000</v>
      </c>
      <c r="K3644" s="5" t="str">
        <f>VLOOKUP(C3644,[1]master_data!$A$2:$E$495,5,FALSE)</f>
        <v>Aksesoris</v>
      </c>
      <c r="L3644" s="5" t="s">
        <v>471</v>
      </c>
    </row>
    <row r="3645" spans="1:12" ht="12" customHeight="1" x14ac:dyDescent="0.25">
      <c r="A3645" s="6">
        <v>44610</v>
      </c>
      <c r="B3645" s="1">
        <v>2200918</v>
      </c>
      <c r="C3645" s="5" t="s">
        <v>435</v>
      </c>
      <c r="D3645" s="5" t="str">
        <f>VLOOKUP(C3645,[1]master_data!$A$2:$E$495,2,FALSE)</f>
        <v>MOLI BALON</v>
      </c>
      <c r="E3645" s="5">
        <v>10</v>
      </c>
      <c r="F3645" s="5">
        <f>VLOOKUP(C3645,[1]master_data!$A$2:$E$495,3,FALSE)</f>
        <v>800</v>
      </c>
      <c r="G3645" s="5">
        <f>VLOOKUP(C3645,[1]master_data!$A$2:$E$495,4,FALSE)</f>
        <v>2000</v>
      </c>
      <c r="H3645" s="5">
        <f t="shared" si="174"/>
        <v>8000</v>
      </c>
      <c r="I3645" s="5">
        <f t="shared" si="175"/>
        <v>20000</v>
      </c>
      <c r="J3645" s="5">
        <f t="shared" si="176"/>
        <v>12000</v>
      </c>
      <c r="K3645" s="5" t="str">
        <f>VLOOKUP(C3645,[1]master_data!$A$2:$E$495,5,FALSE)</f>
        <v>Ikan</v>
      </c>
      <c r="L3645" s="5" t="s">
        <v>471</v>
      </c>
    </row>
    <row r="3646" spans="1:12" ht="12" customHeight="1" x14ac:dyDescent="0.25">
      <c r="A3646" s="6">
        <v>44610</v>
      </c>
      <c r="B3646" s="1">
        <v>2200917</v>
      </c>
      <c r="C3646" s="5" t="s">
        <v>269</v>
      </c>
      <c r="D3646" s="5" t="str">
        <f>VLOOKUP(C3646,[1]master_data!$A$2:$E$495,2,FALSE)</f>
        <v>HEATER KACA 50 W</v>
      </c>
      <c r="E3646" s="5">
        <v>1</v>
      </c>
      <c r="F3646" s="5">
        <f>VLOOKUP(C3646,[1]master_data!$A$2:$E$495,3,FALSE)</f>
        <v>33000</v>
      </c>
      <c r="G3646" s="5">
        <f>VLOOKUP(C3646,[1]master_data!$A$2:$E$495,4,FALSE)</f>
        <v>50000</v>
      </c>
      <c r="H3646" s="5">
        <f t="shared" si="174"/>
        <v>33000</v>
      </c>
      <c r="I3646" s="5">
        <f t="shared" si="175"/>
        <v>50000</v>
      </c>
      <c r="J3646" s="5">
        <f t="shared" si="176"/>
        <v>17000</v>
      </c>
      <c r="K3646" s="5" t="str">
        <f>VLOOKUP(C3646,[1]master_data!$A$2:$E$495,5,FALSE)</f>
        <v>Aksesoris</v>
      </c>
      <c r="L3646" s="5" t="s">
        <v>471</v>
      </c>
    </row>
    <row r="3647" spans="1:12" ht="12" customHeight="1" x14ac:dyDescent="0.25">
      <c r="A3647" s="6">
        <v>44610</v>
      </c>
      <c r="B3647" s="1">
        <v>2200916</v>
      </c>
      <c r="C3647" s="5" t="s">
        <v>208</v>
      </c>
      <c r="D3647" s="5" t="str">
        <f>VLOOKUP(C3647,[1]master_data!$A$2:$E$495,2,FALSE)</f>
        <v>TOP VIT</v>
      </c>
      <c r="E3647" s="5">
        <v>2</v>
      </c>
      <c r="F3647" s="5">
        <f>VLOOKUP(C3647,[1]master_data!$A$2:$E$495,3,FALSE)</f>
        <v>4000</v>
      </c>
      <c r="G3647" s="5">
        <f>VLOOKUP(C3647,[1]master_data!$A$2:$E$495,4,FALSE)</f>
        <v>7000</v>
      </c>
      <c r="H3647" s="5">
        <f t="shared" si="174"/>
        <v>8000</v>
      </c>
      <c r="I3647" s="5">
        <f t="shared" si="175"/>
        <v>14000</v>
      </c>
      <c r="J3647" s="5">
        <f t="shared" si="176"/>
        <v>6000</v>
      </c>
      <c r="K3647" s="5" t="str">
        <f>VLOOKUP(C3647,[1]master_data!$A$2:$E$495,5,FALSE)</f>
        <v>Aksesoris</v>
      </c>
      <c r="L3647" s="5" t="s">
        <v>471</v>
      </c>
    </row>
    <row r="3648" spans="1:12" ht="12" customHeight="1" x14ac:dyDescent="0.25">
      <c r="A3648" s="6">
        <v>44610</v>
      </c>
      <c r="B3648" s="1">
        <v>2200915</v>
      </c>
      <c r="C3648" s="5" t="s">
        <v>446</v>
      </c>
      <c r="D3648" s="5" t="str">
        <f>VLOOKUP(C3648,[1]master_data!$A$2:$E$495,2,FALSE)</f>
        <v>REDFIN HITAM</v>
      </c>
      <c r="E3648" s="5">
        <v>5</v>
      </c>
      <c r="F3648" s="5">
        <f>VLOOKUP(C3648,[1]master_data!$A$2:$E$495,3,FALSE)</f>
        <v>1500</v>
      </c>
      <c r="G3648" s="5">
        <f>VLOOKUP(C3648,[1]master_data!$A$2:$E$495,4,FALSE)</f>
        <v>4000</v>
      </c>
      <c r="H3648" s="5">
        <f t="shared" si="174"/>
        <v>7500</v>
      </c>
      <c r="I3648" s="5">
        <f t="shared" si="175"/>
        <v>20000</v>
      </c>
      <c r="J3648" s="5">
        <f t="shared" si="176"/>
        <v>12500</v>
      </c>
      <c r="K3648" s="5" t="str">
        <f>VLOOKUP(C3648,[1]master_data!$A$2:$E$495,5,FALSE)</f>
        <v>Ikan</v>
      </c>
      <c r="L3648" s="5" t="s">
        <v>471</v>
      </c>
    </row>
    <row r="3649" spans="1:12" ht="12" customHeight="1" x14ac:dyDescent="0.25">
      <c r="A3649" s="6">
        <v>44610</v>
      </c>
      <c r="B3649" s="1">
        <v>2200914</v>
      </c>
      <c r="C3649" s="5" t="s">
        <v>263</v>
      </c>
      <c r="D3649" s="5" t="str">
        <f>VLOOKUP(C3649,[1]master_data!$A$2:$E$495,2,FALSE)</f>
        <v>COP SEKAT KACA</v>
      </c>
      <c r="E3649" s="5">
        <v>3</v>
      </c>
      <c r="F3649" s="5">
        <f>VLOOKUP(C3649,[1]master_data!$A$2:$E$495,3,FALSE)</f>
        <v>800</v>
      </c>
      <c r="G3649" s="5">
        <f>VLOOKUP(C3649,[1]master_data!$A$2:$E$495,4,FALSE)</f>
        <v>2000</v>
      </c>
      <c r="H3649" s="5">
        <f t="shared" si="174"/>
        <v>2400</v>
      </c>
      <c r="I3649" s="5">
        <f t="shared" si="175"/>
        <v>6000</v>
      </c>
      <c r="J3649" s="5">
        <f t="shared" si="176"/>
        <v>3600</v>
      </c>
      <c r="K3649" s="5" t="str">
        <f>VLOOKUP(C3649,[1]master_data!$A$2:$E$495,5,FALSE)</f>
        <v>Aksesoris</v>
      </c>
      <c r="L3649" s="5" t="s">
        <v>471</v>
      </c>
    </row>
    <row r="3650" spans="1:12" ht="12" customHeight="1" x14ac:dyDescent="0.25">
      <c r="A3650" s="6">
        <v>44610</v>
      </c>
      <c r="B3650" s="1">
        <v>2200913</v>
      </c>
      <c r="C3650" s="5" t="s">
        <v>432</v>
      </c>
      <c r="D3650" s="5" t="str">
        <f>VLOOKUP(C3650,[1]master_data!$A$2:$E$495,2,FALSE)</f>
        <v>MARU K</v>
      </c>
      <c r="E3650" s="5">
        <v>1</v>
      </c>
      <c r="F3650" s="5">
        <f>VLOOKUP(C3650,[1]master_data!$A$2:$E$495,3,FALSE)</f>
        <v>23000</v>
      </c>
      <c r="G3650" s="5">
        <f>VLOOKUP(C3650,[1]master_data!$A$2:$E$495,4,FALSE)</f>
        <v>50000</v>
      </c>
      <c r="H3650" s="5">
        <f t="shared" si="174"/>
        <v>23000</v>
      </c>
      <c r="I3650" s="5">
        <f t="shared" si="175"/>
        <v>50000</v>
      </c>
      <c r="J3650" s="5">
        <f t="shared" si="176"/>
        <v>27000</v>
      </c>
      <c r="K3650" s="5" t="str">
        <f>VLOOKUP(C3650,[1]master_data!$A$2:$E$495,5,FALSE)</f>
        <v>Ikan</v>
      </c>
      <c r="L3650" s="5" t="s">
        <v>471</v>
      </c>
    </row>
    <row r="3651" spans="1:12" ht="12" customHeight="1" x14ac:dyDescent="0.25">
      <c r="A3651" s="6">
        <v>44610</v>
      </c>
      <c r="B3651" s="1">
        <v>2200912</v>
      </c>
      <c r="C3651" s="5" t="s">
        <v>463</v>
      </c>
      <c r="D3651" s="5" t="str">
        <f>VLOOKUP(C3651,[1]master_data!$A$2:$E$495,2,FALSE)</f>
        <v>CHANNA STEWARTI</v>
      </c>
      <c r="E3651" s="5">
        <v>2</v>
      </c>
      <c r="F3651" s="5">
        <f>VLOOKUP(C3651,[1]master_data!$A$2:$E$495,3,FALSE)</f>
        <v>15000</v>
      </c>
      <c r="G3651" s="5">
        <f>VLOOKUP(C3651,[1]master_data!$A$2:$E$495,4,FALSE)</f>
        <v>40000</v>
      </c>
      <c r="H3651" s="5">
        <f t="shared" si="174"/>
        <v>30000</v>
      </c>
      <c r="I3651" s="5">
        <f t="shared" si="175"/>
        <v>80000</v>
      </c>
      <c r="J3651" s="5">
        <f t="shared" si="176"/>
        <v>50000</v>
      </c>
      <c r="K3651" s="5" t="str">
        <f>VLOOKUP(C3651,[1]master_data!$A$2:$E$495,5,FALSE)</f>
        <v>Ikan</v>
      </c>
      <c r="L3651" s="5" t="s">
        <v>471</v>
      </c>
    </row>
    <row r="3652" spans="1:12" ht="12" customHeight="1" x14ac:dyDescent="0.25">
      <c r="A3652" s="6">
        <v>44610</v>
      </c>
      <c r="B3652" s="1">
        <v>2200911</v>
      </c>
      <c r="C3652" s="5" t="s">
        <v>422</v>
      </c>
      <c r="D3652" s="5" t="str">
        <f>VLOOKUP(C3652,[1]master_data!$A$2:$E$495,2,FALSE)</f>
        <v>KOMET SLAYER</v>
      </c>
      <c r="E3652" s="5">
        <v>5</v>
      </c>
      <c r="F3652" s="5">
        <f>VLOOKUP(C3652,[1]master_data!$A$2:$E$495,3,FALSE)</f>
        <v>2000</v>
      </c>
      <c r="G3652" s="5">
        <f>VLOOKUP(C3652,[1]master_data!$A$2:$E$495,4,FALSE)</f>
        <v>5000</v>
      </c>
      <c r="H3652" s="5">
        <f t="shared" si="174"/>
        <v>10000</v>
      </c>
      <c r="I3652" s="5">
        <f t="shared" si="175"/>
        <v>25000</v>
      </c>
      <c r="J3652" s="5">
        <f t="shared" si="176"/>
        <v>15000</v>
      </c>
      <c r="K3652" s="5" t="str">
        <f>VLOOKUP(C3652,[1]master_data!$A$2:$E$495,5,FALSE)</f>
        <v>Ikan</v>
      </c>
      <c r="L3652" s="5" t="s">
        <v>471</v>
      </c>
    </row>
    <row r="3653" spans="1:12" ht="12" customHeight="1" x14ac:dyDescent="0.25">
      <c r="A3653" s="6">
        <v>44610</v>
      </c>
      <c r="B3653" s="1">
        <v>2200910</v>
      </c>
      <c r="C3653" s="5" t="s">
        <v>432</v>
      </c>
      <c r="D3653" s="5" t="str">
        <f>VLOOKUP(C3653,[1]master_data!$A$2:$E$495,2,FALSE)</f>
        <v>MARU K</v>
      </c>
      <c r="E3653" s="5">
        <v>3</v>
      </c>
      <c r="F3653" s="5">
        <f>VLOOKUP(C3653,[1]master_data!$A$2:$E$495,3,FALSE)</f>
        <v>23000</v>
      </c>
      <c r="G3653" s="5">
        <f>VLOOKUP(C3653,[1]master_data!$A$2:$E$495,4,FALSE)</f>
        <v>50000</v>
      </c>
      <c r="H3653" s="5">
        <f t="shared" ref="H3653:H3716" si="177">E3653*F3653</f>
        <v>69000</v>
      </c>
      <c r="I3653" s="5">
        <f t="shared" ref="I3653:I3716" si="178">E3653*G3653</f>
        <v>150000</v>
      </c>
      <c r="J3653" s="5">
        <f t="shared" ref="J3653:J3716" si="179">I3653-H3653</f>
        <v>81000</v>
      </c>
      <c r="K3653" s="5" t="str">
        <f>VLOOKUP(C3653,[1]master_data!$A$2:$E$495,5,FALSE)</f>
        <v>Ikan</v>
      </c>
      <c r="L3653" s="5" t="s">
        <v>471</v>
      </c>
    </row>
    <row r="3654" spans="1:12" ht="12" customHeight="1" x14ac:dyDescent="0.25">
      <c r="A3654" s="6">
        <v>44610</v>
      </c>
      <c r="B3654" s="1">
        <v>2200909</v>
      </c>
      <c r="C3654" s="5" t="s">
        <v>460</v>
      </c>
      <c r="D3654" s="5" t="str">
        <f>VLOOKUP(C3654,[1]master_data!$A$2:$E$495,2,FALSE)</f>
        <v>ZEBRA KUNING</v>
      </c>
      <c r="E3654" s="5">
        <v>5</v>
      </c>
      <c r="F3654" s="5">
        <f>VLOOKUP(C3654,[1]master_data!$A$2:$E$495,3,FALSE)</f>
        <v>800</v>
      </c>
      <c r="G3654" s="5">
        <f>VLOOKUP(C3654,[1]master_data!$A$2:$E$495,4,FALSE)</f>
        <v>2000</v>
      </c>
      <c r="H3654" s="5">
        <f t="shared" si="177"/>
        <v>4000</v>
      </c>
      <c r="I3654" s="5">
        <f t="shared" si="178"/>
        <v>10000</v>
      </c>
      <c r="J3654" s="5">
        <f t="shared" si="179"/>
        <v>6000</v>
      </c>
      <c r="K3654" s="5" t="str">
        <f>VLOOKUP(C3654,[1]master_data!$A$2:$E$495,5,FALSE)</f>
        <v>Ikan</v>
      </c>
      <c r="L3654" s="5" t="s">
        <v>471</v>
      </c>
    </row>
    <row r="3655" spans="1:12" ht="12" customHeight="1" x14ac:dyDescent="0.25">
      <c r="A3655" s="6">
        <v>44610</v>
      </c>
      <c r="B3655" s="1">
        <v>2200908</v>
      </c>
      <c r="C3655" s="5" t="s">
        <v>458</v>
      </c>
      <c r="D3655" s="5" t="str">
        <f>VLOOKUP(C3655,[1]master_data!$A$2:$E$495,2,FALSE)</f>
        <v>ZEBRA HIJAU</v>
      </c>
      <c r="E3655" s="5">
        <v>5</v>
      </c>
      <c r="F3655" s="5">
        <f>VLOOKUP(C3655,[1]master_data!$A$2:$E$495,3,FALSE)</f>
        <v>800</v>
      </c>
      <c r="G3655" s="5">
        <f>VLOOKUP(C3655,[1]master_data!$A$2:$E$495,4,FALSE)</f>
        <v>2000</v>
      </c>
      <c r="H3655" s="5">
        <f t="shared" si="177"/>
        <v>4000</v>
      </c>
      <c r="I3655" s="5">
        <f t="shared" si="178"/>
        <v>10000</v>
      </c>
      <c r="J3655" s="5">
        <f t="shared" si="179"/>
        <v>6000</v>
      </c>
      <c r="K3655" s="5" t="str">
        <f>VLOOKUP(C3655,[1]master_data!$A$2:$E$495,5,FALSE)</f>
        <v>Ikan</v>
      </c>
      <c r="L3655" s="5" t="s">
        <v>471</v>
      </c>
    </row>
    <row r="3656" spans="1:12" ht="12" customHeight="1" x14ac:dyDescent="0.25">
      <c r="A3656" s="6">
        <v>44609</v>
      </c>
      <c r="B3656" s="1">
        <v>2200907</v>
      </c>
      <c r="C3656" s="5" t="s">
        <v>310</v>
      </c>
      <c r="D3656" s="5" t="str">
        <f>VLOOKUP(C3656,[1]master_data!$A$2:$E$495,2,FALSE)</f>
        <v>SELANG FUSO</v>
      </c>
      <c r="E3656" s="5">
        <v>10</v>
      </c>
      <c r="F3656" s="5">
        <f>VLOOKUP(C3656,[1]master_data!$A$2:$E$495,3,FALSE)</f>
        <v>800</v>
      </c>
      <c r="G3656" s="5">
        <f>VLOOKUP(C3656,[1]master_data!$A$2:$E$495,4,FALSE)</f>
        <v>2000</v>
      </c>
      <c r="H3656" s="5">
        <f t="shared" si="177"/>
        <v>8000</v>
      </c>
      <c r="I3656" s="5">
        <f t="shared" si="178"/>
        <v>20000</v>
      </c>
      <c r="J3656" s="5">
        <f t="shared" si="179"/>
        <v>12000</v>
      </c>
      <c r="K3656" s="5" t="str">
        <f>VLOOKUP(C3656,[1]master_data!$A$2:$E$495,5,FALSE)</f>
        <v>Aksesoris</v>
      </c>
      <c r="L3656" s="5" t="s">
        <v>471</v>
      </c>
    </row>
    <row r="3657" spans="1:12" ht="12" customHeight="1" x14ac:dyDescent="0.25">
      <c r="A3657" s="6">
        <v>44609</v>
      </c>
      <c r="B3657" s="1">
        <v>2200906</v>
      </c>
      <c r="C3657" s="5" t="s">
        <v>461</v>
      </c>
      <c r="D3657" s="5" t="str">
        <f>VLOOKUP(C3657,[1]master_data!$A$2:$E$495,2,FALSE)</f>
        <v>SEPAT</v>
      </c>
      <c r="E3657" s="5">
        <v>4</v>
      </c>
      <c r="F3657" s="5">
        <f>VLOOKUP(C3657,[1]master_data!$A$2:$E$495,3,FALSE)</f>
        <v>600</v>
      </c>
      <c r="G3657" s="5">
        <f>VLOOKUP(C3657,[1]master_data!$A$2:$E$495,4,FALSE)</f>
        <v>2000</v>
      </c>
      <c r="H3657" s="5">
        <f t="shared" si="177"/>
        <v>2400</v>
      </c>
      <c r="I3657" s="5">
        <f t="shared" si="178"/>
        <v>8000</v>
      </c>
      <c r="J3657" s="5">
        <f t="shared" si="179"/>
        <v>5600</v>
      </c>
      <c r="K3657" s="5" t="str">
        <f>VLOOKUP(C3657,[1]master_data!$A$2:$E$495,5,FALSE)</f>
        <v>Ikan</v>
      </c>
      <c r="L3657" s="5" t="s">
        <v>471</v>
      </c>
    </row>
    <row r="3658" spans="1:12" ht="12" customHeight="1" x14ac:dyDescent="0.25">
      <c r="A3658" s="6">
        <v>44609</v>
      </c>
      <c r="B3658" s="1">
        <v>2200905</v>
      </c>
      <c r="C3658" s="5" t="s">
        <v>450</v>
      </c>
      <c r="D3658" s="5" t="str">
        <f>VLOOKUP(C3658,[1]master_data!$A$2:$E$495,2,FALSE)</f>
        <v>SUMATRA BIASA</v>
      </c>
      <c r="E3658" s="5">
        <v>10</v>
      </c>
      <c r="F3658" s="5">
        <f>VLOOKUP(C3658,[1]master_data!$A$2:$E$495,3,FALSE)</f>
        <v>800</v>
      </c>
      <c r="G3658" s="5">
        <f>VLOOKUP(C3658,[1]master_data!$A$2:$E$495,4,FALSE)</f>
        <v>2000</v>
      </c>
      <c r="H3658" s="5">
        <f t="shared" si="177"/>
        <v>8000</v>
      </c>
      <c r="I3658" s="5">
        <f t="shared" si="178"/>
        <v>20000</v>
      </c>
      <c r="J3658" s="5">
        <f t="shared" si="179"/>
        <v>12000</v>
      </c>
      <c r="K3658" s="5" t="str">
        <f>VLOOKUP(C3658,[1]master_data!$A$2:$E$495,5,FALSE)</f>
        <v>Ikan</v>
      </c>
      <c r="L3658" s="5" t="s">
        <v>471</v>
      </c>
    </row>
    <row r="3659" spans="1:12" ht="12" customHeight="1" x14ac:dyDescent="0.25">
      <c r="A3659" s="6">
        <v>44609</v>
      </c>
      <c r="B3659" s="1">
        <v>2200904</v>
      </c>
      <c r="C3659" s="5" t="s">
        <v>115</v>
      </c>
      <c r="D3659" s="5" t="str">
        <f>VLOOKUP(C3659,[1]master_data!$A$2:$E$495,2,FALSE)</f>
        <v>LED ROSTON 30 CM</v>
      </c>
      <c r="E3659" s="5">
        <v>1</v>
      </c>
      <c r="F3659" s="5">
        <f>VLOOKUP(C3659,[1]master_data!$A$2:$E$495,3,FALSE)</f>
        <v>21000</v>
      </c>
      <c r="G3659" s="5">
        <f>VLOOKUP(C3659,[1]master_data!$A$2:$E$495,4,FALSE)</f>
        <v>35000</v>
      </c>
      <c r="H3659" s="5">
        <f t="shared" si="177"/>
        <v>21000</v>
      </c>
      <c r="I3659" s="5">
        <f t="shared" si="178"/>
        <v>35000</v>
      </c>
      <c r="J3659" s="5">
        <f t="shared" si="179"/>
        <v>14000</v>
      </c>
      <c r="K3659" s="5" t="str">
        <f>VLOOKUP(C3659,[1]master_data!$A$2:$E$495,5,FALSE)</f>
        <v>Aksesoris</v>
      </c>
      <c r="L3659" s="5" t="s">
        <v>471</v>
      </c>
    </row>
    <row r="3660" spans="1:12" ht="12" customHeight="1" x14ac:dyDescent="0.25">
      <c r="A3660" s="6">
        <v>44609</v>
      </c>
      <c r="B3660" s="1">
        <v>2200903</v>
      </c>
      <c r="C3660" s="5" t="s">
        <v>407</v>
      </c>
      <c r="D3660" s="5" t="str">
        <f>VLOOKUP(C3660,[1]master_data!$A$2:$E$495,2,FALSE)</f>
        <v>CUPANG</v>
      </c>
      <c r="E3660" s="5">
        <v>3</v>
      </c>
      <c r="F3660" s="5">
        <f>VLOOKUP(C3660,[1]master_data!$A$2:$E$495,3,FALSE)</f>
        <v>2000</v>
      </c>
      <c r="G3660" s="5">
        <f>VLOOKUP(C3660,[1]master_data!$A$2:$E$495,4,FALSE)</f>
        <v>5000</v>
      </c>
      <c r="H3660" s="5">
        <f t="shared" si="177"/>
        <v>6000</v>
      </c>
      <c r="I3660" s="5">
        <f t="shared" si="178"/>
        <v>15000</v>
      </c>
      <c r="J3660" s="5">
        <f t="shared" si="179"/>
        <v>9000</v>
      </c>
      <c r="K3660" s="5" t="str">
        <f>VLOOKUP(C3660,[1]master_data!$A$2:$E$495,5,FALSE)</f>
        <v>Ikan</v>
      </c>
      <c r="L3660" s="5" t="s">
        <v>471</v>
      </c>
    </row>
    <row r="3661" spans="1:12" ht="12" customHeight="1" x14ac:dyDescent="0.25">
      <c r="A3661" s="6">
        <v>44609</v>
      </c>
      <c r="B3661" s="1">
        <v>2200902</v>
      </c>
      <c r="C3661" s="5" t="s">
        <v>425</v>
      </c>
      <c r="D3661" s="5" t="str">
        <f>VLOOKUP(C3661,[1]master_data!$A$2:$E$495,2,FALSE)</f>
        <v>CAROLINE</v>
      </c>
      <c r="E3661" s="5">
        <v>10</v>
      </c>
      <c r="F3661" s="5">
        <f>VLOOKUP(C3661,[1]master_data!$A$2:$E$495,3,FALSE)</f>
        <v>900</v>
      </c>
      <c r="G3661" s="5">
        <f>VLOOKUP(C3661,[1]master_data!$A$2:$E$495,4,FALSE)</f>
        <v>2000</v>
      </c>
      <c r="H3661" s="5">
        <f t="shared" si="177"/>
        <v>9000</v>
      </c>
      <c r="I3661" s="5">
        <f t="shared" si="178"/>
        <v>20000</v>
      </c>
      <c r="J3661" s="5">
        <f t="shared" si="179"/>
        <v>11000</v>
      </c>
      <c r="K3661" s="5" t="str">
        <f>VLOOKUP(C3661,[1]master_data!$A$2:$E$495,5,FALSE)</f>
        <v>Ikan</v>
      </c>
      <c r="L3661" s="5" t="s">
        <v>471</v>
      </c>
    </row>
    <row r="3662" spans="1:12" ht="12" customHeight="1" x14ac:dyDescent="0.25">
      <c r="A3662" s="6">
        <v>44609</v>
      </c>
      <c r="B3662" s="1">
        <v>2200901</v>
      </c>
      <c r="C3662" s="5" t="s">
        <v>406</v>
      </c>
      <c r="D3662" s="5" t="str">
        <f>VLOOKUP(C3662,[1]master_data!$A$2:$E$495,2,FALSE)</f>
        <v>BARBIR</v>
      </c>
      <c r="E3662" s="5">
        <v>10</v>
      </c>
      <c r="F3662" s="5">
        <f>VLOOKUP(C3662,[1]master_data!$A$2:$E$495,3,FALSE)</f>
        <v>800</v>
      </c>
      <c r="G3662" s="5">
        <f>VLOOKUP(C3662,[1]master_data!$A$2:$E$495,4,FALSE)</f>
        <v>2000</v>
      </c>
      <c r="H3662" s="5">
        <f t="shared" si="177"/>
        <v>8000</v>
      </c>
      <c r="I3662" s="5">
        <f t="shared" si="178"/>
        <v>20000</v>
      </c>
      <c r="J3662" s="5">
        <f t="shared" si="179"/>
        <v>12000</v>
      </c>
      <c r="K3662" s="5" t="str">
        <f>VLOOKUP(C3662,[1]master_data!$A$2:$E$495,5,FALSE)</f>
        <v>Ikan</v>
      </c>
      <c r="L3662" s="5" t="s">
        <v>471</v>
      </c>
    </row>
    <row r="3663" spans="1:12" ht="12" customHeight="1" x14ac:dyDescent="0.25">
      <c r="A3663" s="6">
        <v>44609</v>
      </c>
      <c r="B3663" s="1">
        <v>2200900</v>
      </c>
      <c r="C3663" s="5" t="s">
        <v>351</v>
      </c>
      <c r="D3663" s="5" t="str">
        <f>VLOOKUP(C3663,[1]master_data!$A$2:$E$495,2,FALSE)</f>
        <v>AKUARIUM 60 ROBOT</v>
      </c>
      <c r="E3663" s="5">
        <v>1</v>
      </c>
      <c r="F3663" s="5">
        <f>VLOOKUP(C3663,[1]master_data!$A$2:$E$495,3,FALSE)</f>
        <v>150000</v>
      </c>
      <c r="G3663" s="5">
        <f>VLOOKUP(C3663,[1]master_data!$A$2:$E$495,4,FALSE)</f>
        <v>250000</v>
      </c>
      <c r="H3663" s="5">
        <f t="shared" si="177"/>
        <v>150000</v>
      </c>
      <c r="I3663" s="5">
        <f t="shared" si="178"/>
        <v>250000</v>
      </c>
      <c r="J3663" s="5">
        <f t="shared" si="179"/>
        <v>100000</v>
      </c>
      <c r="K3663" s="5" t="str">
        <f>VLOOKUP(C3663,[1]master_data!$A$2:$E$495,5,FALSE)</f>
        <v>Aksesoris</v>
      </c>
      <c r="L3663" s="5" t="s">
        <v>471</v>
      </c>
    </row>
    <row r="3664" spans="1:12" ht="12" customHeight="1" x14ac:dyDescent="0.25">
      <c r="A3664" s="6">
        <v>44609</v>
      </c>
      <c r="B3664" s="1">
        <v>2200899</v>
      </c>
      <c r="C3664" s="5" t="s">
        <v>333</v>
      </c>
      <c r="D3664" s="5" t="str">
        <f>VLOOKUP(C3664,[1]master_data!$A$2:$E$495,2,FALSE)</f>
        <v>KAPAS 2 LAPIS</v>
      </c>
      <c r="E3664" s="5">
        <v>2</v>
      </c>
      <c r="F3664" s="5">
        <f>VLOOKUP(C3664,[1]master_data!$A$2:$E$495,3,FALSE)</f>
        <v>2000</v>
      </c>
      <c r="G3664" s="5">
        <f>VLOOKUP(C3664,[1]master_data!$A$2:$E$495,4,FALSE)</f>
        <v>4000</v>
      </c>
      <c r="H3664" s="5">
        <f t="shared" si="177"/>
        <v>4000</v>
      </c>
      <c r="I3664" s="5">
        <f t="shared" si="178"/>
        <v>8000</v>
      </c>
      <c r="J3664" s="5">
        <f t="shared" si="179"/>
        <v>4000</v>
      </c>
      <c r="K3664" s="5" t="str">
        <f>VLOOKUP(C3664,[1]master_data!$A$2:$E$495,5,FALSE)</f>
        <v>Aksesoris</v>
      </c>
      <c r="L3664" s="5" t="s">
        <v>471</v>
      </c>
    </row>
    <row r="3665" spans="1:12" ht="12" customHeight="1" x14ac:dyDescent="0.25">
      <c r="A3665" s="6">
        <v>44609</v>
      </c>
      <c r="B3665" s="1">
        <v>2200898</v>
      </c>
      <c r="C3665" s="5" t="s">
        <v>426</v>
      </c>
      <c r="D3665" s="5" t="str">
        <f>VLOOKUP(C3665,[1]master_data!$A$2:$E$495,2,FALSE)</f>
        <v>DISCUS</v>
      </c>
      <c r="E3665" s="5">
        <v>2</v>
      </c>
      <c r="F3665" s="5">
        <f>VLOOKUP(C3665,[1]master_data!$A$2:$E$495,3,FALSE)</f>
        <v>50000</v>
      </c>
      <c r="G3665" s="5">
        <f>VLOOKUP(C3665,[1]master_data!$A$2:$E$495,4,FALSE)</f>
        <v>150000</v>
      </c>
      <c r="H3665" s="5">
        <f t="shared" si="177"/>
        <v>100000</v>
      </c>
      <c r="I3665" s="5">
        <f t="shared" si="178"/>
        <v>300000</v>
      </c>
      <c r="J3665" s="5">
        <f t="shared" si="179"/>
        <v>200000</v>
      </c>
      <c r="K3665" s="5" t="str">
        <f>VLOOKUP(C3665,[1]master_data!$A$2:$E$495,5,FALSE)</f>
        <v>Ikan</v>
      </c>
      <c r="L3665" s="5" t="s">
        <v>471</v>
      </c>
    </row>
    <row r="3666" spans="1:12" ht="12" customHeight="1" x14ac:dyDescent="0.25">
      <c r="A3666" s="6">
        <v>44609</v>
      </c>
      <c r="B3666" s="1">
        <v>2200897</v>
      </c>
      <c r="C3666" s="5" t="s">
        <v>439</v>
      </c>
      <c r="D3666" s="5" t="str">
        <f>VLOOKUP(C3666,[1]master_data!$A$2:$E$495,2,FALSE)</f>
        <v>NEON</v>
      </c>
      <c r="E3666" s="5">
        <v>3</v>
      </c>
      <c r="F3666" s="5">
        <f>VLOOKUP(C3666,[1]master_data!$A$2:$E$495,3,FALSE)</f>
        <v>1250</v>
      </c>
      <c r="G3666" s="5">
        <f>VLOOKUP(C3666,[1]master_data!$A$2:$E$495,4,FALSE)</f>
        <v>5000</v>
      </c>
      <c r="H3666" s="5">
        <f t="shared" si="177"/>
        <v>3750</v>
      </c>
      <c r="I3666" s="5">
        <f t="shared" si="178"/>
        <v>15000</v>
      </c>
      <c r="J3666" s="5">
        <f t="shared" si="179"/>
        <v>11250</v>
      </c>
      <c r="K3666" s="5" t="str">
        <f>VLOOKUP(C3666,[1]master_data!$A$2:$E$495,5,FALSE)</f>
        <v>Ikan</v>
      </c>
      <c r="L3666" s="5" t="s">
        <v>471</v>
      </c>
    </row>
    <row r="3667" spans="1:12" ht="12" customHeight="1" x14ac:dyDescent="0.25">
      <c r="A3667" s="6">
        <v>44609</v>
      </c>
      <c r="B3667" s="1">
        <v>2200896</v>
      </c>
      <c r="C3667" s="5" t="s">
        <v>451</v>
      </c>
      <c r="D3667" s="5" t="str">
        <f>VLOOKUP(C3667,[1]master_data!$A$2:$E$495,2,FALSE)</f>
        <v>SUMATRA GOLD FISH</v>
      </c>
      <c r="E3667" s="5">
        <v>25</v>
      </c>
      <c r="F3667" s="5">
        <f>VLOOKUP(C3667,[1]master_data!$A$2:$E$495,3,FALSE)</f>
        <v>2500</v>
      </c>
      <c r="G3667" s="5">
        <f>VLOOKUP(C3667,[1]master_data!$A$2:$E$495,4,FALSE)</f>
        <v>4000</v>
      </c>
      <c r="H3667" s="5">
        <f t="shared" si="177"/>
        <v>62500</v>
      </c>
      <c r="I3667" s="5">
        <f t="shared" si="178"/>
        <v>100000</v>
      </c>
      <c r="J3667" s="5">
        <f t="shared" si="179"/>
        <v>37500</v>
      </c>
      <c r="K3667" s="5" t="str">
        <f>VLOOKUP(C3667,[1]master_data!$A$2:$E$495,5,FALSE)</f>
        <v>Ikan</v>
      </c>
      <c r="L3667" s="5" t="s">
        <v>471</v>
      </c>
    </row>
    <row r="3668" spans="1:12" ht="12" customHeight="1" x14ac:dyDescent="0.25">
      <c r="A3668" s="6">
        <v>44609</v>
      </c>
      <c r="B3668" s="1">
        <v>2200895</v>
      </c>
      <c r="C3668" s="5" t="s">
        <v>419</v>
      </c>
      <c r="D3668" s="5" t="str">
        <f>VLOOKUP(C3668,[1]master_data!$A$2:$E$495,2,FALSE)</f>
        <v>KURA - KURA</v>
      </c>
      <c r="E3668" s="5">
        <v>2</v>
      </c>
      <c r="F3668" s="5">
        <f>VLOOKUP(C3668,[1]master_data!$A$2:$E$495,3,FALSE)</f>
        <v>25000</v>
      </c>
      <c r="G3668" s="5">
        <f>VLOOKUP(C3668,[1]master_data!$A$2:$E$495,4,FALSE)</f>
        <v>35000</v>
      </c>
      <c r="H3668" s="5">
        <f t="shared" si="177"/>
        <v>50000</v>
      </c>
      <c r="I3668" s="5">
        <f t="shared" si="178"/>
        <v>70000</v>
      </c>
      <c r="J3668" s="5">
        <f t="shared" si="179"/>
        <v>20000</v>
      </c>
      <c r="K3668" s="5" t="str">
        <f>VLOOKUP(C3668,[1]master_data!$A$2:$E$495,5,FALSE)</f>
        <v>Ikan</v>
      </c>
      <c r="L3668" s="5" t="s">
        <v>471</v>
      </c>
    </row>
    <row r="3669" spans="1:12" ht="12" customHeight="1" x14ac:dyDescent="0.25">
      <c r="A3669" s="6">
        <v>44609</v>
      </c>
      <c r="B3669" s="1">
        <v>2200894</v>
      </c>
      <c r="C3669" s="5" t="s">
        <v>318</v>
      </c>
      <c r="D3669" s="5" t="str">
        <f>VLOOKUP(C3669,[1]master_data!$A$2:$E$495,2,FALSE)</f>
        <v>TEMPAT CACING</v>
      </c>
      <c r="E3669" s="5">
        <v>1</v>
      </c>
      <c r="F3669" s="5">
        <f>VLOOKUP(C3669,[1]master_data!$A$2:$E$495,3,FALSE)</f>
        <v>1500</v>
      </c>
      <c r="G3669" s="5">
        <f>VLOOKUP(C3669,[1]master_data!$A$2:$E$495,4,FALSE)</f>
        <v>5000</v>
      </c>
      <c r="H3669" s="5">
        <f t="shared" si="177"/>
        <v>1500</v>
      </c>
      <c r="I3669" s="5">
        <f t="shared" si="178"/>
        <v>5000</v>
      </c>
      <c r="J3669" s="5">
        <f t="shared" si="179"/>
        <v>3500</v>
      </c>
      <c r="K3669" s="5" t="str">
        <f>VLOOKUP(C3669,[1]master_data!$A$2:$E$495,5,FALSE)</f>
        <v>Aksesoris</v>
      </c>
      <c r="L3669" s="5" t="s">
        <v>471</v>
      </c>
    </row>
    <row r="3670" spans="1:12" ht="12" customHeight="1" x14ac:dyDescent="0.25">
      <c r="A3670" s="6">
        <v>44609</v>
      </c>
      <c r="B3670" s="1">
        <v>2200893</v>
      </c>
      <c r="C3670" s="5" t="s">
        <v>407</v>
      </c>
      <c r="D3670" s="5" t="str">
        <f>VLOOKUP(C3670,[1]master_data!$A$2:$E$495,2,FALSE)</f>
        <v>CUPANG</v>
      </c>
      <c r="E3670" s="5">
        <v>3</v>
      </c>
      <c r="F3670" s="5">
        <f>VLOOKUP(C3670,[1]master_data!$A$2:$E$495,3,FALSE)</f>
        <v>2000</v>
      </c>
      <c r="G3670" s="5">
        <f>VLOOKUP(C3670,[1]master_data!$A$2:$E$495,4,FALSE)</f>
        <v>5000</v>
      </c>
      <c r="H3670" s="5">
        <f t="shared" si="177"/>
        <v>6000</v>
      </c>
      <c r="I3670" s="5">
        <f t="shared" si="178"/>
        <v>15000</v>
      </c>
      <c r="J3670" s="5">
        <f t="shared" si="179"/>
        <v>9000</v>
      </c>
      <c r="K3670" s="5" t="str">
        <f>VLOOKUP(C3670,[1]master_data!$A$2:$E$495,5,FALSE)</f>
        <v>Ikan</v>
      </c>
      <c r="L3670" s="5" t="s">
        <v>471</v>
      </c>
    </row>
    <row r="3671" spans="1:12" ht="12" customHeight="1" x14ac:dyDescent="0.25">
      <c r="A3671" s="6">
        <v>44609</v>
      </c>
      <c r="B3671" s="1">
        <v>2200892</v>
      </c>
      <c r="C3671" s="5" t="s">
        <v>261</v>
      </c>
      <c r="D3671" s="5" t="str">
        <f>VLOOKUP(C3671,[1]master_data!$A$2:$E$495,2,FALSE)</f>
        <v>BONSAI</v>
      </c>
      <c r="E3671" s="5">
        <v>1</v>
      </c>
      <c r="F3671" s="5">
        <f>VLOOKUP(C3671,[1]master_data!$A$2:$E$495,3,FALSE)</f>
        <v>15000</v>
      </c>
      <c r="G3671" s="5">
        <f>VLOOKUP(C3671,[1]master_data!$A$2:$E$495,4,FALSE)</f>
        <v>20000</v>
      </c>
      <c r="H3671" s="5">
        <f t="shared" si="177"/>
        <v>15000</v>
      </c>
      <c r="I3671" s="5">
        <f t="shared" si="178"/>
        <v>20000</v>
      </c>
      <c r="J3671" s="5">
        <f t="shared" si="179"/>
        <v>5000</v>
      </c>
      <c r="K3671" s="5" t="str">
        <f>VLOOKUP(C3671,[1]master_data!$A$2:$E$495,5,FALSE)</f>
        <v>Aksesoris</v>
      </c>
      <c r="L3671" s="5" t="s">
        <v>471</v>
      </c>
    </row>
    <row r="3672" spans="1:12" ht="12" customHeight="1" x14ac:dyDescent="0.25">
      <c r="A3672" s="6">
        <v>44609</v>
      </c>
      <c r="B3672" s="1">
        <v>2200891</v>
      </c>
      <c r="C3672" s="5" t="s">
        <v>450</v>
      </c>
      <c r="D3672" s="5" t="str">
        <f>VLOOKUP(C3672,[1]master_data!$A$2:$E$495,2,FALSE)</f>
        <v>SUMATRA BIASA</v>
      </c>
      <c r="E3672" s="5">
        <v>5</v>
      </c>
      <c r="F3672" s="5">
        <f>VLOOKUP(C3672,[1]master_data!$A$2:$E$495,3,FALSE)</f>
        <v>800</v>
      </c>
      <c r="G3672" s="5">
        <f>VLOOKUP(C3672,[1]master_data!$A$2:$E$495,4,FALSE)</f>
        <v>2000</v>
      </c>
      <c r="H3672" s="5">
        <f t="shared" si="177"/>
        <v>4000</v>
      </c>
      <c r="I3672" s="5">
        <f t="shared" si="178"/>
        <v>10000</v>
      </c>
      <c r="J3672" s="5">
        <f t="shared" si="179"/>
        <v>6000</v>
      </c>
      <c r="K3672" s="5" t="str">
        <f>VLOOKUP(C3672,[1]master_data!$A$2:$E$495,5,FALSE)</f>
        <v>Ikan</v>
      </c>
      <c r="L3672" s="5" t="s">
        <v>471</v>
      </c>
    </row>
    <row r="3673" spans="1:12" ht="12" customHeight="1" x14ac:dyDescent="0.25">
      <c r="A3673" s="6">
        <v>44609</v>
      </c>
      <c r="B3673" s="1">
        <v>2200890</v>
      </c>
      <c r="C3673" s="5" t="s">
        <v>7</v>
      </c>
      <c r="D3673" s="5" t="str">
        <f>VLOOKUP(C3673,[1]master_data!$A$2:$E$495,2,FALSE)</f>
        <v>MESIN YANG 1600</v>
      </c>
      <c r="E3673" s="5">
        <v>1</v>
      </c>
      <c r="F3673" s="5">
        <f>VLOOKUP(C3673,[1]master_data!$A$2:$E$495,3,FALSE)</f>
        <v>64000</v>
      </c>
      <c r="G3673" s="5">
        <f>VLOOKUP(C3673,[1]master_data!$A$2:$E$495,4,FALSE)</f>
        <v>90000</v>
      </c>
      <c r="H3673" s="5">
        <f t="shared" si="177"/>
        <v>64000</v>
      </c>
      <c r="I3673" s="5">
        <f t="shared" si="178"/>
        <v>90000</v>
      </c>
      <c r="J3673" s="5">
        <f t="shared" si="179"/>
        <v>26000</v>
      </c>
      <c r="K3673" s="5" t="str">
        <f>VLOOKUP(C3673,[1]master_data!$A$2:$E$495,5,FALSE)</f>
        <v>Aksesoris</v>
      </c>
      <c r="L3673" s="5" t="s">
        <v>471</v>
      </c>
    </row>
    <row r="3674" spans="1:12" ht="12" customHeight="1" x14ac:dyDescent="0.25">
      <c r="A3674" s="6">
        <v>44609</v>
      </c>
      <c r="B3674" s="1">
        <v>2200889</v>
      </c>
      <c r="C3674" s="5" t="s">
        <v>333</v>
      </c>
      <c r="D3674" s="5" t="str">
        <f>VLOOKUP(C3674,[1]master_data!$A$2:$E$495,2,FALSE)</f>
        <v>KAPAS 2 LAPIS</v>
      </c>
      <c r="E3674" s="5">
        <v>1</v>
      </c>
      <c r="F3674" s="5">
        <f>VLOOKUP(C3674,[1]master_data!$A$2:$E$495,3,FALSE)</f>
        <v>2000</v>
      </c>
      <c r="G3674" s="5">
        <f>VLOOKUP(C3674,[1]master_data!$A$2:$E$495,4,FALSE)</f>
        <v>4000</v>
      </c>
      <c r="H3674" s="5">
        <f t="shared" si="177"/>
        <v>2000</v>
      </c>
      <c r="I3674" s="5">
        <f t="shared" si="178"/>
        <v>4000</v>
      </c>
      <c r="J3674" s="5">
        <f t="shared" si="179"/>
        <v>2000</v>
      </c>
      <c r="K3674" s="5" t="str">
        <f>VLOOKUP(C3674,[1]master_data!$A$2:$E$495,5,FALSE)</f>
        <v>Aksesoris</v>
      </c>
      <c r="L3674" s="5" t="s">
        <v>471</v>
      </c>
    </row>
    <row r="3675" spans="1:12" ht="12" customHeight="1" x14ac:dyDescent="0.25">
      <c r="A3675" s="6">
        <v>44609</v>
      </c>
      <c r="B3675" s="1">
        <v>2200888</v>
      </c>
      <c r="C3675" s="5" t="s">
        <v>409</v>
      </c>
      <c r="D3675" s="5" t="str">
        <f>VLOOKUP(C3675,[1]master_data!$A$2:$E$495,2,FALSE)</f>
        <v>GOLD FISH</v>
      </c>
      <c r="E3675" s="5">
        <v>5</v>
      </c>
      <c r="F3675" s="5">
        <f>VLOOKUP(C3675,[1]master_data!$A$2:$E$495,3,FALSE)</f>
        <v>800</v>
      </c>
      <c r="G3675" s="5">
        <f>VLOOKUP(C3675,[1]master_data!$A$2:$E$495,4,FALSE)</f>
        <v>2000</v>
      </c>
      <c r="H3675" s="5">
        <f t="shared" si="177"/>
        <v>4000</v>
      </c>
      <c r="I3675" s="5">
        <f t="shared" si="178"/>
        <v>10000</v>
      </c>
      <c r="J3675" s="5">
        <f t="shared" si="179"/>
        <v>6000</v>
      </c>
      <c r="K3675" s="5" t="str">
        <f>VLOOKUP(C3675,[1]master_data!$A$2:$E$495,5,FALSE)</f>
        <v>Ikan</v>
      </c>
      <c r="L3675" s="5" t="s">
        <v>471</v>
      </c>
    </row>
    <row r="3676" spans="1:12" ht="12" customHeight="1" x14ac:dyDescent="0.25">
      <c r="A3676" s="6">
        <v>44609</v>
      </c>
      <c r="B3676" s="1">
        <v>2200887</v>
      </c>
      <c r="C3676" s="5" t="s">
        <v>430</v>
      </c>
      <c r="D3676" s="5" t="str">
        <f>VLOOKUP(C3676,[1]master_data!$A$2:$E$495,2,FALSE)</f>
        <v>MANFISH K</v>
      </c>
      <c r="E3676" s="5">
        <v>1</v>
      </c>
      <c r="F3676" s="5">
        <f>VLOOKUP(C3676,[1]master_data!$A$2:$E$495,3,FALSE)</f>
        <v>2000</v>
      </c>
      <c r="G3676" s="5">
        <f>VLOOKUP(C3676,[1]master_data!$A$2:$E$495,4,FALSE)</f>
        <v>5000</v>
      </c>
      <c r="H3676" s="5">
        <f t="shared" si="177"/>
        <v>2000</v>
      </c>
      <c r="I3676" s="5">
        <f t="shared" si="178"/>
        <v>5000</v>
      </c>
      <c r="J3676" s="5">
        <f t="shared" si="179"/>
        <v>3000</v>
      </c>
      <c r="K3676" s="5" t="str">
        <f>VLOOKUP(C3676,[1]master_data!$A$2:$E$495,5,FALSE)</f>
        <v>Ikan</v>
      </c>
      <c r="L3676" s="5" t="s">
        <v>471</v>
      </c>
    </row>
    <row r="3677" spans="1:12" ht="12" customHeight="1" x14ac:dyDescent="0.25">
      <c r="A3677" s="6">
        <v>44609</v>
      </c>
      <c r="B3677" s="1">
        <v>2200886</v>
      </c>
      <c r="C3677" s="5" t="s">
        <v>376</v>
      </c>
      <c r="D3677" s="5" t="str">
        <f>VLOOKUP(C3677,[1]master_data!$A$2:$E$495,2,FALSE)</f>
        <v>PASIR MEARAH B</v>
      </c>
      <c r="E3677" s="5">
        <v>1</v>
      </c>
      <c r="F3677" s="5">
        <f>VLOOKUP(C3677,[1]master_data!$A$2:$E$495,3,FALSE)</f>
        <v>8000</v>
      </c>
      <c r="G3677" s="5">
        <f>VLOOKUP(C3677,[1]master_data!$A$2:$E$495,4,FALSE)</f>
        <v>25000</v>
      </c>
      <c r="H3677" s="5">
        <f t="shared" si="177"/>
        <v>8000</v>
      </c>
      <c r="I3677" s="5">
        <f t="shared" si="178"/>
        <v>25000</v>
      </c>
      <c r="J3677" s="5">
        <f t="shared" si="179"/>
        <v>17000</v>
      </c>
      <c r="K3677" s="5" t="str">
        <f>VLOOKUP(C3677,[1]master_data!$A$2:$E$495,5,FALSE)</f>
        <v>Aksesoris</v>
      </c>
      <c r="L3677" s="5" t="s">
        <v>471</v>
      </c>
    </row>
    <row r="3678" spans="1:12" ht="12" customHeight="1" x14ac:dyDescent="0.25">
      <c r="A3678" s="6">
        <v>44608</v>
      </c>
      <c r="B3678" s="1">
        <v>2200885</v>
      </c>
      <c r="C3678" s="5" t="s">
        <v>100</v>
      </c>
      <c r="D3678" s="5" t="str">
        <f>VLOOKUP(C3678,[1]master_data!$A$2:$E$495,2,FALSE)</f>
        <v>AIRATOR AMARA LUB 1</v>
      </c>
      <c r="E3678" s="5">
        <v>1</v>
      </c>
      <c r="F3678" s="5">
        <f>VLOOKUP(C3678,[1]master_data!$A$2:$E$495,3,FALSE)</f>
        <v>17500</v>
      </c>
      <c r="G3678" s="5">
        <f>VLOOKUP(C3678,[1]master_data!$A$2:$E$495,4,FALSE)</f>
        <v>30000</v>
      </c>
      <c r="H3678" s="5">
        <f t="shared" si="177"/>
        <v>17500</v>
      </c>
      <c r="I3678" s="5">
        <f t="shared" si="178"/>
        <v>30000</v>
      </c>
      <c r="J3678" s="5">
        <f t="shared" si="179"/>
        <v>12500</v>
      </c>
      <c r="K3678" s="5" t="str">
        <f>VLOOKUP(C3678,[1]master_data!$A$2:$E$495,5,FALSE)</f>
        <v>Aksesoris</v>
      </c>
      <c r="L3678" s="5" t="s">
        <v>471</v>
      </c>
    </row>
    <row r="3679" spans="1:12" ht="12" customHeight="1" x14ac:dyDescent="0.25">
      <c r="A3679" s="6">
        <v>44608</v>
      </c>
      <c r="B3679" s="1">
        <v>2200884</v>
      </c>
      <c r="C3679" s="5" t="s">
        <v>31</v>
      </c>
      <c r="D3679" s="5" t="str">
        <f>VLOOKUP(C3679,[1]master_data!$A$2:$E$495,2,FALSE)</f>
        <v>TOP FILTER ROSTON B</v>
      </c>
      <c r="E3679" s="5">
        <v>1</v>
      </c>
      <c r="F3679" s="5">
        <f>VLOOKUP(C3679,[1]master_data!$A$2:$E$495,3,FALSE)</f>
        <v>35000</v>
      </c>
      <c r="G3679" s="5">
        <f>VLOOKUP(C3679,[1]master_data!$A$2:$E$495,4,FALSE)</f>
        <v>65000</v>
      </c>
      <c r="H3679" s="5">
        <f t="shared" si="177"/>
        <v>35000</v>
      </c>
      <c r="I3679" s="5">
        <f t="shared" si="178"/>
        <v>65000</v>
      </c>
      <c r="J3679" s="5">
        <f t="shared" si="179"/>
        <v>30000</v>
      </c>
      <c r="K3679" s="5" t="str">
        <f>VLOOKUP(C3679,[1]master_data!$A$2:$E$495,5,FALSE)</f>
        <v>Aksesoris</v>
      </c>
      <c r="L3679" s="5" t="s">
        <v>471</v>
      </c>
    </row>
    <row r="3680" spans="1:12" ht="12" customHeight="1" x14ac:dyDescent="0.25">
      <c r="A3680" s="6">
        <v>44608</v>
      </c>
      <c r="B3680" s="1">
        <v>2200883</v>
      </c>
      <c r="C3680" s="5" t="s">
        <v>333</v>
      </c>
      <c r="D3680" s="5" t="str">
        <f>VLOOKUP(C3680,[1]master_data!$A$2:$E$495,2,FALSE)</f>
        <v>KAPAS 2 LAPIS</v>
      </c>
      <c r="E3680" s="5">
        <v>1</v>
      </c>
      <c r="F3680" s="5">
        <f>VLOOKUP(C3680,[1]master_data!$A$2:$E$495,3,FALSE)</f>
        <v>2000</v>
      </c>
      <c r="G3680" s="5">
        <f>VLOOKUP(C3680,[1]master_data!$A$2:$E$495,4,FALSE)</f>
        <v>4000</v>
      </c>
      <c r="H3680" s="5">
        <f t="shared" si="177"/>
        <v>2000</v>
      </c>
      <c r="I3680" s="5">
        <f t="shared" si="178"/>
        <v>4000</v>
      </c>
      <c r="J3680" s="5">
        <f t="shared" si="179"/>
        <v>2000</v>
      </c>
      <c r="K3680" s="5" t="str">
        <f>VLOOKUP(C3680,[1]master_data!$A$2:$E$495,5,FALSE)</f>
        <v>Aksesoris</v>
      </c>
      <c r="L3680" s="5" t="s">
        <v>471</v>
      </c>
    </row>
    <row r="3681" spans="1:12" ht="12" customHeight="1" x14ac:dyDescent="0.25">
      <c r="A3681" s="6">
        <v>44608</v>
      </c>
      <c r="B3681" s="1">
        <v>2200882</v>
      </c>
      <c r="C3681" s="5" t="s">
        <v>50</v>
      </c>
      <c r="D3681" s="5" t="str">
        <f>VLOOKUP(C3681,[1]master_data!$A$2:$E$495,2,FALSE)</f>
        <v>MESIN SWI 1600</v>
      </c>
      <c r="E3681" s="5">
        <v>1</v>
      </c>
      <c r="F3681" s="5">
        <f>VLOOKUP(C3681,[1]master_data!$A$2:$E$495,3,FALSE)</f>
        <v>37500</v>
      </c>
      <c r="G3681" s="5">
        <f>VLOOKUP(C3681,[1]master_data!$A$2:$E$495,4,FALSE)</f>
        <v>55000</v>
      </c>
      <c r="H3681" s="5">
        <f t="shared" si="177"/>
        <v>37500</v>
      </c>
      <c r="I3681" s="5">
        <f t="shared" si="178"/>
        <v>55000</v>
      </c>
      <c r="J3681" s="5">
        <f t="shared" si="179"/>
        <v>17500</v>
      </c>
      <c r="K3681" s="5" t="str">
        <f>VLOOKUP(C3681,[1]master_data!$A$2:$E$495,5,FALSE)</f>
        <v>Aksesoris</v>
      </c>
      <c r="L3681" s="5" t="s">
        <v>471</v>
      </c>
    </row>
    <row r="3682" spans="1:12" ht="12" customHeight="1" x14ac:dyDescent="0.25">
      <c r="A3682" s="6">
        <v>44608</v>
      </c>
      <c r="B3682" s="1">
        <v>2200881</v>
      </c>
      <c r="C3682" s="5" t="s">
        <v>328</v>
      </c>
      <c r="D3682" s="5" t="str">
        <f>VLOOKUP(C3682,[1]master_data!$A$2:$E$495,2,FALSE)</f>
        <v>AIRSONE PUTIH</v>
      </c>
      <c r="E3682" s="5">
        <v>1</v>
      </c>
      <c r="F3682" s="5">
        <f>VLOOKUP(C3682,[1]master_data!$A$2:$E$495,3,FALSE)</f>
        <v>3000</v>
      </c>
      <c r="G3682" s="5">
        <f>VLOOKUP(C3682,[1]master_data!$A$2:$E$495,4,FALSE)</f>
        <v>5000</v>
      </c>
      <c r="H3682" s="5">
        <f t="shared" si="177"/>
        <v>3000</v>
      </c>
      <c r="I3682" s="5">
        <f t="shared" si="178"/>
        <v>5000</v>
      </c>
      <c r="J3682" s="5">
        <f t="shared" si="179"/>
        <v>2000</v>
      </c>
      <c r="K3682" s="5" t="str">
        <f>VLOOKUP(C3682,[1]master_data!$A$2:$E$495,5,FALSE)</f>
        <v>Aksesoris</v>
      </c>
      <c r="L3682" s="5" t="s">
        <v>471</v>
      </c>
    </row>
    <row r="3683" spans="1:12" ht="12" customHeight="1" x14ac:dyDescent="0.25">
      <c r="A3683" s="6">
        <v>44608</v>
      </c>
      <c r="B3683" s="1">
        <v>2200880</v>
      </c>
      <c r="C3683" s="5" t="s">
        <v>432</v>
      </c>
      <c r="D3683" s="5" t="str">
        <f>VLOOKUP(C3683,[1]master_data!$A$2:$E$495,2,FALSE)</f>
        <v>MARU K</v>
      </c>
      <c r="E3683" s="5">
        <v>2</v>
      </c>
      <c r="F3683" s="5">
        <f>VLOOKUP(C3683,[1]master_data!$A$2:$E$495,3,FALSE)</f>
        <v>23000</v>
      </c>
      <c r="G3683" s="5">
        <f>VLOOKUP(C3683,[1]master_data!$A$2:$E$495,4,FALSE)</f>
        <v>50000</v>
      </c>
      <c r="H3683" s="5">
        <f t="shared" si="177"/>
        <v>46000</v>
      </c>
      <c r="I3683" s="5">
        <f t="shared" si="178"/>
        <v>100000</v>
      </c>
      <c r="J3683" s="5">
        <f t="shared" si="179"/>
        <v>54000</v>
      </c>
      <c r="K3683" s="5" t="str">
        <f>VLOOKUP(C3683,[1]master_data!$A$2:$E$495,5,FALSE)</f>
        <v>Ikan</v>
      </c>
      <c r="L3683" s="5" t="s">
        <v>471</v>
      </c>
    </row>
    <row r="3684" spans="1:12" ht="12" customHeight="1" x14ac:dyDescent="0.25">
      <c r="A3684" s="6">
        <v>44608</v>
      </c>
      <c r="B3684" s="1">
        <v>2200879</v>
      </c>
      <c r="C3684" s="5" t="s">
        <v>267</v>
      </c>
      <c r="D3684" s="5" t="str">
        <f>VLOOKUP(C3684,[1]master_data!$A$2:$E$495,2,FALSE)</f>
        <v>GARAM</v>
      </c>
      <c r="E3684" s="5">
        <v>1</v>
      </c>
      <c r="F3684" s="5">
        <f>VLOOKUP(C3684,[1]master_data!$A$2:$E$495,3,FALSE)</f>
        <v>3000</v>
      </c>
      <c r="G3684" s="5">
        <f>VLOOKUP(C3684,[1]master_data!$A$2:$E$495,4,FALSE)</f>
        <v>5000</v>
      </c>
      <c r="H3684" s="5">
        <f t="shared" si="177"/>
        <v>3000</v>
      </c>
      <c r="I3684" s="5">
        <f t="shared" si="178"/>
        <v>5000</v>
      </c>
      <c r="J3684" s="5">
        <f t="shared" si="179"/>
        <v>2000</v>
      </c>
      <c r="K3684" s="5" t="str">
        <f>VLOOKUP(C3684,[1]master_data!$A$2:$E$495,5,FALSE)</f>
        <v>Aksesoris</v>
      </c>
      <c r="L3684" s="5" t="s">
        <v>471</v>
      </c>
    </row>
    <row r="3685" spans="1:12" ht="12" customHeight="1" x14ac:dyDescent="0.25">
      <c r="A3685" s="6">
        <v>44608</v>
      </c>
      <c r="B3685" s="1">
        <v>2200878</v>
      </c>
      <c r="C3685" s="5" t="s">
        <v>41</v>
      </c>
      <c r="D3685" s="5" t="str">
        <f>VLOOKUP(C3685,[1]master_data!$A$2:$E$495,2,FALSE)</f>
        <v>MESIN YAMANO ACO 004</v>
      </c>
      <c r="E3685" s="5">
        <v>1</v>
      </c>
      <c r="F3685" s="5">
        <f>VLOOKUP(C3685,[1]master_data!$A$2:$E$495,3,FALSE)</f>
        <v>505000</v>
      </c>
      <c r="G3685" s="5">
        <f>VLOOKUP(C3685,[1]master_data!$A$2:$E$495,4,FALSE)</f>
        <v>550000</v>
      </c>
      <c r="H3685" s="5">
        <f t="shared" si="177"/>
        <v>505000</v>
      </c>
      <c r="I3685" s="5">
        <f t="shared" si="178"/>
        <v>550000</v>
      </c>
      <c r="J3685" s="5">
        <f t="shared" si="179"/>
        <v>45000</v>
      </c>
      <c r="K3685" s="5" t="str">
        <f>VLOOKUP(C3685,[1]master_data!$A$2:$E$495,5,FALSE)</f>
        <v>Aksesoris</v>
      </c>
      <c r="L3685" s="5" t="s">
        <v>471</v>
      </c>
    </row>
    <row r="3686" spans="1:12" ht="12" customHeight="1" x14ac:dyDescent="0.25">
      <c r="A3686" s="6">
        <v>44608</v>
      </c>
      <c r="B3686" s="1">
        <v>2200877</v>
      </c>
      <c r="C3686" s="5" t="s">
        <v>451</v>
      </c>
      <c r="D3686" s="5" t="str">
        <f>VLOOKUP(C3686,[1]master_data!$A$2:$E$495,2,FALSE)</f>
        <v>SUMATRA GOLD FISH</v>
      </c>
      <c r="E3686" s="5">
        <v>10</v>
      </c>
      <c r="F3686" s="5">
        <f>VLOOKUP(C3686,[1]master_data!$A$2:$E$495,3,FALSE)</f>
        <v>2500</v>
      </c>
      <c r="G3686" s="5">
        <f>VLOOKUP(C3686,[1]master_data!$A$2:$E$495,4,FALSE)</f>
        <v>4000</v>
      </c>
      <c r="H3686" s="5">
        <f t="shared" si="177"/>
        <v>25000</v>
      </c>
      <c r="I3686" s="5">
        <f t="shared" si="178"/>
        <v>40000</v>
      </c>
      <c r="J3686" s="5">
        <f t="shared" si="179"/>
        <v>15000</v>
      </c>
      <c r="K3686" s="5" t="str">
        <f>VLOOKUP(C3686,[1]master_data!$A$2:$E$495,5,FALSE)</f>
        <v>Ikan</v>
      </c>
      <c r="L3686" s="5" t="s">
        <v>471</v>
      </c>
    </row>
    <row r="3687" spans="1:12" ht="12" customHeight="1" x14ac:dyDescent="0.25">
      <c r="A3687" s="6">
        <v>44608</v>
      </c>
      <c r="B3687" s="1">
        <v>2200876</v>
      </c>
      <c r="C3687" s="5" t="s">
        <v>285</v>
      </c>
      <c r="D3687" s="5" t="str">
        <f>VLOOKUP(C3687,[1]master_data!$A$2:$E$495,2,FALSE)</f>
        <v>KAPAS 4 LAPIS</v>
      </c>
      <c r="E3687" s="5">
        <v>1</v>
      </c>
      <c r="F3687" s="5">
        <f>VLOOKUP(C3687,[1]master_data!$A$2:$E$495,3,FALSE)</f>
        <v>6500</v>
      </c>
      <c r="G3687" s="5">
        <f>VLOOKUP(C3687,[1]master_data!$A$2:$E$495,4,FALSE)</f>
        <v>10000</v>
      </c>
      <c r="H3687" s="5">
        <f t="shared" si="177"/>
        <v>6500</v>
      </c>
      <c r="I3687" s="5">
        <f t="shared" si="178"/>
        <v>10000</v>
      </c>
      <c r="J3687" s="5">
        <f t="shared" si="179"/>
        <v>3500</v>
      </c>
      <c r="K3687" s="5" t="str">
        <f>VLOOKUP(C3687,[1]master_data!$A$2:$E$495,5,FALSE)</f>
        <v>Aksesoris</v>
      </c>
      <c r="L3687" s="5" t="s">
        <v>471</v>
      </c>
    </row>
    <row r="3688" spans="1:12" ht="12" customHeight="1" x14ac:dyDescent="0.25">
      <c r="A3688" s="6">
        <v>44608</v>
      </c>
      <c r="B3688" s="1">
        <v>2200875</v>
      </c>
      <c r="C3688" s="5" t="s">
        <v>407</v>
      </c>
      <c r="D3688" s="5" t="str">
        <f>VLOOKUP(C3688,[1]master_data!$A$2:$E$495,2,FALSE)</f>
        <v>CUPANG</v>
      </c>
      <c r="E3688" s="5">
        <v>2</v>
      </c>
      <c r="F3688" s="5">
        <f>VLOOKUP(C3688,[1]master_data!$A$2:$E$495,3,FALSE)</f>
        <v>2000</v>
      </c>
      <c r="G3688" s="5">
        <f>VLOOKUP(C3688,[1]master_data!$A$2:$E$495,4,FALSE)</f>
        <v>5000</v>
      </c>
      <c r="H3688" s="5">
        <f t="shared" si="177"/>
        <v>4000</v>
      </c>
      <c r="I3688" s="5">
        <f t="shared" si="178"/>
        <v>10000</v>
      </c>
      <c r="J3688" s="5">
        <f t="shared" si="179"/>
        <v>6000</v>
      </c>
      <c r="K3688" s="5" t="str">
        <f>VLOOKUP(C3688,[1]master_data!$A$2:$E$495,5,FALSE)</f>
        <v>Ikan</v>
      </c>
      <c r="L3688" s="5" t="s">
        <v>471</v>
      </c>
    </row>
    <row r="3689" spans="1:12" ht="12" customHeight="1" x14ac:dyDescent="0.25">
      <c r="A3689" s="6">
        <v>44608</v>
      </c>
      <c r="B3689" s="1">
        <v>2200874</v>
      </c>
      <c r="C3689" s="5" t="s">
        <v>455</v>
      </c>
      <c r="D3689" s="5" t="str">
        <f>VLOOKUP(C3689,[1]master_data!$A$2:$E$495,2,FALSE)</f>
        <v>TETRA</v>
      </c>
      <c r="E3689" s="5">
        <v>10</v>
      </c>
      <c r="F3689" s="5">
        <f>VLOOKUP(C3689,[1]master_data!$A$2:$E$495,3,FALSE)</f>
        <v>800</v>
      </c>
      <c r="G3689" s="5">
        <f>VLOOKUP(C3689,[1]master_data!$A$2:$E$495,4,FALSE)</f>
        <v>2000</v>
      </c>
      <c r="H3689" s="5">
        <f t="shared" si="177"/>
        <v>8000</v>
      </c>
      <c r="I3689" s="5">
        <f t="shared" si="178"/>
        <v>20000</v>
      </c>
      <c r="J3689" s="5">
        <f t="shared" si="179"/>
        <v>12000</v>
      </c>
      <c r="K3689" s="5" t="str">
        <f>VLOOKUP(C3689,[1]master_data!$A$2:$E$495,5,FALSE)</f>
        <v>Ikan</v>
      </c>
      <c r="L3689" s="5" t="s">
        <v>471</v>
      </c>
    </row>
    <row r="3690" spans="1:12" ht="12" customHeight="1" x14ac:dyDescent="0.25">
      <c r="A3690" s="6">
        <v>44608</v>
      </c>
      <c r="B3690" s="1">
        <v>2200873</v>
      </c>
      <c r="C3690" s="5" t="s">
        <v>425</v>
      </c>
      <c r="D3690" s="5" t="str">
        <f>VLOOKUP(C3690,[1]master_data!$A$2:$E$495,2,FALSE)</f>
        <v>CAROLINE</v>
      </c>
      <c r="E3690" s="5">
        <v>10</v>
      </c>
      <c r="F3690" s="5">
        <f>VLOOKUP(C3690,[1]master_data!$A$2:$E$495,3,FALSE)</f>
        <v>900</v>
      </c>
      <c r="G3690" s="5">
        <f>VLOOKUP(C3690,[1]master_data!$A$2:$E$495,4,FALSE)</f>
        <v>2000</v>
      </c>
      <c r="H3690" s="5">
        <f t="shared" si="177"/>
        <v>9000</v>
      </c>
      <c r="I3690" s="5">
        <f t="shared" si="178"/>
        <v>20000</v>
      </c>
      <c r="J3690" s="5">
        <f t="shared" si="179"/>
        <v>11000</v>
      </c>
      <c r="K3690" s="5" t="str">
        <f>VLOOKUP(C3690,[1]master_data!$A$2:$E$495,5,FALSE)</f>
        <v>Ikan</v>
      </c>
      <c r="L3690" s="5" t="s">
        <v>471</v>
      </c>
    </row>
    <row r="3691" spans="1:12" ht="12" customHeight="1" x14ac:dyDescent="0.25">
      <c r="A3691" s="6">
        <v>44608</v>
      </c>
      <c r="B3691" s="1">
        <v>2200872</v>
      </c>
      <c r="C3691" s="5" t="s">
        <v>398</v>
      </c>
      <c r="D3691" s="5" t="str">
        <f>VLOOKUP(C3691,[1]master_data!$A$2:$E$495,2,FALSE)</f>
        <v>BIPOLAR</v>
      </c>
      <c r="E3691" s="5">
        <v>4</v>
      </c>
      <c r="F3691" s="5">
        <f>VLOOKUP(C3691,[1]master_data!$A$2:$E$495,3,FALSE)</f>
        <v>1000</v>
      </c>
      <c r="G3691" s="5">
        <f>VLOOKUP(C3691,[1]master_data!$A$2:$E$495,4,FALSE)</f>
        <v>2500</v>
      </c>
      <c r="H3691" s="5">
        <f t="shared" si="177"/>
        <v>4000</v>
      </c>
      <c r="I3691" s="5">
        <f t="shared" si="178"/>
        <v>10000</v>
      </c>
      <c r="J3691" s="5">
        <f t="shared" si="179"/>
        <v>6000</v>
      </c>
      <c r="K3691" s="5" t="str">
        <f>VLOOKUP(C3691,[1]master_data!$A$2:$E$495,5,FALSE)</f>
        <v>Ikan</v>
      </c>
      <c r="L3691" s="5" t="s">
        <v>471</v>
      </c>
    </row>
    <row r="3692" spans="1:12" ht="12" customHeight="1" x14ac:dyDescent="0.25">
      <c r="A3692" s="6">
        <v>44608</v>
      </c>
      <c r="B3692" s="1">
        <v>2200871</v>
      </c>
      <c r="C3692" s="5" t="s">
        <v>408</v>
      </c>
      <c r="D3692" s="5" t="str">
        <f>VLOOKUP(C3692,[1]master_data!$A$2:$E$495,2,FALSE)</f>
        <v>CATFISH</v>
      </c>
      <c r="E3692" s="5">
        <v>1</v>
      </c>
      <c r="F3692" s="5">
        <f>VLOOKUP(C3692,[1]master_data!$A$2:$E$495,3,FALSE)</f>
        <v>20000</v>
      </c>
      <c r="G3692" s="5">
        <f>VLOOKUP(C3692,[1]master_data!$A$2:$E$495,4,FALSE)</f>
        <v>50000</v>
      </c>
      <c r="H3692" s="5">
        <f t="shared" si="177"/>
        <v>20000</v>
      </c>
      <c r="I3692" s="5">
        <f t="shared" si="178"/>
        <v>50000</v>
      </c>
      <c r="J3692" s="5">
        <f t="shared" si="179"/>
        <v>30000</v>
      </c>
      <c r="K3692" s="5" t="str">
        <f>VLOOKUP(C3692,[1]master_data!$A$2:$E$495,5,FALSE)</f>
        <v>Ikan</v>
      </c>
      <c r="L3692" s="5" t="s">
        <v>471</v>
      </c>
    </row>
    <row r="3693" spans="1:12" ht="12" customHeight="1" x14ac:dyDescent="0.25">
      <c r="A3693" s="6">
        <v>44608</v>
      </c>
      <c r="B3693" s="1">
        <v>2200870</v>
      </c>
      <c r="C3693" s="5" t="s">
        <v>441</v>
      </c>
      <c r="D3693" s="5" t="str">
        <f>VLOOKUP(C3693,[1]master_data!$A$2:$E$495,2,FALSE)</f>
        <v>PEMBERSIH KACA BIASA</v>
      </c>
      <c r="E3693" s="5">
        <v>1</v>
      </c>
      <c r="F3693" s="5">
        <f>VLOOKUP(C3693,[1]master_data!$A$2:$E$495,3,FALSE)</f>
        <v>2000</v>
      </c>
      <c r="G3693" s="5">
        <f>VLOOKUP(C3693,[1]master_data!$A$2:$E$495,4,FALSE)</f>
        <v>5000</v>
      </c>
      <c r="H3693" s="5">
        <f t="shared" si="177"/>
        <v>2000</v>
      </c>
      <c r="I3693" s="5">
        <f t="shared" si="178"/>
        <v>5000</v>
      </c>
      <c r="J3693" s="5">
        <f t="shared" si="179"/>
        <v>3000</v>
      </c>
      <c r="K3693" s="5" t="str">
        <f>VLOOKUP(C3693,[1]master_data!$A$2:$E$495,5,FALSE)</f>
        <v>Ikan</v>
      </c>
      <c r="L3693" s="5" t="s">
        <v>471</v>
      </c>
    </row>
    <row r="3694" spans="1:12" ht="12" customHeight="1" x14ac:dyDescent="0.25">
      <c r="A3694" s="6">
        <v>44608</v>
      </c>
      <c r="B3694" s="1">
        <v>2200869</v>
      </c>
      <c r="C3694" s="5" t="s">
        <v>450</v>
      </c>
      <c r="D3694" s="5" t="str">
        <f>VLOOKUP(C3694,[1]master_data!$A$2:$E$495,2,FALSE)</f>
        <v>SUMATRA BIASA</v>
      </c>
      <c r="E3694" s="5">
        <v>10</v>
      </c>
      <c r="F3694" s="5">
        <f>VLOOKUP(C3694,[1]master_data!$A$2:$E$495,3,FALSE)</f>
        <v>800</v>
      </c>
      <c r="G3694" s="5">
        <f>VLOOKUP(C3694,[1]master_data!$A$2:$E$495,4,FALSE)</f>
        <v>2000</v>
      </c>
      <c r="H3694" s="5">
        <f t="shared" si="177"/>
        <v>8000</v>
      </c>
      <c r="I3694" s="5">
        <f t="shared" si="178"/>
        <v>20000</v>
      </c>
      <c r="J3694" s="5">
        <f t="shared" si="179"/>
        <v>12000</v>
      </c>
      <c r="K3694" s="5" t="str">
        <f>VLOOKUP(C3694,[1]master_data!$A$2:$E$495,5,FALSE)</f>
        <v>Ikan</v>
      </c>
      <c r="L3694" s="5" t="s">
        <v>471</v>
      </c>
    </row>
    <row r="3695" spans="1:12" ht="12" customHeight="1" x14ac:dyDescent="0.25">
      <c r="A3695" s="6">
        <v>44608</v>
      </c>
      <c r="B3695" s="1">
        <v>2200868</v>
      </c>
      <c r="C3695" s="5" t="s">
        <v>310</v>
      </c>
      <c r="D3695" s="5" t="str">
        <f>VLOOKUP(C3695,[1]master_data!$A$2:$E$495,2,FALSE)</f>
        <v>SELANG FUSO</v>
      </c>
      <c r="E3695" s="5">
        <v>25</v>
      </c>
      <c r="F3695" s="5">
        <f>VLOOKUP(C3695,[1]master_data!$A$2:$E$495,3,FALSE)</f>
        <v>800</v>
      </c>
      <c r="G3695" s="5">
        <f>VLOOKUP(C3695,[1]master_data!$A$2:$E$495,4,FALSE)</f>
        <v>2000</v>
      </c>
      <c r="H3695" s="5">
        <f t="shared" si="177"/>
        <v>20000</v>
      </c>
      <c r="I3695" s="5">
        <f t="shared" si="178"/>
        <v>50000</v>
      </c>
      <c r="J3695" s="5">
        <f t="shared" si="179"/>
        <v>30000</v>
      </c>
      <c r="K3695" s="5" t="str">
        <f>VLOOKUP(C3695,[1]master_data!$A$2:$E$495,5,FALSE)</f>
        <v>Aksesoris</v>
      </c>
      <c r="L3695" s="5" t="s">
        <v>471</v>
      </c>
    </row>
    <row r="3696" spans="1:12" ht="12" customHeight="1" x14ac:dyDescent="0.25">
      <c r="A3696" s="6">
        <v>44608</v>
      </c>
      <c r="B3696" s="1">
        <v>2200867</v>
      </c>
      <c r="C3696" s="5" t="s">
        <v>390</v>
      </c>
      <c r="D3696" s="5" t="str">
        <f>VLOOKUP(C3696,[1]master_data!$A$2:$E$495,2,FALSE)</f>
        <v>CHANNA ASIATICA K</v>
      </c>
      <c r="E3696" s="5">
        <v>2</v>
      </c>
      <c r="F3696" s="5">
        <f>VLOOKUP(C3696,[1]master_data!$A$2:$E$495,3,FALSE)</f>
        <v>10000</v>
      </c>
      <c r="G3696" s="5">
        <f>VLOOKUP(C3696,[1]master_data!$A$2:$E$495,4,FALSE)</f>
        <v>40000</v>
      </c>
      <c r="H3696" s="5">
        <f t="shared" si="177"/>
        <v>20000</v>
      </c>
      <c r="I3696" s="5">
        <f t="shared" si="178"/>
        <v>80000</v>
      </c>
      <c r="J3696" s="5">
        <f t="shared" si="179"/>
        <v>60000</v>
      </c>
      <c r="K3696" s="5" t="str">
        <f>VLOOKUP(C3696,[1]master_data!$A$2:$E$495,5,FALSE)</f>
        <v>Ikan</v>
      </c>
      <c r="L3696" s="5" t="s">
        <v>471</v>
      </c>
    </row>
    <row r="3697" spans="1:12" ht="12" customHeight="1" x14ac:dyDescent="0.25">
      <c r="A3697" s="6">
        <v>44608</v>
      </c>
      <c r="B3697" s="1">
        <v>2200866</v>
      </c>
      <c r="C3697" s="5" t="s">
        <v>310</v>
      </c>
      <c r="D3697" s="5" t="str">
        <f>VLOOKUP(C3697,[1]master_data!$A$2:$E$495,2,FALSE)</f>
        <v>SELANG FUSO</v>
      </c>
      <c r="E3697" s="5">
        <v>2</v>
      </c>
      <c r="F3697" s="5">
        <f>VLOOKUP(C3697,[1]master_data!$A$2:$E$495,3,FALSE)</f>
        <v>800</v>
      </c>
      <c r="G3697" s="5">
        <f>VLOOKUP(C3697,[1]master_data!$A$2:$E$495,4,FALSE)</f>
        <v>2000</v>
      </c>
      <c r="H3697" s="5">
        <f t="shared" si="177"/>
        <v>1600</v>
      </c>
      <c r="I3697" s="5">
        <f t="shared" si="178"/>
        <v>4000</v>
      </c>
      <c r="J3697" s="5">
        <f t="shared" si="179"/>
        <v>2400</v>
      </c>
      <c r="K3697" s="5" t="str">
        <f>VLOOKUP(C3697,[1]master_data!$A$2:$E$495,5,FALSE)</f>
        <v>Aksesoris</v>
      </c>
      <c r="L3697" s="5" t="s">
        <v>471</v>
      </c>
    </row>
    <row r="3698" spans="1:12" ht="12" customHeight="1" x14ac:dyDescent="0.25">
      <c r="A3698" s="6">
        <v>44607</v>
      </c>
      <c r="B3698" s="1">
        <v>2200865</v>
      </c>
      <c r="C3698" s="5" t="s">
        <v>304</v>
      </c>
      <c r="D3698" s="5" t="str">
        <f>VLOOKUP(C3698,[1]master_data!$A$2:$E$495,2,FALSE)</f>
        <v>PINSET KANDILA</v>
      </c>
      <c r="E3698" s="5">
        <v>1</v>
      </c>
      <c r="F3698" s="5">
        <f>VLOOKUP(C3698,[1]master_data!$A$2:$E$495,3,FALSE)</f>
        <v>18000</v>
      </c>
      <c r="G3698" s="5">
        <f>VLOOKUP(C3698,[1]master_data!$A$2:$E$495,4,FALSE)</f>
        <v>35000</v>
      </c>
      <c r="H3698" s="5">
        <f t="shared" si="177"/>
        <v>18000</v>
      </c>
      <c r="I3698" s="5">
        <f t="shared" si="178"/>
        <v>35000</v>
      </c>
      <c r="J3698" s="5">
        <f t="shared" si="179"/>
        <v>17000</v>
      </c>
      <c r="K3698" s="5" t="str">
        <f>VLOOKUP(C3698,[1]master_data!$A$2:$E$495,5,FALSE)</f>
        <v>Aksesoris</v>
      </c>
      <c r="L3698" s="5" t="s">
        <v>471</v>
      </c>
    </row>
    <row r="3699" spans="1:12" ht="12" customHeight="1" x14ac:dyDescent="0.25">
      <c r="A3699" s="6">
        <v>44607</v>
      </c>
      <c r="B3699" s="1">
        <v>2200864</v>
      </c>
      <c r="C3699" s="5" t="s">
        <v>450</v>
      </c>
      <c r="D3699" s="5" t="str">
        <f>VLOOKUP(C3699,[1]master_data!$A$2:$E$495,2,FALSE)</f>
        <v>SUMATRA BIASA</v>
      </c>
      <c r="E3699" s="5">
        <v>10</v>
      </c>
      <c r="F3699" s="5">
        <f>VLOOKUP(C3699,[1]master_data!$A$2:$E$495,3,FALSE)</f>
        <v>800</v>
      </c>
      <c r="G3699" s="5">
        <f>VLOOKUP(C3699,[1]master_data!$A$2:$E$495,4,FALSE)</f>
        <v>2000</v>
      </c>
      <c r="H3699" s="5">
        <f t="shared" si="177"/>
        <v>8000</v>
      </c>
      <c r="I3699" s="5">
        <f t="shared" si="178"/>
        <v>20000</v>
      </c>
      <c r="J3699" s="5">
        <f t="shared" si="179"/>
        <v>12000</v>
      </c>
      <c r="K3699" s="5" t="str">
        <f>VLOOKUP(C3699,[1]master_data!$A$2:$E$495,5,FALSE)</f>
        <v>Ikan</v>
      </c>
      <c r="L3699" s="5" t="s">
        <v>471</v>
      </c>
    </row>
    <row r="3700" spans="1:12" ht="12" customHeight="1" x14ac:dyDescent="0.25">
      <c r="A3700" s="6">
        <v>44607</v>
      </c>
      <c r="B3700" s="1">
        <v>2200863</v>
      </c>
      <c r="C3700" s="5" t="s">
        <v>413</v>
      </c>
      <c r="D3700" s="5" t="str">
        <f>VLOOKUP(C3700,[1]master_data!$A$2:$E$495,2,FALSE)</f>
        <v>KOKI K</v>
      </c>
      <c r="E3700" s="5">
        <v>3</v>
      </c>
      <c r="F3700" s="5">
        <f>VLOOKUP(C3700,[1]master_data!$A$2:$E$495,3,FALSE)</f>
        <v>3500</v>
      </c>
      <c r="G3700" s="5">
        <f>VLOOKUP(C3700,[1]master_data!$A$2:$E$495,4,FALSE)</f>
        <v>10000</v>
      </c>
      <c r="H3700" s="5">
        <f t="shared" si="177"/>
        <v>10500</v>
      </c>
      <c r="I3700" s="5">
        <f t="shared" si="178"/>
        <v>30000</v>
      </c>
      <c r="J3700" s="5">
        <f t="shared" si="179"/>
        <v>19500</v>
      </c>
      <c r="K3700" s="5" t="str">
        <f>VLOOKUP(C3700,[1]master_data!$A$2:$E$495,5,FALSE)</f>
        <v>Ikan</v>
      </c>
      <c r="L3700" s="5" t="s">
        <v>471</v>
      </c>
    </row>
    <row r="3701" spans="1:12" ht="12" customHeight="1" x14ac:dyDescent="0.25">
      <c r="A3701" s="6">
        <v>44607</v>
      </c>
      <c r="B3701" s="1">
        <v>2200862</v>
      </c>
      <c r="C3701" s="5" t="s">
        <v>333</v>
      </c>
      <c r="D3701" s="5" t="str">
        <f>VLOOKUP(C3701,[1]master_data!$A$2:$E$495,2,FALSE)</f>
        <v>KAPAS 2 LAPIS</v>
      </c>
      <c r="E3701" s="5">
        <v>1</v>
      </c>
      <c r="F3701" s="5">
        <f>VLOOKUP(C3701,[1]master_data!$A$2:$E$495,3,FALSE)</f>
        <v>2000</v>
      </c>
      <c r="G3701" s="5">
        <f>VLOOKUP(C3701,[1]master_data!$A$2:$E$495,4,FALSE)</f>
        <v>4000</v>
      </c>
      <c r="H3701" s="5">
        <f t="shared" si="177"/>
        <v>2000</v>
      </c>
      <c r="I3701" s="5">
        <f t="shared" si="178"/>
        <v>4000</v>
      </c>
      <c r="J3701" s="5">
        <f t="shared" si="179"/>
        <v>2000</v>
      </c>
      <c r="K3701" s="5" t="str">
        <f>VLOOKUP(C3701,[1]master_data!$A$2:$E$495,5,FALSE)</f>
        <v>Aksesoris</v>
      </c>
      <c r="L3701" s="5" t="s">
        <v>471</v>
      </c>
    </row>
    <row r="3702" spans="1:12" ht="12" customHeight="1" x14ac:dyDescent="0.25">
      <c r="A3702" s="6">
        <v>44607</v>
      </c>
      <c r="B3702" s="1">
        <v>2200861</v>
      </c>
      <c r="C3702" s="5" t="s">
        <v>402</v>
      </c>
      <c r="D3702" s="5" t="str">
        <f>VLOOKUP(C3702,[1]master_data!$A$2:$E$495,2,FALSE)</f>
        <v>BLACK GHOST</v>
      </c>
      <c r="E3702" s="5">
        <v>2</v>
      </c>
      <c r="F3702" s="5">
        <f>VLOOKUP(C3702,[1]master_data!$A$2:$E$495,3,FALSE)</f>
        <v>4000</v>
      </c>
      <c r="G3702" s="5">
        <f>VLOOKUP(C3702,[1]master_data!$A$2:$E$495,4,FALSE)</f>
        <v>10000</v>
      </c>
      <c r="H3702" s="5">
        <f t="shared" si="177"/>
        <v>8000</v>
      </c>
      <c r="I3702" s="5">
        <f t="shared" si="178"/>
        <v>20000</v>
      </c>
      <c r="J3702" s="5">
        <f t="shared" si="179"/>
        <v>12000</v>
      </c>
      <c r="K3702" s="5" t="str">
        <f>VLOOKUP(C3702,[1]master_data!$A$2:$E$495,5,FALSE)</f>
        <v>Ikan</v>
      </c>
      <c r="L3702" s="5" t="s">
        <v>471</v>
      </c>
    </row>
    <row r="3703" spans="1:12" ht="12" customHeight="1" x14ac:dyDescent="0.25">
      <c r="A3703" s="6">
        <v>44607</v>
      </c>
      <c r="B3703" s="1">
        <v>2200860</v>
      </c>
      <c r="C3703" s="5" t="s">
        <v>463</v>
      </c>
      <c r="D3703" s="5" t="str">
        <f>VLOOKUP(C3703,[1]master_data!$A$2:$E$495,2,FALSE)</f>
        <v>CHANNA STEWARTI</v>
      </c>
      <c r="E3703" s="5">
        <v>2</v>
      </c>
      <c r="F3703" s="5">
        <f>VLOOKUP(C3703,[1]master_data!$A$2:$E$495,3,FALSE)</f>
        <v>15000</v>
      </c>
      <c r="G3703" s="5">
        <f>VLOOKUP(C3703,[1]master_data!$A$2:$E$495,4,FALSE)</f>
        <v>40000</v>
      </c>
      <c r="H3703" s="5">
        <f t="shared" si="177"/>
        <v>30000</v>
      </c>
      <c r="I3703" s="5">
        <f t="shared" si="178"/>
        <v>80000</v>
      </c>
      <c r="J3703" s="5">
        <f t="shared" si="179"/>
        <v>50000</v>
      </c>
      <c r="K3703" s="5" t="str">
        <f>VLOOKUP(C3703,[1]master_data!$A$2:$E$495,5,FALSE)</f>
        <v>Ikan</v>
      </c>
      <c r="L3703" s="5" t="s">
        <v>471</v>
      </c>
    </row>
    <row r="3704" spans="1:12" ht="12" customHeight="1" x14ac:dyDescent="0.25">
      <c r="A3704" s="6">
        <v>44607</v>
      </c>
      <c r="B3704" s="1">
        <v>2200859</v>
      </c>
      <c r="C3704" s="5" t="s">
        <v>397</v>
      </c>
      <c r="D3704" s="5" t="str">
        <f>VLOOKUP(C3704,[1]master_data!$A$2:$E$495,2,FALSE)</f>
        <v>ALIGATOR</v>
      </c>
      <c r="E3704" s="5">
        <v>1</v>
      </c>
      <c r="F3704" s="5">
        <f>VLOOKUP(C3704,[1]master_data!$A$2:$E$495,3,FALSE)</f>
        <v>17000</v>
      </c>
      <c r="G3704" s="5">
        <f>VLOOKUP(C3704,[1]master_data!$A$2:$E$495,4,FALSE)</f>
        <v>35000</v>
      </c>
      <c r="H3704" s="5">
        <f t="shared" si="177"/>
        <v>17000</v>
      </c>
      <c r="I3704" s="5">
        <f t="shared" si="178"/>
        <v>35000</v>
      </c>
      <c r="J3704" s="5">
        <f t="shared" si="179"/>
        <v>18000</v>
      </c>
      <c r="K3704" s="5" t="str">
        <f>VLOOKUP(C3704,[1]master_data!$A$2:$E$495,5,FALSE)</f>
        <v>Ikan</v>
      </c>
      <c r="L3704" s="5" t="s">
        <v>471</v>
      </c>
    </row>
    <row r="3705" spans="1:12" ht="12" customHeight="1" x14ac:dyDescent="0.25">
      <c r="A3705" s="6">
        <v>44607</v>
      </c>
      <c r="B3705" s="1">
        <v>2200858</v>
      </c>
      <c r="C3705" s="5" t="s">
        <v>311</v>
      </c>
      <c r="D3705" s="5" t="str">
        <f>VLOOKUP(C3705,[1]master_data!$A$2:$E$495,2,FALSE)</f>
        <v>L PIPA</v>
      </c>
      <c r="E3705" s="5">
        <v>10</v>
      </c>
      <c r="F3705" s="5">
        <f>VLOOKUP(C3705,[1]master_data!$A$2:$E$495,3,FALSE)</f>
        <v>800</v>
      </c>
      <c r="G3705" s="5">
        <f>VLOOKUP(C3705,[1]master_data!$A$2:$E$495,4,FALSE)</f>
        <v>2000</v>
      </c>
      <c r="H3705" s="5">
        <f t="shared" si="177"/>
        <v>8000</v>
      </c>
      <c r="I3705" s="5">
        <f t="shared" si="178"/>
        <v>20000</v>
      </c>
      <c r="J3705" s="5">
        <f t="shared" si="179"/>
        <v>12000</v>
      </c>
      <c r="K3705" s="5" t="str">
        <f>VLOOKUP(C3705,[1]master_data!$A$2:$E$495,5,FALSE)</f>
        <v>Aksesoris</v>
      </c>
      <c r="L3705" s="5" t="s">
        <v>471</v>
      </c>
    </row>
    <row r="3706" spans="1:12" ht="12" customHeight="1" x14ac:dyDescent="0.25">
      <c r="A3706" s="6">
        <v>44607</v>
      </c>
      <c r="B3706" s="1">
        <v>2200857</v>
      </c>
      <c r="C3706" s="5" t="s">
        <v>319</v>
      </c>
      <c r="D3706" s="5" t="str">
        <f>VLOOKUP(C3706,[1]master_data!$A$2:$E$495,2,FALSE)</f>
        <v>KAPAS HIJAU HITAM</v>
      </c>
      <c r="E3706" s="5">
        <v>1</v>
      </c>
      <c r="F3706" s="5">
        <f>VLOOKUP(C3706,[1]master_data!$A$2:$E$495,3,FALSE)</f>
        <v>11000</v>
      </c>
      <c r="G3706" s="5">
        <f>VLOOKUP(C3706,[1]master_data!$A$2:$E$495,4,FALSE)</f>
        <v>15000</v>
      </c>
      <c r="H3706" s="5">
        <f t="shared" si="177"/>
        <v>11000</v>
      </c>
      <c r="I3706" s="5">
        <f t="shared" si="178"/>
        <v>15000</v>
      </c>
      <c r="J3706" s="5">
        <f t="shared" si="179"/>
        <v>4000</v>
      </c>
      <c r="K3706" s="5" t="str">
        <f>VLOOKUP(C3706,[1]master_data!$A$2:$E$495,5,FALSE)</f>
        <v>Aksesoris</v>
      </c>
      <c r="L3706" s="5" t="s">
        <v>471</v>
      </c>
    </row>
    <row r="3707" spans="1:12" ht="12" customHeight="1" x14ac:dyDescent="0.25">
      <c r="A3707" s="6">
        <v>44607</v>
      </c>
      <c r="B3707" s="1">
        <v>2200856</v>
      </c>
      <c r="C3707" s="5" t="s">
        <v>376</v>
      </c>
      <c r="D3707" s="5" t="str">
        <f>VLOOKUP(C3707,[1]master_data!$A$2:$E$495,2,FALSE)</f>
        <v>PASIR MEARAH B</v>
      </c>
      <c r="E3707" s="5">
        <v>1</v>
      </c>
      <c r="F3707" s="5">
        <f>VLOOKUP(C3707,[1]master_data!$A$2:$E$495,3,FALSE)</f>
        <v>8000</v>
      </c>
      <c r="G3707" s="5">
        <f>VLOOKUP(C3707,[1]master_data!$A$2:$E$495,4,FALSE)</f>
        <v>25000</v>
      </c>
      <c r="H3707" s="5">
        <f t="shared" si="177"/>
        <v>8000</v>
      </c>
      <c r="I3707" s="5">
        <f t="shared" si="178"/>
        <v>25000</v>
      </c>
      <c r="J3707" s="5">
        <f t="shared" si="179"/>
        <v>17000</v>
      </c>
      <c r="K3707" s="5" t="str">
        <f>VLOOKUP(C3707,[1]master_data!$A$2:$E$495,5,FALSE)</f>
        <v>Aksesoris</v>
      </c>
      <c r="L3707" s="5" t="s">
        <v>471</v>
      </c>
    </row>
    <row r="3708" spans="1:12" ht="12" customHeight="1" x14ac:dyDescent="0.25">
      <c r="A3708" s="6">
        <v>44607</v>
      </c>
      <c r="B3708" s="1">
        <v>2200855</v>
      </c>
      <c r="C3708" s="5" t="s">
        <v>421</v>
      </c>
      <c r="D3708" s="5" t="str">
        <f>VLOOKUP(C3708,[1]master_data!$A$2:$E$495,2,FALSE)</f>
        <v>KOMET PAKAN</v>
      </c>
      <c r="E3708" s="5">
        <v>10</v>
      </c>
      <c r="F3708" s="5">
        <f>VLOOKUP(C3708,[1]master_data!$A$2:$E$495,3,FALSE)</f>
        <v>300</v>
      </c>
      <c r="G3708" s="5">
        <f>VLOOKUP(C3708,[1]master_data!$A$2:$E$495,4,FALSE)</f>
        <v>1000</v>
      </c>
      <c r="H3708" s="5">
        <f t="shared" si="177"/>
        <v>3000</v>
      </c>
      <c r="I3708" s="5">
        <f t="shared" si="178"/>
        <v>10000</v>
      </c>
      <c r="J3708" s="5">
        <f t="shared" si="179"/>
        <v>7000</v>
      </c>
      <c r="K3708" s="5" t="str">
        <f>VLOOKUP(C3708,[1]master_data!$A$2:$E$495,5,FALSE)</f>
        <v>Ikan</v>
      </c>
      <c r="L3708" s="5" t="s">
        <v>471</v>
      </c>
    </row>
    <row r="3709" spans="1:12" ht="12" customHeight="1" x14ac:dyDescent="0.25">
      <c r="A3709" s="6">
        <v>44607</v>
      </c>
      <c r="B3709" s="1">
        <v>2200854</v>
      </c>
      <c r="C3709" s="5" t="s">
        <v>204</v>
      </c>
      <c r="D3709" s="5" t="str">
        <f>VLOOKUP(C3709,[1]master_data!$A$2:$E$495,2,FALSE)</f>
        <v>MAGOT</v>
      </c>
      <c r="E3709" s="5">
        <v>2</v>
      </c>
      <c r="F3709" s="5">
        <f>VLOOKUP(C3709,[1]master_data!$A$2:$E$495,3,FALSE)</f>
        <v>4500</v>
      </c>
      <c r="G3709" s="5">
        <f>VLOOKUP(C3709,[1]master_data!$A$2:$E$495,4,FALSE)</f>
        <v>10000</v>
      </c>
      <c r="H3709" s="5">
        <f t="shared" si="177"/>
        <v>9000</v>
      </c>
      <c r="I3709" s="5">
        <f t="shared" si="178"/>
        <v>20000</v>
      </c>
      <c r="J3709" s="5">
        <f t="shared" si="179"/>
        <v>11000</v>
      </c>
      <c r="K3709" s="5" t="str">
        <f>VLOOKUP(C3709,[1]master_data!$A$2:$E$495,5,FALSE)</f>
        <v>Aksesoris</v>
      </c>
      <c r="L3709" s="5" t="s">
        <v>471</v>
      </c>
    </row>
    <row r="3710" spans="1:12" ht="12" customHeight="1" x14ac:dyDescent="0.25">
      <c r="A3710" s="6">
        <v>44607</v>
      </c>
      <c r="B3710" s="1">
        <v>2200853</v>
      </c>
      <c r="C3710" s="5" t="s">
        <v>100</v>
      </c>
      <c r="D3710" s="5" t="str">
        <f>VLOOKUP(C3710,[1]master_data!$A$2:$E$495,2,FALSE)</f>
        <v>AIRATOR AMARA LUB 1</v>
      </c>
      <c r="E3710" s="5">
        <v>1</v>
      </c>
      <c r="F3710" s="5">
        <f>VLOOKUP(C3710,[1]master_data!$A$2:$E$495,3,FALSE)</f>
        <v>17500</v>
      </c>
      <c r="G3710" s="5">
        <f>VLOOKUP(C3710,[1]master_data!$A$2:$E$495,4,FALSE)</f>
        <v>30000</v>
      </c>
      <c r="H3710" s="5">
        <f t="shared" si="177"/>
        <v>17500</v>
      </c>
      <c r="I3710" s="5">
        <f t="shared" si="178"/>
        <v>30000</v>
      </c>
      <c r="J3710" s="5">
        <f t="shared" si="179"/>
        <v>12500</v>
      </c>
      <c r="K3710" s="5" t="str">
        <f>VLOOKUP(C3710,[1]master_data!$A$2:$E$495,5,FALSE)</f>
        <v>Aksesoris</v>
      </c>
      <c r="L3710" s="5" t="s">
        <v>471</v>
      </c>
    </row>
    <row r="3711" spans="1:12" ht="12" customHeight="1" x14ac:dyDescent="0.25">
      <c r="A3711" s="6">
        <v>44607</v>
      </c>
      <c r="B3711" s="1">
        <v>2200852</v>
      </c>
      <c r="C3711" s="5" t="s">
        <v>453</v>
      </c>
      <c r="D3711" s="5" t="str">
        <f>VLOOKUP(C3711,[1]master_data!$A$2:$E$495,2,FALSE)</f>
        <v>SYNODONTIS K</v>
      </c>
      <c r="E3711" s="5">
        <v>2</v>
      </c>
      <c r="F3711" s="5">
        <f>VLOOKUP(C3711,[1]master_data!$A$2:$E$495,3,FALSE)</f>
        <v>1500</v>
      </c>
      <c r="G3711" s="5">
        <f>VLOOKUP(C3711,[1]master_data!$A$2:$E$495,4,FALSE)</f>
        <v>5000</v>
      </c>
      <c r="H3711" s="5">
        <f t="shared" si="177"/>
        <v>3000</v>
      </c>
      <c r="I3711" s="5">
        <f t="shared" si="178"/>
        <v>10000</v>
      </c>
      <c r="J3711" s="5">
        <f t="shared" si="179"/>
        <v>7000</v>
      </c>
      <c r="K3711" s="5" t="str">
        <f>VLOOKUP(C3711,[1]master_data!$A$2:$E$495,5,FALSE)</f>
        <v>Ikan</v>
      </c>
      <c r="L3711" s="5" t="s">
        <v>471</v>
      </c>
    </row>
    <row r="3712" spans="1:12" ht="12" customHeight="1" x14ac:dyDescent="0.25">
      <c r="A3712" s="6">
        <v>44607</v>
      </c>
      <c r="B3712" s="1">
        <v>2200851</v>
      </c>
      <c r="C3712" s="5" t="s">
        <v>416</v>
      </c>
      <c r="D3712" s="5" t="str">
        <f>VLOOKUP(C3712,[1]master_data!$A$2:$E$495,2,FALSE)</f>
        <v>KOI K</v>
      </c>
      <c r="E3712" s="5">
        <v>5</v>
      </c>
      <c r="F3712" s="5">
        <f>VLOOKUP(C3712,[1]master_data!$A$2:$E$495,3,FALSE)</f>
        <v>2500</v>
      </c>
      <c r="G3712" s="5">
        <f>VLOOKUP(C3712,[1]master_data!$A$2:$E$495,4,FALSE)</f>
        <v>10000</v>
      </c>
      <c r="H3712" s="5">
        <f t="shared" si="177"/>
        <v>12500</v>
      </c>
      <c r="I3712" s="5">
        <f t="shared" si="178"/>
        <v>50000</v>
      </c>
      <c r="J3712" s="5">
        <f t="shared" si="179"/>
        <v>37500</v>
      </c>
      <c r="K3712" s="5" t="str">
        <f>VLOOKUP(C3712,[1]master_data!$A$2:$E$495,5,FALSE)</f>
        <v>Ikan</v>
      </c>
      <c r="L3712" s="5" t="s">
        <v>471</v>
      </c>
    </row>
    <row r="3713" spans="1:12" ht="12" customHeight="1" x14ac:dyDescent="0.25">
      <c r="A3713" s="6">
        <v>44607</v>
      </c>
      <c r="B3713" s="1">
        <v>2200850</v>
      </c>
      <c r="C3713" s="5" t="s">
        <v>115</v>
      </c>
      <c r="D3713" s="5" t="str">
        <f>VLOOKUP(C3713,[1]master_data!$A$2:$E$495,2,FALSE)</f>
        <v>LED ROSTON 30 CM</v>
      </c>
      <c r="E3713" s="5">
        <v>1</v>
      </c>
      <c r="F3713" s="5">
        <f>VLOOKUP(C3713,[1]master_data!$A$2:$E$495,3,FALSE)</f>
        <v>21000</v>
      </c>
      <c r="G3713" s="5">
        <f>VLOOKUP(C3713,[1]master_data!$A$2:$E$495,4,FALSE)</f>
        <v>35000</v>
      </c>
      <c r="H3713" s="5">
        <f t="shared" si="177"/>
        <v>21000</v>
      </c>
      <c r="I3713" s="5">
        <f t="shared" si="178"/>
        <v>35000</v>
      </c>
      <c r="J3713" s="5">
        <f t="shared" si="179"/>
        <v>14000</v>
      </c>
      <c r="K3713" s="5" t="str">
        <f>VLOOKUP(C3713,[1]master_data!$A$2:$E$495,5,FALSE)</f>
        <v>Aksesoris</v>
      </c>
      <c r="L3713" s="5" t="s">
        <v>471</v>
      </c>
    </row>
    <row r="3714" spans="1:12" ht="12" customHeight="1" x14ac:dyDescent="0.25">
      <c r="A3714" s="6">
        <v>44607</v>
      </c>
      <c r="B3714" s="1">
        <v>2200849</v>
      </c>
      <c r="C3714" s="5" t="s">
        <v>281</v>
      </c>
      <c r="D3714" s="5" t="str">
        <f>VLOOKUP(C3714,[1]master_data!$A$2:$E$495,2,FALSE)</f>
        <v>KRAN 3 W</v>
      </c>
      <c r="E3714" s="5">
        <v>12</v>
      </c>
      <c r="F3714" s="5">
        <f>VLOOKUP(C3714,[1]master_data!$A$2:$E$495,3,FALSE)</f>
        <v>5500</v>
      </c>
      <c r="G3714" s="5">
        <f>VLOOKUP(C3714,[1]master_data!$A$2:$E$495,4,FALSE)</f>
        <v>8000</v>
      </c>
      <c r="H3714" s="5">
        <f t="shared" si="177"/>
        <v>66000</v>
      </c>
      <c r="I3714" s="5">
        <f t="shared" si="178"/>
        <v>96000</v>
      </c>
      <c r="J3714" s="5">
        <f t="shared" si="179"/>
        <v>30000</v>
      </c>
      <c r="K3714" s="5" t="str">
        <f>VLOOKUP(C3714,[1]master_data!$A$2:$E$495,5,FALSE)</f>
        <v>Aksesoris</v>
      </c>
      <c r="L3714" s="5" t="s">
        <v>471</v>
      </c>
    </row>
    <row r="3715" spans="1:12" ht="12" customHeight="1" x14ac:dyDescent="0.25">
      <c r="A3715" s="6">
        <v>44607</v>
      </c>
      <c r="B3715" s="1">
        <v>2200848</v>
      </c>
      <c r="C3715" s="5" t="s">
        <v>419</v>
      </c>
      <c r="D3715" s="5" t="str">
        <f>VLOOKUP(C3715,[1]master_data!$A$2:$E$495,2,FALSE)</f>
        <v>KURA - KURA</v>
      </c>
      <c r="E3715" s="5">
        <v>2</v>
      </c>
      <c r="F3715" s="5">
        <f>VLOOKUP(C3715,[1]master_data!$A$2:$E$495,3,FALSE)</f>
        <v>25000</v>
      </c>
      <c r="G3715" s="5">
        <f>VLOOKUP(C3715,[1]master_data!$A$2:$E$495,4,FALSE)</f>
        <v>35000</v>
      </c>
      <c r="H3715" s="5">
        <f t="shared" si="177"/>
        <v>50000</v>
      </c>
      <c r="I3715" s="5">
        <f t="shared" si="178"/>
        <v>70000</v>
      </c>
      <c r="J3715" s="5">
        <f t="shared" si="179"/>
        <v>20000</v>
      </c>
      <c r="K3715" s="5" t="str">
        <f>VLOOKUP(C3715,[1]master_data!$A$2:$E$495,5,FALSE)</f>
        <v>Ikan</v>
      </c>
      <c r="L3715" s="5" t="s">
        <v>471</v>
      </c>
    </row>
    <row r="3716" spans="1:12" ht="12" customHeight="1" x14ac:dyDescent="0.25">
      <c r="A3716" s="6">
        <v>44607</v>
      </c>
      <c r="B3716" s="1">
        <v>2200847</v>
      </c>
      <c r="C3716" s="5" t="s">
        <v>334</v>
      </c>
      <c r="D3716" s="5" t="str">
        <f>VLOOKUP(C3716,[1]master_data!$A$2:$E$495,2,FALSE)</f>
        <v>KARPET RUMPUT</v>
      </c>
      <c r="E3716" s="5">
        <v>1</v>
      </c>
      <c r="F3716" s="5">
        <f>VLOOKUP(C3716,[1]master_data!$A$2:$E$495,3,FALSE)</f>
        <v>15000</v>
      </c>
      <c r="G3716" s="5">
        <f>VLOOKUP(C3716,[1]master_data!$A$2:$E$495,4,FALSE)</f>
        <v>25000</v>
      </c>
      <c r="H3716" s="5">
        <f t="shared" si="177"/>
        <v>15000</v>
      </c>
      <c r="I3716" s="5">
        <f t="shared" si="178"/>
        <v>25000</v>
      </c>
      <c r="J3716" s="5">
        <f t="shared" si="179"/>
        <v>10000</v>
      </c>
      <c r="K3716" s="5" t="str">
        <f>VLOOKUP(C3716,[1]master_data!$A$2:$E$495,5,FALSE)</f>
        <v>Aksesoris</v>
      </c>
      <c r="L3716" s="5" t="s">
        <v>471</v>
      </c>
    </row>
    <row r="3717" spans="1:12" ht="12" customHeight="1" x14ac:dyDescent="0.25">
      <c r="A3717" s="6">
        <v>44607</v>
      </c>
      <c r="B3717" s="1">
        <v>2200846</v>
      </c>
      <c r="C3717" s="5" t="s">
        <v>447</v>
      </c>
      <c r="D3717" s="5" t="str">
        <f>VLOOKUP(C3717,[1]master_data!$A$2:$E$495,2,FALSE)</f>
        <v>REDFIN ALBINO</v>
      </c>
      <c r="E3717" s="5">
        <v>3</v>
      </c>
      <c r="F3717" s="5">
        <f>VLOOKUP(C3717,[1]master_data!$A$2:$E$495,3,FALSE)</f>
        <v>1500</v>
      </c>
      <c r="G3717" s="5">
        <f>VLOOKUP(C3717,[1]master_data!$A$2:$E$495,4,FALSE)</f>
        <v>4000</v>
      </c>
      <c r="H3717" s="5">
        <f t="shared" ref="H3717:H3780" si="180">E3717*F3717</f>
        <v>4500</v>
      </c>
      <c r="I3717" s="5">
        <f t="shared" ref="I3717:I3780" si="181">E3717*G3717</f>
        <v>12000</v>
      </c>
      <c r="J3717" s="5">
        <f t="shared" ref="J3717:J3780" si="182">I3717-H3717</f>
        <v>7500</v>
      </c>
      <c r="K3717" s="5" t="str">
        <f>VLOOKUP(C3717,[1]master_data!$A$2:$E$495,5,FALSE)</f>
        <v>Ikan</v>
      </c>
      <c r="L3717" s="5" t="s">
        <v>471</v>
      </c>
    </row>
    <row r="3718" spans="1:12" ht="12" customHeight="1" x14ac:dyDescent="0.25">
      <c r="A3718" s="6">
        <v>44607</v>
      </c>
      <c r="B3718" s="1">
        <v>2200845</v>
      </c>
      <c r="C3718" s="5" t="s">
        <v>405</v>
      </c>
      <c r="D3718" s="5" t="str">
        <f>VLOOKUP(C3718,[1]master_data!$A$2:$E$495,2,FALSE)</f>
        <v>KOMET BOKIM</v>
      </c>
      <c r="E3718" s="5">
        <v>5</v>
      </c>
      <c r="F3718" s="5">
        <f>VLOOKUP(C3718,[1]master_data!$A$2:$E$495,3,FALSE)</f>
        <v>1500</v>
      </c>
      <c r="G3718" s="5">
        <f>VLOOKUP(C3718,[1]master_data!$A$2:$E$495,4,FALSE)</f>
        <v>5000</v>
      </c>
      <c r="H3718" s="5">
        <f t="shared" si="180"/>
        <v>7500</v>
      </c>
      <c r="I3718" s="5">
        <f t="shared" si="181"/>
        <v>25000</v>
      </c>
      <c r="J3718" s="5">
        <f t="shared" si="182"/>
        <v>17500</v>
      </c>
      <c r="K3718" s="5" t="str">
        <f>VLOOKUP(C3718,[1]master_data!$A$2:$E$495,5,FALSE)</f>
        <v>Ikan</v>
      </c>
      <c r="L3718" s="5" t="s">
        <v>471</v>
      </c>
    </row>
    <row r="3719" spans="1:12" ht="12" customHeight="1" x14ac:dyDescent="0.25">
      <c r="A3719" s="6">
        <v>44607</v>
      </c>
      <c r="B3719" s="1">
        <v>2200844</v>
      </c>
      <c r="C3719" s="5" t="s">
        <v>335</v>
      </c>
      <c r="D3719" s="5" t="str">
        <f>VLOOKUP(C3719,[1]master_data!$A$2:$E$495,2,FALSE)</f>
        <v>PENJERNIH</v>
      </c>
      <c r="E3719" s="5">
        <v>1</v>
      </c>
      <c r="F3719" s="5">
        <f>VLOOKUP(C3719,[1]master_data!$A$2:$E$495,3,FALSE)</f>
        <v>3000</v>
      </c>
      <c r="G3719" s="5">
        <f>VLOOKUP(C3719,[1]master_data!$A$2:$E$495,4,FALSE)</f>
        <v>8000</v>
      </c>
      <c r="H3719" s="5">
        <f t="shared" si="180"/>
        <v>3000</v>
      </c>
      <c r="I3719" s="5">
        <f t="shared" si="181"/>
        <v>8000</v>
      </c>
      <c r="J3719" s="5">
        <f t="shared" si="182"/>
        <v>5000</v>
      </c>
      <c r="K3719" s="5" t="str">
        <f>VLOOKUP(C3719,[1]master_data!$A$2:$E$495,5,FALSE)</f>
        <v>Aksesoris</v>
      </c>
      <c r="L3719" s="5" t="s">
        <v>471</v>
      </c>
    </row>
    <row r="3720" spans="1:12" ht="12" customHeight="1" x14ac:dyDescent="0.25">
      <c r="A3720" s="6">
        <v>44607</v>
      </c>
      <c r="B3720" s="1">
        <v>2200843</v>
      </c>
      <c r="C3720" s="5" t="s">
        <v>285</v>
      </c>
      <c r="D3720" s="5" t="str">
        <f>VLOOKUP(C3720,[1]master_data!$A$2:$E$495,2,FALSE)</f>
        <v>KAPAS 4 LAPIS</v>
      </c>
      <c r="E3720" s="5">
        <v>1</v>
      </c>
      <c r="F3720" s="5">
        <f>VLOOKUP(C3720,[1]master_data!$A$2:$E$495,3,FALSE)</f>
        <v>6500</v>
      </c>
      <c r="G3720" s="5">
        <f>VLOOKUP(C3720,[1]master_data!$A$2:$E$495,4,FALSE)</f>
        <v>10000</v>
      </c>
      <c r="H3720" s="5">
        <f t="shared" si="180"/>
        <v>6500</v>
      </c>
      <c r="I3720" s="5">
        <f t="shared" si="181"/>
        <v>10000</v>
      </c>
      <c r="J3720" s="5">
        <f t="shared" si="182"/>
        <v>3500</v>
      </c>
      <c r="K3720" s="5" t="str">
        <f>VLOOKUP(C3720,[1]master_data!$A$2:$E$495,5,FALSE)</f>
        <v>Aksesoris</v>
      </c>
      <c r="L3720" s="5" t="s">
        <v>471</v>
      </c>
    </row>
    <row r="3721" spans="1:12" ht="12" customHeight="1" x14ac:dyDescent="0.25">
      <c r="A3721" s="6">
        <v>44606</v>
      </c>
      <c r="B3721" s="1">
        <v>2200842</v>
      </c>
      <c r="C3721" s="5" t="s">
        <v>419</v>
      </c>
      <c r="D3721" s="5" t="str">
        <f>VLOOKUP(C3721,[1]master_data!$A$2:$E$495,2,FALSE)</f>
        <v>KURA - KURA</v>
      </c>
      <c r="E3721" s="5">
        <v>2</v>
      </c>
      <c r="F3721" s="5">
        <f>VLOOKUP(C3721,[1]master_data!$A$2:$E$495,3,FALSE)</f>
        <v>25000</v>
      </c>
      <c r="G3721" s="5">
        <f>VLOOKUP(C3721,[1]master_data!$A$2:$E$495,4,FALSE)</f>
        <v>35000</v>
      </c>
      <c r="H3721" s="5">
        <f t="shared" si="180"/>
        <v>50000</v>
      </c>
      <c r="I3721" s="5">
        <f t="shared" si="181"/>
        <v>70000</v>
      </c>
      <c r="J3721" s="5">
        <f t="shared" si="182"/>
        <v>20000</v>
      </c>
      <c r="K3721" s="5" t="str">
        <f>VLOOKUP(C3721,[1]master_data!$A$2:$E$495,5,FALSE)</f>
        <v>Ikan</v>
      </c>
      <c r="L3721" s="5" t="s">
        <v>471</v>
      </c>
    </row>
    <row r="3722" spans="1:12" ht="12" customHeight="1" x14ac:dyDescent="0.25">
      <c r="A3722" s="6">
        <v>44606</v>
      </c>
      <c r="B3722" s="1">
        <v>2200841</v>
      </c>
      <c r="C3722" s="5" t="s">
        <v>435</v>
      </c>
      <c r="D3722" s="5" t="str">
        <f>VLOOKUP(C3722,[1]master_data!$A$2:$E$495,2,FALSE)</f>
        <v>MOLI BALON</v>
      </c>
      <c r="E3722" s="5">
        <v>10</v>
      </c>
      <c r="F3722" s="5">
        <f>VLOOKUP(C3722,[1]master_data!$A$2:$E$495,3,FALSE)</f>
        <v>800</v>
      </c>
      <c r="G3722" s="5">
        <f>VLOOKUP(C3722,[1]master_data!$A$2:$E$495,4,FALSE)</f>
        <v>2000</v>
      </c>
      <c r="H3722" s="5">
        <f t="shared" si="180"/>
        <v>8000</v>
      </c>
      <c r="I3722" s="5">
        <f t="shared" si="181"/>
        <v>20000</v>
      </c>
      <c r="J3722" s="5">
        <f t="shared" si="182"/>
        <v>12000</v>
      </c>
      <c r="K3722" s="5" t="str">
        <f>VLOOKUP(C3722,[1]master_data!$A$2:$E$495,5,FALSE)</f>
        <v>Ikan</v>
      </c>
      <c r="L3722" s="5" t="s">
        <v>471</v>
      </c>
    </row>
    <row r="3723" spans="1:12" ht="12" customHeight="1" x14ac:dyDescent="0.25">
      <c r="A3723" s="6">
        <v>44606</v>
      </c>
      <c r="B3723" s="1">
        <v>2200840</v>
      </c>
      <c r="C3723" s="5" t="s">
        <v>50</v>
      </c>
      <c r="D3723" s="5" t="str">
        <f>VLOOKUP(C3723,[1]master_data!$A$2:$E$495,2,FALSE)</f>
        <v>MESIN SWI 1600</v>
      </c>
      <c r="E3723" s="5">
        <v>1</v>
      </c>
      <c r="F3723" s="5">
        <f>VLOOKUP(C3723,[1]master_data!$A$2:$E$495,3,FALSE)</f>
        <v>37500</v>
      </c>
      <c r="G3723" s="5">
        <f>VLOOKUP(C3723,[1]master_data!$A$2:$E$495,4,FALSE)</f>
        <v>55000</v>
      </c>
      <c r="H3723" s="5">
        <f t="shared" si="180"/>
        <v>37500</v>
      </c>
      <c r="I3723" s="5">
        <f t="shared" si="181"/>
        <v>55000</v>
      </c>
      <c r="J3723" s="5">
        <f t="shared" si="182"/>
        <v>17500</v>
      </c>
      <c r="K3723" s="5" t="str">
        <f>VLOOKUP(C3723,[1]master_data!$A$2:$E$495,5,FALSE)</f>
        <v>Aksesoris</v>
      </c>
      <c r="L3723" s="5" t="s">
        <v>471</v>
      </c>
    </row>
    <row r="3724" spans="1:12" ht="12" customHeight="1" x14ac:dyDescent="0.25">
      <c r="A3724" s="6">
        <v>44606</v>
      </c>
      <c r="B3724" s="1">
        <v>2200839</v>
      </c>
      <c r="C3724" s="5" t="s">
        <v>376</v>
      </c>
      <c r="D3724" s="5" t="str">
        <f>VLOOKUP(C3724,[1]master_data!$A$2:$E$495,2,FALSE)</f>
        <v>PASIR MEARAH B</v>
      </c>
      <c r="E3724" s="5">
        <v>1</v>
      </c>
      <c r="F3724" s="5">
        <f>VLOOKUP(C3724,[1]master_data!$A$2:$E$495,3,FALSE)</f>
        <v>8000</v>
      </c>
      <c r="G3724" s="5">
        <f>VLOOKUP(C3724,[1]master_data!$A$2:$E$495,4,FALSE)</f>
        <v>25000</v>
      </c>
      <c r="H3724" s="5">
        <f t="shared" si="180"/>
        <v>8000</v>
      </c>
      <c r="I3724" s="5">
        <f t="shared" si="181"/>
        <v>25000</v>
      </c>
      <c r="J3724" s="5">
        <f t="shared" si="182"/>
        <v>17000</v>
      </c>
      <c r="K3724" s="5" t="str">
        <f>VLOOKUP(C3724,[1]master_data!$A$2:$E$495,5,FALSE)</f>
        <v>Aksesoris</v>
      </c>
      <c r="L3724" s="5" t="s">
        <v>471</v>
      </c>
    </row>
    <row r="3725" spans="1:12" ht="12" customHeight="1" x14ac:dyDescent="0.25">
      <c r="A3725" s="6">
        <v>44606</v>
      </c>
      <c r="B3725" s="1">
        <v>2200838</v>
      </c>
      <c r="C3725" s="5" t="s">
        <v>432</v>
      </c>
      <c r="D3725" s="5" t="str">
        <f>VLOOKUP(C3725,[1]master_data!$A$2:$E$495,2,FALSE)</f>
        <v>MARU K</v>
      </c>
      <c r="E3725" s="5">
        <v>3</v>
      </c>
      <c r="F3725" s="5">
        <f>VLOOKUP(C3725,[1]master_data!$A$2:$E$495,3,FALSE)</f>
        <v>23000</v>
      </c>
      <c r="G3725" s="5">
        <f>VLOOKUP(C3725,[1]master_data!$A$2:$E$495,4,FALSE)</f>
        <v>50000</v>
      </c>
      <c r="H3725" s="5">
        <f t="shared" si="180"/>
        <v>69000</v>
      </c>
      <c r="I3725" s="5">
        <f t="shared" si="181"/>
        <v>150000</v>
      </c>
      <c r="J3725" s="5">
        <f t="shared" si="182"/>
        <v>81000</v>
      </c>
      <c r="K3725" s="5" t="str">
        <f>VLOOKUP(C3725,[1]master_data!$A$2:$E$495,5,FALSE)</f>
        <v>Ikan</v>
      </c>
      <c r="L3725" s="5" t="s">
        <v>471</v>
      </c>
    </row>
    <row r="3726" spans="1:12" ht="12" customHeight="1" x14ac:dyDescent="0.25">
      <c r="A3726" s="6">
        <v>44606</v>
      </c>
      <c r="B3726" s="1">
        <v>2200837</v>
      </c>
      <c r="C3726" s="5" t="s">
        <v>19</v>
      </c>
      <c r="D3726" s="5" t="str">
        <f>VLOOKUP(C3726,[1]master_data!$A$2:$E$495,2,FALSE)</f>
        <v>MESIN ROSTON 1000 L</v>
      </c>
      <c r="E3726" s="5">
        <v>1</v>
      </c>
      <c r="F3726" s="5">
        <f>VLOOKUP(C3726,[1]master_data!$A$2:$E$495,3,FALSE)</f>
        <v>30000</v>
      </c>
      <c r="G3726" s="5">
        <f>VLOOKUP(C3726,[1]master_data!$A$2:$E$495,4,FALSE)</f>
        <v>45000</v>
      </c>
      <c r="H3726" s="5">
        <f t="shared" si="180"/>
        <v>30000</v>
      </c>
      <c r="I3726" s="5">
        <f t="shared" si="181"/>
        <v>45000</v>
      </c>
      <c r="J3726" s="5">
        <f t="shared" si="182"/>
        <v>15000</v>
      </c>
      <c r="K3726" s="5" t="str">
        <f>VLOOKUP(C3726,[1]master_data!$A$2:$E$495,5,FALSE)</f>
        <v>Aksesoris</v>
      </c>
      <c r="L3726" s="5" t="s">
        <v>471</v>
      </c>
    </row>
    <row r="3727" spans="1:12" ht="12" customHeight="1" x14ac:dyDescent="0.25">
      <c r="A3727" s="6">
        <v>44606</v>
      </c>
      <c r="B3727" s="1">
        <v>2200836</v>
      </c>
      <c r="C3727" s="5" t="s">
        <v>446</v>
      </c>
      <c r="D3727" s="5" t="str">
        <f>VLOOKUP(C3727,[1]master_data!$A$2:$E$495,2,FALSE)</f>
        <v>REDFIN HITAM</v>
      </c>
      <c r="E3727" s="5">
        <v>5</v>
      </c>
      <c r="F3727" s="5">
        <f>VLOOKUP(C3727,[1]master_data!$A$2:$E$495,3,FALSE)</f>
        <v>1500</v>
      </c>
      <c r="G3727" s="5">
        <f>VLOOKUP(C3727,[1]master_data!$A$2:$E$495,4,FALSE)</f>
        <v>4000</v>
      </c>
      <c r="H3727" s="5">
        <f t="shared" si="180"/>
        <v>7500</v>
      </c>
      <c r="I3727" s="5">
        <f t="shared" si="181"/>
        <v>20000</v>
      </c>
      <c r="J3727" s="5">
        <f t="shared" si="182"/>
        <v>12500</v>
      </c>
      <c r="K3727" s="5" t="str">
        <f>VLOOKUP(C3727,[1]master_data!$A$2:$E$495,5,FALSE)</f>
        <v>Ikan</v>
      </c>
      <c r="L3727" s="5" t="s">
        <v>471</v>
      </c>
    </row>
    <row r="3728" spans="1:12" ht="12" customHeight="1" x14ac:dyDescent="0.25">
      <c r="A3728" s="6">
        <v>44606</v>
      </c>
      <c r="B3728" s="1">
        <v>2200835</v>
      </c>
      <c r="C3728" s="5" t="s">
        <v>31</v>
      </c>
      <c r="D3728" s="5" t="str">
        <f>VLOOKUP(C3728,[1]master_data!$A$2:$E$495,2,FALSE)</f>
        <v>TOP FILTER ROSTON B</v>
      </c>
      <c r="E3728" s="5">
        <v>1</v>
      </c>
      <c r="F3728" s="5">
        <f>VLOOKUP(C3728,[1]master_data!$A$2:$E$495,3,FALSE)</f>
        <v>35000</v>
      </c>
      <c r="G3728" s="5">
        <f>VLOOKUP(C3728,[1]master_data!$A$2:$E$495,4,FALSE)</f>
        <v>65000</v>
      </c>
      <c r="H3728" s="5">
        <f t="shared" si="180"/>
        <v>35000</v>
      </c>
      <c r="I3728" s="5">
        <f t="shared" si="181"/>
        <v>65000</v>
      </c>
      <c r="J3728" s="5">
        <f t="shared" si="182"/>
        <v>30000</v>
      </c>
      <c r="K3728" s="5" t="str">
        <f>VLOOKUP(C3728,[1]master_data!$A$2:$E$495,5,FALSE)</f>
        <v>Aksesoris</v>
      </c>
      <c r="L3728" s="5" t="s">
        <v>471</v>
      </c>
    </row>
    <row r="3729" spans="1:12" ht="12" customHeight="1" x14ac:dyDescent="0.25">
      <c r="A3729" s="6">
        <v>44606</v>
      </c>
      <c r="B3729" s="1">
        <v>2200834</v>
      </c>
      <c r="C3729" s="5" t="s">
        <v>463</v>
      </c>
      <c r="D3729" s="5" t="str">
        <f>VLOOKUP(C3729,[1]master_data!$A$2:$E$495,2,FALSE)</f>
        <v>CHANNA STEWARTI</v>
      </c>
      <c r="E3729" s="5">
        <v>2</v>
      </c>
      <c r="F3729" s="5">
        <f>VLOOKUP(C3729,[1]master_data!$A$2:$E$495,3,FALSE)</f>
        <v>15000</v>
      </c>
      <c r="G3729" s="5">
        <f>VLOOKUP(C3729,[1]master_data!$A$2:$E$495,4,FALSE)</f>
        <v>40000</v>
      </c>
      <c r="H3729" s="5">
        <f t="shared" si="180"/>
        <v>30000</v>
      </c>
      <c r="I3729" s="5">
        <f t="shared" si="181"/>
        <v>80000</v>
      </c>
      <c r="J3729" s="5">
        <f t="shared" si="182"/>
        <v>50000</v>
      </c>
      <c r="K3729" s="5" t="str">
        <f>VLOOKUP(C3729,[1]master_data!$A$2:$E$495,5,FALSE)</f>
        <v>Ikan</v>
      </c>
      <c r="L3729" s="5" t="s">
        <v>471</v>
      </c>
    </row>
    <row r="3730" spans="1:12" ht="12" customHeight="1" x14ac:dyDescent="0.25">
      <c r="A3730" s="6">
        <v>44606</v>
      </c>
      <c r="B3730" s="1">
        <v>2200833</v>
      </c>
      <c r="C3730" s="5" t="s">
        <v>431</v>
      </c>
      <c r="D3730" s="5" t="str">
        <f>VLOOKUP(C3730,[1]master_data!$A$2:$E$495,2,FALSE)</f>
        <v>MANFISH B</v>
      </c>
      <c r="E3730" s="5">
        <v>3</v>
      </c>
      <c r="F3730" s="5">
        <f>VLOOKUP(C3730,[1]master_data!$A$2:$E$495,3,FALSE)</f>
        <v>4000</v>
      </c>
      <c r="G3730" s="5">
        <f>VLOOKUP(C3730,[1]master_data!$A$2:$E$495,4,FALSE)</f>
        <v>10000</v>
      </c>
      <c r="H3730" s="5">
        <f t="shared" si="180"/>
        <v>12000</v>
      </c>
      <c r="I3730" s="5">
        <f t="shared" si="181"/>
        <v>30000</v>
      </c>
      <c r="J3730" s="5">
        <f t="shared" si="182"/>
        <v>18000</v>
      </c>
      <c r="K3730" s="5" t="str">
        <f>VLOOKUP(C3730,[1]master_data!$A$2:$E$495,5,FALSE)</f>
        <v>Ikan</v>
      </c>
      <c r="L3730" s="5" t="s">
        <v>471</v>
      </c>
    </row>
    <row r="3731" spans="1:12" ht="12" customHeight="1" x14ac:dyDescent="0.25">
      <c r="A3731" s="6">
        <v>44606</v>
      </c>
      <c r="B3731" s="1">
        <v>2200832</v>
      </c>
      <c r="C3731" s="5" t="s">
        <v>409</v>
      </c>
      <c r="D3731" s="5" t="str">
        <f>VLOOKUP(C3731,[1]master_data!$A$2:$E$495,2,FALSE)</f>
        <v>GOLD FISH</v>
      </c>
      <c r="E3731" s="5">
        <v>30</v>
      </c>
      <c r="F3731" s="5">
        <f>VLOOKUP(C3731,[1]master_data!$A$2:$E$495,3,FALSE)</f>
        <v>800</v>
      </c>
      <c r="G3731" s="5">
        <f>VLOOKUP(C3731,[1]master_data!$A$2:$E$495,4,FALSE)</f>
        <v>2000</v>
      </c>
      <c r="H3731" s="5">
        <f t="shared" si="180"/>
        <v>24000</v>
      </c>
      <c r="I3731" s="5">
        <f t="shared" si="181"/>
        <v>60000</v>
      </c>
      <c r="J3731" s="5">
        <f t="shared" si="182"/>
        <v>36000</v>
      </c>
      <c r="K3731" s="5" t="str">
        <f>VLOOKUP(C3731,[1]master_data!$A$2:$E$495,5,FALSE)</f>
        <v>Ikan</v>
      </c>
      <c r="L3731" s="5" t="s">
        <v>471</v>
      </c>
    </row>
    <row r="3732" spans="1:12" ht="12" customHeight="1" x14ac:dyDescent="0.25">
      <c r="A3732" s="6">
        <v>44606</v>
      </c>
      <c r="B3732" s="1">
        <v>2200831</v>
      </c>
      <c r="C3732" s="5" t="s">
        <v>407</v>
      </c>
      <c r="D3732" s="5" t="str">
        <f>VLOOKUP(C3732,[1]master_data!$A$2:$E$495,2,FALSE)</f>
        <v>CUPANG</v>
      </c>
      <c r="E3732" s="5">
        <v>3</v>
      </c>
      <c r="F3732" s="5">
        <f>VLOOKUP(C3732,[1]master_data!$A$2:$E$495,3,FALSE)</f>
        <v>2000</v>
      </c>
      <c r="G3732" s="5">
        <f>VLOOKUP(C3732,[1]master_data!$A$2:$E$495,4,FALSE)</f>
        <v>5000</v>
      </c>
      <c r="H3732" s="5">
        <f t="shared" si="180"/>
        <v>6000</v>
      </c>
      <c r="I3732" s="5">
        <f t="shared" si="181"/>
        <v>15000</v>
      </c>
      <c r="J3732" s="5">
        <f t="shared" si="182"/>
        <v>9000</v>
      </c>
      <c r="K3732" s="5" t="str">
        <f>VLOOKUP(C3732,[1]master_data!$A$2:$E$495,5,FALSE)</f>
        <v>Ikan</v>
      </c>
      <c r="L3732" s="5" t="s">
        <v>471</v>
      </c>
    </row>
    <row r="3733" spans="1:12" ht="12" customHeight="1" x14ac:dyDescent="0.25">
      <c r="A3733" s="6">
        <v>44606</v>
      </c>
      <c r="B3733" s="1">
        <v>2200830</v>
      </c>
      <c r="C3733" s="5" t="s">
        <v>401</v>
      </c>
      <c r="D3733" s="5" t="str">
        <f>VLOOKUP(C3733,[1]master_data!$A$2:$E$495,2,FALSE)</f>
        <v>BALA BALA B</v>
      </c>
      <c r="E3733" s="5">
        <v>3</v>
      </c>
      <c r="F3733" s="5">
        <f>VLOOKUP(C3733,[1]master_data!$A$2:$E$495,3,FALSE)</f>
        <v>7000</v>
      </c>
      <c r="G3733" s="5">
        <f>VLOOKUP(C3733,[1]master_data!$A$2:$E$495,4,FALSE)</f>
        <v>15000</v>
      </c>
      <c r="H3733" s="5">
        <f t="shared" si="180"/>
        <v>21000</v>
      </c>
      <c r="I3733" s="5">
        <f t="shared" si="181"/>
        <v>45000</v>
      </c>
      <c r="J3733" s="5">
        <f t="shared" si="182"/>
        <v>24000</v>
      </c>
      <c r="K3733" s="5" t="str">
        <f>VLOOKUP(C3733,[1]master_data!$A$2:$E$495,5,FALSE)</f>
        <v>Ikan</v>
      </c>
      <c r="L3733" s="5" t="s">
        <v>471</v>
      </c>
    </row>
    <row r="3734" spans="1:12" ht="12" customHeight="1" x14ac:dyDescent="0.25">
      <c r="A3734" s="6">
        <v>44606</v>
      </c>
      <c r="B3734" s="1">
        <v>2200829</v>
      </c>
      <c r="C3734" s="5" t="s">
        <v>434</v>
      </c>
      <c r="D3734" s="5" t="str">
        <f>VLOOKUP(C3734,[1]master_data!$A$2:$E$495,2,FALSE)</f>
        <v>MOLI PAKAN</v>
      </c>
      <c r="E3734" s="5">
        <v>50</v>
      </c>
      <c r="F3734" s="5">
        <f>VLOOKUP(C3734,[1]master_data!$A$2:$E$495,3,FALSE)</f>
        <v>100</v>
      </c>
      <c r="G3734" s="5">
        <f>VLOOKUP(C3734,[1]master_data!$A$2:$E$495,4,FALSE)</f>
        <v>200</v>
      </c>
      <c r="H3734" s="5">
        <f t="shared" si="180"/>
        <v>5000</v>
      </c>
      <c r="I3734" s="5">
        <f t="shared" si="181"/>
        <v>10000</v>
      </c>
      <c r="J3734" s="5">
        <f t="shared" si="182"/>
        <v>5000</v>
      </c>
      <c r="K3734" s="5" t="str">
        <f>VLOOKUP(C3734,[1]master_data!$A$2:$E$495,5,FALSE)</f>
        <v>Ikan</v>
      </c>
      <c r="L3734" s="5" t="s">
        <v>471</v>
      </c>
    </row>
    <row r="3735" spans="1:12" ht="12" customHeight="1" x14ac:dyDescent="0.25">
      <c r="A3735" s="6">
        <v>44606</v>
      </c>
      <c r="B3735" s="1">
        <v>2200828</v>
      </c>
      <c r="C3735" s="5" t="s">
        <v>400</v>
      </c>
      <c r="D3735" s="5" t="str">
        <f>VLOOKUP(C3735,[1]master_data!$A$2:$E$495,2,FALSE)</f>
        <v>BALA BALA K</v>
      </c>
      <c r="E3735" s="5">
        <v>5</v>
      </c>
      <c r="F3735" s="5">
        <f>VLOOKUP(C3735,[1]master_data!$A$2:$E$495,3,FALSE)</f>
        <v>4000</v>
      </c>
      <c r="G3735" s="5">
        <f>VLOOKUP(C3735,[1]master_data!$A$2:$E$495,4,FALSE)</f>
        <v>8000</v>
      </c>
      <c r="H3735" s="5">
        <f t="shared" si="180"/>
        <v>20000</v>
      </c>
      <c r="I3735" s="5">
        <f t="shared" si="181"/>
        <v>40000</v>
      </c>
      <c r="J3735" s="5">
        <f t="shared" si="182"/>
        <v>20000</v>
      </c>
      <c r="K3735" s="5" t="str">
        <f>VLOOKUP(C3735,[1]master_data!$A$2:$E$495,5,FALSE)</f>
        <v>Ikan</v>
      </c>
      <c r="L3735" s="5" t="s">
        <v>471</v>
      </c>
    </row>
    <row r="3736" spans="1:12" ht="12" customHeight="1" x14ac:dyDescent="0.25">
      <c r="A3736" s="6">
        <v>44606</v>
      </c>
      <c r="B3736" s="1">
        <v>2200827</v>
      </c>
      <c r="C3736" s="5" t="s">
        <v>427</v>
      </c>
      <c r="D3736" s="5" t="str">
        <f>VLOOKUP(C3736,[1]master_data!$A$2:$E$495,2,FALSE)</f>
        <v>LEMON</v>
      </c>
      <c r="E3736" s="5">
        <v>10</v>
      </c>
      <c r="F3736" s="5">
        <f>VLOOKUP(C3736,[1]master_data!$A$2:$E$495,3,FALSE)</f>
        <v>1000</v>
      </c>
      <c r="G3736" s="5">
        <f>VLOOKUP(C3736,[1]master_data!$A$2:$E$495,4,FALSE)</f>
        <v>2000</v>
      </c>
      <c r="H3736" s="5">
        <f t="shared" si="180"/>
        <v>10000</v>
      </c>
      <c r="I3736" s="5">
        <f t="shared" si="181"/>
        <v>20000</v>
      </c>
      <c r="J3736" s="5">
        <f t="shared" si="182"/>
        <v>10000</v>
      </c>
      <c r="K3736" s="5" t="str">
        <f>VLOOKUP(C3736,[1]master_data!$A$2:$E$495,5,FALSE)</f>
        <v>Ikan</v>
      </c>
      <c r="L3736" s="5" t="s">
        <v>471</v>
      </c>
    </row>
    <row r="3737" spans="1:12" ht="12" customHeight="1" x14ac:dyDescent="0.25">
      <c r="A3737" s="6">
        <v>44606</v>
      </c>
      <c r="B3737" s="1">
        <v>2200826</v>
      </c>
      <c r="C3737" s="5" t="s">
        <v>452</v>
      </c>
      <c r="D3737" s="5" t="str">
        <f>VLOOKUP(C3737,[1]master_data!$A$2:$E$495,2,FALSE)</f>
        <v>SNOW WHITE</v>
      </c>
      <c r="E3737" s="5">
        <v>10</v>
      </c>
      <c r="F3737" s="5">
        <f>VLOOKUP(C3737,[1]master_data!$A$2:$E$495,3,FALSE)</f>
        <v>1500</v>
      </c>
      <c r="G3737" s="5">
        <f>VLOOKUP(C3737,[1]master_data!$A$2:$E$495,4,FALSE)</f>
        <v>3000</v>
      </c>
      <c r="H3737" s="5">
        <f t="shared" si="180"/>
        <v>15000</v>
      </c>
      <c r="I3737" s="5">
        <f t="shared" si="181"/>
        <v>30000</v>
      </c>
      <c r="J3737" s="5">
        <f t="shared" si="182"/>
        <v>15000</v>
      </c>
      <c r="K3737" s="5" t="str">
        <f>VLOOKUP(C3737,[1]master_data!$A$2:$E$495,5,FALSE)</f>
        <v>Ikan</v>
      </c>
      <c r="L3737" s="5" t="s">
        <v>471</v>
      </c>
    </row>
    <row r="3738" spans="1:12" ht="12" customHeight="1" x14ac:dyDescent="0.25">
      <c r="A3738" s="6">
        <v>44606</v>
      </c>
      <c r="B3738" s="1">
        <v>2200825</v>
      </c>
      <c r="C3738" s="5" t="s">
        <v>115</v>
      </c>
      <c r="D3738" s="5" t="str">
        <f>VLOOKUP(C3738,[1]master_data!$A$2:$E$495,2,FALSE)</f>
        <v>LED ROSTON 30 CM</v>
      </c>
      <c r="E3738" s="5">
        <v>1</v>
      </c>
      <c r="F3738" s="5">
        <f>VLOOKUP(C3738,[1]master_data!$A$2:$E$495,3,FALSE)</f>
        <v>21000</v>
      </c>
      <c r="G3738" s="5">
        <f>VLOOKUP(C3738,[1]master_data!$A$2:$E$495,4,FALSE)</f>
        <v>35000</v>
      </c>
      <c r="H3738" s="5">
        <f t="shared" si="180"/>
        <v>21000</v>
      </c>
      <c r="I3738" s="5">
        <f t="shared" si="181"/>
        <v>35000</v>
      </c>
      <c r="J3738" s="5">
        <f t="shared" si="182"/>
        <v>14000</v>
      </c>
      <c r="K3738" s="5" t="str">
        <f>VLOOKUP(C3738,[1]master_data!$A$2:$E$495,5,FALSE)</f>
        <v>Aksesoris</v>
      </c>
      <c r="L3738" s="5" t="s">
        <v>471</v>
      </c>
    </row>
    <row r="3739" spans="1:12" ht="12" customHeight="1" x14ac:dyDescent="0.25">
      <c r="A3739" s="6">
        <v>44605</v>
      </c>
      <c r="B3739" s="1">
        <v>2200824</v>
      </c>
      <c r="C3739" s="5" t="s">
        <v>413</v>
      </c>
      <c r="D3739" s="5" t="str">
        <f>VLOOKUP(C3739,[1]master_data!$A$2:$E$495,2,FALSE)</f>
        <v>KOKI K</v>
      </c>
      <c r="E3739" s="5">
        <v>3</v>
      </c>
      <c r="F3739" s="5">
        <f>VLOOKUP(C3739,[1]master_data!$A$2:$E$495,3,FALSE)</f>
        <v>3500</v>
      </c>
      <c r="G3739" s="5">
        <f>VLOOKUP(C3739,[1]master_data!$A$2:$E$495,4,FALSE)</f>
        <v>10000</v>
      </c>
      <c r="H3739" s="5">
        <f t="shared" si="180"/>
        <v>10500</v>
      </c>
      <c r="I3739" s="5">
        <f t="shared" si="181"/>
        <v>30000</v>
      </c>
      <c r="J3739" s="5">
        <f t="shared" si="182"/>
        <v>19500</v>
      </c>
      <c r="K3739" s="5" t="str">
        <f>VLOOKUP(C3739,[1]master_data!$A$2:$E$495,5,FALSE)</f>
        <v>Ikan</v>
      </c>
      <c r="L3739" s="5" t="s">
        <v>471</v>
      </c>
    </row>
    <row r="3740" spans="1:12" ht="12" customHeight="1" x14ac:dyDescent="0.25">
      <c r="A3740" s="6">
        <v>44605</v>
      </c>
      <c r="B3740" s="1">
        <v>2200823</v>
      </c>
      <c r="C3740" s="5" t="s">
        <v>333</v>
      </c>
      <c r="D3740" s="5" t="str">
        <f>VLOOKUP(C3740,[1]master_data!$A$2:$E$495,2,FALSE)</f>
        <v>KAPAS 2 LAPIS</v>
      </c>
      <c r="E3740" s="5">
        <v>5</v>
      </c>
      <c r="F3740" s="5">
        <f>VLOOKUP(C3740,[1]master_data!$A$2:$E$495,3,FALSE)</f>
        <v>2000</v>
      </c>
      <c r="G3740" s="5">
        <f>VLOOKUP(C3740,[1]master_data!$A$2:$E$495,4,FALSE)</f>
        <v>4000</v>
      </c>
      <c r="H3740" s="5">
        <f t="shared" si="180"/>
        <v>10000</v>
      </c>
      <c r="I3740" s="5">
        <f t="shared" si="181"/>
        <v>20000</v>
      </c>
      <c r="J3740" s="5">
        <f t="shared" si="182"/>
        <v>10000</v>
      </c>
      <c r="K3740" s="5" t="str">
        <f>VLOOKUP(C3740,[1]master_data!$A$2:$E$495,5,FALSE)</f>
        <v>Aksesoris</v>
      </c>
      <c r="L3740" s="5" t="s">
        <v>471</v>
      </c>
    </row>
    <row r="3741" spans="1:12" ht="12" customHeight="1" x14ac:dyDescent="0.25">
      <c r="A3741" s="6">
        <v>44605</v>
      </c>
      <c r="B3741" s="1">
        <v>2200822</v>
      </c>
      <c r="C3741" s="5" t="s">
        <v>409</v>
      </c>
      <c r="D3741" s="5" t="str">
        <f>VLOOKUP(C3741,[1]master_data!$A$2:$E$495,2,FALSE)</f>
        <v>GOLD FISH</v>
      </c>
      <c r="E3741" s="5">
        <v>10</v>
      </c>
      <c r="F3741" s="5">
        <f>VLOOKUP(C3741,[1]master_data!$A$2:$E$495,3,FALSE)</f>
        <v>800</v>
      </c>
      <c r="G3741" s="5">
        <f>VLOOKUP(C3741,[1]master_data!$A$2:$E$495,4,FALSE)</f>
        <v>2000</v>
      </c>
      <c r="H3741" s="5">
        <f t="shared" si="180"/>
        <v>8000</v>
      </c>
      <c r="I3741" s="5">
        <f t="shared" si="181"/>
        <v>20000</v>
      </c>
      <c r="J3741" s="5">
        <f t="shared" si="182"/>
        <v>12000</v>
      </c>
      <c r="K3741" s="5" t="str">
        <f>VLOOKUP(C3741,[1]master_data!$A$2:$E$495,5,FALSE)</f>
        <v>Ikan</v>
      </c>
      <c r="L3741" s="5" t="s">
        <v>471</v>
      </c>
    </row>
    <row r="3742" spans="1:12" ht="12" customHeight="1" x14ac:dyDescent="0.25">
      <c r="A3742" s="6">
        <v>44605</v>
      </c>
      <c r="B3742" s="1">
        <v>2200821</v>
      </c>
      <c r="C3742" s="5" t="s">
        <v>460</v>
      </c>
      <c r="D3742" s="5" t="str">
        <f>VLOOKUP(C3742,[1]master_data!$A$2:$E$495,2,FALSE)</f>
        <v>ZEBRA KUNING</v>
      </c>
      <c r="E3742" s="5">
        <v>5</v>
      </c>
      <c r="F3742" s="5">
        <f>VLOOKUP(C3742,[1]master_data!$A$2:$E$495,3,FALSE)</f>
        <v>800</v>
      </c>
      <c r="G3742" s="5">
        <f>VLOOKUP(C3742,[1]master_data!$A$2:$E$495,4,FALSE)</f>
        <v>2000</v>
      </c>
      <c r="H3742" s="5">
        <f t="shared" si="180"/>
        <v>4000</v>
      </c>
      <c r="I3742" s="5">
        <f t="shared" si="181"/>
        <v>10000</v>
      </c>
      <c r="J3742" s="5">
        <f t="shared" si="182"/>
        <v>6000</v>
      </c>
      <c r="K3742" s="5" t="str">
        <f>VLOOKUP(C3742,[1]master_data!$A$2:$E$495,5,FALSE)</f>
        <v>Ikan</v>
      </c>
      <c r="L3742" s="5" t="s">
        <v>471</v>
      </c>
    </row>
    <row r="3743" spans="1:12" ht="12" customHeight="1" x14ac:dyDescent="0.25">
      <c r="A3743" s="6">
        <v>44605</v>
      </c>
      <c r="B3743" s="1">
        <v>2200820</v>
      </c>
      <c r="C3743" s="5" t="s">
        <v>419</v>
      </c>
      <c r="D3743" s="5" t="str">
        <f>VLOOKUP(C3743,[1]master_data!$A$2:$E$495,2,FALSE)</f>
        <v>KURA - KURA</v>
      </c>
      <c r="E3743" s="5">
        <v>2</v>
      </c>
      <c r="F3743" s="5">
        <f>VLOOKUP(C3743,[1]master_data!$A$2:$E$495,3,FALSE)</f>
        <v>25000</v>
      </c>
      <c r="G3743" s="5">
        <f>VLOOKUP(C3743,[1]master_data!$A$2:$E$495,4,FALSE)</f>
        <v>35000</v>
      </c>
      <c r="H3743" s="5">
        <f t="shared" si="180"/>
        <v>50000</v>
      </c>
      <c r="I3743" s="5">
        <f t="shared" si="181"/>
        <v>70000</v>
      </c>
      <c r="J3743" s="5">
        <f t="shared" si="182"/>
        <v>20000</v>
      </c>
      <c r="K3743" s="5" t="str">
        <f>VLOOKUP(C3743,[1]master_data!$A$2:$E$495,5,FALSE)</f>
        <v>Ikan</v>
      </c>
      <c r="L3743" s="5" t="s">
        <v>471</v>
      </c>
    </row>
    <row r="3744" spans="1:12" ht="12" customHeight="1" x14ac:dyDescent="0.25">
      <c r="A3744" s="6">
        <v>44605</v>
      </c>
      <c r="B3744" s="1">
        <v>2200819</v>
      </c>
      <c r="C3744" s="5" t="s">
        <v>420</v>
      </c>
      <c r="D3744" s="5" t="str">
        <f>VLOOKUP(C3744,[1]master_data!$A$2:$E$495,2,FALSE)</f>
        <v>KAVIAT</v>
      </c>
      <c r="E3744" s="5">
        <v>2</v>
      </c>
      <c r="F3744" s="5">
        <f>VLOOKUP(C3744,[1]master_data!$A$2:$E$495,3,FALSE)</f>
        <v>3500</v>
      </c>
      <c r="G3744" s="5">
        <f>VLOOKUP(C3744,[1]master_data!$A$2:$E$495,4,FALSE)</f>
        <v>8000</v>
      </c>
      <c r="H3744" s="5">
        <f t="shared" si="180"/>
        <v>7000</v>
      </c>
      <c r="I3744" s="5">
        <f t="shared" si="181"/>
        <v>16000</v>
      </c>
      <c r="J3744" s="5">
        <f t="shared" si="182"/>
        <v>9000</v>
      </c>
      <c r="K3744" s="5" t="str">
        <f>VLOOKUP(C3744,[1]master_data!$A$2:$E$495,5,FALSE)</f>
        <v>Ikan</v>
      </c>
      <c r="L3744" s="5" t="s">
        <v>471</v>
      </c>
    </row>
    <row r="3745" spans="1:12" ht="12" customHeight="1" x14ac:dyDescent="0.25">
      <c r="A3745" s="6">
        <v>44605</v>
      </c>
      <c r="B3745" s="1">
        <v>2200818</v>
      </c>
      <c r="C3745" s="5" t="s">
        <v>312</v>
      </c>
      <c r="D3745" s="5" t="str">
        <f>VLOOKUP(C3745,[1]master_data!$A$2:$E$495,2,FALSE)</f>
        <v>T PIPA</v>
      </c>
      <c r="E3745" s="5">
        <v>2</v>
      </c>
      <c r="F3745" s="5">
        <f>VLOOKUP(C3745,[1]master_data!$A$2:$E$495,3,FALSE)</f>
        <v>800</v>
      </c>
      <c r="G3745" s="5">
        <f>VLOOKUP(C3745,[1]master_data!$A$2:$E$495,4,FALSE)</f>
        <v>2000</v>
      </c>
      <c r="H3745" s="5">
        <f t="shared" si="180"/>
        <v>1600</v>
      </c>
      <c r="I3745" s="5">
        <f t="shared" si="181"/>
        <v>4000</v>
      </c>
      <c r="J3745" s="5">
        <f t="shared" si="182"/>
        <v>2400</v>
      </c>
      <c r="K3745" s="5" t="str">
        <f>VLOOKUP(C3745,[1]master_data!$A$2:$E$495,5,FALSE)</f>
        <v>Aksesoris</v>
      </c>
      <c r="L3745" s="5" t="s">
        <v>471</v>
      </c>
    </row>
    <row r="3746" spans="1:12" ht="12" customHeight="1" x14ac:dyDescent="0.25">
      <c r="A3746" s="6">
        <v>44605</v>
      </c>
      <c r="B3746" s="1">
        <v>2200817</v>
      </c>
      <c r="C3746" s="5" t="s">
        <v>426</v>
      </c>
      <c r="D3746" s="5" t="str">
        <f>VLOOKUP(C3746,[1]master_data!$A$2:$E$495,2,FALSE)</f>
        <v>DISCUS</v>
      </c>
      <c r="E3746" s="5">
        <v>1</v>
      </c>
      <c r="F3746" s="5">
        <f>VLOOKUP(C3746,[1]master_data!$A$2:$E$495,3,FALSE)</f>
        <v>50000</v>
      </c>
      <c r="G3746" s="5">
        <f>VLOOKUP(C3746,[1]master_data!$A$2:$E$495,4,FALSE)</f>
        <v>150000</v>
      </c>
      <c r="H3746" s="5">
        <f t="shared" si="180"/>
        <v>50000</v>
      </c>
      <c r="I3746" s="5">
        <f t="shared" si="181"/>
        <v>150000</v>
      </c>
      <c r="J3746" s="5">
        <f t="shared" si="182"/>
        <v>100000</v>
      </c>
      <c r="K3746" s="5" t="str">
        <f>VLOOKUP(C3746,[1]master_data!$A$2:$E$495,5,FALSE)</f>
        <v>Ikan</v>
      </c>
      <c r="L3746" s="5" t="s">
        <v>471</v>
      </c>
    </row>
    <row r="3747" spans="1:12" ht="12" customHeight="1" x14ac:dyDescent="0.25">
      <c r="A3747" s="6">
        <v>44605</v>
      </c>
      <c r="B3747" s="1">
        <v>2200816</v>
      </c>
      <c r="C3747" s="5" t="s">
        <v>423</v>
      </c>
      <c r="D3747" s="5" t="str">
        <f>VLOOKUP(C3747,[1]master_data!$A$2:$E$495,2,FALSE)</f>
        <v>KOI SLAYER K</v>
      </c>
      <c r="E3747" s="5">
        <v>2</v>
      </c>
      <c r="F3747" s="5">
        <f>VLOOKUP(C3747,[1]master_data!$A$2:$E$495,3,FALSE)</f>
        <v>3500</v>
      </c>
      <c r="G3747" s="5">
        <f>VLOOKUP(C3747,[1]master_data!$A$2:$E$495,4,FALSE)</f>
        <v>10000</v>
      </c>
      <c r="H3747" s="5">
        <f t="shared" si="180"/>
        <v>7000</v>
      </c>
      <c r="I3747" s="5">
        <f t="shared" si="181"/>
        <v>20000</v>
      </c>
      <c r="J3747" s="5">
        <f t="shared" si="182"/>
        <v>13000</v>
      </c>
      <c r="K3747" s="5" t="str">
        <f>VLOOKUP(C3747,[1]master_data!$A$2:$E$495,5,FALSE)</f>
        <v>Ikan</v>
      </c>
      <c r="L3747" s="5" t="s">
        <v>471</v>
      </c>
    </row>
    <row r="3748" spans="1:12" ht="12" customHeight="1" x14ac:dyDescent="0.25">
      <c r="A3748" s="6">
        <v>44605</v>
      </c>
      <c r="B3748" s="1">
        <v>2200815</v>
      </c>
      <c r="C3748" s="5" t="s">
        <v>255</v>
      </c>
      <c r="D3748" s="5" t="str">
        <f>VLOOKUP(C3748,[1]master_data!$A$2:$E$495,2,FALSE)</f>
        <v>ACRIPLAVIN</v>
      </c>
      <c r="E3748" s="5">
        <v>1</v>
      </c>
      <c r="F3748" s="5">
        <f>VLOOKUP(C3748,[1]master_data!$A$2:$E$495,3,FALSE)</f>
        <v>3000</v>
      </c>
      <c r="G3748" s="5">
        <f>VLOOKUP(C3748,[1]master_data!$A$2:$E$495,4,FALSE)</f>
        <v>8000</v>
      </c>
      <c r="H3748" s="5">
        <f t="shared" si="180"/>
        <v>3000</v>
      </c>
      <c r="I3748" s="5">
        <f t="shared" si="181"/>
        <v>8000</v>
      </c>
      <c r="J3748" s="5">
        <f t="shared" si="182"/>
        <v>5000</v>
      </c>
      <c r="K3748" s="5" t="str">
        <f>VLOOKUP(C3748,[1]master_data!$A$2:$E$495,5,FALSE)</f>
        <v>Aksesoris</v>
      </c>
      <c r="L3748" s="5" t="s">
        <v>471</v>
      </c>
    </row>
    <row r="3749" spans="1:12" ht="12" customHeight="1" x14ac:dyDescent="0.25">
      <c r="A3749" s="6">
        <v>44605</v>
      </c>
      <c r="B3749" s="1">
        <v>2200814</v>
      </c>
      <c r="C3749" s="5" t="s">
        <v>438</v>
      </c>
      <c r="D3749" s="5" t="str">
        <f>VLOOKUP(C3749,[1]master_data!$A$2:$E$495,2,FALSE)</f>
        <v>NENTINEN</v>
      </c>
      <c r="E3749" s="5">
        <v>5</v>
      </c>
      <c r="F3749" s="5">
        <f>VLOOKUP(C3749,[1]master_data!$A$2:$E$495,3,FALSE)</f>
        <v>1000</v>
      </c>
      <c r="G3749" s="5">
        <f>VLOOKUP(C3749,[1]master_data!$A$2:$E$495,4,FALSE)</f>
        <v>2500</v>
      </c>
      <c r="H3749" s="5">
        <f t="shared" si="180"/>
        <v>5000</v>
      </c>
      <c r="I3749" s="5">
        <f t="shared" si="181"/>
        <v>12500</v>
      </c>
      <c r="J3749" s="5">
        <f t="shared" si="182"/>
        <v>7500</v>
      </c>
      <c r="K3749" s="5" t="str">
        <f>VLOOKUP(C3749,[1]master_data!$A$2:$E$495,5,FALSE)</f>
        <v>Ikan</v>
      </c>
      <c r="L3749" s="5" t="s">
        <v>471</v>
      </c>
    </row>
    <row r="3750" spans="1:12" ht="12" customHeight="1" x14ac:dyDescent="0.25">
      <c r="A3750" s="6">
        <v>44605</v>
      </c>
      <c r="B3750" s="1">
        <v>2200813</v>
      </c>
      <c r="C3750" s="5" t="s">
        <v>318</v>
      </c>
      <c r="D3750" s="5" t="str">
        <f>VLOOKUP(C3750,[1]master_data!$A$2:$E$495,2,FALSE)</f>
        <v>TEMPAT CACING</v>
      </c>
      <c r="E3750" s="5">
        <v>1</v>
      </c>
      <c r="F3750" s="5">
        <f>VLOOKUP(C3750,[1]master_data!$A$2:$E$495,3,FALSE)</f>
        <v>1500</v>
      </c>
      <c r="G3750" s="5">
        <f>VLOOKUP(C3750,[1]master_data!$A$2:$E$495,4,FALSE)</f>
        <v>5000</v>
      </c>
      <c r="H3750" s="5">
        <f t="shared" si="180"/>
        <v>1500</v>
      </c>
      <c r="I3750" s="5">
        <f t="shared" si="181"/>
        <v>5000</v>
      </c>
      <c r="J3750" s="5">
        <f t="shared" si="182"/>
        <v>3500</v>
      </c>
      <c r="K3750" s="5" t="str">
        <f>VLOOKUP(C3750,[1]master_data!$A$2:$E$495,5,FALSE)</f>
        <v>Aksesoris</v>
      </c>
      <c r="L3750" s="5" t="s">
        <v>471</v>
      </c>
    </row>
    <row r="3751" spans="1:12" ht="12" customHeight="1" x14ac:dyDescent="0.25">
      <c r="A3751" s="6">
        <v>44605</v>
      </c>
      <c r="B3751" s="1">
        <v>2200812</v>
      </c>
      <c r="C3751" s="5" t="s">
        <v>19</v>
      </c>
      <c r="D3751" s="5" t="str">
        <f>VLOOKUP(C3751,[1]master_data!$A$2:$E$495,2,FALSE)</f>
        <v>MESIN ROSTON 1000 L</v>
      </c>
      <c r="E3751" s="5">
        <v>1</v>
      </c>
      <c r="F3751" s="5">
        <f>VLOOKUP(C3751,[1]master_data!$A$2:$E$495,3,FALSE)</f>
        <v>30000</v>
      </c>
      <c r="G3751" s="5">
        <f>VLOOKUP(C3751,[1]master_data!$A$2:$E$495,4,FALSE)</f>
        <v>45000</v>
      </c>
      <c r="H3751" s="5">
        <f t="shared" si="180"/>
        <v>30000</v>
      </c>
      <c r="I3751" s="5">
        <f t="shared" si="181"/>
        <v>45000</v>
      </c>
      <c r="J3751" s="5">
        <f t="shared" si="182"/>
        <v>15000</v>
      </c>
      <c r="K3751" s="5" t="str">
        <f>VLOOKUP(C3751,[1]master_data!$A$2:$E$495,5,FALSE)</f>
        <v>Aksesoris</v>
      </c>
      <c r="L3751" s="5" t="s">
        <v>471</v>
      </c>
    </row>
    <row r="3752" spans="1:12" ht="12" customHeight="1" x14ac:dyDescent="0.25">
      <c r="A3752" s="6">
        <v>44605</v>
      </c>
      <c r="B3752" s="1">
        <v>2200811</v>
      </c>
      <c r="C3752" s="5" t="s">
        <v>419</v>
      </c>
      <c r="D3752" s="5" t="str">
        <f>VLOOKUP(C3752,[1]master_data!$A$2:$E$495,2,FALSE)</f>
        <v>KURA - KURA</v>
      </c>
      <c r="E3752" s="5">
        <v>1</v>
      </c>
      <c r="F3752" s="5">
        <f>VLOOKUP(C3752,[1]master_data!$A$2:$E$495,3,FALSE)</f>
        <v>25000</v>
      </c>
      <c r="G3752" s="5">
        <f>VLOOKUP(C3752,[1]master_data!$A$2:$E$495,4,FALSE)</f>
        <v>35000</v>
      </c>
      <c r="H3752" s="5">
        <f t="shared" si="180"/>
        <v>25000</v>
      </c>
      <c r="I3752" s="5">
        <f t="shared" si="181"/>
        <v>35000</v>
      </c>
      <c r="J3752" s="5">
        <f t="shared" si="182"/>
        <v>10000</v>
      </c>
      <c r="K3752" s="5" t="str">
        <f>VLOOKUP(C3752,[1]master_data!$A$2:$E$495,5,FALSE)</f>
        <v>Ikan</v>
      </c>
      <c r="L3752" s="5" t="s">
        <v>471</v>
      </c>
    </row>
    <row r="3753" spans="1:12" ht="12" customHeight="1" x14ac:dyDescent="0.25">
      <c r="A3753" s="6">
        <v>44605</v>
      </c>
      <c r="B3753" s="1">
        <v>2200810</v>
      </c>
      <c r="C3753" s="5" t="s">
        <v>457</v>
      </c>
      <c r="D3753" s="5" t="str">
        <f>VLOOKUP(C3753,[1]master_data!$A$2:$E$495,2,FALSE)</f>
        <v>ZEBRA PINK</v>
      </c>
      <c r="E3753" s="5">
        <v>5</v>
      </c>
      <c r="F3753" s="5">
        <f>VLOOKUP(C3753,[1]master_data!$A$2:$E$495,3,FALSE)</f>
        <v>800</v>
      </c>
      <c r="G3753" s="5">
        <f>VLOOKUP(C3753,[1]master_data!$A$2:$E$495,4,FALSE)</f>
        <v>2000</v>
      </c>
      <c r="H3753" s="5">
        <f t="shared" si="180"/>
        <v>4000</v>
      </c>
      <c r="I3753" s="5">
        <f t="shared" si="181"/>
        <v>10000</v>
      </c>
      <c r="J3753" s="5">
        <f t="shared" si="182"/>
        <v>6000</v>
      </c>
      <c r="K3753" s="5" t="str">
        <f>VLOOKUP(C3753,[1]master_data!$A$2:$E$495,5,FALSE)</f>
        <v>Ikan</v>
      </c>
      <c r="L3753" s="5" t="s">
        <v>471</v>
      </c>
    </row>
    <row r="3754" spans="1:12" ht="12" customHeight="1" x14ac:dyDescent="0.25">
      <c r="A3754" s="6">
        <v>44605</v>
      </c>
      <c r="B3754" s="1">
        <v>2200809</v>
      </c>
      <c r="C3754" s="5" t="s">
        <v>215</v>
      </c>
      <c r="D3754" s="5" t="str">
        <f>VLOOKUP(C3754,[1]master_data!$A$2:$E$495,2,FALSE)</f>
        <v>MEM PRIME 10 GR</v>
      </c>
      <c r="E3754" s="5">
        <v>1</v>
      </c>
      <c r="F3754" s="5">
        <f>VLOOKUP(C3754,[1]master_data!$A$2:$E$495,3,FALSE)</f>
        <v>5000</v>
      </c>
      <c r="G3754" s="5">
        <f>VLOOKUP(C3754,[1]master_data!$A$2:$E$495,4,FALSE)</f>
        <v>10000</v>
      </c>
      <c r="H3754" s="5">
        <f t="shared" si="180"/>
        <v>5000</v>
      </c>
      <c r="I3754" s="5">
        <f t="shared" si="181"/>
        <v>10000</v>
      </c>
      <c r="J3754" s="5">
        <f t="shared" si="182"/>
        <v>5000</v>
      </c>
      <c r="K3754" s="5" t="str">
        <f>VLOOKUP(C3754,[1]master_data!$A$2:$E$495,5,FALSE)</f>
        <v>Aksesoris</v>
      </c>
      <c r="L3754" s="5" t="s">
        <v>471</v>
      </c>
    </row>
    <row r="3755" spans="1:12" ht="12" customHeight="1" x14ac:dyDescent="0.25">
      <c r="A3755" s="6">
        <v>44605</v>
      </c>
      <c r="B3755" s="1">
        <v>2200808</v>
      </c>
      <c r="C3755" s="5" t="s">
        <v>258</v>
      </c>
      <c r="D3755" s="5" t="str">
        <f>VLOOKUP(C3755,[1]master_data!$A$2:$E$495,2,FALSE)</f>
        <v>BIOBOL</v>
      </c>
      <c r="E3755" s="5">
        <v>40</v>
      </c>
      <c r="F3755" s="5">
        <f>VLOOKUP(C3755,[1]master_data!$A$2:$E$495,3,FALSE)</f>
        <v>4000</v>
      </c>
      <c r="G3755" s="5">
        <f>VLOOKUP(C3755,[1]master_data!$A$2:$E$495,4,FALSE)</f>
        <v>7500</v>
      </c>
      <c r="H3755" s="5">
        <f t="shared" si="180"/>
        <v>160000</v>
      </c>
      <c r="I3755" s="5">
        <f t="shared" si="181"/>
        <v>300000</v>
      </c>
      <c r="J3755" s="5">
        <f t="shared" si="182"/>
        <v>140000</v>
      </c>
      <c r="K3755" s="5" t="str">
        <f>VLOOKUP(C3755,[1]master_data!$A$2:$E$495,5,FALSE)</f>
        <v>Aksesoris</v>
      </c>
      <c r="L3755" s="5" t="s">
        <v>471</v>
      </c>
    </row>
    <row r="3756" spans="1:12" ht="12" customHeight="1" x14ac:dyDescent="0.25">
      <c r="A3756" s="6">
        <v>44605</v>
      </c>
      <c r="B3756" s="1">
        <v>2200807</v>
      </c>
      <c r="C3756" s="5" t="s">
        <v>406</v>
      </c>
      <c r="D3756" s="5" t="str">
        <f>VLOOKUP(C3756,[1]master_data!$A$2:$E$495,2,FALSE)</f>
        <v>BARBIR</v>
      </c>
      <c r="E3756" s="5">
        <v>5</v>
      </c>
      <c r="F3756" s="5">
        <f>VLOOKUP(C3756,[1]master_data!$A$2:$E$495,3,FALSE)</f>
        <v>800</v>
      </c>
      <c r="G3756" s="5">
        <f>VLOOKUP(C3756,[1]master_data!$A$2:$E$495,4,FALSE)</f>
        <v>2000</v>
      </c>
      <c r="H3756" s="5">
        <f t="shared" si="180"/>
        <v>4000</v>
      </c>
      <c r="I3756" s="5">
        <f t="shared" si="181"/>
        <v>10000</v>
      </c>
      <c r="J3756" s="5">
        <f t="shared" si="182"/>
        <v>6000</v>
      </c>
      <c r="K3756" s="5" t="str">
        <f>VLOOKUP(C3756,[1]master_data!$A$2:$E$495,5,FALSE)</f>
        <v>Ikan</v>
      </c>
      <c r="L3756" s="5" t="s">
        <v>471</v>
      </c>
    </row>
    <row r="3757" spans="1:12" ht="12" customHeight="1" x14ac:dyDescent="0.25">
      <c r="A3757" s="6">
        <v>44605</v>
      </c>
      <c r="B3757" s="1">
        <v>2200806</v>
      </c>
      <c r="C3757" s="5" t="s">
        <v>416</v>
      </c>
      <c r="D3757" s="5" t="str">
        <f>VLOOKUP(C3757,[1]master_data!$A$2:$E$495,2,FALSE)</f>
        <v>KOI K</v>
      </c>
      <c r="E3757" s="5">
        <v>5</v>
      </c>
      <c r="F3757" s="5">
        <f>VLOOKUP(C3757,[1]master_data!$A$2:$E$495,3,FALSE)</f>
        <v>2500</v>
      </c>
      <c r="G3757" s="5">
        <f>VLOOKUP(C3757,[1]master_data!$A$2:$E$495,4,FALSE)</f>
        <v>10000</v>
      </c>
      <c r="H3757" s="5">
        <f t="shared" si="180"/>
        <v>12500</v>
      </c>
      <c r="I3757" s="5">
        <f t="shared" si="181"/>
        <v>50000</v>
      </c>
      <c r="J3757" s="5">
        <f t="shared" si="182"/>
        <v>37500</v>
      </c>
      <c r="K3757" s="5" t="str">
        <f>VLOOKUP(C3757,[1]master_data!$A$2:$E$495,5,FALSE)</f>
        <v>Ikan</v>
      </c>
      <c r="L3757" s="5" t="s">
        <v>471</v>
      </c>
    </row>
    <row r="3758" spans="1:12" ht="12" customHeight="1" x14ac:dyDescent="0.25">
      <c r="A3758" s="6">
        <v>44605</v>
      </c>
      <c r="B3758" s="1">
        <v>2200805</v>
      </c>
      <c r="C3758" s="5" t="s">
        <v>421</v>
      </c>
      <c r="D3758" s="5" t="str">
        <f>VLOOKUP(C3758,[1]master_data!$A$2:$E$495,2,FALSE)</f>
        <v>KOMET PAKAN</v>
      </c>
      <c r="E3758" s="5">
        <v>10</v>
      </c>
      <c r="F3758" s="5">
        <f>VLOOKUP(C3758,[1]master_data!$A$2:$E$495,3,FALSE)</f>
        <v>300</v>
      </c>
      <c r="G3758" s="5">
        <f>VLOOKUP(C3758,[1]master_data!$A$2:$E$495,4,FALSE)</f>
        <v>1000</v>
      </c>
      <c r="H3758" s="5">
        <f t="shared" si="180"/>
        <v>3000</v>
      </c>
      <c r="I3758" s="5">
        <f t="shared" si="181"/>
        <v>10000</v>
      </c>
      <c r="J3758" s="5">
        <f t="shared" si="182"/>
        <v>7000</v>
      </c>
      <c r="K3758" s="5" t="str">
        <f>VLOOKUP(C3758,[1]master_data!$A$2:$E$495,5,FALSE)</f>
        <v>Ikan</v>
      </c>
      <c r="L3758" s="5" t="s">
        <v>471</v>
      </c>
    </row>
    <row r="3759" spans="1:12" ht="12" customHeight="1" x14ac:dyDescent="0.25">
      <c r="A3759" s="6">
        <v>44605</v>
      </c>
      <c r="B3759" s="1">
        <v>2200804</v>
      </c>
      <c r="C3759" s="5" t="s">
        <v>398</v>
      </c>
      <c r="D3759" s="5" t="str">
        <f>VLOOKUP(C3759,[1]master_data!$A$2:$E$495,2,FALSE)</f>
        <v>BIPOLAR</v>
      </c>
      <c r="E3759" s="5">
        <v>10</v>
      </c>
      <c r="F3759" s="5">
        <f>VLOOKUP(C3759,[1]master_data!$A$2:$E$495,3,FALSE)</f>
        <v>1000</v>
      </c>
      <c r="G3759" s="5">
        <f>VLOOKUP(C3759,[1]master_data!$A$2:$E$495,4,FALSE)</f>
        <v>2500</v>
      </c>
      <c r="H3759" s="5">
        <f t="shared" si="180"/>
        <v>10000</v>
      </c>
      <c r="I3759" s="5">
        <f t="shared" si="181"/>
        <v>25000</v>
      </c>
      <c r="J3759" s="5">
        <f t="shared" si="182"/>
        <v>15000</v>
      </c>
      <c r="K3759" s="5" t="str">
        <f>VLOOKUP(C3759,[1]master_data!$A$2:$E$495,5,FALSE)</f>
        <v>Ikan</v>
      </c>
      <c r="L3759" s="5" t="s">
        <v>471</v>
      </c>
    </row>
    <row r="3760" spans="1:12" ht="12" customHeight="1" x14ac:dyDescent="0.25">
      <c r="A3760" s="6">
        <v>44604</v>
      </c>
      <c r="B3760" s="1">
        <v>2200803</v>
      </c>
      <c r="C3760" s="5" t="s">
        <v>383</v>
      </c>
      <c r="D3760" s="5" t="str">
        <f>VLOOKUP(C3760,[1]master_data!$A$2:$E$495,2,FALSE)</f>
        <v>BATU GOMBONG K</v>
      </c>
      <c r="E3760" s="5">
        <v>1</v>
      </c>
      <c r="F3760" s="5">
        <f>VLOOKUP(C3760,[1]master_data!$A$2:$E$495,3,FALSE)</f>
        <v>20000</v>
      </c>
      <c r="G3760" s="5">
        <f>VLOOKUP(C3760,[1]master_data!$A$2:$E$495,4,FALSE)</f>
        <v>40000</v>
      </c>
      <c r="H3760" s="5">
        <f t="shared" si="180"/>
        <v>20000</v>
      </c>
      <c r="I3760" s="5">
        <f t="shared" si="181"/>
        <v>40000</v>
      </c>
      <c r="J3760" s="5">
        <f t="shared" si="182"/>
        <v>20000</v>
      </c>
      <c r="K3760" s="5" t="str">
        <f>VLOOKUP(C3760,[1]master_data!$A$2:$E$495,5,FALSE)</f>
        <v>Aksesoris</v>
      </c>
      <c r="L3760" s="5" t="s">
        <v>471</v>
      </c>
    </row>
    <row r="3761" spans="1:12" ht="12" customHeight="1" x14ac:dyDescent="0.25">
      <c r="A3761" s="6">
        <v>44604</v>
      </c>
      <c r="B3761" s="1">
        <v>2200802</v>
      </c>
      <c r="C3761" s="5" t="s">
        <v>451</v>
      </c>
      <c r="D3761" s="5" t="str">
        <f>VLOOKUP(C3761,[1]master_data!$A$2:$E$495,2,FALSE)</f>
        <v>SUMATRA GOLD FISH</v>
      </c>
      <c r="E3761" s="5">
        <v>4</v>
      </c>
      <c r="F3761" s="5">
        <f>VLOOKUP(C3761,[1]master_data!$A$2:$E$495,3,FALSE)</f>
        <v>2500</v>
      </c>
      <c r="G3761" s="5">
        <f>VLOOKUP(C3761,[1]master_data!$A$2:$E$495,4,FALSE)</f>
        <v>4000</v>
      </c>
      <c r="H3761" s="5">
        <f t="shared" si="180"/>
        <v>10000</v>
      </c>
      <c r="I3761" s="5">
        <f t="shared" si="181"/>
        <v>16000</v>
      </c>
      <c r="J3761" s="5">
        <f t="shared" si="182"/>
        <v>6000</v>
      </c>
      <c r="K3761" s="5" t="str">
        <f>VLOOKUP(C3761,[1]master_data!$A$2:$E$495,5,FALSE)</f>
        <v>Ikan</v>
      </c>
      <c r="L3761" s="5" t="s">
        <v>471</v>
      </c>
    </row>
    <row r="3762" spans="1:12" ht="12" customHeight="1" x14ac:dyDescent="0.25">
      <c r="A3762" s="6">
        <v>44604</v>
      </c>
      <c r="B3762" s="1">
        <v>2200801</v>
      </c>
      <c r="C3762" s="5" t="s">
        <v>411</v>
      </c>
      <c r="D3762" s="5" t="str">
        <f>VLOOKUP(C3762,[1]master_data!$A$2:$E$495,2,FALSE)</f>
        <v>GOLDEN BLACK</v>
      </c>
      <c r="E3762" s="5">
        <v>10</v>
      </c>
      <c r="F3762" s="5">
        <f>VLOOKUP(C3762,[1]master_data!$A$2:$E$495,3,FALSE)</f>
        <v>800</v>
      </c>
      <c r="G3762" s="5">
        <f>VLOOKUP(C3762,[1]master_data!$A$2:$E$495,4,FALSE)</f>
        <v>2000</v>
      </c>
      <c r="H3762" s="5">
        <f t="shared" si="180"/>
        <v>8000</v>
      </c>
      <c r="I3762" s="5">
        <f t="shared" si="181"/>
        <v>20000</v>
      </c>
      <c r="J3762" s="5">
        <f t="shared" si="182"/>
        <v>12000</v>
      </c>
      <c r="K3762" s="5" t="str">
        <f>VLOOKUP(C3762,[1]master_data!$A$2:$E$495,5,FALSE)</f>
        <v>Ikan</v>
      </c>
      <c r="L3762" s="5" t="s">
        <v>471</v>
      </c>
    </row>
    <row r="3763" spans="1:12" ht="12" customHeight="1" x14ac:dyDescent="0.25">
      <c r="A3763" s="6">
        <v>44604</v>
      </c>
      <c r="B3763" s="1">
        <v>2200800</v>
      </c>
      <c r="C3763" s="5" t="s">
        <v>434</v>
      </c>
      <c r="D3763" s="5" t="str">
        <f>VLOOKUP(C3763,[1]master_data!$A$2:$E$495,2,FALSE)</f>
        <v>MOLI PAKAN</v>
      </c>
      <c r="E3763" s="5">
        <v>100</v>
      </c>
      <c r="F3763" s="5">
        <f>VLOOKUP(C3763,[1]master_data!$A$2:$E$495,3,FALSE)</f>
        <v>100</v>
      </c>
      <c r="G3763" s="5">
        <f>VLOOKUP(C3763,[1]master_data!$A$2:$E$495,4,FALSE)</f>
        <v>200</v>
      </c>
      <c r="H3763" s="5">
        <f t="shared" si="180"/>
        <v>10000</v>
      </c>
      <c r="I3763" s="5">
        <f t="shared" si="181"/>
        <v>20000</v>
      </c>
      <c r="J3763" s="5">
        <f t="shared" si="182"/>
        <v>10000</v>
      </c>
      <c r="K3763" s="5" t="str">
        <f>VLOOKUP(C3763,[1]master_data!$A$2:$E$495,5,FALSE)</f>
        <v>Ikan</v>
      </c>
      <c r="L3763" s="5" t="s">
        <v>471</v>
      </c>
    </row>
    <row r="3764" spans="1:12" ht="12" customHeight="1" x14ac:dyDescent="0.25">
      <c r="A3764" s="6">
        <v>44604</v>
      </c>
      <c r="B3764" s="1">
        <v>2200799</v>
      </c>
      <c r="C3764" s="5" t="s">
        <v>211</v>
      </c>
      <c r="D3764" s="5" t="str">
        <f>VLOOKUP(C3764,[1]master_data!$A$2:$E$495,2,FALSE)</f>
        <v>CRISTAL PAKAN CUPANG</v>
      </c>
      <c r="E3764" s="5">
        <v>1</v>
      </c>
      <c r="F3764" s="5">
        <f>VLOOKUP(C3764,[1]master_data!$A$2:$E$495,3,FALSE)</f>
        <v>1500</v>
      </c>
      <c r="G3764" s="5">
        <f>VLOOKUP(C3764,[1]master_data!$A$2:$E$495,4,FALSE)</f>
        <v>3000</v>
      </c>
      <c r="H3764" s="5">
        <f t="shared" si="180"/>
        <v>1500</v>
      </c>
      <c r="I3764" s="5">
        <f t="shared" si="181"/>
        <v>3000</v>
      </c>
      <c r="J3764" s="5">
        <f t="shared" si="182"/>
        <v>1500</v>
      </c>
      <c r="K3764" s="5" t="str">
        <f>VLOOKUP(C3764,[1]master_data!$A$2:$E$495,5,FALSE)</f>
        <v>Aksesoris</v>
      </c>
      <c r="L3764" s="5" t="s">
        <v>471</v>
      </c>
    </row>
    <row r="3765" spans="1:12" ht="12" customHeight="1" x14ac:dyDescent="0.25">
      <c r="A3765" s="6">
        <v>44604</v>
      </c>
      <c r="B3765" s="1">
        <v>2200798</v>
      </c>
      <c r="C3765" s="5" t="s">
        <v>414</v>
      </c>
      <c r="D3765" s="5" t="str">
        <f>VLOOKUP(C3765,[1]master_data!$A$2:$E$495,2,FALSE)</f>
        <v>KOKI T</v>
      </c>
      <c r="E3765" s="5">
        <v>3</v>
      </c>
      <c r="F3765" s="5">
        <f>VLOOKUP(C3765,[1]master_data!$A$2:$E$495,3,FALSE)</f>
        <v>8000</v>
      </c>
      <c r="G3765" s="5">
        <f>VLOOKUP(C3765,[1]master_data!$A$2:$E$495,4,FALSE)</f>
        <v>15000</v>
      </c>
      <c r="H3765" s="5">
        <f t="shared" si="180"/>
        <v>24000</v>
      </c>
      <c r="I3765" s="5">
        <f t="shared" si="181"/>
        <v>45000</v>
      </c>
      <c r="J3765" s="5">
        <f t="shared" si="182"/>
        <v>21000</v>
      </c>
      <c r="K3765" s="5" t="str">
        <f>VLOOKUP(C3765,[1]master_data!$A$2:$E$495,5,FALSE)</f>
        <v>Ikan</v>
      </c>
      <c r="L3765" s="5" t="s">
        <v>471</v>
      </c>
    </row>
    <row r="3766" spans="1:12" ht="12" customHeight="1" x14ac:dyDescent="0.25">
      <c r="A3766" s="6">
        <v>44604</v>
      </c>
      <c r="B3766" s="1">
        <v>2200797</v>
      </c>
      <c r="C3766" s="5" t="s">
        <v>260</v>
      </c>
      <c r="D3766" s="5" t="str">
        <f>VLOOKUP(C3766,[1]master_data!$A$2:$E$495,2,FALSE)</f>
        <v>BUNGA K</v>
      </c>
      <c r="E3766" s="5">
        <v>2</v>
      </c>
      <c r="F3766" s="5">
        <f>VLOOKUP(C3766,[1]master_data!$A$2:$E$495,3,FALSE)</f>
        <v>2500</v>
      </c>
      <c r="G3766" s="5">
        <f>VLOOKUP(C3766,[1]master_data!$A$2:$E$495,4,FALSE)</f>
        <v>5000</v>
      </c>
      <c r="H3766" s="5">
        <f t="shared" si="180"/>
        <v>5000</v>
      </c>
      <c r="I3766" s="5">
        <f t="shared" si="181"/>
        <v>10000</v>
      </c>
      <c r="J3766" s="5">
        <f t="shared" si="182"/>
        <v>5000</v>
      </c>
      <c r="K3766" s="5" t="str">
        <f>VLOOKUP(C3766,[1]master_data!$A$2:$E$495,5,FALSE)</f>
        <v>Aksesoris</v>
      </c>
      <c r="L3766" s="5" t="s">
        <v>471</v>
      </c>
    </row>
    <row r="3767" spans="1:12" ht="12" customHeight="1" x14ac:dyDescent="0.25">
      <c r="A3767" s="6">
        <v>44604</v>
      </c>
      <c r="B3767" s="1">
        <v>2200796</v>
      </c>
      <c r="C3767" s="5" t="s">
        <v>413</v>
      </c>
      <c r="D3767" s="5" t="str">
        <f>VLOOKUP(C3767,[1]master_data!$A$2:$E$495,2,FALSE)</f>
        <v>KOKI K</v>
      </c>
      <c r="E3767" s="5">
        <v>5</v>
      </c>
      <c r="F3767" s="5">
        <f>VLOOKUP(C3767,[1]master_data!$A$2:$E$495,3,FALSE)</f>
        <v>3500</v>
      </c>
      <c r="G3767" s="5">
        <f>VLOOKUP(C3767,[1]master_data!$A$2:$E$495,4,FALSE)</f>
        <v>10000</v>
      </c>
      <c r="H3767" s="5">
        <f t="shared" si="180"/>
        <v>17500</v>
      </c>
      <c r="I3767" s="5">
        <f t="shared" si="181"/>
        <v>50000</v>
      </c>
      <c r="J3767" s="5">
        <f t="shared" si="182"/>
        <v>32500</v>
      </c>
      <c r="K3767" s="5" t="str">
        <f>VLOOKUP(C3767,[1]master_data!$A$2:$E$495,5,FALSE)</f>
        <v>Ikan</v>
      </c>
      <c r="L3767" s="5" t="s">
        <v>471</v>
      </c>
    </row>
    <row r="3768" spans="1:12" ht="12" customHeight="1" x14ac:dyDescent="0.25">
      <c r="A3768" s="6">
        <v>44604</v>
      </c>
      <c r="B3768" s="1">
        <v>2200795</v>
      </c>
      <c r="C3768" s="5" t="s">
        <v>387</v>
      </c>
      <c r="D3768" s="5" t="str">
        <f>VLOOKUP(C3768,[1]master_data!$A$2:$E$495,2,FALSE)</f>
        <v>OISTER</v>
      </c>
      <c r="E3768" s="5">
        <v>2</v>
      </c>
      <c r="F3768" s="5">
        <f>VLOOKUP(C3768,[1]master_data!$A$2:$E$495,3,FALSE)</f>
        <v>15000</v>
      </c>
      <c r="G3768" s="5">
        <f>VLOOKUP(C3768,[1]master_data!$A$2:$E$495,4,FALSE)</f>
        <v>25000</v>
      </c>
      <c r="H3768" s="5">
        <f t="shared" si="180"/>
        <v>30000</v>
      </c>
      <c r="I3768" s="5">
        <f t="shared" si="181"/>
        <v>50000</v>
      </c>
      <c r="J3768" s="5">
        <f t="shared" si="182"/>
        <v>20000</v>
      </c>
      <c r="K3768" s="5" t="str">
        <f>VLOOKUP(C3768,[1]master_data!$A$2:$E$495,5,FALSE)</f>
        <v>Aksesoris</v>
      </c>
      <c r="L3768" s="5" t="s">
        <v>471</v>
      </c>
    </row>
    <row r="3769" spans="1:12" ht="12" customHeight="1" x14ac:dyDescent="0.25">
      <c r="A3769" s="6">
        <v>44604</v>
      </c>
      <c r="B3769" s="1">
        <v>2200794</v>
      </c>
      <c r="C3769" s="5" t="s">
        <v>303</v>
      </c>
      <c r="D3769" s="5" t="str">
        <f>VLOOKUP(C3769,[1]master_data!$A$2:$E$495,2,FALSE)</f>
        <v>PIPA LONJOR 2 M</v>
      </c>
      <c r="E3769" s="5">
        <v>1</v>
      </c>
      <c r="F3769" s="5">
        <f>VLOOKUP(C3769,[1]master_data!$A$2:$E$495,3,FALSE)</f>
        <v>5000</v>
      </c>
      <c r="G3769" s="5">
        <f>VLOOKUP(C3769,[1]master_data!$A$2:$E$495,4,FALSE)</f>
        <v>10000</v>
      </c>
      <c r="H3769" s="5">
        <f t="shared" si="180"/>
        <v>5000</v>
      </c>
      <c r="I3769" s="5">
        <f t="shared" si="181"/>
        <v>10000</v>
      </c>
      <c r="J3769" s="5">
        <f t="shared" si="182"/>
        <v>5000</v>
      </c>
      <c r="K3769" s="5" t="str">
        <f>VLOOKUP(C3769,[1]master_data!$A$2:$E$495,5,FALSE)</f>
        <v>Aksesoris</v>
      </c>
      <c r="L3769" s="5" t="s">
        <v>471</v>
      </c>
    </row>
    <row r="3770" spans="1:12" ht="12" customHeight="1" x14ac:dyDescent="0.25">
      <c r="A3770" s="6">
        <v>44604</v>
      </c>
      <c r="B3770" s="1">
        <v>2200793</v>
      </c>
      <c r="C3770" s="5" t="s">
        <v>402</v>
      </c>
      <c r="D3770" s="5" t="str">
        <f>VLOOKUP(C3770,[1]master_data!$A$2:$E$495,2,FALSE)</f>
        <v>BLACK GHOST</v>
      </c>
      <c r="E3770" s="5">
        <v>2</v>
      </c>
      <c r="F3770" s="5">
        <f>VLOOKUP(C3770,[1]master_data!$A$2:$E$495,3,FALSE)</f>
        <v>4000</v>
      </c>
      <c r="G3770" s="5">
        <f>VLOOKUP(C3770,[1]master_data!$A$2:$E$495,4,FALSE)</f>
        <v>10000</v>
      </c>
      <c r="H3770" s="5">
        <f t="shared" si="180"/>
        <v>8000</v>
      </c>
      <c r="I3770" s="5">
        <f t="shared" si="181"/>
        <v>20000</v>
      </c>
      <c r="J3770" s="5">
        <f t="shared" si="182"/>
        <v>12000</v>
      </c>
      <c r="K3770" s="5" t="str">
        <f>VLOOKUP(C3770,[1]master_data!$A$2:$E$495,5,FALSE)</f>
        <v>Ikan</v>
      </c>
      <c r="L3770" s="5" t="s">
        <v>471</v>
      </c>
    </row>
    <row r="3771" spans="1:12" ht="12" customHeight="1" x14ac:dyDescent="0.25">
      <c r="A3771" s="6">
        <v>44604</v>
      </c>
      <c r="B3771" s="1">
        <v>2200792</v>
      </c>
      <c r="C3771" s="5" t="s">
        <v>447</v>
      </c>
      <c r="D3771" s="5" t="str">
        <f>VLOOKUP(C3771,[1]master_data!$A$2:$E$495,2,FALSE)</f>
        <v>REDFIN ALBINO</v>
      </c>
      <c r="E3771" s="5">
        <v>5</v>
      </c>
      <c r="F3771" s="5">
        <f>VLOOKUP(C3771,[1]master_data!$A$2:$E$495,3,FALSE)</f>
        <v>1500</v>
      </c>
      <c r="G3771" s="5">
        <f>VLOOKUP(C3771,[1]master_data!$A$2:$E$495,4,FALSE)</f>
        <v>4000</v>
      </c>
      <c r="H3771" s="5">
        <f t="shared" si="180"/>
        <v>7500</v>
      </c>
      <c r="I3771" s="5">
        <f t="shared" si="181"/>
        <v>20000</v>
      </c>
      <c r="J3771" s="5">
        <f t="shared" si="182"/>
        <v>12500</v>
      </c>
      <c r="K3771" s="5" t="str">
        <f>VLOOKUP(C3771,[1]master_data!$A$2:$E$495,5,FALSE)</f>
        <v>Ikan</v>
      </c>
      <c r="L3771" s="5" t="s">
        <v>471</v>
      </c>
    </row>
    <row r="3772" spans="1:12" ht="12" customHeight="1" x14ac:dyDescent="0.25">
      <c r="A3772" s="6">
        <v>44604</v>
      </c>
      <c r="B3772" s="1">
        <v>2200791</v>
      </c>
      <c r="C3772" s="5" t="s">
        <v>430</v>
      </c>
      <c r="D3772" s="5" t="str">
        <f>VLOOKUP(C3772,[1]master_data!$A$2:$E$495,2,FALSE)</f>
        <v>MANFISH K</v>
      </c>
      <c r="E3772" s="5">
        <v>2</v>
      </c>
      <c r="F3772" s="5">
        <f>VLOOKUP(C3772,[1]master_data!$A$2:$E$495,3,FALSE)</f>
        <v>2000</v>
      </c>
      <c r="G3772" s="5">
        <f>VLOOKUP(C3772,[1]master_data!$A$2:$E$495,4,FALSE)</f>
        <v>5000</v>
      </c>
      <c r="H3772" s="5">
        <f t="shared" si="180"/>
        <v>4000</v>
      </c>
      <c r="I3772" s="5">
        <f t="shared" si="181"/>
        <v>10000</v>
      </c>
      <c r="J3772" s="5">
        <f t="shared" si="182"/>
        <v>6000</v>
      </c>
      <c r="K3772" s="5" t="str">
        <f>VLOOKUP(C3772,[1]master_data!$A$2:$E$495,5,FALSE)</f>
        <v>Ikan</v>
      </c>
      <c r="L3772" s="5" t="s">
        <v>471</v>
      </c>
    </row>
    <row r="3773" spans="1:12" ht="12" customHeight="1" x14ac:dyDescent="0.25">
      <c r="A3773" s="6">
        <v>44604</v>
      </c>
      <c r="B3773" s="1">
        <v>2200790</v>
      </c>
      <c r="C3773" s="5" t="s">
        <v>422</v>
      </c>
      <c r="D3773" s="5" t="str">
        <f>VLOOKUP(C3773,[1]master_data!$A$2:$E$495,2,FALSE)</f>
        <v>KOMET SLAYER</v>
      </c>
      <c r="E3773" s="5">
        <v>10</v>
      </c>
      <c r="F3773" s="5">
        <f>VLOOKUP(C3773,[1]master_data!$A$2:$E$495,3,FALSE)</f>
        <v>2000</v>
      </c>
      <c r="G3773" s="5">
        <f>VLOOKUP(C3773,[1]master_data!$A$2:$E$495,4,FALSE)</f>
        <v>5000</v>
      </c>
      <c r="H3773" s="5">
        <f t="shared" si="180"/>
        <v>20000</v>
      </c>
      <c r="I3773" s="5">
        <f t="shared" si="181"/>
        <v>50000</v>
      </c>
      <c r="J3773" s="5">
        <f t="shared" si="182"/>
        <v>30000</v>
      </c>
      <c r="K3773" s="5" t="str">
        <f>VLOOKUP(C3773,[1]master_data!$A$2:$E$495,5,FALSE)</f>
        <v>Ikan</v>
      </c>
      <c r="L3773" s="5" t="s">
        <v>471</v>
      </c>
    </row>
    <row r="3774" spans="1:12" ht="12" customHeight="1" x14ac:dyDescent="0.25">
      <c r="A3774" s="6">
        <v>44604</v>
      </c>
      <c r="B3774" s="1">
        <v>2200789</v>
      </c>
      <c r="C3774" s="5" t="s">
        <v>313</v>
      </c>
      <c r="D3774" s="5" t="str">
        <f>VLOOKUP(C3774,[1]master_data!$A$2:$E$495,2,FALSE)</f>
        <v>LURUS PIPA</v>
      </c>
      <c r="E3774" s="5">
        <v>20</v>
      </c>
      <c r="F3774" s="5">
        <f>VLOOKUP(C3774,[1]master_data!$A$2:$E$495,3,FALSE)</f>
        <v>800</v>
      </c>
      <c r="G3774" s="5">
        <f>VLOOKUP(C3774,[1]master_data!$A$2:$E$495,4,FALSE)</f>
        <v>2000</v>
      </c>
      <c r="H3774" s="5">
        <f t="shared" si="180"/>
        <v>16000</v>
      </c>
      <c r="I3774" s="5">
        <f t="shared" si="181"/>
        <v>40000</v>
      </c>
      <c r="J3774" s="5">
        <f t="shared" si="182"/>
        <v>24000</v>
      </c>
      <c r="K3774" s="5" t="str">
        <f>VLOOKUP(C3774,[1]master_data!$A$2:$E$495,5,FALSE)</f>
        <v>Aksesoris</v>
      </c>
      <c r="L3774" s="5" t="s">
        <v>471</v>
      </c>
    </row>
    <row r="3775" spans="1:12" ht="12" customHeight="1" x14ac:dyDescent="0.25">
      <c r="A3775" s="6">
        <v>44604</v>
      </c>
      <c r="B3775" s="1">
        <v>2200788</v>
      </c>
      <c r="C3775" s="5" t="s">
        <v>20</v>
      </c>
      <c r="D3775" s="5" t="str">
        <f>VLOOKUP(C3775,[1]master_data!$A$2:$E$495,2,FALSE)</f>
        <v>MESIN ROSTON 1200</v>
      </c>
      <c r="E3775" s="5">
        <v>1</v>
      </c>
      <c r="F3775" s="5">
        <f>VLOOKUP(C3775,[1]master_data!$A$2:$E$495,3,FALSE)</f>
        <v>23000</v>
      </c>
      <c r="G3775" s="5">
        <f>VLOOKUP(C3775,[1]master_data!$A$2:$E$495,4,FALSE)</f>
        <v>35000</v>
      </c>
      <c r="H3775" s="5">
        <f t="shared" si="180"/>
        <v>23000</v>
      </c>
      <c r="I3775" s="5">
        <f t="shared" si="181"/>
        <v>35000</v>
      </c>
      <c r="J3775" s="5">
        <f t="shared" si="182"/>
        <v>12000</v>
      </c>
      <c r="K3775" s="5" t="str">
        <f>VLOOKUP(C3775,[1]master_data!$A$2:$E$495,5,FALSE)</f>
        <v>Aksesoris</v>
      </c>
      <c r="L3775" s="5" t="s">
        <v>471</v>
      </c>
    </row>
    <row r="3776" spans="1:12" ht="12" customHeight="1" x14ac:dyDescent="0.25">
      <c r="A3776" s="6">
        <v>44604</v>
      </c>
      <c r="B3776" s="1">
        <v>2200787</v>
      </c>
      <c r="C3776" s="5" t="s">
        <v>311</v>
      </c>
      <c r="D3776" s="5" t="str">
        <f>VLOOKUP(C3776,[1]master_data!$A$2:$E$495,2,FALSE)</f>
        <v>L PIPA</v>
      </c>
      <c r="E3776" s="5">
        <v>3</v>
      </c>
      <c r="F3776" s="5">
        <f>VLOOKUP(C3776,[1]master_data!$A$2:$E$495,3,FALSE)</f>
        <v>800</v>
      </c>
      <c r="G3776" s="5">
        <f>VLOOKUP(C3776,[1]master_data!$A$2:$E$495,4,FALSE)</f>
        <v>2000</v>
      </c>
      <c r="H3776" s="5">
        <f t="shared" si="180"/>
        <v>2400</v>
      </c>
      <c r="I3776" s="5">
        <f t="shared" si="181"/>
        <v>6000</v>
      </c>
      <c r="J3776" s="5">
        <f t="shared" si="182"/>
        <v>3600</v>
      </c>
      <c r="K3776" s="5" t="str">
        <f>VLOOKUP(C3776,[1]master_data!$A$2:$E$495,5,FALSE)</f>
        <v>Aksesoris</v>
      </c>
      <c r="L3776" s="5" t="s">
        <v>471</v>
      </c>
    </row>
    <row r="3777" spans="1:12" ht="12" customHeight="1" x14ac:dyDescent="0.25">
      <c r="A3777" s="6">
        <v>44604</v>
      </c>
      <c r="B3777" s="1">
        <v>2200786</v>
      </c>
      <c r="C3777" s="5" t="s">
        <v>115</v>
      </c>
      <c r="D3777" s="5" t="str">
        <f>VLOOKUP(C3777,[1]master_data!$A$2:$E$495,2,FALSE)</f>
        <v>LED ROSTON 30 CM</v>
      </c>
      <c r="E3777" s="5">
        <v>1</v>
      </c>
      <c r="F3777" s="5">
        <f>VLOOKUP(C3777,[1]master_data!$A$2:$E$495,3,FALSE)</f>
        <v>21000</v>
      </c>
      <c r="G3777" s="5">
        <f>VLOOKUP(C3777,[1]master_data!$A$2:$E$495,4,FALSE)</f>
        <v>35000</v>
      </c>
      <c r="H3777" s="5">
        <f t="shared" si="180"/>
        <v>21000</v>
      </c>
      <c r="I3777" s="5">
        <f t="shared" si="181"/>
        <v>35000</v>
      </c>
      <c r="J3777" s="5">
        <f t="shared" si="182"/>
        <v>14000</v>
      </c>
      <c r="K3777" s="5" t="str">
        <f>VLOOKUP(C3777,[1]master_data!$A$2:$E$495,5,FALSE)</f>
        <v>Aksesoris</v>
      </c>
      <c r="L3777" s="5" t="s">
        <v>471</v>
      </c>
    </row>
    <row r="3778" spans="1:12" ht="12" customHeight="1" x14ac:dyDescent="0.25">
      <c r="A3778" s="6">
        <v>44604</v>
      </c>
      <c r="B3778" s="1">
        <v>2200785</v>
      </c>
      <c r="C3778" s="5" t="s">
        <v>285</v>
      </c>
      <c r="D3778" s="5" t="str">
        <f>VLOOKUP(C3778,[1]master_data!$A$2:$E$495,2,FALSE)</f>
        <v>KAPAS 4 LAPIS</v>
      </c>
      <c r="E3778" s="5">
        <v>1</v>
      </c>
      <c r="F3778" s="5">
        <f>VLOOKUP(C3778,[1]master_data!$A$2:$E$495,3,FALSE)</f>
        <v>6500</v>
      </c>
      <c r="G3778" s="5">
        <f>VLOOKUP(C3778,[1]master_data!$A$2:$E$495,4,FALSE)</f>
        <v>10000</v>
      </c>
      <c r="H3778" s="5">
        <f t="shared" si="180"/>
        <v>6500</v>
      </c>
      <c r="I3778" s="5">
        <f t="shared" si="181"/>
        <v>10000</v>
      </c>
      <c r="J3778" s="5">
        <f t="shared" si="182"/>
        <v>3500</v>
      </c>
      <c r="K3778" s="5" t="str">
        <f>VLOOKUP(C3778,[1]master_data!$A$2:$E$495,5,FALSE)</f>
        <v>Aksesoris</v>
      </c>
      <c r="L3778" s="5" t="s">
        <v>471</v>
      </c>
    </row>
    <row r="3779" spans="1:12" ht="12" customHeight="1" x14ac:dyDescent="0.25">
      <c r="A3779" s="6">
        <v>44604</v>
      </c>
      <c r="B3779" s="1">
        <v>2200784</v>
      </c>
      <c r="C3779" s="5" t="s">
        <v>405</v>
      </c>
      <c r="D3779" s="5" t="str">
        <f>VLOOKUP(C3779,[1]master_data!$A$2:$E$495,2,FALSE)</f>
        <v>KOMET BOKIM</v>
      </c>
      <c r="E3779" s="5">
        <v>5</v>
      </c>
      <c r="F3779" s="5">
        <f>VLOOKUP(C3779,[1]master_data!$A$2:$E$495,3,FALSE)</f>
        <v>1500</v>
      </c>
      <c r="G3779" s="5">
        <f>VLOOKUP(C3779,[1]master_data!$A$2:$E$495,4,FALSE)</f>
        <v>5000</v>
      </c>
      <c r="H3779" s="5">
        <f t="shared" si="180"/>
        <v>7500</v>
      </c>
      <c r="I3779" s="5">
        <f t="shared" si="181"/>
        <v>25000</v>
      </c>
      <c r="J3779" s="5">
        <f t="shared" si="182"/>
        <v>17500</v>
      </c>
      <c r="K3779" s="5" t="str">
        <f>VLOOKUP(C3779,[1]master_data!$A$2:$E$495,5,FALSE)</f>
        <v>Ikan</v>
      </c>
      <c r="L3779" s="5" t="s">
        <v>471</v>
      </c>
    </row>
    <row r="3780" spans="1:12" ht="12" customHeight="1" x14ac:dyDescent="0.25">
      <c r="A3780" s="6">
        <v>44603</v>
      </c>
      <c r="B3780" s="1">
        <v>2200783</v>
      </c>
      <c r="C3780" s="5" t="s">
        <v>275</v>
      </c>
      <c r="D3780" s="5" t="str">
        <f>VLOOKUP(C3780,[1]master_data!$A$2:$E$495,2,FALSE)</f>
        <v>JARING 20</v>
      </c>
      <c r="E3780" s="5">
        <v>1</v>
      </c>
      <c r="F3780" s="5">
        <f>VLOOKUP(C3780,[1]master_data!$A$2:$E$495,3,FALSE)</f>
        <v>5600</v>
      </c>
      <c r="G3780" s="5">
        <f>VLOOKUP(C3780,[1]master_data!$A$2:$E$495,4,FALSE)</f>
        <v>10000</v>
      </c>
      <c r="H3780" s="5">
        <f t="shared" si="180"/>
        <v>5600</v>
      </c>
      <c r="I3780" s="5">
        <f t="shared" si="181"/>
        <v>10000</v>
      </c>
      <c r="J3780" s="5">
        <f t="shared" si="182"/>
        <v>4400</v>
      </c>
      <c r="K3780" s="5" t="str">
        <f>VLOOKUP(C3780,[1]master_data!$A$2:$E$495,5,FALSE)</f>
        <v>Aksesoris</v>
      </c>
      <c r="L3780" s="5" t="s">
        <v>471</v>
      </c>
    </row>
    <row r="3781" spans="1:12" ht="12" customHeight="1" x14ac:dyDescent="0.25">
      <c r="A3781" s="6">
        <v>44603</v>
      </c>
      <c r="B3781" s="1">
        <v>2200782</v>
      </c>
      <c r="C3781" s="5" t="s">
        <v>310</v>
      </c>
      <c r="D3781" s="5" t="str">
        <f>VLOOKUP(C3781,[1]master_data!$A$2:$E$495,2,FALSE)</f>
        <v>SELANG FUSO</v>
      </c>
      <c r="E3781" s="5">
        <v>2</v>
      </c>
      <c r="F3781" s="5">
        <f>VLOOKUP(C3781,[1]master_data!$A$2:$E$495,3,FALSE)</f>
        <v>800</v>
      </c>
      <c r="G3781" s="5">
        <f>VLOOKUP(C3781,[1]master_data!$A$2:$E$495,4,FALSE)</f>
        <v>2000</v>
      </c>
      <c r="H3781" s="5">
        <f t="shared" ref="H3781:H3844" si="183">E3781*F3781</f>
        <v>1600</v>
      </c>
      <c r="I3781" s="5">
        <f t="shared" ref="I3781:I3844" si="184">E3781*G3781</f>
        <v>4000</v>
      </c>
      <c r="J3781" s="5">
        <f t="shared" ref="J3781:J3844" si="185">I3781-H3781</f>
        <v>2400</v>
      </c>
      <c r="K3781" s="5" t="str">
        <f>VLOOKUP(C3781,[1]master_data!$A$2:$E$495,5,FALSE)</f>
        <v>Aksesoris</v>
      </c>
      <c r="L3781" s="5" t="s">
        <v>471</v>
      </c>
    </row>
    <row r="3782" spans="1:12" ht="12" customHeight="1" x14ac:dyDescent="0.25">
      <c r="A3782" s="6">
        <v>44603</v>
      </c>
      <c r="B3782" s="1">
        <v>2200781</v>
      </c>
      <c r="C3782" s="5" t="s">
        <v>462</v>
      </c>
      <c r="D3782" s="5" t="str">
        <f>VLOOKUP(C3782,[1]master_data!$A$2:$E$495,2,FALSE)</f>
        <v>SEPAT ALBINO</v>
      </c>
      <c r="E3782" s="5">
        <v>3</v>
      </c>
      <c r="F3782" s="5">
        <f>VLOOKUP(C3782,[1]master_data!$A$2:$E$495,3,FALSE)</f>
        <v>2000</v>
      </c>
      <c r="G3782" s="5">
        <f>VLOOKUP(C3782,[1]master_data!$A$2:$E$495,4,FALSE)</f>
        <v>5000</v>
      </c>
      <c r="H3782" s="5">
        <f t="shared" si="183"/>
        <v>6000</v>
      </c>
      <c r="I3782" s="5">
        <f t="shared" si="184"/>
        <v>15000</v>
      </c>
      <c r="J3782" s="5">
        <f t="shared" si="185"/>
        <v>9000</v>
      </c>
      <c r="K3782" s="5" t="str">
        <f>VLOOKUP(C3782,[1]master_data!$A$2:$E$495,5,FALSE)</f>
        <v>Ikan</v>
      </c>
      <c r="L3782" s="5" t="s">
        <v>471</v>
      </c>
    </row>
    <row r="3783" spans="1:12" ht="12" customHeight="1" x14ac:dyDescent="0.25">
      <c r="A3783" s="6">
        <v>44603</v>
      </c>
      <c r="B3783" s="1">
        <v>2200780</v>
      </c>
      <c r="C3783" s="5" t="s">
        <v>327</v>
      </c>
      <c r="D3783" s="5" t="str">
        <f>VLOOKUP(C3783,[1]master_data!$A$2:$E$495,2,FALSE)</f>
        <v>AIRSTONE K</v>
      </c>
      <c r="E3783" s="5">
        <v>2</v>
      </c>
      <c r="F3783" s="5">
        <f>VLOOKUP(C3783,[1]master_data!$A$2:$E$495,3,FALSE)</f>
        <v>850</v>
      </c>
      <c r="G3783" s="5">
        <f>VLOOKUP(C3783,[1]master_data!$A$2:$E$495,4,FALSE)</f>
        <v>3000</v>
      </c>
      <c r="H3783" s="5">
        <f t="shared" si="183"/>
        <v>1700</v>
      </c>
      <c r="I3783" s="5">
        <f t="shared" si="184"/>
        <v>6000</v>
      </c>
      <c r="J3783" s="5">
        <f t="shared" si="185"/>
        <v>4300</v>
      </c>
      <c r="K3783" s="5" t="str">
        <f>VLOOKUP(C3783,[1]master_data!$A$2:$E$495,5,FALSE)</f>
        <v>Aksesoris</v>
      </c>
      <c r="L3783" s="5" t="s">
        <v>471</v>
      </c>
    </row>
    <row r="3784" spans="1:12" ht="12" customHeight="1" x14ac:dyDescent="0.25">
      <c r="A3784" s="6">
        <v>44603</v>
      </c>
      <c r="B3784" s="1">
        <v>2200779</v>
      </c>
      <c r="C3784" s="5" t="s">
        <v>419</v>
      </c>
      <c r="D3784" s="5" t="str">
        <f>VLOOKUP(C3784,[1]master_data!$A$2:$E$495,2,FALSE)</f>
        <v>KURA - KURA</v>
      </c>
      <c r="E3784" s="5">
        <v>1</v>
      </c>
      <c r="F3784" s="5">
        <f>VLOOKUP(C3784,[1]master_data!$A$2:$E$495,3,FALSE)</f>
        <v>25000</v>
      </c>
      <c r="G3784" s="5">
        <f>VLOOKUP(C3784,[1]master_data!$A$2:$E$495,4,FALSE)</f>
        <v>35000</v>
      </c>
      <c r="H3784" s="5">
        <f t="shared" si="183"/>
        <v>25000</v>
      </c>
      <c r="I3784" s="5">
        <f t="shared" si="184"/>
        <v>35000</v>
      </c>
      <c r="J3784" s="5">
        <f t="shared" si="185"/>
        <v>10000</v>
      </c>
      <c r="K3784" s="5" t="str">
        <f>VLOOKUP(C3784,[1]master_data!$A$2:$E$495,5,FALSE)</f>
        <v>Ikan</v>
      </c>
      <c r="L3784" s="5" t="s">
        <v>471</v>
      </c>
    </row>
    <row r="3785" spans="1:12" ht="12" customHeight="1" x14ac:dyDescent="0.25">
      <c r="A3785" s="6">
        <v>44603</v>
      </c>
      <c r="B3785" s="1">
        <v>2200778</v>
      </c>
      <c r="C3785" s="5" t="s">
        <v>117</v>
      </c>
      <c r="D3785" s="5" t="str">
        <f>VLOOKUP(C3785,[1]master_data!$A$2:$E$495,2,FALSE)</f>
        <v>LED ROSTON 3 MODE 30 CM</v>
      </c>
      <c r="E3785" s="5">
        <v>2</v>
      </c>
      <c r="F3785" s="5">
        <f>VLOOKUP(C3785,[1]master_data!$A$2:$E$495,3,FALSE)</f>
        <v>25000</v>
      </c>
      <c r="G3785" s="5">
        <f>VLOOKUP(C3785,[1]master_data!$A$2:$E$495,4,FALSE)</f>
        <v>45000</v>
      </c>
      <c r="H3785" s="5">
        <f t="shared" si="183"/>
        <v>50000</v>
      </c>
      <c r="I3785" s="5">
        <f t="shared" si="184"/>
        <v>90000</v>
      </c>
      <c r="J3785" s="5">
        <f t="shared" si="185"/>
        <v>40000</v>
      </c>
      <c r="K3785" s="5" t="str">
        <f>VLOOKUP(C3785,[1]master_data!$A$2:$E$495,5,FALSE)</f>
        <v>Aksesoris</v>
      </c>
      <c r="L3785" s="5" t="s">
        <v>471</v>
      </c>
    </row>
    <row r="3786" spans="1:12" ht="12" customHeight="1" x14ac:dyDescent="0.25">
      <c r="A3786" s="6">
        <v>44603</v>
      </c>
      <c r="B3786" s="1">
        <v>2200777</v>
      </c>
      <c r="C3786" s="5" t="s">
        <v>436</v>
      </c>
      <c r="D3786" s="5" t="str">
        <f>VLOOKUP(C3786,[1]master_data!$A$2:$E$495,2,FALSE)</f>
        <v>NIASA</v>
      </c>
      <c r="E3786" s="5">
        <v>5</v>
      </c>
      <c r="F3786" s="5">
        <f>VLOOKUP(C3786,[1]master_data!$A$2:$E$495,3,FALSE)</f>
        <v>900</v>
      </c>
      <c r="G3786" s="5">
        <f>VLOOKUP(C3786,[1]master_data!$A$2:$E$495,4,FALSE)</f>
        <v>2000</v>
      </c>
      <c r="H3786" s="5">
        <f t="shared" si="183"/>
        <v>4500</v>
      </c>
      <c r="I3786" s="5">
        <f t="shared" si="184"/>
        <v>10000</v>
      </c>
      <c r="J3786" s="5">
        <f t="shared" si="185"/>
        <v>5500</v>
      </c>
      <c r="K3786" s="5" t="str">
        <f>VLOOKUP(C3786,[1]master_data!$A$2:$E$495,5,FALSE)</f>
        <v>Ikan</v>
      </c>
      <c r="L3786" s="5" t="s">
        <v>471</v>
      </c>
    </row>
    <row r="3787" spans="1:12" ht="12" customHeight="1" x14ac:dyDescent="0.25">
      <c r="A3787" s="6">
        <v>44603</v>
      </c>
      <c r="B3787" s="1">
        <v>2200776</v>
      </c>
      <c r="C3787" s="5" t="s">
        <v>394</v>
      </c>
      <c r="D3787" s="5" t="str">
        <f>VLOOKUP(C3787,[1]master_data!$A$2:$E$495,2,FALSE)</f>
        <v>ARWANA SILVER K</v>
      </c>
      <c r="E3787" s="5">
        <v>1</v>
      </c>
      <c r="F3787" s="5">
        <f>VLOOKUP(C3787,[1]master_data!$A$2:$E$495,3,FALSE)</f>
        <v>100000</v>
      </c>
      <c r="G3787" s="5">
        <f>VLOOKUP(C3787,[1]master_data!$A$2:$E$495,4,FALSE)</f>
        <v>200000</v>
      </c>
      <c r="H3787" s="5">
        <f t="shared" si="183"/>
        <v>100000</v>
      </c>
      <c r="I3787" s="5">
        <f t="shared" si="184"/>
        <v>200000</v>
      </c>
      <c r="J3787" s="5">
        <f t="shared" si="185"/>
        <v>100000</v>
      </c>
      <c r="K3787" s="5" t="str">
        <f>VLOOKUP(C3787,[1]master_data!$A$2:$E$495,5,FALSE)</f>
        <v>Ikan</v>
      </c>
      <c r="L3787" s="5" t="s">
        <v>471</v>
      </c>
    </row>
    <row r="3788" spans="1:12" ht="12" customHeight="1" x14ac:dyDescent="0.25">
      <c r="A3788" s="6">
        <v>44603</v>
      </c>
      <c r="B3788" s="1">
        <v>2200775</v>
      </c>
      <c r="C3788" s="5" t="s">
        <v>452</v>
      </c>
      <c r="D3788" s="5" t="str">
        <f>VLOOKUP(C3788,[1]master_data!$A$2:$E$495,2,FALSE)</f>
        <v>SNOW WHITE</v>
      </c>
      <c r="E3788" s="5">
        <v>5</v>
      </c>
      <c r="F3788" s="5">
        <f>VLOOKUP(C3788,[1]master_data!$A$2:$E$495,3,FALSE)</f>
        <v>1500</v>
      </c>
      <c r="G3788" s="5">
        <f>VLOOKUP(C3788,[1]master_data!$A$2:$E$495,4,FALSE)</f>
        <v>3000</v>
      </c>
      <c r="H3788" s="5">
        <f t="shared" si="183"/>
        <v>7500</v>
      </c>
      <c r="I3788" s="5">
        <f t="shared" si="184"/>
        <v>15000</v>
      </c>
      <c r="J3788" s="5">
        <f t="shared" si="185"/>
        <v>7500</v>
      </c>
      <c r="K3788" s="5" t="str">
        <f>VLOOKUP(C3788,[1]master_data!$A$2:$E$495,5,FALSE)</f>
        <v>Ikan</v>
      </c>
      <c r="L3788" s="5" t="s">
        <v>471</v>
      </c>
    </row>
    <row r="3789" spans="1:12" ht="12" customHeight="1" x14ac:dyDescent="0.25">
      <c r="A3789" s="6">
        <v>44603</v>
      </c>
      <c r="B3789" s="1">
        <v>2200774</v>
      </c>
      <c r="C3789" s="5" t="s">
        <v>413</v>
      </c>
      <c r="D3789" s="5" t="str">
        <f>VLOOKUP(C3789,[1]master_data!$A$2:$E$495,2,FALSE)</f>
        <v>KOKI K</v>
      </c>
      <c r="E3789" s="5">
        <v>10</v>
      </c>
      <c r="F3789" s="5">
        <f>VLOOKUP(C3789,[1]master_data!$A$2:$E$495,3,FALSE)</f>
        <v>3500</v>
      </c>
      <c r="G3789" s="5">
        <f>VLOOKUP(C3789,[1]master_data!$A$2:$E$495,4,FALSE)</f>
        <v>10000</v>
      </c>
      <c r="H3789" s="5">
        <f t="shared" si="183"/>
        <v>35000</v>
      </c>
      <c r="I3789" s="5">
        <f t="shared" si="184"/>
        <v>100000</v>
      </c>
      <c r="J3789" s="5">
        <f t="shared" si="185"/>
        <v>65000</v>
      </c>
      <c r="K3789" s="5" t="str">
        <f>VLOOKUP(C3789,[1]master_data!$A$2:$E$495,5,FALSE)</f>
        <v>Ikan</v>
      </c>
      <c r="L3789" s="5" t="s">
        <v>471</v>
      </c>
    </row>
    <row r="3790" spans="1:12" ht="12" customHeight="1" x14ac:dyDescent="0.25">
      <c r="A3790" s="6">
        <v>44603</v>
      </c>
      <c r="B3790" s="1">
        <v>2200773</v>
      </c>
      <c r="C3790" s="5" t="s">
        <v>104</v>
      </c>
      <c r="D3790" s="5" t="str">
        <f>VLOOKUP(C3790,[1]master_data!$A$2:$E$495,2,FALSE)</f>
        <v>AIRATOR AMARA LUB 2</v>
      </c>
      <c r="E3790" s="5">
        <v>1</v>
      </c>
      <c r="F3790" s="5">
        <f>VLOOKUP(C3790,[1]master_data!$A$2:$E$495,3,FALSE)</f>
        <v>33000</v>
      </c>
      <c r="G3790" s="5">
        <f>VLOOKUP(C3790,[1]master_data!$A$2:$E$495,4,FALSE)</f>
        <v>50000</v>
      </c>
      <c r="H3790" s="5">
        <f t="shared" si="183"/>
        <v>33000</v>
      </c>
      <c r="I3790" s="5">
        <f t="shared" si="184"/>
        <v>50000</v>
      </c>
      <c r="J3790" s="5">
        <f t="shared" si="185"/>
        <v>17000</v>
      </c>
      <c r="K3790" s="5" t="str">
        <f>VLOOKUP(C3790,[1]master_data!$A$2:$E$495,5,FALSE)</f>
        <v>Aksesoris</v>
      </c>
      <c r="L3790" s="5" t="s">
        <v>471</v>
      </c>
    </row>
    <row r="3791" spans="1:12" ht="12" customHeight="1" x14ac:dyDescent="0.25">
      <c r="A3791" s="6">
        <v>44603</v>
      </c>
      <c r="B3791" s="1">
        <v>2200772</v>
      </c>
      <c r="C3791" s="5" t="s">
        <v>335</v>
      </c>
      <c r="D3791" s="5" t="str">
        <f>VLOOKUP(C3791,[1]master_data!$A$2:$E$495,2,FALSE)</f>
        <v>PENJERNIH</v>
      </c>
      <c r="E3791" s="5">
        <v>3</v>
      </c>
      <c r="F3791" s="5">
        <f>VLOOKUP(C3791,[1]master_data!$A$2:$E$495,3,FALSE)</f>
        <v>3000</v>
      </c>
      <c r="G3791" s="5">
        <f>VLOOKUP(C3791,[1]master_data!$A$2:$E$495,4,FALSE)</f>
        <v>8000</v>
      </c>
      <c r="H3791" s="5">
        <f t="shared" si="183"/>
        <v>9000</v>
      </c>
      <c r="I3791" s="5">
        <f t="shared" si="184"/>
        <v>24000</v>
      </c>
      <c r="J3791" s="5">
        <f t="shared" si="185"/>
        <v>15000</v>
      </c>
      <c r="K3791" s="5" t="str">
        <f>VLOOKUP(C3791,[1]master_data!$A$2:$E$495,5,FALSE)</f>
        <v>Aksesoris</v>
      </c>
      <c r="L3791" s="5" t="s">
        <v>471</v>
      </c>
    </row>
    <row r="3792" spans="1:12" ht="12" customHeight="1" x14ac:dyDescent="0.25">
      <c r="A3792" s="6">
        <v>44603</v>
      </c>
      <c r="B3792" s="1">
        <v>2200771</v>
      </c>
      <c r="C3792" s="5" t="s">
        <v>412</v>
      </c>
      <c r="D3792" s="5" t="str">
        <f>VLOOKUP(C3792,[1]master_data!$A$2:$E$495,2,FALSE)</f>
        <v>HIU TAWAR</v>
      </c>
      <c r="E3792" s="5">
        <v>5</v>
      </c>
      <c r="F3792" s="5">
        <f>VLOOKUP(C3792,[1]master_data!$A$2:$E$495,3,FALSE)</f>
        <v>600</v>
      </c>
      <c r="G3792" s="5">
        <f>VLOOKUP(C3792,[1]master_data!$A$2:$E$495,4,FALSE)</f>
        <v>2000</v>
      </c>
      <c r="H3792" s="5">
        <f t="shared" si="183"/>
        <v>3000</v>
      </c>
      <c r="I3792" s="5">
        <f t="shared" si="184"/>
        <v>10000</v>
      </c>
      <c r="J3792" s="5">
        <f t="shared" si="185"/>
        <v>7000</v>
      </c>
      <c r="K3792" s="5" t="str">
        <f>VLOOKUP(C3792,[1]master_data!$A$2:$E$495,5,FALSE)</f>
        <v>Ikan</v>
      </c>
      <c r="L3792" s="5" t="s">
        <v>471</v>
      </c>
    </row>
    <row r="3793" spans="1:12" ht="12" customHeight="1" x14ac:dyDescent="0.25">
      <c r="A3793" s="6">
        <v>44603</v>
      </c>
      <c r="B3793" s="1">
        <v>2200770</v>
      </c>
      <c r="C3793" s="5" t="s">
        <v>208</v>
      </c>
      <c r="D3793" s="5" t="str">
        <f>VLOOKUP(C3793,[1]master_data!$A$2:$E$495,2,FALSE)</f>
        <v>TOP VIT</v>
      </c>
      <c r="E3793" s="5">
        <v>2</v>
      </c>
      <c r="F3793" s="5">
        <f>VLOOKUP(C3793,[1]master_data!$A$2:$E$495,3,FALSE)</f>
        <v>4000</v>
      </c>
      <c r="G3793" s="5">
        <f>VLOOKUP(C3793,[1]master_data!$A$2:$E$495,4,FALSE)</f>
        <v>7000</v>
      </c>
      <c r="H3793" s="5">
        <f t="shared" si="183"/>
        <v>8000</v>
      </c>
      <c r="I3793" s="5">
        <f t="shared" si="184"/>
        <v>14000</v>
      </c>
      <c r="J3793" s="5">
        <f t="shared" si="185"/>
        <v>6000</v>
      </c>
      <c r="K3793" s="5" t="str">
        <f>VLOOKUP(C3793,[1]master_data!$A$2:$E$495,5,FALSE)</f>
        <v>Aksesoris</v>
      </c>
      <c r="L3793" s="5" t="s">
        <v>471</v>
      </c>
    </row>
    <row r="3794" spans="1:12" ht="12" customHeight="1" x14ac:dyDescent="0.25">
      <c r="A3794" s="6">
        <v>44603</v>
      </c>
      <c r="B3794" s="1">
        <v>2200769</v>
      </c>
      <c r="C3794" s="5" t="s">
        <v>246</v>
      </c>
      <c r="D3794" s="5" t="str">
        <f>VLOOKUP(C3794,[1]master_data!$A$2:$E$495,2,FALSE)</f>
        <v>BACTERIAL STATER</v>
      </c>
      <c r="E3794" s="5">
        <v>1</v>
      </c>
      <c r="F3794" s="5">
        <f>VLOOKUP(C3794,[1]master_data!$A$2:$E$495,3,FALSE)</f>
        <v>10000</v>
      </c>
      <c r="G3794" s="5">
        <f>VLOOKUP(C3794,[1]master_data!$A$2:$E$495,4,FALSE)</f>
        <v>15000</v>
      </c>
      <c r="H3794" s="5">
        <f t="shared" si="183"/>
        <v>10000</v>
      </c>
      <c r="I3794" s="5">
        <f t="shared" si="184"/>
        <v>15000</v>
      </c>
      <c r="J3794" s="5">
        <f t="shared" si="185"/>
        <v>5000</v>
      </c>
      <c r="K3794" s="5" t="str">
        <f>VLOOKUP(C3794,[1]master_data!$A$2:$E$495,5,FALSE)</f>
        <v>Aksesoris</v>
      </c>
      <c r="L3794" s="5" t="s">
        <v>471</v>
      </c>
    </row>
    <row r="3795" spans="1:12" ht="12" customHeight="1" x14ac:dyDescent="0.25">
      <c r="A3795" s="6">
        <v>44603</v>
      </c>
      <c r="B3795" s="1">
        <v>2200768</v>
      </c>
      <c r="C3795" s="5" t="s">
        <v>311</v>
      </c>
      <c r="D3795" s="5" t="str">
        <f>VLOOKUP(C3795,[1]master_data!$A$2:$E$495,2,FALSE)</f>
        <v>L PIPA</v>
      </c>
      <c r="E3795" s="5">
        <v>3</v>
      </c>
      <c r="F3795" s="5">
        <f>VLOOKUP(C3795,[1]master_data!$A$2:$E$495,3,FALSE)</f>
        <v>800</v>
      </c>
      <c r="G3795" s="5">
        <f>VLOOKUP(C3795,[1]master_data!$A$2:$E$495,4,FALSE)</f>
        <v>2000</v>
      </c>
      <c r="H3795" s="5">
        <f t="shared" si="183"/>
        <v>2400</v>
      </c>
      <c r="I3795" s="5">
        <f t="shared" si="184"/>
        <v>6000</v>
      </c>
      <c r="J3795" s="5">
        <f t="shared" si="185"/>
        <v>3600</v>
      </c>
      <c r="K3795" s="5" t="str">
        <f>VLOOKUP(C3795,[1]master_data!$A$2:$E$495,5,FALSE)</f>
        <v>Aksesoris</v>
      </c>
      <c r="L3795" s="5" t="s">
        <v>471</v>
      </c>
    </row>
    <row r="3796" spans="1:12" ht="12" customHeight="1" x14ac:dyDescent="0.25">
      <c r="A3796" s="6">
        <v>44603</v>
      </c>
      <c r="B3796" s="1">
        <v>2200767</v>
      </c>
      <c r="C3796" s="5" t="s">
        <v>456</v>
      </c>
      <c r="D3796" s="5" t="str">
        <f>VLOOKUP(C3796,[1]master_data!$A$2:$E$495,2,FALSE)</f>
        <v>TOMAN</v>
      </c>
      <c r="E3796" s="5">
        <v>2</v>
      </c>
      <c r="F3796" s="5">
        <f>VLOOKUP(C3796,[1]master_data!$A$2:$E$495,3,FALSE)</f>
        <v>10000</v>
      </c>
      <c r="G3796" s="5">
        <f>VLOOKUP(C3796,[1]master_data!$A$2:$E$495,4,FALSE)</f>
        <v>25000</v>
      </c>
      <c r="H3796" s="5">
        <f t="shared" si="183"/>
        <v>20000</v>
      </c>
      <c r="I3796" s="5">
        <f t="shared" si="184"/>
        <v>50000</v>
      </c>
      <c r="J3796" s="5">
        <f t="shared" si="185"/>
        <v>30000</v>
      </c>
      <c r="K3796" s="5" t="str">
        <f>VLOOKUP(C3796,[1]master_data!$A$2:$E$495,5,FALSE)</f>
        <v>Ikan</v>
      </c>
      <c r="L3796" s="5" t="s">
        <v>471</v>
      </c>
    </row>
    <row r="3797" spans="1:12" ht="12" customHeight="1" x14ac:dyDescent="0.25">
      <c r="A3797" s="6">
        <v>44603</v>
      </c>
      <c r="B3797" s="1">
        <v>2200766</v>
      </c>
      <c r="C3797" s="5" t="s">
        <v>407</v>
      </c>
      <c r="D3797" s="5" t="str">
        <f>VLOOKUP(C3797,[1]master_data!$A$2:$E$495,2,FALSE)</f>
        <v>CUPANG</v>
      </c>
      <c r="E3797" s="5">
        <v>3</v>
      </c>
      <c r="F3797" s="5">
        <f>VLOOKUP(C3797,[1]master_data!$A$2:$E$495,3,FALSE)</f>
        <v>2000</v>
      </c>
      <c r="G3797" s="5">
        <f>VLOOKUP(C3797,[1]master_data!$A$2:$E$495,4,FALSE)</f>
        <v>5000</v>
      </c>
      <c r="H3797" s="5">
        <f t="shared" si="183"/>
        <v>6000</v>
      </c>
      <c r="I3797" s="5">
        <f t="shared" si="184"/>
        <v>15000</v>
      </c>
      <c r="J3797" s="5">
        <f t="shared" si="185"/>
        <v>9000</v>
      </c>
      <c r="K3797" s="5" t="str">
        <f>VLOOKUP(C3797,[1]master_data!$A$2:$E$495,5,FALSE)</f>
        <v>Ikan</v>
      </c>
      <c r="L3797" s="5" t="s">
        <v>471</v>
      </c>
    </row>
    <row r="3798" spans="1:12" ht="12" customHeight="1" x14ac:dyDescent="0.25">
      <c r="A3798" s="6">
        <v>44603</v>
      </c>
      <c r="B3798" s="1">
        <v>2200765</v>
      </c>
      <c r="C3798" s="5" t="s">
        <v>444</v>
      </c>
      <c r="D3798" s="5" t="str">
        <f>VLOOKUP(C3798,[1]master_data!$A$2:$E$495,2,FALSE)</f>
        <v>PARROT</v>
      </c>
      <c r="E3798" s="5">
        <v>1</v>
      </c>
      <c r="F3798" s="5">
        <f>VLOOKUP(C3798,[1]master_data!$A$2:$E$495,3,FALSE)</f>
        <v>27000</v>
      </c>
      <c r="G3798" s="5">
        <f>VLOOKUP(C3798,[1]master_data!$A$2:$E$495,4,FALSE)</f>
        <v>60000</v>
      </c>
      <c r="H3798" s="5">
        <f t="shared" si="183"/>
        <v>27000</v>
      </c>
      <c r="I3798" s="5">
        <f t="shared" si="184"/>
        <v>60000</v>
      </c>
      <c r="J3798" s="5">
        <f t="shared" si="185"/>
        <v>33000</v>
      </c>
      <c r="K3798" s="5" t="str">
        <f>VLOOKUP(C3798,[1]master_data!$A$2:$E$495,5,FALSE)</f>
        <v>Ikan</v>
      </c>
      <c r="L3798" s="5" t="s">
        <v>471</v>
      </c>
    </row>
    <row r="3799" spans="1:12" ht="12" customHeight="1" x14ac:dyDescent="0.25">
      <c r="A3799" s="6">
        <v>44603</v>
      </c>
      <c r="B3799" s="1">
        <v>2200764</v>
      </c>
      <c r="C3799" s="5" t="s">
        <v>312</v>
      </c>
      <c r="D3799" s="5" t="str">
        <f>VLOOKUP(C3799,[1]master_data!$A$2:$E$495,2,FALSE)</f>
        <v>T PIPA</v>
      </c>
      <c r="E3799" s="5">
        <v>5</v>
      </c>
      <c r="F3799" s="5">
        <f>VLOOKUP(C3799,[1]master_data!$A$2:$E$495,3,FALSE)</f>
        <v>800</v>
      </c>
      <c r="G3799" s="5">
        <f>VLOOKUP(C3799,[1]master_data!$A$2:$E$495,4,FALSE)</f>
        <v>2000</v>
      </c>
      <c r="H3799" s="5">
        <f t="shared" si="183"/>
        <v>4000</v>
      </c>
      <c r="I3799" s="5">
        <f t="shared" si="184"/>
        <v>10000</v>
      </c>
      <c r="J3799" s="5">
        <f t="shared" si="185"/>
        <v>6000</v>
      </c>
      <c r="K3799" s="5" t="str">
        <f>VLOOKUP(C3799,[1]master_data!$A$2:$E$495,5,FALSE)</f>
        <v>Aksesoris</v>
      </c>
      <c r="L3799" s="5" t="s">
        <v>471</v>
      </c>
    </row>
    <row r="3800" spans="1:12" ht="12" customHeight="1" x14ac:dyDescent="0.25">
      <c r="A3800" s="6">
        <v>44603</v>
      </c>
      <c r="B3800" s="1">
        <v>2200763</v>
      </c>
      <c r="C3800" s="5" t="s">
        <v>461</v>
      </c>
      <c r="D3800" s="5" t="str">
        <f>VLOOKUP(C3800,[1]master_data!$A$2:$E$495,2,FALSE)</f>
        <v>SEPAT</v>
      </c>
      <c r="E3800" s="5">
        <v>2</v>
      </c>
      <c r="F3800" s="5">
        <f>VLOOKUP(C3800,[1]master_data!$A$2:$E$495,3,FALSE)</f>
        <v>600</v>
      </c>
      <c r="G3800" s="5">
        <f>VLOOKUP(C3800,[1]master_data!$A$2:$E$495,4,FALSE)</f>
        <v>2000</v>
      </c>
      <c r="H3800" s="5">
        <f t="shared" si="183"/>
        <v>1200</v>
      </c>
      <c r="I3800" s="5">
        <f t="shared" si="184"/>
        <v>4000</v>
      </c>
      <c r="J3800" s="5">
        <f t="shared" si="185"/>
        <v>2800</v>
      </c>
      <c r="K3800" s="5" t="str">
        <f>VLOOKUP(C3800,[1]master_data!$A$2:$E$495,5,FALSE)</f>
        <v>Ikan</v>
      </c>
      <c r="L3800" s="5" t="s">
        <v>471</v>
      </c>
    </row>
    <row r="3801" spans="1:12" ht="12" customHeight="1" x14ac:dyDescent="0.25">
      <c r="A3801" s="6">
        <v>44603</v>
      </c>
      <c r="B3801" s="1">
        <v>2200762</v>
      </c>
      <c r="C3801" s="5" t="s">
        <v>7</v>
      </c>
      <c r="D3801" s="5" t="str">
        <f>VLOOKUP(C3801,[1]master_data!$A$2:$E$495,2,FALSE)</f>
        <v>MESIN YANG 1600</v>
      </c>
      <c r="E3801" s="5">
        <v>1</v>
      </c>
      <c r="F3801" s="5">
        <f>VLOOKUP(C3801,[1]master_data!$A$2:$E$495,3,FALSE)</f>
        <v>64000</v>
      </c>
      <c r="G3801" s="5">
        <f>VLOOKUP(C3801,[1]master_data!$A$2:$E$495,4,FALSE)</f>
        <v>90000</v>
      </c>
      <c r="H3801" s="5">
        <f t="shared" si="183"/>
        <v>64000</v>
      </c>
      <c r="I3801" s="5">
        <f t="shared" si="184"/>
        <v>90000</v>
      </c>
      <c r="J3801" s="5">
        <f t="shared" si="185"/>
        <v>26000</v>
      </c>
      <c r="K3801" s="5" t="str">
        <f>VLOOKUP(C3801,[1]master_data!$A$2:$E$495,5,FALSE)</f>
        <v>Aksesoris</v>
      </c>
      <c r="L3801" s="5" t="s">
        <v>471</v>
      </c>
    </row>
    <row r="3802" spans="1:12" ht="12" customHeight="1" x14ac:dyDescent="0.25">
      <c r="A3802" s="6">
        <v>44602</v>
      </c>
      <c r="B3802" s="1">
        <v>2200761</v>
      </c>
      <c r="C3802" s="5" t="s">
        <v>420</v>
      </c>
      <c r="D3802" s="5" t="str">
        <f>VLOOKUP(C3802,[1]master_data!$A$2:$E$495,2,FALSE)</f>
        <v>KAVIAT</v>
      </c>
      <c r="E3802" s="5">
        <v>3</v>
      </c>
      <c r="F3802" s="5">
        <f>VLOOKUP(C3802,[1]master_data!$A$2:$E$495,3,FALSE)</f>
        <v>3500</v>
      </c>
      <c r="G3802" s="5">
        <f>VLOOKUP(C3802,[1]master_data!$A$2:$E$495,4,FALSE)</f>
        <v>8000</v>
      </c>
      <c r="H3802" s="5">
        <f t="shared" si="183"/>
        <v>10500</v>
      </c>
      <c r="I3802" s="5">
        <f t="shared" si="184"/>
        <v>24000</v>
      </c>
      <c r="J3802" s="5">
        <f t="shared" si="185"/>
        <v>13500</v>
      </c>
      <c r="K3802" s="5" t="str">
        <f>VLOOKUP(C3802,[1]master_data!$A$2:$E$495,5,FALSE)</f>
        <v>Ikan</v>
      </c>
      <c r="L3802" s="5" t="s">
        <v>471</v>
      </c>
    </row>
    <row r="3803" spans="1:12" ht="12" customHeight="1" x14ac:dyDescent="0.25">
      <c r="A3803" s="6">
        <v>44602</v>
      </c>
      <c r="B3803" s="1">
        <v>2200760</v>
      </c>
      <c r="C3803" s="5" t="s">
        <v>387</v>
      </c>
      <c r="D3803" s="5" t="str">
        <f>VLOOKUP(C3803,[1]master_data!$A$2:$E$495,2,FALSE)</f>
        <v>OISTER</v>
      </c>
      <c r="E3803" s="5">
        <v>1</v>
      </c>
      <c r="F3803" s="5">
        <f>VLOOKUP(C3803,[1]master_data!$A$2:$E$495,3,FALSE)</f>
        <v>15000</v>
      </c>
      <c r="G3803" s="5">
        <f>VLOOKUP(C3803,[1]master_data!$A$2:$E$495,4,FALSE)</f>
        <v>25000</v>
      </c>
      <c r="H3803" s="5">
        <f t="shared" si="183"/>
        <v>15000</v>
      </c>
      <c r="I3803" s="5">
        <f t="shared" si="184"/>
        <v>25000</v>
      </c>
      <c r="J3803" s="5">
        <f t="shared" si="185"/>
        <v>10000</v>
      </c>
      <c r="K3803" s="5" t="str">
        <f>VLOOKUP(C3803,[1]master_data!$A$2:$E$495,5,FALSE)</f>
        <v>Aksesoris</v>
      </c>
      <c r="L3803" s="5" t="s">
        <v>471</v>
      </c>
    </row>
    <row r="3804" spans="1:12" ht="12" customHeight="1" x14ac:dyDescent="0.25">
      <c r="A3804" s="6">
        <v>44602</v>
      </c>
      <c r="B3804" s="1">
        <v>2200759</v>
      </c>
      <c r="C3804" s="5" t="s">
        <v>413</v>
      </c>
      <c r="D3804" s="5" t="str">
        <f>VLOOKUP(C3804,[1]master_data!$A$2:$E$495,2,FALSE)</f>
        <v>KOKI K</v>
      </c>
      <c r="E3804" s="5">
        <v>3</v>
      </c>
      <c r="F3804" s="5">
        <f>VLOOKUP(C3804,[1]master_data!$A$2:$E$495,3,FALSE)</f>
        <v>3500</v>
      </c>
      <c r="G3804" s="5">
        <f>VLOOKUP(C3804,[1]master_data!$A$2:$E$495,4,FALSE)</f>
        <v>10000</v>
      </c>
      <c r="H3804" s="5">
        <f t="shared" si="183"/>
        <v>10500</v>
      </c>
      <c r="I3804" s="5">
        <f t="shared" si="184"/>
        <v>30000</v>
      </c>
      <c r="J3804" s="5">
        <f t="shared" si="185"/>
        <v>19500</v>
      </c>
      <c r="K3804" s="5" t="str">
        <f>VLOOKUP(C3804,[1]master_data!$A$2:$E$495,5,FALSE)</f>
        <v>Ikan</v>
      </c>
      <c r="L3804" s="5" t="s">
        <v>471</v>
      </c>
    </row>
    <row r="3805" spans="1:12" ht="12" customHeight="1" x14ac:dyDescent="0.25">
      <c r="A3805" s="6">
        <v>44602</v>
      </c>
      <c r="B3805" s="1">
        <v>2200758</v>
      </c>
      <c r="C3805" s="5" t="s">
        <v>306</v>
      </c>
      <c r="D3805" s="5" t="str">
        <f>VLOOKUP(C3805,[1]master_data!$A$2:$E$495,2,FALSE)</f>
        <v>SEDOTAN</v>
      </c>
      <c r="E3805" s="5">
        <v>1</v>
      </c>
      <c r="F3805" s="5">
        <f>VLOOKUP(C3805,[1]master_data!$A$2:$E$495,3,FALSE)</f>
        <v>10000</v>
      </c>
      <c r="G3805" s="5">
        <f>VLOOKUP(C3805,[1]master_data!$A$2:$E$495,4,FALSE)</f>
        <v>15000</v>
      </c>
      <c r="H3805" s="5">
        <f t="shared" si="183"/>
        <v>10000</v>
      </c>
      <c r="I3805" s="5">
        <f t="shared" si="184"/>
        <v>15000</v>
      </c>
      <c r="J3805" s="5">
        <f t="shared" si="185"/>
        <v>5000</v>
      </c>
      <c r="K3805" s="5" t="str">
        <f>VLOOKUP(C3805,[1]master_data!$A$2:$E$495,5,FALSE)</f>
        <v>Aksesoris</v>
      </c>
      <c r="L3805" s="5" t="s">
        <v>471</v>
      </c>
    </row>
    <row r="3806" spans="1:12" ht="12" customHeight="1" x14ac:dyDescent="0.25">
      <c r="A3806" s="6">
        <v>44602</v>
      </c>
      <c r="B3806" s="1">
        <v>2200757</v>
      </c>
      <c r="C3806" s="5" t="s">
        <v>413</v>
      </c>
      <c r="D3806" s="5" t="str">
        <f>VLOOKUP(C3806,[1]master_data!$A$2:$E$495,2,FALSE)</f>
        <v>KOKI K</v>
      </c>
      <c r="E3806" s="5">
        <v>3</v>
      </c>
      <c r="F3806" s="5">
        <f>VLOOKUP(C3806,[1]master_data!$A$2:$E$495,3,FALSE)</f>
        <v>3500</v>
      </c>
      <c r="G3806" s="5">
        <f>VLOOKUP(C3806,[1]master_data!$A$2:$E$495,4,FALSE)</f>
        <v>10000</v>
      </c>
      <c r="H3806" s="5">
        <f t="shared" si="183"/>
        <v>10500</v>
      </c>
      <c r="I3806" s="5">
        <f t="shared" si="184"/>
        <v>30000</v>
      </c>
      <c r="J3806" s="5">
        <f t="shared" si="185"/>
        <v>19500</v>
      </c>
      <c r="K3806" s="5" t="str">
        <f>VLOOKUP(C3806,[1]master_data!$A$2:$E$495,5,FALSE)</f>
        <v>Ikan</v>
      </c>
      <c r="L3806" s="5" t="s">
        <v>471</v>
      </c>
    </row>
    <row r="3807" spans="1:12" ht="12" customHeight="1" x14ac:dyDescent="0.25">
      <c r="A3807" s="6">
        <v>44602</v>
      </c>
      <c r="B3807" s="1">
        <v>2200756</v>
      </c>
      <c r="C3807" s="5" t="s">
        <v>431</v>
      </c>
      <c r="D3807" s="5" t="str">
        <f>VLOOKUP(C3807,[1]master_data!$A$2:$E$495,2,FALSE)</f>
        <v>MANFISH B</v>
      </c>
      <c r="E3807" s="5">
        <v>2</v>
      </c>
      <c r="F3807" s="5">
        <f>VLOOKUP(C3807,[1]master_data!$A$2:$E$495,3,FALSE)</f>
        <v>4000</v>
      </c>
      <c r="G3807" s="5">
        <f>VLOOKUP(C3807,[1]master_data!$A$2:$E$495,4,FALSE)</f>
        <v>10000</v>
      </c>
      <c r="H3807" s="5">
        <f t="shared" si="183"/>
        <v>8000</v>
      </c>
      <c r="I3807" s="5">
        <f t="shared" si="184"/>
        <v>20000</v>
      </c>
      <c r="J3807" s="5">
        <f t="shared" si="185"/>
        <v>12000</v>
      </c>
      <c r="K3807" s="5" t="str">
        <f>VLOOKUP(C3807,[1]master_data!$A$2:$E$495,5,FALSE)</f>
        <v>Ikan</v>
      </c>
      <c r="L3807" s="5" t="s">
        <v>471</v>
      </c>
    </row>
    <row r="3808" spans="1:12" ht="12" customHeight="1" x14ac:dyDescent="0.25">
      <c r="A3808" s="6">
        <v>44602</v>
      </c>
      <c r="B3808" s="1">
        <v>2200755</v>
      </c>
      <c r="C3808" s="5" t="s">
        <v>461</v>
      </c>
      <c r="D3808" s="5" t="str">
        <f>VLOOKUP(C3808,[1]master_data!$A$2:$E$495,2,FALSE)</f>
        <v>SEPAT</v>
      </c>
      <c r="E3808" s="5">
        <v>1</v>
      </c>
      <c r="F3808" s="5">
        <f>VLOOKUP(C3808,[1]master_data!$A$2:$E$495,3,FALSE)</f>
        <v>600</v>
      </c>
      <c r="G3808" s="5">
        <f>VLOOKUP(C3808,[1]master_data!$A$2:$E$495,4,FALSE)</f>
        <v>2000</v>
      </c>
      <c r="H3808" s="5">
        <f t="shared" si="183"/>
        <v>600</v>
      </c>
      <c r="I3808" s="5">
        <f t="shared" si="184"/>
        <v>2000</v>
      </c>
      <c r="J3808" s="5">
        <f t="shared" si="185"/>
        <v>1400</v>
      </c>
      <c r="K3808" s="5" t="str">
        <f>VLOOKUP(C3808,[1]master_data!$A$2:$E$495,5,FALSE)</f>
        <v>Ikan</v>
      </c>
      <c r="L3808" s="5" t="s">
        <v>471</v>
      </c>
    </row>
    <row r="3809" spans="1:12" ht="12" customHeight="1" x14ac:dyDescent="0.25">
      <c r="A3809" s="6">
        <v>44602</v>
      </c>
      <c r="B3809" s="1">
        <v>2200754</v>
      </c>
      <c r="C3809" s="5" t="s">
        <v>406</v>
      </c>
      <c r="D3809" s="5" t="str">
        <f>VLOOKUP(C3809,[1]master_data!$A$2:$E$495,2,FALSE)</f>
        <v>BARBIR</v>
      </c>
      <c r="E3809" s="5">
        <v>10</v>
      </c>
      <c r="F3809" s="5">
        <f>VLOOKUP(C3809,[1]master_data!$A$2:$E$495,3,FALSE)</f>
        <v>800</v>
      </c>
      <c r="G3809" s="5">
        <f>VLOOKUP(C3809,[1]master_data!$A$2:$E$495,4,FALSE)</f>
        <v>2000</v>
      </c>
      <c r="H3809" s="5">
        <f t="shared" si="183"/>
        <v>8000</v>
      </c>
      <c r="I3809" s="5">
        <f t="shared" si="184"/>
        <v>20000</v>
      </c>
      <c r="J3809" s="5">
        <f t="shared" si="185"/>
        <v>12000</v>
      </c>
      <c r="K3809" s="5" t="str">
        <f>VLOOKUP(C3809,[1]master_data!$A$2:$E$495,5,FALSE)</f>
        <v>Ikan</v>
      </c>
      <c r="L3809" s="5" t="s">
        <v>471</v>
      </c>
    </row>
    <row r="3810" spans="1:12" ht="12" customHeight="1" x14ac:dyDescent="0.25">
      <c r="A3810" s="6">
        <v>44602</v>
      </c>
      <c r="B3810" s="1">
        <v>2200753</v>
      </c>
      <c r="C3810" s="5" t="s">
        <v>380</v>
      </c>
      <c r="D3810" s="5" t="str">
        <f>VLOOKUP(C3810,[1]master_data!$A$2:$E$495,2,FALSE)</f>
        <v>BATU WARNA BIASA</v>
      </c>
      <c r="E3810" s="5">
        <v>1</v>
      </c>
      <c r="F3810" s="5">
        <f>VLOOKUP(C3810,[1]master_data!$A$2:$E$495,3,FALSE)</f>
        <v>3500</v>
      </c>
      <c r="G3810" s="5">
        <f>VLOOKUP(C3810,[1]master_data!$A$2:$E$495,4,FALSE)</f>
        <v>8000</v>
      </c>
      <c r="H3810" s="5">
        <f t="shared" si="183"/>
        <v>3500</v>
      </c>
      <c r="I3810" s="5">
        <f t="shared" si="184"/>
        <v>8000</v>
      </c>
      <c r="J3810" s="5">
        <f t="shared" si="185"/>
        <v>4500</v>
      </c>
      <c r="K3810" s="5" t="str">
        <f>VLOOKUP(C3810,[1]master_data!$A$2:$E$495,5,FALSE)</f>
        <v>Aksesoris</v>
      </c>
      <c r="L3810" s="5" t="s">
        <v>471</v>
      </c>
    </row>
    <row r="3811" spans="1:12" ht="12" customHeight="1" x14ac:dyDescent="0.25">
      <c r="A3811" s="6">
        <v>44602</v>
      </c>
      <c r="B3811" s="1">
        <v>2200752</v>
      </c>
      <c r="C3811" s="5" t="s">
        <v>267</v>
      </c>
      <c r="D3811" s="5" t="str">
        <f>VLOOKUP(C3811,[1]master_data!$A$2:$E$495,2,FALSE)</f>
        <v>GARAM</v>
      </c>
      <c r="E3811" s="5">
        <v>1</v>
      </c>
      <c r="F3811" s="5">
        <f>VLOOKUP(C3811,[1]master_data!$A$2:$E$495,3,FALSE)</f>
        <v>3000</v>
      </c>
      <c r="G3811" s="5">
        <f>VLOOKUP(C3811,[1]master_data!$A$2:$E$495,4,FALSE)</f>
        <v>5000</v>
      </c>
      <c r="H3811" s="5">
        <f t="shared" si="183"/>
        <v>3000</v>
      </c>
      <c r="I3811" s="5">
        <f t="shared" si="184"/>
        <v>5000</v>
      </c>
      <c r="J3811" s="5">
        <f t="shared" si="185"/>
        <v>2000</v>
      </c>
      <c r="K3811" s="5" t="str">
        <f>VLOOKUP(C3811,[1]master_data!$A$2:$E$495,5,FALSE)</f>
        <v>Aksesoris</v>
      </c>
      <c r="L3811" s="5" t="s">
        <v>471</v>
      </c>
    </row>
    <row r="3812" spans="1:12" ht="12" customHeight="1" x14ac:dyDescent="0.25">
      <c r="A3812" s="6">
        <v>44602</v>
      </c>
      <c r="B3812" s="1">
        <v>2200751</v>
      </c>
      <c r="C3812" s="5" t="s">
        <v>274</v>
      </c>
      <c r="D3812" s="5" t="str">
        <f>VLOOKUP(C3812,[1]master_data!$A$2:$E$495,2,FALSE)</f>
        <v>JARING 15</v>
      </c>
      <c r="E3812" s="5">
        <v>1</v>
      </c>
      <c r="F3812" s="5">
        <f>VLOOKUP(C3812,[1]master_data!$A$2:$E$495,3,FALSE)</f>
        <v>3750</v>
      </c>
      <c r="G3812" s="5">
        <f>VLOOKUP(C3812,[1]master_data!$A$2:$E$495,4,FALSE)</f>
        <v>8000</v>
      </c>
      <c r="H3812" s="5">
        <f t="shared" si="183"/>
        <v>3750</v>
      </c>
      <c r="I3812" s="5">
        <f t="shared" si="184"/>
        <v>8000</v>
      </c>
      <c r="J3812" s="5">
        <f t="shared" si="185"/>
        <v>4250</v>
      </c>
      <c r="K3812" s="5" t="str">
        <f>VLOOKUP(C3812,[1]master_data!$A$2:$E$495,5,FALSE)</f>
        <v>Aksesoris</v>
      </c>
      <c r="L3812" s="5" t="s">
        <v>471</v>
      </c>
    </row>
    <row r="3813" spans="1:12" ht="12" customHeight="1" x14ac:dyDescent="0.25">
      <c r="A3813" s="6">
        <v>44602</v>
      </c>
      <c r="B3813" s="1">
        <v>2200750</v>
      </c>
      <c r="C3813" s="5" t="s">
        <v>399</v>
      </c>
      <c r="D3813" s="5" t="str">
        <f>VLOOKUP(C3813,[1]master_data!$A$2:$E$495,2,FALSE)</f>
        <v>BUENOS AIRES TETRA</v>
      </c>
      <c r="E3813" s="5">
        <v>10</v>
      </c>
      <c r="F3813" s="5">
        <f>VLOOKUP(C3813,[1]master_data!$A$2:$E$495,3,FALSE)</f>
        <v>800</v>
      </c>
      <c r="G3813" s="5">
        <f>VLOOKUP(C3813,[1]master_data!$A$2:$E$495,4,FALSE)</f>
        <v>2000</v>
      </c>
      <c r="H3813" s="5">
        <f t="shared" si="183"/>
        <v>8000</v>
      </c>
      <c r="I3813" s="5">
        <f t="shared" si="184"/>
        <v>20000</v>
      </c>
      <c r="J3813" s="5">
        <f t="shared" si="185"/>
        <v>12000</v>
      </c>
      <c r="K3813" s="5" t="str">
        <f>VLOOKUP(C3813,[1]master_data!$A$2:$E$495,5,FALSE)</f>
        <v>Ikan</v>
      </c>
      <c r="L3813" s="5" t="s">
        <v>471</v>
      </c>
    </row>
    <row r="3814" spans="1:12" ht="12" customHeight="1" x14ac:dyDescent="0.25">
      <c r="A3814" s="6">
        <v>44602</v>
      </c>
      <c r="B3814" s="1">
        <v>2200749</v>
      </c>
      <c r="C3814" s="5" t="s">
        <v>432</v>
      </c>
      <c r="D3814" s="5" t="str">
        <f>VLOOKUP(C3814,[1]master_data!$A$2:$E$495,2,FALSE)</f>
        <v>MARU K</v>
      </c>
      <c r="E3814" s="5">
        <v>1</v>
      </c>
      <c r="F3814" s="5">
        <f>VLOOKUP(C3814,[1]master_data!$A$2:$E$495,3,FALSE)</f>
        <v>23000</v>
      </c>
      <c r="G3814" s="5">
        <f>VLOOKUP(C3814,[1]master_data!$A$2:$E$495,4,FALSE)</f>
        <v>50000</v>
      </c>
      <c r="H3814" s="5">
        <f t="shared" si="183"/>
        <v>23000</v>
      </c>
      <c r="I3814" s="5">
        <f t="shared" si="184"/>
        <v>50000</v>
      </c>
      <c r="J3814" s="5">
        <f t="shared" si="185"/>
        <v>27000</v>
      </c>
      <c r="K3814" s="5" t="str">
        <f>VLOOKUP(C3814,[1]master_data!$A$2:$E$495,5,FALSE)</f>
        <v>Ikan</v>
      </c>
      <c r="L3814" s="5" t="s">
        <v>471</v>
      </c>
    </row>
    <row r="3815" spans="1:12" ht="12" customHeight="1" x14ac:dyDescent="0.25">
      <c r="A3815" s="6">
        <v>44602</v>
      </c>
      <c r="B3815" s="1">
        <v>2200748</v>
      </c>
      <c r="C3815" s="5" t="s">
        <v>246</v>
      </c>
      <c r="D3815" s="5" t="str">
        <f>VLOOKUP(C3815,[1]master_data!$A$2:$E$495,2,FALSE)</f>
        <v>BACTERIAL STATER</v>
      </c>
      <c r="E3815" s="5">
        <v>1</v>
      </c>
      <c r="F3815" s="5">
        <f>VLOOKUP(C3815,[1]master_data!$A$2:$E$495,3,FALSE)</f>
        <v>10000</v>
      </c>
      <c r="G3815" s="5">
        <f>VLOOKUP(C3815,[1]master_data!$A$2:$E$495,4,FALSE)</f>
        <v>15000</v>
      </c>
      <c r="H3815" s="5">
        <f t="shared" si="183"/>
        <v>10000</v>
      </c>
      <c r="I3815" s="5">
        <f t="shared" si="184"/>
        <v>15000</v>
      </c>
      <c r="J3815" s="5">
        <f t="shared" si="185"/>
        <v>5000</v>
      </c>
      <c r="K3815" s="5" t="str">
        <f>VLOOKUP(C3815,[1]master_data!$A$2:$E$495,5,FALSE)</f>
        <v>Aksesoris</v>
      </c>
      <c r="L3815" s="5" t="s">
        <v>471</v>
      </c>
    </row>
    <row r="3816" spans="1:12" ht="12" customHeight="1" x14ac:dyDescent="0.25">
      <c r="A3816" s="6">
        <v>44602</v>
      </c>
      <c r="B3816" s="1">
        <v>2200747</v>
      </c>
      <c r="C3816" s="5" t="s">
        <v>419</v>
      </c>
      <c r="D3816" s="5" t="str">
        <f>VLOOKUP(C3816,[1]master_data!$A$2:$E$495,2,FALSE)</f>
        <v>KURA - KURA</v>
      </c>
      <c r="E3816" s="5">
        <v>2</v>
      </c>
      <c r="F3816" s="5">
        <f>VLOOKUP(C3816,[1]master_data!$A$2:$E$495,3,FALSE)</f>
        <v>25000</v>
      </c>
      <c r="G3816" s="5">
        <f>VLOOKUP(C3816,[1]master_data!$A$2:$E$495,4,FALSE)</f>
        <v>35000</v>
      </c>
      <c r="H3816" s="5">
        <f t="shared" si="183"/>
        <v>50000</v>
      </c>
      <c r="I3816" s="5">
        <f t="shared" si="184"/>
        <v>70000</v>
      </c>
      <c r="J3816" s="5">
        <f t="shared" si="185"/>
        <v>20000</v>
      </c>
      <c r="K3816" s="5" t="str">
        <f>VLOOKUP(C3816,[1]master_data!$A$2:$E$495,5,FALSE)</f>
        <v>Ikan</v>
      </c>
      <c r="L3816" s="5" t="s">
        <v>471</v>
      </c>
    </row>
    <row r="3817" spans="1:12" ht="12" customHeight="1" x14ac:dyDescent="0.25">
      <c r="A3817" s="6">
        <v>44602</v>
      </c>
      <c r="B3817" s="1">
        <v>2200746</v>
      </c>
      <c r="C3817" s="5" t="s">
        <v>397</v>
      </c>
      <c r="D3817" s="5" t="str">
        <f>VLOOKUP(C3817,[1]master_data!$A$2:$E$495,2,FALSE)</f>
        <v>ALIGATOR</v>
      </c>
      <c r="E3817" s="5">
        <v>1</v>
      </c>
      <c r="F3817" s="5">
        <f>VLOOKUP(C3817,[1]master_data!$A$2:$E$495,3,FALSE)</f>
        <v>17000</v>
      </c>
      <c r="G3817" s="5">
        <f>VLOOKUP(C3817,[1]master_data!$A$2:$E$495,4,FALSE)</f>
        <v>35000</v>
      </c>
      <c r="H3817" s="5">
        <f t="shared" si="183"/>
        <v>17000</v>
      </c>
      <c r="I3817" s="5">
        <f t="shared" si="184"/>
        <v>35000</v>
      </c>
      <c r="J3817" s="5">
        <f t="shared" si="185"/>
        <v>18000</v>
      </c>
      <c r="K3817" s="5" t="str">
        <f>VLOOKUP(C3817,[1]master_data!$A$2:$E$495,5,FALSE)</f>
        <v>Ikan</v>
      </c>
      <c r="L3817" s="5" t="s">
        <v>471</v>
      </c>
    </row>
    <row r="3818" spans="1:12" ht="12" customHeight="1" x14ac:dyDescent="0.25">
      <c r="A3818" s="6">
        <v>44602</v>
      </c>
      <c r="B3818" s="1">
        <v>2200745</v>
      </c>
      <c r="C3818" s="5" t="s">
        <v>402</v>
      </c>
      <c r="D3818" s="5" t="str">
        <f>VLOOKUP(C3818,[1]master_data!$A$2:$E$495,2,FALSE)</f>
        <v>BLACK GHOST</v>
      </c>
      <c r="E3818" s="5">
        <v>2</v>
      </c>
      <c r="F3818" s="5">
        <f>VLOOKUP(C3818,[1]master_data!$A$2:$E$495,3,FALSE)</f>
        <v>4000</v>
      </c>
      <c r="G3818" s="5">
        <f>VLOOKUP(C3818,[1]master_data!$A$2:$E$495,4,FALSE)</f>
        <v>10000</v>
      </c>
      <c r="H3818" s="5">
        <f t="shared" si="183"/>
        <v>8000</v>
      </c>
      <c r="I3818" s="5">
        <f t="shared" si="184"/>
        <v>20000</v>
      </c>
      <c r="J3818" s="5">
        <f t="shared" si="185"/>
        <v>12000</v>
      </c>
      <c r="K3818" s="5" t="str">
        <f>VLOOKUP(C3818,[1]master_data!$A$2:$E$495,5,FALSE)</f>
        <v>Ikan</v>
      </c>
      <c r="L3818" s="5" t="s">
        <v>471</v>
      </c>
    </row>
    <row r="3819" spans="1:12" ht="12" customHeight="1" x14ac:dyDescent="0.25">
      <c r="A3819" s="6">
        <v>44602</v>
      </c>
      <c r="B3819" s="1">
        <v>2200744</v>
      </c>
      <c r="C3819" s="5" t="s">
        <v>455</v>
      </c>
      <c r="D3819" s="5" t="str">
        <f>VLOOKUP(C3819,[1]master_data!$A$2:$E$495,2,FALSE)</f>
        <v>TETRA</v>
      </c>
      <c r="E3819" s="5">
        <v>5</v>
      </c>
      <c r="F3819" s="5">
        <f>VLOOKUP(C3819,[1]master_data!$A$2:$E$495,3,FALSE)</f>
        <v>800</v>
      </c>
      <c r="G3819" s="5">
        <f>VLOOKUP(C3819,[1]master_data!$A$2:$E$495,4,FALSE)</f>
        <v>2000</v>
      </c>
      <c r="H3819" s="5">
        <f t="shared" si="183"/>
        <v>4000</v>
      </c>
      <c r="I3819" s="5">
        <f t="shared" si="184"/>
        <v>10000</v>
      </c>
      <c r="J3819" s="5">
        <f t="shared" si="185"/>
        <v>6000</v>
      </c>
      <c r="K3819" s="5" t="str">
        <f>VLOOKUP(C3819,[1]master_data!$A$2:$E$495,5,FALSE)</f>
        <v>Ikan</v>
      </c>
      <c r="L3819" s="5" t="s">
        <v>471</v>
      </c>
    </row>
    <row r="3820" spans="1:12" ht="12" customHeight="1" x14ac:dyDescent="0.25">
      <c r="A3820" s="6">
        <v>44602</v>
      </c>
      <c r="B3820" s="1">
        <v>2200743</v>
      </c>
      <c r="C3820" s="5" t="s">
        <v>423</v>
      </c>
      <c r="D3820" s="5" t="str">
        <f>VLOOKUP(C3820,[1]master_data!$A$2:$E$495,2,FALSE)</f>
        <v>KOI SLAYER K</v>
      </c>
      <c r="E3820" s="5">
        <v>5</v>
      </c>
      <c r="F3820" s="5">
        <f>VLOOKUP(C3820,[1]master_data!$A$2:$E$495,3,FALSE)</f>
        <v>3500</v>
      </c>
      <c r="G3820" s="5">
        <f>VLOOKUP(C3820,[1]master_data!$A$2:$E$495,4,FALSE)</f>
        <v>10000</v>
      </c>
      <c r="H3820" s="5">
        <f t="shared" si="183"/>
        <v>17500</v>
      </c>
      <c r="I3820" s="5">
        <f t="shared" si="184"/>
        <v>50000</v>
      </c>
      <c r="J3820" s="5">
        <f t="shared" si="185"/>
        <v>32500</v>
      </c>
      <c r="K3820" s="5" t="str">
        <f>VLOOKUP(C3820,[1]master_data!$A$2:$E$495,5,FALSE)</f>
        <v>Ikan</v>
      </c>
      <c r="L3820" s="5" t="s">
        <v>471</v>
      </c>
    </row>
    <row r="3821" spans="1:12" ht="12" customHeight="1" x14ac:dyDescent="0.25">
      <c r="A3821" s="6">
        <v>44602</v>
      </c>
      <c r="B3821" s="1">
        <v>2200742</v>
      </c>
      <c r="C3821" s="5" t="s">
        <v>450</v>
      </c>
      <c r="D3821" s="5" t="str">
        <f>VLOOKUP(C3821,[1]master_data!$A$2:$E$495,2,FALSE)</f>
        <v>SUMATRA BIASA</v>
      </c>
      <c r="E3821" s="5">
        <v>10</v>
      </c>
      <c r="F3821" s="5">
        <f>VLOOKUP(C3821,[1]master_data!$A$2:$E$495,3,FALSE)</f>
        <v>800</v>
      </c>
      <c r="G3821" s="5">
        <f>VLOOKUP(C3821,[1]master_data!$A$2:$E$495,4,FALSE)</f>
        <v>2000</v>
      </c>
      <c r="H3821" s="5">
        <f t="shared" si="183"/>
        <v>8000</v>
      </c>
      <c r="I3821" s="5">
        <f t="shared" si="184"/>
        <v>20000</v>
      </c>
      <c r="J3821" s="5">
        <f t="shared" si="185"/>
        <v>12000</v>
      </c>
      <c r="K3821" s="5" t="str">
        <f>VLOOKUP(C3821,[1]master_data!$A$2:$E$495,5,FALSE)</f>
        <v>Ikan</v>
      </c>
      <c r="L3821" s="5" t="s">
        <v>471</v>
      </c>
    </row>
    <row r="3822" spans="1:12" ht="12" customHeight="1" x14ac:dyDescent="0.25">
      <c r="A3822" s="6">
        <v>44602</v>
      </c>
      <c r="B3822" s="1">
        <v>2200741</v>
      </c>
      <c r="C3822" s="5" t="s">
        <v>342</v>
      </c>
      <c r="D3822" s="5" t="str">
        <f>VLOOKUP(C3822,[1]master_data!$A$2:$E$495,2,FALSE)</f>
        <v>KUTUB LAS</v>
      </c>
      <c r="E3822" s="5">
        <v>1</v>
      </c>
      <c r="F3822" s="5">
        <f>VLOOKUP(C3822,[1]master_data!$A$2:$E$495,3,FALSE)</f>
        <v>15000</v>
      </c>
      <c r="G3822" s="5">
        <f>VLOOKUP(C3822,[1]master_data!$A$2:$E$495,4,FALSE)</f>
        <v>25000</v>
      </c>
      <c r="H3822" s="5">
        <f t="shared" si="183"/>
        <v>15000</v>
      </c>
      <c r="I3822" s="5">
        <f t="shared" si="184"/>
        <v>25000</v>
      </c>
      <c r="J3822" s="5">
        <f t="shared" si="185"/>
        <v>10000</v>
      </c>
      <c r="K3822" s="5" t="str">
        <f>VLOOKUP(C3822,[1]master_data!$A$2:$E$495,5,FALSE)</f>
        <v>Aksesoris</v>
      </c>
      <c r="L3822" s="5" t="s">
        <v>471</v>
      </c>
    </row>
    <row r="3823" spans="1:12" ht="12" customHeight="1" x14ac:dyDescent="0.25">
      <c r="A3823" s="6">
        <v>44601</v>
      </c>
      <c r="B3823" s="1">
        <v>2200740</v>
      </c>
      <c r="C3823" s="5" t="s">
        <v>457</v>
      </c>
      <c r="D3823" s="5" t="str">
        <f>VLOOKUP(C3823,[1]master_data!$A$2:$E$495,2,FALSE)</f>
        <v>ZEBRA PINK</v>
      </c>
      <c r="E3823" s="5">
        <v>10</v>
      </c>
      <c r="F3823" s="5">
        <f>VLOOKUP(C3823,[1]master_data!$A$2:$E$495,3,FALSE)</f>
        <v>800</v>
      </c>
      <c r="G3823" s="5">
        <f>VLOOKUP(C3823,[1]master_data!$A$2:$E$495,4,FALSE)</f>
        <v>2000</v>
      </c>
      <c r="H3823" s="5">
        <f t="shared" si="183"/>
        <v>8000</v>
      </c>
      <c r="I3823" s="5">
        <f t="shared" si="184"/>
        <v>20000</v>
      </c>
      <c r="J3823" s="5">
        <f t="shared" si="185"/>
        <v>12000</v>
      </c>
      <c r="K3823" s="5" t="str">
        <f>VLOOKUP(C3823,[1]master_data!$A$2:$E$495,5,FALSE)</f>
        <v>Ikan</v>
      </c>
      <c r="L3823" s="5" t="s">
        <v>471</v>
      </c>
    </row>
    <row r="3824" spans="1:12" ht="12" customHeight="1" x14ac:dyDescent="0.25">
      <c r="A3824" s="6">
        <v>44601</v>
      </c>
      <c r="B3824" s="1">
        <v>2200739</v>
      </c>
      <c r="C3824" s="5" t="s">
        <v>458</v>
      </c>
      <c r="D3824" s="5" t="str">
        <f>VLOOKUP(C3824,[1]master_data!$A$2:$E$495,2,FALSE)</f>
        <v>ZEBRA HIJAU</v>
      </c>
      <c r="E3824" s="5">
        <v>10</v>
      </c>
      <c r="F3824" s="5">
        <f>VLOOKUP(C3824,[1]master_data!$A$2:$E$495,3,FALSE)</f>
        <v>800</v>
      </c>
      <c r="G3824" s="5">
        <f>VLOOKUP(C3824,[1]master_data!$A$2:$E$495,4,FALSE)</f>
        <v>2000</v>
      </c>
      <c r="H3824" s="5">
        <f t="shared" si="183"/>
        <v>8000</v>
      </c>
      <c r="I3824" s="5">
        <f t="shared" si="184"/>
        <v>20000</v>
      </c>
      <c r="J3824" s="5">
        <f t="shared" si="185"/>
        <v>12000</v>
      </c>
      <c r="K3824" s="5" t="str">
        <f>VLOOKUP(C3824,[1]master_data!$A$2:$E$495,5,FALSE)</f>
        <v>Ikan</v>
      </c>
      <c r="L3824" s="5" t="s">
        <v>471</v>
      </c>
    </row>
    <row r="3825" spans="1:12" ht="12" customHeight="1" x14ac:dyDescent="0.25">
      <c r="A3825" s="6">
        <v>44601</v>
      </c>
      <c r="B3825" s="1">
        <v>2200738</v>
      </c>
      <c r="C3825" s="5" t="s">
        <v>439</v>
      </c>
      <c r="D3825" s="5" t="str">
        <f>VLOOKUP(C3825,[1]master_data!$A$2:$E$495,2,FALSE)</f>
        <v>NEON</v>
      </c>
      <c r="E3825" s="5">
        <v>10</v>
      </c>
      <c r="F3825" s="5">
        <f>VLOOKUP(C3825,[1]master_data!$A$2:$E$495,3,FALSE)</f>
        <v>1250</v>
      </c>
      <c r="G3825" s="5">
        <f>VLOOKUP(C3825,[1]master_data!$A$2:$E$495,4,FALSE)</f>
        <v>5000</v>
      </c>
      <c r="H3825" s="5">
        <f t="shared" si="183"/>
        <v>12500</v>
      </c>
      <c r="I3825" s="5">
        <f t="shared" si="184"/>
        <v>50000</v>
      </c>
      <c r="J3825" s="5">
        <f t="shared" si="185"/>
        <v>37500</v>
      </c>
      <c r="K3825" s="5" t="str">
        <f>VLOOKUP(C3825,[1]master_data!$A$2:$E$495,5,FALSE)</f>
        <v>Ikan</v>
      </c>
      <c r="L3825" s="5" t="s">
        <v>471</v>
      </c>
    </row>
    <row r="3826" spans="1:12" ht="12" customHeight="1" x14ac:dyDescent="0.25">
      <c r="A3826" s="6">
        <v>44601</v>
      </c>
      <c r="B3826" s="1">
        <v>2200737</v>
      </c>
      <c r="C3826" s="5" t="s">
        <v>411</v>
      </c>
      <c r="D3826" s="5" t="str">
        <f>VLOOKUP(C3826,[1]master_data!$A$2:$E$495,2,FALSE)</f>
        <v>GOLDEN BLACK</v>
      </c>
      <c r="E3826" s="5">
        <v>5</v>
      </c>
      <c r="F3826" s="5">
        <f>VLOOKUP(C3826,[1]master_data!$A$2:$E$495,3,FALSE)</f>
        <v>800</v>
      </c>
      <c r="G3826" s="5">
        <f>VLOOKUP(C3826,[1]master_data!$A$2:$E$495,4,FALSE)</f>
        <v>2000</v>
      </c>
      <c r="H3826" s="5">
        <f t="shared" si="183"/>
        <v>4000</v>
      </c>
      <c r="I3826" s="5">
        <f t="shared" si="184"/>
        <v>10000</v>
      </c>
      <c r="J3826" s="5">
        <f t="shared" si="185"/>
        <v>6000</v>
      </c>
      <c r="K3826" s="5" t="str">
        <f>VLOOKUP(C3826,[1]master_data!$A$2:$E$495,5,FALSE)</f>
        <v>Ikan</v>
      </c>
      <c r="L3826" s="5" t="s">
        <v>471</v>
      </c>
    </row>
    <row r="3827" spans="1:12" ht="12" customHeight="1" x14ac:dyDescent="0.25">
      <c r="A3827" s="6">
        <v>44601</v>
      </c>
      <c r="B3827" s="1">
        <v>2200736</v>
      </c>
      <c r="C3827" s="5" t="s">
        <v>410</v>
      </c>
      <c r="D3827" s="5" t="str">
        <f>VLOOKUP(C3827,[1]master_data!$A$2:$E$495,2,FALSE)</f>
        <v>GUPY</v>
      </c>
      <c r="E3827" s="5">
        <v>10</v>
      </c>
      <c r="F3827" s="5">
        <f>VLOOKUP(C3827,[1]master_data!$A$2:$E$495,3,FALSE)</f>
        <v>1200</v>
      </c>
      <c r="G3827" s="5">
        <f>VLOOKUP(C3827,[1]master_data!$A$2:$E$495,4,FALSE)</f>
        <v>2500</v>
      </c>
      <c r="H3827" s="5">
        <f t="shared" si="183"/>
        <v>12000</v>
      </c>
      <c r="I3827" s="5">
        <f t="shared" si="184"/>
        <v>25000</v>
      </c>
      <c r="J3827" s="5">
        <f t="shared" si="185"/>
        <v>13000</v>
      </c>
      <c r="K3827" s="5" t="str">
        <f>VLOOKUP(C3827,[1]master_data!$A$2:$E$495,5,FALSE)</f>
        <v>Ikan</v>
      </c>
      <c r="L3827" s="5" t="s">
        <v>471</v>
      </c>
    </row>
    <row r="3828" spans="1:12" ht="12" customHeight="1" x14ac:dyDescent="0.25">
      <c r="A3828" s="6">
        <v>44601</v>
      </c>
      <c r="B3828" s="1">
        <v>2200735</v>
      </c>
      <c r="C3828" s="5" t="s">
        <v>345</v>
      </c>
      <c r="D3828" s="5" t="str">
        <f>VLOOKUP(C3828,[1]master_data!$A$2:$E$495,2,FALSE)</f>
        <v>AKUARIUM NIKITA S</v>
      </c>
      <c r="E3828" s="5">
        <v>1</v>
      </c>
      <c r="F3828" s="5">
        <f>VLOOKUP(C3828,[1]master_data!$A$2:$E$495,3,FALSE)</f>
        <v>60000</v>
      </c>
      <c r="G3828" s="5">
        <f>VLOOKUP(C3828,[1]master_data!$A$2:$E$495,4,FALSE)</f>
        <v>90000</v>
      </c>
      <c r="H3828" s="5">
        <f t="shared" si="183"/>
        <v>60000</v>
      </c>
      <c r="I3828" s="5">
        <f t="shared" si="184"/>
        <v>90000</v>
      </c>
      <c r="J3828" s="5">
        <f t="shared" si="185"/>
        <v>30000</v>
      </c>
      <c r="K3828" s="5" t="str">
        <f>VLOOKUP(C3828,[1]master_data!$A$2:$E$495,5,FALSE)</f>
        <v>Aksesoris</v>
      </c>
      <c r="L3828" s="5" t="s">
        <v>471</v>
      </c>
    </row>
    <row r="3829" spans="1:12" ht="12" customHeight="1" x14ac:dyDescent="0.25">
      <c r="A3829" s="6">
        <v>44601</v>
      </c>
      <c r="B3829" s="1">
        <v>2200734</v>
      </c>
      <c r="C3829" s="5" t="s">
        <v>310</v>
      </c>
      <c r="D3829" s="5" t="str">
        <f>VLOOKUP(C3829,[1]master_data!$A$2:$E$495,2,FALSE)</f>
        <v>SELANG FUSO</v>
      </c>
      <c r="E3829" s="5">
        <v>20</v>
      </c>
      <c r="F3829" s="5">
        <f>VLOOKUP(C3829,[1]master_data!$A$2:$E$495,3,FALSE)</f>
        <v>800</v>
      </c>
      <c r="G3829" s="5">
        <f>VLOOKUP(C3829,[1]master_data!$A$2:$E$495,4,FALSE)</f>
        <v>2000</v>
      </c>
      <c r="H3829" s="5">
        <f t="shared" si="183"/>
        <v>16000</v>
      </c>
      <c r="I3829" s="5">
        <f t="shared" si="184"/>
        <v>40000</v>
      </c>
      <c r="J3829" s="5">
        <f t="shared" si="185"/>
        <v>24000</v>
      </c>
      <c r="K3829" s="5" t="str">
        <f>VLOOKUP(C3829,[1]master_data!$A$2:$E$495,5,FALSE)</f>
        <v>Aksesoris</v>
      </c>
      <c r="L3829" s="5" t="s">
        <v>471</v>
      </c>
    </row>
    <row r="3830" spans="1:12" ht="12" customHeight="1" x14ac:dyDescent="0.25">
      <c r="A3830" s="6">
        <v>44601</v>
      </c>
      <c r="B3830" s="1">
        <v>2200733</v>
      </c>
      <c r="C3830" s="5" t="s">
        <v>116</v>
      </c>
      <c r="D3830" s="5" t="str">
        <f>VLOOKUP(C3830,[1]master_data!$A$2:$E$495,2,FALSE)</f>
        <v>LED VOSSO 30 CM</v>
      </c>
      <c r="E3830" s="5">
        <v>1</v>
      </c>
      <c r="F3830" s="5">
        <f>VLOOKUP(C3830,[1]master_data!$A$2:$E$495,3,FALSE)</f>
        <v>21000</v>
      </c>
      <c r="G3830" s="5">
        <f>VLOOKUP(C3830,[1]master_data!$A$2:$E$495,4,FALSE)</f>
        <v>35000</v>
      </c>
      <c r="H3830" s="5">
        <f t="shared" si="183"/>
        <v>21000</v>
      </c>
      <c r="I3830" s="5">
        <f t="shared" si="184"/>
        <v>35000</v>
      </c>
      <c r="J3830" s="5">
        <f t="shared" si="185"/>
        <v>14000</v>
      </c>
      <c r="K3830" s="5" t="str">
        <f>VLOOKUP(C3830,[1]master_data!$A$2:$E$495,5,FALSE)</f>
        <v>Aksesoris</v>
      </c>
      <c r="L3830" s="5" t="s">
        <v>471</v>
      </c>
    </row>
    <row r="3831" spans="1:12" ht="12" customHeight="1" x14ac:dyDescent="0.25">
      <c r="A3831" s="6">
        <v>44601</v>
      </c>
      <c r="B3831" s="1">
        <v>2200732</v>
      </c>
      <c r="C3831" s="5" t="s">
        <v>417</v>
      </c>
      <c r="D3831" s="5" t="str">
        <f>VLOOKUP(C3831,[1]master_data!$A$2:$E$495,2,FALSE)</f>
        <v>KOI T</v>
      </c>
      <c r="E3831" s="5">
        <v>2</v>
      </c>
      <c r="F3831" s="5">
        <f>VLOOKUP(C3831,[1]master_data!$A$2:$E$495,3,FALSE)</f>
        <v>7000</v>
      </c>
      <c r="G3831" s="5">
        <f>VLOOKUP(C3831,[1]master_data!$A$2:$E$495,4,FALSE)</f>
        <v>20000</v>
      </c>
      <c r="H3831" s="5">
        <f t="shared" si="183"/>
        <v>14000</v>
      </c>
      <c r="I3831" s="5">
        <f t="shared" si="184"/>
        <v>40000</v>
      </c>
      <c r="J3831" s="5">
        <f t="shared" si="185"/>
        <v>26000</v>
      </c>
      <c r="K3831" s="5" t="str">
        <f>VLOOKUP(C3831,[1]master_data!$A$2:$E$495,5,FALSE)</f>
        <v>Ikan</v>
      </c>
      <c r="L3831" s="5" t="s">
        <v>471</v>
      </c>
    </row>
    <row r="3832" spans="1:12" ht="12" customHeight="1" x14ac:dyDescent="0.25">
      <c r="A3832" s="6">
        <v>44601</v>
      </c>
      <c r="B3832" s="1">
        <v>2200731</v>
      </c>
      <c r="C3832" s="5" t="s">
        <v>415</v>
      </c>
      <c r="D3832" s="5" t="str">
        <f>VLOOKUP(C3832,[1]master_data!$A$2:$E$495,2,FALSE)</f>
        <v>KOKI B</v>
      </c>
      <c r="E3832" s="5">
        <v>1</v>
      </c>
      <c r="F3832" s="5">
        <f>VLOOKUP(C3832,[1]master_data!$A$2:$E$495,3,FALSE)</f>
        <v>20000</v>
      </c>
      <c r="G3832" s="5">
        <f>VLOOKUP(C3832,[1]master_data!$A$2:$E$495,4,FALSE)</f>
        <v>50000</v>
      </c>
      <c r="H3832" s="5">
        <f t="shared" si="183"/>
        <v>20000</v>
      </c>
      <c r="I3832" s="5">
        <f t="shared" si="184"/>
        <v>50000</v>
      </c>
      <c r="J3832" s="5">
        <f t="shared" si="185"/>
        <v>30000</v>
      </c>
      <c r="K3832" s="5" t="str">
        <f>VLOOKUP(C3832,[1]master_data!$A$2:$E$495,5,FALSE)</f>
        <v>Ikan</v>
      </c>
      <c r="L3832" s="5" t="s">
        <v>471</v>
      </c>
    </row>
    <row r="3833" spans="1:12" ht="12" customHeight="1" x14ac:dyDescent="0.25">
      <c r="A3833" s="6">
        <v>44601</v>
      </c>
      <c r="B3833" s="1">
        <v>2200730</v>
      </c>
      <c r="C3833" s="5" t="s">
        <v>397</v>
      </c>
      <c r="D3833" s="5" t="str">
        <f>VLOOKUP(C3833,[1]master_data!$A$2:$E$495,2,FALSE)</f>
        <v>ALIGATOR</v>
      </c>
      <c r="E3833" s="5">
        <v>2</v>
      </c>
      <c r="F3833" s="5">
        <f>VLOOKUP(C3833,[1]master_data!$A$2:$E$495,3,FALSE)</f>
        <v>17000</v>
      </c>
      <c r="G3833" s="5">
        <f>VLOOKUP(C3833,[1]master_data!$A$2:$E$495,4,FALSE)</f>
        <v>35000</v>
      </c>
      <c r="H3833" s="5">
        <f t="shared" si="183"/>
        <v>34000</v>
      </c>
      <c r="I3833" s="5">
        <f t="shared" si="184"/>
        <v>70000</v>
      </c>
      <c r="J3833" s="5">
        <f t="shared" si="185"/>
        <v>36000</v>
      </c>
      <c r="K3833" s="5" t="str">
        <f>VLOOKUP(C3833,[1]master_data!$A$2:$E$495,5,FALSE)</f>
        <v>Ikan</v>
      </c>
      <c r="L3833" s="5" t="s">
        <v>471</v>
      </c>
    </row>
    <row r="3834" spans="1:12" ht="12" customHeight="1" x14ac:dyDescent="0.25">
      <c r="A3834" s="6">
        <v>44601</v>
      </c>
      <c r="B3834" s="1">
        <v>2200729</v>
      </c>
      <c r="C3834" s="5" t="s">
        <v>451</v>
      </c>
      <c r="D3834" s="5" t="str">
        <f>VLOOKUP(C3834,[1]master_data!$A$2:$E$495,2,FALSE)</f>
        <v>SUMATRA GOLD FISH</v>
      </c>
      <c r="E3834" s="5">
        <v>3</v>
      </c>
      <c r="F3834" s="5">
        <f>VLOOKUP(C3834,[1]master_data!$A$2:$E$495,3,FALSE)</f>
        <v>2500</v>
      </c>
      <c r="G3834" s="5">
        <f>VLOOKUP(C3834,[1]master_data!$A$2:$E$495,4,FALSE)</f>
        <v>4000</v>
      </c>
      <c r="H3834" s="5">
        <f t="shared" si="183"/>
        <v>7500</v>
      </c>
      <c r="I3834" s="5">
        <f t="shared" si="184"/>
        <v>12000</v>
      </c>
      <c r="J3834" s="5">
        <f t="shared" si="185"/>
        <v>4500</v>
      </c>
      <c r="K3834" s="5" t="str">
        <f>VLOOKUP(C3834,[1]master_data!$A$2:$E$495,5,FALSE)</f>
        <v>Ikan</v>
      </c>
      <c r="L3834" s="5" t="s">
        <v>471</v>
      </c>
    </row>
    <row r="3835" spans="1:12" ht="12" customHeight="1" x14ac:dyDescent="0.25">
      <c r="A3835" s="6">
        <v>44601</v>
      </c>
      <c r="B3835" s="1">
        <v>2200728</v>
      </c>
      <c r="C3835" s="5" t="s">
        <v>418</v>
      </c>
      <c r="D3835" s="5" t="str">
        <f>VLOOKUP(C3835,[1]master_data!$A$2:$E$495,2,FALSE)</f>
        <v>KOI B</v>
      </c>
      <c r="E3835" s="5">
        <v>3</v>
      </c>
      <c r="F3835" s="5">
        <f>VLOOKUP(C3835,[1]master_data!$A$2:$E$495,3,FALSE)</f>
        <v>9000</v>
      </c>
      <c r="G3835" s="5">
        <f>VLOOKUP(C3835,[1]master_data!$A$2:$E$495,4,FALSE)</f>
        <v>30000</v>
      </c>
      <c r="H3835" s="5">
        <f t="shared" si="183"/>
        <v>27000</v>
      </c>
      <c r="I3835" s="5">
        <f t="shared" si="184"/>
        <v>90000</v>
      </c>
      <c r="J3835" s="5">
        <f t="shared" si="185"/>
        <v>63000</v>
      </c>
      <c r="K3835" s="5" t="str">
        <f>VLOOKUP(C3835,[1]master_data!$A$2:$E$495,5,FALSE)</f>
        <v>Ikan</v>
      </c>
      <c r="L3835" s="5" t="s">
        <v>471</v>
      </c>
    </row>
    <row r="3836" spans="1:12" ht="12" customHeight="1" x14ac:dyDescent="0.25">
      <c r="A3836" s="6">
        <v>44601</v>
      </c>
      <c r="B3836" s="1">
        <v>2200727</v>
      </c>
      <c r="C3836" s="5" t="s">
        <v>425</v>
      </c>
      <c r="D3836" s="5" t="str">
        <f>VLOOKUP(C3836,[1]master_data!$A$2:$E$495,2,FALSE)</f>
        <v>CAROLINE</v>
      </c>
      <c r="E3836" s="5">
        <v>20</v>
      </c>
      <c r="F3836" s="5">
        <f>VLOOKUP(C3836,[1]master_data!$A$2:$E$495,3,FALSE)</f>
        <v>900</v>
      </c>
      <c r="G3836" s="5">
        <f>VLOOKUP(C3836,[1]master_data!$A$2:$E$495,4,FALSE)</f>
        <v>2000</v>
      </c>
      <c r="H3836" s="5">
        <f t="shared" si="183"/>
        <v>18000</v>
      </c>
      <c r="I3836" s="5">
        <f t="shared" si="184"/>
        <v>40000</v>
      </c>
      <c r="J3836" s="5">
        <f t="shared" si="185"/>
        <v>22000</v>
      </c>
      <c r="K3836" s="5" t="str">
        <f>VLOOKUP(C3836,[1]master_data!$A$2:$E$495,5,FALSE)</f>
        <v>Ikan</v>
      </c>
      <c r="L3836" s="5" t="s">
        <v>471</v>
      </c>
    </row>
    <row r="3837" spans="1:12" ht="12" customHeight="1" x14ac:dyDescent="0.25">
      <c r="A3837" s="6">
        <v>44601</v>
      </c>
      <c r="B3837" s="1">
        <v>2200726</v>
      </c>
      <c r="C3837" s="5" t="s">
        <v>256</v>
      </c>
      <c r="D3837" s="5" t="str">
        <f>VLOOKUP(C3837,[1]master_data!$A$2:$E$495,2,FALSE)</f>
        <v>BACKGROUND</v>
      </c>
      <c r="E3837" s="5">
        <v>10</v>
      </c>
      <c r="F3837" s="5">
        <f>VLOOKUP(C3837,[1]master_data!$A$2:$E$495,3,FALSE)</f>
        <v>8000</v>
      </c>
      <c r="G3837" s="5">
        <f>VLOOKUP(C3837,[1]master_data!$A$2:$E$495,4,FALSE)</f>
        <v>15000</v>
      </c>
      <c r="H3837" s="5">
        <f t="shared" si="183"/>
        <v>80000</v>
      </c>
      <c r="I3837" s="5">
        <f t="shared" si="184"/>
        <v>150000</v>
      </c>
      <c r="J3837" s="5">
        <f t="shared" si="185"/>
        <v>70000</v>
      </c>
      <c r="K3837" s="5" t="str">
        <f>VLOOKUP(C3837,[1]master_data!$A$2:$E$495,5,FALSE)</f>
        <v>Aksesoris</v>
      </c>
      <c r="L3837" s="5" t="s">
        <v>471</v>
      </c>
    </row>
    <row r="3838" spans="1:12" ht="12" customHeight="1" x14ac:dyDescent="0.25">
      <c r="A3838" s="6">
        <v>44601</v>
      </c>
      <c r="B3838" s="1">
        <v>2200725</v>
      </c>
      <c r="C3838" s="5" t="s">
        <v>318</v>
      </c>
      <c r="D3838" s="5" t="str">
        <f>VLOOKUP(C3838,[1]master_data!$A$2:$E$495,2,FALSE)</f>
        <v>TEMPAT CACING</v>
      </c>
      <c r="E3838" s="5">
        <v>1</v>
      </c>
      <c r="F3838" s="5">
        <f>VLOOKUP(C3838,[1]master_data!$A$2:$E$495,3,FALSE)</f>
        <v>1500</v>
      </c>
      <c r="G3838" s="5">
        <f>VLOOKUP(C3838,[1]master_data!$A$2:$E$495,4,FALSE)</f>
        <v>5000</v>
      </c>
      <c r="H3838" s="5">
        <f t="shared" si="183"/>
        <v>1500</v>
      </c>
      <c r="I3838" s="5">
        <f t="shared" si="184"/>
        <v>5000</v>
      </c>
      <c r="J3838" s="5">
        <f t="shared" si="185"/>
        <v>3500</v>
      </c>
      <c r="K3838" s="5" t="str">
        <f>VLOOKUP(C3838,[1]master_data!$A$2:$E$495,5,FALSE)</f>
        <v>Aksesoris</v>
      </c>
      <c r="L3838" s="5" t="s">
        <v>471</v>
      </c>
    </row>
    <row r="3839" spans="1:12" ht="12" customHeight="1" x14ac:dyDescent="0.25">
      <c r="A3839" s="6">
        <v>44600</v>
      </c>
      <c r="B3839" s="1">
        <v>2200724</v>
      </c>
      <c r="C3839" s="5" t="s">
        <v>256</v>
      </c>
      <c r="D3839" s="5" t="str">
        <f>VLOOKUP(C3839,[1]master_data!$A$2:$E$495,2,FALSE)</f>
        <v>BACKGROUND</v>
      </c>
      <c r="E3839" s="5">
        <v>1</v>
      </c>
      <c r="F3839" s="5">
        <f>VLOOKUP(C3839,[1]master_data!$A$2:$E$495,3,FALSE)</f>
        <v>8000</v>
      </c>
      <c r="G3839" s="5">
        <f>VLOOKUP(C3839,[1]master_data!$A$2:$E$495,4,FALSE)</f>
        <v>15000</v>
      </c>
      <c r="H3839" s="5">
        <f t="shared" si="183"/>
        <v>8000</v>
      </c>
      <c r="I3839" s="5">
        <f t="shared" si="184"/>
        <v>15000</v>
      </c>
      <c r="J3839" s="5">
        <f t="shared" si="185"/>
        <v>7000</v>
      </c>
      <c r="K3839" s="5" t="str">
        <f>VLOOKUP(C3839,[1]master_data!$A$2:$E$495,5,FALSE)</f>
        <v>Aksesoris</v>
      </c>
      <c r="L3839" s="5" t="s">
        <v>471</v>
      </c>
    </row>
    <row r="3840" spans="1:12" ht="12" customHeight="1" x14ac:dyDescent="0.25">
      <c r="A3840" s="6">
        <v>44600</v>
      </c>
      <c r="B3840" s="1">
        <v>2200723</v>
      </c>
      <c r="C3840" s="5" t="s">
        <v>342</v>
      </c>
      <c r="D3840" s="5" t="str">
        <f>VLOOKUP(C3840,[1]master_data!$A$2:$E$495,2,FALSE)</f>
        <v>KUTUB LAS</v>
      </c>
      <c r="E3840" s="5">
        <v>2</v>
      </c>
      <c r="F3840" s="5">
        <f>VLOOKUP(C3840,[1]master_data!$A$2:$E$495,3,FALSE)</f>
        <v>15000</v>
      </c>
      <c r="G3840" s="5">
        <f>VLOOKUP(C3840,[1]master_data!$A$2:$E$495,4,FALSE)</f>
        <v>25000</v>
      </c>
      <c r="H3840" s="5">
        <f t="shared" si="183"/>
        <v>30000</v>
      </c>
      <c r="I3840" s="5">
        <f t="shared" si="184"/>
        <v>50000</v>
      </c>
      <c r="J3840" s="5">
        <f t="shared" si="185"/>
        <v>20000</v>
      </c>
      <c r="K3840" s="5" t="str">
        <f>VLOOKUP(C3840,[1]master_data!$A$2:$E$495,5,FALSE)</f>
        <v>Aksesoris</v>
      </c>
      <c r="L3840" s="5" t="s">
        <v>471</v>
      </c>
    </row>
    <row r="3841" spans="1:12" ht="12" customHeight="1" x14ac:dyDescent="0.25">
      <c r="A3841" s="6">
        <v>44600</v>
      </c>
      <c r="B3841" s="1">
        <v>2200722</v>
      </c>
      <c r="C3841" s="5" t="s">
        <v>285</v>
      </c>
      <c r="D3841" s="5" t="str">
        <f>VLOOKUP(C3841,[1]master_data!$A$2:$E$495,2,FALSE)</f>
        <v>KAPAS 4 LAPIS</v>
      </c>
      <c r="E3841" s="5">
        <v>1</v>
      </c>
      <c r="F3841" s="5">
        <f>VLOOKUP(C3841,[1]master_data!$A$2:$E$495,3,FALSE)</f>
        <v>6500</v>
      </c>
      <c r="G3841" s="5">
        <f>VLOOKUP(C3841,[1]master_data!$A$2:$E$495,4,FALSE)</f>
        <v>10000</v>
      </c>
      <c r="H3841" s="5">
        <f t="shared" si="183"/>
        <v>6500</v>
      </c>
      <c r="I3841" s="5">
        <f t="shared" si="184"/>
        <v>10000</v>
      </c>
      <c r="J3841" s="5">
        <f t="shared" si="185"/>
        <v>3500</v>
      </c>
      <c r="K3841" s="5" t="str">
        <f>VLOOKUP(C3841,[1]master_data!$A$2:$E$495,5,FALSE)</f>
        <v>Aksesoris</v>
      </c>
      <c r="L3841" s="5" t="s">
        <v>471</v>
      </c>
    </row>
    <row r="3842" spans="1:12" ht="12" customHeight="1" x14ac:dyDescent="0.25">
      <c r="A3842" s="6">
        <v>44600</v>
      </c>
      <c r="B3842" s="1">
        <v>2200721</v>
      </c>
      <c r="C3842" s="5" t="s">
        <v>313</v>
      </c>
      <c r="D3842" s="5" t="str">
        <f>VLOOKUP(C3842,[1]master_data!$A$2:$E$495,2,FALSE)</f>
        <v>LURUS PIPA</v>
      </c>
      <c r="E3842" s="5">
        <v>3</v>
      </c>
      <c r="F3842" s="5">
        <f>VLOOKUP(C3842,[1]master_data!$A$2:$E$495,3,FALSE)</f>
        <v>800</v>
      </c>
      <c r="G3842" s="5">
        <f>VLOOKUP(C3842,[1]master_data!$A$2:$E$495,4,FALSE)</f>
        <v>2000</v>
      </c>
      <c r="H3842" s="5">
        <f t="shared" si="183"/>
        <v>2400</v>
      </c>
      <c r="I3842" s="5">
        <f t="shared" si="184"/>
        <v>6000</v>
      </c>
      <c r="J3842" s="5">
        <f t="shared" si="185"/>
        <v>3600</v>
      </c>
      <c r="K3842" s="5" t="str">
        <f>VLOOKUP(C3842,[1]master_data!$A$2:$E$495,5,FALSE)</f>
        <v>Aksesoris</v>
      </c>
      <c r="L3842" s="5" t="s">
        <v>471</v>
      </c>
    </row>
    <row r="3843" spans="1:12" ht="12" customHeight="1" x14ac:dyDescent="0.25">
      <c r="A3843" s="6">
        <v>44600</v>
      </c>
      <c r="B3843" s="1">
        <v>2200720</v>
      </c>
      <c r="C3843" s="5" t="s">
        <v>415</v>
      </c>
      <c r="D3843" s="5" t="str">
        <f>VLOOKUP(C3843,[1]master_data!$A$2:$E$495,2,FALSE)</f>
        <v>KOKI B</v>
      </c>
      <c r="E3843" s="5">
        <v>1</v>
      </c>
      <c r="F3843" s="5">
        <f>VLOOKUP(C3843,[1]master_data!$A$2:$E$495,3,FALSE)</f>
        <v>20000</v>
      </c>
      <c r="G3843" s="5">
        <f>VLOOKUP(C3843,[1]master_data!$A$2:$E$495,4,FALSE)</f>
        <v>50000</v>
      </c>
      <c r="H3843" s="5">
        <f t="shared" si="183"/>
        <v>20000</v>
      </c>
      <c r="I3843" s="5">
        <f t="shared" si="184"/>
        <v>50000</v>
      </c>
      <c r="J3843" s="5">
        <f t="shared" si="185"/>
        <v>30000</v>
      </c>
      <c r="K3843" s="5" t="str">
        <f>VLOOKUP(C3843,[1]master_data!$A$2:$E$495,5,FALSE)</f>
        <v>Ikan</v>
      </c>
      <c r="L3843" s="5" t="s">
        <v>471</v>
      </c>
    </row>
    <row r="3844" spans="1:12" ht="12" customHeight="1" x14ac:dyDescent="0.25">
      <c r="A3844" s="6">
        <v>44600</v>
      </c>
      <c r="B3844" s="1">
        <v>2200719</v>
      </c>
      <c r="C3844" s="5" t="s">
        <v>414</v>
      </c>
      <c r="D3844" s="5" t="str">
        <f>VLOOKUP(C3844,[1]master_data!$A$2:$E$495,2,FALSE)</f>
        <v>KOKI T</v>
      </c>
      <c r="E3844" s="5">
        <v>2</v>
      </c>
      <c r="F3844" s="5">
        <f>VLOOKUP(C3844,[1]master_data!$A$2:$E$495,3,FALSE)</f>
        <v>8000</v>
      </c>
      <c r="G3844" s="5">
        <f>VLOOKUP(C3844,[1]master_data!$A$2:$E$495,4,FALSE)</f>
        <v>15000</v>
      </c>
      <c r="H3844" s="5">
        <f t="shared" si="183"/>
        <v>16000</v>
      </c>
      <c r="I3844" s="5">
        <f t="shared" si="184"/>
        <v>30000</v>
      </c>
      <c r="J3844" s="5">
        <f t="shared" si="185"/>
        <v>14000</v>
      </c>
      <c r="K3844" s="5" t="str">
        <f>VLOOKUP(C3844,[1]master_data!$A$2:$E$495,5,FALSE)</f>
        <v>Ikan</v>
      </c>
      <c r="L3844" s="5" t="s">
        <v>471</v>
      </c>
    </row>
    <row r="3845" spans="1:12" ht="12" customHeight="1" x14ac:dyDescent="0.25">
      <c r="A3845" s="6">
        <v>44600</v>
      </c>
      <c r="B3845" s="1">
        <v>2200718</v>
      </c>
      <c r="C3845" s="5" t="s">
        <v>100</v>
      </c>
      <c r="D3845" s="5" t="str">
        <f>VLOOKUP(C3845,[1]master_data!$A$2:$E$495,2,FALSE)</f>
        <v>AIRATOR AMARA LUB 1</v>
      </c>
      <c r="E3845" s="5">
        <v>1</v>
      </c>
      <c r="F3845" s="5">
        <f>VLOOKUP(C3845,[1]master_data!$A$2:$E$495,3,FALSE)</f>
        <v>17500</v>
      </c>
      <c r="G3845" s="5">
        <f>VLOOKUP(C3845,[1]master_data!$A$2:$E$495,4,FALSE)</f>
        <v>30000</v>
      </c>
      <c r="H3845" s="5">
        <f t="shared" ref="H3845:H3908" si="186">E3845*F3845</f>
        <v>17500</v>
      </c>
      <c r="I3845" s="5">
        <f t="shared" ref="I3845:I3908" si="187">E3845*G3845</f>
        <v>30000</v>
      </c>
      <c r="J3845" s="5">
        <f t="shared" ref="J3845:J3908" si="188">I3845-H3845</f>
        <v>12500</v>
      </c>
      <c r="K3845" s="5" t="str">
        <f>VLOOKUP(C3845,[1]master_data!$A$2:$E$495,5,FALSE)</f>
        <v>Aksesoris</v>
      </c>
      <c r="L3845" s="5" t="s">
        <v>471</v>
      </c>
    </row>
    <row r="3846" spans="1:12" ht="12" customHeight="1" x14ac:dyDescent="0.25">
      <c r="A3846" s="6">
        <v>44600</v>
      </c>
      <c r="B3846" s="1">
        <v>2200717</v>
      </c>
      <c r="C3846" s="5" t="s">
        <v>327</v>
      </c>
      <c r="D3846" s="5" t="str">
        <f>VLOOKUP(C3846,[1]master_data!$A$2:$E$495,2,FALSE)</f>
        <v>AIRSTONE K</v>
      </c>
      <c r="E3846" s="5">
        <v>1</v>
      </c>
      <c r="F3846" s="5">
        <f>VLOOKUP(C3846,[1]master_data!$A$2:$E$495,3,FALSE)</f>
        <v>850</v>
      </c>
      <c r="G3846" s="5">
        <f>VLOOKUP(C3846,[1]master_data!$A$2:$E$495,4,FALSE)</f>
        <v>3000</v>
      </c>
      <c r="H3846" s="5">
        <f t="shared" si="186"/>
        <v>850</v>
      </c>
      <c r="I3846" s="5">
        <f t="shared" si="187"/>
        <v>3000</v>
      </c>
      <c r="J3846" s="5">
        <f t="shared" si="188"/>
        <v>2150</v>
      </c>
      <c r="K3846" s="5" t="str">
        <f>VLOOKUP(C3846,[1]master_data!$A$2:$E$495,5,FALSE)</f>
        <v>Aksesoris</v>
      </c>
      <c r="L3846" s="5" t="s">
        <v>471</v>
      </c>
    </row>
    <row r="3847" spans="1:12" ht="12" customHeight="1" x14ac:dyDescent="0.25">
      <c r="A3847" s="6">
        <v>44600</v>
      </c>
      <c r="B3847" s="1">
        <v>2200716</v>
      </c>
      <c r="C3847" s="5" t="s">
        <v>310</v>
      </c>
      <c r="D3847" s="5" t="str">
        <f>VLOOKUP(C3847,[1]master_data!$A$2:$E$495,2,FALSE)</f>
        <v>SELANG FUSO</v>
      </c>
      <c r="E3847" s="5">
        <v>1</v>
      </c>
      <c r="F3847" s="5">
        <f>VLOOKUP(C3847,[1]master_data!$A$2:$E$495,3,FALSE)</f>
        <v>800</v>
      </c>
      <c r="G3847" s="5">
        <f>VLOOKUP(C3847,[1]master_data!$A$2:$E$495,4,FALSE)</f>
        <v>2000</v>
      </c>
      <c r="H3847" s="5">
        <f t="shared" si="186"/>
        <v>800</v>
      </c>
      <c r="I3847" s="5">
        <f t="shared" si="187"/>
        <v>2000</v>
      </c>
      <c r="J3847" s="5">
        <f t="shared" si="188"/>
        <v>1200</v>
      </c>
      <c r="K3847" s="5" t="str">
        <f>VLOOKUP(C3847,[1]master_data!$A$2:$E$495,5,FALSE)</f>
        <v>Aksesoris</v>
      </c>
      <c r="L3847" s="5" t="s">
        <v>471</v>
      </c>
    </row>
    <row r="3848" spans="1:12" ht="12" customHeight="1" x14ac:dyDescent="0.25">
      <c r="A3848" s="6">
        <v>44600</v>
      </c>
      <c r="B3848" s="1">
        <v>2200715</v>
      </c>
      <c r="C3848" s="5" t="s">
        <v>428</v>
      </c>
      <c r="D3848" s="5" t="str">
        <f>VLOOKUP(C3848,[1]master_data!$A$2:$E$495,2,FALSE)</f>
        <v>LOUHAN</v>
      </c>
      <c r="E3848" s="5">
        <v>1</v>
      </c>
      <c r="F3848" s="5">
        <f>VLOOKUP(C3848,[1]master_data!$A$2:$E$495,3,FALSE)</f>
        <v>85000</v>
      </c>
      <c r="G3848" s="5">
        <f>VLOOKUP(C3848,[1]master_data!$A$2:$E$495,4,FALSE)</f>
        <v>200000</v>
      </c>
      <c r="H3848" s="5">
        <f t="shared" si="186"/>
        <v>85000</v>
      </c>
      <c r="I3848" s="5">
        <f t="shared" si="187"/>
        <v>200000</v>
      </c>
      <c r="J3848" s="5">
        <f t="shared" si="188"/>
        <v>115000</v>
      </c>
      <c r="K3848" s="5" t="str">
        <f>VLOOKUP(C3848,[1]master_data!$A$2:$E$495,5,FALSE)</f>
        <v>Ikan</v>
      </c>
      <c r="L3848" s="5" t="s">
        <v>471</v>
      </c>
    </row>
    <row r="3849" spans="1:12" ht="12" customHeight="1" x14ac:dyDescent="0.25">
      <c r="A3849" s="6">
        <v>44600</v>
      </c>
      <c r="B3849" s="1">
        <v>2200714</v>
      </c>
      <c r="C3849" s="5" t="s">
        <v>436</v>
      </c>
      <c r="D3849" s="5" t="str">
        <f>VLOOKUP(C3849,[1]master_data!$A$2:$E$495,2,FALSE)</f>
        <v>NIASA</v>
      </c>
      <c r="E3849" s="5">
        <v>10</v>
      </c>
      <c r="F3849" s="5">
        <f>VLOOKUP(C3849,[1]master_data!$A$2:$E$495,3,FALSE)</f>
        <v>900</v>
      </c>
      <c r="G3849" s="5">
        <f>VLOOKUP(C3849,[1]master_data!$A$2:$E$495,4,FALSE)</f>
        <v>2000</v>
      </c>
      <c r="H3849" s="5">
        <f t="shared" si="186"/>
        <v>9000</v>
      </c>
      <c r="I3849" s="5">
        <f t="shared" si="187"/>
        <v>20000</v>
      </c>
      <c r="J3849" s="5">
        <f t="shared" si="188"/>
        <v>11000</v>
      </c>
      <c r="K3849" s="5" t="str">
        <f>VLOOKUP(C3849,[1]master_data!$A$2:$E$495,5,FALSE)</f>
        <v>Ikan</v>
      </c>
      <c r="L3849" s="5" t="s">
        <v>471</v>
      </c>
    </row>
    <row r="3850" spans="1:12" ht="12" customHeight="1" x14ac:dyDescent="0.25">
      <c r="A3850" s="6">
        <v>44600</v>
      </c>
      <c r="B3850" s="1">
        <v>2200713</v>
      </c>
      <c r="C3850" s="5" t="s">
        <v>400</v>
      </c>
      <c r="D3850" s="5" t="str">
        <f>VLOOKUP(C3850,[1]master_data!$A$2:$E$495,2,FALSE)</f>
        <v>BALA BALA K</v>
      </c>
      <c r="E3850" s="5">
        <v>10</v>
      </c>
      <c r="F3850" s="5">
        <f>VLOOKUP(C3850,[1]master_data!$A$2:$E$495,3,FALSE)</f>
        <v>4000</v>
      </c>
      <c r="G3850" s="5">
        <f>VLOOKUP(C3850,[1]master_data!$A$2:$E$495,4,FALSE)</f>
        <v>8000</v>
      </c>
      <c r="H3850" s="5">
        <f t="shared" si="186"/>
        <v>40000</v>
      </c>
      <c r="I3850" s="5">
        <f t="shared" si="187"/>
        <v>80000</v>
      </c>
      <c r="J3850" s="5">
        <f t="shared" si="188"/>
        <v>40000</v>
      </c>
      <c r="K3850" s="5" t="str">
        <f>VLOOKUP(C3850,[1]master_data!$A$2:$E$495,5,FALSE)</f>
        <v>Ikan</v>
      </c>
      <c r="L3850" s="5" t="s">
        <v>471</v>
      </c>
    </row>
    <row r="3851" spans="1:12" ht="12" customHeight="1" x14ac:dyDescent="0.25">
      <c r="A3851" s="6">
        <v>44600</v>
      </c>
      <c r="B3851" s="1">
        <v>2200712</v>
      </c>
      <c r="C3851" s="5" t="s">
        <v>409</v>
      </c>
      <c r="D3851" s="5" t="str">
        <f>VLOOKUP(C3851,[1]master_data!$A$2:$E$495,2,FALSE)</f>
        <v>GOLD FISH</v>
      </c>
      <c r="E3851" s="5">
        <v>20</v>
      </c>
      <c r="F3851" s="5">
        <f>VLOOKUP(C3851,[1]master_data!$A$2:$E$495,3,FALSE)</f>
        <v>800</v>
      </c>
      <c r="G3851" s="5">
        <f>VLOOKUP(C3851,[1]master_data!$A$2:$E$495,4,FALSE)</f>
        <v>2000</v>
      </c>
      <c r="H3851" s="5">
        <f t="shared" si="186"/>
        <v>16000</v>
      </c>
      <c r="I3851" s="5">
        <f t="shared" si="187"/>
        <v>40000</v>
      </c>
      <c r="J3851" s="5">
        <f t="shared" si="188"/>
        <v>24000</v>
      </c>
      <c r="K3851" s="5" t="str">
        <f>VLOOKUP(C3851,[1]master_data!$A$2:$E$495,5,FALSE)</f>
        <v>Ikan</v>
      </c>
      <c r="L3851" s="5" t="s">
        <v>471</v>
      </c>
    </row>
    <row r="3852" spans="1:12" ht="12" customHeight="1" x14ac:dyDescent="0.25">
      <c r="A3852" s="6">
        <v>44600</v>
      </c>
      <c r="B3852" s="1">
        <v>2200711</v>
      </c>
      <c r="C3852" s="5" t="s">
        <v>441</v>
      </c>
      <c r="D3852" s="5" t="str">
        <f>VLOOKUP(C3852,[1]master_data!$A$2:$E$495,2,FALSE)</f>
        <v>PEMBERSIH KACA BIASA</v>
      </c>
      <c r="E3852" s="5">
        <v>3</v>
      </c>
      <c r="F3852" s="5">
        <f>VLOOKUP(C3852,[1]master_data!$A$2:$E$495,3,FALSE)</f>
        <v>2000</v>
      </c>
      <c r="G3852" s="5">
        <f>VLOOKUP(C3852,[1]master_data!$A$2:$E$495,4,FALSE)</f>
        <v>5000</v>
      </c>
      <c r="H3852" s="5">
        <f t="shared" si="186"/>
        <v>6000</v>
      </c>
      <c r="I3852" s="5">
        <f t="shared" si="187"/>
        <v>15000</v>
      </c>
      <c r="J3852" s="5">
        <f t="shared" si="188"/>
        <v>9000</v>
      </c>
      <c r="K3852" s="5" t="str">
        <f>VLOOKUP(C3852,[1]master_data!$A$2:$E$495,5,FALSE)</f>
        <v>Ikan</v>
      </c>
      <c r="L3852" s="5" t="s">
        <v>471</v>
      </c>
    </row>
    <row r="3853" spans="1:12" ht="12" customHeight="1" x14ac:dyDescent="0.25">
      <c r="A3853" s="6">
        <v>44600</v>
      </c>
      <c r="B3853" s="1">
        <v>2200710</v>
      </c>
      <c r="C3853" s="5" t="s">
        <v>456</v>
      </c>
      <c r="D3853" s="5" t="str">
        <f>VLOOKUP(C3853,[1]master_data!$A$2:$E$495,2,FALSE)</f>
        <v>TOMAN</v>
      </c>
      <c r="E3853" s="5">
        <v>1</v>
      </c>
      <c r="F3853" s="5">
        <f>VLOOKUP(C3853,[1]master_data!$A$2:$E$495,3,FALSE)</f>
        <v>10000</v>
      </c>
      <c r="G3853" s="5">
        <f>VLOOKUP(C3853,[1]master_data!$A$2:$E$495,4,FALSE)</f>
        <v>25000</v>
      </c>
      <c r="H3853" s="5">
        <f t="shared" si="186"/>
        <v>10000</v>
      </c>
      <c r="I3853" s="5">
        <f t="shared" si="187"/>
        <v>25000</v>
      </c>
      <c r="J3853" s="5">
        <f t="shared" si="188"/>
        <v>15000</v>
      </c>
      <c r="K3853" s="5" t="str">
        <f>VLOOKUP(C3853,[1]master_data!$A$2:$E$495,5,FALSE)</f>
        <v>Ikan</v>
      </c>
      <c r="L3853" s="5" t="s">
        <v>471</v>
      </c>
    </row>
    <row r="3854" spans="1:12" ht="12" customHeight="1" x14ac:dyDescent="0.25">
      <c r="A3854" s="6">
        <v>44600</v>
      </c>
      <c r="B3854" s="1">
        <v>2200709</v>
      </c>
      <c r="C3854" s="5" t="s">
        <v>445</v>
      </c>
      <c r="D3854" s="5" t="str">
        <f>VLOOKUP(C3854,[1]master_data!$A$2:$E$495,2,FALSE)</f>
        <v>PESO</v>
      </c>
      <c r="E3854" s="5">
        <v>1</v>
      </c>
      <c r="F3854" s="5">
        <f>VLOOKUP(C3854,[1]master_data!$A$2:$E$495,3,FALSE)</f>
        <v>19000</v>
      </c>
      <c r="G3854" s="5">
        <f>VLOOKUP(C3854,[1]master_data!$A$2:$E$495,4,FALSE)</f>
        <v>40000</v>
      </c>
      <c r="H3854" s="5">
        <f t="shared" si="186"/>
        <v>19000</v>
      </c>
      <c r="I3854" s="5">
        <f t="shared" si="187"/>
        <v>40000</v>
      </c>
      <c r="J3854" s="5">
        <f t="shared" si="188"/>
        <v>21000</v>
      </c>
      <c r="K3854" s="5" t="str">
        <f>VLOOKUP(C3854,[1]master_data!$A$2:$E$495,5,FALSE)</f>
        <v>Ikan</v>
      </c>
      <c r="L3854" s="5" t="s">
        <v>471</v>
      </c>
    </row>
    <row r="3855" spans="1:12" ht="12" customHeight="1" x14ac:dyDescent="0.25">
      <c r="A3855" s="6">
        <v>44600</v>
      </c>
      <c r="B3855" s="1">
        <v>2200708</v>
      </c>
      <c r="C3855" s="5" t="s">
        <v>438</v>
      </c>
      <c r="D3855" s="5" t="str">
        <f>VLOOKUP(C3855,[1]master_data!$A$2:$E$495,2,FALSE)</f>
        <v>NENTINEN</v>
      </c>
      <c r="E3855" s="5">
        <v>5</v>
      </c>
      <c r="F3855" s="5">
        <f>VLOOKUP(C3855,[1]master_data!$A$2:$E$495,3,FALSE)</f>
        <v>1000</v>
      </c>
      <c r="G3855" s="5">
        <f>VLOOKUP(C3855,[1]master_data!$A$2:$E$495,4,FALSE)</f>
        <v>2500</v>
      </c>
      <c r="H3855" s="5">
        <f t="shared" si="186"/>
        <v>5000</v>
      </c>
      <c r="I3855" s="5">
        <f t="shared" si="187"/>
        <v>12500</v>
      </c>
      <c r="J3855" s="5">
        <f t="shared" si="188"/>
        <v>7500</v>
      </c>
      <c r="K3855" s="5" t="str">
        <f>VLOOKUP(C3855,[1]master_data!$A$2:$E$495,5,FALSE)</f>
        <v>Ikan</v>
      </c>
      <c r="L3855" s="5" t="s">
        <v>471</v>
      </c>
    </row>
    <row r="3856" spans="1:12" ht="12" customHeight="1" x14ac:dyDescent="0.25">
      <c r="A3856" s="6">
        <v>44600</v>
      </c>
      <c r="B3856" s="1">
        <v>2200707</v>
      </c>
      <c r="C3856" s="5" t="s">
        <v>427</v>
      </c>
      <c r="D3856" s="5" t="str">
        <f>VLOOKUP(C3856,[1]master_data!$A$2:$E$495,2,FALSE)</f>
        <v>LEMON</v>
      </c>
      <c r="E3856" s="5">
        <v>10</v>
      </c>
      <c r="F3856" s="5">
        <f>VLOOKUP(C3856,[1]master_data!$A$2:$E$495,3,FALSE)</f>
        <v>1000</v>
      </c>
      <c r="G3856" s="5">
        <f>VLOOKUP(C3856,[1]master_data!$A$2:$E$495,4,FALSE)</f>
        <v>2000</v>
      </c>
      <c r="H3856" s="5">
        <f t="shared" si="186"/>
        <v>10000</v>
      </c>
      <c r="I3856" s="5">
        <f t="shared" si="187"/>
        <v>20000</v>
      </c>
      <c r="J3856" s="5">
        <f t="shared" si="188"/>
        <v>10000</v>
      </c>
      <c r="K3856" s="5" t="str">
        <f>VLOOKUP(C3856,[1]master_data!$A$2:$E$495,5,FALSE)</f>
        <v>Ikan</v>
      </c>
      <c r="L3856" s="5" t="s">
        <v>471</v>
      </c>
    </row>
    <row r="3857" spans="1:12" ht="12" customHeight="1" x14ac:dyDescent="0.25">
      <c r="A3857" s="6">
        <v>44599</v>
      </c>
      <c r="B3857" s="1">
        <v>2200706</v>
      </c>
      <c r="C3857" s="5" t="s">
        <v>115</v>
      </c>
      <c r="D3857" s="5" t="str">
        <f>VLOOKUP(C3857,[1]master_data!$A$2:$E$495,2,FALSE)</f>
        <v>LED ROSTON 30 CM</v>
      </c>
      <c r="E3857" s="5">
        <v>1</v>
      </c>
      <c r="F3857" s="5">
        <f>VLOOKUP(C3857,[1]master_data!$A$2:$E$495,3,FALSE)</f>
        <v>21000</v>
      </c>
      <c r="G3857" s="5">
        <f>VLOOKUP(C3857,[1]master_data!$A$2:$E$495,4,FALSE)</f>
        <v>35000</v>
      </c>
      <c r="H3857" s="5">
        <f t="shared" si="186"/>
        <v>21000</v>
      </c>
      <c r="I3857" s="5">
        <f t="shared" si="187"/>
        <v>35000</v>
      </c>
      <c r="J3857" s="5">
        <f t="shared" si="188"/>
        <v>14000</v>
      </c>
      <c r="K3857" s="5" t="str">
        <f>VLOOKUP(C3857,[1]master_data!$A$2:$E$495,5,FALSE)</f>
        <v>Aksesoris</v>
      </c>
      <c r="L3857" s="5" t="s">
        <v>471</v>
      </c>
    </row>
    <row r="3858" spans="1:12" ht="12" customHeight="1" x14ac:dyDescent="0.25">
      <c r="A3858" s="6">
        <v>44599</v>
      </c>
      <c r="B3858" s="1">
        <v>2200705</v>
      </c>
      <c r="C3858" s="5" t="s">
        <v>451</v>
      </c>
      <c r="D3858" s="5" t="str">
        <f>VLOOKUP(C3858,[1]master_data!$A$2:$E$495,2,FALSE)</f>
        <v>SUMATRA GOLD FISH</v>
      </c>
      <c r="E3858" s="5">
        <v>10</v>
      </c>
      <c r="F3858" s="5">
        <f>VLOOKUP(C3858,[1]master_data!$A$2:$E$495,3,FALSE)</f>
        <v>2500</v>
      </c>
      <c r="G3858" s="5">
        <f>VLOOKUP(C3858,[1]master_data!$A$2:$E$495,4,FALSE)</f>
        <v>4000</v>
      </c>
      <c r="H3858" s="5">
        <f t="shared" si="186"/>
        <v>25000</v>
      </c>
      <c r="I3858" s="5">
        <f t="shared" si="187"/>
        <v>40000</v>
      </c>
      <c r="J3858" s="5">
        <f t="shared" si="188"/>
        <v>15000</v>
      </c>
      <c r="K3858" s="5" t="str">
        <f>VLOOKUP(C3858,[1]master_data!$A$2:$E$495,5,FALSE)</f>
        <v>Ikan</v>
      </c>
      <c r="L3858" s="5" t="s">
        <v>471</v>
      </c>
    </row>
    <row r="3859" spans="1:12" ht="12" customHeight="1" x14ac:dyDescent="0.25">
      <c r="A3859" s="6">
        <v>44599</v>
      </c>
      <c r="B3859" s="1">
        <v>2200704</v>
      </c>
      <c r="C3859" s="5" t="s">
        <v>104</v>
      </c>
      <c r="D3859" s="5" t="str">
        <f>VLOOKUP(C3859,[1]master_data!$A$2:$E$495,2,FALSE)</f>
        <v>AIRATOR AMARA LUB 2</v>
      </c>
      <c r="E3859" s="5">
        <v>1</v>
      </c>
      <c r="F3859" s="5">
        <f>VLOOKUP(C3859,[1]master_data!$A$2:$E$495,3,FALSE)</f>
        <v>33000</v>
      </c>
      <c r="G3859" s="5">
        <f>VLOOKUP(C3859,[1]master_data!$A$2:$E$495,4,FALSE)</f>
        <v>50000</v>
      </c>
      <c r="H3859" s="5">
        <f t="shared" si="186"/>
        <v>33000</v>
      </c>
      <c r="I3859" s="5">
        <f t="shared" si="187"/>
        <v>50000</v>
      </c>
      <c r="J3859" s="5">
        <f t="shared" si="188"/>
        <v>17000</v>
      </c>
      <c r="K3859" s="5" t="str">
        <f>VLOOKUP(C3859,[1]master_data!$A$2:$E$495,5,FALSE)</f>
        <v>Aksesoris</v>
      </c>
      <c r="L3859" s="5" t="s">
        <v>471</v>
      </c>
    </row>
    <row r="3860" spans="1:12" ht="12" customHeight="1" x14ac:dyDescent="0.25">
      <c r="A3860" s="6">
        <v>44599</v>
      </c>
      <c r="B3860" s="1">
        <v>2200703</v>
      </c>
      <c r="C3860" s="5" t="s">
        <v>315</v>
      </c>
      <c r="D3860" s="5" t="str">
        <f>VLOOKUP(C3860,[1]master_data!$A$2:$E$495,2,FALSE)</f>
        <v>T SELANG</v>
      </c>
      <c r="E3860" s="5">
        <v>2</v>
      </c>
      <c r="F3860" s="5">
        <f>VLOOKUP(C3860,[1]master_data!$A$2:$E$495,3,FALSE)</f>
        <v>750</v>
      </c>
      <c r="G3860" s="5">
        <f>VLOOKUP(C3860,[1]master_data!$A$2:$E$495,4,FALSE)</f>
        <v>1500</v>
      </c>
      <c r="H3860" s="5">
        <f t="shared" si="186"/>
        <v>1500</v>
      </c>
      <c r="I3860" s="5">
        <f t="shared" si="187"/>
        <v>3000</v>
      </c>
      <c r="J3860" s="5">
        <f t="shared" si="188"/>
        <v>1500</v>
      </c>
      <c r="K3860" s="5" t="str">
        <f>VLOOKUP(C3860,[1]master_data!$A$2:$E$495,5,FALSE)</f>
        <v>Aksesoris</v>
      </c>
      <c r="L3860" s="5" t="s">
        <v>471</v>
      </c>
    </row>
    <row r="3861" spans="1:12" ht="12" customHeight="1" x14ac:dyDescent="0.25">
      <c r="A3861" s="6">
        <v>44599</v>
      </c>
      <c r="B3861" s="1">
        <v>2200702</v>
      </c>
      <c r="C3861" s="5" t="s">
        <v>310</v>
      </c>
      <c r="D3861" s="5" t="str">
        <f>VLOOKUP(C3861,[1]master_data!$A$2:$E$495,2,FALSE)</f>
        <v>SELANG FUSO</v>
      </c>
      <c r="E3861" s="5">
        <v>1</v>
      </c>
      <c r="F3861" s="5">
        <f>VLOOKUP(C3861,[1]master_data!$A$2:$E$495,3,FALSE)</f>
        <v>800</v>
      </c>
      <c r="G3861" s="5">
        <f>VLOOKUP(C3861,[1]master_data!$A$2:$E$495,4,FALSE)</f>
        <v>2000</v>
      </c>
      <c r="H3861" s="5">
        <f t="shared" si="186"/>
        <v>800</v>
      </c>
      <c r="I3861" s="5">
        <f t="shared" si="187"/>
        <v>2000</v>
      </c>
      <c r="J3861" s="5">
        <f t="shared" si="188"/>
        <v>1200</v>
      </c>
      <c r="K3861" s="5" t="str">
        <f>VLOOKUP(C3861,[1]master_data!$A$2:$E$495,5,FALSE)</f>
        <v>Aksesoris</v>
      </c>
      <c r="L3861" s="5" t="s">
        <v>471</v>
      </c>
    </row>
    <row r="3862" spans="1:12" ht="12" customHeight="1" x14ac:dyDescent="0.25">
      <c r="A3862" s="6">
        <v>44599</v>
      </c>
      <c r="B3862" s="1">
        <v>2200701</v>
      </c>
      <c r="C3862" s="5" t="s">
        <v>462</v>
      </c>
      <c r="D3862" s="5" t="str">
        <f>VLOOKUP(C3862,[1]master_data!$A$2:$E$495,2,FALSE)</f>
        <v>SEPAT ALBINO</v>
      </c>
      <c r="E3862" s="5">
        <v>3</v>
      </c>
      <c r="F3862" s="5">
        <f>VLOOKUP(C3862,[1]master_data!$A$2:$E$495,3,FALSE)</f>
        <v>2000</v>
      </c>
      <c r="G3862" s="5">
        <f>VLOOKUP(C3862,[1]master_data!$A$2:$E$495,4,FALSE)</f>
        <v>5000</v>
      </c>
      <c r="H3862" s="5">
        <f t="shared" si="186"/>
        <v>6000</v>
      </c>
      <c r="I3862" s="5">
        <f t="shared" si="187"/>
        <v>15000</v>
      </c>
      <c r="J3862" s="5">
        <f t="shared" si="188"/>
        <v>9000</v>
      </c>
      <c r="K3862" s="5" t="str">
        <f>VLOOKUP(C3862,[1]master_data!$A$2:$E$495,5,FALSE)</f>
        <v>Ikan</v>
      </c>
      <c r="L3862" s="5" t="s">
        <v>471</v>
      </c>
    </row>
    <row r="3863" spans="1:12" ht="12" customHeight="1" x14ac:dyDescent="0.25">
      <c r="A3863" s="6">
        <v>44599</v>
      </c>
      <c r="B3863" s="1">
        <v>2200700</v>
      </c>
      <c r="C3863" s="5" t="s">
        <v>412</v>
      </c>
      <c r="D3863" s="5" t="str">
        <f>VLOOKUP(C3863,[1]master_data!$A$2:$E$495,2,FALSE)</f>
        <v>HIU TAWAR</v>
      </c>
      <c r="E3863" s="5">
        <v>10</v>
      </c>
      <c r="F3863" s="5">
        <f>VLOOKUP(C3863,[1]master_data!$A$2:$E$495,3,FALSE)</f>
        <v>600</v>
      </c>
      <c r="G3863" s="5">
        <f>VLOOKUP(C3863,[1]master_data!$A$2:$E$495,4,FALSE)</f>
        <v>2000</v>
      </c>
      <c r="H3863" s="5">
        <f t="shared" si="186"/>
        <v>6000</v>
      </c>
      <c r="I3863" s="5">
        <f t="shared" si="187"/>
        <v>20000</v>
      </c>
      <c r="J3863" s="5">
        <f t="shared" si="188"/>
        <v>14000</v>
      </c>
      <c r="K3863" s="5" t="str">
        <f>VLOOKUP(C3863,[1]master_data!$A$2:$E$495,5,FALSE)</f>
        <v>Ikan</v>
      </c>
      <c r="L3863" s="5" t="s">
        <v>471</v>
      </c>
    </row>
    <row r="3864" spans="1:12" ht="12" customHeight="1" x14ac:dyDescent="0.25">
      <c r="A3864" s="6">
        <v>44599</v>
      </c>
      <c r="B3864" s="1">
        <v>2200699</v>
      </c>
      <c r="C3864" s="5" t="s">
        <v>116</v>
      </c>
      <c r="D3864" s="5" t="str">
        <f>VLOOKUP(C3864,[1]master_data!$A$2:$E$495,2,FALSE)</f>
        <v>LED VOSSO 30 CM</v>
      </c>
      <c r="E3864" s="5">
        <v>1</v>
      </c>
      <c r="F3864" s="5">
        <f>VLOOKUP(C3864,[1]master_data!$A$2:$E$495,3,FALSE)</f>
        <v>21000</v>
      </c>
      <c r="G3864" s="5">
        <f>VLOOKUP(C3864,[1]master_data!$A$2:$E$495,4,FALSE)</f>
        <v>35000</v>
      </c>
      <c r="H3864" s="5">
        <f t="shared" si="186"/>
        <v>21000</v>
      </c>
      <c r="I3864" s="5">
        <f t="shared" si="187"/>
        <v>35000</v>
      </c>
      <c r="J3864" s="5">
        <f t="shared" si="188"/>
        <v>14000</v>
      </c>
      <c r="K3864" s="5" t="str">
        <f>VLOOKUP(C3864,[1]master_data!$A$2:$E$495,5,FALSE)</f>
        <v>Aksesoris</v>
      </c>
      <c r="L3864" s="5" t="s">
        <v>471</v>
      </c>
    </row>
    <row r="3865" spans="1:12" ht="12" customHeight="1" x14ac:dyDescent="0.25">
      <c r="A3865" s="6">
        <v>44599</v>
      </c>
      <c r="B3865" s="1">
        <v>2200698</v>
      </c>
      <c r="C3865" s="5" t="s">
        <v>403</v>
      </c>
      <c r="D3865" s="5" t="str">
        <f>VLOOKUP(C3865,[1]master_data!$A$2:$E$495,2,FALSE)</f>
        <v>CHANNA BLUE PULCHRA K</v>
      </c>
      <c r="E3865" s="5">
        <v>2</v>
      </c>
      <c r="F3865" s="5">
        <f>VLOOKUP(C3865,[1]master_data!$A$2:$E$495,3,FALSE)</f>
        <v>25000</v>
      </c>
      <c r="G3865" s="5">
        <f>VLOOKUP(C3865,[1]master_data!$A$2:$E$495,4,FALSE)</f>
        <v>50000</v>
      </c>
      <c r="H3865" s="5">
        <f t="shared" si="186"/>
        <v>50000</v>
      </c>
      <c r="I3865" s="5">
        <f t="shared" si="187"/>
        <v>100000</v>
      </c>
      <c r="J3865" s="5">
        <f t="shared" si="188"/>
        <v>50000</v>
      </c>
      <c r="K3865" s="5" t="str">
        <f>VLOOKUP(C3865,[1]master_data!$A$2:$E$495,5,FALSE)</f>
        <v>Ikan</v>
      </c>
      <c r="L3865" s="5" t="s">
        <v>471</v>
      </c>
    </row>
    <row r="3866" spans="1:12" ht="12" customHeight="1" x14ac:dyDescent="0.25">
      <c r="A3866" s="6">
        <v>44599</v>
      </c>
      <c r="B3866" s="1">
        <v>2200697</v>
      </c>
      <c r="C3866" s="5" t="s">
        <v>447</v>
      </c>
      <c r="D3866" s="5" t="str">
        <f>VLOOKUP(C3866,[1]master_data!$A$2:$E$495,2,FALSE)</f>
        <v>REDFIN ALBINO</v>
      </c>
      <c r="E3866" s="5">
        <v>5</v>
      </c>
      <c r="F3866" s="5">
        <f>VLOOKUP(C3866,[1]master_data!$A$2:$E$495,3,FALSE)</f>
        <v>1500</v>
      </c>
      <c r="G3866" s="5">
        <f>VLOOKUP(C3866,[1]master_data!$A$2:$E$495,4,FALSE)</f>
        <v>4000</v>
      </c>
      <c r="H3866" s="5">
        <f t="shared" si="186"/>
        <v>7500</v>
      </c>
      <c r="I3866" s="5">
        <f t="shared" si="187"/>
        <v>20000</v>
      </c>
      <c r="J3866" s="5">
        <f t="shared" si="188"/>
        <v>12500</v>
      </c>
      <c r="K3866" s="5" t="str">
        <f>VLOOKUP(C3866,[1]master_data!$A$2:$E$495,5,FALSE)</f>
        <v>Ikan</v>
      </c>
      <c r="L3866" s="5" t="s">
        <v>471</v>
      </c>
    </row>
    <row r="3867" spans="1:12" ht="12" customHeight="1" x14ac:dyDescent="0.25">
      <c r="A3867" s="6">
        <v>44599</v>
      </c>
      <c r="B3867" s="1">
        <v>2200696</v>
      </c>
      <c r="C3867" s="5" t="s">
        <v>432</v>
      </c>
      <c r="D3867" s="5" t="str">
        <f>VLOOKUP(C3867,[1]master_data!$A$2:$E$495,2,FALSE)</f>
        <v>MARU K</v>
      </c>
      <c r="E3867" s="5">
        <v>3</v>
      </c>
      <c r="F3867" s="5">
        <f>VLOOKUP(C3867,[1]master_data!$A$2:$E$495,3,FALSE)</f>
        <v>23000</v>
      </c>
      <c r="G3867" s="5">
        <f>VLOOKUP(C3867,[1]master_data!$A$2:$E$495,4,FALSE)</f>
        <v>50000</v>
      </c>
      <c r="H3867" s="5">
        <f t="shared" si="186"/>
        <v>69000</v>
      </c>
      <c r="I3867" s="5">
        <f t="shared" si="187"/>
        <v>150000</v>
      </c>
      <c r="J3867" s="5">
        <f t="shared" si="188"/>
        <v>81000</v>
      </c>
      <c r="K3867" s="5" t="str">
        <f>VLOOKUP(C3867,[1]master_data!$A$2:$E$495,5,FALSE)</f>
        <v>Ikan</v>
      </c>
      <c r="L3867" s="5" t="s">
        <v>471</v>
      </c>
    </row>
    <row r="3868" spans="1:12" ht="12" customHeight="1" x14ac:dyDescent="0.25">
      <c r="A3868" s="6">
        <v>44599</v>
      </c>
      <c r="B3868" s="1">
        <v>2200695</v>
      </c>
      <c r="C3868" s="5" t="s">
        <v>415</v>
      </c>
      <c r="D3868" s="5" t="str">
        <f>VLOOKUP(C3868,[1]master_data!$A$2:$E$495,2,FALSE)</f>
        <v>KOKI B</v>
      </c>
      <c r="E3868" s="5">
        <v>2</v>
      </c>
      <c r="F3868" s="5">
        <f>VLOOKUP(C3868,[1]master_data!$A$2:$E$495,3,FALSE)</f>
        <v>20000</v>
      </c>
      <c r="G3868" s="5">
        <f>VLOOKUP(C3868,[1]master_data!$A$2:$E$495,4,FALSE)</f>
        <v>50000</v>
      </c>
      <c r="H3868" s="5">
        <f t="shared" si="186"/>
        <v>40000</v>
      </c>
      <c r="I3868" s="5">
        <f t="shared" si="187"/>
        <v>100000</v>
      </c>
      <c r="J3868" s="5">
        <f t="shared" si="188"/>
        <v>60000</v>
      </c>
      <c r="K3868" s="5" t="str">
        <f>VLOOKUP(C3868,[1]master_data!$A$2:$E$495,5,FALSE)</f>
        <v>Ikan</v>
      </c>
      <c r="L3868" s="5" t="s">
        <v>471</v>
      </c>
    </row>
    <row r="3869" spans="1:12" ht="12" customHeight="1" x14ac:dyDescent="0.25">
      <c r="A3869" s="6">
        <v>44599</v>
      </c>
      <c r="B3869" s="1">
        <v>2200694</v>
      </c>
      <c r="C3869" s="5" t="s">
        <v>463</v>
      </c>
      <c r="D3869" s="5" t="str">
        <f>VLOOKUP(C3869,[1]master_data!$A$2:$E$495,2,FALSE)</f>
        <v>CHANNA STEWARTI</v>
      </c>
      <c r="E3869" s="5">
        <v>1</v>
      </c>
      <c r="F3869" s="5">
        <f>VLOOKUP(C3869,[1]master_data!$A$2:$E$495,3,FALSE)</f>
        <v>15000</v>
      </c>
      <c r="G3869" s="5">
        <f>VLOOKUP(C3869,[1]master_data!$A$2:$E$495,4,FALSE)</f>
        <v>40000</v>
      </c>
      <c r="H3869" s="5">
        <f t="shared" si="186"/>
        <v>15000</v>
      </c>
      <c r="I3869" s="5">
        <f t="shared" si="187"/>
        <v>40000</v>
      </c>
      <c r="J3869" s="5">
        <f t="shared" si="188"/>
        <v>25000</v>
      </c>
      <c r="K3869" s="5" t="str">
        <f>VLOOKUP(C3869,[1]master_data!$A$2:$E$495,5,FALSE)</f>
        <v>Ikan</v>
      </c>
      <c r="L3869" s="5" t="s">
        <v>471</v>
      </c>
    </row>
    <row r="3870" spans="1:12" ht="12" customHeight="1" x14ac:dyDescent="0.25">
      <c r="A3870" s="6">
        <v>44599</v>
      </c>
      <c r="B3870" s="1">
        <v>2200693</v>
      </c>
      <c r="C3870" s="5" t="s">
        <v>311</v>
      </c>
      <c r="D3870" s="5" t="str">
        <f>VLOOKUP(C3870,[1]master_data!$A$2:$E$495,2,FALSE)</f>
        <v>L PIPA</v>
      </c>
      <c r="E3870" s="5">
        <v>10</v>
      </c>
      <c r="F3870" s="5">
        <f>VLOOKUP(C3870,[1]master_data!$A$2:$E$495,3,FALSE)</f>
        <v>800</v>
      </c>
      <c r="G3870" s="5">
        <f>VLOOKUP(C3870,[1]master_data!$A$2:$E$495,4,FALSE)</f>
        <v>2000</v>
      </c>
      <c r="H3870" s="5">
        <f t="shared" si="186"/>
        <v>8000</v>
      </c>
      <c r="I3870" s="5">
        <f t="shared" si="187"/>
        <v>20000</v>
      </c>
      <c r="J3870" s="5">
        <f t="shared" si="188"/>
        <v>12000</v>
      </c>
      <c r="K3870" s="5" t="str">
        <f>VLOOKUP(C3870,[1]master_data!$A$2:$E$495,5,FALSE)</f>
        <v>Aksesoris</v>
      </c>
      <c r="L3870" s="5" t="s">
        <v>471</v>
      </c>
    </row>
    <row r="3871" spans="1:12" ht="12" customHeight="1" x14ac:dyDescent="0.25">
      <c r="A3871" s="6">
        <v>44599</v>
      </c>
      <c r="B3871" s="1">
        <v>2200692</v>
      </c>
      <c r="C3871" s="5" t="s">
        <v>425</v>
      </c>
      <c r="D3871" s="5" t="str">
        <f>VLOOKUP(C3871,[1]master_data!$A$2:$E$495,2,FALSE)</f>
        <v>CAROLINE</v>
      </c>
      <c r="E3871" s="5">
        <v>20</v>
      </c>
      <c r="F3871" s="5">
        <f>VLOOKUP(C3871,[1]master_data!$A$2:$E$495,3,FALSE)</f>
        <v>900</v>
      </c>
      <c r="G3871" s="5">
        <f>VLOOKUP(C3871,[1]master_data!$A$2:$E$495,4,FALSE)</f>
        <v>2000</v>
      </c>
      <c r="H3871" s="5">
        <f t="shared" si="186"/>
        <v>18000</v>
      </c>
      <c r="I3871" s="5">
        <f t="shared" si="187"/>
        <v>40000</v>
      </c>
      <c r="J3871" s="5">
        <f t="shared" si="188"/>
        <v>22000</v>
      </c>
      <c r="K3871" s="5" t="str">
        <f>VLOOKUP(C3871,[1]master_data!$A$2:$E$495,5,FALSE)</f>
        <v>Ikan</v>
      </c>
      <c r="L3871" s="5" t="s">
        <v>471</v>
      </c>
    </row>
    <row r="3872" spans="1:12" ht="12" customHeight="1" x14ac:dyDescent="0.25">
      <c r="A3872" s="6">
        <v>44598</v>
      </c>
      <c r="B3872" s="1">
        <v>2200691</v>
      </c>
      <c r="C3872" s="5" t="s">
        <v>20</v>
      </c>
      <c r="D3872" s="5" t="str">
        <f>VLOOKUP(C3872,[1]master_data!$A$2:$E$495,2,FALSE)</f>
        <v>MESIN ROSTON 1200</v>
      </c>
      <c r="E3872" s="5">
        <v>1</v>
      </c>
      <c r="F3872" s="5">
        <f>VLOOKUP(C3872,[1]master_data!$A$2:$E$495,3,FALSE)</f>
        <v>23000</v>
      </c>
      <c r="G3872" s="5">
        <f>VLOOKUP(C3872,[1]master_data!$A$2:$E$495,4,FALSE)</f>
        <v>35000</v>
      </c>
      <c r="H3872" s="5">
        <f t="shared" si="186"/>
        <v>23000</v>
      </c>
      <c r="I3872" s="5">
        <f t="shared" si="187"/>
        <v>35000</v>
      </c>
      <c r="J3872" s="5">
        <f t="shared" si="188"/>
        <v>12000</v>
      </c>
      <c r="K3872" s="5" t="str">
        <f>VLOOKUP(C3872,[1]master_data!$A$2:$E$495,5,FALSE)</f>
        <v>Aksesoris</v>
      </c>
      <c r="L3872" s="5" t="s">
        <v>471</v>
      </c>
    </row>
    <row r="3873" spans="1:12" ht="12" customHeight="1" x14ac:dyDescent="0.25">
      <c r="A3873" s="6">
        <v>44598</v>
      </c>
      <c r="B3873" s="1">
        <v>2200690</v>
      </c>
      <c r="C3873" s="5" t="s">
        <v>428</v>
      </c>
      <c r="D3873" s="5" t="str">
        <f>VLOOKUP(C3873,[1]master_data!$A$2:$E$495,2,FALSE)</f>
        <v>LOUHAN</v>
      </c>
      <c r="E3873" s="5">
        <v>1</v>
      </c>
      <c r="F3873" s="5">
        <f>VLOOKUP(C3873,[1]master_data!$A$2:$E$495,3,FALSE)</f>
        <v>85000</v>
      </c>
      <c r="G3873" s="5">
        <f>VLOOKUP(C3873,[1]master_data!$A$2:$E$495,4,FALSE)</f>
        <v>200000</v>
      </c>
      <c r="H3873" s="5">
        <f t="shared" si="186"/>
        <v>85000</v>
      </c>
      <c r="I3873" s="5">
        <f t="shared" si="187"/>
        <v>200000</v>
      </c>
      <c r="J3873" s="5">
        <f t="shared" si="188"/>
        <v>115000</v>
      </c>
      <c r="K3873" s="5" t="str">
        <f>VLOOKUP(C3873,[1]master_data!$A$2:$E$495,5,FALSE)</f>
        <v>Ikan</v>
      </c>
      <c r="L3873" s="5" t="s">
        <v>471</v>
      </c>
    </row>
    <row r="3874" spans="1:12" ht="12" customHeight="1" x14ac:dyDescent="0.25">
      <c r="A3874" s="6">
        <v>44598</v>
      </c>
      <c r="B3874" s="1">
        <v>2200689</v>
      </c>
      <c r="C3874" s="5" t="s">
        <v>415</v>
      </c>
      <c r="D3874" s="5" t="str">
        <f>VLOOKUP(C3874,[1]master_data!$A$2:$E$495,2,FALSE)</f>
        <v>KOKI B</v>
      </c>
      <c r="E3874" s="5">
        <v>2</v>
      </c>
      <c r="F3874" s="5">
        <f>VLOOKUP(C3874,[1]master_data!$A$2:$E$495,3,FALSE)</f>
        <v>20000</v>
      </c>
      <c r="G3874" s="5">
        <f>VLOOKUP(C3874,[1]master_data!$A$2:$E$495,4,FALSE)</f>
        <v>50000</v>
      </c>
      <c r="H3874" s="5">
        <f t="shared" si="186"/>
        <v>40000</v>
      </c>
      <c r="I3874" s="5">
        <f t="shared" si="187"/>
        <v>100000</v>
      </c>
      <c r="J3874" s="5">
        <f t="shared" si="188"/>
        <v>60000</v>
      </c>
      <c r="K3874" s="5" t="str">
        <f>VLOOKUP(C3874,[1]master_data!$A$2:$E$495,5,FALSE)</f>
        <v>Ikan</v>
      </c>
      <c r="L3874" s="5" t="s">
        <v>471</v>
      </c>
    </row>
    <row r="3875" spans="1:12" ht="12" customHeight="1" x14ac:dyDescent="0.25">
      <c r="A3875" s="6">
        <v>44598</v>
      </c>
      <c r="B3875" s="1">
        <v>2200688</v>
      </c>
      <c r="C3875" s="5" t="s">
        <v>414</v>
      </c>
      <c r="D3875" s="5" t="str">
        <f>VLOOKUP(C3875,[1]master_data!$A$2:$E$495,2,FALSE)</f>
        <v>KOKI T</v>
      </c>
      <c r="E3875" s="5">
        <v>2</v>
      </c>
      <c r="F3875" s="5">
        <f>VLOOKUP(C3875,[1]master_data!$A$2:$E$495,3,FALSE)</f>
        <v>8000</v>
      </c>
      <c r="G3875" s="5">
        <f>VLOOKUP(C3875,[1]master_data!$A$2:$E$495,4,FALSE)</f>
        <v>15000</v>
      </c>
      <c r="H3875" s="5">
        <f t="shared" si="186"/>
        <v>16000</v>
      </c>
      <c r="I3875" s="5">
        <f t="shared" si="187"/>
        <v>30000</v>
      </c>
      <c r="J3875" s="5">
        <f t="shared" si="188"/>
        <v>14000</v>
      </c>
      <c r="K3875" s="5" t="str">
        <f>VLOOKUP(C3875,[1]master_data!$A$2:$E$495,5,FALSE)</f>
        <v>Ikan</v>
      </c>
      <c r="L3875" s="5" t="s">
        <v>471</v>
      </c>
    </row>
    <row r="3876" spans="1:12" ht="12" customHeight="1" x14ac:dyDescent="0.25">
      <c r="A3876" s="6">
        <v>44598</v>
      </c>
      <c r="B3876" s="1">
        <v>2200687</v>
      </c>
      <c r="C3876" s="5" t="s">
        <v>304</v>
      </c>
      <c r="D3876" s="5" t="str">
        <f>VLOOKUP(C3876,[1]master_data!$A$2:$E$495,2,FALSE)</f>
        <v>PINSET KANDILA</v>
      </c>
      <c r="E3876" s="5">
        <v>1</v>
      </c>
      <c r="F3876" s="5">
        <f>VLOOKUP(C3876,[1]master_data!$A$2:$E$495,3,FALSE)</f>
        <v>18000</v>
      </c>
      <c r="G3876" s="5">
        <f>VLOOKUP(C3876,[1]master_data!$A$2:$E$495,4,FALSE)</f>
        <v>35000</v>
      </c>
      <c r="H3876" s="5">
        <f t="shared" si="186"/>
        <v>18000</v>
      </c>
      <c r="I3876" s="5">
        <f t="shared" si="187"/>
        <v>35000</v>
      </c>
      <c r="J3876" s="5">
        <f t="shared" si="188"/>
        <v>17000</v>
      </c>
      <c r="K3876" s="5" t="str">
        <f>VLOOKUP(C3876,[1]master_data!$A$2:$E$495,5,FALSE)</f>
        <v>Aksesoris</v>
      </c>
      <c r="L3876" s="5" t="s">
        <v>471</v>
      </c>
    </row>
    <row r="3877" spans="1:12" ht="12" customHeight="1" x14ac:dyDescent="0.25">
      <c r="A3877" s="6">
        <v>44598</v>
      </c>
      <c r="B3877" s="1">
        <v>2200686</v>
      </c>
      <c r="C3877" s="5" t="s">
        <v>44</v>
      </c>
      <c r="D3877" s="5" t="str">
        <f>VLOOKUP(C3877,[1]master_data!$A$2:$E$495,2,FALSE)</f>
        <v>TOP FILTER NIKITA B</v>
      </c>
      <c r="E3877" s="5">
        <v>1</v>
      </c>
      <c r="F3877" s="5">
        <f>VLOOKUP(C3877,[1]master_data!$A$2:$E$495,3,FALSE)</f>
        <v>45000</v>
      </c>
      <c r="G3877" s="5">
        <f>VLOOKUP(C3877,[1]master_data!$A$2:$E$495,4,FALSE)</f>
        <v>70000</v>
      </c>
      <c r="H3877" s="5">
        <f t="shared" si="186"/>
        <v>45000</v>
      </c>
      <c r="I3877" s="5">
        <f t="shared" si="187"/>
        <v>70000</v>
      </c>
      <c r="J3877" s="5">
        <f t="shared" si="188"/>
        <v>25000</v>
      </c>
      <c r="K3877" s="5" t="str">
        <f>VLOOKUP(C3877,[1]master_data!$A$2:$E$495,5,FALSE)</f>
        <v>Aksesoris</v>
      </c>
      <c r="L3877" s="5" t="s">
        <v>471</v>
      </c>
    </row>
    <row r="3878" spans="1:12" ht="12" customHeight="1" x14ac:dyDescent="0.25">
      <c r="A3878" s="6">
        <v>44598</v>
      </c>
      <c r="B3878" s="1">
        <v>2200685</v>
      </c>
      <c r="C3878" s="5" t="s">
        <v>303</v>
      </c>
      <c r="D3878" s="5" t="str">
        <f>VLOOKUP(C3878,[1]master_data!$A$2:$E$495,2,FALSE)</f>
        <v>PIPA LONJOR 2 M</v>
      </c>
      <c r="E3878" s="5">
        <v>1</v>
      </c>
      <c r="F3878" s="5">
        <f>VLOOKUP(C3878,[1]master_data!$A$2:$E$495,3,FALSE)</f>
        <v>5000</v>
      </c>
      <c r="G3878" s="5">
        <f>VLOOKUP(C3878,[1]master_data!$A$2:$E$495,4,FALSE)</f>
        <v>10000</v>
      </c>
      <c r="H3878" s="5">
        <f t="shared" si="186"/>
        <v>5000</v>
      </c>
      <c r="I3878" s="5">
        <f t="shared" si="187"/>
        <v>10000</v>
      </c>
      <c r="J3878" s="5">
        <f t="shared" si="188"/>
        <v>5000</v>
      </c>
      <c r="K3878" s="5" t="str">
        <f>VLOOKUP(C3878,[1]master_data!$A$2:$E$495,5,FALSE)</f>
        <v>Aksesoris</v>
      </c>
      <c r="L3878" s="5" t="s">
        <v>471</v>
      </c>
    </row>
    <row r="3879" spans="1:12" ht="12" customHeight="1" x14ac:dyDescent="0.25">
      <c r="A3879" s="6">
        <v>44598</v>
      </c>
      <c r="B3879" s="1">
        <v>2200684</v>
      </c>
      <c r="C3879" s="5" t="s">
        <v>412</v>
      </c>
      <c r="D3879" s="5" t="str">
        <f>VLOOKUP(C3879,[1]master_data!$A$2:$E$495,2,FALSE)</f>
        <v>HIU TAWAR</v>
      </c>
      <c r="E3879" s="5">
        <v>5</v>
      </c>
      <c r="F3879" s="5">
        <f>VLOOKUP(C3879,[1]master_data!$A$2:$E$495,3,FALSE)</f>
        <v>600</v>
      </c>
      <c r="G3879" s="5">
        <f>VLOOKUP(C3879,[1]master_data!$A$2:$E$495,4,FALSE)</f>
        <v>2000</v>
      </c>
      <c r="H3879" s="5">
        <f t="shared" si="186"/>
        <v>3000</v>
      </c>
      <c r="I3879" s="5">
        <f t="shared" si="187"/>
        <v>10000</v>
      </c>
      <c r="J3879" s="5">
        <f t="shared" si="188"/>
        <v>7000</v>
      </c>
      <c r="K3879" s="5" t="str">
        <f>VLOOKUP(C3879,[1]master_data!$A$2:$E$495,5,FALSE)</f>
        <v>Ikan</v>
      </c>
      <c r="L3879" s="5" t="s">
        <v>471</v>
      </c>
    </row>
    <row r="3880" spans="1:12" ht="12" customHeight="1" x14ac:dyDescent="0.25">
      <c r="A3880" s="6">
        <v>44598</v>
      </c>
      <c r="B3880" s="1">
        <v>2200683</v>
      </c>
      <c r="C3880" s="5" t="s">
        <v>434</v>
      </c>
      <c r="D3880" s="5" t="str">
        <f>VLOOKUP(C3880,[1]master_data!$A$2:$E$495,2,FALSE)</f>
        <v>MOLI PAKAN</v>
      </c>
      <c r="E3880" s="5">
        <v>50</v>
      </c>
      <c r="F3880" s="5">
        <f>VLOOKUP(C3880,[1]master_data!$A$2:$E$495,3,FALSE)</f>
        <v>100</v>
      </c>
      <c r="G3880" s="5">
        <f>VLOOKUP(C3880,[1]master_data!$A$2:$E$495,4,FALSE)</f>
        <v>200</v>
      </c>
      <c r="H3880" s="5">
        <f t="shared" si="186"/>
        <v>5000</v>
      </c>
      <c r="I3880" s="5">
        <f t="shared" si="187"/>
        <v>10000</v>
      </c>
      <c r="J3880" s="5">
        <f t="shared" si="188"/>
        <v>5000</v>
      </c>
      <c r="K3880" s="5" t="str">
        <f>VLOOKUP(C3880,[1]master_data!$A$2:$E$495,5,FALSE)</f>
        <v>Ikan</v>
      </c>
      <c r="L3880" s="5" t="s">
        <v>471</v>
      </c>
    </row>
    <row r="3881" spans="1:12" ht="12" customHeight="1" x14ac:dyDescent="0.25">
      <c r="A3881" s="6">
        <v>44598</v>
      </c>
      <c r="B3881" s="1">
        <v>2200682</v>
      </c>
      <c r="C3881" s="5" t="s">
        <v>407</v>
      </c>
      <c r="D3881" s="5" t="str">
        <f>VLOOKUP(C3881,[1]master_data!$A$2:$E$495,2,FALSE)</f>
        <v>CUPANG</v>
      </c>
      <c r="E3881" s="5">
        <v>4</v>
      </c>
      <c r="F3881" s="5">
        <f>VLOOKUP(C3881,[1]master_data!$A$2:$E$495,3,FALSE)</f>
        <v>2000</v>
      </c>
      <c r="G3881" s="5">
        <f>VLOOKUP(C3881,[1]master_data!$A$2:$E$495,4,FALSE)</f>
        <v>5000</v>
      </c>
      <c r="H3881" s="5">
        <f t="shared" si="186"/>
        <v>8000</v>
      </c>
      <c r="I3881" s="5">
        <f t="shared" si="187"/>
        <v>20000</v>
      </c>
      <c r="J3881" s="5">
        <f t="shared" si="188"/>
        <v>12000</v>
      </c>
      <c r="K3881" s="5" t="str">
        <f>VLOOKUP(C3881,[1]master_data!$A$2:$E$495,5,FALSE)</f>
        <v>Ikan</v>
      </c>
      <c r="L3881" s="5" t="s">
        <v>471</v>
      </c>
    </row>
    <row r="3882" spans="1:12" ht="12" customHeight="1" x14ac:dyDescent="0.25">
      <c r="A3882" s="6">
        <v>44598</v>
      </c>
      <c r="B3882" s="1">
        <v>2200681</v>
      </c>
      <c r="C3882" s="5" t="s">
        <v>309</v>
      </c>
      <c r="D3882" s="5" t="str">
        <f>VLOOKUP(C3882,[1]master_data!$A$2:$E$495,2,FALSE)</f>
        <v>SELANG SPIRAL</v>
      </c>
      <c r="E3882" s="5">
        <v>1</v>
      </c>
      <c r="F3882" s="5">
        <f>VLOOKUP(C3882,[1]master_data!$A$2:$E$495,3,FALSE)</f>
        <v>2600</v>
      </c>
      <c r="G3882" s="5">
        <f>VLOOKUP(C3882,[1]master_data!$A$2:$E$495,4,FALSE)</f>
        <v>5000</v>
      </c>
      <c r="H3882" s="5">
        <f t="shared" si="186"/>
        <v>2600</v>
      </c>
      <c r="I3882" s="5">
        <f t="shared" si="187"/>
        <v>5000</v>
      </c>
      <c r="J3882" s="5">
        <f t="shared" si="188"/>
        <v>2400</v>
      </c>
      <c r="K3882" s="5" t="str">
        <f>VLOOKUP(C3882,[1]master_data!$A$2:$E$495,5,FALSE)</f>
        <v>Aksesoris</v>
      </c>
      <c r="L3882" s="5" t="s">
        <v>471</v>
      </c>
    </row>
    <row r="3883" spans="1:12" ht="12" customHeight="1" x14ac:dyDescent="0.25">
      <c r="A3883" s="6">
        <v>44598</v>
      </c>
      <c r="B3883" s="1">
        <v>2200680</v>
      </c>
      <c r="C3883" s="5" t="s">
        <v>233</v>
      </c>
      <c r="D3883" s="5" t="str">
        <f>VLOOKUP(C3883,[1]master_data!$A$2:$E$495,2,FALSE)</f>
        <v>FISH LOVE PAKAN</v>
      </c>
      <c r="E3883" s="5">
        <v>1</v>
      </c>
      <c r="F3883" s="5">
        <f>VLOOKUP(C3883,[1]master_data!$A$2:$E$495,3,FALSE)</f>
        <v>2500</v>
      </c>
      <c r="G3883" s="5">
        <f>VLOOKUP(C3883,[1]master_data!$A$2:$E$495,4,FALSE)</f>
        <v>5000</v>
      </c>
      <c r="H3883" s="5">
        <f t="shared" si="186"/>
        <v>2500</v>
      </c>
      <c r="I3883" s="5">
        <f t="shared" si="187"/>
        <v>5000</v>
      </c>
      <c r="J3883" s="5">
        <f t="shared" si="188"/>
        <v>2500</v>
      </c>
      <c r="K3883" s="5" t="str">
        <f>VLOOKUP(C3883,[1]master_data!$A$2:$E$495,5,FALSE)</f>
        <v>Aksesoris</v>
      </c>
      <c r="L3883" s="5" t="s">
        <v>471</v>
      </c>
    </row>
    <row r="3884" spans="1:12" ht="12" customHeight="1" x14ac:dyDescent="0.25">
      <c r="A3884" s="6">
        <v>44598</v>
      </c>
      <c r="B3884" s="1">
        <v>2200679</v>
      </c>
      <c r="C3884" s="5" t="s">
        <v>112</v>
      </c>
      <c r="D3884" s="5" t="str">
        <f>VLOOKUP(C3884,[1]master_data!$A$2:$E$495,2,FALSE)</f>
        <v>LED ROSTON 20 CM</v>
      </c>
      <c r="E3884" s="5">
        <v>1</v>
      </c>
      <c r="F3884" s="5">
        <f>VLOOKUP(C3884,[1]master_data!$A$2:$E$495,3,FALSE)</f>
        <v>21000</v>
      </c>
      <c r="G3884" s="5">
        <f>VLOOKUP(C3884,[1]master_data!$A$2:$E$495,4,FALSE)</f>
        <v>30000</v>
      </c>
      <c r="H3884" s="5">
        <f t="shared" si="186"/>
        <v>21000</v>
      </c>
      <c r="I3884" s="5">
        <f t="shared" si="187"/>
        <v>30000</v>
      </c>
      <c r="J3884" s="5">
        <f t="shared" si="188"/>
        <v>9000</v>
      </c>
      <c r="K3884" s="5" t="str">
        <f>VLOOKUP(C3884,[1]master_data!$A$2:$E$495,5,FALSE)</f>
        <v>Aksesoris</v>
      </c>
      <c r="L3884" s="5" t="s">
        <v>471</v>
      </c>
    </row>
    <row r="3885" spans="1:12" ht="12" customHeight="1" x14ac:dyDescent="0.25">
      <c r="A3885" s="6">
        <v>44598</v>
      </c>
      <c r="B3885" s="1">
        <v>2200678</v>
      </c>
      <c r="C3885" s="5" t="s">
        <v>315</v>
      </c>
      <c r="D3885" s="5" t="str">
        <f>VLOOKUP(C3885,[1]master_data!$A$2:$E$495,2,FALSE)</f>
        <v>T SELANG</v>
      </c>
      <c r="E3885" s="5">
        <v>4</v>
      </c>
      <c r="F3885" s="5">
        <f>VLOOKUP(C3885,[1]master_data!$A$2:$E$495,3,FALSE)</f>
        <v>750</v>
      </c>
      <c r="G3885" s="5">
        <f>VLOOKUP(C3885,[1]master_data!$A$2:$E$495,4,FALSE)</f>
        <v>1500</v>
      </c>
      <c r="H3885" s="5">
        <f t="shared" si="186"/>
        <v>3000</v>
      </c>
      <c r="I3885" s="5">
        <f t="shared" si="187"/>
        <v>6000</v>
      </c>
      <c r="J3885" s="5">
        <f t="shared" si="188"/>
        <v>3000</v>
      </c>
      <c r="K3885" s="5" t="str">
        <f>VLOOKUP(C3885,[1]master_data!$A$2:$E$495,5,FALSE)</f>
        <v>Aksesoris</v>
      </c>
      <c r="L3885" s="5" t="s">
        <v>471</v>
      </c>
    </row>
    <row r="3886" spans="1:12" ht="12" customHeight="1" x14ac:dyDescent="0.25">
      <c r="A3886" s="6">
        <v>44598</v>
      </c>
      <c r="B3886" s="1">
        <v>2200677</v>
      </c>
      <c r="C3886" s="5" t="s">
        <v>115</v>
      </c>
      <c r="D3886" s="5" t="str">
        <f>VLOOKUP(C3886,[1]master_data!$A$2:$E$495,2,FALSE)</f>
        <v>LED ROSTON 30 CM</v>
      </c>
      <c r="E3886" s="5">
        <v>2</v>
      </c>
      <c r="F3886" s="5">
        <f>VLOOKUP(C3886,[1]master_data!$A$2:$E$495,3,FALSE)</f>
        <v>21000</v>
      </c>
      <c r="G3886" s="5">
        <f>VLOOKUP(C3886,[1]master_data!$A$2:$E$495,4,FALSE)</f>
        <v>35000</v>
      </c>
      <c r="H3886" s="5">
        <f t="shared" si="186"/>
        <v>42000</v>
      </c>
      <c r="I3886" s="5">
        <f t="shared" si="187"/>
        <v>70000</v>
      </c>
      <c r="J3886" s="5">
        <f t="shared" si="188"/>
        <v>28000</v>
      </c>
      <c r="K3886" s="5" t="str">
        <f>VLOOKUP(C3886,[1]master_data!$A$2:$E$495,5,FALSE)</f>
        <v>Aksesoris</v>
      </c>
      <c r="L3886" s="5" t="s">
        <v>471</v>
      </c>
    </row>
    <row r="3887" spans="1:12" ht="12" customHeight="1" x14ac:dyDescent="0.25">
      <c r="A3887" s="6">
        <v>44598</v>
      </c>
      <c r="B3887" s="1">
        <v>2200676</v>
      </c>
      <c r="C3887" s="5" t="s">
        <v>285</v>
      </c>
      <c r="D3887" s="5" t="str">
        <f>VLOOKUP(C3887,[1]master_data!$A$2:$E$495,2,FALSE)</f>
        <v>KAPAS 4 LAPIS</v>
      </c>
      <c r="E3887" s="5">
        <v>2</v>
      </c>
      <c r="F3887" s="5">
        <f>VLOOKUP(C3887,[1]master_data!$A$2:$E$495,3,FALSE)</f>
        <v>6500</v>
      </c>
      <c r="G3887" s="5">
        <f>VLOOKUP(C3887,[1]master_data!$A$2:$E$495,4,FALSE)</f>
        <v>10000</v>
      </c>
      <c r="H3887" s="5">
        <f t="shared" si="186"/>
        <v>13000</v>
      </c>
      <c r="I3887" s="5">
        <f t="shared" si="187"/>
        <v>20000</v>
      </c>
      <c r="J3887" s="5">
        <f t="shared" si="188"/>
        <v>7000</v>
      </c>
      <c r="K3887" s="5" t="str">
        <f>VLOOKUP(C3887,[1]master_data!$A$2:$E$495,5,FALSE)</f>
        <v>Aksesoris</v>
      </c>
      <c r="L3887" s="5" t="s">
        <v>471</v>
      </c>
    </row>
    <row r="3888" spans="1:12" ht="12" customHeight="1" x14ac:dyDescent="0.25">
      <c r="A3888" s="6">
        <v>44598</v>
      </c>
      <c r="B3888" s="1">
        <v>2200675</v>
      </c>
      <c r="C3888" s="5" t="s">
        <v>420</v>
      </c>
      <c r="D3888" s="5" t="str">
        <f>VLOOKUP(C3888,[1]master_data!$A$2:$E$495,2,FALSE)</f>
        <v>KAVIAT</v>
      </c>
      <c r="E3888" s="5">
        <v>5</v>
      </c>
      <c r="F3888" s="5">
        <f>VLOOKUP(C3888,[1]master_data!$A$2:$E$495,3,FALSE)</f>
        <v>3500</v>
      </c>
      <c r="G3888" s="5">
        <f>VLOOKUP(C3888,[1]master_data!$A$2:$E$495,4,FALSE)</f>
        <v>8000</v>
      </c>
      <c r="H3888" s="5">
        <f t="shared" si="186"/>
        <v>17500</v>
      </c>
      <c r="I3888" s="5">
        <f t="shared" si="187"/>
        <v>40000</v>
      </c>
      <c r="J3888" s="5">
        <f t="shared" si="188"/>
        <v>22500</v>
      </c>
      <c r="K3888" s="5" t="str">
        <f>VLOOKUP(C3888,[1]master_data!$A$2:$E$495,5,FALSE)</f>
        <v>Ikan</v>
      </c>
      <c r="L3888" s="5" t="s">
        <v>471</v>
      </c>
    </row>
    <row r="3889" spans="1:12" ht="12" customHeight="1" x14ac:dyDescent="0.25">
      <c r="A3889" s="6">
        <v>44598</v>
      </c>
      <c r="B3889" s="1">
        <v>2200674</v>
      </c>
      <c r="C3889" s="5" t="s">
        <v>435</v>
      </c>
      <c r="D3889" s="5" t="str">
        <f>VLOOKUP(C3889,[1]master_data!$A$2:$E$495,2,FALSE)</f>
        <v>MOLI BALON</v>
      </c>
      <c r="E3889" s="5">
        <v>20</v>
      </c>
      <c r="F3889" s="5">
        <f>VLOOKUP(C3889,[1]master_data!$A$2:$E$495,3,FALSE)</f>
        <v>800</v>
      </c>
      <c r="G3889" s="5">
        <f>VLOOKUP(C3889,[1]master_data!$A$2:$E$495,4,FALSE)</f>
        <v>2000</v>
      </c>
      <c r="H3889" s="5">
        <f t="shared" si="186"/>
        <v>16000</v>
      </c>
      <c r="I3889" s="5">
        <f t="shared" si="187"/>
        <v>40000</v>
      </c>
      <c r="J3889" s="5">
        <f t="shared" si="188"/>
        <v>24000</v>
      </c>
      <c r="K3889" s="5" t="str">
        <f>VLOOKUP(C3889,[1]master_data!$A$2:$E$495,5,FALSE)</f>
        <v>Ikan</v>
      </c>
      <c r="L3889" s="5" t="s">
        <v>471</v>
      </c>
    </row>
    <row r="3890" spans="1:12" ht="12" customHeight="1" x14ac:dyDescent="0.25">
      <c r="A3890" s="6">
        <v>44598</v>
      </c>
      <c r="B3890" s="1">
        <v>2200673</v>
      </c>
      <c r="C3890" s="5" t="s">
        <v>303</v>
      </c>
      <c r="D3890" s="5" t="str">
        <f>VLOOKUP(C3890,[1]master_data!$A$2:$E$495,2,FALSE)</f>
        <v>PIPA LONJOR 2 M</v>
      </c>
      <c r="E3890" s="5">
        <v>1</v>
      </c>
      <c r="F3890" s="5">
        <f>VLOOKUP(C3890,[1]master_data!$A$2:$E$495,3,FALSE)</f>
        <v>5000</v>
      </c>
      <c r="G3890" s="5">
        <f>VLOOKUP(C3890,[1]master_data!$A$2:$E$495,4,FALSE)</f>
        <v>10000</v>
      </c>
      <c r="H3890" s="5">
        <f t="shared" si="186"/>
        <v>5000</v>
      </c>
      <c r="I3890" s="5">
        <f t="shared" si="187"/>
        <v>10000</v>
      </c>
      <c r="J3890" s="5">
        <f t="shared" si="188"/>
        <v>5000</v>
      </c>
      <c r="K3890" s="5" t="str">
        <f>VLOOKUP(C3890,[1]master_data!$A$2:$E$495,5,FALSE)</f>
        <v>Aksesoris</v>
      </c>
      <c r="L3890" s="5" t="s">
        <v>471</v>
      </c>
    </row>
    <row r="3891" spans="1:12" ht="12" customHeight="1" x14ac:dyDescent="0.25">
      <c r="A3891" s="6">
        <v>44598</v>
      </c>
      <c r="B3891" s="1">
        <v>2200672</v>
      </c>
      <c r="C3891" s="5" t="s">
        <v>310</v>
      </c>
      <c r="D3891" s="5" t="str">
        <f>VLOOKUP(C3891,[1]master_data!$A$2:$E$495,2,FALSE)</f>
        <v>SELANG FUSO</v>
      </c>
      <c r="E3891" s="5">
        <v>10</v>
      </c>
      <c r="F3891" s="5">
        <f>VLOOKUP(C3891,[1]master_data!$A$2:$E$495,3,FALSE)</f>
        <v>800</v>
      </c>
      <c r="G3891" s="5">
        <f>VLOOKUP(C3891,[1]master_data!$A$2:$E$495,4,FALSE)</f>
        <v>2000</v>
      </c>
      <c r="H3891" s="5">
        <f t="shared" si="186"/>
        <v>8000</v>
      </c>
      <c r="I3891" s="5">
        <f t="shared" si="187"/>
        <v>20000</v>
      </c>
      <c r="J3891" s="5">
        <f t="shared" si="188"/>
        <v>12000</v>
      </c>
      <c r="K3891" s="5" t="str">
        <f>VLOOKUP(C3891,[1]master_data!$A$2:$E$495,5,FALSE)</f>
        <v>Aksesoris</v>
      </c>
      <c r="L3891" s="5" t="s">
        <v>471</v>
      </c>
    </row>
    <row r="3892" spans="1:12" ht="12" customHeight="1" x14ac:dyDescent="0.25">
      <c r="A3892" s="6">
        <v>44598</v>
      </c>
      <c r="B3892" s="1">
        <v>2200671</v>
      </c>
      <c r="C3892" s="5" t="s">
        <v>411</v>
      </c>
      <c r="D3892" s="5" t="str">
        <f>VLOOKUP(C3892,[1]master_data!$A$2:$E$495,2,FALSE)</f>
        <v>GOLDEN BLACK</v>
      </c>
      <c r="E3892" s="5">
        <v>30</v>
      </c>
      <c r="F3892" s="5">
        <f>VLOOKUP(C3892,[1]master_data!$A$2:$E$495,3,FALSE)</f>
        <v>800</v>
      </c>
      <c r="G3892" s="5">
        <f>VLOOKUP(C3892,[1]master_data!$A$2:$E$495,4,FALSE)</f>
        <v>2000</v>
      </c>
      <c r="H3892" s="5">
        <f t="shared" si="186"/>
        <v>24000</v>
      </c>
      <c r="I3892" s="5">
        <f t="shared" si="187"/>
        <v>60000</v>
      </c>
      <c r="J3892" s="5">
        <f t="shared" si="188"/>
        <v>36000</v>
      </c>
      <c r="K3892" s="5" t="str">
        <f>VLOOKUP(C3892,[1]master_data!$A$2:$E$495,5,FALSE)</f>
        <v>Ikan</v>
      </c>
      <c r="L3892" s="5" t="s">
        <v>471</v>
      </c>
    </row>
    <row r="3893" spans="1:12" ht="12" customHeight="1" x14ac:dyDescent="0.25">
      <c r="A3893" s="6">
        <v>44598</v>
      </c>
      <c r="B3893" s="1">
        <v>2200670</v>
      </c>
      <c r="C3893" s="5" t="s">
        <v>445</v>
      </c>
      <c r="D3893" s="5" t="str">
        <f>VLOOKUP(C3893,[1]master_data!$A$2:$E$495,2,FALSE)</f>
        <v>PESO</v>
      </c>
      <c r="E3893" s="5">
        <v>1</v>
      </c>
      <c r="F3893" s="5">
        <f>VLOOKUP(C3893,[1]master_data!$A$2:$E$495,3,FALSE)</f>
        <v>19000</v>
      </c>
      <c r="G3893" s="5">
        <f>VLOOKUP(C3893,[1]master_data!$A$2:$E$495,4,FALSE)</f>
        <v>40000</v>
      </c>
      <c r="H3893" s="5">
        <f t="shared" si="186"/>
        <v>19000</v>
      </c>
      <c r="I3893" s="5">
        <f t="shared" si="187"/>
        <v>40000</v>
      </c>
      <c r="J3893" s="5">
        <f t="shared" si="188"/>
        <v>21000</v>
      </c>
      <c r="K3893" s="5" t="str">
        <f>VLOOKUP(C3893,[1]master_data!$A$2:$E$495,5,FALSE)</f>
        <v>Ikan</v>
      </c>
      <c r="L3893" s="5" t="s">
        <v>471</v>
      </c>
    </row>
    <row r="3894" spans="1:12" ht="12" customHeight="1" x14ac:dyDescent="0.25">
      <c r="A3894" s="6">
        <v>44598</v>
      </c>
      <c r="B3894" s="1">
        <v>2200669</v>
      </c>
      <c r="C3894" s="5" t="s">
        <v>413</v>
      </c>
      <c r="D3894" s="5" t="str">
        <f>VLOOKUP(C3894,[1]master_data!$A$2:$E$495,2,FALSE)</f>
        <v>KOKI K</v>
      </c>
      <c r="E3894" s="5">
        <v>1</v>
      </c>
      <c r="F3894" s="5">
        <f>VLOOKUP(C3894,[1]master_data!$A$2:$E$495,3,FALSE)</f>
        <v>3500</v>
      </c>
      <c r="G3894" s="5">
        <f>VLOOKUP(C3894,[1]master_data!$A$2:$E$495,4,FALSE)</f>
        <v>10000</v>
      </c>
      <c r="H3894" s="5">
        <f t="shared" si="186"/>
        <v>3500</v>
      </c>
      <c r="I3894" s="5">
        <f t="shared" si="187"/>
        <v>10000</v>
      </c>
      <c r="J3894" s="5">
        <f t="shared" si="188"/>
        <v>6500</v>
      </c>
      <c r="K3894" s="5" t="str">
        <f>VLOOKUP(C3894,[1]master_data!$A$2:$E$495,5,FALSE)</f>
        <v>Ikan</v>
      </c>
      <c r="L3894" s="5" t="s">
        <v>471</v>
      </c>
    </row>
    <row r="3895" spans="1:12" ht="12" customHeight="1" x14ac:dyDescent="0.25">
      <c r="A3895" s="6">
        <v>44598</v>
      </c>
      <c r="B3895" s="1">
        <v>2200668</v>
      </c>
      <c r="C3895" s="5" t="s">
        <v>431</v>
      </c>
      <c r="D3895" s="5" t="str">
        <f>VLOOKUP(C3895,[1]master_data!$A$2:$E$495,2,FALSE)</f>
        <v>MANFISH B</v>
      </c>
      <c r="E3895" s="5">
        <v>2</v>
      </c>
      <c r="F3895" s="5">
        <f>VLOOKUP(C3895,[1]master_data!$A$2:$E$495,3,FALSE)</f>
        <v>4000</v>
      </c>
      <c r="G3895" s="5">
        <f>VLOOKUP(C3895,[1]master_data!$A$2:$E$495,4,FALSE)</f>
        <v>10000</v>
      </c>
      <c r="H3895" s="5">
        <f t="shared" si="186"/>
        <v>8000</v>
      </c>
      <c r="I3895" s="5">
        <f t="shared" si="187"/>
        <v>20000</v>
      </c>
      <c r="J3895" s="5">
        <f t="shared" si="188"/>
        <v>12000</v>
      </c>
      <c r="K3895" s="5" t="str">
        <f>VLOOKUP(C3895,[1]master_data!$A$2:$E$495,5,FALSE)</f>
        <v>Ikan</v>
      </c>
      <c r="L3895" s="5" t="s">
        <v>471</v>
      </c>
    </row>
    <row r="3896" spans="1:12" ht="12" customHeight="1" x14ac:dyDescent="0.25">
      <c r="A3896" s="6">
        <v>44598</v>
      </c>
      <c r="B3896" s="1">
        <v>2200667</v>
      </c>
      <c r="C3896" s="5" t="s">
        <v>208</v>
      </c>
      <c r="D3896" s="5" t="str">
        <f>VLOOKUP(C3896,[1]master_data!$A$2:$E$495,2,FALSE)</f>
        <v>TOP VIT</v>
      </c>
      <c r="E3896" s="5">
        <v>2</v>
      </c>
      <c r="F3896" s="5">
        <f>VLOOKUP(C3896,[1]master_data!$A$2:$E$495,3,FALSE)</f>
        <v>4000</v>
      </c>
      <c r="G3896" s="5">
        <f>VLOOKUP(C3896,[1]master_data!$A$2:$E$495,4,FALSE)</f>
        <v>7000</v>
      </c>
      <c r="H3896" s="5">
        <f t="shared" si="186"/>
        <v>8000</v>
      </c>
      <c r="I3896" s="5">
        <f t="shared" si="187"/>
        <v>14000</v>
      </c>
      <c r="J3896" s="5">
        <f t="shared" si="188"/>
        <v>6000</v>
      </c>
      <c r="K3896" s="5" t="str">
        <f>VLOOKUP(C3896,[1]master_data!$A$2:$E$495,5,FALSE)</f>
        <v>Aksesoris</v>
      </c>
      <c r="L3896" s="5" t="s">
        <v>471</v>
      </c>
    </row>
    <row r="3897" spans="1:12" ht="12" customHeight="1" x14ac:dyDescent="0.25">
      <c r="A3897" s="6">
        <v>44598</v>
      </c>
      <c r="B3897" s="1">
        <v>2200666</v>
      </c>
      <c r="C3897" s="5" t="s">
        <v>311</v>
      </c>
      <c r="D3897" s="5" t="str">
        <f>VLOOKUP(C3897,[1]master_data!$A$2:$E$495,2,FALSE)</f>
        <v>L PIPA</v>
      </c>
      <c r="E3897" s="5">
        <v>3</v>
      </c>
      <c r="F3897" s="5">
        <f>VLOOKUP(C3897,[1]master_data!$A$2:$E$495,3,FALSE)</f>
        <v>800</v>
      </c>
      <c r="G3897" s="5">
        <f>VLOOKUP(C3897,[1]master_data!$A$2:$E$495,4,FALSE)</f>
        <v>2000</v>
      </c>
      <c r="H3897" s="5">
        <f t="shared" si="186"/>
        <v>2400</v>
      </c>
      <c r="I3897" s="5">
        <f t="shared" si="187"/>
        <v>6000</v>
      </c>
      <c r="J3897" s="5">
        <f t="shared" si="188"/>
        <v>3600</v>
      </c>
      <c r="K3897" s="5" t="str">
        <f>VLOOKUP(C3897,[1]master_data!$A$2:$E$495,5,FALSE)</f>
        <v>Aksesoris</v>
      </c>
      <c r="L3897" s="5" t="s">
        <v>471</v>
      </c>
    </row>
    <row r="3898" spans="1:12" ht="12" customHeight="1" x14ac:dyDescent="0.25">
      <c r="A3898" s="6">
        <v>44597</v>
      </c>
      <c r="B3898" s="1">
        <v>2200665</v>
      </c>
      <c r="C3898" s="5" t="s">
        <v>422</v>
      </c>
      <c r="D3898" s="5" t="str">
        <f>VLOOKUP(C3898,[1]master_data!$A$2:$E$495,2,FALSE)</f>
        <v>KOMET SLAYER</v>
      </c>
      <c r="E3898" s="5">
        <v>4</v>
      </c>
      <c r="F3898" s="5">
        <f>VLOOKUP(C3898,[1]master_data!$A$2:$E$495,3,FALSE)</f>
        <v>2000</v>
      </c>
      <c r="G3898" s="5">
        <f>VLOOKUP(C3898,[1]master_data!$A$2:$E$495,4,FALSE)</f>
        <v>5000</v>
      </c>
      <c r="H3898" s="5">
        <f t="shared" si="186"/>
        <v>8000</v>
      </c>
      <c r="I3898" s="5">
        <f t="shared" si="187"/>
        <v>20000</v>
      </c>
      <c r="J3898" s="5">
        <f t="shared" si="188"/>
        <v>12000</v>
      </c>
      <c r="K3898" s="5" t="str">
        <f>VLOOKUP(C3898,[1]master_data!$A$2:$E$495,5,FALSE)</f>
        <v>Ikan</v>
      </c>
      <c r="L3898" s="5" t="s">
        <v>471</v>
      </c>
    </row>
    <row r="3899" spans="1:12" ht="12" customHeight="1" x14ac:dyDescent="0.25">
      <c r="A3899" s="6">
        <v>44597</v>
      </c>
      <c r="B3899" s="1">
        <v>2200664</v>
      </c>
      <c r="C3899" s="5" t="s">
        <v>394</v>
      </c>
      <c r="D3899" s="5" t="str">
        <f>VLOOKUP(C3899,[1]master_data!$A$2:$E$495,2,FALSE)</f>
        <v>ARWANA SILVER K</v>
      </c>
      <c r="E3899" s="5">
        <v>1</v>
      </c>
      <c r="F3899" s="5">
        <f>VLOOKUP(C3899,[1]master_data!$A$2:$E$495,3,FALSE)</f>
        <v>100000</v>
      </c>
      <c r="G3899" s="5">
        <f>VLOOKUP(C3899,[1]master_data!$A$2:$E$495,4,FALSE)</f>
        <v>200000</v>
      </c>
      <c r="H3899" s="5">
        <f t="shared" si="186"/>
        <v>100000</v>
      </c>
      <c r="I3899" s="5">
        <f t="shared" si="187"/>
        <v>200000</v>
      </c>
      <c r="J3899" s="5">
        <f t="shared" si="188"/>
        <v>100000</v>
      </c>
      <c r="K3899" s="5" t="str">
        <f>VLOOKUP(C3899,[1]master_data!$A$2:$E$495,5,FALSE)</f>
        <v>Ikan</v>
      </c>
      <c r="L3899" s="5" t="s">
        <v>471</v>
      </c>
    </row>
    <row r="3900" spans="1:12" ht="12" customHeight="1" x14ac:dyDescent="0.25">
      <c r="A3900" s="6">
        <v>44597</v>
      </c>
      <c r="B3900" s="1">
        <v>2200663</v>
      </c>
      <c r="C3900" s="5" t="s">
        <v>257</v>
      </c>
      <c r="D3900" s="5" t="str">
        <f>VLOOKUP(C3900,[1]master_data!$A$2:$E$495,2,FALSE)</f>
        <v>BILTS K</v>
      </c>
      <c r="E3900" s="5">
        <v>1</v>
      </c>
      <c r="F3900" s="5">
        <f>VLOOKUP(C3900,[1]master_data!$A$2:$E$495,3,FALSE)</f>
        <v>5000</v>
      </c>
      <c r="G3900" s="5">
        <f>VLOOKUP(C3900,[1]master_data!$A$2:$E$495,4,FALSE)</f>
        <v>7000</v>
      </c>
      <c r="H3900" s="5">
        <f t="shared" si="186"/>
        <v>5000</v>
      </c>
      <c r="I3900" s="5">
        <f t="shared" si="187"/>
        <v>7000</v>
      </c>
      <c r="J3900" s="5">
        <f t="shared" si="188"/>
        <v>2000</v>
      </c>
      <c r="K3900" s="5" t="str">
        <f>VLOOKUP(C3900,[1]master_data!$A$2:$E$495,5,FALSE)</f>
        <v>Aksesoris</v>
      </c>
      <c r="L3900" s="5" t="s">
        <v>471</v>
      </c>
    </row>
    <row r="3901" spans="1:12" ht="12" customHeight="1" x14ac:dyDescent="0.25">
      <c r="A3901" s="6">
        <v>44597</v>
      </c>
      <c r="B3901" s="1">
        <v>2200662</v>
      </c>
      <c r="C3901" s="5" t="s">
        <v>374</v>
      </c>
      <c r="D3901" s="5" t="str">
        <f>VLOOKUP(C3901,[1]master_data!$A$2:$E$495,2,FALSE)</f>
        <v>PASIR HITAM B</v>
      </c>
      <c r="E3901" s="5">
        <v>1</v>
      </c>
      <c r="F3901" s="5">
        <f>VLOOKUP(C3901,[1]master_data!$A$2:$E$495,3,FALSE)</f>
        <v>8000</v>
      </c>
      <c r="G3901" s="5">
        <f>VLOOKUP(C3901,[1]master_data!$A$2:$E$495,4,FALSE)</f>
        <v>15000</v>
      </c>
      <c r="H3901" s="5">
        <f t="shared" si="186"/>
        <v>8000</v>
      </c>
      <c r="I3901" s="5">
        <f t="shared" si="187"/>
        <v>15000</v>
      </c>
      <c r="J3901" s="5">
        <f t="shared" si="188"/>
        <v>7000</v>
      </c>
      <c r="K3901" s="5" t="str">
        <f>VLOOKUP(C3901,[1]master_data!$A$2:$E$495,5,FALSE)</f>
        <v>Aksesoris</v>
      </c>
      <c r="L3901" s="5" t="s">
        <v>471</v>
      </c>
    </row>
    <row r="3902" spans="1:12" ht="12" customHeight="1" x14ac:dyDescent="0.25">
      <c r="A3902" s="6">
        <v>44597</v>
      </c>
      <c r="B3902" s="1">
        <v>2200661</v>
      </c>
      <c r="C3902" s="5" t="s">
        <v>257</v>
      </c>
      <c r="D3902" s="5" t="str">
        <f>VLOOKUP(C3902,[1]master_data!$A$2:$E$495,2,FALSE)</f>
        <v>BILTS K</v>
      </c>
      <c r="E3902" s="5">
        <v>1</v>
      </c>
      <c r="F3902" s="5">
        <f>VLOOKUP(C3902,[1]master_data!$A$2:$E$495,3,FALSE)</f>
        <v>5000</v>
      </c>
      <c r="G3902" s="5">
        <f>VLOOKUP(C3902,[1]master_data!$A$2:$E$495,4,FALSE)</f>
        <v>7000</v>
      </c>
      <c r="H3902" s="5">
        <f t="shared" si="186"/>
        <v>5000</v>
      </c>
      <c r="I3902" s="5">
        <f t="shared" si="187"/>
        <v>7000</v>
      </c>
      <c r="J3902" s="5">
        <f t="shared" si="188"/>
        <v>2000</v>
      </c>
      <c r="K3902" s="5" t="str">
        <f>VLOOKUP(C3902,[1]master_data!$A$2:$E$495,5,FALSE)</f>
        <v>Aksesoris</v>
      </c>
      <c r="L3902" s="5" t="s">
        <v>471</v>
      </c>
    </row>
    <row r="3903" spans="1:12" ht="12" customHeight="1" x14ac:dyDescent="0.25">
      <c r="A3903" s="6">
        <v>44597</v>
      </c>
      <c r="B3903" s="1">
        <v>2200660</v>
      </c>
      <c r="C3903" s="5" t="s">
        <v>45</v>
      </c>
      <c r="D3903" s="5" t="str">
        <f>VLOOKUP(C3903,[1]master_data!$A$2:$E$495,2,FALSE)</f>
        <v>TOP FILTER NIKITA K</v>
      </c>
      <c r="E3903" s="5">
        <v>1</v>
      </c>
      <c r="F3903" s="5">
        <f>VLOOKUP(C3903,[1]master_data!$A$2:$E$495,3,FALSE)</f>
        <v>36000</v>
      </c>
      <c r="G3903" s="5">
        <f>VLOOKUP(C3903,[1]master_data!$A$2:$E$495,4,FALSE)</f>
        <v>55000</v>
      </c>
      <c r="H3903" s="5">
        <f t="shared" si="186"/>
        <v>36000</v>
      </c>
      <c r="I3903" s="5">
        <f t="shared" si="187"/>
        <v>55000</v>
      </c>
      <c r="J3903" s="5">
        <f t="shared" si="188"/>
        <v>19000</v>
      </c>
      <c r="K3903" s="5" t="str">
        <f>VLOOKUP(C3903,[1]master_data!$A$2:$E$495,5,FALSE)</f>
        <v>Aksesoris</v>
      </c>
      <c r="L3903" s="5" t="s">
        <v>471</v>
      </c>
    </row>
    <row r="3904" spans="1:12" ht="12" customHeight="1" x14ac:dyDescent="0.25">
      <c r="A3904" s="6">
        <v>44597</v>
      </c>
      <c r="B3904" s="1">
        <v>2200659</v>
      </c>
      <c r="C3904" s="5" t="s">
        <v>402</v>
      </c>
      <c r="D3904" s="5" t="str">
        <f>VLOOKUP(C3904,[1]master_data!$A$2:$E$495,2,FALSE)</f>
        <v>BLACK GHOST</v>
      </c>
      <c r="E3904" s="5">
        <v>1</v>
      </c>
      <c r="F3904" s="5">
        <f>VLOOKUP(C3904,[1]master_data!$A$2:$E$495,3,FALSE)</f>
        <v>4000</v>
      </c>
      <c r="G3904" s="5">
        <f>VLOOKUP(C3904,[1]master_data!$A$2:$E$495,4,FALSE)</f>
        <v>10000</v>
      </c>
      <c r="H3904" s="5">
        <f t="shared" si="186"/>
        <v>4000</v>
      </c>
      <c r="I3904" s="5">
        <f t="shared" si="187"/>
        <v>10000</v>
      </c>
      <c r="J3904" s="5">
        <f t="shared" si="188"/>
        <v>6000</v>
      </c>
      <c r="K3904" s="5" t="str">
        <f>VLOOKUP(C3904,[1]master_data!$A$2:$E$495,5,FALSE)</f>
        <v>Ikan</v>
      </c>
      <c r="L3904" s="5" t="s">
        <v>471</v>
      </c>
    </row>
    <row r="3905" spans="1:12" ht="12" customHeight="1" x14ac:dyDescent="0.25">
      <c r="A3905" s="6">
        <v>44597</v>
      </c>
      <c r="B3905" s="1">
        <v>2200658</v>
      </c>
      <c r="C3905" s="5" t="s">
        <v>423</v>
      </c>
      <c r="D3905" s="5" t="str">
        <f>VLOOKUP(C3905,[1]master_data!$A$2:$E$495,2,FALSE)</f>
        <v>KOI SLAYER K</v>
      </c>
      <c r="E3905" s="5">
        <v>5</v>
      </c>
      <c r="F3905" s="5">
        <f>VLOOKUP(C3905,[1]master_data!$A$2:$E$495,3,FALSE)</f>
        <v>3500</v>
      </c>
      <c r="G3905" s="5">
        <f>VLOOKUP(C3905,[1]master_data!$A$2:$E$495,4,FALSE)</f>
        <v>10000</v>
      </c>
      <c r="H3905" s="5">
        <f t="shared" si="186"/>
        <v>17500</v>
      </c>
      <c r="I3905" s="5">
        <f t="shared" si="187"/>
        <v>50000</v>
      </c>
      <c r="J3905" s="5">
        <f t="shared" si="188"/>
        <v>32500</v>
      </c>
      <c r="K3905" s="5" t="str">
        <f>VLOOKUP(C3905,[1]master_data!$A$2:$E$495,5,FALSE)</f>
        <v>Ikan</v>
      </c>
      <c r="L3905" s="5" t="s">
        <v>471</v>
      </c>
    </row>
    <row r="3906" spans="1:12" ht="12" customHeight="1" x14ac:dyDescent="0.25">
      <c r="A3906" s="6">
        <v>44597</v>
      </c>
      <c r="B3906" s="1">
        <v>2200657</v>
      </c>
      <c r="C3906" s="5" t="s">
        <v>112</v>
      </c>
      <c r="D3906" s="5" t="str">
        <f>VLOOKUP(C3906,[1]master_data!$A$2:$E$495,2,FALSE)</f>
        <v>LED ROSTON 20 CM</v>
      </c>
      <c r="E3906" s="5">
        <v>1</v>
      </c>
      <c r="F3906" s="5">
        <f>VLOOKUP(C3906,[1]master_data!$A$2:$E$495,3,FALSE)</f>
        <v>21000</v>
      </c>
      <c r="G3906" s="5">
        <f>VLOOKUP(C3906,[1]master_data!$A$2:$E$495,4,FALSE)</f>
        <v>30000</v>
      </c>
      <c r="H3906" s="5">
        <f t="shared" si="186"/>
        <v>21000</v>
      </c>
      <c r="I3906" s="5">
        <f t="shared" si="187"/>
        <v>30000</v>
      </c>
      <c r="J3906" s="5">
        <f t="shared" si="188"/>
        <v>9000</v>
      </c>
      <c r="K3906" s="5" t="str">
        <f>VLOOKUP(C3906,[1]master_data!$A$2:$E$495,5,FALSE)</f>
        <v>Aksesoris</v>
      </c>
      <c r="L3906" s="5" t="s">
        <v>471</v>
      </c>
    </row>
    <row r="3907" spans="1:12" ht="12" customHeight="1" x14ac:dyDescent="0.25">
      <c r="A3907" s="6">
        <v>44597</v>
      </c>
      <c r="B3907" s="1">
        <v>2200656</v>
      </c>
      <c r="C3907" s="5" t="s">
        <v>436</v>
      </c>
      <c r="D3907" s="5" t="str">
        <f>VLOOKUP(C3907,[1]master_data!$A$2:$E$495,2,FALSE)</f>
        <v>NIASA</v>
      </c>
      <c r="E3907" s="5">
        <v>10</v>
      </c>
      <c r="F3907" s="5">
        <f>VLOOKUP(C3907,[1]master_data!$A$2:$E$495,3,FALSE)</f>
        <v>900</v>
      </c>
      <c r="G3907" s="5">
        <f>VLOOKUP(C3907,[1]master_data!$A$2:$E$495,4,FALSE)</f>
        <v>2000</v>
      </c>
      <c r="H3907" s="5">
        <f t="shared" si="186"/>
        <v>9000</v>
      </c>
      <c r="I3907" s="5">
        <f t="shared" si="187"/>
        <v>20000</v>
      </c>
      <c r="J3907" s="5">
        <f t="shared" si="188"/>
        <v>11000</v>
      </c>
      <c r="K3907" s="5" t="str">
        <f>VLOOKUP(C3907,[1]master_data!$A$2:$E$495,5,FALSE)</f>
        <v>Ikan</v>
      </c>
      <c r="L3907" s="5" t="s">
        <v>471</v>
      </c>
    </row>
    <row r="3908" spans="1:12" ht="12" customHeight="1" x14ac:dyDescent="0.25">
      <c r="A3908" s="6">
        <v>44597</v>
      </c>
      <c r="B3908" s="1">
        <v>2200655</v>
      </c>
      <c r="C3908" s="5" t="s">
        <v>458</v>
      </c>
      <c r="D3908" s="5" t="str">
        <f>VLOOKUP(C3908,[1]master_data!$A$2:$E$495,2,FALSE)</f>
        <v>ZEBRA HIJAU</v>
      </c>
      <c r="E3908" s="5">
        <v>5</v>
      </c>
      <c r="F3908" s="5">
        <f>VLOOKUP(C3908,[1]master_data!$A$2:$E$495,3,FALSE)</f>
        <v>800</v>
      </c>
      <c r="G3908" s="5">
        <f>VLOOKUP(C3908,[1]master_data!$A$2:$E$495,4,FALSE)</f>
        <v>2000</v>
      </c>
      <c r="H3908" s="5">
        <f t="shared" si="186"/>
        <v>4000</v>
      </c>
      <c r="I3908" s="5">
        <f t="shared" si="187"/>
        <v>10000</v>
      </c>
      <c r="J3908" s="5">
        <f t="shared" si="188"/>
        <v>6000</v>
      </c>
      <c r="K3908" s="5" t="str">
        <f>VLOOKUP(C3908,[1]master_data!$A$2:$E$495,5,FALSE)</f>
        <v>Ikan</v>
      </c>
      <c r="L3908" s="5" t="s">
        <v>471</v>
      </c>
    </row>
    <row r="3909" spans="1:12" ht="12" customHeight="1" x14ac:dyDescent="0.25">
      <c r="A3909" s="6">
        <v>44597</v>
      </c>
      <c r="B3909" s="1">
        <v>2200654</v>
      </c>
      <c r="C3909" s="5" t="s">
        <v>452</v>
      </c>
      <c r="D3909" s="5" t="str">
        <f>VLOOKUP(C3909,[1]master_data!$A$2:$E$495,2,FALSE)</f>
        <v>SNOW WHITE</v>
      </c>
      <c r="E3909" s="5">
        <v>10</v>
      </c>
      <c r="F3909" s="5">
        <f>VLOOKUP(C3909,[1]master_data!$A$2:$E$495,3,FALSE)</f>
        <v>1500</v>
      </c>
      <c r="G3909" s="5">
        <f>VLOOKUP(C3909,[1]master_data!$A$2:$E$495,4,FALSE)</f>
        <v>3000</v>
      </c>
      <c r="H3909" s="5">
        <f t="shared" ref="H3909:H3972" si="189">E3909*F3909</f>
        <v>15000</v>
      </c>
      <c r="I3909" s="5">
        <f t="shared" ref="I3909:I3972" si="190">E3909*G3909</f>
        <v>30000</v>
      </c>
      <c r="J3909" s="5">
        <f t="shared" ref="J3909:J3972" si="191">I3909-H3909</f>
        <v>15000</v>
      </c>
      <c r="K3909" s="5" t="str">
        <f>VLOOKUP(C3909,[1]master_data!$A$2:$E$495,5,FALSE)</f>
        <v>Ikan</v>
      </c>
      <c r="L3909" s="5" t="s">
        <v>471</v>
      </c>
    </row>
    <row r="3910" spans="1:12" ht="12" customHeight="1" x14ac:dyDescent="0.25">
      <c r="A3910" s="6">
        <v>44597</v>
      </c>
      <c r="B3910" s="1">
        <v>2200653</v>
      </c>
      <c r="C3910" s="5" t="s">
        <v>427</v>
      </c>
      <c r="D3910" s="5" t="str">
        <f>VLOOKUP(C3910,[1]master_data!$A$2:$E$495,2,FALSE)</f>
        <v>LEMON</v>
      </c>
      <c r="E3910" s="5">
        <v>10</v>
      </c>
      <c r="F3910" s="5">
        <f>VLOOKUP(C3910,[1]master_data!$A$2:$E$495,3,FALSE)</f>
        <v>1000</v>
      </c>
      <c r="G3910" s="5">
        <f>VLOOKUP(C3910,[1]master_data!$A$2:$E$495,4,FALSE)</f>
        <v>2000</v>
      </c>
      <c r="H3910" s="5">
        <f t="shared" si="189"/>
        <v>10000</v>
      </c>
      <c r="I3910" s="5">
        <f t="shared" si="190"/>
        <v>20000</v>
      </c>
      <c r="J3910" s="5">
        <f t="shared" si="191"/>
        <v>10000</v>
      </c>
      <c r="K3910" s="5" t="str">
        <f>VLOOKUP(C3910,[1]master_data!$A$2:$E$495,5,FALSE)</f>
        <v>Ikan</v>
      </c>
      <c r="L3910" s="5" t="s">
        <v>471</v>
      </c>
    </row>
    <row r="3911" spans="1:12" ht="12" customHeight="1" x14ac:dyDescent="0.25">
      <c r="A3911" s="6">
        <v>44597</v>
      </c>
      <c r="B3911" s="1">
        <v>2200652</v>
      </c>
      <c r="C3911" s="5" t="s">
        <v>420</v>
      </c>
      <c r="D3911" s="5" t="str">
        <f>VLOOKUP(C3911,[1]master_data!$A$2:$E$495,2,FALSE)</f>
        <v>KAVIAT</v>
      </c>
      <c r="E3911" s="5">
        <v>3</v>
      </c>
      <c r="F3911" s="5">
        <f>VLOOKUP(C3911,[1]master_data!$A$2:$E$495,3,FALSE)</f>
        <v>3500</v>
      </c>
      <c r="G3911" s="5">
        <f>VLOOKUP(C3911,[1]master_data!$A$2:$E$495,4,FALSE)</f>
        <v>8000</v>
      </c>
      <c r="H3911" s="5">
        <f t="shared" si="189"/>
        <v>10500</v>
      </c>
      <c r="I3911" s="5">
        <f t="shared" si="190"/>
        <v>24000</v>
      </c>
      <c r="J3911" s="5">
        <f t="shared" si="191"/>
        <v>13500</v>
      </c>
      <c r="K3911" s="5" t="str">
        <f>VLOOKUP(C3911,[1]master_data!$A$2:$E$495,5,FALSE)</f>
        <v>Ikan</v>
      </c>
      <c r="L3911" s="5" t="s">
        <v>471</v>
      </c>
    </row>
    <row r="3912" spans="1:12" ht="12" customHeight="1" x14ac:dyDescent="0.25">
      <c r="A3912" s="6">
        <v>44597</v>
      </c>
      <c r="B3912" s="1">
        <v>2200651</v>
      </c>
      <c r="C3912" s="5" t="s">
        <v>413</v>
      </c>
      <c r="D3912" s="5" t="str">
        <f>VLOOKUP(C3912,[1]master_data!$A$2:$E$495,2,FALSE)</f>
        <v>KOKI K</v>
      </c>
      <c r="E3912" s="5">
        <v>5</v>
      </c>
      <c r="F3912" s="5">
        <f>VLOOKUP(C3912,[1]master_data!$A$2:$E$495,3,FALSE)</f>
        <v>3500</v>
      </c>
      <c r="G3912" s="5">
        <f>VLOOKUP(C3912,[1]master_data!$A$2:$E$495,4,FALSE)</f>
        <v>10000</v>
      </c>
      <c r="H3912" s="5">
        <f t="shared" si="189"/>
        <v>17500</v>
      </c>
      <c r="I3912" s="5">
        <f t="shared" si="190"/>
        <v>50000</v>
      </c>
      <c r="J3912" s="5">
        <f t="shared" si="191"/>
        <v>32500</v>
      </c>
      <c r="K3912" s="5" t="str">
        <f>VLOOKUP(C3912,[1]master_data!$A$2:$E$495,5,FALSE)</f>
        <v>Ikan</v>
      </c>
      <c r="L3912" s="5" t="s">
        <v>471</v>
      </c>
    </row>
    <row r="3913" spans="1:12" ht="12" customHeight="1" x14ac:dyDescent="0.25">
      <c r="A3913" s="6">
        <v>44597</v>
      </c>
      <c r="B3913" s="1">
        <v>2200650</v>
      </c>
      <c r="C3913" s="5" t="s">
        <v>444</v>
      </c>
      <c r="D3913" s="5" t="str">
        <f>VLOOKUP(C3913,[1]master_data!$A$2:$E$495,2,FALSE)</f>
        <v>PARROT</v>
      </c>
      <c r="E3913" s="5">
        <v>1</v>
      </c>
      <c r="F3913" s="5">
        <f>VLOOKUP(C3913,[1]master_data!$A$2:$E$495,3,FALSE)</f>
        <v>27000</v>
      </c>
      <c r="G3913" s="5">
        <f>VLOOKUP(C3913,[1]master_data!$A$2:$E$495,4,FALSE)</f>
        <v>60000</v>
      </c>
      <c r="H3913" s="5">
        <f t="shared" si="189"/>
        <v>27000</v>
      </c>
      <c r="I3913" s="5">
        <f t="shared" si="190"/>
        <v>60000</v>
      </c>
      <c r="J3913" s="5">
        <f t="shared" si="191"/>
        <v>33000</v>
      </c>
      <c r="K3913" s="5" t="str">
        <f>VLOOKUP(C3913,[1]master_data!$A$2:$E$495,5,FALSE)</f>
        <v>Ikan</v>
      </c>
      <c r="L3913" s="5" t="s">
        <v>471</v>
      </c>
    </row>
    <row r="3914" spans="1:12" ht="12" customHeight="1" x14ac:dyDescent="0.25">
      <c r="A3914" s="6">
        <v>44597</v>
      </c>
      <c r="B3914" s="1">
        <v>2200649</v>
      </c>
      <c r="C3914" s="5" t="s">
        <v>409</v>
      </c>
      <c r="D3914" s="5" t="str">
        <f>VLOOKUP(C3914,[1]master_data!$A$2:$E$495,2,FALSE)</f>
        <v>GOLD FISH</v>
      </c>
      <c r="E3914" s="5">
        <v>10</v>
      </c>
      <c r="F3914" s="5">
        <f>VLOOKUP(C3914,[1]master_data!$A$2:$E$495,3,FALSE)</f>
        <v>800</v>
      </c>
      <c r="G3914" s="5">
        <f>VLOOKUP(C3914,[1]master_data!$A$2:$E$495,4,FALSE)</f>
        <v>2000</v>
      </c>
      <c r="H3914" s="5">
        <f t="shared" si="189"/>
        <v>8000</v>
      </c>
      <c r="I3914" s="5">
        <f t="shared" si="190"/>
        <v>20000</v>
      </c>
      <c r="J3914" s="5">
        <f t="shared" si="191"/>
        <v>12000</v>
      </c>
      <c r="K3914" s="5" t="str">
        <f>VLOOKUP(C3914,[1]master_data!$A$2:$E$495,5,FALSE)</f>
        <v>Ikan</v>
      </c>
      <c r="L3914" s="5" t="s">
        <v>471</v>
      </c>
    </row>
    <row r="3915" spans="1:12" ht="12" customHeight="1" x14ac:dyDescent="0.25">
      <c r="A3915" s="6">
        <v>44597</v>
      </c>
      <c r="B3915" s="1">
        <v>2200648</v>
      </c>
      <c r="C3915" s="5" t="s">
        <v>457</v>
      </c>
      <c r="D3915" s="5" t="str">
        <f>VLOOKUP(C3915,[1]master_data!$A$2:$E$495,2,FALSE)</f>
        <v>ZEBRA PINK</v>
      </c>
      <c r="E3915" s="5">
        <v>5</v>
      </c>
      <c r="F3915" s="5">
        <f>VLOOKUP(C3915,[1]master_data!$A$2:$E$495,3,FALSE)</f>
        <v>800</v>
      </c>
      <c r="G3915" s="5">
        <f>VLOOKUP(C3915,[1]master_data!$A$2:$E$495,4,FALSE)</f>
        <v>2000</v>
      </c>
      <c r="H3915" s="5">
        <f t="shared" si="189"/>
        <v>4000</v>
      </c>
      <c r="I3915" s="5">
        <f t="shared" si="190"/>
        <v>10000</v>
      </c>
      <c r="J3915" s="5">
        <f t="shared" si="191"/>
        <v>6000</v>
      </c>
      <c r="K3915" s="5" t="str">
        <f>VLOOKUP(C3915,[1]master_data!$A$2:$E$495,5,FALSE)</f>
        <v>Ikan</v>
      </c>
      <c r="L3915" s="5" t="s">
        <v>471</v>
      </c>
    </row>
    <row r="3916" spans="1:12" ht="12" customHeight="1" x14ac:dyDescent="0.25">
      <c r="A3916" s="6">
        <v>44597</v>
      </c>
      <c r="B3916" s="1">
        <v>2200647</v>
      </c>
      <c r="C3916" s="5" t="s">
        <v>203</v>
      </c>
      <c r="D3916" s="5" t="str">
        <f>VLOOKUP(C3916,[1]master_data!$A$2:$E$495,2,FALSE)</f>
        <v>HOKKY 3 IN 1</v>
      </c>
      <c r="E3916" s="5">
        <v>1</v>
      </c>
      <c r="F3916" s="5">
        <f>VLOOKUP(C3916,[1]master_data!$A$2:$E$495,3,FALSE)</f>
        <v>20000</v>
      </c>
      <c r="G3916" s="5">
        <f>VLOOKUP(C3916,[1]master_data!$A$2:$E$495,4,FALSE)</f>
        <v>30000</v>
      </c>
      <c r="H3916" s="5">
        <f t="shared" si="189"/>
        <v>20000</v>
      </c>
      <c r="I3916" s="5">
        <f t="shared" si="190"/>
        <v>30000</v>
      </c>
      <c r="J3916" s="5">
        <f t="shared" si="191"/>
        <v>10000</v>
      </c>
      <c r="K3916" s="5" t="str">
        <f>VLOOKUP(C3916,[1]master_data!$A$2:$E$495,5,FALSE)</f>
        <v>Aksesoris</v>
      </c>
      <c r="L3916" s="5" t="s">
        <v>471</v>
      </c>
    </row>
    <row r="3917" spans="1:12" ht="12" customHeight="1" x14ac:dyDescent="0.25">
      <c r="A3917" s="6">
        <v>44597</v>
      </c>
      <c r="B3917" s="1">
        <v>2200646</v>
      </c>
      <c r="C3917" s="5" t="s">
        <v>313</v>
      </c>
      <c r="D3917" s="5" t="str">
        <f>VLOOKUP(C3917,[1]master_data!$A$2:$E$495,2,FALSE)</f>
        <v>LURUS PIPA</v>
      </c>
      <c r="E3917" s="5">
        <v>5</v>
      </c>
      <c r="F3917" s="5">
        <f>VLOOKUP(C3917,[1]master_data!$A$2:$E$495,3,FALSE)</f>
        <v>800</v>
      </c>
      <c r="G3917" s="5">
        <f>VLOOKUP(C3917,[1]master_data!$A$2:$E$495,4,FALSE)</f>
        <v>2000</v>
      </c>
      <c r="H3917" s="5">
        <f t="shared" si="189"/>
        <v>4000</v>
      </c>
      <c r="I3917" s="5">
        <f t="shared" si="190"/>
        <v>10000</v>
      </c>
      <c r="J3917" s="5">
        <f t="shared" si="191"/>
        <v>6000</v>
      </c>
      <c r="K3917" s="5" t="str">
        <f>VLOOKUP(C3917,[1]master_data!$A$2:$E$495,5,FALSE)</f>
        <v>Aksesoris</v>
      </c>
      <c r="L3917" s="5" t="s">
        <v>471</v>
      </c>
    </row>
    <row r="3918" spans="1:12" ht="12" customHeight="1" x14ac:dyDescent="0.25">
      <c r="A3918" s="6">
        <v>44597</v>
      </c>
      <c r="B3918" s="1">
        <v>2200645</v>
      </c>
      <c r="C3918" s="5" t="s">
        <v>459</v>
      </c>
      <c r="D3918" s="5" t="str">
        <f>VLOOKUP(C3918,[1]master_data!$A$2:$E$495,2,FALSE)</f>
        <v>ZEBRA UNGU</v>
      </c>
      <c r="E3918" s="5">
        <v>5</v>
      </c>
      <c r="F3918" s="5">
        <f>VLOOKUP(C3918,[1]master_data!$A$2:$E$495,3,FALSE)</f>
        <v>800</v>
      </c>
      <c r="G3918" s="5">
        <f>VLOOKUP(C3918,[1]master_data!$A$2:$E$495,4,FALSE)</f>
        <v>2000</v>
      </c>
      <c r="H3918" s="5">
        <f t="shared" si="189"/>
        <v>4000</v>
      </c>
      <c r="I3918" s="5">
        <f t="shared" si="190"/>
        <v>10000</v>
      </c>
      <c r="J3918" s="5">
        <f t="shared" si="191"/>
        <v>6000</v>
      </c>
      <c r="K3918" s="5" t="str">
        <f>VLOOKUP(C3918,[1]master_data!$A$2:$E$495,5,FALSE)</f>
        <v>Ikan</v>
      </c>
      <c r="L3918" s="5" t="s">
        <v>471</v>
      </c>
    </row>
    <row r="3919" spans="1:12" ht="12" customHeight="1" x14ac:dyDescent="0.25">
      <c r="A3919" s="6">
        <v>44596</v>
      </c>
      <c r="B3919" s="1">
        <v>2200644</v>
      </c>
      <c r="C3919" s="5" t="s">
        <v>319</v>
      </c>
      <c r="D3919" s="5" t="str">
        <f>VLOOKUP(C3919,[1]master_data!$A$2:$E$495,2,FALSE)</f>
        <v>KAPAS HIJAU HITAM</v>
      </c>
      <c r="E3919" s="5">
        <v>1</v>
      </c>
      <c r="F3919" s="5">
        <f>VLOOKUP(C3919,[1]master_data!$A$2:$E$495,3,FALSE)</f>
        <v>11000</v>
      </c>
      <c r="G3919" s="5">
        <f>VLOOKUP(C3919,[1]master_data!$A$2:$E$495,4,FALSE)</f>
        <v>15000</v>
      </c>
      <c r="H3919" s="5">
        <f t="shared" si="189"/>
        <v>11000</v>
      </c>
      <c r="I3919" s="5">
        <f t="shared" si="190"/>
        <v>15000</v>
      </c>
      <c r="J3919" s="5">
        <f t="shared" si="191"/>
        <v>4000</v>
      </c>
      <c r="K3919" s="5" t="str">
        <f>VLOOKUP(C3919,[1]master_data!$A$2:$E$495,5,FALSE)</f>
        <v>Aksesoris</v>
      </c>
      <c r="L3919" s="5" t="s">
        <v>471</v>
      </c>
    </row>
    <row r="3920" spans="1:12" ht="12" customHeight="1" x14ac:dyDescent="0.25">
      <c r="A3920" s="6">
        <v>44596</v>
      </c>
      <c r="B3920" s="1">
        <v>2200643</v>
      </c>
      <c r="C3920" s="5" t="s">
        <v>456</v>
      </c>
      <c r="D3920" s="5" t="str">
        <f>VLOOKUP(C3920,[1]master_data!$A$2:$E$495,2,FALSE)</f>
        <v>TOMAN</v>
      </c>
      <c r="E3920" s="5">
        <v>1</v>
      </c>
      <c r="F3920" s="5">
        <f>VLOOKUP(C3920,[1]master_data!$A$2:$E$495,3,FALSE)</f>
        <v>10000</v>
      </c>
      <c r="G3920" s="5">
        <f>VLOOKUP(C3920,[1]master_data!$A$2:$E$495,4,FALSE)</f>
        <v>25000</v>
      </c>
      <c r="H3920" s="5">
        <f t="shared" si="189"/>
        <v>10000</v>
      </c>
      <c r="I3920" s="5">
        <f t="shared" si="190"/>
        <v>25000</v>
      </c>
      <c r="J3920" s="5">
        <f t="shared" si="191"/>
        <v>15000</v>
      </c>
      <c r="K3920" s="5" t="str">
        <f>VLOOKUP(C3920,[1]master_data!$A$2:$E$495,5,FALSE)</f>
        <v>Ikan</v>
      </c>
      <c r="L3920" s="5" t="s">
        <v>471</v>
      </c>
    </row>
    <row r="3921" spans="1:12" ht="12" customHeight="1" x14ac:dyDescent="0.25">
      <c r="A3921" s="6">
        <v>44596</v>
      </c>
      <c r="B3921" s="1">
        <v>2200642</v>
      </c>
      <c r="C3921" s="5" t="s">
        <v>309</v>
      </c>
      <c r="D3921" s="5" t="str">
        <f>VLOOKUP(C3921,[1]master_data!$A$2:$E$495,2,FALSE)</f>
        <v>SELANG SPIRAL</v>
      </c>
      <c r="E3921" s="5">
        <v>1</v>
      </c>
      <c r="F3921" s="5">
        <f>VLOOKUP(C3921,[1]master_data!$A$2:$E$495,3,FALSE)</f>
        <v>2600</v>
      </c>
      <c r="G3921" s="5">
        <f>VLOOKUP(C3921,[1]master_data!$A$2:$E$495,4,FALSE)</f>
        <v>5000</v>
      </c>
      <c r="H3921" s="5">
        <f t="shared" si="189"/>
        <v>2600</v>
      </c>
      <c r="I3921" s="5">
        <f t="shared" si="190"/>
        <v>5000</v>
      </c>
      <c r="J3921" s="5">
        <f t="shared" si="191"/>
        <v>2400</v>
      </c>
      <c r="K3921" s="5" t="str">
        <f>VLOOKUP(C3921,[1]master_data!$A$2:$E$495,5,FALSE)</f>
        <v>Aksesoris</v>
      </c>
      <c r="L3921" s="5" t="s">
        <v>471</v>
      </c>
    </row>
    <row r="3922" spans="1:12" ht="12" customHeight="1" x14ac:dyDescent="0.25">
      <c r="A3922" s="6">
        <v>44596</v>
      </c>
      <c r="B3922" s="1">
        <v>2200641</v>
      </c>
      <c r="C3922" s="5" t="s">
        <v>386</v>
      </c>
      <c r="D3922" s="5" t="str">
        <f>VLOOKUP(C3922,[1]master_data!$A$2:$E$495,2,FALSE)</f>
        <v>BATU KARANG JAHE</v>
      </c>
      <c r="E3922" s="5">
        <v>1</v>
      </c>
      <c r="F3922" s="5">
        <f>VLOOKUP(C3922,[1]master_data!$A$2:$E$495,3,FALSE)</f>
        <v>15000</v>
      </c>
      <c r="G3922" s="5">
        <f>VLOOKUP(C3922,[1]master_data!$A$2:$E$495,4,FALSE)</f>
        <v>25000</v>
      </c>
      <c r="H3922" s="5">
        <f t="shared" si="189"/>
        <v>15000</v>
      </c>
      <c r="I3922" s="5">
        <f t="shared" si="190"/>
        <v>25000</v>
      </c>
      <c r="J3922" s="5">
        <f t="shared" si="191"/>
        <v>10000</v>
      </c>
      <c r="K3922" s="5" t="str">
        <f>VLOOKUP(C3922,[1]master_data!$A$2:$E$495,5,FALSE)</f>
        <v>Aksesoris</v>
      </c>
      <c r="L3922" s="5" t="s">
        <v>471</v>
      </c>
    </row>
    <row r="3923" spans="1:12" ht="12" customHeight="1" x14ac:dyDescent="0.25">
      <c r="A3923" s="6">
        <v>44596</v>
      </c>
      <c r="B3923" s="1">
        <v>2200640</v>
      </c>
      <c r="C3923" s="5" t="s">
        <v>461</v>
      </c>
      <c r="D3923" s="5" t="str">
        <f>VLOOKUP(C3923,[1]master_data!$A$2:$E$495,2,FALSE)</f>
        <v>SEPAT</v>
      </c>
      <c r="E3923" s="5">
        <v>5</v>
      </c>
      <c r="F3923" s="5">
        <f>VLOOKUP(C3923,[1]master_data!$A$2:$E$495,3,FALSE)</f>
        <v>600</v>
      </c>
      <c r="G3923" s="5">
        <f>VLOOKUP(C3923,[1]master_data!$A$2:$E$495,4,FALSE)</f>
        <v>2000</v>
      </c>
      <c r="H3923" s="5">
        <f t="shared" si="189"/>
        <v>3000</v>
      </c>
      <c r="I3923" s="5">
        <f t="shared" si="190"/>
        <v>10000</v>
      </c>
      <c r="J3923" s="5">
        <f t="shared" si="191"/>
        <v>7000</v>
      </c>
      <c r="K3923" s="5" t="str">
        <f>VLOOKUP(C3923,[1]master_data!$A$2:$E$495,5,FALSE)</f>
        <v>Ikan</v>
      </c>
      <c r="L3923" s="5" t="s">
        <v>471</v>
      </c>
    </row>
    <row r="3924" spans="1:12" ht="12" customHeight="1" x14ac:dyDescent="0.25">
      <c r="A3924" s="6">
        <v>44596</v>
      </c>
      <c r="B3924" s="1">
        <v>2200639</v>
      </c>
      <c r="C3924" s="5" t="s">
        <v>415</v>
      </c>
      <c r="D3924" s="5" t="str">
        <f>VLOOKUP(C3924,[1]master_data!$A$2:$E$495,2,FALSE)</f>
        <v>KOKI B</v>
      </c>
      <c r="E3924" s="5">
        <v>2</v>
      </c>
      <c r="F3924" s="5">
        <f>VLOOKUP(C3924,[1]master_data!$A$2:$E$495,3,FALSE)</f>
        <v>20000</v>
      </c>
      <c r="G3924" s="5">
        <f>VLOOKUP(C3924,[1]master_data!$A$2:$E$495,4,FALSE)</f>
        <v>50000</v>
      </c>
      <c r="H3924" s="5">
        <f t="shared" si="189"/>
        <v>40000</v>
      </c>
      <c r="I3924" s="5">
        <f t="shared" si="190"/>
        <v>100000</v>
      </c>
      <c r="J3924" s="5">
        <f t="shared" si="191"/>
        <v>60000</v>
      </c>
      <c r="K3924" s="5" t="str">
        <f>VLOOKUP(C3924,[1]master_data!$A$2:$E$495,5,FALSE)</f>
        <v>Ikan</v>
      </c>
      <c r="L3924" s="5" t="s">
        <v>471</v>
      </c>
    </row>
    <row r="3925" spans="1:12" ht="12" customHeight="1" x14ac:dyDescent="0.25">
      <c r="A3925" s="6">
        <v>44596</v>
      </c>
      <c r="B3925" s="1">
        <v>2200638</v>
      </c>
      <c r="C3925" s="5" t="s">
        <v>312</v>
      </c>
      <c r="D3925" s="5" t="str">
        <f>VLOOKUP(C3925,[1]master_data!$A$2:$E$495,2,FALSE)</f>
        <v>T PIPA</v>
      </c>
      <c r="E3925" s="5">
        <v>20</v>
      </c>
      <c r="F3925" s="5">
        <f>VLOOKUP(C3925,[1]master_data!$A$2:$E$495,3,FALSE)</f>
        <v>800</v>
      </c>
      <c r="G3925" s="5">
        <f>VLOOKUP(C3925,[1]master_data!$A$2:$E$495,4,FALSE)</f>
        <v>2000</v>
      </c>
      <c r="H3925" s="5">
        <f t="shared" si="189"/>
        <v>16000</v>
      </c>
      <c r="I3925" s="5">
        <f t="shared" si="190"/>
        <v>40000</v>
      </c>
      <c r="J3925" s="5">
        <f t="shared" si="191"/>
        <v>24000</v>
      </c>
      <c r="K3925" s="5" t="str">
        <f>VLOOKUP(C3925,[1]master_data!$A$2:$E$495,5,FALSE)</f>
        <v>Aksesoris</v>
      </c>
      <c r="L3925" s="5" t="s">
        <v>471</v>
      </c>
    </row>
    <row r="3926" spans="1:12" ht="12" customHeight="1" x14ac:dyDescent="0.25">
      <c r="A3926" s="6">
        <v>44596</v>
      </c>
      <c r="B3926" s="1">
        <v>2200637</v>
      </c>
      <c r="C3926" s="5" t="s">
        <v>120</v>
      </c>
      <c r="D3926" s="5" t="str">
        <f>VLOOKUP(C3926,[1]master_data!$A$2:$E$495,2,FALSE)</f>
        <v>LED ROSTON 50 CM</v>
      </c>
      <c r="E3926" s="5">
        <v>1</v>
      </c>
      <c r="F3926" s="5">
        <f>VLOOKUP(C3926,[1]master_data!$A$2:$E$495,3,FALSE)</f>
        <v>27000</v>
      </c>
      <c r="G3926" s="5">
        <f>VLOOKUP(C3926,[1]master_data!$A$2:$E$495,4,FALSE)</f>
        <v>50000</v>
      </c>
      <c r="H3926" s="5">
        <f t="shared" si="189"/>
        <v>27000</v>
      </c>
      <c r="I3926" s="5">
        <f t="shared" si="190"/>
        <v>50000</v>
      </c>
      <c r="J3926" s="5">
        <f t="shared" si="191"/>
        <v>23000</v>
      </c>
      <c r="K3926" s="5" t="str">
        <f>VLOOKUP(C3926,[1]master_data!$A$2:$E$495,5,FALSE)</f>
        <v>Aksesoris</v>
      </c>
      <c r="L3926" s="5" t="s">
        <v>471</v>
      </c>
    </row>
    <row r="3927" spans="1:12" ht="12" customHeight="1" x14ac:dyDescent="0.25">
      <c r="A3927" s="6">
        <v>44596</v>
      </c>
      <c r="B3927" s="1">
        <v>2200636</v>
      </c>
      <c r="C3927" s="5" t="s">
        <v>413</v>
      </c>
      <c r="D3927" s="5" t="str">
        <f>VLOOKUP(C3927,[1]master_data!$A$2:$E$495,2,FALSE)</f>
        <v>KOKI K</v>
      </c>
      <c r="E3927" s="5">
        <v>2</v>
      </c>
      <c r="F3927" s="5">
        <f>VLOOKUP(C3927,[1]master_data!$A$2:$E$495,3,FALSE)</f>
        <v>3500</v>
      </c>
      <c r="G3927" s="5">
        <f>VLOOKUP(C3927,[1]master_data!$A$2:$E$495,4,FALSE)</f>
        <v>10000</v>
      </c>
      <c r="H3927" s="5">
        <f t="shared" si="189"/>
        <v>7000</v>
      </c>
      <c r="I3927" s="5">
        <f t="shared" si="190"/>
        <v>20000</v>
      </c>
      <c r="J3927" s="5">
        <f t="shared" si="191"/>
        <v>13000</v>
      </c>
      <c r="K3927" s="5" t="str">
        <f>VLOOKUP(C3927,[1]master_data!$A$2:$E$495,5,FALSE)</f>
        <v>Ikan</v>
      </c>
      <c r="L3927" s="5" t="s">
        <v>471</v>
      </c>
    </row>
    <row r="3928" spans="1:12" ht="12" customHeight="1" x14ac:dyDescent="0.25">
      <c r="A3928" s="6">
        <v>44596</v>
      </c>
      <c r="B3928" s="1">
        <v>2200635</v>
      </c>
      <c r="C3928" s="5" t="s">
        <v>407</v>
      </c>
      <c r="D3928" s="5" t="str">
        <f>VLOOKUP(C3928,[1]master_data!$A$2:$E$495,2,FALSE)</f>
        <v>CUPANG</v>
      </c>
      <c r="E3928" s="5">
        <v>2</v>
      </c>
      <c r="F3928" s="5">
        <f>VLOOKUP(C3928,[1]master_data!$A$2:$E$495,3,FALSE)</f>
        <v>2000</v>
      </c>
      <c r="G3928" s="5">
        <f>VLOOKUP(C3928,[1]master_data!$A$2:$E$495,4,FALSE)</f>
        <v>5000</v>
      </c>
      <c r="H3928" s="5">
        <f t="shared" si="189"/>
        <v>4000</v>
      </c>
      <c r="I3928" s="5">
        <f t="shared" si="190"/>
        <v>10000</v>
      </c>
      <c r="J3928" s="5">
        <f t="shared" si="191"/>
        <v>6000</v>
      </c>
      <c r="K3928" s="5" t="str">
        <f>VLOOKUP(C3928,[1]master_data!$A$2:$E$495,5,FALSE)</f>
        <v>Ikan</v>
      </c>
      <c r="L3928" s="5" t="s">
        <v>471</v>
      </c>
    </row>
    <row r="3929" spans="1:12" ht="12" customHeight="1" x14ac:dyDescent="0.25">
      <c r="A3929" s="6">
        <v>44596</v>
      </c>
      <c r="B3929" s="1">
        <v>2200634</v>
      </c>
      <c r="C3929" s="5" t="s">
        <v>402</v>
      </c>
      <c r="D3929" s="5" t="str">
        <f>VLOOKUP(C3929,[1]master_data!$A$2:$E$495,2,FALSE)</f>
        <v>BLACK GHOST</v>
      </c>
      <c r="E3929" s="5">
        <v>2</v>
      </c>
      <c r="F3929" s="5">
        <f>VLOOKUP(C3929,[1]master_data!$A$2:$E$495,3,FALSE)</f>
        <v>4000</v>
      </c>
      <c r="G3929" s="5">
        <f>VLOOKUP(C3929,[1]master_data!$A$2:$E$495,4,FALSE)</f>
        <v>10000</v>
      </c>
      <c r="H3929" s="5">
        <f t="shared" si="189"/>
        <v>8000</v>
      </c>
      <c r="I3929" s="5">
        <f t="shared" si="190"/>
        <v>20000</v>
      </c>
      <c r="J3929" s="5">
        <f t="shared" si="191"/>
        <v>12000</v>
      </c>
      <c r="K3929" s="5" t="str">
        <f>VLOOKUP(C3929,[1]master_data!$A$2:$E$495,5,FALSE)</f>
        <v>Ikan</v>
      </c>
      <c r="L3929" s="5" t="s">
        <v>471</v>
      </c>
    </row>
    <row r="3930" spans="1:12" ht="12" customHeight="1" x14ac:dyDescent="0.25">
      <c r="A3930" s="6">
        <v>44596</v>
      </c>
      <c r="B3930" s="1">
        <v>2200633</v>
      </c>
      <c r="C3930" s="5" t="s">
        <v>428</v>
      </c>
      <c r="D3930" s="5" t="str">
        <f>VLOOKUP(C3930,[1]master_data!$A$2:$E$495,2,FALSE)</f>
        <v>LOUHAN</v>
      </c>
      <c r="E3930" s="5">
        <v>1</v>
      </c>
      <c r="F3930" s="5">
        <f>VLOOKUP(C3930,[1]master_data!$A$2:$E$495,3,FALSE)</f>
        <v>85000</v>
      </c>
      <c r="G3930" s="5">
        <f>VLOOKUP(C3930,[1]master_data!$A$2:$E$495,4,FALSE)</f>
        <v>200000</v>
      </c>
      <c r="H3930" s="5">
        <f t="shared" si="189"/>
        <v>85000</v>
      </c>
      <c r="I3930" s="5">
        <f t="shared" si="190"/>
        <v>200000</v>
      </c>
      <c r="J3930" s="5">
        <f t="shared" si="191"/>
        <v>115000</v>
      </c>
      <c r="K3930" s="5" t="str">
        <f>VLOOKUP(C3930,[1]master_data!$A$2:$E$495,5,FALSE)</f>
        <v>Ikan</v>
      </c>
      <c r="L3930" s="5" t="s">
        <v>471</v>
      </c>
    </row>
    <row r="3931" spans="1:12" ht="12" customHeight="1" x14ac:dyDescent="0.25">
      <c r="A3931" s="6">
        <v>44596</v>
      </c>
      <c r="B3931" s="1">
        <v>2200632</v>
      </c>
      <c r="C3931" s="5" t="s">
        <v>381</v>
      </c>
      <c r="D3931" s="5" t="str">
        <f>VLOOKUP(C3931,[1]master_data!$A$2:$E$495,2,FALSE)</f>
        <v>BATU WARNA FOSFOR K</v>
      </c>
      <c r="E3931" s="5">
        <v>2</v>
      </c>
      <c r="F3931" s="5">
        <f>VLOOKUP(C3931,[1]master_data!$A$2:$E$495,3,FALSE)</f>
        <v>5500</v>
      </c>
      <c r="G3931" s="5">
        <f>VLOOKUP(C3931,[1]master_data!$A$2:$E$495,4,FALSE)</f>
        <v>10000</v>
      </c>
      <c r="H3931" s="5">
        <f t="shared" si="189"/>
        <v>11000</v>
      </c>
      <c r="I3931" s="5">
        <f t="shared" si="190"/>
        <v>20000</v>
      </c>
      <c r="J3931" s="5">
        <f t="shared" si="191"/>
        <v>9000</v>
      </c>
      <c r="K3931" s="5" t="str">
        <f>VLOOKUP(C3931,[1]master_data!$A$2:$E$495,5,FALSE)</f>
        <v>Aksesoris</v>
      </c>
      <c r="L3931" s="5" t="s">
        <v>471</v>
      </c>
    </row>
    <row r="3932" spans="1:12" ht="12" customHeight="1" x14ac:dyDescent="0.25">
      <c r="A3932" s="6">
        <v>44596</v>
      </c>
      <c r="B3932" s="1">
        <v>2200631</v>
      </c>
      <c r="C3932" s="5" t="s">
        <v>257</v>
      </c>
      <c r="D3932" s="5" t="str">
        <f>VLOOKUP(C3932,[1]master_data!$A$2:$E$495,2,FALSE)</f>
        <v>BILTS K</v>
      </c>
      <c r="E3932" s="5">
        <v>1</v>
      </c>
      <c r="F3932" s="5">
        <f>VLOOKUP(C3932,[1]master_data!$A$2:$E$495,3,FALSE)</f>
        <v>5000</v>
      </c>
      <c r="G3932" s="5">
        <f>VLOOKUP(C3932,[1]master_data!$A$2:$E$495,4,FALSE)</f>
        <v>7000</v>
      </c>
      <c r="H3932" s="5">
        <f t="shared" si="189"/>
        <v>5000</v>
      </c>
      <c r="I3932" s="5">
        <f t="shared" si="190"/>
        <v>7000</v>
      </c>
      <c r="J3932" s="5">
        <f t="shared" si="191"/>
        <v>2000</v>
      </c>
      <c r="K3932" s="5" t="str">
        <f>VLOOKUP(C3932,[1]master_data!$A$2:$E$495,5,FALSE)</f>
        <v>Aksesoris</v>
      </c>
      <c r="L3932" s="5" t="s">
        <v>471</v>
      </c>
    </row>
    <row r="3933" spans="1:12" ht="12" customHeight="1" x14ac:dyDescent="0.25">
      <c r="A3933" s="6">
        <v>44596</v>
      </c>
      <c r="B3933" s="1">
        <v>2200630</v>
      </c>
      <c r="C3933" s="5" t="s">
        <v>455</v>
      </c>
      <c r="D3933" s="5" t="str">
        <f>VLOOKUP(C3933,[1]master_data!$A$2:$E$495,2,FALSE)</f>
        <v>TETRA</v>
      </c>
      <c r="E3933" s="5">
        <v>5</v>
      </c>
      <c r="F3933" s="5">
        <f>VLOOKUP(C3933,[1]master_data!$A$2:$E$495,3,FALSE)</f>
        <v>800</v>
      </c>
      <c r="G3933" s="5">
        <f>VLOOKUP(C3933,[1]master_data!$A$2:$E$495,4,FALSE)</f>
        <v>2000</v>
      </c>
      <c r="H3933" s="5">
        <f t="shared" si="189"/>
        <v>4000</v>
      </c>
      <c r="I3933" s="5">
        <f t="shared" si="190"/>
        <v>10000</v>
      </c>
      <c r="J3933" s="5">
        <f t="shared" si="191"/>
        <v>6000</v>
      </c>
      <c r="K3933" s="5" t="str">
        <f>VLOOKUP(C3933,[1]master_data!$A$2:$E$495,5,FALSE)</f>
        <v>Ikan</v>
      </c>
      <c r="L3933" s="5" t="s">
        <v>471</v>
      </c>
    </row>
    <row r="3934" spans="1:12" ht="12" customHeight="1" x14ac:dyDescent="0.25">
      <c r="A3934" s="6">
        <v>44596</v>
      </c>
      <c r="B3934" s="1">
        <v>2200629</v>
      </c>
      <c r="C3934" s="5" t="s">
        <v>45</v>
      </c>
      <c r="D3934" s="5" t="str">
        <f>VLOOKUP(C3934,[1]master_data!$A$2:$E$495,2,FALSE)</f>
        <v>TOP FILTER NIKITA K</v>
      </c>
      <c r="E3934" s="5">
        <v>1</v>
      </c>
      <c r="F3934" s="5">
        <f>VLOOKUP(C3934,[1]master_data!$A$2:$E$495,3,FALSE)</f>
        <v>36000</v>
      </c>
      <c r="G3934" s="5">
        <f>VLOOKUP(C3934,[1]master_data!$A$2:$E$495,4,FALSE)</f>
        <v>55000</v>
      </c>
      <c r="H3934" s="5">
        <f t="shared" si="189"/>
        <v>36000</v>
      </c>
      <c r="I3934" s="5">
        <f t="shared" si="190"/>
        <v>55000</v>
      </c>
      <c r="J3934" s="5">
        <f t="shared" si="191"/>
        <v>19000</v>
      </c>
      <c r="K3934" s="5" t="str">
        <f>VLOOKUP(C3934,[1]master_data!$A$2:$E$495,5,FALSE)</f>
        <v>Aksesoris</v>
      </c>
      <c r="L3934" s="5" t="s">
        <v>471</v>
      </c>
    </row>
    <row r="3935" spans="1:12" ht="12" customHeight="1" x14ac:dyDescent="0.25">
      <c r="A3935" s="6">
        <v>44596</v>
      </c>
      <c r="B3935" s="1">
        <v>2200628</v>
      </c>
      <c r="C3935" s="5" t="s">
        <v>362</v>
      </c>
      <c r="D3935" s="5" t="str">
        <f>VLOOKUP(C3935,[1]master_data!$A$2:$E$495,2,FALSE)</f>
        <v>AKUARIUM 50 POLOS</v>
      </c>
      <c r="E3935" s="5">
        <v>1</v>
      </c>
      <c r="F3935" s="5">
        <f>VLOOKUP(C3935,[1]master_data!$A$2:$E$495,3,FALSE)</f>
        <v>100000</v>
      </c>
      <c r="G3935" s="5">
        <f>VLOOKUP(C3935,[1]master_data!$A$2:$E$495,4,FALSE)</f>
        <v>130000</v>
      </c>
      <c r="H3935" s="5">
        <f t="shared" si="189"/>
        <v>100000</v>
      </c>
      <c r="I3935" s="5">
        <f t="shared" si="190"/>
        <v>130000</v>
      </c>
      <c r="J3935" s="5">
        <f t="shared" si="191"/>
        <v>30000</v>
      </c>
      <c r="K3935" s="5" t="str">
        <f>VLOOKUP(C3935,[1]master_data!$A$2:$E$495,5,FALSE)</f>
        <v>Aksesoris</v>
      </c>
      <c r="L3935" s="5" t="s">
        <v>471</v>
      </c>
    </row>
    <row r="3936" spans="1:12" ht="12" customHeight="1" x14ac:dyDescent="0.25">
      <c r="A3936" s="6">
        <v>44596</v>
      </c>
      <c r="B3936" s="1">
        <v>2200627</v>
      </c>
      <c r="C3936" s="5" t="s">
        <v>385</v>
      </c>
      <c r="D3936" s="5" t="str">
        <f>VLOOKUP(C3936,[1]master_data!$A$2:$E$495,2,FALSE)</f>
        <v>BATU ZELOID</v>
      </c>
      <c r="E3936" s="5">
        <v>1</v>
      </c>
      <c r="F3936" s="5">
        <f>VLOOKUP(C3936,[1]master_data!$A$2:$E$495,3,FALSE)</f>
        <v>25000</v>
      </c>
      <c r="G3936" s="5">
        <f>VLOOKUP(C3936,[1]master_data!$A$2:$E$495,4,FALSE)</f>
        <v>35000</v>
      </c>
      <c r="H3936" s="5">
        <f t="shared" si="189"/>
        <v>25000</v>
      </c>
      <c r="I3936" s="5">
        <f t="shared" si="190"/>
        <v>35000</v>
      </c>
      <c r="J3936" s="5">
        <f t="shared" si="191"/>
        <v>10000</v>
      </c>
      <c r="K3936" s="5" t="str">
        <f>VLOOKUP(C3936,[1]master_data!$A$2:$E$495,5,FALSE)</f>
        <v>Aksesoris</v>
      </c>
      <c r="L3936" s="5" t="s">
        <v>471</v>
      </c>
    </row>
    <row r="3937" spans="1:12" ht="12" customHeight="1" x14ac:dyDescent="0.25">
      <c r="A3937" s="6">
        <v>44596</v>
      </c>
      <c r="B3937" s="1">
        <v>2200626</v>
      </c>
      <c r="C3937" s="5" t="s">
        <v>383</v>
      </c>
      <c r="D3937" s="5" t="str">
        <f>VLOOKUP(C3937,[1]master_data!$A$2:$E$495,2,FALSE)</f>
        <v>BATU GOMBONG K</v>
      </c>
      <c r="E3937" s="5">
        <v>1</v>
      </c>
      <c r="F3937" s="5">
        <f>VLOOKUP(C3937,[1]master_data!$A$2:$E$495,3,FALSE)</f>
        <v>20000</v>
      </c>
      <c r="G3937" s="5">
        <f>VLOOKUP(C3937,[1]master_data!$A$2:$E$495,4,FALSE)</f>
        <v>40000</v>
      </c>
      <c r="H3937" s="5">
        <f t="shared" si="189"/>
        <v>20000</v>
      </c>
      <c r="I3937" s="5">
        <f t="shared" si="190"/>
        <v>40000</v>
      </c>
      <c r="J3937" s="5">
        <f t="shared" si="191"/>
        <v>20000</v>
      </c>
      <c r="K3937" s="5" t="str">
        <f>VLOOKUP(C3937,[1]master_data!$A$2:$E$495,5,FALSE)</f>
        <v>Aksesoris</v>
      </c>
      <c r="L3937" s="5" t="s">
        <v>471</v>
      </c>
    </row>
    <row r="3938" spans="1:12" ht="12" customHeight="1" x14ac:dyDescent="0.25">
      <c r="A3938" s="6">
        <v>44596</v>
      </c>
      <c r="B3938" s="1">
        <v>2200625</v>
      </c>
      <c r="C3938" s="5" t="s">
        <v>432</v>
      </c>
      <c r="D3938" s="5" t="str">
        <f>VLOOKUP(C3938,[1]master_data!$A$2:$E$495,2,FALSE)</f>
        <v>MARU K</v>
      </c>
      <c r="E3938" s="5">
        <v>2</v>
      </c>
      <c r="F3938" s="5">
        <f>VLOOKUP(C3938,[1]master_data!$A$2:$E$495,3,FALSE)</f>
        <v>23000</v>
      </c>
      <c r="G3938" s="5">
        <f>VLOOKUP(C3938,[1]master_data!$A$2:$E$495,4,FALSE)</f>
        <v>50000</v>
      </c>
      <c r="H3938" s="5">
        <f t="shared" si="189"/>
        <v>46000</v>
      </c>
      <c r="I3938" s="5">
        <f t="shared" si="190"/>
        <v>100000</v>
      </c>
      <c r="J3938" s="5">
        <f t="shared" si="191"/>
        <v>54000</v>
      </c>
      <c r="K3938" s="5" t="str">
        <f>VLOOKUP(C3938,[1]master_data!$A$2:$E$495,5,FALSE)</f>
        <v>Ikan</v>
      </c>
      <c r="L3938" s="5" t="s">
        <v>471</v>
      </c>
    </row>
    <row r="3939" spans="1:12" ht="12" customHeight="1" x14ac:dyDescent="0.25">
      <c r="A3939" s="6">
        <v>44596</v>
      </c>
      <c r="B3939" s="1">
        <v>2200624</v>
      </c>
      <c r="C3939" s="5" t="s">
        <v>400</v>
      </c>
      <c r="D3939" s="5" t="str">
        <f>VLOOKUP(C3939,[1]master_data!$A$2:$E$495,2,FALSE)</f>
        <v>BALA BALA K</v>
      </c>
      <c r="E3939" s="5">
        <v>2</v>
      </c>
      <c r="F3939" s="5">
        <f>VLOOKUP(C3939,[1]master_data!$A$2:$E$495,3,FALSE)</f>
        <v>4000</v>
      </c>
      <c r="G3939" s="5">
        <f>VLOOKUP(C3939,[1]master_data!$A$2:$E$495,4,FALSE)</f>
        <v>8000</v>
      </c>
      <c r="H3939" s="5">
        <f t="shared" si="189"/>
        <v>8000</v>
      </c>
      <c r="I3939" s="5">
        <f t="shared" si="190"/>
        <v>16000</v>
      </c>
      <c r="J3939" s="5">
        <f t="shared" si="191"/>
        <v>8000</v>
      </c>
      <c r="K3939" s="5" t="str">
        <f>VLOOKUP(C3939,[1]master_data!$A$2:$E$495,5,FALSE)</f>
        <v>Ikan</v>
      </c>
      <c r="L3939" s="5" t="s">
        <v>471</v>
      </c>
    </row>
    <row r="3940" spans="1:12" ht="12" customHeight="1" x14ac:dyDescent="0.25">
      <c r="A3940" s="6">
        <v>44596</v>
      </c>
      <c r="B3940" s="1">
        <v>2200623</v>
      </c>
      <c r="C3940" s="5" t="s">
        <v>399</v>
      </c>
      <c r="D3940" s="5" t="str">
        <f>VLOOKUP(C3940,[1]master_data!$A$2:$E$495,2,FALSE)</f>
        <v>BUENOS AIRES TETRA</v>
      </c>
      <c r="E3940" s="5">
        <v>10</v>
      </c>
      <c r="F3940" s="5">
        <f>VLOOKUP(C3940,[1]master_data!$A$2:$E$495,3,FALSE)</f>
        <v>800</v>
      </c>
      <c r="G3940" s="5">
        <f>VLOOKUP(C3940,[1]master_data!$A$2:$E$495,4,FALSE)</f>
        <v>2000</v>
      </c>
      <c r="H3940" s="5">
        <f t="shared" si="189"/>
        <v>8000</v>
      </c>
      <c r="I3940" s="5">
        <f t="shared" si="190"/>
        <v>20000</v>
      </c>
      <c r="J3940" s="5">
        <f t="shared" si="191"/>
        <v>12000</v>
      </c>
      <c r="K3940" s="5" t="str">
        <f>VLOOKUP(C3940,[1]master_data!$A$2:$E$495,5,FALSE)</f>
        <v>Ikan</v>
      </c>
      <c r="L3940" s="5" t="s">
        <v>471</v>
      </c>
    </row>
    <row r="3941" spans="1:12" ht="12" customHeight="1" x14ac:dyDescent="0.25">
      <c r="A3941" s="6">
        <v>44596</v>
      </c>
      <c r="B3941" s="1">
        <v>2200622</v>
      </c>
      <c r="C3941" s="5" t="s">
        <v>403</v>
      </c>
      <c r="D3941" s="5" t="str">
        <f>VLOOKUP(C3941,[1]master_data!$A$2:$E$495,2,FALSE)</f>
        <v>CHANNA BLUE PULCHRA K</v>
      </c>
      <c r="E3941" s="5">
        <v>1</v>
      </c>
      <c r="F3941" s="5">
        <f>VLOOKUP(C3941,[1]master_data!$A$2:$E$495,3,FALSE)</f>
        <v>25000</v>
      </c>
      <c r="G3941" s="5">
        <f>VLOOKUP(C3941,[1]master_data!$A$2:$E$495,4,FALSE)</f>
        <v>50000</v>
      </c>
      <c r="H3941" s="5">
        <f t="shared" si="189"/>
        <v>25000</v>
      </c>
      <c r="I3941" s="5">
        <f t="shared" si="190"/>
        <v>50000</v>
      </c>
      <c r="J3941" s="5">
        <f t="shared" si="191"/>
        <v>25000</v>
      </c>
      <c r="K3941" s="5" t="str">
        <f>VLOOKUP(C3941,[1]master_data!$A$2:$E$495,5,FALSE)</f>
        <v>Ikan</v>
      </c>
      <c r="L3941" s="5" t="s">
        <v>471</v>
      </c>
    </row>
    <row r="3942" spans="1:12" ht="12" customHeight="1" x14ac:dyDescent="0.25">
      <c r="A3942" s="6">
        <v>44596</v>
      </c>
      <c r="B3942" s="1">
        <v>2200621</v>
      </c>
      <c r="C3942" s="5" t="s">
        <v>256</v>
      </c>
      <c r="D3942" s="5" t="str">
        <f>VLOOKUP(C3942,[1]master_data!$A$2:$E$495,2,FALSE)</f>
        <v>BACKGROUND</v>
      </c>
      <c r="E3942" s="5">
        <v>1</v>
      </c>
      <c r="F3942" s="5">
        <f>VLOOKUP(C3942,[1]master_data!$A$2:$E$495,3,FALSE)</f>
        <v>8000</v>
      </c>
      <c r="G3942" s="5">
        <f>VLOOKUP(C3942,[1]master_data!$A$2:$E$495,4,FALSE)</f>
        <v>15000</v>
      </c>
      <c r="H3942" s="5">
        <f t="shared" si="189"/>
        <v>8000</v>
      </c>
      <c r="I3942" s="5">
        <f t="shared" si="190"/>
        <v>15000</v>
      </c>
      <c r="J3942" s="5">
        <f t="shared" si="191"/>
        <v>7000</v>
      </c>
      <c r="K3942" s="5" t="str">
        <f>VLOOKUP(C3942,[1]master_data!$A$2:$E$495,5,FALSE)</f>
        <v>Aksesoris</v>
      </c>
      <c r="L3942" s="5" t="s">
        <v>471</v>
      </c>
    </row>
    <row r="3943" spans="1:12" ht="12" customHeight="1" x14ac:dyDescent="0.25">
      <c r="A3943" s="6">
        <v>44596</v>
      </c>
      <c r="B3943" s="1">
        <v>2200620</v>
      </c>
      <c r="C3943" s="5" t="s">
        <v>430</v>
      </c>
      <c r="D3943" s="5" t="str">
        <f>VLOOKUP(C3943,[1]master_data!$A$2:$E$495,2,FALSE)</f>
        <v>MANFISH K</v>
      </c>
      <c r="E3943" s="5">
        <v>2</v>
      </c>
      <c r="F3943" s="5">
        <f>VLOOKUP(C3943,[1]master_data!$A$2:$E$495,3,FALSE)</f>
        <v>2000</v>
      </c>
      <c r="G3943" s="5">
        <f>VLOOKUP(C3943,[1]master_data!$A$2:$E$495,4,FALSE)</f>
        <v>5000</v>
      </c>
      <c r="H3943" s="5">
        <f t="shared" si="189"/>
        <v>4000</v>
      </c>
      <c r="I3943" s="5">
        <f t="shared" si="190"/>
        <v>10000</v>
      </c>
      <c r="J3943" s="5">
        <f t="shared" si="191"/>
        <v>6000</v>
      </c>
      <c r="K3943" s="5" t="str">
        <f>VLOOKUP(C3943,[1]master_data!$A$2:$E$495,5,FALSE)</f>
        <v>Ikan</v>
      </c>
      <c r="L3943" s="5" t="s">
        <v>471</v>
      </c>
    </row>
    <row r="3944" spans="1:12" ht="12" customHeight="1" x14ac:dyDescent="0.25">
      <c r="A3944" s="6">
        <v>44596</v>
      </c>
      <c r="B3944" s="1">
        <v>2200619</v>
      </c>
      <c r="C3944" s="5" t="s">
        <v>285</v>
      </c>
      <c r="D3944" s="5" t="str">
        <f>VLOOKUP(C3944,[1]master_data!$A$2:$E$495,2,FALSE)</f>
        <v>KAPAS 4 LAPIS</v>
      </c>
      <c r="E3944" s="5">
        <v>3</v>
      </c>
      <c r="F3944" s="5">
        <f>VLOOKUP(C3944,[1]master_data!$A$2:$E$495,3,FALSE)</f>
        <v>6500</v>
      </c>
      <c r="G3944" s="5">
        <f>VLOOKUP(C3944,[1]master_data!$A$2:$E$495,4,FALSE)</f>
        <v>10000</v>
      </c>
      <c r="H3944" s="5">
        <f t="shared" si="189"/>
        <v>19500</v>
      </c>
      <c r="I3944" s="5">
        <f t="shared" si="190"/>
        <v>30000</v>
      </c>
      <c r="J3944" s="5">
        <f t="shared" si="191"/>
        <v>10500</v>
      </c>
      <c r="K3944" s="5" t="str">
        <f>VLOOKUP(C3944,[1]master_data!$A$2:$E$495,5,FALSE)</f>
        <v>Aksesoris</v>
      </c>
      <c r="L3944" s="5" t="s">
        <v>471</v>
      </c>
    </row>
    <row r="3945" spans="1:12" ht="12" customHeight="1" x14ac:dyDescent="0.25">
      <c r="A3945" s="6">
        <v>44595</v>
      </c>
      <c r="B3945" s="1">
        <v>2200618</v>
      </c>
      <c r="C3945" s="5" t="s">
        <v>453</v>
      </c>
      <c r="D3945" s="5" t="str">
        <f>VLOOKUP(C3945,[1]master_data!$A$2:$E$495,2,FALSE)</f>
        <v>SYNODONTIS K</v>
      </c>
      <c r="E3945" s="5">
        <v>3</v>
      </c>
      <c r="F3945" s="5">
        <f>VLOOKUP(C3945,[1]master_data!$A$2:$E$495,3,FALSE)</f>
        <v>1500</v>
      </c>
      <c r="G3945" s="5">
        <f>VLOOKUP(C3945,[1]master_data!$A$2:$E$495,4,FALSE)</f>
        <v>5000</v>
      </c>
      <c r="H3945" s="5">
        <f t="shared" si="189"/>
        <v>4500</v>
      </c>
      <c r="I3945" s="5">
        <f t="shared" si="190"/>
        <v>15000</v>
      </c>
      <c r="J3945" s="5">
        <f t="shared" si="191"/>
        <v>10500</v>
      </c>
      <c r="K3945" s="5" t="str">
        <f>VLOOKUP(C3945,[1]master_data!$A$2:$E$495,5,FALSE)</f>
        <v>Ikan</v>
      </c>
      <c r="L3945" s="5" t="s">
        <v>471</v>
      </c>
    </row>
    <row r="3946" spans="1:12" ht="12" customHeight="1" x14ac:dyDescent="0.25">
      <c r="A3946" s="6">
        <v>44595</v>
      </c>
      <c r="B3946" s="1">
        <v>2200617</v>
      </c>
      <c r="C3946" s="5" t="s">
        <v>381</v>
      </c>
      <c r="D3946" s="5" t="str">
        <f>VLOOKUP(C3946,[1]master_data!$A$2:$E$495,2,FALSE)</f>
        <v>BATU WARNA FOSFOR K</v>
      </c>
      <c r="E3946" s="5">
        <v>1</v>
      </c>
      <c r="F3946" s="5">
        <f>VLOOKUP(C3946,[1]master_data!$A$2:$E$495,3,FALSE)</f>
        <v>5500</v>
      </c>
      <c r="G3946" s="5">
        <f>VLOOKUP(C3946,[1]master_data!$A$2:$E$495,4,FALSE)</f>
        <v>10000</v>
      </c>
      <c r="H3946" s="5">
        <f t="shared" si="189"/>
        <v>5500</v>
      </c>
      <c r="I3946" s="5">
        <f t="shared" si="190"/>
        <v>10000</v>
      </c>
      <c r="J3946" s="5">
        <f t="shared" si="191"/>
        <v>4500</v>
      </c>
      <c r="K3946" s="5" t="str">
        <f>VLOOKUP(C3946,[1]master_data!$A$2:$E$495,5,FALSE)</f>
        <v>Aksesoris</v>
      </c>
      <c r="L3946" s="5" t="s">
        <v>471</v>
      </c>
    </row>
    <row r="3947" spans="1:12" ht="12" customHeight="1" x14ac:dyDescent="0.25">
      <c r="A3947" s="6">
        <v>44595</v>
      </c>
      <c r="B3947" s="1">
        <v>2200616</v>
      </c>
      <c r="C3947" s="5" t="s">
        <v>432</v>
      </c>
      <c r="D3947" s="5" t="str">
        <f>VLOOKUP(C3947,[1]master_data!$A$2:$E$495,2,FALSE)</f>
        <v>MARU K</v>
      </c>
      <c r="E3947" s="5">
        <v>1</v>
      </c>
      <c r="F3947" s="5">
        <f>VLOOKUP(C3947,[1]master_data!$A$2:$E$495,3,FALSE)</f>
        <v>23000</v>
      </c>
      <c r="G3947" s="5">
        <f>VLOOKUP(C3947,[1]master_data!$A$2:$E$495,4,FALSE)</f>
        <v>50000</v>
      </c>
      <c r="H3947" s="5">
        <f t="shared" si="189"/>
        <v>23000</v>
      </c>
      <c r="I3947" s="5">
        <f t="shared" si="190"/>
        <v>50000</v>
      </c>
      <c r="J3947" s="5">
        <f t="shared" si="191"/>
        <v>27000</v>
      </c>
      <c r="K3947" s="5" t="str">
        <f>VLOOKUP(C3947,[1]master_data!$A$2:$E$495,5,FALSE)</f>
        <v>Ikan</v>
      </c>
      <c r="L3947" s="5" t="s">
        <v>471</v>
      </c>
    </row>
    <row r="3948" spans="1:12" ht="12" customHeight="1" x14ac:dyDescent="0.25">
      <c r="A3948" s="6">
        <v>44595</v>
      </c>
      <c r="B3948" s="1">
        <v>2200615</v>
      </c>
      <c r="C3948" s="5" t="s">
        <v>285</v>
      </c>
      <c r="D3948" s="5" t="str">
        <f>VLOOKUP(C3948,[1]master_data!$A$2:$E$495,2,FALSE)</f>
        <v>KAPAS 4 LAPIS</v>
      </c>
      <c r="E3948" s="5">
        <v>1</v>
      </c>
      <c r="F3948" s="5">
        <f>VLOOKUP(C3948,[1]master_data!$A$2:$E$495,3,FALSE)</f>
        <v>6500</v>
      </c>
      <c r="G3948" s="5">
        <f>VLOOKUP(C3948,[1]master_data!$A$2:$E$495,4,FALSE)</f>
        <v>10000</v>
      </c>
      <c r="H3948" s="5">
        <f t="shared" si="189"/>
        <v>6500</v>
      </c>
      <c r="I3948" s="5">
        <f t="shared" si="190"/>
        <v>10000</v>
      </c>
      <c r="J3948" s="5">
        <f t="shared" si="191"/>
        <v>3500</v>
      </c>
      <c r="K3948" s="5" t="str">
        <f>VLOOKUP(C3948,[1]master_data!$A$2:$E$495,5,FALSE)</f>
        <v>Aksesoris</v>
      </c>
      <c r="L3948" s="5" t="s">
        <v>471</v>
      </c>
    </row>
    <row r="3949" spans="1:12" ht="12" customHeight="1" x14ac:dyDescent="0.25">
      <c r="A3949" s="6">
        <v>44595</v>
      </c>
      <c r="B3949" s="1">
        <v>2200614</v>
      </c>
      <c r="C3949" s="5" t="s">
        <v>261</v>
      </c>
      <c r="D3949" s="5" t="str">
        <f>VLOOKUP(C3949,[1]master_data!$A$2:$E$495,2,FALSE)</f>
        <v>BONSAI</v>
      </c>
      <c r="E3949" s="5">
        <v>1</v>
      </c>
      <c r="F3949" s="5">
        <f>VLOOKUP(C3949,[1]master_data!$A$2:$E$495,3,FALSE)</f>
        <v>15000</v>
      </c>
      <c r="G3949" s="5">
        <f>VLOOKUP(C3949,[1]master_data!$A$2:$E$495,4,FALSE)</f>
        <v>20000</v>
      </c>
      <c r="H3949" s="5">
        <f t="shared" si="189"/>
        <v>15000</v>
      </c>
      <c r="I3949" s="5">
        <f t="shared" si="190"/>
        <v>20000</v>
      </c>
      <c r="J3949" s="5">
        <f t="shared" si="191"/>
        <v>5000</v>
      </c>
      <c r="K3949" s="5" t="str">
        <f>VLOOKUP(C3949,[1]master_data!$A$2:$E$495,5,FALSE)</f>
        <v>Aksesoris</v>
      </c>
      <c r="L3949" s="5" t="s">
        <v>471</v>
      </c>
    </row>
    <row r="3950" spans="1:12" ht="12" customHeight="1" x14ac:dyDescent="0.25">
      <c r="A3950" s="6">
        <v>44595</v>
      </c>
      <c r="B3950" s="1">
        <v>2200613</v>
      </c>
      <c r="C3950" s="5" t="s">
        <v>412</v>
      </c>
      <c r="D3950" s="5" t="str">
        <f>VLOOKUP(C3950,[1]master_data!$A$2:$E$495,2,FALSE)</f>
        <v>HIU TAWAR</v>
      </c>
      <c r="E3950" s="5">
        <v>5</v>
      </c>
      <c r="F3950" s="5">
        <f>VLOOKUP(C3950,[1]master_data!$A$2:$E$495,3,FALSE)</f>
        <v>600</v>
      </c>
      <c r="G3950" s="5">
        <f>VLOOKUP(C3950,[1]master_data!$A$2:$E$495,4,FALSE)</f>
        <v>2000</v>
      </c>
      <c r="H3950" s="5">
        <f t="shared" si="189"/>
        <v>3000</v>
      </c>
      <c r="I3950" s="5">
        <f t="shared" si="190"/>
        <v>10000</v>
      </c>
      <c r="J3950" s="5">
        <f t="shared" si="191"/>
        <v>7000</v>
      </c>
      <c r="K3950" s="5" t="str">
        <f>VLOOKUP(C3950,[1]master_data!$A$2:$E$495,5,FALSE)</f>
        <v>Ikan</v>
      </c>
      <c r="L3950" s="5" t="s">
        <v>471</v>
      </c>
    </row>
    <row r="3951" spans="1:12" ht="12" customHeight="1" x14ac:dyDescent="0.25">
      <c r="A3951" s="6">
        <v>44595</v>
      </c>
      <c r="B3951" s="1">
        <v>2200612</v>
      </c>
      <c r="C3951" s="5" t="s">
        <v>282</v>
      </c>
      <c r="D3951" s="5" t="str">
        <f>VLOOKUP(C3951,[1]master_data!$A$2:$E$495,2,FALSE)</f>
        <v>HIASAN KELAPA</v>
      </c>
      <c r="E3951" s="5">
        <v>1</v>
      </c>
      <c r="F3951" s="5">
        <f>VLOOKUP(C3951,[1]master_data!$A$2:$E$495,3,FALSE)</f>
        <v>8000</v>
      </c>
      <c r="G3951" s="5">
        <f>VLOOKUP(C3951,[1]master_data!$A$2:$E$495,4,FALSE)</f>
        <v>15000</v>
      </c>
      <c r="H3951" s="5">
        <f t="shared" si="189"/>
        <v>8000</v>
      </c>
      <c r="I3951" s="5">
        <f t="shared" si="190"/>
        <v>15000</v>
      </c>
      <c r="J3951" s="5">
        <f t="shared" si="191"/>
        <v>7000</v>
      </c>
      <c r="K3951" s="5" t="str">
        <f>VLOOKUP(C3951,[1]master_data!$A$2:$E$495,5,FALSE)</f>
        <v>Aksesoris</v>
      </c>
      <c r="L3951" s="5" t="s">
        <v>471</v>
      </c>
    </row>
    <row r="3952" spans="1:12" ht="12" customHeight="1" x14ac:dyDescent="0.25">
      <c r="A3952" s="6">
        <v>44595</v>
      </c>
      <c r="B3952" s="1">
        <v>2200611</v>
      </c>
      <c r="C3952" s="5" t="s">
        <v>351</v>
      </c>
      <c r="D3952" s="5" t="str">
        <f>VLOOKUP(C3952,[1]master_data!$A$2:$E$495,2,FALSE)</f>
        <v>AKUARIUM 60 ROBOT</v>
      </c>
      <c r="E3952" s="5">
        <v>1</v>
      </c>
      <c r="F3952" s="5">
        <f>VLOOKUP(C3952,[1]master_data!$A$2:$E$495,3,FALSE)</f>
        <v>150000</v>
      </c>
      <c r="G3952" s="5">
        <f>VLOOKUP(C3952,[1]master_data!$A$2:$E$495,4,FALSE)</f>
        <v>250000</v>
      </c>
      <c r="H3952" s="5">
        <f t="shared" si="189"/>
        <v>150000</v>
      </c>
      <c r="I3952" s="5">
        <f t="shared" si="190"/>
        <v>250000</v>
      </c>
      <c r="J3952" s="5">
        <f t="shared" si="191"/>
        <v>100000</v>
      </c>
      <c r="K3952" s="5" t="str">
        <f>VLOOKUP(C3952,[1]master_data!$A$2:$E$495,5,FALSE)</f>
        <v>Aksesoris</v>
      </c>
      <c r="L3952" s="5" t="s">
        <v>471</v>
      </c>
    </row>
    <row r="3953" spans="1:12" ht="12" customHeight="1" x14ac:dyDescent="0.25">
      <c r="A3953" s="6">
        <v>44595</v>
      </c>
      <c r="B3953" s="1">
        <v>2200610</v>
      </c>
      <c r="C3953" s="5" t="s">
        <v>418</v>
      </c>
      <c r="D3953" s="5" t="str">
        <f>VLOOKUP(C3953,[1]master_data!$A$2:$E$495,2,FALSE)</f>
        <v>KOI B</v>
      </c>
      <c r="E3953" s="5">
        <v>3</v>
      </c>
      <c r="F3953" s="5">
        <f>VLOOKUP(C3953,[1]master_data!$A$2:$E$495,3,FALSE)</f>
        <v>9000</v>
      </c>
      <c r="G3953" s="5">
        <f>VLOOKUP(C3953,[1]master_data!$A$2:$E$495,4,FALSE)</f>
        <v>30000</v>
      </c>
      <c r="H3953" s="5">
        <f t="shared" si="189"/>
        <v>27000</v>
      </c>
      <c r="I3953" s="5">
        <f t="shared" si="190"/>
        <v>90000</v>
      </c>
      <c r="J3953" s="5">
        <f t="shared" si="191"/>
        <v>63000</v>
      </c>
      <c r="K3953" s="5" t="str">
        <f>VLOOKUP(C3953,[1]master_data!$A$2:$E$495,5,FALSE)</f>
        <v>Ikan</v>
      </c>
      <c r="L3953" s="5" t="s">
        <v>471</v>
      </c>
    </row>
    <row r="3954" spans="1:12" ht="12" customHeight="1" x14ac:dyDescent="0.25">
      <c r="A3954" s="6">
        <v>44595</v>
      </c>
      <c r="B3954" s="1">
        <v>2200609</v>
      </c>
      <c r="C3954" s="5" t="s">
        <v>410</v>
      </c>
      <c r="D3954" s="5" t="str">
        <f>VLOOKUP(C3954,[1]master_data!$A$2:$E$495,2,FALSE)</f>
        <v>GUPY</v>
      </c>
      <c r="E3954" s="5">
        <v>10</v>
      </c>
      <c r="F3954" s="5">
        <f>VLOOKUP(C3954,[1]master_data!$A$2:$E$495,3,FALSE)</f>
        <v>1200</v>
      </c>
      <c r="G3954" s="5">
        <f>VLOOKUP(C3954,[1]master_data!$A$2:$E$495,4,FALSE)</f>
        <v>2500</v>
      </c>
      <c r="H3954" s="5">
        <f t="shared" si="189"/>
        <v>12000</v>
      </c>
      <c r="I3954" s="5">
        <f t="shared" si="190"/>
        <v>25000</v>
      </c>
      <c r="J3954" s="5">
        <f t="shared" si="191"/>
        <v>13000</v>
      </c>
      <c r="K3954" s="5" t="str">
        <f>VLOOKUP(C3954,[1]master_data!$A$2:$E$495,5,FALSE)</f>
        <v>Ikan</v>
      </c>
      <c r="L3954" s="5" t="s">
        <v>471</v>
      </c>
    </row>
    <row r="3955" spans="1:12" ht="12" customHeight="1" x14ac:dyDescent="0.25">
      <c r="A3955" s="6">
        <v>44595</v>
      </c>
      <c r="B3955" s="1">
        <v>2200608</v>
      </c>
      <c r="C3955" s="5" t="s">
        <v>415</v>
      </c>
      <c r="D3955" s="5" t="str">
        <f>VLOOKUP(C3955,[1]master_data!$A$2:$E$495,2,FALSE)</f>
        <v>KOKI B</v>
      </c>
      <c r="E3955" s="5">
        <v>2</v>
      </c>
      <c r="F3955" s="5">
        <f>VLOOKUP(C3955,[1]master_data!$A$2:$E$495,3,FALSE)</f>
        <v>20000</v>
      </c>
      <c r="G3955" s="5">
        <f>VLOOKUP(C3955,[1]master_data!$A$2:$E$495,4,FALSE)</f>
        <v>50000</v>
      </c>
      <c r="H3955" s="5">
        <f t="shared" si="189"/>
        <v>40000</v>
      </c>
      <c r="I3955" s="5">
        <f t="shared" si="190"/>
        <v>100000</v>
      </c>
      <c r="J3955" s="5">
        <f t="shared" si="191"/>
        <v>60000</v>
      </c>
      <c r="K3955" s="5" t="str">
        <f>VLOOKUP(C3955,[1]master_data!$A$2:$E$495,5,FALSE)</f>
        <v>Ikan</v>
      </c>
      <c r="L3955" s="5" t="s">
        <v>471</v>
      </c>
    </row>
    <row r="3956" spans="1:12" ht="12" customHeight="1" x14ac:dyDescent="0.25">
      <c r="A3956" s="6">
        <v>44595</v>
      </c>
      <c r="B3956" s="1">
        <v>2200607</v>
      </c>
      <c r="C3956" s="5" t="s">
        <v>233</v>
      </c>
      <c r="D3956" s="5" t="str">
        <f>VLOOKUP(C3956,[1]master_data!$A$2:$E$495,2,FALSE)</f>
        <v>FISH LOVE PAKAN</v>
      </c>
      <c r="E3956" s="5">
        <v>1</v>
      </c>
      <c r="F3956" s="5">
        <f>VLOOKUP(C3956,[1]master_data!$A$2:$E$495,3,FALSE)</f>
        <v>2500</v>
      </c>
      <c r="G3956" s="5">
        <f>VLOOKUP(C3956,[1]master_data!$A$2:$E$495,4,FALSE)</f>
        <v>5000</v>
      </c>
      <c r="H3956" s="5">
        <f t="shared" si="189"/>
        <v>2500</v>
      </c>
      <c r="I3956" s="5">
        <f t="shared" si="190"/>
        <v>5000</v>
      </c>
      <c r="J3956" s="5">
        <f t="shared" si="191"/>
        <v>2500</v>
      </c>
      <c r="K3956" s="5" t="str">
        <f>VLOOKUP(C3956,[1]master_data!$A$2:$E$495,5,FALSE)</f>
        <v>Aksesoris</v>
      </c>
      <c r="L3956" s="5" t="s">
        <v>471</v>
      </c>
    </row>
    <row r="3957" spans="1:12" ht="12" customHeight="1" x14ac:dyDescent="0.25">
      <c r="A3957" s="6">
        <v>44595</v>
      </c>
      <c r="B3957" s="1">
        <v>2200606</v>
      </c>
      <c r="C3957" s="5" t="s">
        <v>7</v>
      </c>
      <c r="D3957" s="5" t="str">
        <f>VLOOKUP(C3957,[1]master_data!$A$2:$E$495,2,FALSE)</f>
        <v>MESIN YANG 1600</v>
      </c>
      <c r="E3957" s="5">
        <v>1</v>
      </c>
      <c r="F3957" s="5">
        <f>VLOOKUP(C3957,[1]master_data!$A$2:$E$495,3,FALSE)</f>
        <v>64000</v>
      </c>
      <c r="G3957" s="5">
        <f>VLOOKUP(C3957,[1]master_data!$A$2:$E$495,4,FALSE)</f>
        <v>90000</v>
      </c>
      <c r="H3957" s="5">
        <f t="shared" si="189"/>
        <v>64000</v>
      </c>
      <c r="I3957" s="5">
        <f t="shared" si="190"/>
        <v>90000</v>
      </c>
      <c r="J3957" s="5">
        <f t="shared" si="191"/>
        <v>26000</v>
      </c>
      <c r="K3957" s="5" t="str">
        <f>VLOOKUP(C3957,[1]master_data!$A$2:$E$495,5,FALSE)</f>
        <v>Aksesoris</v>
      </c>
      <c r="L3957" s="5" t="s">
        <v>471</v>
      </c>
    </row>
    <row r="3958" spans="1:12" ht="12" customHeight="1" x14ac:dyDescent="0.25">
      <c r="A3958" s="6">
        <v>44595</v>
      </c>
      <c r="B3958" s="1">
        <v>2200605</v>
      </c>
      <c r="C3958" s="5" t="s">
        <v>390</v>
      </c>
      <c r="D3958" s="5" t="str">
        <f>VLOOKUP(C3958,[1]master_data!$A$2:$E$495,2,FALSE)</f>
        <v>CHANNA ASIATICA K</v>
      </c>
      <c r="E3958" s="5">
        <v>1</v>
      </c>
      <c r="F3958" s="5">
        <f>VLOOKUP(C3958,[1]master_data!$A$2:$E$495,3,FALSE)</f>
        <v>10000</v>
      </c>
      <c r="G3958" s="5">
        <f>VLOOKUP(C3958,[1]master_data!$A$2:$E$495,4,FALSE)</f>
        <v>40000</v>
      </c>
      <c r="H3958" s="5">
        <f t="shared" si="189"/>
        <v>10000</v>
      </c>
      <c r="I3958" s="5">
        <f t="shared" si="190"/>
        <v>40000</v>
      </c>
      <c r="J3958" s="5">
        <f t="shared" si="191"/>
        <v>30000</v>
      </c>
      <c r="K3958" s="5" t="str">
        <f>VLOOKUP(C3958,[1]master_data!$A$2:$E$495,5,FALSE)</f>
        <v>Ikan</v>
      </c>
      <c r="L3958" s="5" t="s">
        <v>471</v>
      </c>
    </row>
    <row r="3959" spans="1:12" ht="12" customHeight="1" x14ac:dyDescent="0.25">
      <c r="A3959" s="6">
        <v>44595</v>
      </c>
      <c r="B3959" s="1">
        <v>2200604</v>
      </c>
      <c r="C3959" s="5" t="s">
        <v>455</v>
      </c>
      <c r="D3959" s="5" t="str">
        <f>VLOOKUP(C3959,[1]master_data!$A$2:$E$495,2,FALSE)</f>
        <v>TETRA</v>
      </c>
      <c r="E3959" s="5">
        <v>10</v>
      </c>
      <c r="F3959" s="5">
        <f>VLOOKUP(C3959,[1]master_data!$A$2:$E$495,3,FALSE)</f>
        <v>800</v>
      </c>
      <c r="G3959" s="5">
        <f>VLOOKUP(C3959,[1]master_data!$A$2:$E$495,4,FALSE)</f>
        <v>2000</v>
      </c>
      <c r="H3959" s="5">
        <f t="shared" si="189"/>
        <v>8000</v>
      </c>
      <c r="I3959" s="5">
        <f t="shared" si="190"/>
        <v>20000</v>
      </c>
      <c r="J3959" s="5">
        <f t="shared" si="191"/>
        <v>12000</v>
      </c>
      <c r="K3959" s="5" t="str">
        <f>VLOOKUP(C3959,[1]master_data!$A$2:$E$495,5,FALSE)</f>
        <v>Ikan</v>
      </c>
      <c r="L3959" s="5" t="s">
        <v>471</v>
      </c>
    </row>
    <row r="3960" spans="1:12" ht="12" customHeight="1" x14ac:dyDescent="0.25">
      <c r="A3960" s="6">
        <v>44595</v>
      </c>
      <c r="B3960" s="1">
        <v>2200603</v>
      </c>
      <c r="C3960" s="5" t="s">
        <v>409</v>
      </c>
      <c r="D3960" s="5" t="str">
        <f>VLOOKUP(C3960,[1]master_data!$A$2:$E$495,2,FALSE)</f>
        <v>GOLD FISH</v>
      </c>
      <c r="E3960" s="5">
        <v>20</v>
      </c>
      <c r="F3960" s="5">
        <f>VLOOKUP(C3960,[1]master_data!$A$2:$E$495,3,FALSE)</f>
        <v>800</v>
      </c>
      <c r="G3960" s="5">
        <f>VLOOKUP(C3960,[1]master_data!$A$2:$E$495,4,FALSE)</f>
        <v>2000</v>
      </c>
      <c r="H3960" s="5">
        <f t="shared" si="189"/>
        <v>16000</v>
      </c>
      <c r="I3960" s="5">
        <f t="shared" si="190"/>
        <v>40000</v>
      </c>
      <c r="J3960" s="5">
        <f t="shared" si="191"/>
        <v>24000</v>
      </c>
      <c r="K3960" s="5" t="str">
        <f>VLOOKUP(C3960,[1]master_data!$A$2:$E$495,5,FALSE)</f>
        <v>Ikan</v>
      </c>
      <c r="L3960" s="5" t="s">
        <v>471</v>
      </c>
    </row>
    <row r="3961" spans="1:12" ht="12" customHeight="1" x14ac:dyDescent="0.25">
      <c r="A3961" s="6">
        <v>44595</v>
      </c>
      <c r="B3961" s="1">
        <v>2200602</v>
      </c>
      <c r="C3961" s="5" t="s">
        <v>233</v>
      </c>
      <c r="D3961" s="5" t="str">
        <f>VLOOKUP(C3961,[1]master_data!$A$2:$E$495,2,FALSE)</f>
        <v>FISH LOVE PAKAN</v>
      </c>
      <c r="E3961" s="5">
        <v>1</v>
      </c>
      <c r="F3961" s="5">
        <f>VLOOKUP(C3961,[1]master_data!$A$2:$E$495,3,FALSE)</f>
        <v>2500</v>
      </c>
      <c r="G3961" s="5">
        <f>VLOOKUP(C3961,[1]master_data!$A$2:$E$495,4,FALSE)</f>
        <v>5000</v>
      </c>
      <c r="H3961" s="5">
        <f t="shared" si="189"/>
        <v>2500</v>
      </c>
      <c r="I3961" s="5">
        <f t="shared" si="190"/>
        <v>5000</v>
      </c>
      <c r="J3961" s="5">
        <f t="shared" si="191"/>
        <v>2500</v>
      </c>
      <c r="K3961" s="5" t="str">
        <f>VLOOKUP(C3961,[1]master_data!$A$2:$E$495,5,FALSE)</f>
        <v>Aksesoris</v>
      </c>
      <c r="L3961" s="5" t="s">
        <v>471</v>
      </c>
    </row>
    <row r="3962" spans="1:12" ht="12" customHeight="1" x14ac:dyDescent="0.25">
      <c r="A3962" s="6">
        <v>44595</v>
      </c>
      <c r="B3962" s="1">
        <v>2200601</v>
      </c>
      <c r="C3962" s="5" t="s">
        <v>431</v>
      </c>
      <c r="D3962" s="5" t="str">
        <f>VLOOKUP(C3962,[1]master_data!$A$2:$E$495,2,FALSE)</f>
        <v>MANFISH B</v>
      </c>
      <c r="E3962" s="5">
        <v>1</v>
      </c>
      <c r="F3962" s="5">
        <f>VLOOKUP(C3962,[1]master_data!$A$2:$E$495,3,FALSE)</f>
        <v>4000</v>
      </c>
      <c r="G3962" s="5">
        <f>VLOOKUP(C3962,[1]master_data!$A$2:$E$495,4,FALSE)</f>
        <v>10000</v>
      </c>
      <c r="H3962" s="5">
        <f t="shared" si="189"/>
        <v>4000</v>
      </c>
      <c r="I3962" s="5">
        <f t="shared" si="190"/>
        <v>10000</v>
      </c>
      <c r="J3962" s="5">
        <f t="shared" si="191"/>
        <v>6000</v>
      </c>
      <c r="K3962" s="5" t="str">
        <f>VLOOKUP(C3962,[1]master_data!$A$2:$E$495,5,FALSE)</f>
        <v>Ikan</v>
      </c>
      <c r="L3962" s="5" t="s">
        <v>471</v>
      </c>
    </row>
    <row r="3963" spans="1:12" ht="12" customHeight="1" x14ac:dyDescent="0.25">
      <c r="A3963" s="6">
        <v>44595</v>
      </c>
      <c r="B3963" s="1">
        <v>2200600</v>
      </c>
      <c r="C3963" s="5" t="s">
        <v>462</v>
      </c>
      <c r="D3963" s="5" t="str">
        <f>VLOOKUP(C3963,[1]master_data!$A$2:$E$495,2,FALSE)</f>
        <v>SEPAT ALBINO</v>
      </c>
      <c r="E3963" s="5">
        <v>3</v>
      </c>
      <c r="F3963" s="5">
        <f>VLOOKUP(C3963,[1]master_data!$A$2:$E$495,3,FALSE)</f>
        <v>2000</v>
      </c>
      <c r="G3963" s="5">
        <f>VLOOKUP(C3963,[1]master_data!$A$2:$E$495,4,FALSE)</f>
        <v>5000</v>
      </c>
      <c r="H3963" s="5">
        <f t="shared" si="189"/>
        <v>6000</v>
      </c>
      <c r="I3963" s="5">
        <f t="shared" si="190"/>
        <v>15000</v>
      </c>
      <c r="J3963" s="5">
        <f t="shared" si="191"/>
        <v>9000</v>
      </c>
      <c r="K3963" s="5" t="str">
        <f>VLOOKUP(C3963,[1]master_data!$A$2:$E$495,5,FALSE)</f>
        <v>Ikan</v>
      </c>
      <c r="L3963" s="5" t="s">
        <v>471</v>
      </c>
    </row>
    <row r="3964" spans="1:12" ht="12" customHeight="1" x14ac:dyDescent="0.25">
      <c r="A3964" s="6">
        <v>44595</v>
      </c>
      <c r="B3964" s="1">
        <v>2200599</v>
      </c>
      <c r="C3964" s="5" t="s">
        <v>260</v>
      </c>
      <c r="D3964" s="5" t="str">
        <f>VLOOKUP(C3964,[1]master_data!$A$2:$E$495,2,FALSE)</f>
        <v>BUNGA K</v>
      </c>
      <c r="E3964" s="5">
        <v>1</v>
      </c>
      <c r="F3964" s="5">
        <f>VLOOKUP(C3964,[1]master_data!$A$2:$E$495,3,FALSE)</f>
        <v>2500</v>
      </c>
      <c r="G3964" s="5">
        <f>VLOOKUP(C3964,[1]master_data!$A$2:$E$495,4,FALSE)</f>
        <v>5000</v>
      </c>
      <c r="H3964" s="5">
        <f t="shared" si="189"/>
        <v>2500</v>
      </c>
      <c r="I3964" s="5">
        <f t="shared" si="190"/>
        <v>5000</v>
      </c>
      <c r="J3964" s="5">
        <f t="shared" si="191"/>
        <v>2500</v>
      </c>
      <c r="K3964" s="5" t="str">
        <f>VLOOKUP(C3964,[1]master_data!$A$2:$E$495,5,FALSE)</f>
        <v>Aksesoris</v>
      </c>
      <c r="L3964" s="5" t="s">
        <v>471</v>
      </c>
    </row>
    <row r="3965" spans="1:12" ht="12" customHeight="1" x14ac:dyDescent="0.25">
      <c r="A3965" s="6">
        <v>44595</v>
      </c>
      <c r="B3965" s="1">
        <v>2200598</v>
      </c>
      <c r="C3965" s="5" t="s">
        <v>260</v>
      </c>
      <c r="D3965" s="5" t="str">
        <f>VLOOKUP(C3965,[1]master_data!$A$2:$E$495,2,FALSE)</f>
        <v>BUNGA K</v>
      </c>
      <c r="E3965" s="5">
        <v>3</v>
      </c>
      <c r="F3965" s="5">
        <f>VLOOKUP(C3965,[1]master_data!$A$2:$E$495,3,FALSE)</f>
        <v>2500</v>
      </c>
      <c r="G3965" s="5">
        <f>VLOOKUP(C3965,[1]master_data!$A$2:$E$495,4,FALSE)</f>
        <v>5000</v>
      </c>
      <c r="H3965" s="5">
        <f t="shared" si="189"/>
        <v>7500</v>
      </c>
      <c r="I3965" s="5">
        <f t="shared" si="190"/>
        <v>15000</v>
      </c>
      <c r="J3965" s="5">
        <f t="shared" si="191"/>
        <v>7500</v>
      </c>
      <c r="K3965" s="5" t="str">
        <f>VLOOKUP(C3965,[1]master_data!$A$2:$E$495,5,FALSE)</f>
        <v>Aksesoris</v>
      </c>
      <c r="L3965" s="5" t="s">
        <v>471</v>
      </c>
    </row>
    <row r="3966" spans="1:12" ht="12" customHeight="1" x14ac:dyDescent="0.25">
      <c r="A3966" s="6">
        <v>44595</v>
      </c>
      <c r="B3966" s="1">
        <v>2200597</v>
      </c>
      <c r="C3966" s="5" t="s">
        <v>456</v>
      </c>
      <c r="D3966" s="5" t="str">
        <f>VLOOKUP(C3966,[1]master_data!$A$2:$E$495,2,FALSE)</f>
        <v>TOMAN</v>
      </c>
      <c r="E3966" s="5">
        <v>1</v>
      </c>
      <c r="F3966" s="5">
        <f>VLOOKUP(C3966,[1]master_data!$A$2:$E$495,3,FALSE)</f>
        <v>10000</v>
      </c>
      <c r="G3966" s="5">
        <f>VLOOKUP(C3966,[1]master_data!$A$2:$E$495,4,FALSE)</f>
        <v>25000</v>
      </c>
      <c r="H3966" s="5">
        <f t="shared" si="189"/>
        <v>10000</v>
      </c>
      <c r="I3966" s="5">
        <f t="shared" si="190"/>
        <v>25000</v>
      </c>
      <c r="J3966" s="5">
        <f t="shared" si="191"/>
        <v>15000</v>
      </c>
      <c r="K3966" s="5" t="str">
        <f>VLOOKUP(C3966,[1]master_data!$A$2:$E$495,5,FALSE)</f>
        <v>Ikan</v>
      </c>
      <c r="L3966" s="5" t="s">
        <v>471</v>
      </c>
    </row>
    <row r="3967" spans="1:12" ht="12" customHeight="1" x14ac:dyDescent="0.25">
      <c r="A3967" s="6">
        <v>44595</v>
      </c>
      <c r="B3967" s="1">
        <v>2200596</v>
      </c>
      <c r="C3967" s="5" t="s">
        <v>328</v>
      </c>
      <c r="D3967" s="5" t="str">
        <f>VLOOKUP(C3967,[1]master_data!$A$2:$E$495,2,FALSE)</f>
        <v>AIRSONE PUTIH</v>
      </c>
      <c r="E3967" s="5">
        <v>1</v>
      </c>
      <c r="F3967" s="5">
        <f>VLOOKUP(C3967,[1]master_data!$A$2:$E$495,3,FALSE)</f>
        <v>3000</v>
      </c>
      <c r="G3967" s="5">
        <f>VLOOKUP(C3967,[1]master_data!$A$2:$E$495,4,FALSE)</f>
        <v>5000</v>
      </c>
      <c r="H3967" s="5">
        <f t="shared" si="189"/>
        <v>3000</v>
      </c>
      <c r="I3967" s="5">
        <f t="shared" si="190"/>
        <v>5000</v>
      </c>
      <c r="J3967" s="5">
        <f t="shared" si="191"/>
        <v>2000</v>
      </c>
      <c r="K3967" s="5" t="str">
        <f>VLOOKUP(C3967,[1]master_data!$A$2:$E$495,5,FALSE)</f>
        <v>Aksesoris</v>
      </c>
      <c r="L3967" s="5" t="s">
        <v>471</v>
      </c>
    </row>
    <row r="3968" spans="1:12" ht="12" customHeight="1" x14ac:dyDescent="0.25">
      <c r="A3968" s="6">
        <v>44594</v>
      </c>
      <c r="B3968" s="1">
        <v>2200595</v>
      </c>
      <c r="C3968" s="5" t="s">
        <v>411</v>
      </c>
      <c r="D3968" s="5" t="str">
        <f>VLOOKUP(C3968,[1]master_data!$A$2:$E$495,2,FALSE)</f>
        <v>GOLDEN BLACK</v>
      </c>
      <c r="E3968" s="5">
        <v>4</v>
      </c>
      <c r="F3968" s="5">
        <f>VLOOKUP(C3968,[1]master_data!$A$2:$E$495,3,FALSE)</f>
        <v>800</v>
      </c>
      <c r="G3968" s="5">
        <f>VLOOKUP(C3968,[1]master_data!$A$2:$E$495,4,FALSE)</f>
        <v>2000</v>
      </c>
      <c r="H3968" s="5">
        <f t="shared" si="189"/>
        <v>3200</v>
      </c>
      <c r="I3968" s="5">
        <f t="shared" si="190"/>
        <v>8000</v>
      </c>
      <c r="J3968" s="5">
        <f t="shared" si="191"/>
        <v>4800</v>
      </c>
      <c r="K3968" s="5" t="str">
        <f>VLOOKUP(C3968,[1]master_data!$A$2:$E$495,5,FALSE)</f>
        <v>Ikan</v>
      </c>
      <c r="L3968" s="5" t="s">
        <v>471</v>
      </c>
    </row>
    <row r="3969" spans="1:12" ht="12" customHeight="1" x14ac:dyDescent="0.25">
      <c r="A3969" s="6">
        <v>44594</v>
      </c>
      <c r="B3969" s="1">
        <v>2200594</v>
      </c>
      <c r="C3969" s="5" t="s">
        <v>453</v>
      </c>
      <c r="D3969" s="5" t="str">
        <f>VLOOKUP(C3969,[1]master_data!$A$2:$E$495,2,FALSE)</f>
        <v>SYNODONTIS K</v>
      </c>
      <c r="E3969" s="5">
        <v>1</v>
      </c>
      <c r="F3969" s="5">
        <f>VLOOKUP(C3969,[1]master_data!$A$2:$E$495,3,FALSE)</f>
        <v>1500</v>
      </c>
      <c r="G3969" s="5">
        <f>VLOOKUP(C3969,[1]master_data!$A$2:$E$495,4,FALSE)</f>
        <v>5000</v>
      </c>
      <c r="H3969" s="5">
        <f t="shared" si="189"/>
        <v>1500</v>
      </c>
      <c r="I3969" s="5">
        <f t="shared" si="190"/>
        <v>5000</v>
      </c>
      <c r="J3969" s="5">
        <f t="shared" si="191"/>
        <v>3500</v>
      </c>
      <c r="K3969" s="5" t="str">
        <f>VLOOKUP(C3969,[1]master_data!$A$2:$E$495,5,FALSE)</f>
        <v>Ikan</v>
      </c>
      <c r="L3969" s="5" t="s">
        <v>471</v>
      </c>
    </row>
    <row r="3970" spans="1:12" ht="12" customHeight="1" x14ac:dyDescent="0.25">
      <c r="A3970" s="6">
        <v>44594</v>
      </c>
      <c r="B3970" s="1">
        <v>2200593</v>
      </c>
      <c r="C3970" s="5" t="s">
        <v>419</v>
      </c>
      <c r="D3970" s="5" t="str">
        <f>VLOOKUP(C3970,[1]master_data!$A$2:$E$495,2,FALSE)</f>
        <v>KURA - KURA</v>
      </c>
      <c r="E3970" s="5">
        <v>1</v>
      </c>
      <c r="F3970" s="5">
        <f>VLOOKUP(C3970,[1]master_data!$A$2:$E$495,3,FALSE)</f>
        <v>25000</v>
      </c>
      <c r="G3970" s="5">
        <f>VLOOKUP(C3970,[1]master_data!$A$2:$E$495,4,FALSE)</f>
        <v>35000</v>
      </c>
      <c r="H3970" s="5">
        <f t="shared" si="189"/>
        <v>25000</v>
      </c>
      <c r="I3970" s="5">
        <f t="shared" si="190"/>
        <v>35000</v>
      </c>
      <c r="J3970" s="5">
        <f t="shared" si="191"/>
        <v>10000</v>
      </c>
      <c r="K3970" s="5" t="str">
        <f>VLOOKUP(C3970,[1]master_data!$A$2:$E$495,5,FALSE)</f>
        <v>Ikan</v>
      </c>
      <c r="L3970" s="5" t="s">
        <v>471</v>
      </c>
    </row>
    <row r="3971" spans="1:12" ht="12" customHeight="1" x14ac:dyDescent="0.25">
      <c r="A3971" s="6">
        <v>44594</v>
      </c>
      <c r="B3971" s="1">
        <v>2200592</v>
      </c>
      <c r="C3971" s="5" t="s">
        <v>233</v>
      </c>
      <c r="D3971" s="5" t="str">
        <f>VLOOKUP(C3971,[1]master_data!$A$2:$E$495,2,FALSE)</f>
        <v>FISH LOVE PAKAN</v>
      </c>
      <c r="E3971" s="5">
        <v>1</v>
      </c>
      <c r="F3971" s="5">
        <f>VLOOKUP(C3971,[1]master_data!$A$2:$E$495,3,FALSE)</f>
        <v>2500</v>
      </c>
      <c r="G3971" s="5">
        <f>VLOOKUP(C3971,[1]master_data!$A$2:$E$495,4,FALSE)</f>
        <v>5000</v>
      </c>
      <c r="H3971" s="5">
        <f t="shared" si="189"/>
        <v>2500</v>
      </c>
      <c r="I3971" s="5">
        <f t="shared" si="190"/>
        <v>5000</v>
      </c>
      <c r="J3971" s="5">
        <f t="shared" si="191"/>
        <v>2500</v>
      </c>
      <c r="K3971" s="5" t="str">
        <f>VLOOKUP(C3971,[1]master_data!$A$2:$E$495,5,FALSE)</f>
        <v>Aksesoris</v>
      </c>
      <c r="L3971" s="5" t="s">
        <v>471</v>
      </c>
    </row>
    <row r="3972" spans="1:12" ht="12" customHeight="1" x14ac:dyDescent="0.25">
      <c r="A3972" s="6">
        <v>44594</v>
      </c>
      <c r="B3972" s="1">
        <v>2200591</v>
      </c>
      <c r="C3972" s="5" t="s">
        <v>399</v>
      </c>
      <c r="D3972" s="5" t="str">
        <f>VLOOKUP(C3972,[1]master_data!$A$2:$E$495,2,FALSE)</f>
        <v>BUENOS AIRES TETRA</v>
      </c>
      <c r="E3972" s="5">
        <v>10</v>
      </c>
      <c r="F3972" s="5">
        <f>VLOOKUP(C3972,[1]master_data!$A$2:$E$495,3,FALSE)</f>
        <v>800</v>
      </c>
      <c r="G3972" s="5">
        <f>VLOOKUP(C3972,[1]master_data!$A$2:$E$495,4,FALSE)</f>
        <v>2000</v>
      </c>
      <c r="H3972" s="5">
        <f t="shared" si="189"/>
        <v>8000</v>
      </c>
      <c r="I3972" s="5">
        <f t="shared" si="190"/>
        <v>20000</v>
      </c>
      <c r="J3972" s="5">
        <f t="shared" si="191"/>
        <v>12000</v>
      </c>
      <c r="K3972" s="5" t="str">
        <f>VLOOKUP(C3972,[1]master_data!$A$2:$E$495,5,FALSE)</f>
        <v>Ikan</v>
      </c>
      <c r="L3972" s="5" t="s">
        <v>471</v>
      </c>
    </row>
    <row r="3973" spans="1:12" ht="12" customHeight="1" x14ac:dyDescent="0.25">
      <c r="A3973" s="6">
        <v>44594</v>
      </c>
      <c r="B3973" s="1">
        <v>2200590</v>
      </c>
      <c r="C3973" s="5" t="s">
        <v>425</v>
      </c>
      <c r="D3973" s="5" t="str">
        <f>VLOOKUP(C3973,[1]master_data!$A$2:$E$495,2,FALSE)</f>
        <v>CAROLINE</v>
      </c>
      <c r="E3973" s="5">
        <v>10</v>
      </c>
      <c r="F3973" s="5">
        <f>VLOOKUP(C3973,[1]master_data!$A$2:$E$495,3,FALSE)</f>
        <v>900</v>
      </c>
      <c r="G3973" s="5">
        <f>VLOOKUP(C3973,[1]master_data!$A$2:$E$495,4,FALSE)</f>
        <v>2000</v>
      </c>
      <c r="H3973" s="5">
        <f t="shared" ref="H3973:H4036" si="192">E3973*F3973</f>
        <v>9000</v>
      </c>
      <c r="I3973" s="5">
        <f t="shared" ref="I3973:I4036" si="193">E3973*G3973</f>
        <v>20000</v>
      </c>
      <c r="J3973" s="5">
        <f t="shared" ref="J3973:J4036" si="194">I3973-H3973</f>
        <v>11000</v>
      </c>
      <c r="K3973" s="5" t="str">
        <f>VLOOKUP(C3973,[1]master_data!$A$2:$E$495,5,FALSE)</f>
        <v>Ikan</v>
      </c>
      <c r="L3973" s="5" t="s">
        <v>471</v>
      </c>
    </row>
    <row r="3974" spans="1:12" ht="12" customHeight="1" x14ac:dyDescent="0.25">
      <c r="A3974" s="6">
        <v>44594</v>
      </c>
      <c r="B3974" s="1">
        <v>2200589</v>
      </c>
      <c r="C3974" s="5" t="s">
        <v>310</v>
      </c>
      <c r="D3974" s="5" t="str">
        <f>VLOOKUP(C3974,[1]master_data!$A$2:$E$495,2,FALSE)</f>
        <v>SELANG FUSO</v>
      </c>
      <c r="E3974" s="5">
        <v>15</v>
      </c>
      <c r="F3974" s="5">
        <f>VLOOKUP(C3974,[1]master_data!$A$2:$E$495,3,FALSE)</f>
        <v>800</v>
      </c>
      <c r="G3974" s="5">
        <f>VLOOKUP(C3974,[1]master_data!$A$2:$E$495,4,FALSE)</f>
        <v>2000</v>
      </c>
      <c r="H3974" s="5">
        <f t="shared" si="192"/>
        <v>12000</v>
      </c>
      <c r="I3974" s="5">
        <f t="shared" si="193"/>
        <v>30000</v>
      </c>
      <c r="J3974" s="5">
        <f t="shared" si="194"/>
        <v>18000</v>
      </c>
      <c r="K3974" s="5" t="str">
        <f>VLOOKUP(C3974,[1]master_data!$A$2:$E$495,5,FALSE)</f>
        <v>Aksesoris</v>
      </c>
      <c r="L3974" s="5" t="s">
        <v>471</v>
      </c>
    </row>
    <row r="3975" spans="1:12" ht="12" customHeight="1" x14ac:dyDescent="0.25">
      <c r="A3975" s="6">
        <v>44594</v>
      </c>
      <c r="B3975" s="1">
        <v>2200588</v>
      </c>
      <c r="C3975" s="5" t="s">
        <v>432</v>
      </c>
      <c r="D3975" s="5" t="str">
        <f>VLOOKUP(C3975,[1]master_data!$A$2:$E$495,2,FALSE)</f>
        <v>MARU K</v>
      </c>
      <c r="E3975" s="5">
        <v>3</v>
      </c>
      <c r="F3975" s="5">
        <f>VLOOKUP(C3975,[1]master_data!$A$2:$E$495,3,FALSE)</f>
        <v>23000</v>
      </c>
      <c r="G3975" s="5">
        <f>VLOOKUP(C3975,[1]master_data!$A$2:$E$495,4,FALSE)</f>
        <v>50000</v>
      </c>
      <c r="H3975" s="5">
        <f t="shared" si="192"/>
        <v>69000</v>
      </c>
      <c r="I3975" s="5">
        <f t="shared" si="193"/>
        <v>150000</v>
      </c>
      <c r="J3975" s="5">
        <f t="shared" si="194"/>
        <v>81000</v>
      </c>
      <c r="K3975" s="5" t="str">
        <f>VLOOKUP(C3975,[1]master_data!$A$2:$E$495,5,FALSE)</f>
        <v>Ikan</v>
      </c>
      <c r="L3975" s="5" t="s">
        <v>471</v>
      </c>
    </row>
    <row r="3976" spans="1:12" ht="12" customHeight="1" x14ac:dyDescent="0.25">
      <c r="A3976" s="6">
        <v>44594</v>
      </c>
      <c r="B3976" s="1">
        <v>2200587</v>
      </c>
      <c r="C3976" s="5" t="s">
        <v>413</v>
      </c>
      <c r="D3976" s="5" t="str">
        <f>VLOOKUP(C3976,[1]master_data!$A$2:$E$495,2,FALSE)</f>
        <v>KOKI K</v>
      </c>
      <c r="E3976" s="5">
        <v>4</v>
      </c>
      <c r="F3976" s="5">
        <f>VLOOKUP(C3976,[1]master_data!$A$2:$E$495,3,FALSE)</f>
        <v>3500</v>
      </c>
      <c r="G3976" s="5">
        <f>VLOOKUP(C3976,[1]master_data!$A$2:$E$495,4,FALSE)</f>
        <v>10000</v>
      </c>
      <c r="H3976" s="5">
        <f t="shared" si="192"/>
        <v>14000</v>
      </c>
      <c r="I3976" s="5">
        <f t="shared" si="193"/>
        <v>40000</v>
      </c>
      <c r="J3976" s="5">
        <f t="shared" si="194"/>
        <v>26000</v>
      </c>
      <c r="K3976" s="5" t="str">
        <f>VLOOKUP(C3976,[1]master_data!$A$2:$E$495,5,FALSE)</f>
        <v>Ikan</v>
      </c>
      <c r="L3976" s="5" t="s">
        <v>471</v>
      </c>
    </row>
    <row r="3977" spans="1:12" ht="12" customHeight="1" x14ac:dyDescent="0.25">
      <c r="A3977" s="6">
        <v>44594</v>
      </c>
      <c r="B3977" s="1">
        <v>2200586</v>
      </c>
      <c r="C3977" s="5" t="s">
        <v>427</v>
      </c>
      <c r="D3977" s="5" t="str">
        <f>VLOOKUP(C3977,[1]master_data!$A$2:$E$495,2,FALSE)</f>
        <v>LEMON</v>
      </c>
      <c r="E3977" s="5">
        <v>10</v>
      </c>
      <c r="F3977" s="5">
        <f>VLOOKUP(C3977,[1]master_data!$A$2:$E$495,3,FALSE)</f>
        <v>1000</v>
      </c>
      <c r="G3977" s="5">
        <f>VLOOKUP(C3977,[1]master_data!$A$2:$E$495,4,FALSE)</f>
        <v>2000</v>
      </c>
      <c r="H3977" s="5">
        <f t="shared" si="192"/>
        <v>10000</v>
      </c>
      <c r="I3977" s="5">
        <f t="shared" si="193"/>
        <v>20000</v>
      </c>
      <c r="J3977" s="5">
        <f t="shared" si="194"/>
        <v>10000</v>
      </c>
      <c r="K3977" s="5" t="str">
        <f>VLOOKUP(C3977,[1]master_data!$A$2:$E$495,5,FALSE)</f>
        <v>Ikan</v>
      </c>
      <c r="L3977" s="5" t="s">
        <v>471</v>
      </c>
    </row>
    <row r="3978" spans="1:12" ht="12" customHeight="1" x14ac:dyDescent="0.25">
      <c r="A3978" s="6">
        <v>44594</v>
      </c>
      <c r="B3978" s="1">
        <v>2200585</v>
      </c>
      <c r="C3978" s="5" t="s">
        <v>377</v>
      </c>
      <c r="D3978" s="5" t="str">
        <f>VLOOKUP(C3978,[1]master_data!$A$2:$E$495,2,FALSE)</f>
        <v>PASIR BALI</v>
      </c>
      <c r="E3978" s="5">
        <v>1</v>
      </c>
      <c r="F3978" s="5">
        <f>VLOOKUP(C3978,[1]master_data!$A$2:$E$495,3,FALSE)</f>
        <v>5000</v>
      </c>
      <c r="G3978" s="5">
        <f>VLOOKUP(C3978,[1]master_data!$A$2:$E$495,4,FALSE)</f>
        <v>10000</v>
      </c>
      <c r="H3978" s="5">
        <f t="shared" si="192"/>
        <v>5000</v>
      </c>
      <c r="I3978" s="5">
        <f t="shared" si="193"/>
        <v>10000</v>
      </c>
      <c r="J3978" s="5">
        <f t="shared" si="194"/>
        <v>5000</v>
      </c>
      <c r="K3978" s="5" t="str">
        <f>VLOOKUP(C3978,[1]master_data!$A$2:$E$495,5,FALSE)</f>
        <v>Aksesoris</v>
      </c>
      <c r="L3978" s="5" t="s">
        <v>471</v>
      </c>
    </row>
    <row r="3979" spans="1:12" ht="12" customHeight="1" x14ac:dyDescent="0.25">
      <c r="A3979" s="6">
        <v>44594</v>
      </c>
      <c r="B3979" s="1">
        <v>2200584</v>
      </c>
      <c r="C3979" s="5" t="s">
        <v>455</v>
      </c>
      <c r="D3979" s="5" t="str">
        <f>VLOOKUP(C3979,[1]master_data!$A$2:$E$495,2,FALSE)</f>
        <v>TETRA</v>
      </c>
      <c r="E3979" s="5">
        <v>5</v>
      </c>
      <c r="F3979" s="5">
        <f>VLOOKUP(C3979,[1]master_data!$A$2:$E$495,3,FALSE)</f>
        <v>800</v>
      </c>
      <c r="G3979" s="5">
        <f>VLOOKUP(C3979,[1]master_data!$A$2:$E$495,4,FALSE)</f>
        <v>2000</v>
      </c>
      <c r="H3979" s="5">
        <f t="shared" si="192"/>
        <v>4000</v>
      </c>
      <c r="I3979" s="5">
        <f t="shared" si="193"/>
        <v>10000</v>
      </c>
      <c r="J3979" s="5">
        <f t="shared" si="194"/>
        <v>6000</v>
      </c>
      <c r="K3979" s="5" t="str">
        <f>VLOOKUP(C3979,[1]master_data!$A$2:$E$495,5,FALSE)</f>
        <v>Ikan</v>
      </c>
      <c r="L3979" s="5" t="s">
        <v>471</v>
      </c>
    </row>
    <row r="3980" spans="1:12" ht="12" customHeight="1" x14ac:dyDescent="0.25">
      <c r="A3980" s="6">
        <v>44594</v>
      </c>
      <c r="B3980" s="1">
        <v>2200583</v>
      </c>
      <c r="C3980" s="5" t="s">
        <v>401</v>
      </c>
      <c r="D3980" s="5" t="str">
        <f>VLOOKUP(C3980,[1]master_data!$A$2:$E$495,2,FALSE)</f>
        <v>BALA BALA B</v>
      </c>
      <c r="E3980" s="5">
        <v>2</v>
      </c>
      <c r="F3980" s="5">
        <f>VLOOKUP(C3980,[1]master_data!$A$2:$E$495,3,FALSE)</f>
        <v>7000</v>
      </c>
      <c r="G3980" s="5">
        <f>VLOOKUP(C3980,[1]master_data!$A$2:$E$495,4,FALSE)</f>
        <v>15000</v>
      </c>
      <c r="H3980" s="5">
        <f t="shared" si="192"/>
        <v>14000</v>
      </c>
      <c r="I3980" s="5">
        <f t="shared" si="193"/>
        <v>30000</v>
      </c>
      <c r="J3980" s="5">
        <f t="shared" si="194"/>
        <v>16000</v>
      </c>
      <c r="K3980" s="5" t="str">
        <f>VLOOKUP(C3980,[1]master_data!$A$2:$E$495,5,FALSE)</f>
        <v>Ikan</v>
      </c>
      <c r="L3980" s="5" t="s">
        <v>471</v>
      </c>
    </row>
    <row r="3981" spans="1:12" ht="12" customHeight="1" x14ac:dyDescent="0.25">
      <c r="A3981" s="6">
        <v>44594</v>
      </c>
      <c r="B3981" s="1">
        <v>2200582</v>
      </c>
      <c r="C3981" s="5" t="s">
        <v>377</v>
      </c>
      <c r="D3981" s="5" t="str">
        <f>VLOOKUP(C3981,[1]master_data!$A$2:$E$495,2,FALSE)</f>
        <v>PASIR BALI</v>
      </c>
      <c r="E3981" s="5">
        <v>1</v>
      </c>
      <c r="F3981" s="5">
        <f>VLOOKUP(C3981,[1]master_data!$A$2:$E$495,3,FALSE)</f>
        <v>5000</v>
      </c>
      <c r="G3981" s="5">
        <f>VLOOKUP(C3981,[1]master_data!$A$2:$E$495,4,FALSE)</f>
        <v>10000</v>
      </c>
      <c r="H3981" s="5">
        <f t="shared" si="192"/>
        <v>5000</v>
      </c>
      <c r="I3981" s="5">
        <f t="shared" si="193"/>
        <v>10000</v>
      </c>
      <c r="J3981" s="5">
        <f t="shared" si="194"/>
        <v>5000</v>
      </c>
      <c r="K3981" s="5" t="str">
        <f>VLOOKUP(C3981,[1]master_data!$A$2:$E$495,5,FALSE)</f>
        <v>Aksesoris</v>
      </c>
      <c r="L3981" s="5" t="s">
        <v>471</v>
      </c>
    </row>
    <row r="3982" spans="1:12" ht="12" customHeight="1" x14ac:dyDescent="0.25">
      <c r="A3982" s="6">
        <v>44594</v>
      </c>
      <c r="B3982" s="1">
        <v>2200581</v>
      </c>
      <c r="C3982" s="5" t="s">
        <v>311</v>
      </c>
      <c r="D3982" s="5" t="str">
        <f>VLOOKUP(C3982,[1]master_data!$A$2:$E$495,2,FALSE)</f>
        <v>L PIPA</v>
      </c>
      <c r="E3982" s="5">
        <v>10</v>
      </c>
      <c r="F3982" s="5">
        <f>VLOOKUP(C3982,[1]master_data!$A$2:$E$495,3,FALSE)</f>
        <v>800</v>
      </c>
      <c r="G3982" s="5">
        <f>VLOOKUP(C3982,[1]master_data!$A$2:$E$495,4,FALSE)</f>
        <v>2000</v>
      </c>
      <c r="H3982" s="5">
        <f t="shared" si="192"/>
        <v>8000</v>
      </c>
      <c r="I3982" s="5">
        <f t="shared" si="193"/>
        <v>20000</v>
      </c>
      <c r="J3982" s="5">
        <f t="shared" si="194"/>
        <v>12000</v>
      </c>
      <c r="K3982" s="5" t="str">
        <f>VLOOKUP(C3982,[1]master_data!$A$2:$E$495,5,FALSE)</f>
        <v>Aksesoris</v>
      </c>
      <c r="L3982" s="5" t="s">
        <v>471</v>
      </c>
    </row>
    <row r="3983" spans="1:12" ht="12" customHeight="1" x14ac:dyDescent="0.25">
      <c r="A3983" s="6">
        <v>44594</v>
      </c>
      <c r="B3983" s="1">
        <v>2200580</v>
      </c>
      <c r="C3983" s="5" t="s">
        <v>376</v>
      </c>
      <c r="D3983" s="5" t="str">
        <f>VLOOKUP(C3983,[1]master_data!$A$2:$E$495,2,FALSE)</f>
        <v>PASIR MEARAH B</v>
      </c>
      <c r="E3983" s="5">
        <v>1</v>
      </c>
      <c r="F3983" s="5">
        <f>VLOOKUP(C3983,[1]master_data!$A$2:$E$495,3,FALSE)</f>
        <v>8000</v>
      </c>
      <c r="G3983" s="5">
        <f>VLOOKUP(C3983,[1]master_data!$A$2:$E$495,4,FALSE)</f>
        <v>25000</v>
      </c>
      <c r="H3983" s="5">
        <f t="shared" si="192"/>
        <v>8000</v>
      </c>
      <c r="I3983" s="5">
        <f t="shared" si="193"/>
        <v>25000</v>
      </c>
      <c r="J3983" s="5">
        <f t="shared" si="194"/>
        <v>17000</v>
      </c>
      <c r="K3983" s="5" t="str">
        <f>VLOOKUP(C3983,[1]master_data!$A$2:$E$495,5,FALSE)</f>
        <v>Aksesoris</v>
      </c>
      <c r="L3983" s="5" t="s">
        <v>471</v>
      </c>
    </row>
    <row r="3984" spans="1:12" ht="12" customHeight="1" x14ac:dyDescent="0.25">
      <c r="A3984" s="6">
        <v>44593</v>
      </c>
      <c r="B3984" s="1">
        <v>2200579</v>
      </c>
      <c r="C3984" s="5" t="s">
        <v>260</v>
      </c>
      <c r="D3984" s="5" t="str">
        <f>VLOOKUP(C3984,[1]master_data!$A$2:$E$495,2,FALSE)</f>
        <v>BUNGA K</v>
      </c>
      <c r="E3984" s="5">
        <v>1</v>
      </c>
      <c r="F3984" s="5">
        <f>VLOOKUP(C3984,[1]master_data!$A$2:$E$495,3,FALSE)</f>
        <v>2500</v>
      </c>
      <c r="G3984" s="5">
        <f>VLOOKUP(C3984,[1]master_data!$A$2:$E$495,4,FALSE)</f>
        <v>5000</v>
      </c>
      <c r="H3984" s="5">
        <f t="shared" si="192"/>
        <v>2500</v>
      </c>
      <c r="I3984" s="5">
        <f t="shared" si="193"/>
        <v>5000</v>
      </c>
      <c r="J3984" s="5">
        <f t="shared" si="194"/>
        <v>2500</v>
      </c>
      <c r="K3984" s="5" t="str">
        <f>VLOOKUP(C3984,[1]master_data!$A$2:$E$495,5,FALSE)</f>
        <v>Aksesoris</v>
      </c>
      <c r="L3984" s="5" t="s">
        <v>471</v>
      </c>
    </row>
    <row r="3985" spans="1:12" ht="12" customHeight="1" x14ac:dyDescent="0.25">
      <c r="A3985" s="6">
        <v>44593</v>
      </c>
      <c r="B3985" s="1">
        <v>2200578</v>
      </c>
      <c r="C3985" s="5" t="s">
        <v>422</v>
      </c>
      <c r="D3985" s="5" t="str">
        <f>VLOOKUP(C3985,[1]master_data!$A$2:$E$495,2,FALSE)</f>
        <v>KOMET SLAYER</v>
      </c>
      <c r="E3985" s="5">
        <v>3</v>
      </c>
      <c r="F3985" s="5">
        <f>VLOOKUP(C3985,[1]master_data!$A$2:$E$495,3,FALSE)</f>
        <v>2000</v>
      </c>
      <c r="G3985" s="5">
        <f>VLOOKUP(C3985,[1]master_data!$A$2:$E$495,4,FALSE)</f>
        <v>5000</v>
      </c>
      <c r="H3985" s="5">
        <f t="shared" si="192"/>
        <v>6000</v>
      </c>
      <c r="I3985" s="5">
        <f t="shared" si="193"/>
        <v>15000</v>
      </c>
      <c r="J3985" s="5">
        <f t="shared" si="194"/>
        <v>9000</v>
      </c>
      <c r="K3985" s="5" t="str">
        <f>VLOOKUP(C3985,[1]master_data!$A$2:$E$495,5,FALSE)</f>
        <v>Ikan</v>
      </c>
      <c r="L3985" s="5" t="s">
        <v>471</v>
      </c>
    </row>
    <row r="3986" spans="1:12" ht="12" customHeight="1" x14ac:dyDescent="0.25">
      <c r="A3986" s="6">
        <v>44593</v>
      </c>
      <c r="B3986" s="1">
        <v>2200577</v>
      </c>
      <c r="C3986" s="5" t="s">
        <v>285</v>
      </c>
      <c r="D3986" s="5" t="str">
        <f>VLOOKUP(C3986,[1]master_data!$A$2:$E$495,2,FALSE)</f>
        <v>KAPAS 4 LAPIS</v>
      </c>
      <c r="E3986" s="5">
        <v>1</v>
      </c>
      <c r="F3986" s="5">
        <f>VLOOKUP(C3986,[1]master_data!$A$2:$E$495,3,FALSE)</f>
        <v>6500</v>
      </c>
      <c r="G3986" s="5">
        <f>VLOOKUP(C3986,[1]master_data!$A$2:$E$495,4,FALSE)</f>
        <v>10000</v>
      </c>
      <c r="H3986" s="5">
        <f t="shared" si="192"/>
        <v>6500</v>
      </c>
      <c r="I3986" s="5">
        <f t="shared" si="193"/>
        <v>10000</v>
      </c>
      <c r="J3986" s="5">
        <f t="shared" si="194"/>
        <v>3500</v>
      </c>
      <c r="K3986" s="5" t="str">
        <f>VLOOKUP(C3986,[1]master_data!$A$2:$E$495,5,FALSE)</f>
        <v>Aksesoris</v>
      </c>
      <c r="L3986" s="5" t="s">
        <v>471</v>
      </c>
    </row>
    <row r="3987" spans="1:12" ht="12" customHeight="1" x14ac:dyDescent="0.25">
      <c r="A3987" s="6">
        <v>44593</v>
      </c>
      <c r="B3987" s="1">
        <v>2200576</v>
      </c>
      <c r="C3987" s="5" t="s">
        <v>274</v>
      </c>
      <c r="D3987" s="5" t="str">
        <f>VLOOKUP(C3987,[1]master_data!$A$2:$E$495,2,FALSE)</f>
        <v>JARING 15</v>
      </c>
      <c r="E3987" s="5">
        <v>1</v>
      </c>
      <c r="F3987" s="5">
        <f>VLOOKUP(C3987,[1]master_data!$A$2:$E$495,3,FALSE)</f>
        <v>3750</v>
      </c>
      <c r="G3987" s="5">
        <f>VLOOKUP(C3987,[1]master_data!$A$2:$E$495,4,FALSE)</f>
        <v>8000</v>
      </c>
      <c r="H3987" s="5">
        <f t="shared" si="192"/>
        <v>3750</v>
      </c>
      <c r="I3987" s="5">
        <f t="shared" si="193"/>
        <v>8000</v>
      </c>
      <c r="J3987" s="5">
        <f t="shared" si="194"/>
        <v>4250</v>
      </c>
      <c r="K3987" s="5" t="str">
        <f>VLOOKUP(C3987,[1]master_data!$A$2:$E$495,5,FALSE)</f>
        <v>Aksesoris</v>
      </c>
      <c r="L3987" s="5" t="s">
        <v>471</v>
      </c>
    </row>
    <row r="3988" spans="1:12" ht="12" customHeight="1" x14ac:dyDescent="0.25">
      <c r="A3988" s="6">
        <v>44593</v>
      </c>
      <c r="B3988" s="1">
        <v>2200575</v>
      </c>
      <c r="C3988" s="5" t="s">
        <v>363</v>
      </c>
      <c r="D3988" s="5" t="str">
        <f>VLOOKUP(C3988,[1]master_data!$A$2:$E$495,2,FALSE)</f>
        <v>AKUARIUM 50 ROBOT</v>
      </c>
      <c r="E3988" s="5">
        <v>1</v>
      </c>
      <c r="F3988" s="5">
        <f>VLOOKUP(C3988,[1]master_data!$A$2:$E$495,3,FALSE)</f>
        <v>115000</v>
      </c>
      <c r="G3988" s="5">
        <f>VLOOKUP(C3988,[1]master_data!$A$2:$E$495,4,FALSE)</f>
        <v>165000</v>
      </c>
      <c r="H3988" s="5">
        <f t="shared" si="192"/>
        <v>115000</v>
      </c>
      <c r="I3988" s="5">
        <f t="shared" si="193"/>
        <v>165000</v>
      </c>
      <c r="J3988" s="5">
        <f t="shared" si="194"/>
        <v>50000</v>
      </c>
      <c r="K3988" s="5" t="str">
        <f>VLOOKUP(C3988,[1]master_data!$A$2:$E$495,5,FALSE)</f>
        <v>Aksesoris</v>
      </c>
      <c r="L3988" s="5" t="s">
        <v>471</v>
      </c>
    </row>
    <row r="3989" spans="1:12" ht="12" customHeight="1" x14ac:dyDescent="0.25">
      <c r="A3989" s="6">
        <v>44593</v>
      </c>
      <c r="B3989" s="1">
        <v>2200574</v>
      </c>
      <c r="C3989" s="5" t="s">
        <v>447</v>
      </c>
      <c r="D3989" s="5" t="str">
        <f>VLOOKUP(C3989,[1]master_data!$A$2:$E$495,2,FALSE)</f>
        <v>REDFIN ALBINO</v>
      </c>
      <c r="E3989" s="5">
        <v>3</v>
      </c>
      <c r="F3989" s="5">
        <f>VLOOKUP(C3989,[1]master_data!$A$2:$E$495,3,FALSE)</f>
        <v>1500</v>
      </c>
      <c r="G3989" s="5">
        <f>VLOOKUP(C3989,[1]master_data!$A$2:$E$495,4,FALSE)</f>
        <v>4000</v>
      </c>
      <c r="H3989" s="5">
        <f t="shared" si="192"/>
        <v>4500</v>
      </c>
      <c r="I3989" s="5">
        <f t="shared" si="193"/>
        <v>12000</v>
      </c>
      <c r="J3989" s="5">
        <f t="shared" si="194"/>
        <v>7500</v>
      </c>
      <c r="K3989" s="5" t="str">
        <f>VLOOKUP(C3989,[1]master_data!$A$2:$E$495,5,FALSE)</f>
        <v>Ikan</v>
      </c>
      <c r="L3989" s="5" t="s">
        <v>471</v>
      </c>
    </row>
    <row r="3990" spans="1:12" ht="12" customHeight="1" x14ac:dyDescent="0.25">
      <c r="A3990" s="6">
        <v>44593</v>
      </c>
      <c r="B3990" s="1">
        <v>2200573</v>
      </c>
      <c r="C3990" s="5" t="s">
        <v>409</v>
      </c>
      <c r="D3990" s="5" t="str">
        <f>VLOOKUP(C3990,[1]master_data!$A$2:$E$495,2,FALSE)</f>
        <v>GOLD FISH</v>
      </c>
      <c r="E3990" s="5">
        <v>5</v>
      </c>
      <c r="F3990" s="5">
        <f>VLOOKUP(C3990,[1]master_data!$A$2:$E$495,3,FALSE)</f>
        <v>800</v>
      </c>
      <c r="G3990" s="5">
        <f>VLOOKUP(C3990,[1]master_data!$A$2:$E$495,4,FALSE)</f>
        <v>2000</v>
      </c>
      <c r="H3990" s="5">
        <f t="shared" si="192"/>
        <v>4000</v>
      </c>
      <c r="I3990" s="5">
        <f t="shared" si="193"/>
        <v>10000</v>
      </c>
      <c r="J3990" s="5">
        <f t="shared" si="194"/>
        <v>6000</v>
      </c>
      <c r="K3990" s="5" t="str">
        <f>VLOOKUP(C3990,[1]master_data!$A$2:$E$495,5,FALSE)</f>
        <v>Ikan</v>
      </c>
      <c r="L3990" s="5" t="s">
        <v>471</v>
      </c>
    </row>
    <row r="3991" spans="1:12" ht="12" customHeight="1" x14ac:dyDescent="0.25">
      <c r="A3991" s="6">
        <v>44593</v>
      </c>
      <c r="B3991" s="1">
        <v>2200572</v>
      </c>
      <c r="C3991" s="5" t="s">
        <v>362</v>
      </c>
      <c r="D3991" s="5" t="str">
        <f>VLOOKUP(C3991,[1]master_data!$A$2:$E$495,2,FALSE)</f>
        <v>AKUARIUM 50 POLOS</v>
      </c>
      <c r="E3991" s="5">
        <v>1</v>
      </c>
      <c r="F3991" s="5">
        <f>VLOOKUP(C3991,[1]master_data!$A$2:$E$495,3,FALSE)</f>
        <v>100000</v>
      </c>
      <c r="G3991" s="5">
        <f>VLOOKUP(C3991,[1]master_data!$A$2:$E$495,4,FALSE)</f>
        <v>130000</v>
      </c>
      <c r="H3991" s="5">
        <f t="shared" si="192"/>
        <v>100000</v>
      </c>
      <c r="I3991" s="5">
        <f t="shared" si="193"/>
        <v>130000</v>
      </c>
      <c r="J3991" s="5">
        <f t="shared" si="194"/>
        <v>30000</v>
      </c>
      <c r="K3991" s="5" t="str">
        <f>VLOOKUP(C3991,[1]master_data!$A$2:$E$495,5,FALSE)</f>
        <v>Aksesoris</v>
      </c>
      <c r="L3991" s="5" t="s">
        <v>471</v>
      </c>
    </row>
    <row r="3992" spans="1:12" ht="12" customHeight="1" x14ac:dyDescent="0.25">
      <c r="A3992" s="6">
        <v>44593</v>
      </c>
      <c r="B3992" s="1">
        <v>2200571</v>
      </c>
      <c r="C3992" s="5" t="s">
        <v>45</v>
      </c>
      <c r="D3992" s="5" t="str">
        <f>VLOOKUP(C3992,[1]master_data!$A$2:$E$495,2,FALSE)</f>
        <v>TOP FILTER NIKITA K</v>
      </c>
      <c r="E3992" s="5">
        <v>1</v>
      </c>
      <c r="F3992" s="5">
        <f>VLOOKUP(C3992,[1]master_data!$A$2:$E$495,3,FALSE)</f>
        <v>36000</v>
      </c>
      <c r="G3992" s="5">
        <f>VLOOKUP(C3992,[1]master_data!$A$2:$E$495,4,FALSE)</f>
        <v>55000</v>
      </c>
      <c r="H3992" s="5">
        <f t="shared" si="192"/>
        <v>36000</v>
      </c>
      <c r="I3992" s="5">
        <f t="shared" si="193"/>
        <v>55000</v>
      </c>
      <c r="J3992" s="5">
        <f t="shared" si="194"/>
        <v>19000</v>
      </c>
      <c r="K3992" s="5" t="str">
        <f>VLOOKUP(C3992,[1]master_data!$A$2:$E$495,5,FALSE)</f>
        <v>Aksesoris</v>
      </c>
      <c r="L3992" s="5" t="s">
        <v>471</v>
      </c>
    </row>
    <row r="3993" spans="1:12" ht="12" customHeight="1" x14ac:dyDescent="0.25">
      <c r="A3993" s="6">
        <v>44593</v>
      </c>
      <c r="B3993" s="1">
        <v>2200570</v>
      </c>
      <c r="C3993" s="5" t="s">
        <v>262</v>
      </c>
      <c r="D3993" s="5" t="str">
        <f>VLOOKUP(C3993,[1]master_data!$A$2:$E$495,2,FALSE)</f>
        <v>COP PIPA</v>
      </c>
      <c r="E3993" s="5">
        <v>10</v>
      </c>
      <c r="F3993" s="5">
        <f>VLOOKUP(C3993,[1]master_data!$A$2:$E$495,3,FALSE)</f>
        <v>800</v>
      </c>
      <c r="G3993" s="5">
        <f>VLOOKUP(C3993,[1]master_data!$A$2:$E$495,4,FALSE)</f>
        <v>2000</v>
      </c>
      <c r="H3993" s="5">
        <f t="shared" si="192"/>
        <v>8000</v>
      </c>
      <c r="I3993" s="5">
        <f t="shared" si="193"/>
        <v>20000</v>
      </c>
      <c r="J3993" s="5">
        <f t="shared" si="194"/>
        <v>12000</v>
      </c>
      <c r="K3993" s="5" t="str">
        <f>VLOOKUP(C3993,[1]master_data!$A$2:$E$495,5,FALSE)</f>
        <v>Aksesoris</v>
      </c>
      <c r="L3993" s="5" t="s">
        <v>471</v>
      </c>
    </row>
    <row r="3994" spans="1:12" ht="12" customHeight="1" x14ac:dyDescent="0.25">
      <c r="A3994" s="6">
        <v>44593</v>
      </c>
      <c r="B3994" s="1">
        <v>2200569</v>
      </c>
      <c r="C3994" s="5" t="s">
        <v>397</v>
      </c>
      <c r="D3994" s="5" t="str">
        <f>VLOOKUP(C3994,[1]master_data!$A$2:$E$495,2,FALSE)</f>
        <v>ALIGATOR</v>
      </c>
      <c r="E3994" s="5">
        <v>2</v>
      </c>
      <c r="F3994" s="5">
        <f>VLOOKUP(C3994,[1]master_data!$A$2:$E$495,3,FALSE)</f>
        <v>17000</v>
      </c>
      <c r="G3994" s="5">
        <f>VLOOKUP(C3994,[1]master_data!$A$2:$E$495,4,FALSE)</f>
        <v>35000</v>
      </c>
      <c r="H3994" s="5">
        <f t="shared" si="192"/>
        <v>34000</v>
      </c>
      <c r="I3994" s="5">
        <f t="shared" si="193"/>
        <v>70000</v>
      </c>
      <c r="J3994" s="5">
        <f t="shared" si="194"/>
        <v>36000</v>
      </c>
      <c r="K3994" s="5" t="str">
        <f>VLOOKUP(C3994,[1]master_data!$A$2:$E$495,5,FALSE)</f>
        <v>Ikan</v>
      </c>
      <c r="L3994" s="5" t="s">
        <v>471</v>
      </c>
    </row>
    <row r="3995" spans="1:12" ht="12" customHeight="1" x14ac:dyDescent="0.25">
      <c r="A3995" s="6">
        <v>44593</v>
      </c>
      <c r="B3995" s="1">
        <v>2200568</v>
      </c>
      <c r="C3995" s="5" t="s">
        <v>415</v>
      </c>
      <c r="D3995" s="5" t="str">
        <f>VLOOKUP(C3995,[1]master_data!$A$2:$E$495,2,FALSE)</f>
        <v>KOKI B</v>
      </c>
      <c r="E3995" s="5">
        <v>1</v>
      </c>
      <c r="F3995" s="5">
        <f>VLOOKUP(C3995,[1]master_data!$A$2:$E$495,3,FALSE)</f>
        <v>20000</v>
      </c>
      <c r="G3995" s="5">
        <f>VLOOKUP(C3995,[1]master_data!$A$2:$E$495,4,FALSE)</f>
        <v>50000</v>
      </c>
      <c r="H3995" s="5">
        <f t="shared" si="192"/>
        <v>20000</v>
      </c>
      <c r="I3995" s="5">
        <f t="shared" si="193"/>
        <v>50000</v>
      </c>
      <c r="J3995" s="5">
        <f t="shared" si="194"/>
        <v>30000</v>
      </c>
      <c r="K3995" s="5" t="str">
        <f>VLOOKUP(C3995,[1]master_data!$A$2:$E$495,5,FALSE)</f>
        <v>Ikan</v>
      </c>
      <c r="L3995" s="5" t="s">
        <v>471</v>
      </c>
    </row>
    <row r="3996" spans="1:12" ht="12" customHeight="1" x14ac:dyDescent="0.25">
      <c r="A3996" s="6">
        <v>44593</v>
      </c>
      <c r="B3996" s="1">
        <v>2200567</v>
      </c>
      <c r="C3996" s="5" t="s">
        <v>411</v>
      </c>
      <c r="D3996" s="5" t="str">
        <f>VLOOKUP(C3996,[1]master_data!$A$2:$E$495,2,FALSE)</f>
        <v>GOLDEN BLACK</v>
      </c>
      <c r="E3996" s="5">
        <v>5</v>
      </c>
      <c r="F3996" s="5">
        <f>VLOOKUP(C3996,[1]master_data!$A$2:$E$495,3,FALSE)</f>
        <v>800</v>
      </c>
      <c r="G3996" s="5">
        <f>VLOOKUP(C3996,[1]master_data!$A$2:$E$495,4,FALSE)</f>
        <v>2000</v>
      </c>
      <c r="H3996" s="5">
        <f t="shared" si="192"/>
        <v>4000</v>
      </c>
      <c r="I3996" s="5">
        <f t="shared" si="193"/>
        <v>10000</v>
      </c>
      <c r="J3996" s="5">
        <f t="shared" si="194"/>
        <v>6000</v>
      </c>
      <c r="K3996" s="5" t="str">
        <f>VLOOKUP(C3996,[1]master_data!$A$2:$E$495,5,FALSE)</f>
        <v>Ikan</v>
      </c>
      <c r="L3996" s="5" t="s">
        <v>471</v>
      </c>
    </row>
    <row r="3997" spans="1:12" ht="12" customHeight="1" x14ac:dyDescent="0.25">
      <c r="A3997" s="6">
        <v>44593</v>
      </c>
      <c r="B3997" s="1">
        <v>2200566</v>
      </c>
      <c r="C3997" s="5" t="s">
        <v>379</v>
      </c>
      <c r="D3997" s="5" t="str">
        <f>VLOOKUP(C3997,[1]master_data!$A$2:$E$495,2,FALSE)</f>
        <v>PASIR SILICA</v>
      </c>
      <c r="E3997" s="5">
        <v>1</v>
      </c>
      <c r="F3997" s="5">
        <f>VLOOKUP(C3997,[1]master_data!$A$2:$E$495,3,FALSE)</f>
        <v>5000</v>
      </c>
      <c r="G3997" s="5">
        <f>VLOOKUP(C3997,[1]master_data!$A$2:$E$495,4,FALSE)</f>
        <v>10000</v>
      </c>
      <c r="H3997" s="5">
        <f t="shared" si="192"/>
        <v>5000</v>
      </c>
      <c r="I3997" s="5">
        <f t="shared" si="193"/>
        <v>10000</v>
      </c>
      <c r="J3997" s="5">
        <f t="shared" si="194"/>
        <v>5000</v>
      </c>
      <c r="K3997" s="5" t="str">
        <f>VLOOKUP(C3997,[1]master_data!$A$2:$E$495,5,FALSE)</f>
        <v>Aksesoris</v>
      </c>
      <c r="L3997" s="5" t="s">
        <v>471</v>
      </c>
    </row>
    <row r="3998" spans="1:12" ht="12" customHeight="1" x14ac:dyDescent="0.25">
      <c r="A3998" s="6">
        <v>44593</v>
      </c>
      <c r="B3998" s="1">
        <v>2200565</v>
      </c>
      <c r="C3998" s="5" t="s">
        <v>274</v>
      </c>
      <c r="D3998" s="5" t="str">
        <f>VLOOKUP(C3998,[1]master_data!$A$2:$E$495,2,FALSE)</f>
        <v>JARING 15</v>
      </c>
      <c r="E3998" s="5">
        <v>1</v>
      </c>
      <c r="F3998" s="5">
        <f>VLOOKUP(C3998,[1]master_data!$A$2:$E$495,3,FALSE)</f>
        <v>3750</v>
      </c>
      <c r="G3998" s="5">
        <f>VLOOKUP(C3998,[1]master_data!$A$2:$E$495,4,FALSE)</f>
        <v>8000</v>
      </c>
      <c r="H3998" s="5">
        <f t="shared" si="192"/>
        <v>3750</v>
      </c>
      <c r="I3998" s="5">
        <f t="shared" si="193"/>
        <v>8000</v>
      </c>
      <c r="J3998" s="5">
        <f t="shared" si="194"/>
        <v>4250</v>
      </c>
      <c r="K3998" s="5" t="str">
        <f>VLOOKUP(C3998,[1]master_data!$A$2:$E$495,5,FALSE)</f>
        <v>Aksesoris</v>
      </c>
      <c r="L3998" s="5" t="s">
        <v>471</v>
      </c>
    </row>
    <row r="3999" spans="1:12" ht="12" customHeight="1" x14ac:dyDescent="0.25">
      <c r="A3999" s="6">
        <v>44593</v>
      </c>
      <c r="B3999" s="1">
        <v>2200564</v>
      </c>
      <c r="C3999" s="5" t="s">
        <v>381</v>
      </c>
      <c r="D3999" s="5" t="str">
        <f>VLOOKUP(C3999,[1]master_data!$A$2:$E$495,2,FALSE)</f>
        <v>BATU WARNA FOSFOR K</v>
      </c>
      <c r="E3999" s="5">
        <v>1</v>
      </c>
      <c r="F3999" s="5">
        <f>VLOOKUP(C3999,[1]master_data!$A$2:$E$495,3,FALSE)</f>
        <v>5500</v>
      </c>
      <c r="G3999" s="5">
        <f>VLOOKUP(C3999,[1]master_data!$A$2:$E$495,4,FALSE)</f>
        <v>10000</v>
      </c>
      <c r="H3999" s="5">
        <f t="shared" si="192"/>
        <v>5500</v>
      </c>
      <c r="I3999" s="5">
        <f t="shared" si="193"/>
        <v>10000</v>
      </c>
      <c r="J3999" s="5">
        <f t="shared" si="194"/>
        <v>4500</v>
      </c>
      <c r="K3999" s="5" t="str">
        <f>VLOOKUP(C3999,[1]master_data!$A$2:$E$495,5,FALSE)</f>
        <v>Aksesoris</v>
      </c>
      <c r="L3999" s="5" t="s">
        <v>471</v>
      </c>
    </row>
    <row r="4000" spans="1:12" ht="12" customHeight="1" x14ac:dyDescent="0.25">
      <c r="A4000" s="6">
        <v>44593</v>
      </c>
      <c r="B4000" s="1">
        <v>2200563</v>
      </c>
      <c r="C4000" s="5" t="s">
        <v>430</v>
      </c>
      <c r="D4000" s="5" t="str">
        <f>VLOOKUP(C4000,[1]master_data!$A$2:$E$495,2,FALSE)</f>
        <v>MANFISH K</v>
      </c>
      <c r="E4000" s="5">
        <v>3</v>
      </c>
      <c r="F4000" s="5">
        <f>VLOOKUP(C4000,[1]master_data!$A$2:$E$495,3,FALSE)</f>
        <v>2000</v>
      </c>
      <c r="G4000" s="5">
        <f>VLOOKUP(C4000,[1]master_data!$A$2:$E$495,4,FALSE)</f>
        <v>5000</v>
      </c>
      <c r="H4000" s="5">
        <f t="shared" si="192"/>
        <v>6000</v>
      </c>
      <c r="I4000" s="5">
        <f t="shared" si="193"/>
        <v>15000</v>
      </c>
      <c r="J4000" s="5">
        <f t="shared" si="194"/>
        <v>9000</v>
      </c>
      <c r="K4000" s="5" t="str">
        <f>VLOOKUP(C4000,[1]master_data!$A$2:$E$495,5,FALSE)</f>
        <v>Ikan</v>
      </c>
      <c r="L4000" s="5" t="s">
        <v>471</v>
      </c>
    </row>
    <row r="4001" spans="1:12" ht="12" customHeight="1" x14ac:dyDescent="0.25">
      <c r="A4001" s="6">
        <v>44593</v>
      </c>
      <c r="B4001" s="1">
        <v>2200562</v>
      </c>
      <c r="C4001" s="5" t="s">
        <v>405</v>
      </c>
      <c r="D4001" s="5" t="str">
        <f>VLOOKUP(C4001,[1]master_data!$A$2:$E$495,2,FALSE)</f>
        <v>KOMET BOKIM</v>
      </c>
      <c r="E4001" s="5">
        <v>4</v>
      </c>
      <c r="F4001" s="5">
        <f>VLOOKUP(C4001,[1]master_data!$A$2:$E$495,3,FALSE)</f>
        <v>1500</v>
      </c>
      <c r="G4001" s="5">
        <f>VLOOKUP(C4001,[1]master_data!$A$2:$E$495,4,FALSE)</f>
        <v>5000</v>
      </c>
      <c r="H4001" s="5">
        <f t="shared" si="192"/>
        <v>6000</v>
      </c>
      <c r="I4001" s="5">
        <f t="shared" si="193"/>
        <v>20000</v>
      </c>
      <c r="J4001" s="5">
        <f t="shared" si="194"/>
        <v>14000</v>
      </c>
      <c r="K4001" s="5" t="str">
        <f>VLOOKUP(C4001,[1]master_data!$A$2:$E$495,5,FALSE)</f>
        <v>Ikan</v>
      </c>
      <c r="L4001" s="5" t="s">
        <v>471</v>
      </c>
    </row>
    <row r="4002" spans="1:12" ht="12" customHeight="1" x14ac:dyDescent="0.25">
      <c r="A4002" s="6">
        <v>44593</v>
      </c>
      <c r="B4002" s="1">
        <v>2200561</v>
      </c>
      <c r="C4002" s="5" t="s">
        <v>435</v>
      </c>
      <c r="D4002" s="5" t="str">
        <f>VLOOKUP(C4002,[1]master_data!$A$2:$E$495,2,FALSE)</f>
        <v>MOLI BALON</v>
      </c>
      <c r="E4002" s="5">
        <v>20</v>
      </c>
      <c r="F4002" s="5">
        <f>VLOOKUP(C4002,[1]master_data!$A$2:$E$495,3,FALSE)</f>
        <v>800</v>
      </c>
      <c r="G4002" s="5">
        <f>VLOOKUP(C4002,[1]master_data!$A$2:$E$495,4,FALSE)</f>
        <v>2000</v>
      </c>
      <c r="H4002" s="5">
        <f t="shared" si="192"/>
        <v>16000</v>
      </c>
      <c r="I4002" s="5">
        <f t="shared" si="193"/>
        <v>40000</v>
      </c>
      <c r="J4002" s="5">
        <f t="shared" si="194"/>
        <v>24000</v>
      </c>
      <c r="K4002" s="5" t="str">
        <f>VLOOKUP(C4002,[1]master_data!$A$2:$E$495,5,FALSE)</f>
        <v>Ikan</v>
      </c>
      <c r="L4002" s="5" t="s">
        <v>471</v>
      </c>
    </row>
    <row r="4003" spans="1:12" ht="12" customHeight="1" x14ac:dyDescent="0.25">
      <c r="A4003" s="6">
        <v>44593</v>
      </c>
      <c r="B4003" s="1">
        <v>2200560</v>
      </c>
      <c r="C4003" s="5" t="s">
        <v>403</v>
      </c>
      <c r="D4003" s="5" t="str">
        <f>VLOOKUP(C4003,[1]master_data!$A$2:$E$495,2,FALSE)</f>
        <v>CHANNA BLUE PULCHRA K</v>
      </c>
      <c r="E4003" s="5">
        <v>2</v>
      </c>
      <c r="F4003" s="5">
        <f>VLOOKUP(C4003,[1]master_data!$A$2:$E$495,3,FALSE)</f>
        <v>25000</v>
      </c>
      <c r="G4003" s="5">
        <f>VLOOKUP(C4003,[1]master_data!$A$2:$E$495,4,FALSE)</f>
        <v>50000</v>
      </c>
      <c r="H4003" s="5">
        <f t="shared" si="192"/>
        <v>50000</v>
      </c>
      <c r="I4003" s="5">
        <f t="shared" si="193"/>
        <v>100000</v>
      </c>
      <c r="J4003" s="5">
        <f t="shared" si="194"/>
        <v>50000</v>
      </c>
      <c r="K4003" s="5" t="str">
        <f>VLOOKUP(C4003,[1]master_data!$A$2:$E$495,5,FALSE)</f>
        <v>Ikan</v>
      </c>
      <c r="L4003" s="5" t="s">
        <v>471</v>
      </c>
    </row>
    <row r="4004" spans="1:12" ht="12" customHeight="1" x14ac:dyDescent="0.25">
      <c r="A4004" s="6">
        <v>44593</v>
      </c>
      <c r="B4004" s="1">
        <v>2200559</v>
      </c>
      <c r="C4004" s="5" t="s">
        <v>413</v>
      </c>
      <c r="D4004" s="5" t="str">
        <f>VLOOKUP(C4004,[1]master_data!$A$2:$E$495,2,FALSE)</f>
        <v>KOKI K</v>
      </c>
      <c r="E4004" s="5">
        <v>3</v>
      </c>
      <c r="F4004" s="5">
        <f>VLOOKUP(C4004,[1]master_data!$A$2:$E$495,3,FALSE)</f>
        <v>3500</v>
      </c>
      <c r="G4004" s="5">
        <f>VLOOKUP(C4004,[1]master_data!$A$2:$E$495,4,FALSE)</f>
        <v>10000</v>
      </c>
      <c r="H4004" s="5">
        <f t="shared" si="192"/>
        <v>10500</v>
      </c>
      <c r="I4004" s="5">
        <f t="shared" si="193"/>
        <v>30000</v>
      </c>
      <c r="J4004" s="5">
        <f t="shared" si="194"/>
        <v>19500</v>
      </c>
      <c r="K4004" s="5" t="str">
        <f>VLOOKUP(C4004,[1]master_data!$A$2:$E$495,5,FALSE)</f>
        <v>Ikan</v>
      </c>
      <c r="L4004" s="5" t="s">
        <v>471</v>
      </c>
    </row>
    <row r="4005" spans="1:12" ht="12" customHeight="1" x14ac:dyDescent="0.25">
      <c r="A4005" s="6">
        <v>44593</v>
      </c>
      <c r="B4005" s="1">
        <v>2200558</v>
      </c>
      <c r="C4005" s="5" t="s">
        <v>379</v>
      </c>
      <c r="D4005" s="5" t="str">
        <f>VLOOKUP(C4005,[1]master_data!$A$2:$E$495,2,FALSE)</f>
        <v>PASIR SILICA</v>
      </c>
      <c r="E4005" s="5">
        <v>1</v>
      </c>
      <c r="F4005" s="5">
        <f>VLOOKUP(C4005,[1]master_data!$A$2:$E$495,3,FALSE)</f>
        <v>5000</v>
      </c>
      <c r="G4005" s="5">
        <f>VLOOKUP(C4005,[1]master_data!$A$2:$E$495,4,FALSE)</f>
        <v>10000</v>
      </c>
      <c r="H4005" s="5">
        <f t="shared" si="192"/>
        <v>5000</v>
      </c>
      <c r="I4005" s="5">
        <f t="shared" si="193"/>
        <v>10000</v>
      </c>
      <c r="J4005" s="5">
        <f t="shared" si="194"/>
        <v>5000</v>
      </c>
      <c r="K4005" s="5" t="str">
        <f>VLOOKUP(C4005,[1]master_data!$A$2:$E$495,5,FALSE)</f>
        <v>Aksesoris</v>
      </c>
      <c r="L4005" s="5" t="s">
        <v>471</v>
      </c>
    </row>
    <row r="4006" spans="1:12" ht="12" customHeight="1" x14ac:dyDescent="0.25">
      <c r="A4006" s="6">
        <v>44593</v>
      </c>
      <c r="B4006" s="1">
        <v>2200557</v>
      </c>
      <c r="C4006" s="5" t="s">
        <v>413</v>
      </c>
      <c r="D4006" s="5" t="str">
        <f>VLOOKUP(C4006,[1]master_data!$A$2:$E$495,2,FALSE)</f>
        <v>KOKI K</v>
      </c>
      <c r="E4006" s="5">
        <v>5</v>
      </c>
      <c r="F4006" s="5">
        <f>VLOOKUP(C4006,[1]master_data!$A$2:$E$495,3,FALSE)</f>
        <v>3500</v>
      </c>
      <c r="G4006" s="5">
        <f>VLOOKUP(C4006,[1]master_data!$A$2:$E$495,4,FALSE)</f>
        <v>10000</v>
      </c>
      <c r="H4006" s="5">
        <f t="shared" si="192"/>
        <v>17500</v>
      </c>
      <c r="I4006" s="5">
        <f t="shared" si="193"/>
        <v>50000</v>
      </c>
      <c r="J4006" s="5">
        <f t="shared" si="194"/>
        <v>32500</v>
      </c>
      <c r="K4006" s="5" t="str">
        <f>VLOOKUP(C4006,[1]master_data!$A$2:$E$495,5,FALSE)</f>
        <v>Ikan</v>
      </c>
      <c r="L4006" s="5" t="s">
        <v>471</v>
      </c>
    </row>
    <row r="4007" spans="1:12" ht="12" customHeight="1" x14ac:dyDescent="0.25">
      <c r="A4007" s="6">
        <v>44593</v>
      </c>
      <c r="B4007" s="1">
        <v>2200556</v>
      </c>
      <c r="C4007" s="5" t="s">
        <v>446</v>
      </c>
      <c r="D4007" s="5" t="str">
        <f>VLOOKUP(C4007,[1]master_data!$A$2:$E$495,2,FALSE)</f>
        <v>REDFIN HITAM</v>
      </c>
      <c r="E4007" s="5">
        <v>2</v>
      </c>
      <c r="F4007" s="5">
        <f>VLOOKUP(C4007,[1]master_data!$A$2:$E$495,3,FALSE)</f>
        <v>1500</v>
      </c>
      <c r="G4007" s="5">
        <f>VLOOKUP(C4007,[1]master_data!$A$2:$E$495,4,FALSE)</f>
        <v>4000</v>
      </c>
      <c r="H4007" s="5">
        <f t="shared" si="192"/>
        <v>3000</v>
      </c>
      <c r="I4007" s="5">
        <f t="shared" si="193"/>
        <v>8000</v>
      </c>
      <c r="J4007" s="5">
        <f t="shared" si="194"/>
        <v>5000</v>
      </c>
      <c r="K4007" s="5" t="str">
        <f>VLOOKUP(C4007,[1]master_data!$A$2:$E$495,5,FALSE)</f>
        <v>Ikan</v>
      </c>
      <c r="L4007" s="5" t="s">
        <v>471</v>
      </c>
    </row>
    <row r="4008" spans="1:12" ht="12" customHeight="1" x14ac:dyDescent="0.25">
      <c r="A4008" s="6">
        <v>44592</v>
      </c>
      <c r="B4008" s="1">
        <v>2200555</v>
      </c>
      <c r="C4008" s="5" t="s">
        <v>376</v>
      </c>
      <c r="D4008" s="5" t="str">
        <f>VLOOKUP(C4008,[1]master_data!$A$2:$E$495,2,FALSE)</f>
        <v>PASIR MEARAH B</v>
      </c>
      <c r="E4008" s="5">
        <v>1</v>
      </c>
      <c r="F4008" s="5">
        <f>VLOOKUP(C4008,[1]master_data!$A$2:$E$495,3,FALSE)</f>
        <v>8000</v>
      </c>
      <c r="G4008" s="5">
        <f>VLOOKUP(C4008,[1]master_data!$A$2:$E$495,4,FALSE)</f>
        <v>25000</v>
      </c>
      <c r="H4008" s="5">
        <f t="shared" si="192"/>
        <v>8000</v>
      </c>
      <c r="I4008" s="5">
        <f t="shared" si="193"/>
        <v>25000</v>
      </c>
      <c r="J4008" s="5">
        <f t="shared" si="194"/>
        <v>17000</v>
      </c>
      <c r="K4008" s="5" t="str">
        <f>VLOOKUP(C4008,[1]master_data!$A$2:$E$495,5,FALSE)</f>
        <v>Aksesoris</v>
      </c>
      <c r="L4008" s="5" t="s">
        <v>471</v>
      </c>
    </row>
    <row r="4009" spans="1:12" ht="12" customHeight="1" x14ac:dyDescent="0.25">
      <c r="A4009" s="6">
        <v>44592</v>
      </c>
      <c r="B4009" s="1">
        <v>2200554</v>
      </c>
      <c r="C4009" s="5" t="s">
        <v>274</v>
      </c>
      <c r="D4009" s="5" t="str">
        <f>VLOOKUP(C4009,[1]master_data!$A$2:$E$495,2,FALSE)</f>
        <v>JARING 15</v>
      </c>
      <c r="E4009" s="5">
        <v>1</v>
      </c>
      <c r="F4009" s="5">
        <f>VLOOKUP(C4009,[1]master_data!$A$2:$E$495,3,FALSE)</f>
        <v>3750</v>
      </c>
      <c r="G4009" s="5">
        <f>VLOOKUP(C4009,[1]master_data!$A$2:$E$495,4,FALSE)</f>
        <v>8000</v>
      </c>
      <c r="H4009" s="5">
        <f t="shared" si="192"/>
        <v>3750</v>
      </c>
      <c r="I4009" s="5">
        <f t="shared" si="193"/>
        <v>8000</v>
      </c>
      <c r="J4009" s="5">
        <f t="shared" si="194"/>
        <v>4250</v>
      </c>
      <c r="K4009" s="5" t="str">
        <f>VLOOKUP(C4009,[1]master_data!$A$2:$E$495,5,FALSE)</f>
        <v>Aksesoris</v>
      </c>
      <c r="L4009" s="5" t="s">
        <v>471</v>
      </c>
    </row>
    <row r="4010" spans="1:12" ht="12" customHeight="1" x14ac:dyDescent="0.25">
      <c r="A4010" s="6">
        <v>44592</v>
      </c>
      <c r="B4010" s="1">
        <v>2200553</v>
      </c>
      <c r="C4010" s="5" t="s">
        <v>381</v>
      </c>
      <c r="D4010" s="5" t="str">
        <f>VLOOKUP(C4010,[1]master_data!$A$2:$E$495,2,FALSE)</f>
        <v>BATU WARNA FOSFOR K</v>
      </c>
      <c r="E4010" s="5">
        <v>1</v>
      </c>
      <c r="F4010" s="5">
        <f>VLOOKUP(C4010,[1]master_data!$A$2:$E$495,3,FALSE)</f>
        <v>5500</v>
      </c>
      <c r="G4010" s="5">
        <f>VLOOKUP(C4010,[1]master_data!$A$2:$E$495,4,FALSE)</f>
        <v>10000</v>
      </c>
      <c r="H4010" s="5">
        <f t="shared" si="192"/>
        <v>5500</v>
      </c>
      <c r="I4010" s="5">
        <f t="shared" si="193"/>
        <v>10000</v>
      </c>
      <c r="J4010" s="5">
        <f t="shared" si="194"/>
        <v>4500</v>
      </c>
      <c r="K4010" s="5" t="str">
        <f>VLOOKUP(C4010,[1]master_data!$A$2:$E$495,5,FALSE)</f>
        <v>Aksesoris</v>
      </c>
      <c r="L4010" s="5" t="s">
        <v>471</v>
      </c>
    </row>
    <row r="4011" spans="1:12" ht="12" customHeight="1" x14ac:dyDescent="0.25">
      <c r="A4011" s="6">
        <v>44592</v>
      </c>
      <c r="B4011" s="1">
        <v>2200552</v>
      </c>
      <c r="C4011" s="5" t="s">
        <v>432</v>
      </c>
      <c r="D4011" s="5" t="str">
        <f>VLOOKUP(C4011,[1]master_data!$A$2:$E$495,2,FALSE)</f>
        <v>MARU K</v>
      </c>
      <c r="E4011" s="5">
        <v>1</v>
      </c>
      <c r="F4011" s="5">
        <f>VLOOKUP(C4011,[1]master_data!$A$2:$E$495,3,FALSE)</f>
        <v>23000</v>
      </c>
      <c r="G4011" s="5">
        <f>VLOOKUP(C4011,[1]master_data!$A$2:$E$495,4,FALSE)</f>
        <v>50000</v>
      </c>
      <c r="H4011" s="5">
        <f t="shared" si="192"/>
        <v>23000</v>
      </c>
      <c r="I4011" s="5">
        <f t="shared" si="193"/>
        <v>50000</v>
      </c>
      <c r="J4011" s="5">
        <f t="shared" si="194"/>
        <v>27000</v>
      </c>
      <c r="K4011" s="5" t="str">
        <f>VLOOKUP(C4011,[1]master_data!$A$2:$E$495,5,FALSE)</f>
        <v>Ikan</v>
      </c>
      <c r="L4011" s="5" t="s">
        <v>471</v>
      </c>
    </row>
    <row r="4012" spans="1:12" ht="12" customHeight="1" x14ac:dyDescent="0.25">
      <c r="A4012" s="6">
        <v>44592</v>
      </c>
      <c r="B4012" s="1">
        <v>2200551</v>
      </c>
      <c r="C4012" s="5" t="s">
        <v>377</v>
      </c>
      <c r="D4012" s="5" t="str">
        <f>VLOOKUP(C4012,[1]master_data!$A$2:$E$495,2,FALSE)</f>
        <v>PASIR BALI</v>
      </c>
      <c r="E4012" s="5">
        <v>1</v>
      </c>
      <c r="F4012" s="5">
        <f>VLOOKUP(C4012,[1]master_data!$A$2:$E$495,3,FALSE)</f>
        <v>5000</v>
      </c>
      <c r="G4012" s="5">
        <f>VLOOKUP(C4012,[1]master_data!$A$2:$E$495,4,FALSE)</f>
        <v>10000</v>
      </c>
      <c r="H4012" s="5">
        <f t="shared" si="192"/>
        <v>5000</v>
      </c>
      <c r="I4012" s="5">
        <f t="shared" si="193"/>
        <v>10000</v>
      </c>
      <c r="J4012" s="5">
        <f t="shared" si="194"/>
        <v>5000</v>
      </c>
      <c r="K4012" s="5" t="str">
        <f>VLOOKUP(C4012,[1]master_data!$A$2:$E$495,5,FALSE)</f>
        <v>Aksesoris</v>
      </c>
      <c r="L4012" s="5" t="s">
        <v>471</v>
      </c>
    </row>
    <row r="4013" spans="1:12" ht="12" customHeight="1" x14ac:dyDescent="0.25">
      <c r="A4013" s="6">
        <v>44592</v>
      </c>
      <c r="B4013" s="1">
        <v>2200550</v>
      </c>
      <c r="C4013" s="5" t="s">
        <v>453</v>
      </c>
      <c r="D4013" s="5" t="str">
        <f>VLOOKUP(C4013,[1]master_data!$A$2:$E$495,2,FALSE)</f>
        <v>SYNODONTIS K</v>
      </c>
      <c r="E4013" s="5">
        <v>2</v>
      </c>
      <c r="F4013" s="5">
        <f>VLOOKUP(C4013,[1]master_data!$A$2:$E$495,3,FALSE)</f>
        <v>1500</v>
      </c>
      <c r="G4013" s="5">
        <f>VLOOKUP(C4013,[1]master_data!$A$2:$E$495,4,FALSE)</f>
        <v>5000</v>
      </c>
      <c r="H4013" s="5">
        <f t="shared" si="192"/>
        <v>3000</v>
      </c>
      <c r="I4013" s="5">
        <f t="shared" si="193"/>
        <v>10000</v>
      </c>
      <c r="J4013" s="5">
        <f t="shared" si="194"/>
        <v>7000</v>
      </c>
      <c r="K4013" s="5" t="str">
        <f>VLOOKUP(C4013,[1]master_data!$A$2:$E$495,5,FALSE)</f>
        <v>Ikan</v>
      </c>
      <c r="L4013" s="5" t="s">
        <v>471</v>
      </c>
    </row>
    <row r="4014" spans="1:12" ht="12" customHeight="1" x14ac:dyDescent="0.25">
      <c r="A4014" s="6">
        <v>44592</v>
      </c>
      <c r="B4014" s="1">
        <v>2200549</v>
      </c>
      <c r="C4014" s="5" t="s">
        <v>233</v>
      </c>
      <c r="D4014" s="5" t="str">
        <f>VLOOKUP(C4014,[1]master_data!$A$2:$E$495,2,FALSE)</f>
        <v>FISH LOVE PAKAN</v>
      </c>
      <c r="E4014" s="5">
        <v>1</v>
      </c>
      <c r="F4014" s="5">
        <f>VLOOKUP(C4014,[1]master_data!$A$2:$E$495,3,FALSE)</f>
        <v>2500</v>
      </c>
      <c r="G4014" s="5">
        <f>VLOOKUP(C4014,[1]master_data!$A$2:$E$495,4,FALSE)</f>
        <v>5000</v>
      </c>
      <c r="H4014" s="5">
        <f t="shared" si="192"/>
        <v>2500</v>
      </c>
      <c r="I4014" s="5">
        <f t="shared" si="193"/>
        <v>5000</v>
      </c>
      <c r="J4014" s="5">
        <f t="shared" si="194"/>
        <v>2500</v>
      </c>
      <c r="K4014" s="5" t="str">
        <f>VLOOKUP(C4014,[1]master_data!$A$2:$E$495,5,FALSE)</f>
        <v>Aksesoris</v>
      </c>
      <c r="L4014" s="5" t="s">
        <v>471</v>
      </c>
    </row>
    <row r="4015" spans="1:12" ht="12" customHeight="1" x14ac:dyDescent="0.25">
      <c r="A4015" s="6">
        <v>44592</v>
      </c>
      <c r="B4015" s="1">
        <v>2200548</v>
      </c>
      <c r="C4015" s="5" t="s">
        <v>377</v>
      </c>
      <c r="D4015" s="5" t="str">
        <f>VLOOKUP(C4015,[1]master_data!$A$2:$E$495,2,FALSE)</f>
        <v>PASIR BALI</v>
      </c>
      <c r="E4015" s="5">
        <v>1</v>
      </c>
      <c r="F4015" s="5">
        <f>VLOOKUP(C4015,[1]master_data!$A$2:$E$495,3,FALSE)</f>
        <v>5000</v>
      </c>
      <c r="G4015" s="5">
        <f>VLOOKUP(C4015,[1]master_data!$A$2:$E$495,4,FALSE)</f>
        <v>10000</v>
      </c>
      <c r="H4015" s="5">
        <f t="shared" si="192"/>
        <v>5000</v>
      </c>
      <c r="I4015" s="5">
        <f t="shared" si="193"/>
        <v>10000</v>
      </c>
      <c r="J4015" s="5">
        <f t="shared" si="194"/>
        <v>5000</v>
      </c>
      <c r="K4015" s="5" t="str">
        <f>VLOOKUP(C4015,[1]master_data!$A$2:$E$495,5,FALSE)</f>
        <v>Aksesoris</v>
      </c>
      <c r="L4015" s="5" t="s">
        <v>471</v>
      </c>
    </row>
    <row r="4016" spans="1:12" ht="12" customHeight="1" x14ac:dyDescent="0.25">
      <c r="A4016" s="6">
        <v>44592</v>
      </c>
      <c r="B4016" s="1">
        <v>2200547</v>
      </c>
      <c r="C4016" s="5" t="s">
        <v>455</v>
      </c>
      <c r="D4016" s="5" t="str">
        <f>VLOOKUP(C4016,[1]master_data!$A$2:$E$495,2,FALSE)</f>
        <v>TETRA</v>
      </c>
      <c r="E4016" s="5">
        <v>5</v>
      </c>
      <c r="F4016" s="5">
        <f>VLOOKUP(C4016,[1]master_data!$A$2:$E$495,3,FALSE)</f>
        <v>800</v>
      </c>
      <c r="G4016" s="5">
        <f>VLOOKUP(C4016,[1]master_data!$A$2:$E$495,4,FALSE)</f>
        <v>2000</v>
      </c>
      <c r="H4016" s="5">
        <f t="shared" si="192"/>
        <v>4000</v>
      </c>
      <c r="I4016" s="5">
        <f t="shared" si="193"/>
        <v>10000</v>
      </c>
      <c r="J4016" s="5">
        <f t="shared" si="194"/>
        <v>6000</v>
      </c>
      <c r="K4016" s="5" t="str">
        <f>VLOOKUP(C4016,[1]master_data!$A$2:$E$495,5,FALSE)</f>
        <v>Ikan</v>
      </c>
      <c r="L4016" s="5" t="s">
        <v>471</v>
      </c>
    </row>
    <row r="4017" spans="1:12" ht="12" customHeight="1" x14ac:dyDescent="0.25">
      <c r="A4017" s="6">
        <v>44592</v>
      </c>
      <c r="B4017" s="1">
        <v>2200546</v>
      </c>
      <c r="C4017" s="5" t="s">
        <v>442</v>
      </c>
      <c r="D4017" s="5" t="str">
        <f>VLOOKUP(C4017,[1]master_data!$A$2:$E$495,2,FALSE)</f>
        <v>PEMBERSIH KACA ALBINO</v>
      </c>
      <c r="E4017" s="5">
        <v>1</v>
      </c>
      <c r="F4017" s="5">
        <f>VLOOKUP(C4017,[1]master_data!$A$2:$E$495,3,FALSE)</f>
        <v>2500</v>
      </c>
      <c r="G4017" s="5">
        <f>VLOOKUP(C4017,[1]master_data!$A$2:$E$495,4,FALSE)</f>
        <v>5000</v>
      </c>
      <c r="H4017" s="5">
        <f t="shared" si="192"/>
        <v>2500</v>
      </c>
      <c r="I4017" s="5">
        <f t="shared" si="193"/>
        <v>5000</v>
      </c>
      <c r="J4017" s="5">
        <f t="shared" si="194"/>
        <v>2500</v>
      </c>
      <c r="K4017" s="5" t="str">
        <f>VLOOKUP(C4017,[1]master_data!$A$2:$E$495,5,FALSE)</f>
        <v>Ikan</v>
      </c>
      <c r="L4017" s="5" t="s">
        <v>471</v>
      </c>
    </row>
    <row r="4018" spans="1:12" ht="12" customHeight="1" x14ac:dyDescent="0.25">
      <c r="A4018" s="6">
        <v>44592</v>
      </c>
      <c r="B4018" s="1">
        <v>2200545</v>
      </c>
      <c r="C4018" s="5" t="s">
        <v>362</v>
      </c>
      <c r="D4018" s="5" t="str">
        <f>VLOOKUP(C4018,[1]master_data!$A$2:$E$495,2,FALSE)</f>
        <v>AKUARIUM 50 POLOS</v>
      </c>
      <c r="E4018" s="5">
        <v>1</v>
      </c>
      <c r="F4018" s="5">
        <f>VLOOKUP(C4018,[1]master_data!$A$2:$E$495,3,FALSE)</f>
        <v>100000</v>
      </c>
      <c r="G4018" s="5">
        <f>VLOOKUP(C4018,[1]master_data!$A$2:$E$495,4,FALSE)</f>
        <v>130000</v>
      </c>
      <c r="H4018" s="5">
        <f t="shared" si="192"/>
        <v>100000</v>
      </c>
      <c r="I4018" s="5">
        <f t="shared" si="193"/>
        <v>130000</v>
      </c>
      <c r="J4018" s="5">
        <f t="shared" si="194"/>
        <v>30000</v>
      </c>
      <c r="K4018" s="5" t="str">
        <f>VLOOKUP(C4018,[1]master_data!$A$2:$E$495,5,FALSE)</f>
        <v>Aksesoris</v>
      </c>
      <c r="L4018" s="5" t="s">
        <v>471</v>
      </c>
    </row>
    <row r="4019" spans="1:12" ht="12" customHeight="1" x14ac:dyDescent="0.25">
      <c r="A4019" s="6">
        <v>44592</v>
      </c>
      <c r="B4019" s="1">
        <v>2200544</v>
      </c>
      <c r="C4019" s="5" t="s">
        <v>422</v>
      </c>
      <c r="D4019" s="5" t="str">
        <f>VLOOKUP(C4019,[1]master_data!$A$2:$E$495,2,FALSE)</f>
        <v>KOMET SLAYER</v>
      </c>
      <c r="E4019" s="5">
        <v>5</v>
      </c>
      <c r="F4019" s="5">
        <f>VLOOKUP(C4019,[1]master_data!$A$2:$E$495,3,FALSE)</f>
        <v>2000</v>
      </c>
      <c r="G4019" s="5">
        <f>VLOOKUP(C4019,[1]master_data!$A$2:$E$495,4,FALSE)</f>
        <v>5000</v>
      </c>
      <c r="H4019" s="5">
        <f t="shared" si="192"/>
        <v>10000</v>
      </c>
      <c r="I4019" s="5">
        <f t="shared" si="193"/>
        <v>25000</v>
      </c>
      <c r="J4019" s="5">
        <f t="shared" si="194"/>
        <v>15000</v>
      </c>
      <c r="K4019" s="5" t="str">
        <f>VLOOKUP(C4019,[1]master_data!$A$2:$E$495,5,FALSE)</f>
        <v>Ikan</v>
      </c>
      <c r="L4019" s="5" t="s">
        <v>471</v>
      </c>
    </row>
    <row r="4020" spans="1:12" ht="12" customHeight="1" x14ac:dyDescent="0.25">
      <c r="A4020" s="6">
        <v>44592</v>
      </c>
      <c r="B4020" s="1">
        <v>2200543</v>
      </c>
      <c r="C4020" s="5" t="s">
        <v>413</v>
      </c>
      <c r="D4020" s="5" t="str">
        <f>VLOOKUP(C4020,[1]master_data!$A$2:$E$495,2,FALSE)</f>
        <v>KOKI K</v>
      </c>
      <c r="E4020" s="5">
        <v>4</v>
      </c>
      <c r="F4020" s="5">
        <f>VLOOKUP(C4020,[1]master_data!$A$2:$E$495,3,FALSE)</f>
        <v>3500</v>
      </c>
      <c r="G4020" s="5">
        <f>VLOOKUP(C4020,[1]master_data!$A$2:$E$495,4,FALSE)</f>
        <v>10000</v>
      </c>
      <c r="H4020" s="5">
        <f t="shared" si="192"/>
        <v>14000</v>
      </c>
      <c r="I4020" s="5">
        <f t="shared" si="193"/>
        <v>40000</v>
      </c>
      <c r="J4020" s="5">
        <f t="shared" si="194"/>
        <v>26000</v>
      </c>
      <c r="K4020" s="5" t="str">
        <f>VLOOKUP(C4020,[1]master_data!$A$2:$E$495,5,FALSE)</f>
        <v>Ikan</v>
      </c>
      <c r="L4020" s="5" t="s">
        <v>471</v>
      </c>
    </row>
    <row r="4021" spans="1:12" ht="12" customHeight="1" x14ac:dyDescent="0.25">
      <c r="A4021" s="6">
        <v>44592</v>
      </c>
      <c r="B4021" s="1">
        <v>2200542</v>
      </c>
      <c r="C4021" s="5" t="s">
        <v>310</v>
      </c>
      <c r="D4021" s="5" t="str">
        <f>VLOOKUP(C4021,[1]master_data!$A$2:$E$495,2,FALSE)</f>
        <v>SELANG FUSO</v>
      </c>
      <c r="E4021" s="5">
        <v>50</v>
      </c>
      <c r="F4021" s="5">
        <f>VLOOKUP(C4021,[1]master_data!$A$2:$E$495,3,FALSE)</f>
        <v>800</v>
      </c>
      <c r="G4021" s="5">
        <f>VLOOKUP(C4021,[1]master_data!$A$2:$E$495,4,FALSE)</f>
        <v>2000</v>
      </c>
      <c r="H4021" s="5">
        <f t="shared" si="192"/>
        <v>40000</v>
      </c>
      <c r="I4021" s="5">
        <f t="shared" si="193"/>
        <v>100000</v>
      </c>
      <c r="J4021" s="5">
        <f t="shared" si="194"/>
        <v>60000</v>
      </c>
      <c r="K4021" s="5" t="str">
        <f>VLOOKUP(C4021,[1]master_data!$A$2:$E$495,5,FALSE)</f>
        <v>Aksesoris</v>
      </c>
      <c r="L4021" s="5" t="s">
        <v>471</v>
      </c>
    </row>
    <row r="4022" spans="1:12" ht="12" customHeight="1" x14ac:dyDescent="0.25">
      <c r="A4022" s="6">
        <v>44592</v>
      </c>
      <c r="B4022" s="1">
        <v>2200541</v>
      </c>
      <c r="C4022" s="5" t="s">
        <v>312</v>
      </c>
      <c r="D4022" s="5" t="str">
        <f>VLOOKUP(C4022,[1]master_data!$A$2:$E$495,2,FALSE)</f>
        <v>T PIPA</v>
      </c>
      <c r="E4022" s="5">
        <v>5</v>
      </c>
      <c r="F4022" s="5">
        <f>VLOOKUP(C4022,[1]master_data!$A$2:$E$495,3,FALSE)</f>
        <v>800</v>
      </c>
      <c r="G4022" s="5">
        <f>VLOOKUP(C4022,[1]master_data!$A$2:$E$495,4,FALSE)</f>
        <v>2000</v>
      </c>
      <c r="H4022" s="5">
        <f t="shared" si="192"/>
        <v>4000</v>
      </c>
      <c r="I4022" s="5">
        <f t="shared" si="193"/>
        <v>10000</v>
      </c>
      <c r="J4022" s="5">
        <f t="shared" si="194"/>
        <v>6000</v>
      </c>
      <c r="K4022" s="5" t="str">
        <f>VLOOKUP(C4022,[1]master_data!$A$2:$E$495,5,FALSE)</f>
        <v>Aksesoris</v>
      </c>
      <c r="L4022" s="5" t="s">
        <v>471</v>
      </c>
    </row>
    <row r="4023" spans="1:12" ht="12" customHeight="1" x14ac:dyDescent="0.25">
      <c r="A4023" s="6">
        <v>44592</v>
      </c>
      <c r="B4023" s="1">
        <v>2200540</v>
      </c>
      <c r="C4023" s="5" t="s">
        <v>411</v>
      </c>
      <c r="D4023" s="5" t="str">
        <f>VLOOKUP(C4023,[1]master_data!$A$2:$E$495,2,FALSE)</f>
        <v>GOLDEN BLACK</v>
      </c>
      <c r="E4023" s="5">
        <v>10</v>
      </c>
      <c r="F4023" s="5">
        <f>VLOOKUP(C4023,[1]master_data!$A$2:$E$495,3,FALSE)</f>
        <v>800</v>
      </c>
      <c r="G4023" s="5">
        <f>VLOOKUP(C4023,[1]master_data!$A$2:$E$495,4,FALSE)</f>
        <v>2000</v>
      </c>
      <c r="H4023" s="5">
        <f t="shared" si="192"/>
        <v>8000</v>
      </c>
      <c r="I4023" s="5">
        <f t="shared" si="193"/>
        <v>20000</v>
      </c>
      <c r="J4023" s="5">
        <f t="shared" si="194"/>
        <v>12000</v>
      </c>
      <c r="K4023" s="5" t="str">
        <f>VLOOKUP(C4023,[1]master_data!$A$2:$E$495,5,FALSE)</f>
        <v>Ikan</v>
      </c>
      <c r="L4023" s="5" t="s">
        <v>471</v>
      </c>
    </row>
    <row r="4024" spans="1:12" ht="12" customHeight="1" x14ac:dyDescent="0.25">
      <c r="A4024" s="6">
        <v>44591</v>
      </c>
      <c r="B4024" s="1">
        <v>2200539</v>
      </c>
      <c r="C4024" s="5" t="s">
        <v>445</v>
      </c>
      <c r="D4024" s="5" t="str">
        <f>VLOOKUP(C4024,[1]master_data!$A$2:$E$495,2,FALSE)</f>
        <v>PESO</v>
      </c>
      <c r="E4024" s="5">
        <v>1</v>
      </c>
      <c r="F4024" s="5">
        <f>VLOOKUP(C4024,[1]master_data!$A$2:$E$495,3,FALSE)</f>
        <v>19000</v>
      </c>
      <c r="G4024" s="5">
        <f>VLOOKUP(C4024,[1]master_data!$A$2:$E$495,4,FALSE)</f>
        <v>40000</v>
      </c>
      <c r="H4024" s="5">
        <f t="shared" si="192"/>
        <v>19000</v>
      </c>
      <c r="I4024" s="5">
        <f t="shared" si="193"/>
        <v>40000</v>
      </c>
      <c r="J4024" s="5">
        <f t="shared" si="194"/>
        <v>21000</v>
      </c>
      <c r="K4024" s="5" t="str">
        <f>VLOOKUP(C4024,[1]master_data!$A$2:$E$495,5,FALSE)</f>
        <v>Ikan</v>
      </c>
      <c r="L4024" s="5" t="s">
        <v>471</v>
      </c>
    </row>
    <row r="4025" spans="1:12" ht="12" customHeight="1" x14ac:dyDescent="0.25">
      <c r="A4025" s="6">
        <v>44591</v>
      </c>
      <c r="B4025" s="1">
        <v>2200538</v>
      </c>
      <c r="C4025" s="5" t="s">
        <v>415</v>
      </c>
      <c r="D4025" s="5" t="str">
        <f>VLOOKUP(C4025,[1]master_data!$A$2:$E$495,2,FALSE)</f>
        <v>KOKI B</v>
      </c>
      <c r="E4025" s="5">
        <v>4</v>
      </c>
      <c r="F4025" s="5">
        <f>VLOOKUP(C4025,[1]master_data!$A$2:$E$495,3,FALSE)</f>
        <v>20000</v>
      </c>
      <c r="G4025" s="5">
        <f>VLOOKUP(C4025,[1]master_data!$A$2:$E$495,4,FALSE)</f>
        <v>50000</v>
      </c>
      <c r="H4025" s="5">
        <f t="shared" si="192"/>
        <v>80000</v>
      </c>
      <c r="I4025" s="5">
        <f t="shared" si="193"/>
        <v>200000</v>
      </c>
      <c r="J4025" s="5">
        <f t="shared" si="194"/>
        <v>120000</v>
      </c>
      <c r="K4025" s="5" t="str">
        <f>VLOOKUP(C4025,[1]master_data!$A$2:$E$495,5,FALSE)</f>
        <v>Ikan</v>
      </c>
      <c r="L4025" s="5" t="s">
        <v>471</v>
      </c>
    </row>
    <row r="4026" spans="1:12" ht="12" customHeight="1" x14ac:dyDescent="0.25">
      <c r="A4026" s="6">
        <v>44591</v>
      </c>
      <c r="B4026" s="1">
        <v>2200537</v>
      </c>
      <c r="C4026" s="5" t="s">
        <v>233</v>
      </c>
      <c r="D4026" s="5" t="str">
        <f>VLOOKUP(C4026,[1]master_data!$A$2:$E$495,2,FALSE)</f>
        <v>FISH LOVE PAKAN</v>
      </c>
      <c r="E4026" s="5">
        <v>1</v>
      </c>
      <c r="F4026" s="5">
        <f>VLOOKUP(C4026,[1]master_data!$A$2:$E$495,3,FALSE)</f>
        <v>2500</v>
      </c>
      <c r="G4026" s="5">
        <f>VLOOKUP(C4026,[1]master_data!$A$2:$E$495,4,FALSE)</f>
        <v>5000</v>
      </c>
      <c r="H4026" s="5">
        <f t="shared" si="192"/>
        <v>2500</v>
      </c>
      <c r="I4026" s="5">
        <f t="shared" si="193"/>
        <v>5000</v>
      </c>
      <c r="J4026" s="5">
        <f t="shared" si="194"/>
        <v>2500</v>
      </c>
      <c r="K4026" s="5" t="str">
        <f>VLOOKUP(C4026,[1]master_data!$A$2:$E$495,5,FALSE)</f>
        <v>Aksesoris</v>
      </c>
      <c r="L4026" s="5" t="s">
        <v>471</v>
      </c>
    </row>
    <row r="4027" spans="1:12" ht="12" customHeight="1" x14ac:dyDescent="0.25">
      <c r="A4027" s="6">
        <v>44591</v>
      </c>
      <c r="B4027" s="1">
        <v>2200536</v>
      </c>
      <c r="C4027" s="5" t="s">
        <v>260</v>
      </c>
      <c r="D4027" s="5" t="str">
        <f>VLOOKUP(C4027,[1]master_data!$A$2:$E$495,2,FALSE)</f>
        <v>BUNGA K</v>
      </c>
      <c r="E4027" s="5">
        <v>2</v>
      </c>
      <c r="F4027" s="5">
        <f>VLOOKUP(C4027,[1]master_data!$A$2:$E$495,3,FALSE)</f>
        <v>2500</v>
      </c>
      <c r="G4027" s="5">
        <f>VLOOKUP(C4027,[1]master_data!$A$2:$E$495,4,FALSE)</f>
        <v>5000</v>
      </c>
      <c r="H4027" s="5">
        <f t="shared" si="192"/>
        <v>5000</v>
      </c>
      <c r="I4027" s="5">
        <f t="shared" si="193"/>
        <v>10000</v>
      </c>
      <c r="J4027" s="5">
        <f t="shared" si="194"/>
        <v>5000</v>
      </c>
      <c r="K4027" s="5" t="str">
        <f>VLOOKUP(C4027,[1]master_data!$A$2:$E$495,5,FALSE)</f>
        <v>Aksesoris</v>
      </c>
      <c r="L4027" s="5" t="s">
        <v>471</v>
      </c>
    </row>
    <row r="4028" spans="1:12" ht="12" customHeight="1" x14ac:dyDescent="0.25">
      <c r="A4028" s="6">
        <v>44591</v>
      </c>
      <c r="B4028" s="1">
        <v>2200535</v>
      </c>
      <c r="C4028" s="5" t="s">
        <v>407</v>
      </c>
      <c r="D4028" s="5" t="str">
        <f>VLOOKUP(C4028,[1]master_data!$A$2:$E$495,2,FALSE)</f>
        <v>CUPANG</v>
      </c>
      <c r="E4028" s="5">
        <v>1</v>
      </c>
      <c r="F4028" s="5">
        <f>VLOOKUP(C4028,[1]master_data!$A$2:$E$495,3,FALSE)</f>
        <v>2000</v>
      </c>
      <c r="G4028" s="5">
        <f>VLOOKUP(C4028,[1]master_data!$A$2:$E$495,4,FALSE)</f>
        <v>5000</v>
      </c>
      <c r="H4028" s="5">
        <f t="shared" si="192"/>
        <v>2000</v>
      </c>
      <c r="I4028" s="5">
        <f t="shared" si="193"/>
        <v>5000</v>
      </c>
      <c r="J4028" s="5">
        <f t="shared" si="194"/>
        <v>3000</v>
      </c>
      <c r="K4028" s="5" t="str">
        <f>VLOOKUP(C4028,[1]master_data!$A$2:$E$495,5,FALSE)</f>
        <v>Ikan</v>
      </c>
      <c r="L4028" s="5" t="s">
        <v>471</v>
      </c>
    </row>
    <row r="4029" spans="1:12" ht="12" customHeight="1" x14ac:dyDescent="0.25">
      <c r="A4029" s="6">
        <v>44591</v>
      </c>
      <c r="B4029" s="1">
        <v>2200534</v>
      </c>
      <c r="C4029" s="5" t="s">
        <v>381</v>
      </c>
      <c r="D4029" s="5" t="str">
        <f>VLOOKUP(C4029,[1]master_data!$A$2:$E$495,2,FALSE)</f>
        <v>BATU WARNA FOSFOR K</v>
      </c>
      <c r="E4029" s="5">
        <v>1</v>
      </c>
      <c r="F4029" s="5">
        <f>VLOOKUP(C4029,[1]master_data!$A$2:$E$495,3,FALSE)</f>
        <v>5500</v>
      </c>
      <c r="G4029" s="5">
        <f>VLOOKUP(C4029,[1]master_data!$A$2:$E$495,4,FALSE)</f>
        <v>10000</v>
      </c>
      <c r="H4029" s="5">
        <f t="shared" si="192"/>
        <v>5500</v>
      </c>
      <c r="I4029" s="5">
        <f t="shared" si="193"/>
        <v>10000</v>
      </c>
      <c r="J4029" s="5">
        <f t="shared" si="194"/>
        <v>4500</v>
      </c>
      <c r="K4029" s="5" t="str">
        <f>VLOOKUP(C4029,[1]master_data!$A$2:$E$495,5,FALSE)</f>
        <v>Aksesoris</v>
      </c>
      <c r="L4029" s="5" t="s">
        <v>471</v>
      </c>
    </row>
    <row r="4030" spans="1:12" ht="12" customHeight="1" x14ac:dyDescent="0.25">
      <c r="A4030" s="6">
        <v>44591</v>
      </c>
      <c r="B4030" s="1">
        <v>2200533</v>
      </c>
      <c r="C4030" s="5" t="s">
        <v>403</v>
      </c>
      <c r="D4030" s="5" t="str">
        <f>VLOOKUP(C4030,[1]master_data!$A$2:$E$495,2,FALSE)</f>
        <v>CHANNA BLUE PULCHRA K</v>
      </c>
      <c r="E4030" s="5">
        <v>1</v>
      </c>
      <c r="F4030" s="5">
        <f>VLOOKUP(C4030,[1]master_data!$A$2:$E$495,3,FALSE)</f>
        <v>25000</v>
      </c>
      <c r="G4030" s="5">
        <f>VLOOKUP(C4030,[1]master_data!$A$2:$E$495,4,FALSE)</f>
        <v>50000</v>
      </c>
      <c r="H4030" s="5">
        <f t="shared" si="192"/>
        <v>25000</v>
      </c>
      <c r="I4030" s="5">
        <f t="shared" si="193"/>
        <v>50000</v>
      </c>
      <c r="J4030" s="5">
        <f t="shared" si="194"/>
        <v>25000</v>
      </c>
      <c r="K4030" s="5" t="str">
        <f>VLOOKUP(C4030,[1]master_data!$A$2:$E$495,5,FALSE)</f>
        <v>Ikan</v>
      </c>
      <c r="L4030" s="5" t="s">
        <v>471</v>
      </c>
    </row>
    <row r="4031" spans="1:12" ht="12" customHeight="1" x14ac:dyDescent="0.25">
      <c r="A4031" s="6">
        <v>44591</v>
      </c>
      <c r="B4031" s="1">
        <v>2200532</v>
      </c>
      <c r="C4031" s="5" t="s">
        <v>427</v>
      </c>
      <c r="D4031" s="5" t="str">
        <f>VLOOKUP(C4031,[1]master_data!$A$2:$E$495,2,FALSE)</f>
        <v>LEMON</v>
      </c>
      <c r="E4031" s="5">
        <v>10</v>
      </c>
      <c r="F4031" s="5">
        <f>VLOOKUP(C4031,[1]master_data!$A$2:$E$495,3,FALSE)</f>
        <v>1000</v>
      </c>
      <c r="G4031" s="5">
        <f>VLOOKUP(C4031,[1]master_data!$A$2:$E$495,4,FALSE)</f>
        <v>2000</v>
      </c>
      <c r="H4031" s="5">
        <f t="shared" si="192"/>
        <v>10000</v>
      </c>
      <c r="I4031" s="5">
        <f t="shared" si="193"/>
        <v>20000</v>
      </c>
      <c r="J4031" s="5">
        <f t="shared" si="194"/>
        <v>10000</v>
      </c>
      <c r="K4031" s="5" t="str">
        <f>VLOOKUP(C4031,[1]master_data!$A$2:$E$495,5,FALSE)</f>
        <v>Ikan</v>
      </c>
      <c r="L4031" s="5" t="s">
        <v>471</v>
      </c>
    </row>
    <row r="4032" spans="1:12" ht="12" customHeight="1" x14ac:dyDescent="0.25">
      <c r="A4032" s="6">
        <v>44591</v>
      </c>
      <c r="B4032" s="1">
        <v>2200531</v>
      </c>
      <c r="C4032" s="5" t="s">
        <v>45</v>
      </c>
      <c r="D4032" s="5" t="str">
        <f>VLOOKUP(C4032,[1]master_data!$A$2:$E$495,2,FALSE)</f>
        <v>TOP FILTER NIKITA K</v>
      </c>
      <c r="E4032" s="5">
        <v>1</v>
      </c>
      <c r="F4032" s="5">
        <f>VLOOKUP(C4032,[1]master_data!$A$2:$E$495,3,FALSE)</f>
        <v>36000</v>
      </c>
      <c r="G4032" s="5">
        <f>VLOOKUP(C4032,[1]master_data!$A$2:$E$495,4,FALSE)</f>
        <v>55000</v>
      </c>
      <c r="H4032" s="5">
        <f t="shared" si="192"/>
        <v>36000</v>
      </c>
      <c r="I4032" s="5">
        <f t="shared" si="193"/>
        <v>55000</v>
      </c>
      <c r="J4032" s="5">
        <f t="shared" si="194"/>
        <v>19000</v>
      </c>
      <c r="K4032" s="5" t="str">
        <f>VLOOKUP(C4032,[1]master_data!$A$2:$E$495,5,FALSE)</f>
        <v>Aksesoris</v>
      </c>
      <c r="L4032" s="5" t="s">
        <v>471</v>
      </c>
    </row>
    <row r="4033" spans="1:12" ht="12" customHeight="1" x14ac:dyDescent="0.25">
      <c r="A4033" s="6">
        <v>44591</v>
      </c>
      <c r="B4033" s="1">
        <v>2200530</v>
      </c>
      <c r="C4033" s="5" t="s">
        <v>362</v>
      </c>
      <c r="D4033" s="5" t="str">
        <f>VLOOKUP(C4033,[1]master_data!$A$2:$E$495,2,FALSE)</f>
        <v>AKUARIUM 50 POLOS</v>
      </c>
      <c r="E4033" s="5">
        <v>1</v>
      </c>
      <c r="F4033" s="5">
        <f>VLOOKUP(C4033,[1]master_data!$A$2:$E$495,3,FALSE)</f>
        <v>100000</v>
      </c>
      <c r="G4033" s="5">
        <f>VLOOKUP(C4033,[1]master_data!$A$2:$E$495,4,FALSE)</f>
        <v>130000</v>
      </c>
      <c r="H4033" s="5">
        <f t="shared" si="192"/>
        <v>100000</v>
      </c>
      <c r="I4033" s="5">
        <f t="shared" si="193"/>
        <v>130000</v>
      </c>
      <c r="J4033" s="5">
        <f t="shared" si="194"/>
        <v>30000</v>
      </c>
      <c r="K4033" s="5" t="str">
        <f>VLOOKUP(C4033,[1]master_data!$A$2:$E$495,5,FALSE)</f>
        <v>Aksesoris</v>
      </c>
      <c r="L4033" s="5" t="s">
        <v>471</v>
      </c>
    </row>
    <row r="4034" spans="1:12" ht="12" customHeight="1" x14ac:dyDescent="0.25">
      <c r="A4034" s="6">
        <v>44591</v>
      </c>
      <c r="B4034" s="1">
        <v>2200529</v>
      </c>
      <c r="C4034" s="5" t="s">
        <v>285</v>
      </c>
      <c r="D4034" s="5" t="str">
        <f>VLOOKUP(C4034,[1]master_data!$A$2:$E$495,2,FALSE)</f>
        <v>KAPAS 4 LAPIS</v>
      </c>
      <c r="E4034" s="5">
        <v>1</v>
      </c>
      <c r="F4034" s="5">
        <f>VLOOKUP(C4034,[1]master_data!$A$2:$E$495,3,FALSE)</f>
        <v>6500</v>
      </c>
      <c r="G4034" s="5">
        <f>VLOOKUP(C4034,[1]master_data!$A$2:$E$495,4,FALSE)</f>
        <v>10000</v>
      </c>
      <c r="H4034" s="5">
        <f t="shared" si="192"/>
        <v>6500</v>
      </c>
      <c r="I4034" s="5">
        <f t="shared" si="193"/>
        <v>10000</v>
      </c>
      <c r="J4034" s="5">
        <f t="shared" si="194"/>
        <v>3500</v>
      </c>
      <c r="K4034" s="5" t="str">
        <f>VLOOKUP(C4034,[1]master_data!$A$2:$E$495,5,FALSE)</f>
        <v>Aksesoris</v>
      </c>
      <c r="L4034" s="5" t="s">
        <v>471</v>
      </c>
    </row>
    <row r="4035" spans="1:12" ht="12" customHeight="1" x14ac:dyDescent="0.25">
      <c r="A4035" s="6">
        <v>44591</v>
      </c>
      <c r="B4035" s="1">
        <v>2200528</v>
      </c>
      <c r="C4035" s="5" t="s">
        <v>263</v>
      </c>
      <c r="D4035" s="5" t="str">
        <f>VLOOKUP(C4035,[1]master_data!$A$2:$E$495,2,FALSE)</f>
        <v>COP SEKAT KACA</v>
      </c>
      <c r="E4035" s="5">
        <v>10</v>
      </c>
      <c r="F4035" s="5">
        <f>VLOOKUP(C4035,[1]master_data!$A$2:$E$495,3,FALSE)</f>
        <v>800</v>
      </c>
      <c r="G4035" s="5">
        <f>VLOOKUP(C4035,[1]master_data!$A$2:$E$495,4,FALSE)</f>
        <v>2000</v>
      </c>
      <c r="H4035" s="5">
        <f t="shared" si="192"/>
        <v>8000</v>
      </c>
      <c r="I4035" s="5">
        <f t="shared" si="193"/>
        <v>20000</v>
      </c>
      <c r="J4035" s="5">
        <f t="shared" si="194"/>
        <v>12000</v>
      </c>
      <c r="K4035" s="5" t="str">
        <f>VLOOKUP(C4035,[1]master_data!$A$2:$E$495,5,FALSE)</f>
        <v>Aksesoris</v>
      </c>
      <c r="L4035" s="5" t="s">
        <v>471</v>
      </c>
    </row>
    <row r="4036" spans="1:12" ht="12" customHeight="1" x14ac:dyDescent="0.25">
      <c r="A4036" s="6">
        <v>44591</v>
      </c>
      <c r="B4036" s="1">
        <v>2200527</v>
      </c>
      <c r="C4036" s="5" t="s">
        <v>274</v>
      </c>
      <c r="D4036" s="5" t="str">
        <f>VLOOKUP(C4036,[1]master_data!$A$2:$E$495,2,FALSE)</f>
        <v>JARING 15</v>
      </c>
      <c r="E4036" s="5">
        <v>1</v>
      </c>
      <c r="F4036" s="5">
        <f>VLOOKUP(C4036,[1]master_data!$A$2:$E$495,3,FALSE)</f>
        <v>3750</v>
      </c>
      <c r="G4036" s="5">
        <f>VLOOKUP(C4036,[1]master_data!$A$2:$E$495,4,FALSE)</f>
        <v>8000</v>
      </c>
      <c r="H4036" s="5">
        <f t="shared" si="192"/>
        <v>3750</v>
      </c>
      <c r="I4036" s="5">
        <f t="shared" si="193"/>
        <v>8000</v>
      </c>
      <c r="J4036" s="5">
        <f t="shared" si="194"/>
        <v>4250</v>
      </c>
      <c r="K4036" s="5" t="str">
        <f>VLOOKUP(C4036,[1]master_data!$A$2:$E$495,5,FALSE)</f>
        <v>Aksesoris</v>
      </c>
      <c r="L4036" s="5" t="s">
        <v>471</v>
      </c>
    </row>
    <row r="4037" spans="1:12" ht="12" customHeight="1" x14ac:dyDescent="0.25">
      <c r="A4037" s="6">
        <v>44591</v>
      </c>
      <c r="B4037" s="1">
        <v>2200526</v>
      </c>
      <c r="C4037" s="5" t="s">
        <v>379</v>
      </c>
      <c r="D4037" s="5" t="str">
        <f>VLOOKUP(C4037,[1]master_data!$A$2:$E$495,2,FALSE)</f>
        <v>PASIR SILICA</v>
      </c>
      <c r="E4037" s="5">
        <v>1</v>
      </c>
      <c r="F4037" s="5">
        <f>VLOOKUP(C4037,[1]master_data!$A$2:$E$495,3,FALSE)</f>
        <v>5000</v>
      </c>
      <c r="G4037" s="5">
        <f>VLOOKUP(C4037,[1]master_data!$A$2:$E$495,4,FALSE)</f>
        <v>10000</v>
      </c>
      <c r="H4037" s="5">
        <f t="shared" ref="H4037:H4100" si="195">E4037*F4037</f>
        <v>5000</v>
      </c>
      <c r="I4037" s="5">
        <f t="shared" ref="I4037:I4100" si="196">E4037*G4037</f>
        <v>10000</v>
      </c>
      <c r="J4037" s="5">
        <f t="shared" ref="J4037:J4100" si="197">I4037-H4037</f>
        <v>5000</v>
      </c>
      <c r="K4037" s="5" t="str">
        <f>VLOOKUP(C4037,[1]master_data!$A$2:$E$495,5,FALSE)</f>
        <v>Aksesoris</v>
      </c>
      <c r="L4037" s="5" t="s">
        <v>471</v>
      </c>
    </row>
    <row r="4038" spans="1:12" ht="12" customHeight="1" x14ac:dyDescent="0.25">
      <c r="A4038" s="6">
        <v>44591</v>
      </c>
      <c r="B4038" s="1">
        <v>2200525</v>
      </c>
      <c r="C4038" s="5" t="s">
        <v>461</v>
      </c>
      <c r="D4038" s="5" t="str">
        <f>VLOOKUP(C4038,[1]master_data!$A$2:$E$495,2,FALSE)</f>
        <v>SEPAT</v>
      </c>
      <c r="E4038" s="5">
        <v>3</v>
      </c>
      <c r="F4038" s="5">
        <f>VLOOKUP(C4038,[1]master_data!$A$2:$E$495,3,FALSE)</f>
        <v>600</v>
      </c>
      <c r="G4038" s="5">
        <f>VLOOKUP(C4038,[1]master_data!$A$2:$E$495,4,FALSE)</f>
        <v>2000</v>
      </c>
      <c r="H4038" s="5">
        <f t="shared" si="195"/>
        <v>1800</v>
      </c>
      <c r="I4038" s="5">
        <f t="shared" si="196"/>
        <v>6000</v>
      </c>
      <c r="J4038" s="5">
        <f t="shared" si="197"/>
        <v>4200</v>
      </c>
      <c r="K4038" s="5" t="str">
        <f>VLOOKUP(C4038,[1]master_data!$A$2:$E$495,5,FALSE)</f>
        <v>Ikan</v>
      </c>
      <c r="L4038" s="5" t="s">
        <v>471</v>
      </c>
    </row>
    <row r="4039" spans="1:12" ht="12" customHeight="1" x14ac:dyDescent="0.25">
      <c r="A4039" s="6">
        <v>44591</v>
      </c>
      <c r="B4039" s="1">
        <v>2200524</v>
      </c>
      <c r="C4039" s="5" t="s">
        <v>432</v>
      </c>
      <c r="D4039" s="5" t="str">
        <f>VLOOKUP(C4039,[1]master_data!$A$2:$E$495,2,FALSE)</f>
        <v>MARU K</v>
      </c>
      <c r="E4039" s="5">
        <v>1</v>
      </c>
      <c r="F4039" s="5">
        <f>VLOOKUP(C4039,[1]master_data!$A$2:$E$495,3,FALSE)</f>
        <v>23000</v>
      </c>
      <c r="G4039" s="5">
        <f>VLOOKUP(C4039,[1]master_data!$A$2:$E$495,4,FALSE)</f>
        <v>50000</v>
      </c>
      <c r="H4039" s="5">
        <f t="shared" si="195"/>
        <v>23000</v>
      </c>
      <c r="I4039" s="5">
        <f t="shared" si="196"/>
        <v>50000</v>
      </c>
      <c r="J4039" s="5">
        <f t="shared" si="197"/>
        <v>27000</v>
      </c>
      <c r="K4039" s="5" t="str">
        <f>VLOOKUP(C4039,[1]master_data!$A$2:$E$495,5,FALSE)</f>
        <v>Ikan</v>
      </c>
      <c r="L4039" s="5" t="s">
        <v>471</v>
      </c>
    </row>
    <row r="4040" spans="1:12" ht="12" customHeight="1" x14ac:dyDescent="0.25">
      <c r="A4040" s="6">
        <v>44591</v>
      </c>
      <c r="B4040" s="1">
        <v>2200523</v>
      </c>
      <c r="C4040" s="5" t="s">
        <v>410</v>
      </c>
      <c r="D4040" s="5" t="str">
        <f>VLOOKUP(C4040,[1]master_data!$A$2:$E$495,2,FALSE)</f>
        <v>GUPY</v>
      </c>
      <c r="E4040" s="5">
        <v>10</v>
      </c>
      <c r="F4040" s="5">
        <f>VLOOKUP(C4040,[1]master_data!$A$2:$E$495,3,FALSE)</f>
        <v>1200</v>
      </c>
      <c r="G4040" s="5">
        <f>VLOOKUP(C4040,[1]master_data!$A$2:$E$495,4,FALSE)</f>
        <v>2500</v>
      </c>
      <c r="H4040" s="5">
        <f t="shared" si="195"/>
        <v>12000</v>
      </c>
      <c r="I4040" s="5">
        <f t="shared" si="196"/>
        <v>25000</v>
      </c>
      <c r="J4040" s="5">
        <f t="shared" si="197"/>
        <v>13000</v>
      </c>
      <c r="K4040" s="5" t="str">
        <f>VLOOKUP(C4040,[1]master_data!$A$2:$E$495,5,FALSE)</f>
        <v>Ikan</v>
      </c>
      <c r="L4040" s="5" t="s">
        <v>471</v>
      </c>
    </row>
    <row r="4041" spans="1:12" ht="12" customHeight="1" x14ac:dyDescent="0.25">
      <c r="A4041" s="6">
        <v>44591</v>
      </c>
      <c r="B4041" s="1">
        <v>2200522</v>
      </c>
      <c r="C4041" s="5" t="s">
        <v>432</v>
      </c>
      <c r="D4041" s="5" t="str">
        <f>VLOOKUP(C4041,[1]master_data!$A$2:$E$495,2,FALSE)</f>
        <v>MARU K</v>
      </c>
      <c r="E4041" s="5">
        <v>2</v>
      </c>
      <c r="F4041" s="5">
        <f>VLOOKUP(C4041,[1]master_data!$A$2:$E$495,3,FALSE)</f>
        <v>23000</v>
      </c>
      <c r="G4041" s="5">
        <f>VLOOKUP(C4041,[1]master_data!$A$2:$E$495,4,FALSE)</f>
        <v>50000</v>
      </c>
      <c r="H4041" s="5">
        <f t="shared" si="195"/>
        <v>46000</v>
      </c>
      <c r="I4041" s="5">
        <f t="shared" si="196"/>
        <v>100000</v>
      </c>
      <c r="J4041" s="5">
        <f t="shared" si="197"/>
        <v>54000</v>
      </c>
      <c r="K4041" s="5" t="str">
        <f>VLOOKUP(C4041,[1]master_data!$A$2:$E$495,5,FALSE)</f>
        <v>Ikan</v>
      </c>
      <c r="L4041" s="5" t="s">
        <v>471</v>
      </c>
    </row>
    <row r="4042" spans="1:12" ht="12" customHeight="1" x14ac:dyDescent="0.25">
      <c r="A4042" s="6">
        <v>44591</v>
      </c>
      <c r="B4042" s="1">
        <v>2200521</v>
      </c>
      <c r="C4042" s="5" t="s">
        <v>397</v>
      </c>
      <c r="D4042" s="5" t="str">
        <f>VLOOKUP(C4042,[1]master_data!$A$2:$E$495,2,FALSE)</f>
        <v>ALIGATOR</v>
      </c>
      <c r="E4042" s="5">
        <v>1</v>
      </c>
      <c r="F4042" s="5">
        <f>VLOOKUP(C4042,[1]master_data!$A$2:$E$495,3,FALSE)</f>
        <v>17000</v>
      </c>
      <c r="G4042" s="5">
        <f>VLOOKUP(C4042,[1]master_data!$A$2:$E$495,4,FALSE)</f>
        <v>35000</v>
      </c>
      <c r="H4042" s="5">
        <f t="shared" si="195"/>
        <v>17000</v>
      </c>
      <c r="I4042" s="5">
        <f t="shared" si="196"/>
        <v>35000</v>
      </c>
      <c r="J4042" s="5">
        <f t="shared" si="197"/>
        <v>18000</v>
      </c>
      <c r="K4042" s="5" t="str">
        <f>VLOOKUP(C4042,[1]master_data!$A$2:$E$495,5,FALSE)</f>
        <v>Ikan</v>
      </c>
      <c r="L4042" s="5" t="s">
        <v>471</v>
      </c>
    </row>
    <row r="4043" spans="1:12" ht="12" customHeight="1" x14ac:dyDescent="0.25">
      <c r="A4043" s="6">
        <v>44591</v>
      </c>
      <c r="B4043" s="1">
        <v>2200520</v>
      </c>
      <c r="C4043" s="5" t="s">
        <v>462</v>
      </c>
      <c r="D4043" s="5" t="str">
        <f>VLOOKUP(C4043,[1]master_data!$A$2:$E$495,2,FALSE)</f>
        <v>SEPAT ALBINO</v>
      </c>
      <c r="E4043" s="5">
        <v>2</v>
      </c>
      <c r="F4043" s="5">
        <f>VLOOKUP(C4043,[1]master_data!$A$2:$E$495,3,FALSE)</f>
        <v>2000</v>
      </c>
      <c r="G4043" s="5">
        <f>VLOOKUP(C4043,[1]master_data!$A$2:$E$495,4,FALSE)</f>
        <v>5000</v>
      </c>
      <c r="H4043" s="5">
        <f t="shared" si="195"/>
        <v>4000</v>
      </c>
      <c r="I4043" s="5">
        <f t="shared" si="196"/>
        <v>10000</v>
      </c>
      <c r="J4043" s="5">
        <f t="shared" si="197"/>
        <v>6000</v>
      </c>
      <c r="K4043" s="5" t="str">
        <f>VLOOKUP(C4043,[1]master_data!$A$2:$E$495,5,FALSE)</f>
        <v>Ikan</v>
      </c>
      <c r="L4043" s="5" t="s">
        <v>471</v>
      </c>
    </row>
    <row r="4044" spans="1:12" ht="12" customHeight="1" x14ac:dyDescent="0.25">
      <c r="A4044" s="6">
        <v>44591</v>
      </c>
      <c r="B4044" s="1">
        <v>2200519</v>
      </c>
      <c r="C4044" s="5" t="s">
        <v>390</v>
      </c>
      <c r="D4044" s="5" t="str">
        <f>VLOOKUP(C4044,[1]master_data!$A$2:$E$495,2,FALSE)</f>
        <v>CHANNA ASIATICA K</v>
      </c>
      <c r="E4044" s="5">
        <v>1</v>
      </c>
      <c r="F4044" s="5">
        <f>VLOOKUP(C4044,[1]master_data!$A$2:$E$495,3,FALSE)</f>
        <v>10000</v>
      </c>
      <c r="G4044" s="5">
        <f>VLOOKUP(C4044,[1]master_data!$A$2:$E$495,4,FALSE)</f>
        <v>40000</v>
      </c>
      <c r="H4044" s="5">
        <f t="shared" si="195"/>
        <v>10000</v>
      </c>
      <c r="I4044" s="5">
        <f t="shared" si="196"/>
        <v>40000</v>
      </c>
      <c r="J4044" s="5">
        <f t="shared" si="197"/>
        <v>30000</v>
      </c>
      <c r="K4044" s="5" t="str">
        <f>VLOOKUP(C4044,[1]master_data!$A$2:$E$495,5,FALSE)</f>
        <v>Ikan</v>
      </c>
      <c r="L4044" s="5" t="s">
        <v>471</v>
      </c>
    </row>
    <row r="4045" spans="1:12" ht="12" customHeight="1" x14ac:dyDescent="0.25">
      <c r="A4045" s="6">
        <v>44591</v>
      </c>
      <c r="B4045" s="1">
        <v>2200518</v>
      </c>
      <c r="C4045" s="5" t="s">
        <v>413</v>
      </c>
      <c r="D4045" s="5" t="str">
        <f>VLOOKUP(C4045,[1]master_data!$A$2:$E$495,2,FALSE)</f>
        <v>KOKI K</v>
      </c>
      <c r="E4045" s="5">
        <v>5</v>
      </c>
      <c r="F4045" s="5">
        <f>VLOOKUP(C4045,[1]master_data!$A$2:$E$495,3,FALSE)</f>
        <v>3500</v>
      </c>
      <c r="G4045" s="5">
        <f>VLOOKUP(C4045,[1]master_data!$A$2:$E$495,4,FALSE)</f>
        <v>10000</v>
      </c>
      <c r="H4045" s="5">
        <f t="shared" si="195"/>
        <v>17500</v>
      </c>
      <c r="I4045" s="5">
        <f t="shared" si="196"/>
        <v>50000</v>
      </c>
      <c r="J4045" s="5">
        <f t="shared" si="197"/>
        <v>32500</v>
      </c>
      <c r="K4045" s="5" t="str">
        <f>VLOOKUP(C4045,[1]master_data!$A$2:$E$495,5,FALSE)</f>
        <v>Ikan</v>
      </c>
      <c r="L4045" s="5" t="s">
        <v>471</v>
      </c>
    </row>
    <row r="4046" spans="1:12" ht="12" customHeight="1" x14ac:dyDescent="0.25">
      <c r="A4046" s="6">
        <v>44590</v>
      </c>
      <c r="B4046" s="1">
        <v>2200517</v>
      </c>
      <c r="C4046" s="5" t="s">
        <v>267</v>
      </c>
      <c r="D4046" s="5" t="str">
        <f>VLOOKUP(C4046,[1]master_data!$A$2:$E$495,2,FALSE)</f>
        <v>GARAM</v>
      </c>
      <c r="E4046" s="5">
        <v>1</v>
      </c>
      <c r="F4046" s="5">
        <f>VLOOKUP(C4046,[1]master_data!$A$2:$E$495,3,FALSE)</f>
        <v>3000</v>
      </c>
      <c r="G4046" s="5">
        <f>VLOOKUP(C4046,[1]master_data!$A$2:$E$495,4,FALSE)</f>
        <v>5000</v>
      </c>
      <c r="H4046" s="5">
        <f t="shared" si="195"/>
        <v>3000</v>
      </c>
      <c r="I4046" s="5">
        <f t="shared" si="196"/>
        <v>5000</v>
      </c>
      <c r="J4046" s="5">
        <f t="shared" si="197"/>
        <v>2000</v>
      </c>
      <c r="K4046" s="5" t="str">
        <f>VLOOKUP(C4046,[1]master_data!$A$2:$E$495,5,FALSE)</f>
        <v>Aksesoris</v>
      </c>
      <c r="L4046" s="5" t="s">
        <v>471</v>
      </c>
    </row>
    <row r="4047" spans="1:12" ht="12" customHeight="1" x14ac:dyDescent="0.25">
      <c r="A4047" s="6">
        <v>44590</v>
      </c>
      <c r="B4047" s="1">
        <v>2200516</v>
      </c>
      <c r="C4047" s="5" t="s">
        <v>405</v>
      </c>
      <c r="D4047" s="5" t="str">
        <f>VLOOKUP(C4047,[1]master_data!$A$2:$E$495,2,FALSE)</f>
        <v>KOMET BOKIM</v>
      </c>
      <c r="E4047" s="5">
        <v>6</v>
      </c>
      <c r="F4047" s="5">
        <f>VLOOKUP(C4047,[1]master_data!$A$2:$E$495,3,FALSE)</f>
        <v>1500</v>
      </c>
      <c r="G4047" s="5">
        <f>VLOOKUP(C4047,[1]master_data!$A$2:$E$495,4,FALSE)</f>
        <v>5000</v>
      </c>
      <c r="H4047" s="5">
        <f t="shared" si="195"/>
        <v>9000</v>
      </c>
      <c r="I4047" s="5">
        <f t="shared" si="196"/>
        <v>30000</v>
      </c>
      <c r="J4047" s="5">
        <f t="shared" si="197"/>
        <v>21000</v>
      </c>
      <c r="K4047" s="5" t="str">
        <f>VLOOKUP(C4047,[1]master_data!$A$2:$E$495,5,FALSE)</f>
        <v>Ikan</v>
      </c>
      <c r="L4047" s="5" t="s">
        <v>471</v>
      </c>
    </row>
    <row r="4048" spans="1:12" ht="12" customHeight="1" x14ac:dyDescent="0.25">
      <c r="A4048" s="6">
        <v>44590</v>
      </c>
      <c r="B4048" s="1">
        <v>2200515</v>
      </c>
      <c r="C4048" s="5" t="s">
        <v>45</v>
      </c>
      <c r="D4048" s="5" t="str">
        <f>VLOOKUP(C4048,[1]master_data!$A$2:$E$495,2,FALSE)</f>
        <v>TOP FILTER NIKITA K</v>
      </c>
      <c r="E4048" s="5">
        <v>1</v>
      </c>
      <c r="F4048" s="5">
        <f>VLOOKUP(C4048,[1]master_data!$A$2:$E$495,3,FALSE)</f>
        <v>36000</v>
      </c>
      <c r="G4048" s="5">
        <f>VLOOKUP(C4048,[1]master_data!$A$2:$E$495,4,FALSE)</f>
        <v>55000</v>
      </c>
      <c r="H4048" s="5">
        <f t="shared" si="195"/>
        <v>36000</v>
      </c>
      <c r="I4048" s="5">
        <f t="shared" si="196"/>
        <v>55000</v>
      </c>
      <c r="J4048" s="5">
        <f t="shared" si="197"/>
        <v>19000</v>
      </c>
      <c r="K4048" s="5" t="str">
        <f>VLOOKUP(C4048,[1]master_data!$A$2:$E$495,5,FALSE)</f>
        <v>Aksesoris</v>
      </c>
      <c r="L4048" s="5" t="s">
        <v>471</v>
      </c>
    </row>
    <row r="4049" spans="1:12" ht="12" customHeight="1" x14ac:dyDescent="0.25">
      <c r="A4049" s="6">
        <v>44590</v>
      </c>
      <c r="B4049" s="1">
        <v>2200514</v>
      </c>
      <c r="C4049" s="5" t="s">
        <v>45</v>
      </c>
      <c r="D4049" s="5" t="str">
        <f>VLOOKUP(C4049,[1]master_data!$A$2:$E$495,2,FALSE)</f>
        <v>TOP FILTER NIKITA K</v>
      </c>
      <c r="E4049" s="5">
        <v>1</v>
      </c>
      <c r="F4049" s="5">
        <f>VLOOKUP(C4049,[1]master_data!$A$2:$E$495,3,FALSE)</f>
        <v>36000</v>
      </c>
      <c r="G4049" s="5">
        <f>VLOOKUP(C4049,[1]master_data!$A$2:$E$495,4,FALSE)</f>
        <v>55000</v>
      </c>
      <c r="H4049" s="5">
        <f t="shared" si="195"/>
        <v>36000</v>
      </c>
      <c r="I4049" s="5">
        <f t="shared" si="196"/>
        <v>55000</v>
      </c>
      <c r="J4049" s="5">
        <f t="shared" si="197"/>
        <v>19000</v>
      </c>
      <c r="K4049" s="5" t="str">
        <f>VLOOKUP(C4049,[1]master_data!$A$2:$E$495,5,FALSE)</f>
        <v>Aksesoris</v>
      </c>
      <c r="L4049" s="5" t="s">
        <v>471</v>
      </c>
    </row>
    <row r="4050" spans="1:12" ht="12" customHeight="1" x14ac:dyDescent="0.25">
      <c r="A4050" s="6">
        <v>44590</v>
      </c>
      <c r="B4050" s="1">
        <v>2200513</v>
      </c>
      <c r="C4050" s="5" t="s">
        <v>402</v>
      </c>
      <c r="D4050" s="5" t="str">
        <f>VLOOKUP(C4050,[1]master_data!$A$2:$E$495,2,FALSE)</f>
        <v>BLACK GHOST</v>
      </c>
      <c r="E4050" s="5">
        <v>4</v>
      </c>
      <c r="F4050" s="5">
        <f>VLOOKUP(C4050,[1]master_data!$A$2:$E$495,3,FALSE)</f>
        <v>4000</v>
      </c>
      <c r="G4050" s="5">
        <f>VLOOKUP(C4050,[1]master_data!$A$2:$E$495,4,FALSE)</f>
        <v>10000</v>
      </c>
      <c r="H4050" s="5">
        <f t="shared" si="195"/>
        <v>16000</v>
      </c>
      <c r="I4050" s="5">
        <f t="shared" si="196"/>
        <v>40000</v>
      </c>
      <c r="J4050" s="5">
        <f t="shared" si="197"/>
        <v>24000</v>
      </c>
      <c r="K4050" s="5" t="str">
        <f>VLOOKUP(C4050,[1]master_data!$A$2:$E$495,5,FALSE)</f>
        <v>Ikan</v>
      </c>
      <c r="L4050" s="5" t="s">
        <v>471</v>
      </c>
    </row>
    <row r="4051" spans="1:12" ht="12" customHeight="1" x14ac:dyDescent="0.25">
      <c r="A4051" s="6">
        <v>44590</v>
      </c>
      <c r="B4051" s="1">
        <v>2200512</v>
      </c>
      <c r="C4051" s="5" t="s">
        <v>431</v>
      </c>
      <c r="D4051" s="5" t="str">
        <f>VLOOKUP(C4051,[1]master_data!$A$2:$E$495,2,FALSE)</f>
        <v>MANFISH B</v>
      </c>
      <c r="E4051" s="5">
        <v>3</v>
      </c>
      <c r="F4051" s="5">
        <f>VLOOKUP(C4051,[1]master_data!$A$2:$E$495,3,FALSE)</f>
        <v>4000</v>
      </c>
      <c r="G4051" s="5">
        <f>VLOOKUP(C4051,[1]master_data!$A$2:$E$495,4,FALSE)</f>
        <v>10000</v>
      </c>
      <c r="H4051" s="5">
        <f t="shared" si="195"/>
        <v>12000</v>
      </c>
      <c r="I4051" s="5">
        <f t="shared" si="196"/>
        <v>30000</v>
      </c>
      <c r="J4051" s="5">
        <f t="shared" si="197"/>
        <v>18000</v>
      </c>
      <c r="K4051" s="5" t="str">
        <f>VLOOKUP(C4051,[1]master_data!$A$2:$E$495,5,FALSE)</f>
        <v>Ikan</v>
      </c>
      <c r="L4051" s="5" t="s">
        <v>471</v>
      </c>
    </row>
    <row r="4052" spans="1:12" ht="12" customHeight="1" x14ac:dyDescent="0.25">
      <c r="A4052" s="6">
        <v>44590</v>
      </c>
      <c r="B4052" s="1">
        <v>2200511</v>
      </c>
      <c r="C4052" s="5" t="s">
        <v>233</v>
      </c>
      <c r="D4052" s="5" t="str">
        <f>VLOOKUP(C4052,[1]master_data!$A$2:$E$495,2,FALSE)</f>
        <v>FISH LOVE PAKAN</v>
      </c>
      <c r="E4052" s="5">
        <v>1</v>
      </c>
      <c r="F4052" s="5">
        <f>VLOOKUP(C4052,[1]master_data!$A$2:$E$495,3,FALSE)</f>
        <v>2500</v>
      </c>
      <c r="G4052" s="5">
        <f>VLOOKUP(C4052,[1]master_data!$A$2:$E$495,4,FALSE)</f>
        <v>5000</v>
      </c>
      <c r="H4052" s="5">
        <f t="shared" si="195"/>
        <v>2500</v>
      </c>
      <c r="I4052" s="5">
        <f t="shared" si="196"/>
        <v>5000</v>
      </c>
      <c r="J4052" s="5">
        <f t="shared" si="197"/>
        <v>2500</v>
      </c>
      <c r="K4052" s="5" t="str">
        <f>VLOOKUP(C4052,[1]master_data!$A$2:$E$495,5,FALSE)</f>
        <v>Aksesoris</v>
      </c>
      <c r="L4052" s="5" t="s">
        <v>471</v>
      </c>
    </row>
    <row r="4053" spans="1:12" ht="12" customHeight="1" x14ac:dyDescent="0.25">
      <c r="A4053" s="6">
        <v>44590</v>
      </c>
      <c r="B4053" s="1">
        <v>2200510</v>
      </c>
      <c r="C4053" s="5" t="s">
        <v>233</v>
      </c>
      <c r="D4053" s="5" t="str">
        <f>VLOOKUP(C4053,[1]master_data!$A$2:$E$495,2,FALSE)</f>
        <v>FISH LOVE PAKAN</v>
      </c>
      <c r="E4053" s="5">
        <v>1</v>
      </c>
      <c r="F4053" s="5">
        <f>VLOOKUP(C4053,[1]master_data!$A$2:$E$495,3,FALSE)</f>
        <v>2500</v>
      </c>
      <c r="G4053" s="5">
        <f>VLOOKUP(C4053,[1]master_data!$A$2:$E$495,4,FALSE)</f>
        <v>5000</v>
      </c>
      <c r="H4053" s="5">
        <f t="shared" si="195"/>
        <v>2500</v>
      </c>
      <c r="I4053" s="5">
        <f t="shared" si="196"/>
        <v>5000</v>
      </c>
      <c r="J4053" s="5">
        <f t="shared" si="197"/>
        <v>2500</v>
      </c>
      <c r="K4053" s="5" t="str">
        <f>VLOOKUP(C4053,[1]master_data!$A$2:$E$495,5,FALSE)</f>
        <v>Aksesoris</v>
      </c>
      <c r="L4053" s="5" t="s">
        <v>471</v>
      </c>
    </row>
    <row r="4054" spans="1:12" ht="12" customHeight="1" x14ac:dyDescent="0.25">
      <c r="A4054" s="6">
        <v>44590</v>
      </c>
      <c r="B4054" s="1">
        <v>2200509</v>
      </c>
      <c r="C4054" s="5" t="s">
        <v>313</v>
      </c>
      <c r="D4054" s="5" t="str">
        <f>VLOOKUP(C4054,[1]master_data!$A$2:$E$495,2,FALSE)</f>
        <v>LURUS PIPA</v>
      </c>
      <c r="E4054" s="5">
        <v>15</v>
      </c>
      <c r="F4054" s="5">
        <f>VLOOKUP(C4054,[1]master_data!$A$2:$E$495,3,FALSE)</f>
        <v>800</v>
      </c>
      <c r="G4054" s="5">
        <f>VLOOKUP(C4054,[1]master_data!$A$2:$E$495,4,FALSE)</f>
        <v>2000</v>
      </c>
      <c r="H4054" s="5">
        <f t="shared" si="195"/>
        <v>12000</v>
      </c>
      <c r="I4054" s="5">
        <f t="shared" si="196"/>
        <v>30000</v>
      </c>
      <c r="J4054" s="5">
        <f t="shared" si="197"/>
        <v>18000</v>
      </c>
      <c r="K4054" s="5" t="str">
        <f>VLOOKUP(C4054,[1]master_data!$A$2:$E$495,5,FALSE)</f>
        <v>Aksesoris</v>
      </c>
      <c r="L4054" s="5" t="s">
        <v>471</v>
      </c>
    </row>
    <row r="4055" spans="1:12" ht="12" customHeight="1" x14ac:dyDescent="0.25">
      <c r="A4055" s="6">
        <v>44590</v>
      </c>
      <c r="B4055" s="1">
        <v>2200508</v>
      </c>
      <c r="C4055" s="5" t="s">
        <v>362</v>
      </c>
      <c r="D4055" s="5" t="str">
        <f>VLOOKUP(C4055,[1]master_data!$A$2:$E$495,2,FALSE)</f>
        <v>AKUARIUM 50 POLOS</v>
      </c>
      <c r="E4055" s="5">
        <v>1</v>
      </c>
      <c r="F4055" s="5">
        <f>VLOOKUP(C4055,[1]master_data!$A$2:$E$495,3,FALSE)</f>
        <v>100000</v>
      </c>
      <c r="G4055" s="5">
        <f>VLOOKUP(C4055,[1]master_data!$A$2:$E$495,4,FALSE)</f>
        <v>130000</v>
      </c>
      <c r="H4055" s="5">
        <f t="shared" si="195"/>
        <v>100000</v>
      </c>
      <c r="I4055" s="5">
        <f t="shared" si="196"/>
        <v>130000</v>
      </c>
      <c r="J4055" s="5">
        <f t="shared" si="197"/>
        <v>30000</v>
      </c>
      <c r="K4055" s="5" t="str">
        <f>VLOOKUP(C4055,[1]master_data!$A$2:$E$495,5,FALSE)</f>
        <v>Aksesoris</v>
      </c>
      <c r="L4055" s="5" t="s">
        <v>471</v>
      </c>
    </row>
    <row r="4056" spans="1:12" ht="12" customHeight="1" x14ac:dyDescent="0.25">
      <c r="A4056" s="6">
        <v>44590</v>
      </c>
      <c r="B4056" s="1">
        <v>2200507</v>
      </c>
      <c r="C4056" s="5" t="s">
        <v>363</v>
      </c>
      <c r="D4056" s="5" t="str">
        <f>VLOOKUP(C4056,[1]master_data!$A$2:$E$495,2,FALSE)</f>
        <v>AKUARIUM 50 ROBOT</v>
      </c>
      <c r="E4056" s="5">
        <v>1</v>
      </c>
      <c r="F4056" s="5">
        <f>VLOOKUP(C4056,[1]master_data!$A$2:$E$495,3,FALSE)</f>
        <v>115000</v>
      </c>
      <c r="G4056" s="5">
        <f>VLOOKUP(C4056,[1]master_data!$A$2:$E$495,4,FALSE)</f>
        <v>165000</v>
      </c>
      <c r="H4056" s="5">
        <f t="shared" si="195"/>
        <v>115000</v>
      </c>
      <c r="I4056" s="5">
        <f t="shared" si="196"/>
        <v>165000</v>
      </c>
      <c r="J4056" s="5">
        <f t="shared" si="197"/>
        <v>50000</v>
      </c>
      <c r="K4056" s="5" t="str">
        <f>VLOOKUP(C4056,[1]master_data!$A$2:$E$495,5,FALSE)</f>
        <v>Aksesoris</v>
      </c>
      <c r="L4056" s="5" t="s">
        <v>471</v>
      </c>
    </row>
    <row r="4057" spans="1:12" ht="12" customHeight="1" x14ac:dyDescent="0.25">
      <c r="A4057" s="6">
        <v>44590</v>
      </c>
      <c r="B4057" s="1">
        <v>2200506</v>
      </c>
      <c r="C4057" s="5" t="s">
        <v>415</v>
      </c>
      <c r="D4057" s="5" t="str">
        <f>VLOOKUP(C4057,[1]master_data!$A$2:$E$495,2,FALSE)</f>
        <v>KOKI B</v>
      </c>
      <c r="E4057" s="5">
        <v>1</v>
      </c>
      <c r="F4057" s="5">
        <f>VLOOKUP(C4057,[1]master_data!$A$2:$E$495,3,FALSE)</f>
        <v>20000</v>
      </c>
      <c r="G4057" s="5">
        <f>VLOOKUP(C4057,[1]master_data!$A$2:$E$495,4,FALSE)</f>
        <v>50000</v>
      </c>
      <c r="H4057" s="5">
        <f t="shared" si="195"/>
        <v>20000</v>
      </c>
      <c r="I4057" s="5">
        <f t="shared" si="196"/>
        <v>50000</v>
      </c>
      <c r="J4057" s="5">
        <f t="shared" si="197"/>
        <v>30000</v>
      </c>
      <c r="K4057" s="5" t="str">
        <f>VLOOKUP(C4057,[1]master_data!$A$2:$E$495,5,FALSE)</f>
        <v>Ikan</v>
      </c>
      <c r="L4057" s="5" t="s">
        <v>471</v>
      </c>
    </row>
    <row r="4058" spans="1:12" ht="12" customHeight="1" x14ac:dyDescent="0.25">
      <c r="A4058" s="6">
        <v>44590</v>
      </c>
      <c r="B4058" s="1">
        <v>2200505</v>
      </c>
      <c r="C4058" s="5" t="s">
        <v>442</v>
      </c>
      <c r="D4058" s="5" t="str">
        <f>VLOOKUP(C4058,[1]master_data!$A$2:$E$495,2,FALSE)</f>
        <v>PEMBERSIH KACA ALBINO</v>
      </c>
      <c r="E4058" s="5">
        <v>2</v>
      </c>
      <c r="F4058" s="5">
        <f>VLOOKUP(C4058,[1]master_data!$A$2:$E$495,3,FALSE)</f>
        <v>2500</v>
      </c>
      <c r="G4058" s="5">
        <f>VLOOKUP(C4058,[1]master_data!$A$2:$E$495,4,FALSE)</f>
        <v>5000</v>
      </c>
      <c r="H4058" s="5">
        <f t="shared" si="195"/>
        <v>5000</v>
      </c>
      <c r="I4058" s="5">
        <f t="shared" si="196"/>
        <v>10000</v>
      </c>
      <c r="J4058" s="5">
        <f t="shared" si="197"/>
        <v>5000</v>
      </c>
      <c r="K4058" s="5" t="str">
        <f>VLOOKUP(C4058,[1]master_data!$A$2:$E$495,5,FALSE)</f>
        <v>Ikan</v>
      </c>
      <c r="L4058" s="5" t="s">
        <v>471</v>
      </c>
    </row>
    <row r="4059" spans="1:12" ht="12" customHeight="1" x14ac:dyDescent="0.25">
      <c r="A4059" s="6">
        <v>44590</v>
      </c>
      <c r="B4059" s="1">
        <v>2200504</v>
      </c>
      <c r="C4059" s="5" t="s">
        <v>451</v>
      </c>
      <c r="D4059" s="5" t="str">
        <f>VLOOKUP(C4059,[1]master_data!$A$2:$E$495,2,FALSE)</f>
        <v>SUMATRA GOLD FISH</v>
      </c>
      <c r="E4059" s="5">
        <v>10</v>
      </c>
      <c r="F4059" s="5">
        <f>VLOOKUP(C4059,[1]master_data!$A$2:$E$495,3,FALSE)</f>
        <v>2500</v>
      </c>
      <c r="G4059" s="5">
        <f>VLOOKUP(C4059,[1]master_data!$A$2:$E$495,4,FALSE)</f>
        <v>4000</v>
      </c>
      <c r="H4059" s="5">
        <f t="shared" si="195"/>
        <v>25000</v>
      </c>
      <c r="I4059" s="5">
        <f t="shared" si="196"/>
        <v>40000</v>
      </c>
      <c r="J4059" s="5">
        <f t="shared" si="197"/>
        <v>15000</v>
      </c>
      <c r="K4059" s="5" t="str">
        <f>VLOOKUP(C4059,[1]master_data!$A$2:$E$495,5,FALSE)</f>
        <v>Ikan</v>
      </c>
      <c r="L4059" s="5" t="s">
        <v>471</v>
      </c>
    </row>
    <row r="4060" spans="1:12" ht="12" customHeight="1" x14ac:dyDescent="0.25">
      <c r="A4060" s="6">
        <v>44590</v>
      </c>
      <c r="B4060" s="1">
        <v>2200503</v>
      </c>
      <c r="C4060" s="5" t="s">
        <v>444</v>
      </c>
      <c r="D4060" s="5" t="str">
        <f>VLOOKUP(C4060,[1]master_data!$A$2:$E$495,2,FALSE)</f>
        <v>PARROT</v>
      </c>
      <c r="E4060" s="5">
        <v>2</v>
      </c>
      <c r="F4060" s="5">
        <f>VLOOKUP(C4060,[1]master_data!$A$2:$E$495,3,FALSE)</f>
        <v>27000</v>
      </c>
      <c r="G4060" s="5">
        <f>VLOOKUP(C4060,[1]master_data!$A$2:$E$495,4,FALSE)</f>
        <v>60000</v>
      </c>
      <c r="H4060" s="5">
        <f t="shared" si="195"/>
        <v>54000</v>
      </c>
      <c r="I4060" s="5">
        <f t="shared" si="196"/>
        <v>120000</v>
      </c>
      <c r="J4060" s="5">
        <f t="shared" si="197"/>
        <v>66000</v>
      </c>
      <c r="K4060" s="5" t="str">
        <f>VLOOKUP(C4060,[1]master_data!$A$2:$E$495,5,FALSE)</f>
        <v>Ikan</v>
      </c>
      <c r="L4060" s="5" t="s">
        <v>471</v>
      </c>
    </row>
    <row r="4061" spans="1:12" ht="12" customHeight="1" x14ac:dyDescent="0.25">
      <c r="A4061" s="6">
        <v>44590</v>
      </c>
      <c r="B4061" s="1">
        <v>2200502</v>
      </c>
      <c r="C4061" s="5" t="s">
        <v>413</v>
      </c>
      <c r="D4061" s="5" t="str">
        <f>VLOOKUP(C4061,[1]master_data!$A$2:$E$495,2,FALSE)</f>
        <v>KOKI K</v>
      </c>
      <c r="E4061" s="5">
        <v>4</v>
      </c>
      <c r="F4061" s="5">
        <f>VLOOKUP(C4061,[1]master_data!$A$2:$E$495,3,FALSE)</f>
        <v>3500</v>
      </c>
      <c r="G4061" s="5">
        <f>VLOOKUP(C4061,[1]master_data!$A$2:$E$495,4,FALSE)</f>
        <v>10000</v>
      </c>
      <c r="H4061" s="5">
        <f t="shared" si="195"/>
        <v>14000</v>
      </c>
      <c r="I4061" s="5">
        <f t="shared" si="196"/>
        <v>40000</v>
      </c>
      <c r="J4061" s="5">
        <f t="shared" si="197"/>
        <v>26000</v>
      </c>
      <c r="K4061" s="5" t="str">
        <f>VLOOKUP(C4061,[1]master_data!$A$2:$E$495,5,FALSE)</f>
        <v>Ikan</v>
      </c>
      <c r="L4061" s="5" t="s">
        <v>471</v>
      </c>
    </row>
    <row r="4062" spans="1:12" ht="12" customHeight="1" x14ac:dyDescent="0.25">
      <c r="A4062" s="6">
        <v>44590</v>
      </c>
      <c r="B4062" s="1">
        <v>2200501</v>
      </c>
      <c r="C4062" s="5" t="s">
        <v>409</v>
      </c>
      <c r="D4062" s="5" t="str">
        <f>VLOOKUP(C4062,[1]master_data!$A$2:$E$495,2,FALSE)</f>
        <v>GOLD FISH</v>
      </c>
      <c r="E4062" s="5">
        <v>10</v>
      </c>
      <c r="F4062" s="5">
        <f>VLOOKUP(C4062,[1]master_data!$A$2:$E$495,3,FALSE)</f>
        <v>800</v>
      </c>
      <c r="G4062" s="5">
        <f>VLOOKUP(C4062,[1]master_data!$A$2:$E$495,4,FALSE)</f>
        <v>2000</v>
      </c>
      <c r="H4062" s="5">
        <f t="shared" si="195"/>
        <v>8000</v>
      </c>
      <c r="I4062" s="5">
        <f t="shared" si="196"/>
        <v>20000</v>
      </c>
      <c r="J4062" s="5">
        <f t="shared" si="197"/>
        <v>12000</v>
      </c>
      <c r="K4062" s="5" t="str">
        <f>VLOOKUP(C4062,[1]master_data!$A$2:$E$495,5,FALSE)</f>
        <v>Ikan</v>
      </c>
      <c r="L4062" s="5" t="s">
        <v>471</v>
      </c>
    </row>
    <row r="4063" spans="1:12" ht="12" customHeight="1" x14ac:dyDescent="0.25">
      <c r="A4063" s="6">
        <v>44590</v>
      </c>
      <c r="B4063" s="1">
        <v>2200500</v>
      </c>
      <c r="C4063" s="5" t="s">
        <v>426</v>
      </c>
      <c r="D4063" s="5" t="str">
        <f>VLOOKUP(C4063,[1]master_data!$A$2:$E$495,2,FALSE)</f>
        <v>DISCUS</v>
      </c>
      <c r="E4063" s="5">
        <v>1</v>
      </c>
      <c r="F4063" s="5">
        <f>VLOOKUP(C4063,[1]master_data!$A$2:$E$495,3,FALSE)</f>
        <v>50000</v>
      </c>
      <c r="G4063" s="5">
        <f>VLOOKUP(C4063,[1]master_data!$A$2:$E$495,4,FALSE)</f>
        <v>150000</v>
      </c>
      <c r="H4063" s="5">
        <f t="shared" si="195"/>
        <v>50000</v>
      </c>
      <c r="I4063" s="5">
        <f t="shared" si="196"/>
        <v>150000</v>
      </c>
      <c r="J4063" s="5">
        <f t="shared" si="197"/>
        <v>100000</v>
      </c>
      <c r="K4063" s="5" t="str">
        <f>VLOOKUP(C4063,[1]master_data!$A$2:$E$495,5,FALSE)</f>
        <v>Ikan</v>
      </c>
      <c r="L4063" s="5" t="s">
        <v>471</v>
      </c>
    </row>
    <row r="4064" spans="1:12" ht="12" customHeight="1" x14ac:dyDescent="0.25">
      <c r="A4064" s="6">
        <v>44589</v>
      </c>
      <c r="B4064" s="1">
        <v>2200499</v>
      </c>
      <c r="C4064" s="5" t="s">
        <v>312</v>
      </c>
      <c r="D4064" s="5" t="str">
        <f>VLOOKUP(C4064,[1]master_data!$A$2:$E$495,2,FALSE)</f>
        <v>T PIPA</v>
      </c>
      <c r="E4064" s="5">
        <v>10</v>
      </c>
      <c r="F4064" s="5">
        <f>VLOOKUP(C4064,[1]master_data!$A$2:$E$495,3,FALSE)</f>
        <v>800</v>
      </c>
      <c r="G4064" s="5">
        <f>VLOOKUP(C4064,[1]master_data!$A$2:$E$495,4,FALSE)</f>
        <v>2000</v>
      </c>
      <c r="H4064" s="5">
        <f t="shared" si="195"/>
        <v>8000</v>
      </c>
      <c r="I4064" s="5">
        <f t="shared" si="196"/>
        <v>20000</v>
      </c>
      <c r="J4064" s="5">
        <f t="shared" si="197"/>
        <v>12000</v>
      </c>
      <c r="K4064" s="5" t="str">
        <f>VLOOKUP(C4064,[1]master_data!$A$2:$E$495,5,FALSE)</f>
        <v>Aksesoris</v>
      </c>
      <c r="L4064" s="5" t="s">
        <v>471</v>
      </c>
    </row>
    <row r="4065" spans="1:12" ht="12" customHeight="1" x14ac:dyDescent="0.25">
      <c r="A4065" s="6">
        <v>44589</v>
      </c>
      <c r="B4065" s="1">
        <v>2200498</v>
      </c>
      <c r="C4065" s="5" t="s">
        <v>431</v>
      </c>
      <c r="D4065" s="5" t="str">
        <f>VLOOKUP(C4065,[1]master_data!$A$2:$E$495,2,FALSE)</f>
        <v>MANFISH B</v>
      </c>
      <c r="E4065" s="5">
        <v>1</v>
      </c>
      <c r="F4065" s="5">
        <f>VLOOKUP(C4065,[1]master_data!$A$2:$E$495,3,FALSE)</f>
        <v>4000</v>
      </c>
      <c r="G4065" s="5">
        <f>VLOOKUP(C4065,[1]master_data!$A$2:$E$495,4,FALSE)</f>
        <v>10000</v>
      </c>
      <c r="H4065" s="5">
        <f t="shared" si="195"/>
        <v>4000</v>
      </c>
      <c r="I4065" s="5">
        <f t="shared" si="196"/>
        <v>10000</v>
      </c>
      <c r="J4065" s="5">
        <f t="shared" si="197"/>
        <v>6000</v>
      </c>
      <c r="K4065" s="5" t="str">
        <f>VLOOKUP(C4065,[1]master_data!$A$2:$E$495,5,FALSE)</f>
        <v>Ikan</v>
      </c>
      <c r="L4065" s="5" t="s">
        <v>471</v>
      </c>
    </row>
    <row r="4066" spans="1:12" ht="12" customHeight="1" x14ac:dyDescent="0.25">
      <c r="A4066" s="6">
        <v>44589</v>
      </c>
      <c r="B4066" s="1">
        <v>2200497</v>
      </c>
      <c r="C4066" s="5" t="s">
        <v>215</v>
      </c>
      <c r="D4066" s="5" t="str">
        <f>VLOOKUP(C4066,[1]master_data!$A$2:$E$495,2,FALSE)</f>
        <v>MEM PRIME 10 GR</v>
      </c>
      <c r="E4066" s="5">
        <v>1</v>
      </c>
      <c r="F4066" s="5">
        <f>VLOOKUP(C4066,[1]master_data!$A$2:$E$495,3,FALSE)</f>
        <v>5000</v>
      </c>
      <c r="G4066" s="5">
        <f>VLOOKUP(C4066,[1]master_data!$A$2:$E$495,4,FALSE)</f>
        <v>10000</v>
      </c>
      <c r="H4066" s="5">
        <f t="shared" si="195"/>
        <v>5000</v>
      </c>
      <c r="I4066" s="5">
        <f t="shared" si="196"/>
        <v>10000</v>
      </c>
      <c r="J4066" s="5">
        <f t="shared" si="197"/>
        <v>5000</v>
      </c>
      <c r="K4066" s="5" t="str">
        <f>VLOOKUP(C4066,[1]master_data!$A$2:$E$495,5,FALSE)</f>
        <v>Aksesoris</v>
      </c>
      <c r="L4066" s="5" t="s">
        <v>471</v>
      </c>
    </row>
    <row r="4067" spans="1:12" ht="12" customHeight="1" x14ac:dyDescent="0.25">
      <c r="A4067" s="6">
        <v>44589</v>
      </c>
      <c r="B4067" s="1">
        <v>2200496</v>
      </c>
      <c r="C4067" s="5" t="s">
        <v>233</v>
      </c>
      <c r="D4067" s="5" t="str">
        <f>VLOOKUP(C4067,[1]master_data!$A$2:$E$495,2,FALSE)</f>
        <v>FISH LOVE PAKAN</v>
      </c>
      <c r="E4067" s="5">
        <v>1</v>
      </c>
      <c r="F4067" s="5">
        <f>VLOOKUP(C4067,[1]master_data!$A$2:$E$495,3,FALSE)</f>
        <v>2500</v>
      </c>
      <c r="G4067" s="5">
        <f>VLOOKUP(C4067,[1]master_data!$A$2:$E$495,4,FALSE)</f>
        <v>5000</v>
      </c>
      <c r="H4067" s="5">
        <f t="shared" si="195"/>
        <v>2500</v>
      </c>
      <c r="I4067" s="5">
        <f t="shared" si="196"/>
        <v>5000</v>
      </c>
      <c r="J4067" s="5">
        <f t="shared" si="197"/>
        <v>2500</v>
      </c>
      <c r="K4067" s="5" t="str">
        <f>VLOOKUP(C4067,[1]master_data!$A$2:$E$495,5,FALSE)</f>
        <v>Aksesoris</v>
      </c>
      <c r="L4067" s="5" t="s">
        <v>471</v>
      </c>
    </row>
    <row r="4068" spans="1:12" ht="12" customHeight="1" x14ac:dyDescent="0.25">
      <c r="A4068" s="6">
        <v>44589</v>
      </c>
      <c r="B4068" s="1">
        <v>2200495</v>
      </c>
      <c r="C4068" s="5" t="s">
        <v>208</v>
      </c>
      <c r="D4068" s="5" t="str">
        <f>VLOOKUP(C4068,[1]master_data!$A$2:$E$495,2,FALSE)</f>
        <v>TOP VIT</v>
      </c>
      <c r="E4068" s="5">
        <v>1</v>
      </c>
      <c r="F4068" s="5">
        <f>VLOOKUP(C4068,[1]master_data!$A$2:$E$495,3,FALSE)</f>
        <v>4000</v>
      </c>
      <c r="G4068" s="5">
        <f>VLOOKUP(C4068,[1]master_data!$A$2:$E$495,4,FALSE)</f>
        <v>7000</v>
      </c>
      <c r="H4068" s="5">
        <f t="shared" si="195"/>
        <v>4000</v>
      </c>
      <c r="I4068" s="5">
        <f t="shared" si="196"/>
        <v>7000</v>
      </c>
      <c r="J4068" s="5">
        <f t="shared" si="197"/>
        <v>3000</v>
      </c>
      <c r="K4068" s="5" t="str">
        <f>VLOOKUP(C4068,[1]master_data!$A$2:$E$495,5,FALSE)</f>
        <v>Aksesoris</v>
      </c>
      <c r="L4068" s="5" t="s">
        <v>471</v>
      </c>
    </row>
    <row r="4069" spans="1:12" ht="12" customHeight="1" x14ac:dyDescent="0.25">
      <c r="A4069" s="6">
        <v>44589</v>
      </c>
      <c r="B4069" s="1">
        <v>2200494</v>
      </c>
      <c r="C4069" s="5" t="s">
        <v>120</v>
      </c>
      <c r="D4069" s="5" t="str">
        <f>VLOOKUP(C4069,[1]master_data!$A$2:$E$495,2,FALSE)</f>
        <v>LED ROSTON 50 CM</v>
      </c>
      <c r="E4069" s="5">
        <v>1</v>
      </c>
      <c r="F4069" s="5">
        <f>VLOOKUP(C4069,[1]master_data!$A$2:$E$495,3,FALSE)</f>
        <v>27000</v>
      </c>
      <c r="G4069" s="5">
        <f>VLOOKUP(C4069,[1]master_data!$A$2:$E$495,4,FALSE)</f>
        <v>50000</v>
      </c>
      <c r="H4069" s="5">
        <f t="shared" si="195"/>
        <v>27000</v>
      </c>
      <c r="I4069" s="5">
        <f t="shared" si="196"/>
        <v>50000</v>
      </c>
      <c r="J4069" s="5">
        <f t="shared" si="197"/>
        <v>23000</v>
      </c>
      <c r="K4069" s="5" t="str">
        <f>VLOOKUP(C4069,[1]master_data!$A$2:$E$495,5,FALSE)</f>
        <v>Aksesoris</v>
      </c>
      <c r="L4069" s="5" t="s">
        <v>471</v>
      </c>
    </row>
    <row r="4070" spans="1:12" ht="12" customHeight="1" x14ac:dyDescent="0.25">
      <c r="A4070" s="6">
        <v>44589</v>
      </c>
      <c r="B4070" s="1">
        <v>2200493</v>
      </c>
      <c r="C4070" s="5" t="s">
        <v>136</v>
      </c>
      <c r="D4070" s="5" t="str">
        <f>VLOOKUP(C4070,[1]master_data!$A$2:$E$495,2,FALSE)</f>
        <v>LED NIKITA NS 600</v>
      </c>
      <c r="E4070" s="5">
        <v>1</v>
      </c>
      <c r="F4070" s="5">
        <f>VLOOKUP(C4070,[1]master_data!$A$2:$E$495,3,FALSE)</f>
        <v>50000</v>
      </c>
      <c r="G4070" s="5">
        <f>VLOOKUP(C4070,[1]master_data!$A$2:$E$495,4,FALSE)</f>
        <v>75000</v>
      </c>
      <c r="H4070" s="5">
        <f t="shared" si="195"/>
        <v>50000</v>
      </c>
      <c r="I4070" s="5">
        <f t="shared" si="196"/>
        <v>75000</v>
      </c>
      <c r="J4070" s="5">
        <f t="shared" si="197"/>
        <v>25000</v>
      </c>
      <c r="K4070" s="5" t="str">
        <f>VLOOKUP(C4070,[1]master_data!$A$2:$E$495,5,FALSE)</f>
        <v>Aksesoris</v>
      </c>
      <c r="L4070" s="5" t="s">
        <v>471</v>
      </c>
    </row>
    <row r="4071" spans="1:12" ht="12" customHeight="1" x14ac:dyDescent="0.25">
      <c r="A4071" s="6">
        <v>44589</v>
      </c>
      <c r="B4071" s="1">
        <v>2200492</v>
      </c>
      <c r="C4071" s="5" t="s">
        <v>437</v>
      </c>
      <c r="D4071" s="5" t="str">
        <f>VLOOKUP(C4071,[1]master_data!$A$2:$E$495,2,FALSE)</f>
        <v>RED EYE TETRA</v>
      </c>
      <c r="E4071" s="5">
        <v>3</v>
      </c>
      <c r="F4071" s="5">
        <f>VLOOKUP(C4071,[1]master_data!$A$2:$E$495,3,FALSE)</f>
        <v>900</v>
      </c>
      <c r="G4071" s="5">
        <f>VLOOKUP(C4071,[1]master_data!$A$2:$E$495,4,FALSE)</f>
        <v>2000</v>
      </c>
      <c r="H4071" s="5">
        <f t="shared" si="195"/>
        <v>2700</v>
      </c>
      <c r="I4071" s="5">
        <f t="shared" si="196"/>
        <v>6000</v>
      </c>
      <c r="J4071" s="5">
        <f t="shared" si="197"/>
        <v>3300</v>
      </c>
      <c r="K4071" s="5" t="str">
        <f>VLOOKUP(C4071,[1]master_data!$A$2:$E$495,5,FALSE)</f>
        <v>Ikan</v>
      </c>
      <c r="L4071" s="5" t="s">
        <v>471</v>
      </c>
    </row>
    <row r="4072" spans="1:12" ht="12" customHeight="1" x14ac:dyDescent="0.25">
      <c r="A4072" s="6">
        <v>44589</v>
      </c>
      <c r="B4072" s="1">
        <v>2200491</v>
      </c>
      <c r="C4072" s="5" t="s">
        <v>399</v>
      </c>
      <c r="D4072" s="5" t="str">
        <f>VLOOKUP(C4072,[1]master_data!$A$2:$E$495,2,FALSE)</f>
        <v>BUENOS AIRES TETRA</v>
      </c>
      <c r="E4072" s="5">
        <v>5</v>
      </c>
      <c r="F4072" s="5">
        <f>VLOOKUP(C4072,[1]master_data!$A$2:$E$495,3,FALSE)</f>
        <v>800</v>
      </c>
      <c r="G4072" s="5">
        <f>VLOOKUP(C4072,[1]master_data!$A$2:$E$495,4,FALSE)</f>
        <v>2000</v>
      </c>
      <c r="H4072" s="5">
        <f t="shared" si="195"/>
        <v>4000</v>
      </c>
      <c r="I4072" s="5">
        <f t="shared" si="196"/>
        <v>10000</v>
      </c>
      <c r="J4072" s="5">
        <f t="shared" si="197"/>
        <v>6000</v>
      </c>
      <c r="K4072" s="5" t="str">
        <f>VLOOKUP(C4072,[1]master_data!$A$2:$E$495,5,FALSE)</f>
        <v>Ikan</v>
      </c>
      <c r="L4072" s="5" t="s">
        <v>471</v>
      </c>
    </row>
    <row r="4073" spans="1:12" ht="12" customHeight="1" x14ac:dyDescent="0.25">
      <c r="A4073" s="6">
        <v>44589</v>
      </c>
      <c r="B4073" s="1">
        <v>2200490</v>
      </c>
      <c r="C4073" s="5" t="s">
        <v>383</v>
      </c>
      <c r="D4073" s="5" t="str">
        <f>VLOOKUP(C4073,[1]master_data!$A$2:$E$495,2,FALSE)</f>
        <v>BATU GOMBONG K</v>
      </c>
      <c r="E4073" s="5">
        <v>1</v>
      </c>
      <c r="F4073" s="5">
        <f>VLOOKUP(C4073,[1]master_data!$A$2:$E$495,3,FALSE)</f>
        <v>20000</v>
      </c>
      <c r="G4073" s="5">
        <f>VLOOKUP(C4073,[1]master_data!$A$2:$E$495,4,FALSE)</f>
        <v>40000</v>
      </c>
      <c r="H4073" s="5">
        <f t="shared" si="195"/>
        <v>20000</v>
      </c>
      <c r="I4073" s="5">
        <f t="shared" si="196"/>
        <v>40000</v>
      </c>
      <c r="J4073" s="5">
        <f t="shared" si="197"/>
        <v>20000</v>
      </c>
      <c r="K4073" s="5" t="str">
        <f>VLOOKUP(C4073,[1]master_data!$A$2:$E$495,5,FALSE)</f>
        <v>Aksesoris</v>
      </c>
      <c r="L4073" s="5" t="s">
        <v>471</v>
      </c>
    </row>
    <row r="4074" spans="1:12" ht="12" customHeight="1" x14ac:dyDescent="0.25">
      <c r="A4074" s="6">
        <v>44589</v>
      </c>
      <c r="B4074" s="1">
        <v>2200489</v>
      </c>
      <c r="C4074" s="5" t="s">
        <v>418</v>
      </c>
      <c r="D4074" s="5" t="str">
        <f>VLOOKUP(C4074,[1]master_data!$A$2:$E$495,2,FALSE)</f>
        <v>KOI B</v>
      </c>
      <c r="E4074" s="5">
        <v>10</v>
      </c>
      <c r="F4074" s="5">
        <f>VLOOKUP(C4074,[1]master_data!$A$2:$E$495,3,FALSE)</f>
        <v>9000</v>
      </c>
      <c r="G4074" s="5">
        <f>VLOOKUP(C4074,[1]master_data!$A$2:$E$495,4,FALSE)</f>
        <v>30000</v>
      </c>
      <c r="H4074" s="5">
        <f t="shared" si="195"/>
        <v>90000</v>
      </c>
      <c r="I4074" s="5">
        <f t="shared" si="196"/>
        <v>300000</v>
      </c>
      <c r="J4074" s="5">
        <f t="shared" si="197"/>
        <v>210000</v>
      </c>
      <c r="K4074" s="5" t="str">
        <f>VLOOKUP(C4074,[1]master_data!$A$2:$E$495,5,FALSE)</f>
        <v>Ikan</v>
      </c>
      <c r="L4074" s="5" t="s">
        <v>471</v>
      </c>
    </row>
    <row r="4075" spans="1:12" ht="12" customHeight="1" x14ac:dyDescent="0.25">
      <c r="A4075" s="6">
        <v>44589</v>
      </c>
      <c r="B4075" s="1">
        <v>2200488</v>
      </c>
      <c r="C4075" s="5" t="s">
        <v>20</v>
      </c>
      <c r="D4075" s="5" t="str">
        <f>VLOOKUP(C4075,[1]master_data!$A$2:$E$495,2,FALSE)</f>
        <v>MESIN ROSTON 1200</v>
      </c>
      <c r="E4075" s="5">
        <v>1</v>
      </c>
      <c r="F4075" s="5">
        <f>VLOOKUP(C4075,[1]master_data!$A$2:$E$495,3,FALSE)</f>
        <v>23000</v>
      </c>
      <c r="G4075" s="5">
        <f>VLOOKUP(C4075,[1]master_data!$A$2:$E$495,4,FALSE)</f>
        <v>35000</v>
      </c>
      <c r="H4075" s="5">
        <f t="shared" si="195"/>
        <v>23000</v>
      </c>
      <c r="I4075" s="5">
        <f t="shared" si="196"/>
        <v>35000</v>
      </c>
      <c r="J4075" s="5">
        <f t="shared" si="197"/>
        <v>12000</v>
      </c>
      <c r="K4075" s="5" t="str">
        <f>VLOOKUP(C4075,[1]master_data!$A$2:$E$495,5,FALSE)</f>
        <v>Aksesoris</v>
      </c>
      <c r="L4075" s="5" t="s">
        <v>471</v>
      </c>
    </row>
    <row r="4076" spans="1:12" ht="12" customHeight="1" x14ac:dyDescent="0.25">
      <c r="A4076" s="6">
        <v>44589</v>
      </c>
      <c r="B4076" s="1">
        <v>2200487</v>
      </c>
      <c r="C4076" s="5" t="s">
        <v>420</v>
      </c>
      <c r="D4076" s="5" t="str">
        <f>VLOOKUP(C4076,[1]master_data!$A$2:$E$495,2,FALSE)</f>
        <v>KAVIAT</v>
      </c>
      <c r="E4076" s="5">
        <v>2</v>
      </c>
      <c r="F4076" s="5">
        <f>VLOOKUP(C4076,[1]master_data!$A$2:$E$495,3,FALSE)</f>
        <v>3500</v>
      </c>
      <c r="G4076" s="5">
        <f>VLOOKUP(C4076,[1]master_data!$A$2:$E$495,4,FALSE)</f>
        <v>8000</v>
      </c>
      <c r="H4076" s="5">
        <f t="shared" si="195"/>
        <v>7000</v>
      </c>
      <c r="I4076" s="5">
        <f t="shared" si="196"/>
        <v>16000</v>
      </c>
      <c r="J4076" s="5">
        <f t="shared" si="197"/>
        <v>9000</v>
      </c>
      <c r="K4076" s="5" t="str">
        <f>VLOOKUP(C4076,[1]master_data!$A$2:$E$495,5,FALSE)</f>
        <v>Ikan</v>
      </c>
      <c r="L4076" s="5" t="s">
        <v>471</v>
      </c>
    </row>
    <row r="4077" spans="1:12" ht="12" customHeight="1" x14ac:dyDescent="0.25">
      <c r="A4077" s="6">
        <v>44589</v>
      </c>
      <c r="B4077" s="1">
        <v>2200486</v>
      </c>
      <c r="C4077" s="5" t="s">
        <v>414</v>
      </c>
      <c r="D4077" s="5" t="str">
        <f>VLOOKUP(C4077,[1]master_data!$A$2:$E$495,2,FALSE)</f>
        <v>KOKI T</v>
      </c>
      <c r="E4077" s="5">
        <v>2</v>
      </c>
      <c r="F4077" s="5">
        <f>VLOOKUP(C4077,[1]master_data!$A$2:$E$495,3,FALSE)</f>
        <v>8000</v>
      </c>
      <c r="G4077" s="5">
        <f>VLOOKUP(C4077,[1]master_data!$A$2:$E$495,4,FALSE)</f>
        <v>15000</v>
      </c>
      <c r="H4077" s="5">
        <f t="shared" si="195"/>
        <v>16000</v>
      </c>
      <c r="I4077" s="5">
        <f t="shared" si="196"/>
        <v>30000</v>
      </c>
      <c r="J4077" s="5">
        <f t="shared" si="197"/>
        <v>14000</v>
      </c>
      <c r="K4077" s="5" t="str">
        <f>VLOOKUP(C4077,[1]master_data!$A$2:$E$495,5,FALSE)</f>
        <v>Ikan</v>
      </c>
      <c r="L4077" s="5" t="s">
        <v>471</v>
      </c>
    </row>
    <row r="4078" spans="1:12" ht="12" customHeight="1" x14ac:dyDescent="0.25">
      <c r="A4078" s="6">
        <v>44589</v>
      </c>
      <c r="B4078" s="1">
        <v>2200485</v>
      </c>
      <c r="C4078" s="5" t="s">
        <v>248</v>
      </c>
      <c r="D4078" s="5" t="str">
        <f>VLOOKUP(C4078,[1]master_data!$A$2:$E$495,2,FALSE)</f>
        <v>MATLINE BLUE</v>
      </c>
      <c r="E4078" s="5">
        <v>20</v>
      </c>
      <c r="F4078" s="5">
        <f>VLOOKUP(C4078,[1]master_data!$A$2:$E$495,3,FALSE)</f>
        <v>7000</v>
      </c>
      <c r="G4078" s="5">
        <f>VLOOKUP(C4078,[1]master_data!$A$2:$E$495,4,FALSE)</f>
        <v>10000</v>
      </c>
      <c r="H4078" s="5">
        <f t="shared" si="195"/>
        <v>140000</v>
      </c>
      <c r="I4078" s="5">
        <f t="shared" si="196"/>
        <v>200000</v>
      </c>
      <c r="J4078" s="5">
        <f t="shared" si="197"/>
        <v>60000</v>
      </c>
      <c r="K4078" s="5" t="str">
        <f>VLOOKUP(C4078,[1]master_data!$A$2:$E$495,5,FALSE)</f>
        <v>Aksesoris</v>
      </c>
      <c r="L4078" s="5" t="s">
        <v>471</v>
      </c>
    </row>
    <row r="4079" spans="1:12" ht="12" customHeight="1" x14ac:dyDescent="0.25">
      <c r="A4079" s="6">
        <v>44588</v>
      </c>
      <c r="B4079" s="1">
        <v>2200484</v>
      </c>
      <c r="C4079" s="5" t="s">
        <v>294</v>
      </c>
      <c r="D4079" s="5" t="str">
        <f>VLOOKUP(C4079,[1]master_data!$A$2:$E$495,2,FALSE)</f>
        <v>LEM SEALANT</v>
      </c>
      <c r="E4079" s="5">
        <v>1</v>
      </c>
      <c r="F4079" s="5">
        <f>VLOOKUP(C4079,[1]master_data!$A$2:$E$495,3,FALSE)</f>
        <v>7000</v>
      </c>
      <c r="G4079" s="5">
        <f>VLOOKUP(C4079,[1]master_data!$A$2:$E$495,4,FALSE)</f>
        <v>10000</v>
      </c>
      <c r="H4079" s="5">
        <f t="shared" si="195"/>
        <v>7000</v>
      </c>
      <c r="I4079" s="5">
        <f t="shared" si="196"/>
        <v>10000</v>
      </c>
      <c r="J4079" s="5">
        <f t="shared" si="197"/>
        <v>3000</v>
      </c>
      <c r="K4079" s="5" t="str">
        <f>VLOOKUP(C4079,[1]master_data!$A$2:$E$495,5,FALSE)</f>
        <v>Aksesoris</v>
      </c>
      <c r="L4079" s="5" t="s">
        <v>471</v>
      </c>
    </row>
    <row r="4080" spans="1:12" ht="12" customHeight="1" x14ac:dyDescent="0.25">
      <c r="A4080" s="6">
        <v>44588</v>
      </c>
      <c r="B4080" s="1">
        <v>2200483</v>
      </c>
      <c r="C4080" s="5" t="s">
        <v>215</v>
      </c>
      <c r="D4080" s="5" t="str">
        <f>VLOOKUP(C4080,[1]master_data!$A$2:$E$495,2,FALSE)</f>
        <v>MEM PRIME 10 GR</v>
      </c>
      <c r="E4080" s="5">
        <v>2</v>
      </c>
      <c r="F4080" s="5">
        <f>VLOOKUP(C4080,[1]master_data!$A$2:$E$495,3,FALSE)</f>
        <v>5000</v>
      </c>
      <c r="G4080" s="5">
        <f>VLOOKUP(C4080,[1]master_data!$A$2:$E$495,4,FALSE)</f>
        <v>10000</v>
      </c>
      <c r="H4080" s="5">
        <f t="shared" si="195"/>
        <v>10000</v>
      </c>
      <c r="I4080" s="5">
        <f t="shared" si="196"/>
        <v>20000</v>
      </c>
      <c r="J4080" s="5">
        <f t="shared" si="197"/>
        <v>10000</v>
      </c>
      <c r="K4080" s="5" t="str">
        <f>VLOOKUP(C4080,[1]master_data!$A$2:$E$495,5,FALSE)</f>
        <v>Aksesoris</v>
      </c>
      <c r="L4080" s="5" t="s">
        <v>471</v>
      </c>
    </row>
    <row r="4081" spans="1:12" ht="12" customHeight="1" x14ac:dyDescent="0.25">
      <c r="A4081" s="6">
        <v>44588</v>
      </c>
      <c r="B4081" s="1">
        <v>2200482</v>
      </c>
      <c r="C4081" s="5" t="s">
        <v>422</v>
      </c>
      <c r="D4081" s="5" t="str">
        <f>VLOOKUP(C4081,[1]master_data!$A$2:$E$495,2,FALSE)</f>
        <v>KOMET SLAYER</v>
      </c>
      <c r="E4081" s="5">
        <v>10</v>
      </c>
      <c r="F4081" s="5">
        <f>VLOOKUP(C4081,[1]master_data!$A$2:$E$495,3,FALSE)</f>
        <v>2000</v>
      </c>
      <c r="G4081" s="5">
        <f>VLOOKUP(C4081,[1]master_data!$A$2:$E$495,4,FALSE)</f>
        <v>5000</v>
      </c>
      <c r="H4081" s="5">
        <f t="shared" si="195"/>
        <v>20000</v>
      </c>
      <c r="I4081" s="5">
        <f t="shared" si="196"/>
        <v>50000</v>
      </c>
      <c r="J4081" s="5">
        <f t="shared" si="197"/>
        <v>30000</v>
      </c>
      <c r="K4081" s="5" t="str">
        <f>VLOOKUP(C4081,[1]master_data!$A$2:$E$495,5,FALSE)</f>
        <v>Ikan</v>
      </c>
      <c r="L4081" s="5" t="s">
        <v>471</v>
      </c>
    </row>
    <row r="4082" spans="1:12" ht="12" customHeight="1" x14ac:dyDescent="0.25">
      <c r="A4082" s="6">
        <v>44588</v>
      </c>
      <c r="B4082" s="1">
        <v>2200481</v>
      </c>
      <c r="C4082" s="5" t="s">
        <v>233</v>
      </c>
      <c r="D4082" s="5" t="str">
        <f>VLOOKUP(C4082,[1]master_data!$A$2:$E$495,2,FALSE)</f>
        <v>FISH LOVE PAKAN</v>
      </c>
      <c r="E4082" s="5">
        <v>1</v>
      </c>
      <c r="F4082" s="5">
        <f>VLOOKUP(C4082,[1]master_data!$A$2:$E$495,3,FALSE)</f>
        <v>2500</v>
      </c>
      <c r="G4082" s="5">
        <f>VLOOKUP(C4082,[1]master_data!$A$2:$E$495,4,FALSE)</f>
        <v>5000</v>
      </c>
      <c r="H4082" s="5">
        <f t="shared" si="195"/>
        <v>2500</v>
      </c>
      <c r="I4082" s="5">
        <f t="shared" si="196"/>
        <v>5000</v>
      </c>
      <c r="J4082" s="5">
        <f t="shared" si="197"/>
        <v>2500</v>
      </c>
      <c r="K4082" s="5" t="str">
        <f>VLOOKUP(C4082,[1]master_data!$A$2:$E$495,5,FALSE)</f>
        <v>Aksesoris</v>
      </c>
      <c r="L4082" s="5" t="s">
        <v>471</v>
      </c>
    </row>
    <row r="4083" spans="1:12" ht="12" customHeight="1" x14ac:dyDescent="0.25">
      <c r="A4083" s="6">
        <v>44588</v>
      </c>
      <c r="B4083" s="1">
        <v>2200480</v>
      </c>
      <c r="C4083" s="5" t="s">
        <v>405</v>
      </c>
      <c r="D4083" s="5" t="str">
        <f>VLOOKUP(C4083,[1]master_data!$A$2:$E$495,2,FALSE)</f>
        <v>KOMET BOKIM</v>
      </c>
      <c r="E4083" s="5">
        <v>10</v>
      </c>
      <c r="F4083" s="5">
        <f>VLOOKUP(C4083,[1]master_data!$A$2:$E$495,3,FALSE)</f>
        <v>1500</v>
      </c>
      <c r="G4083" s="5">
        <f>VLOOKUP(C4083,[1]master_data!$A$2:$E$495,4,FALSE)</f>
        <v>5000</v>
      </c>
      <c r="H4083" s="5">
        <f t="shared" si="195"/>
        <v>15000</v>
      </c>
      <c r="I4083" s="5">
        <f t="shared" si="196"/>
        <v>50000</v>
      </c>
      <c r="J4083" s="5">
        <f t="shared" si="197"/>
        <v>35000</v>
      </c>
      <c r="K4083" s="5" t="str">
        <f>VLOOKUP(C4083,[1]master_data!$A$2:$E$495,5,FALSE)</f>
        <v>Ikan</v>
      </c>
      <c r="L4083" s="5" t="s">
        <v>471</v>
      </c>
    </row>
    <row r="4084" spans="1:12" ht="12" customHeight="1" x14ac:dyDescent="0.25">
      <c r="A4084" s="6">
        <v>44588</v>
      </c>
      <c r="B4084" s="1">
        <v>2200479</v>
      </c>
      <c r="C4084" s="5" t="s">
        <v>349</v>
      </c>
      <c r="D4084" s="5" t="str">
        <f>VLOOKUP(C4084,[1]master_data!$A$2:$E$495,2,FALSE)</f>
        <v>AKUARIUM 80 ROBOT</v>
      </c>
      <c r="E4084" s="5">
        <v>1</v>
      </c>
      <c r="F4084" s="5">
        <f>VLOOKUP(C4084,[1]master_data!$A$2:$E$495,3,FALSE)</f>
        <v>300000</v>
      </c>
      <c r="G4084" s="5">
        <f>VLOOKUP(C4084,[1]master_data!$A$2:$E$495,4,FALSE)</f>
        <v>370000</v>
      </c>
      <c r="H4084" s="5">
        <f t="shared" si="195"/>
        <v>300000</v>
      </c>
      <c r="I4084" s="5">
        <f t="shared" si="196"/>
        <v>370000</v>
      </c>
      <c r="J4084" s="5">
        <f t="shared" si="197"/>
        <v>70000</v>
      </c>
      <c r="K4084" s="5" t="str">
        <f>VLOOKUP(C4084,[1]master_data!$A$2:$E$495,5,FALSE)</f>
        <v>Aksesoris</v>
      </c>
      <c r="L4084" s="5" t="s">
        <v>471</v>
      </c>
    </row>
    <row r="4085" spans="1:12" ht="12" customHeight="1" x14ac:dyDescent="0.25">
      <c r="A4085" s="6">
        <v>44588</v>
      </c>
      <c r="B4085" s="1">
        <v>2200478</v>
      </c>
      <c r="C4085" s="5" t="s">
        <v>282</v>
      </c>
      <c r="D4085" s="5" t="str">
        <f>VLOOKUP(C4085,[1]master_data!$A$2:$E$495,2,FALSE)</f>
        <v>HIASAN KELAPA</v>
      </c>
      <c r="E4085" s="5">
        <v>1</v>
      </c>
      <c r="F4085" s="5">
        <f>VLOOKUP(C4085,[1]master_data!$A$2:$E$495,3,FALSE)</f>
        <v>8000</v>
      </c>
      <c r="G4085" s="5">
        <f>VLOOKUP(C4085,[1]master_data!$A$2:$E$495,4,FALSE)</f>
        <v>15000</v>
      </c>
      <c r="H4085" s="5">
        <f t="shared" si="195"/>
        <v>8000</v>
      </c>
      <c r="I4085" s="5">
        <f t="shared" si="196"/>
        <v>15000</v>
      </c>
      <c r="J4085" s="5">
        <f t="shared" si="197"/>
        <v>7000</v>
      </c>
      <c r="K4085" s="5" t="str">
        <f>VLOOKUP(C4085,[1]master_data!$A$2:$E$495,5,FALSE)</f>
        <v>Aksesoris</v>
      </c>
      <c r="L4085" s="5" t="s">
        <v>471</v>
      </c>
    </row>
    <row r="4086" spans="1:12" ht="12" customHeight="1" x14ac:dyDescent="0.25">
      <c r="A4086" s="6">
        <v>44588</v>
      </c>
      <c r="B4086" s="1">
        <v>2200477</v>
      </c>
      <c r="C4086" s="5" t="s">
        <v>248</v>
      </c>
      <c r="D4086" s="5" t="str">
        <f>VLOOKUP(C4086,[1]master_data!$A$2:$E$495,2,FALSE)</f>
        <v>MATLINE BLUE</v>
      </c>
      <c r="E4086" s="5">
        <v>1</v>
      </c>
      <c r="F4086" s="5">
        <f>VLOOKUP(C4086,[1]master_data!$A$2:$E$495,3,FALSE)</f>
        <v>7000</v>
      </c>
      <c r="G4086" s="5">
        <f>VLOOKUP(C4086,[1]master_data!$A$2:$E$495,4,FALSE)</f>
        <v>10000</v>
      </c>
      <c r="H4086" s="5">
        <f t="shared" si="195"/>
        <v>7000</v>
      </c>
      <c r="I4086" s="5">
        <f t="shared" si="196"/>
        <v>10000</v>
      </c>
      <c r="J4086" s="5">
        <f t="shared" si="197"/>
        <v>3000</v>
      </c>
      <c r="K4086" s="5" t="str">
        <f>VLOOKUP(C4086,[1]master_data!$A$2:$E$495,5,FALSE)</f>
        <v>Aksesoris</v>
      </c>
      <c r="L4086" s="5" t="s">
        <v>471</v>
      </c>
    </row>
    <row r="4087" spans="1:12" ht="12" customHeight="1" x14ac:dyDescent="0.25">
      <c r="A4087" s="6">
        <v>44588</v>
      </c>
      <c r="B4087" s="1">
        <v>2200476</v>
      </c>
      <c r="C4087" s="5" t="s">
        <v>226</v>
      </c>
      <c r="D4087" s="5" t="str">
        <f>VLOOKUP(C4087,[1]master_data!$A$2:$E$495,2,FALSE)</f>
        <v>SAN KOI 5MM</v>
      </c>
      <c r="E4087" s="5">
        <v>1</v>
      </c>
      <c r="F4087" s="5">
        <f>VLOOKUP(C4087,[1]master_data!$A$2:$E$495,3,FALSE)</f>
        <v>61750</v>
      </c>
      <c r="G4087" s="5">
        <f>VLOOKUP(C4087,[1]master_data!$A$2:$E$495,4,FALSE)</f>
        <v>75000</v>
      </c>
      <c r="H4087" s="5">
        <f t="shared" si="195"/>
        <v>61750</v>
      </c>
      <c r="I4087" s="5">
        <f t="shared" si="196"/>
        <v>75000</v>
      </c>
      <c r="J4087" s="5">
        <f t="shared" si="197"/>
        <v>13250</v>
      </c>
      <c r="K4087" s="5" t="str">
        <f>VLOOKUP(C4087,[1]master_data!$A$2:$E$495,5,FALSE)</f>
        <v>Aksesoris</v>
      </c>
      <c r="L4087" s="5" t="s">
        <v>471</v>
      </c>
    </row>
    <row r="4088" spans="1:12" ht="12" customHeight="1" x14ac:dyDescent="0.25">
      <c r="A4088" s="6">
        <v>44588</v>
      </c>
      <c r="B4088" s="1">
        <v>2200475</v>
      </c>
      <c r="C4088" s="5" t="s">
        <v>285</v>
      </c>
      <c r="D4088" s="5" t="str">
        <f>VLOOKUP(C4088,[1]master_data!$A$2:$E$495,2,FALSE)</f>
        <v>KAPAS 4 LAPIS</v>
      </c>
      <c r="E4088" s="5">
        <v>1</v>
      </c>
      <c r="F4088" s="5">
        <f>VLOOKUP(C4088,[1]master_data!$A$2:$E$495,3,FALSE)</f>
        <v>6500</v>
      </c>
      <c r="G4088" s="5">
        <f>VLOOKUP(C4088,[1]master_data!$A$2:$E$495,4,FALSE)</f>
        <v>10000</v>
      </c>
      <c r="H4088" s="5">
        <f t="shared" si="195"/>
        <v>6500</v>
      </c>
      <c r="I4088" s="5">
        <f t="shared" si="196"/>
        <v>10000</v>
      </c>
      <c r="J4088" s="5">
        <f t="shared" si="197"/>
        <v>3500</v>
      </c>
      <c r="K4088" s="5" t="str">
        <f>VLOOKUP(C4088,[1]master_data!$A$2:$E$495,5,FALSE)</f>
        <v>Aksesoris</v>
      </c>
      <c r="L4088" s="5" t="s">
        <v>471</v>
      </c>
    </row>
    <row r="4089" spans="1:12" ht="12" customHeight="1" x14ac:dyDescent="0.25">
      <c r="A4089" s="6">
        <v>44588</v>
      </c>
      <c r="B4089" s="1">
        <v>2200474</v>
      </c>
      <c r="C4089" s="5" t="s">
        <v>432</v>
      </c>
      <c r="D4089" s="5" t="str">
        <f>VLOOKUP(C4089,[1]master_data!$A$2:$E$495,2,FALSE)</f>
        <v>MARU K</v>
      </c>
      <c r="E4089" s="5">
        <v>1</v>
      </c>
      <c r="F4089" s="5">
        <f>VLOOKUP(C4089,[1]master_data!$A$2:$E$495,3,FALSE)</f>
        <v>23000</v>
      </c>
      <c r="G4089" s="5">
        <f>VLOOKUP(C4089,[1]master_data!$A$2:$E$495,4,FALSE)</f>
        <v>50000</v>
      </c>
      <c r="H4089" s="5">
        <f t="shared" si="195"/>
        <v>23000</v>
      </c>
      <c r="I4089" s="5">
        <f t="shared" si="196"/>
        <v>50000</v>
      </c>
      <c r="J4089" s="5">
        <f t="shared" si="197"/>
        <v>27000</v>
      </c>
      <c r="K4089" s="5" t="str">
        <f>VLOOKUP(C4089,[1]master_data!$A$2:$E$495,5,FALSE)</f>
        <v>Ikan</v>
      </c>
      <c r="L4089" s="5" t="s">
        <v>471</v>
      </c>
    </row>
    <row r="4090" spans="1:12" ht="12" customHeight="1" x14ac:dyDescent="0.25">
      <c r="A4090" s="6">
        <v>44588</v>
      </c>
      <c r="B4090" s="1">
        <v>2200473</v>
      </c>
      <c r="C4090" s="5" t="s">
        <v>274</v>
      </c>
      <c r="D4090" s="5" t="str">
        <f>VLOOKUP(C4090,[1]master_data!$A$2:$E$495,2,FALSE)</f>
        <v>JARING 15</v>
      </c>
      <c r="E4090" s="5">
        <v>1</v>
      </c>
      <c r="F4090" s="5">
        <f>VLOOKUP(C4090,[1]master_data!$A$2:$E$495,3,FALSE)</f>
        <v>3750</v>
      </c>
      <c r="G4090" s="5">
        <f>VLOOKUP(C4090,[1]master_data!$A$2:$E$495,4,FALSE)</f>
        <v>8000</v>
      </c>
      <c r="H4090" s="5">
        <f t="shared" si="195"/>
        <v>3750</v>
      </c>
      <c r="I4090" s="5">
        <f t="shared" si="196"/>
        <v>8000</v>
      </c>
      <c r="J4090" s="5">
        <f t="shared" si="197"/>
        <v>4250</v>
      </c>
      <c r="K4090" s="5" t="str">
        <f>VLOOKUP(C4090,[1]master_data!$A$2:$E$495,5,FALSE)</f>
        <v>Aksesoris</v>
      </c>
      <c r="L4090" s="5" t="s">
        <v>471</v>
      </c>
    </row>
    <row r="4091" spans="1:12" ht="12" customHeight="1" x14ac:dyDescent="0.25">
      <c r="A4091" s="6">
        <v>44588</v>
      </c>
      <c r="B4091" s="1">
        <v>2200472</v>
      </c>
      <c r="C4091" s="5" t="s">
        <v>423</v>
      </c>
      <c r="D4091" s="5" t="str">
        <f>VLOOKUP(C4091,[1]master_data!$A$2:$E$495,2,FALSE)</f>
        <v>KOI SLAYER K</v>
      </c>
      <c r="E4091" s="5">
        <v>10</v>
      </c>
      <c r="F4091" s="5">
        <f>VLOOKUP(C4091,[1]master_data!$A$2:$E$495,3,FALSE)</f>
        <v>3500</v>
      </c>
      <c r="G4091" s="5">
        <f>VLOOKUP(C4091,[1]master_data!$A$2:$E$495,4,FALSE)</f>
        <v>10000</v>
      </c>
      <c r="H4091" s="5">
        <f t="shared" si="195"/>
        <v>35000</v>
      </c>
      <c r="I4091" s="5">
        <f t="shared" si="196"/>
        <v>100000</v>
      </c>
      <c r="J4091" s="5">
        <f t="shared" si="197"/>
        <v>65000</v>
      </c>
      <c r="K4091" s="5" t="str">
        <f>VLOOKUP(C4091,[1]master_data!$A$2:$E$495,5,FALSE)</f>
        <v>Ikan</v>
      </c>
      <c r="L4091" s="5" t="s">
        <v>471</v>
      </c>
    </row>
    <row r="4092" spans="1:12" ht="12" customHeight="1" x14ac:dyDescent="0.25">
      <c r="A4092" s="6">
        <v>44588</v>
      </c>
      <c r="B4092" s="1">
        <v>2200471</v>
      </c>
      <c r="C4092" s="5" t="s">
        <v>390</v>
      </c>
      <c r="D4092" s="5" t="str">
        <f>VLOOKUP(C4092,[1]master_data!$A$2:$E$495,2,FALSE)</f>
        <v>CHANNA ASIATICA K</v>
      </c>
      <c r="E4092" s="5">
        <v>1</v>
      </c>
      <c r="F4092" s="5">
        <f>VLOOKUP(C4092,[1]master_data!$A$2:$E$495,3,FALSE)</f>
        <v>10000</v>
      </c>
      <c r="G4092" s="5">
        <f>VLOOKUP(C4092,[1]master_data!$A$2:$E$495,4,FALSE)</f>
        <v>40000</v>
      </c>
      <c r="H4092" s="5">
        <f t="shared" si="195"/>
        <v>10000</v>
      </c>
      <c r="I4092" s="5">
        <f t="shared" si="196"/>
        <v>40000</v>
      </c>
      <c r="J4092" s="5">
        <f t="shared" si="197"/>
        <v>30000</v>
      </c>
      <c r="K4092" s="5" t="str">
        <f>VLOOKUP(C4092,[1]master_data!$A$2:$E$495,5,FALSE)</f>
        <v>Ikan</v>
      </c>
      <c r="L4092" s="5" t="s">
        <v>471</v>
      </c>
    </row>
    <row r="4093" spans="1:12" ht="12" customHeight="1" x14ac:dyDescent="0.25">
      <c r="A4093" s="6">
        <v>44588</v>
      </c>
      <c r="B4093" s="1">
        <v>2200470</v>
      </c>
      <c r="C4093" s="5" t="s">
        <v>334</v>
      </c>
      <c r="D4093" s="5" t="str">
        <f>VLOOKUP(C4093,[1]master_data!$A$2:$E$495,2,FALSE)</f>
        <v>KARPET RUMPUT</v>
      </c>
      <c r="E4093" s="5">
        <v>2</v>
      </c>
      <c r="F4093" s="5">
        <f>VLOOKUP(C4093,[1]master_data!$A$2:$E$495,3,FALSE)</f>
        <v>15000</v>
      </c>
      <c r="G4093" s="5">
        <f>VLOOKUP(C4093,[1]master_data!$A$2:$E$495,4,FALSE)</f>
        <v>25000</v>
      </c>
      <c r="H4093" s="5">
        <f t="shared" si="195"/>
        <v>30000</v>
      </c>
      <c r="I4093" s="5">
        <f t="shared" si="196"/>
        <v>50000</v>
      </c>
      <c r="J4093" s="5">
        <f t="shared" si="197"/>
        <v>20000</v>
      </c>
      <c r="K4093" s="5" t="str">
        <f>VLOOKUP(C4093,[1]master_data!$A$2:$E$495,5,FALSE)</f>
        <v>Aksesoris</v>
      </c>
      <c r="L4093" s="5" t="s">
        <v>471</v>
      </c>
    </row>
    <row r="4094" spans="1:12" ht="12" customHeight="1" x14ac:dyDescent="0.25">
      <c r="A4094" s="6">
        <v>44588</v>
      </c>
      <c r="B4094" s="1">
        <v>2200469</v>
      </c>
      <c r="C4094" s="5" t="s">
        <v>451</v>
      </c>
      <c r="D4094" s="5" t="str">
        <f>VLOOKUP(C4094,[1]master_data!$A$2:$E$495,2,FALSE)</f>
        <v>SUMATRA GOLD FISH</v>
      </c>
      <c r="E4094" s="5">
        <v>4</v>
      </c>
      <c r="F4094" s="5">
        <f>VLOOKUP(C4094,[1]master_data!$A$2:$E$495,3,FALSE)</f>
        <v>2500</v>
      </c>
      <c r="G4094" s="5">
        <f>VLOOKUP(C4094,[1]master_data!$A$2:$E$495,4,FALSE)</f>
        <v>4000</v>
      </c>
      <c r="H4094" s="5">
        <f t="shared" si="195"/>
        <v>10000</v>
      </c>
      <c r="I4094" s="5">
        <f t="shared" si="196"/>
        <v>16000</v>
      </c>
      <c r="J4094" s="5">
        <f t="shared" si="197"/>
        <v>6000</v>
      </c>
      <c r="K4094" s="5" t="str">
        <f>VLOOKUP(C4094,[1]master_data!$A$2:$E$495,5,FALSE)</f>
        <v>Ikan</v>
      </c>
      <c r="L4094" s="5" t="s">
        <v>471</v>
      </c>
    </row>
    <row r="4095" spans="1:12" ht="12" customHeight="1" x14ac:dyDescent="0.25">
      <c r="A4095" s="6">
        <v>44588</v>
      </c>
      <c r="B4095" s="1">
        <v>2200468</v>
      </c>
      <c r="C4095" s="5" t="s">
        <v>394</v>
      </c>
      <c r="D4095" s="5" t="str">
        <f>VLOOKUP(C4095,[1]master_data!$A$2:$E$495,2,FALSE)</f>
        <v>ARWANA SILVER K</v>
      </c>
      <c r="E4095" s="5">
        <v>1</v>
      </c>
      <c r="F4095" s="5">
        <f>VLOOKUP(C4095,[1]master_data!$A$2:$E$495,3,FALSE)</f>
        <v>100000</v>
      </c>
      <c r="G4095" s="5">
        <f>VLOOKUP(C4095,[1]master_data!$A$2:$E$495,4,FALSE)</f>
        <v>200000</v>
      </c>
      <c r="H4095" s="5">
        <f t="shared" si="195"/>
        <v>100000</v>
      </c>
      <c r="I4095" s="5">
        <f t="shared" si="196"/>
        <v>200000</v>
      </c>
      <c r="J4095" s="5">
        <f t="shared" si="197"/>
        <v>100000</v>
      </c>
      <c r="K4095" s="5" t="str">
        <f>VLOOKUP(C4095,[1]master_data!$A$2:$E$495,5,FALSE)</f>
        <v>Ikan</v>
      </c>
      <c r="L4095" s="5" t="s">
        <v>471</v>
      </c>
    </row>
    <row r="4096" spans="1:12" ht="12" customHeight="1" x14ac:dyDescent="0.25">
      <c r="A4096" s="6">
        <v>44588</v>
      </c>
      <c r="B4096" s="1">
        <v>2200467</v>
      </c>
      <c r="C4096" s="5" t="s">
        <v>209</v>
      </c>
      <c r="D4096" s="5" t="str">
        <f>VLOOKUP(C4096,[1]master_data!$A$2:$E$495,2,FALSE)</f>
        <v>TETRA BITS 50 GR</v>
      </c>
      <c r="E4096" s="5">
        <v>1</v>
      </c>
      <c r="F4096" s="5">
        <f>VLOOKUP(C4096,[1]master_data!$A$2:$E$495,3,FALSE)</f>
        <v>45000</v>
      </c>
      <c r="G4096" s="5">
        <f>VLOOKUP(C4096,[1]master_data!$A$2:$E$495,4,FALSE)</f>
        <v>55000</v>
      </c>
      <c r="H4096" s="5">
        <f t="shared" si="195"/>
        <v>45000</v>
      </c>
      <c r="I4096" s="5">
        <f t="shared" si="196"/>
        <v>55000</v>
      </c>
      <c r="J4096" s="5">
        <f t="shared" si="197"/>
        <v>10000</v>
      </c>
      <c r="K4096" s="5" t="str">
        <f>VLOOKUP(C4096,[1]master_data!$A$2:$E$495,5,FALSE)</f>
        <v>Aksesoris</v>
      </c>
      <c r="L4096" s="5" t="s">
        <v>471</v>
      </c>
    </row>
    <row r="4097" spans="1:12" ht="12" customHeight="1" x14ac:dyDescent="0.25">
      <c r="A4097" s="6">
        <v>44588</v>
      </c>
      <c r="B4097" s="1">
        <v>2200466</v>
      </c>
      <c r="C4097" s="5" t="s">
        <v>401</v>
      </c>
      <c r="D4097" s="5" t="str">
        <f>VLOOKUP(C4097,[1]master_data!$A$2:$E$495,2,FALSE)</f>
        <v>BALA BALA B</v>
      </c>
      <c r="E4097" s="5">
        <v>2</v>
      </c>
      <c r="F4097" s="5">
        <f>VLOOKUP(C4097,[1]master_data!$A$2:$E$495,3,FALSE)</f>
        <v>7000</v>
      </c>
      <c r="G4097" s="5">
        <f>VLOOKUP(C4097,[1]master_data!$A$2:$E$495,4,FALSE)</f>
        <v>15000</v>
      </c>
      <c r="H4097" s="5">
        <f t="shared" si="195"/>
        <v>14000</v>
      </c>
      <c r="I4097" s="5">
        <f t="shared" si="196"/>
        <v>30000</v>
      </c>
      <c r="J4097" s="5">
        <f t="shared" si="197"/>
        <v>16000</v>
      </c>
      <c r="K4097" s="5" t="str">
        <f>VLOOKUP(C4097,[1]master_data!$A$2:$E$495,5,FALSE)</f>
        <v>Ikan</v>
      </c>
      <c r="L4097" s="5" t="s">
        <v>471</v>
      </c>
    </row>
    <row r="4098" spans="1:12" ht="12" customHeight="1" x14ac:dyDescent="0.25">
      <c r="A4098" s="6">
        <v>44588</v>
      </c>
      <c r="B4098" s="1">
        <v>2200465</v>
      </c>
      <c r="C4098" s="5" t="s">
        <v>409</v>
      </c>
      <c r="D4098" s="5" t="str">
        <f>VLOOKUP(C4098,[1]master_data!$A$2:$E$495,2,FALSE)</f>
        <v>GOLD FISH</v>
      </c>
      <c r="E4098" s="5">
        <v>30</v>
      </c>
      <c r="F4098" s="5">
        <f>VLOOKUP(C4098,[1]master_data!$A$2:$E$495,3,FALSE)</f>
        <v>800</v>
      </c>
      <c r="G4098" s="5">
        <f>VLOOKUP(C4098,[1]master_data!$A$2:$E$495,4,FALSE)</f>
        <v>2000</v>
      </c>
      <c r="H4098" s="5">
        <f t="shared" si="195"/>
        <v>24000</v>
      </c>
      <c r="I4098" s="5">
        <f t="shared" si="196"/>
        <v>60000</v>
      </c>
      <c r="J4098" s="5">
        <f t="shared" si="197"/>
        <v>36000</v>
      </c>
      <c r="K4098" s="5" t="str">
        <f>VLOOKUP(C4098,[1]master_data!$A$2:$E$495,5,FALSE)</f>
        <v>Ikan</v>
      </c>
      <c r="L4098" s="5" t="s">
        <v>471</v>
      </c>
    </row>
    <row r="4099" spans="1:12" ht="12" customHeight="1" x14ac:dyDescent="0.25">
      <c r="A4099" s="6">
        <v>44588</v>
      </c>
      <c r="B4099" s="1">
        <v>2200464</v>
      </c>
      <c r="C4099" s="5" t="s">
        <v>430</v>
      </c>
      <c r="D4099" s="5" t="str">
        <f>VLOOKUP(C4099,[1]master_data!$A$2:$E$495,2,FALSE)</f>
        <v>MANFISH K</v>
      </c>
      <c r="E4099" s="5">
        <v>2</v>
      </c>
      <c r="F4099" s="5">
        <f>VLOOKUP(C4099,[1]master_data!$A$2:$E$495,3,FALSE)</f>
        <v>2000</v>
      </c>
      <c r="G4099" s="5">
        <f>VLOOKUP(C4099,[1]master_data!$A$2:$E$495,4,FALSE)</f>
        <v>5000</v>
      </c>
      <c r="H4099" s="5">
        <f t="shared" si="195"/>
        <v>4000</v>
      </c>
      <c r="I4099" s="5">
        <f t="shared" si="196"/>
        <v>10000</v>
      </c>
      <c r="J4099" s="5">
        <f t="shared" si="197"/>
        <v>6000</v>
      </c>
      <c r="K4099" s="5" t="str">
        <f>VLOOKUP(C4099,[1]master_data!$A$2:$E$495,5,FALSE)</f>
        <v>Ikan</v>
      </c>
      <c r="L4099" s="5" t="s">
        <v>471</v>
      </c>
    </row>
    <row r="4100" spans="1:12" ht="12" customHeight="1" x14ac:dyDescent="0.25">
      <c r="A4100" s="6">
        <v>44588</v>
      </c>
      <c r="B4100" s="1">
        <v>2200463</v>
      </c>
      <c r="C4100" s="5" t="s">
        <v>415</v>
      </c>
      <c r="D4100" s="5" t="str">
        <f>VLOOKUP(C4100,[1]master_data!$A$2:$E$495,2,FALSE)</f>
        <v>KOKI B</v>
      </c>
      <c r="E4100" s="5">
        <v>1</v>
      </c>
      <c r="F4100" s="5">
        <f>VLOOKUP(C4100,[1]master_data!$A$2:$E$495,3,FALSE)</f>
        <v>20000</v>
      </c>
      <c r="G4100" s="5">
        <f>VLOOKUP(C4100,[1]master_data!$A$2:$E$495,4,FALSE)</f>
        <v>50000</v>
      </c>
      <c r="H4100" s="5">
        <f t="shared" si="195"/>
        <v>20000</v>
      </c>
      <c r="I4100" s="5">
        <f t="shared" si="196"/>
        <v>50000</v>
      </c>
      <c r="J4100" s="5">
        <f t="shared" si="197"/>
        <v>30000</v>
      </c>
      <c r="K4100" s="5" t="str">
        <f>VLOOKUP(C4100,[1]master_data!$A$2:$E$495,5,FALSE)</f>
        <v>Ikan</v>
      </c>
      <c r="L4100" s="5" t="s">
        <v>471</v>
      </c>
    </row>
    <row r="4101" spans="1:12" ht="12" customHeight="1" x14ac:dyDescent="0.25">
      <c r="A4101" s="6">
        <v>44587</v>
      </c>
      <c r="B4101" s="1">
        <v>2200462</v>
      </c>
      <c r="C4101" s="5" t="s">
        <v>216</v>
      </c>
      <c r="D4101" s="5" t="str">
        <f>VLOOKUP(C4101,[1]master_data!$A$2:$E$495,2,FALSE)</f>
        <v>HOKKY LOUHAN COLOUR</v>
      </c>
      <c r="E4101" s="5">
        <v>1</v>
      </c>
      <c r="F4101" s="5">
        <f>VLOOKUP(C4101,[1]master_data!$A$2:$E$495,3,FALSE)</f>
        <v>18000</v>
      </c>
      <c r="G4101" s="5">
        <f>VLOOKUP(C4101,[1]master_data!$A$2:$E$495,4,FALSE)</f>
        <v>25000</v>
      </c>
      <c r="H4101" s="5">
        <f t="shared" ref="H4101:H4164" si="198">E4101*F4101</f>
        <v>18000</v>
      </c>
      <c r="I4101" s="5">
        <f t="shared" ref="I4101:I4164" si="199">E4101*G4101</f>
        <v>25000</v>
      </c>
      <c r="J4101" s="5">
        <f t="shared" ref="J4101:J4164" si="200">I4101-H4101</f>
        <v>7000</v>
      </c>
      <c r="K4101" s="5" t="str">
        <f>VLOOKUP(C4101,[1]master_data!$A$2:$E$495,5,FALSE)</f>
        <v>Aksesoris</v>
      </c>
      <c r="L4101" s="5" t="s">
        <v>471</v>
      </c>
    </row>
    <row r="4102" spans="1:12" ht="12" customHeight="1" x14ac:dyDescent="0.25">
      <c r="A4102" s="6">
        <v>44587</v>
      </c>
      <c r="B4102" s="1">
        <v>2200461</v>
      </c>
      <c r="C4102" s="5" t="s">
        <v>342</v>
      </c>
      <c r="D4102" s="5" t="str">
        <f>VLOOKUP(C4102,[1]master_data!$A$2:$E$495,2,FALSE)</f>
        <v>KUTUB LAS</v>
      </c>
      <c r="E4102" s="5">
        <v>1</v>
      </c>
      <c r="F4102" s="5">
        <f>VLOOKUP(C4102,[1]master_data!$A$2:$E$495,3,FALSE)</f>
        <v>15000</v>
      </c>
      <c r="G4102" s="5">
        <f>VLOOKUP(C4102,[1]master_data!$A$2:$E$495,4,FALSE)</f>
        <v>25000</v>
      </c>
      <c r="H4102" s="5">
        <f t="shared" si="198"/>
        <v>15000</v>
      </c>
      <c r="I4102" s="5">
        <f t="shared" si="199"/>
        <v>25000</v>
      </c>
      <c r="J4102" s="5">
        <f t="shared" si="200"/>
        <v>10000</v>
      </c>
      <c r="K4102" s="5" t="str">
        <f>VLOOKUP(C4102,[1]master_data!$A$2:$E$495,5,FALSE)</f>
        <v>Aksesoris</v>
      </c>
      <c r="L4102" s="5" t="s">
        <v>471</v>
      </c>
    </row>
    <row r="4103" spans="1:12" ht="12" customHeight="1" x14ac:dyDescent="0.25">
      <c r="A4103" s="6">
        <v>44587</v>
      </c>
      <c r="B4103" s="1">
        <v>2200460</v>
      </c>
      <c r="C4103" s="5" t="s">
        <v>202</v>
      </c>
      <c r="D4103" s="5" t="str">
        <f>VLOOKUP(C4103,[1]master_data!$A$2:$E$495,2,FALSE)</f>
        <v>HOKKY COLOUR MAX</v>
      </c>
      <c r="E4103" s="5">
        <v>1</v>
      </c>
      <c r="F4103" s="5">
        <f>VLOOKUP(C4103,[1]master_data!$A$2:$E$495,3,FALSE)</f>
        <v>7600</v>
      </c>
      <c r="G4103" s="5">
        <f>VLOOKUP(C4103,[1]master_data!$A$2:$E$495,4,FALSE)</f>
        <v>10000</v>
      </c>
      <c r="H4103" s="5">
        <f t="shared" si="198"/>
        <v>7600</v>
      </c>
      <c r="I4103" s="5">
        <f t="shared" si="199"/>
        <v>10000</v>
      </c>
      <c r="J4103" s="5">
        <f t="shared" si="200"/>
        <v>2400</v>
      </c>
      <c r="K4103" s="5" t="str">
        <f>VLOOKUP(C4103,[1]master_data!$A$2:$E$495,5,FALSE)</f>
        <v>Aksesoris</v>
      </c>
      <c r="L4103" s="5" t="s">
        <v>471</v>
      </c>
    </row>
    <row r="4104" spans="1:12" ht="12" customHeight="1" x14ac:dyDescent="0.25">
      <c r="A4104" s="6">
        <v>44587</v>
      </c>
      <c r="B4104" s="1">
        <v>2200459</v>
      </c>
      <c r="C4104" s="5" t="s">
        <v>458</v>
      </c>
      <c r="D4104" s="5" t="str">
        <f>VLOOKUP(C4104,[1]master_data!$A$2:$E$495,2,FALSE)</f>
        <v>ZEBRA HIJAU</v>
      </c>
      <c r="E4104" s="5">
        <v>5</v>
      </c>
      <c r="F4104" s="5">
        <f>VLOOKUP(C4104,[1]master_data!$A$2:$E$495,3,FALSE)</f>
        <v>800</v>
      </c>
      <c r="G4104" s="5">
        <f>VLOOKUP(C4104,[1]master_data!$A$2:$E$495,4,FALSE)</f>
        <v>2000</v>
      </c>
      <c r="H4104" s="5">
        <f t="shared" si="198"/>
        <v>4000</v>
      </c>
      <c r="I4104" s="5">
        <f t="shared" si="199"/>
        <v>10000</v>
      </c>
      <c r="J4104" s="5">
        <f t="shared" si="200"/>
        <v>6000</v>
      </c>
      <c r="K4104" s="5" t="str">
        <f>VLOOKUP(C4104,[1]master_data!$A$2:$E$495,5,FALSE)</f>
        <v>Ikan</v>
      </c>
      <c r="L4104" s="5" t="s">
        <v>471</v>
      </c>
    </row>
    <row r="4105" spans="1:12" ht="12" customHeight="1" x14ac:dyDescent="0.25">
      <c r="A4105" s="6">
        <v>44587</v>
      </c>
      <c r="B4105" s="1">
        <v>2200458</v>
      </c>
      <c r="C4105" s="5" t="s">
        <v>225</v>
      </c>
      <c r="D4105" s="5" t="str">
        <f>VLOOKUP(C4105,[1]master_data!$A$2:$E$495,2,FALSE)</f>
        <v>HOKKY KOI GROWTH</v>
      </c>
      <c r="E4105" s="5">
        <v>1</v>
      </c>
      <c r="F4105" s="5">
        <f>VLOOKUP(C4105,[1]master_data!$A$2:$E$495,3,FALSE)</f>
        <v>49000</v>
      </c>
      <c r="G4105" s="5">
        <f>VLOOKUP(C4105,[1]master_data!$A$2:$E$495,4,FALSE)</f>
        <v>55000</v>
      </c>
      <c r="H4105" s="5">
        <f t="shared" si="198"/>
        <v>49000</v>
      </c>
      <c r="I4105" s="5">
        <f t="shared" si="199"/>
        <v>55000</v>
      </c>
      <c r="J4105" s="5">
        <f t="shared" si="200"/>
        <v>6000</v>
      </c>
      <c r="K4105" s="5" t="str">
        <f>VLOOKUP(C4105,[1]master_data!$A$2:$E$495,5,FALSE)</f>
        <v>Aksesoris</v>
      </c>
      <c r="L4105" s="5" t="s">
        <v>471</v>
      </c>
    </row>
    <row r="4106" spans="1:12" ht="12" customHeight="1" x14ac:dyDescent="0.25">
      <c r="A4106" s="6">
        <v>44587</v>
      </c>
      <c r="B4106" s="1">
        <v>2200457</v>
      </c>
      <c r="C4106" s="5" t="s">
        <v>419</v>
      </c>
      <c r="D4106" s="5" t="str">
        <f>VLOOKUP(C4106,[1]master_data!$A$2:$E$495,2,FALSE)</f>
        <v>KURA - KURA</v>
      </c>
      <c r="E4106" s="5">
        <v>2</v>
      </c>
      <c r="F4106" s="5">
        <f>VLOOKUP(C4106,[1]master_data!$A$2:$E$495,3,FALSE)</f>
        <v>25000</v>
      </c>
      <c r="G4106" s="5">
        <f>VLOOKUP(C4106,[1]master_data!$A$2:$E$495,4,FALSE)</f>
        <v>35000</v>
      </c>
      <c r="H4106" s="5">
        <f t="shared" si="198"/>
        <v>50000</v>
      </c>
      <c r="I4106" s="5">
        <f t="shared" si="199"/>
        <v>70000</v>
      </c>
      <c r="J4106" s="5">
        <f t="shared" si="200"/>
        <v>20000</v>
      </c>
      <c r="K4106" s="5" t="str">
        <f>VLOOKUP(C4106,[1]master_data!$A$2:$E$495,5,FALSE)</f>
        <v>Ikan</v>
      </c>
      <c r="L4106" s="5" t="s">
        <v>471</v>
      </c>
    </row>
    <row r="4107" spans="1:12" ht="12" customHeight="1" x14ac:dyDescent="0.25">
      <c r="A4107" s="6">
        <v>44587</v>
      </c>
      <c r="B4107" s="1">
        <v>2200456</v>
      </c>
      <c r="C4107" s="5" t="s">
        <v>400</v>
      </c>
      <c r="D4107" s="5" t="str">
        <f>VLOOKUP(C4107,[1]master_data!$A$2:$E$495,2,FALSE)</f>
        <v>BALA BALA K</v>
      </c>
      <c r="E4107" s="5">
        <v>2</v>
      </c>
      <c r="F4107" s="5">
        <f>VLOOKUP(C4107,[1]master_data!$A$2:$E$495,3,FALSE)</f>
        <v>4000</v>
      </c>
      <c r="G4107" s="5">
        <f>VLOOKUP(C4107,[1]master_data!$A$2:$E$495,4,FALSE)</f>
        <v>8000</v>
      </c>
      <c r="H4107" s="5">
        <f t="shared" si="198"/>
        <v>8000</v>
      </c>
      <c r="I4107" s="5">
        <f t="shared" si="199"/>
        <v>16000</v>
      </c>
      <c r="J4107" s="5">
        <f t="shared" si="200"/>
        <v>8000</v>
      </c>
      <c r="K4107" s="5" t="str">
        <f>VLOOKUP(C4107,[1]master_data!$A$2:$E$495,5,FALSE)</f>
        <v>Ikan</v>
      </c>
      <c r="L4107" s="5" t="s">
        <v>471</v>
      </c>
    </row>
    <row r="4108" spans="1:12" ht="12" customHeight="1" x14ac:dyDescent="0.25">
      <c r="A4108" s="6">
        <v>44587</v>
      </c>
      <c r="B4108" s="1">
        <v>2200455</v>
      </c>
      <c r="C4108" s="5" t="s">
        <v>211</v>
      </c>
      <c r="D4108" s="5" t="str">
        <f>VLOOKUP(C4108,[1]master_data!$A$2:$E$495,2,FALSE)</f>
        <v>CRISTAL PAKAN CUPANG</v>
      </c>
      <c r="E4108" s="5">
        <v>1</v>
      </c>
      <c r="F4108" s="5">
        <f>VLOOKUP(C4108,[1]master_data!$A$2:$E$495,3,FALSE)</f>
        <v>1500</v>
      </c>
      <c r="G4108" s="5">
        <f>VLOOKUP(C4108,[1]master_data!$A$2:$E$495,4,FALSE)</f>
        <v>3000</v>
      </c>
      <c r="H4108" s="5">
        <f t="shared" si="198"/>
        <v>1500</v>
      </c>
      <c r="I4108" s="5">
        <f t="shared" si="199"/>
        <v>3000</v>
      </c>
      <c r="J4108" s="5">
        <f t="shared" si="200"/>
        <v>1500</v>
      </c>
      <c r="K4108" s="5" t="str">
        <f>VLOOKUP(C4108,[1]master_data!$A$2:$E$495,5,FALSE)</f>
        <v>Aksesoris</v>
      </c>
      <c r="L4108" s="5" t="s">
        <v>471</v>
      </c>
    </row>
    <row r="4109" spans="1:12" ht="12" customHeight="1" x14ac:dyDescent="0.25">
      <c r="A4109" s="6">
        <v>44587</v>
      </c>
      <c r="B4109" s="1">
        <v>2200454</v>
      </c>
      <c r="C4109" s="5" t="s">
        <v>233</v>
      </c>
      <c r="D4109" s="5" t="str">
        <f>VLOOKUP(C4109,[1]master_data!$A$2:$E$495,2,FALSE)</f>
        <v>FISH LOVE PAKAN</v>
      </c>
      <c r="E4109" s="5">
        <v>1</v>
      </c>
      <c r="F4109" s="5">
        <f>VLOOKUP(C4109,[1]master_data!$A$2:$E$495,3,FALSE)</f>
        <v>2500</v>
      </c>
      <c r="G4109" s="5">
        <f>VLOOKUP(C4109,[1]master_data!$A$2:$E$495,4,FALSE)</f>
        <v>5000</v>
      </c>
      <c r="H4109" s="5">
        <f t="shared" si="198"/>
        <v>2500</v>
      </c>
      <c r="I4109" s="5">
        <f t="shared" si="199"/>
        <v>5000</v>
      </c>
      <c r="J4109" s="5">
        <f t="shared" si="200"/>
        <v>2500</v>
      </c>
      <c r="K4109" s="5" t="str">
        <f>VLOOKUP(C4109,[1]master_data!$A$2:$E$495,5,FALSE)</f>
        <v>Aksesoris</v>
      </c>
      <c r="L4109" s="5" t="s">
        <v>471</v>
      </c>
    </row>
    <row r="4110" spans="1:12" ht="12" customHeight="1" x14ac:dyDescent="0.25">
      <c r="A4110" s="6">
        <v>44587</v>
      </c>
      <c r="B4110" s="1">
        <v>2200453</v>
      </c>
      <c r="C4110" s="5" t="s">
        <v>45</v>
      </c>
      <c r="D4110" s="5" t="str">
        <f>VLOOKUP(C4110,[1]master_data!$A$2:$E$495,2,FALSE)</f>
        <v>TOP FILTER NIKITA K</v>
      </c>
      <c r="E4110" s="5">
        <v>1</v>
      </c>
      <c r="F4110" s="5">
        <f>VLOOKUP(C4110,[1]master_data!$A$2:$E$495,3,FALSE)</f>
        <v>36000</v>
      </c>
      <c r="G4110" s="5">
        <f>VLOOKUP(C4110,[1]master_data!$A$2:$E$495,4,FALSE)</f>
        <v>55000</v>
      </c>
      <c r="H4110" s="5">
        <f t="shared" si="198"/>
        <v>36000</v>
      </c>
      <c r="I4110" s="5">
        <f t="shared" si="199"/>
        <v>55000</v>
      </c>
      <c r="J4110" s="5">
        <f t="shared" si="200"/>
        <v>19000</v>
      </c>
      <c r="K4110" s="5" t="str">
        <f>VLOOKUP(C4110,[1]master_data!$A$2:$E$495,5,FALSE)</f>
        <v>Aksesoris</v>
      </c>
      <c r="L4110" s="5" t="s">
        <v>471</v>
      </c>
    </row>
    <row r="4111" spans="1:12" ht="12" customHeight="1" x14ac:dyDescent="0.25">
      <c r="A4111" s="6">
        <v>44587</v>
      </c>
      <c r="B4111" s="1">
        <v>2200452</v>
      </c>
      <c r="C4111" s="5" t="s">
        <v>208</v>
      </c>
      <c r="D4111" s="5" t="str">
        <f>VLOOKUP(C4111,[1]master_data!$A$2:$E$495,2,FALSE)</f>
        <v>TOP VIT</v>
      </c>
      <c r="E4111" s="5">
        <v>1</v>
      </c>
      <c r="F4111" s="5">
        <f>VLOOKUP(C4111,[1]master_data!$A$2:$E$495,3,FALSE)</f>
        <v>4000</v>
      </c>
      <c r="G4111" s="5">
        <f>VLOOKUP(C4111,[1]master_data!$A$2:$E$495,4,FALSE)</f>
        <v>7000</v>
      </c>
      <c r="H4111" s="5">
        <f t="shared" si="198"/>
        <v>4000</v>
      </c>
      <c r="I4111" s="5">
        <f t="shared" si="199"/>
        <v>7000</v>
      </c>
      <c r="J4111" s="5">
        <f t="shared" si="200"/>
        <v>3000</v>
      </c>
      <c r="K4111" s="5" t="str">
        <f>VLOOKUP(C4111,[1]master_data!$A$2:$E$495,5,FALSE)</f>
        <v>Aksesoris</v>
      </c>
      <c r="L4111" s="5" t="s">
        <v>471</v>
      </c>
    </row>
    <row r="4112" spans="1:12" ht="12" customHeight="1" x14ac:dyDescent="0.25">
      <c r="A4112" s="6">
        <v>44587</v>
      </c>
      <c r="B4112" s="1">
        <v>2200451</v>
      </c>
      <c r="C4112" s="5" t="s">
        <v>415</v>
      </c>
      <c r="D4112" s="5" t="str">
        <f>VLOOKUP(C4112,[1]master_data!$A$2:$E$495,2,FALSE)</f>
        <v>KOKI B</v>
      </c>
      <c r="E4112" s="5">
        <v>2</v>
      </c>
      <c r="F4112" s="5">
        <f>VLOOKUP(C4112,[1]master_data!$A$2:$E$495,3,FALSE)</f>
        <v>20000</v>
      </c>
      <c r="G4112" s="5">
        <f>VLOOKUP(C4112,[1]master_data!$A$2:$E$495,4,FALSE)</f>
        <v>50000</v>
      </c>
      <c r="H4112" s="5">
        <f t="shared" si="198"/>
        <v>40000</v>
      </c>
      <c r="I4112" s="5">
        <f t="shared" si="199"/>
        <v>100000</v>
      </c>
      <c r="J4112" s="5">
        <f t="shared" si="200"/>
        <v>60000</v>
      </c>
      <c r="K4112" s="5" t="str">
        <f>VLOOKUP(C4112,[1]master_data!$A$2:$E$495,5,FALSE)</f>
        <v>Ikan</v>
      </c>
      <c r="L4112" s="5" t="s">
        <v>471</v>
      </c>
    </row>
    <row r="4113" spans="1:12" ht="12" customHeight="1" x14ac:dyDescent="0.25">
      <c r="A4113" s="6">
        <v>44587</v>
      </c>
      <c r="B4113" s="1">
        <v>2200450</v>
      </c>
      <c r="C4113" s="5" t="s">
        <v>455</v>
      </c>
      <c r="D4113" s="5" t="str">
        <f>VLOOKUP(C4113,[1]master_data!$A$2:$E$495,2,FALSE)</f>
        <v>TETRA</v>
      </c>
      <c r="E4113" s="5">
        <v>5</v>
      </c>
      <c r="F4113" s="5">
        <f>VLOOKUP(C4113,[1]master_data!$A$2:$E$495,3,FALSE)</f>
        <v>800</v>
      </c>
      <c r="G4113" s="5">
        <f>VLOOKUP(C4113,[1]master_data!$A$2:$E$495,4,FALSE)</f>
        <v>2000</v>
      </c>
      <c r="H4113" s="5">
        <f t="shared" si="198"/>
        <v>4000</v>
      </c>
      <c r="I4113" s="5">
        <f t="shared" si="199"/>
        <v>10000</v>
      </c>
      <c r="J4113" s="5">
        <f t="shared" si="200"/>
        <v>6000</v>
      </c>
      <c r="K4113" s="5" t="str">
        <f>VLOOKUP(C4113,[1]master_data!$A$2:$E$495,5,FALSE)</f>
        <v>Ikan</v>
      </c>
      <c r="L4113" s="5" t="s">
        <v>471</v>
      </c>
    </row>
    <row r="4114" spans="1:12" ht="12" customHeight="1" x14ac:dyDescent="0.25">
      <c r="A4114" s="6">
        <v>44587</v>
      </c>
      <c r="B4114" s="1">
        <v>2200449</v>
      </c>
      <c r="C4114" s="5" t="s">
        <v>423</v>
      </c>
      <c r="D4114" s="5" t="str">
        <f>VLOOKUP(C4114,[1]master_data!$A$2:$E$495,2,FALSE)</f>
        <v>KOI SLAYER K</v>
      </c>
      <c r="E4114" s="5">
        <v>3</v>
      </c>
      <c r="F4114" s="5">
        <f>VLOOKUP(C4114,[1]master_data!$A$2:$E$495,3,FALSE)</f>
        <v>3500</v>
      </c>
      <c r="G4114" s="5">
        <f>VLOOKUP(C4114,[1]master_data!$A$2:$E$495,4,FALSE)</f>
        <v>10000</v>
      </c>
      <c r="H4114" s="5">
        <f t="shared" si="198"/>
        <v>10500</v>
      </c>
      <c r="I4114" s="5">
        <f t="shared" si="199"/>
        <v>30000</v>
      </c>
      <c r="J4114" s="5">
        <f t="shared" si="200"/>
        <v>19500</v>
      </c>
      <c r="K4114" s="5" t="str">
        <f>VLOOKUP(C4114,[1]master_data!$A$2:$E$495,5,FALSE)</f>
        <v>Ikan</v>
      </c>
      <c r="L4114" s="5" t="s">
        <v>471</v>
      </c>
    </row>
    <row r="4115" spans="1:12" ht="12" customHeight="1" x14ac:dyDescent="0.25">
      <c r="A4115" s="6">
        <v>44587</v>
      </c>
      <c r="B4115" s="1">
        <v>2200448</v>
      </c>
      <c r="C4115" s="5" t="s">
        <v>447</v>
      </c>
      <c r="D4115" s="5" t="str">
        <f>VLOOKUP(C4115,[1]master_data!$A$2:$E$495,2,FALSE)</f>
        <v>REDFIN ALBINO</v>
      </c>
      <c r="E4115" s="5">
        <v>1</v>
      </c>
      <c r="F4115" s="5">
        <f>VLOOKUP(C4115,[1]master_data!$A$2:$E$495,3,FALSE)</f>
        <v>1500</v>
      </c>
      <c r="G4115" s="5">
        <f>VLOOKUP(C4115,[1]master_data!$A$2:$E$495,4,FALSE)</f>
        <v>4000</v>
      </c>
      <c r="H4115" s="5">
        <f t="shared" si="198"/>
        <v>1500</v>
      </c>
      <c r="I4115" s="5">
        <f t="shared" si="199"/>
        <v>4000</v>
      </c>
      <c r="J4115" s="5">
        <f t="shared" si="200"/>
        <v>2500</v>
      </c>
      <c r="K4115" s="5" t="str">
        <f>VLOOKUP(C4115,[1]master_data!$A$2:$E$495,5,FALSE)</f>
        <v>Ikan</v>
      </c>
      <c r="L4115" s="5" t="s">
        <v>471</v>
      </c>
    </row>
    <row r="4116" spans="1:12" ht="12" customHeight="1" x14ac:dyDescent="0.25">
      <c r="A4116" s="6">
        <v>44587</v>
      </c>
      <c r="B4116" s="1">
        <v>2200447</v>
      </c>
      <c r="C4116" s="5" t="s">
        <v>428</v>
      </c>
      <c r="D4116" s="5" t="str">
        <f>VLOOKUP(C4116,[1]master_data!$A$2:$E$495,2,FALSE)</f>
        <v>LOUHAN</v>
      </c>
      <c r="E4116" s="5">
        <v>1</v>
      </c>
      <c r="F4116" s="5">
        <f>VLOOKUP(C4116,[1]master_data!$A$2:$E$495,3,FALSE)</f>
        <v>85000</v>
      </c>
      <c r="G4116" s="5">
        <f>VLOOKUP(C4116,[1]master_data!$A$2:$E$495,4,FALSE)</f>
        <v>200000</v>
      </c>
      <c r="H4116" s="5">
        <f t="shared" si="198"/>
        <v>85000</v>
      </c>
      <c r="I4116" s="5">
        <f t="shared" si="199"/>
        <v>200000</v>
      </c>
      <c r="J4116" s="5">
        <f t="shared" si="200"/>
        <v>115000</v>
      </c>
      <c r="K4116" s="5" t="str">
        <f>VLOOKUP(C4116,[1]master_data!$A$2:$E$495,5,FALSE)</f>
        <v>Ikan</v>
      </c>
      <c r="L4116" s="5" t="s">
        <v>471</v>
      </c>
    </row>
    <row r="4117" spans="1:12" ht="12" customHeight="1" x14ac:dyDescent="0.25">
      <c r="A4117" s="6">
        <v>44587</v>
      </c>
      <c r="B4117" s="1">
        <v>2200446</v>
      </c>
      <c r="C4117" s="5" t="s">
        <v>413</v>
      </c>
      <c r="D4117" s="5" t="str">
        <f>VLOOKUP(C4117,[1]master_data!$A$2:$E$495,2,FALSE)</f>
        <v>KOKI K</v>
      </c>
      <c r="E4117" s="5">
        <v>2</v>
      </c>
      <c r="F4117" s="5">
        <f>VLOOKUP(C4117,[1]master_data!$A$2:$E$495,3,FALSE)</f>
        <v>3500</v>
      </c>
      <c r="G4117" s="5">
        <f>VLOOKUP(C4117,[1]master_data!$A$2:$E$495,4,FALSE)</f>
        <v>10000</v>
      </c>
      <c r="H4117" s="5">
        <f t="shared" si="198"/>
        <v>7000</v>
      </c>
      <c r="I4117" s="5">
        <f t="shared" si="199"/>
        <v>20000</v>
      </c>
      <c r="J4117" s="5">
        <f t="shared" si="200"/>
        <v>13000</v>
      </c>
      <c r="K4117" s="5" t="str">
        <f>VLOOKUP(C4117,[1]master_data!$A$2:$E$495,5,FALSE)</f>
        <v>Ikan</v>
      </c>
      <c r="L4117" s="5" t="s">
        <v>471</v>
      </c>
    </row>
    <row r="4118" spans="1:12" ht="12" customHeight="1" x14ac:dyDescent="0.25">
      <c r="A4118" s="6">
        <v>44587</v>
      </c>
      <c r="B4118" s="1">
        <v>2200445</v>
      </c>
      <c r="C4118" s="5" t="s">
        <v>233</v>
      </c>
      <c r="D4118" s="5" t="str">
        <f>VLOOKUP(C4118,[1]master_data!$A$2:$E$495,2,FALSE)</f>
        <v>FISH LOVE PAKAN</v>
      </c>
      <c r="E4118" s="5">
        <v>1</v>
      </c>
      <c r="F4118" s="5">
        <f>VLOOKUP(C4118,[1]master_data!$A$2:$E$495,3,FALSE)</f>
        <v>2500</v>
      </c>
      <c r="G4118" s="5">
        <f>VLOOKUP(C4118,[1]master_data!$A$2:$E$495,4,FALSE)</f>
        <v>5000</v>
      </c>
      <c r="H4118" s="5">
        <f t="shared" si="198"/>
        <v>2500</v>
      </c>
      <c r="I4118" s="5">
        <f t="shared" si="199"/>
        <v>5000</v>
      </c>
      <c r="J4118" s="5">
        <f t="shared" si="200"/>
        <v>2500</v>
      </c>
      <c r="K4118" s="5" t="str">
        <f>VLOOKUP(C4118,[1]master_data!$A$2:$E$495,5,FALSE)</f>
        <v>Aksesoris</v>
      </c>
      <c r="L4118" s="5" t="s">
        <v>471</v>
      </c>
    </row>
    <row r="4119" spans="1:12" ht="12" customHeight="1" x14ac:dyDescent="0.25">
      <c r="A4119" s="6">
        <v>44587</v>
      </c>
      <c r="B4119" s="1">
        <v>2200444</v>
      </c>
      <c r="C4119" s="5" t="s">
        <v>431</v>
      </c>
      <c r="D4119" s="5" t="str">
        <f>VLOOKUP(C4119,[1]master_data!$A$2:$E$495,2,FALSE)</f>
        <v>MANFISH B</v>
      </c>
      <c r="E4119" s="5">
        <v>3</v>
      </c>
      <c r="F4119" s="5">
        <f>VLOOKUP(C4119,[1]master_data!$A$2:$E$495,3,FALSE)</f>
        <v>4000</v>
      </c>
      <c r="G4119" s="5">
        <f>VLOOKUP(C4119,[1]master_data!$A$2:$E$495,4,FALSE)</f>
        <v>10000</v>
      </c>
      <c r="H4119" s="5">
        <f t="shared" si="198"/>
        <v>12000</v>
      </c>
      <c r="I4119" s="5">
        <f t="shared" si="199"/>
        <v>30000</v>
      </c>
      <c r="J4119" s="5">
        <f t="shared" si="200"/>
        <v>18000</v>
      </c>
      <c r="K4119" s="5" t="str">
        <f>VLOOKUP(C4119,[1]master_data!$A$2:$E$495,5,FALSE)</f>
        <v>Ikan</v>
      </c>
      <c r="L4119" s="5" t="s">
        <v>471</v>
      </c>
    </row>
    <row r="4120" spans="1:12" ht="12" customHeight="1" x14ac:dyDescent="0.25">
      <c r="A4120" s="6">
        <v>44586</v>
      </c>
      <c r="B4120" s="1">
        <v>2200443</v>
      </c>
      <c r="C4120" s="5" t="s">
        <v>432</v>
      </c>
      <c r="D4120" s="5" t="str">
        <f>VLOOKUP(C4120,[1]master_data!$A$2:$E$495,2,FALSE)</f>
        <v>MARU K</v>
      </c>
      <c r="E4120" s="5">
        <v>2</v>
      </c>
      <c r="F4120" s="5">
        <f>VLOOKUP(C4120,[1]master_data!$A$2:$E$495,3,FALSE)</f>
        <v>23000</v>
      </c>
      <c r="G4120" s="5">
        <f>VLOOKUP(C4120,[1]master_data!$A$2:$E$495,4,FALSE)</f>
        <v>50000</v>
      </c>
      <c r="H4120" s="5">
        <f t="shared" si="198"/>
        <v>46000</v>
      </c>
      <c r="I4120" s="5">
        <f t="shared" si="199"/>
        <v>100000</v>
      </c>
      <c r="J4120" s="5">
        <f t="shared" si="200"/>
        <v>54000</v>
      </c>
      <c r="K4120" s="5" t="str">
        <f>VLOOKUP(C4120,[1]master_data!$A$2:$E$495,5,FALSE)</f>
        <v>Ikan</v>
      </c>
      <c r="L4120" s="5" t="s">
        <v>471</v>
      </c>
    </row>
    <row r="4121" spans="1:12" ht="12" customHeight="1" x14ac:dyDescent="0.25">
      <c r="A4121" s="6">
        <v>44586</v>
      </c>
      <c r="B4121" s="1">
        <v>2200442</v>
      </c>
      <c r="C4121" s="5" t="s">
        <v>379</v>
      </c>
      <c r="D4121" s="5" t="str">
        <f>VLOOKUP(C4121,[1]master_data!$A$2:$E$495,2,FALSE)</f>
        <v>PASIR SILICA</v>
      </c>
      <c r="E4121" s="5">
        <v>1</v>
      </c>
      <c r="F4121" s="5">
        <f>VLOOKUP(C4121,[1]master_data!$A$2:$E$495,3,FALSE)</f>
        <v>5000</v>
      </c>
      <c r="G4121" s="5">
        <f>VLOOKUP(C4121,[1]master_data!$A$2:$E$495,4,FALSE)</f>
        <v>10000</v>
      </c>
      <c r="H4121" s="5">
        <f t="shared" si="198"/>
        <v>5000</v>
      </c>
      <c r="I4121" s="5">
        <f t="shared" si="199"/>
        <v>10000</v>
      </c>
      <c r="J4121" s="5">
        <f t="shared" si="200"/>
        <v>5000</v>
      </c>
      <c r="K4121" s="5" t="str">
        <f>VLOOKUP(C4121,[1]master_data!$A$2:$E$495,5,FALSE)</f>
        <v>Aksesoris</v>
      </c>
      <c r="L4121" s="5" t="s">
        <v>471</v>
      </c>
    </row>
    <row r="4122" spans="1:12" ht="12" customHeight="1" x14ac:dyDescent="0.25">
      <c r="A4122" s="6">
        <v>44586</v>
      </c>
      <c r="B4122" s="1">
        <v>2200441</v>
      </c>
      <c r="C4122" s="5" t="s">
        <v>403</v>
      </c>
      <c r="D4122" s="5" t="str">
        <f>VLOOKUP(C4122,[1]master_data!$A$2:$E$495,2,FALSE)</f>
        <v>CHANNA BLUE PULCHRA K</v>
      </c>
      <c r="E4122" s="5">
        <v>2</v>
      </c>
      <c r="F4122" s="5">
        <f>VLOOKUP(C4122,[1]master_data!$A$2:$E$495,3,FALSE)</f>
        <v>25000</v>
      </c>
      <c r="G4122" s="5">
        <f>VLOOKUP(C4122,[1]master_data!$A$2:$E$495,4,FALSE)</f>
        <v>50000</v>
      </c>
      <c r="H4122" s="5">
        <f t="shared" si="198"/>
        <v>50000</v>
      </c>
      <c r="I4122" s="5">
        <f t="shared" si="199"/>
        <v>100000</v>
      </c>
      <c r="J4122" s="5">
        <f t="shared" si="200"/>
        <v>50000</v>
      </c>
      <c r="K4122" s="5" t="str">
        <f>VLOOKUP(C4122,[1]master_data!$A$2:$E$495,5,FALSE)</f>
        <v>Ikan</v>
      </c>
      <c r="L4122" s="5" t="s">
        <v>471</v>
      </c>
    </row>
    <row r="4123" spans="1:12" ht="12" customHeight="1" x14ac:dyDescent="0.25">
      <c r="A4123" s="6">
        <v>44586</v>
      </c>
      <c r="B4123" s="1">
        <v>2200440</v>
      </c>
      <c r="C4123" s="5" t="s">
        <v>249</v>
      </c>
      <c r="D4123" s="5" t="str">
        <f>VLOOKUP(C4123,[1]master_data!$A$2:$E$495,2,FALSE)</f>
        <v>AIRSTONE BAKSO B</v>
      </c>
      <c r="E4123" s="5">
        <v>2</v>
      </c>
      <c r="F4123" s="5">
        <f>VLOOKUP(C4123,[1]master_data!$A$2:$E$495,3,FALSE)</f>
        <v>7700</v>
      </c>
      <c r="G4123" s="5">
        <f>VLOOKUP(C4123,[1]master_data!$A$2:$E$495,4,FALSE)</f>
        <v>10000</v>
      </c>
      <c r="H4123" s="5">
        <f t="shared" si="198"/>
        <v>15400</v>
      </c>
      <c r="I4123" s="5">
        <f t="shared" si="199"/>
        <v>20000</v>
      </c>
      <c r="J4123" s="5">
        <f t="shared" si="200"/>
        <v>4600</v>
      </c>
      <c r="K4123" s="5" t="str">
        <f>VLOOKUP(C4123,[1]master_data!$A$2:$E$495,5,FALSE)</f>
        <v>Aksesoris</v>
      </c>
      <c r="L4123" s="5" t="s">
        <v>471</v>
      </c>
    </row>
    <row r="4124" spans="1:12" ht="12" customHeight="1" x14ac:dyDescent="0.25">
      <c r="A4124" s="6">
        <v>44586</v>
      </c>
      <c r="B4124" s="1">
        <v>2200439</v>
      </c>
      <c r="C4124" s="5" t="s">
        <v>256</v>
      </c>
      <c r="D4124" s="5" t="str">
        <f>VLOOKUP(C4124,[1]master_data!$A$2:$E$495,2,FALSE)</f>
        <v>BACKGROUND</v>
      </c>
      <c r="E4124" s="5">
        <v>1</v>
      </c>
      <c r="F4124" s="5">
        <f>VLOOKUP(C4124,[1]master_data!$A$2:$E$495,3,FALSE)</f>
        <v>8000</v>
      </c>
      <c r="G4124" s="5">
        <f>VLOOKUP(C4124,[1]master_data!$A$2:$E$495,4,FALSE)</f>
        <v>15000</v>
      </c>
      <c r="H4124" s="5">
        <f t="shared" si="198"/>
        <v>8000</v>
      </c>
      <c r="I4124" s="5">
        <f t="shared" si="199"/>
        <v>15000</v>
      </c>
      <c r="J4124" s="5">
        <f t="shared" si="200"/>
        <v>7000</v>
      </c>
      <c r="K4124" s="5" t="str">
        <f>VLOOKUP(C4124,[1]master_data!$A$2:$E$495,5,FALSE)</f>
        <v>Aksesoris</v>
      </c>
      <c r="L4124" s="5" t="s">
        <v>471</v>
      </c>
    </row>
    <row r="4125" spans="1:12" ht="12" customHeight="1" x14ac:dyDescent="0.25">
      <c r="A4125" s="6">
        <v>44586</v>
      </c>
      <c r="B4125" s="1">
        <v>2200438</v>
      </c>
      <c r="C4125" s="5" t="s">
        <v>13</v>
      </c>
      <c r="D4125" s="5" t="str">
        <f>VLOOKUP(C4125,[1]master_data!$A$2:$E$495,2,FALSE)</f>
        <v>MESIN YANG 105</v>
      </c>
      <c r="E4125" s="5">
        <v>1</v>
      </c>
      <c r="F4125" s="5">
        <f>VLOOKUP(C4125,[1]master_data!$A$2:$E$495,3,FALSE)</f>
        <v>140000</v>
      </c>
      <c r="G4125" s="5">
        <f>VLOOKUP(C4125,[1]master_data!$A$2:$E$495,4,FALSE)</f>
        <v>190000</v>
      </c>
      <c r="H4125" s="5">
        <f t="shared" si="198"/>
        <v>140000</v>
      </c>
      <c r="I4125" s="5">
        <f t="shared" si="199"/>
        <v>190000</v>
      </c>
      <c r="J4125" s="5">
        <f t="shared" si="200"/>
        <v>50000</v>
      </c>
      <c r="K4125" s="5" t="str">
        <f>VLOOKUP(C4125,[1]master_data!$A$2:$E$495,5,FALSE)</f>
        <v>Aksesoris</v>
      </c>
      <c r="L4125" s="5" t="s">
        <v>471</v>
      </c>
    </row>
    <row r="4126" spans="1:12" ht="12" customHeight="1" x14ac:dyDescent="0.25">
      <c r="A4126" s="6">
        <v>44586</v>
      </c>
      <c r="B4126" s="1">
        <v>2200437</v>
      </c>
      <c r="C4126" s="5" t="s">
        <v>310</v>
      </c>
      <c r="D4126" s="5" t="str">
        <f>VLOOKUP(C4126,[1]master_data!$A$2:$E$495,2,FALSE)</f>
        <v>SELANG FUSO</v>
      </c>
      <c r="E4126" s="5">
        <v>12</v>
      </c>
      <c r="F4126" s="5">
        <f>VLOOKUP(C4126,[1]master_data!$A$2:$E$495,3,FALSE)</f>
        <v>800</v>
      </c>
      <c r="G4126" s="5">
        <f>VLOOKUP(C4126,[1]master_data!$A$2:$E$495,4,FALSE)</f>
        <v>2000</v>
      </c>
      <c r="H4126" s="5">
        <f t="shared" si="198"/>
        <v>9600</v>
      </c>
      <c r="I4126" s="5">
        <f t="shared" si="199"/>
        <v>24000</v>
      </c>
      <c r="J4126" s="5">
        <f t="shared" si="200"/>
        <v>14400</v>
      </c>
      <c r="K4126" s="5" t="str">
        <f>VLOOKUP(C4126,[1]master_data!$A$2:$E$495,5,FALSE)</f>
        <v>Aksesoris</v>
      </c>
      <c r="L4126" s="5" t="s">
        <v>471</v>
      </c>
    </row>
    <row r="4127" spans="1:12" ht="12" customHeight="1" x14ac:dyDescent="0.25">
      <c r="A4127" s="6">
        <v>44586</v>
      </c>
      <c r="B4127" s="1">
        <v>2200436</v>
      </c>
      <c r="C4127" s="5" t="s">
        <v>311</v>
      </c>
      <c r="D4127" s="5" t="str">
        <f>VLOOKUP(C4127,[1]master_data!$A$2:$E$495,2,FALSE)</f>
        <v>L PIPA</v>
      </c>
      <c r="E4127" s="5">
        <v>5</v>
      </c>
      <c r="F4127" s="5">
        <f>VLOOKUP(C4127,[1]master_data!$A$2:$E$495,3,FALSE)</f>
        <v>800</v>
      </c>
      <c r="G4127" s="5">
        <f>VLOOKUP(C4127,[1]master_data!$A$2:$E$495,4,FALSE)</f>
        <v>2000</v>
      </c>
      <c r="H4127" s="5">
        <f t="shared" si="198"/>
        <v>4000</v>
      </c>
      <c r="I4127" s="5">
        <f t="shared" si="199"/>
        <v>10000</v>
      </c>
      <c r="J4127" s="5">
        <f t="shared" si="200"/>
        <v>6000</v>
      </c>
      <c r="K4127" s="5" t="str">
        <f>VLOOKUP(C4127,[1]master_data!$A$2:$E$495,5,FALSE)</f>
        <v>Aksesoris</v>
      </c>
      <c r="L4127" s="5" t="s">
        <v>471</v>
      </c>
    </row>
    <row r="4128" spans="1:12" ht="12" customHeight="1" x14ac:dyDescent="0.25">
      <c r="A4128" s="6">
        <v>44586</v>
      </c>
      <c r="B4128" s="1">
        <v>2200435</v>
      </c>
      <c r="C4128" s="5" t="s">
        <v>390</v>
      </c>
      <c r="D4128" s="5" t="str">
        <f>VLOOKUP(C4128,[1]master_data!$A$2:$E$495,2,FALSE)</f>
        <v>CHANNA ASIATICA K</v>
      </c>
      <c r="E4128" s="5">
        <v>1</v>
      </c>
      <c r="F4128" s="5">
        <f>VLOOKUP(C4128,[1]master_data!$A$2:$E$495,3,FALSE)</f>
        <v>10000</v>
      </c>
      <c r="G4128" s="5">
        <f>VLOOKUP(C4128,[1]master_data!$A$2:$E$495,4,FALSE)</f>
        <v>40000</v>
      </c>
      <c r="H4128" s="5">
        <f t="shared" si="198"/>
        <v>10000</v>
      </c>
      <c r="I4128" s="5">
        <f t="shared" si="199"/>
        <v>40000</v>
      </c>
      <c r="J4128" s="5">
        <f t="shared" si="200"/>
        <v>30000</v>
      </c>
      <c r="K4128" s="5" t="str">
        <f>VLOOKUP(C4128,[1]master_data!$A$2:$E$495,5,FALSE)</f>
        <v>Ikan</v>
      </c>
      <c r="L4128" s="5" t="s">
        <v>471</v>
      </c>
    </row>
    <row r="4129" spans="1:12" ht="12" customHeight="1" x14ac:dyDescent="0.25">
      <c r="A4129" s="6">
        <v>44586</v>
      </c>
      <c r="B4129" s="1">
        <v>2200434</v>
      </c>
      <c r="C4129" s="5" t="s">
        <v>420</v>
      </c>
      <c r="D4129" s="5" t="str">
        <f>VLOOKUP(C4129,[1]master_data!$A$2:$E$495,2,FALSE)</f>
        <v>KAVIAT</v>
      </c>
      <c r="E4129" s="5">
        <v>4</v>
      </c>
      <c r="F4129" s="5">
        <f>VLOOKUP(C4129,[1]master_data!$A$2:$E$495,3,FALSE)</f>
        <v>3500</v>
      </c>
      <c r="G4129" s="5">
        <f>VLOOKUP(C4129,[1]master_data!$A$2:$E$495,4,FALSE)</f>
        <v>8000</v>
      </c>
      <c r="H4129" s="5">
        <f t="shared" si="198"/>
        <v>14000</v>
      </c>
      <c r="I4129" s="5">
        <f t="shared" si="199"/>
        <v>32000</v>
      </c>
      <c r="J4129" s="5">
        <f t="shared" si="200"/>
        <v>18000</v>
      </c>
      <c r="K4129" s="5" t="str">
        <f>VLOOKUP(C4129,[1]master_data!$A$2:$E$495,5,FALSE)</f>
        <v>Ikan</v>
      </c>
      <c r="L4129" s="5" t="s">
        <v>471</v>
      </c>
    </row>
    <row r="4130" spans="1:12" ht="12" customHeight="1" x14ac:dyDescent="0.25">
      <c r="A4130" s="6">
        <v>44586</v>
      </c>
      <c r="B4130" s="1">
        <v>2200433</v>
      </c>
      <c r="C4130" s="5" t="s">
        <v>403</v>
      </c>
      <c r="D4130" s="5" t="str">
        <f>VLOOKUP(C4130,[1]master_data!$A$2:$E$495,2,FALSE)</f>
        <v>CHANNA BLUE PULCHRA K</v>
      </c>
      <c r="E4130" s="5">
        <v>2</v>
      </c>
      <c r="F4130" s="5">
        <f>VLOOKUP(C4130,[1]master_data!$A$2:$E$495,3,FALSE)</f>
        <v>25000</v>
      </c>
      <c r="G4130" s="5">
        <f>VLOOKUP(C4130,[1]master_data!$A$2:$E$495,4,FALSE)</f>
        <v>50000</v>
      </c>
      <c r="H4130" s="5">
        <f t="shared" si="198"/>
        <v>50000</v>
      </c>
      <c r="I4130" s="5">
        <f t="shared" si="199"/>
        <v>100000</v>
      </c>
      <c r="J4130" s="5">
        <f t="shared" si="200"/>
        <v>50000</v>
      </c>
      <c r="K4130" s="5" t="str">
        <f>VLOOKUP(C4130,[1]master_data!$A$2:$E$495,5,FALSE)</f>
        <v>Ikan</v>
      </c>
      <c r="L4130" s="5" t="s">
        <v>471</v>
      </c>
    </row>
    <row r="4131" spans="1:12" ht="12" customHeight="1" x14ac:dyDescent="0.25">
      <c r="A4131" s="6">
        <v>44586</v>
      </c>
      <c r="B4131" s="1">
        <v>2200432</v>
      </c>
      <c r="C4131" s="5" t="s">
        <v>432</v>
      </c>
      <c r="D4131" s="5" t="str">
        <f>VLOOKUP(C4131,[1]master_data!$A$2:$E$495,2,FALSE)</f>
        <v>MARU K</v>
      </c>
      <c r="E4131" s="5">
        <v>2</v>
      </c>
      <c r="F4131" s="5">
        <f>VLOOKUP(C4131,[1]master_data!$A$2:$E$495,3,FALSE)</f>
        <v>23000</v>
      </c>
      <c r="G4131" s="5">
        <f>VLOOKUP(C4131,[1]master_data!$A$2:$E$495,4,FALSE)</f>
        <v>50000</v>
      </c>
      <c r="H4131" s="5">
        <f t="shared" si="198"/>
        <v>46000</v>
      </c>
      <c r="I4131" s="5">
        <f t="shared" si="199"/>
        <v>100000</v>
      </c>
      <c r="J4131" s="5">
        <f t="shared" si="200"/>
        <v>54000</v>
      </c>
      <c r="K4131" s="5" t="str">
        <f>VLOOKUP(C4131,[1]master_data!$A$2:$E$495,5,FALSE)</f>
        <v>Ikan</v>
      </c>
      <c r="L4131" s="5" t="s">
        <v>471</v>
      </c>
    </row>
    <row r="4132" spans="1:12" ht="12" customHeight="1" x14ac:dyDescent="0.25">
      <c r="A4132" s="6">
        <v>44586</v>
      </c>
      <c r="B4132" s="1">
        <v>2200431</v>
      </c>
      <c r="C4132" s="5" t="s">
        <v>456</v>
      </c>
      <c r="D4132" s="5" t="str">
        <f>VLOOKUP(C4132,[1]master_data!$A$2:$E$495,2,FALSE)</f>
        <v>TOMAN</v>
      </c>
      <c r="E4132" s="5">
        <v>2</v>
      </c>
      <c r="F4132" s="5">
        <f>VLOOKUP(C4132,[1]master_data!$A$2:$E$495,3,FALSE)</f>
        <v>10000</v>
      </c>
      <c r="G4132" s="5">
        <f>VLOOKUP(C4132,[1]master_data!$A$2:$E$495,4,FALSE)</f>
        <v>25000</v>
      </c>
      <c r="H4132" s="5">
        <f t="shared" si="198"/>
        <v>20000</v>
      </c>
      <c r="I4132" s="5">
        <f t="shared" si="199"/>
        <v>50000</v>
      </c>
      <c r="J4132" s="5">
        <f t="shared" si="200"/>
        <v>30000</v>
      </c>
      <c r="K4132" s="5" t="str">
        <f>VLOOKUP(C4132,[1]master_data!$A$2:$E$495,5,FALSE)</f>
        <v>Ikan</v>
      </c>
      <c r="L4132" s="5" t="s">
        <v>471</v>
      </c>
    </row>
    <row r="4133" spans="1:12" ht="12" customHeight="1" x14ac:dyDescent="0.25">
      <c r="A4133" s="6">
        <v>44586</v>
      </c>
      <c r="B4133" s="1">
        <v>2200430</v>
      </c>
      <c r="C4133" s="5" t="s">
        <v>438</v>
      </c>
      <c r="D4133" s="5" t="str">
        <f>VLOOKUP(C4133,[1]master_data!$A$2:$E$495,2,FALSE)</f>
        <v>NENTINEN</v>
      </c>
      <c r="E4133" s="5">
        <v>3</v>
      </c>
      <c r="F4133" s="5">
        <f>VLOOKUP(C4133,[1]master_data!$A$2:$E$495,3,FALSE)</f>
        <v>1000</v>
      </c>
      <c r="G4133" s="5">
        <f>VLOOKUP(C4133,[1]master_data!$A$2:$E$495,4,FALSE)</f>
        <v>2500</v>
      </c>
      <c r="H4133" s="5">
        <f t="shared" si="198"/>
        <v>3000</v>
      </c>
      <c r="I4133" s="5">
        <f t="shared" si="199"/>
        <v>7500</v>
      </c>
      <c r="J4133" s="5">
        <f t="shared" si="200"/>
        <v>4500</v>
      </c>
      <c r="K4133" s="5" t="str">
        <f>VLOOKUP(C4133,[1]master_data!$A$2:$E$495,5,FALSE)</f>
        <v>Ikan</v>
      </c>
      <c r="L4133" s="5" t="s">
        <v>471</v>
      </c>
    </row>
    <row r="4134" spans="1:12" ht="12" customHeight="1" x14ac:dyDescent="0.25">
      <c r="A4134" s="6">
        <v>44585</v>
      </c>
      <c r="B4134" s="1">
        <v>2200429</v>
      </c>
      <c r="C4134" s="5" t="s">
        <v>422</v>
      </c>
      <c r="D4134" s="5" t="str">
        <f>VLOOKUP(C4134,[1]master_data!$A$2:$E$495,2,FALSE)</f>
        <v>KOMET SLAYER</v>
      </c>
      <c r="E4134" s="5">
        <v>3</v>
      </c>
      <c r="F4134" s="5">
        <f>VLOOKUP(C4134,[1]master_data!$A$2:$E$495,3,FALSE)</f>
        <v>2000</v>
      </c>
      <c r="G4134" s="5">
        <f>VLOOKUP(C4134,[1]master_data!$A$2:$E$495,4,FALSE)</f>
        <v>5000</v>
      </c>
      <c r="H4134" s="5">
        <f t="shared" si="198"/>
        <v>6000</v>
      </c>
      <c r="I4134" s="5">
        <f t="shared" si="199"/>
        <v>15000</v>
      </c>
      <c r="J4134" s="5">
        <f t="shared" si="200"/>
        <v>9000</v>
      </c>
      <c r="K4134" s="5" t="str">
        <f>VLOOKUP(C4134,[1]master_data!$A$2:$E$495,5,FALSE)</f>
        <v>Ikan</v>
      </c>
      <c r="L4134" s="5" t="s">
        <v>471</v>
      </c>
    </row>
    <row r="4135" spans="1:12" ht="12" customHeight="1" x14ac:dyDescent="0.25">
      <c r="A4135" s="6">
        <v>44585</v>
      </c>
      <c r="B4135" s="1">
        <v>2200428</v>
      </c>
      <c r="C4135" s="5" t="s">
        <v>285</v>
      </c>
      <c r="D4135" s="5" t="str">
        <f>VLOOKUP(C4135,[1]master_data!$A$2:$E$495,2,FALSE)</f>
        <v>KAPAS 4 LAPIS</v>
      </c>
      <c r="E4135" s="5">
        <v>1</v>
      </c>
      <c r="F4135" s="5">
        <f>VLOOKUP(C4135,[1]master_data!$A$2:$E$495,3,FALSE)</f>
        <v>6500</v>
      </c>
      <c r="G4135" s="5">
        <f>VLOOKUP(C4135,[1]master_data!$A$2:$E$495,4,FALSE)</f>
        <v>10000</v>
      </c>
      <c r="H4135" s="5">
        <f t="shared" si="198"/>
        <v>6500</v>
      </c>
      <c r="I4135" s="5">
        <f t="shared" si="199"/>
        <v>10000</v>
      </c>
      <c r="J4135" s="5">
        <f t="shared" si="200"/>
        <v>3500</v>
      </c>
      <c r="K4135" s="5" t="str">
        <f>VLOOKUP(C4135,[1]master_data!$A$2:$E$495,5,FALSE)</f>
        <v>Aksesoris</v>
      </c>
      <c r="L4135" s="5" t="s">
        <v>471</v>
      </c>
    </row>
    <row r="4136" spans="1:12" ht="12" customHeight="1" x14ac:dyDescent="0.25">
      <c r="A4136" s="6">
        <v>44585</v>
      </c>
      <c r="B4136" s="1">
        <v>2200427</v>
      </c>
      <c r="C4136" s="5" t="s">
        <v>310</v>
      </c>
      <c r="D4136" s="5" t="str">
        <f>VLOOKUP(C4136,[1]master_data!$A$2:$E$495,2,FALSE)</f>
        <v>SELANG FUSO</v>
      </c>
      <c r="E4136" s="5">
        <v>1</v>
      </c>
      <c r="F4136" s="5">
        <f>VLOOKUP(C4136,[1]master_data!$A$2:$E$495,3,FALSE)</f>
        <v>800</v>
      </c>
      <c r="G4136" s="5">
        <f>VLOOKUP(C4136,[1]master_data!$A$2:$E$495,4,FALSE)</f>
        <v>2000</v>
      </c>
      <c r="H4136" s="5">
        <f t="shared" si="198"/>
        <v>800</v>
      </c>
      <c r="I4136" s="5">
        <f t="shared" si="199"/>
        <v>2000</v>
      </c>
      <c r="J4136" s="5">
        <f t="shared" si="200"/>
        <v>1200</v>
      </c>
      <c r="K4136" s="5" t="str">
        <f>VLOOKUP(C4136,[1]master_data!$A$2:$E$495,5,FALSE)</f>
        <v>Aksesoris</v>
      </c>
      <c r="L4136" s="5" t="s">
        <v>471</v>
      </c>
    </row>
    <row r="4137" spans="1:12" ht="12" customHeight="1" x14ac:dyDescent="0.25">
      <c r="A4137" s="6">
        <v>44585</v>
      </c>
      <c r="B4137" s="1">
        <v>2200426</v>
      </c>
      <c r="C4137" s="5" t="s">
        <v>328</v>
      </c>
      <c r="D4137" s="5" t="str">
        <f>VLOOKUP(C4137,[1]master_data!$A$2:$E$495,2,FALSE)</f>
        <v>AIRSONE PUTIH</v>
      </c>
      <c r="E4137" s="5">
        <v>2</v>
      </c>
      <c r="F4137" s="5">
        <f>VLOOKUP(C4137,[1]master_data!$A$2:$E$495,3,FALSE)</f>
        <v>3000</v>
      </c>
      <c r="G4137" s="5">
        <f>VLOOKUP(C4137,[1]master_data!$A$2:$E$495,4,FALSE)</f>
        <v>5000</v>
      </c>
      <c r="H4137" s="5">
        <f t="shared" si="198"/>
        <v>6000</v>
      </c>
      <c r="I4137" s="5">
        <f t="shared" si="199"/>
        <v>10000</v>
      </c>
      <c r="J4137" s="5">
        <f t="shared" si="200"/>
        <v>4000</v>
      </c>
      <c r="K4137" s="5" t="str">
        <f>VLOOKUP(C4137,[1]master_data!$A$2:$E$495,5,FALSE)</f>
        <v>Aksesoris</v>
      </c>
      <c r="L4137" s="5" t="s">
        <v>471</v>
      </c>
    </row>
    <row r="4138" spans="1:12" ht="12" customHeight="1" x14ac:dyDescent="0.25">
      <c r="A4138" s="6">
        <v>44585</v>
      </c>
      <c r="B4138" s="1">
        <v>2200425</v>
      </c>
      <c r="C4138" s="5" t="s">
        <v>208</v>
      </c>
      <c r="D4138" s="5" t="str">
        <f>VLOOKUP(C4138,[1]master_data!$A$2:$E$495,2,FALSE)</f>
        <v>TOP VIT</v>
      </c>
      <c r="E4138" s="5">
        <v>1</v>
      </c>
      <c r="F4138" s="5">
        <f>VLOOKUP(C4138,[1]master_data!$A$2:$E$495,3,FALSE)</f>
        <v>4000</v>
      </c>
      <c r="G4138" s="5">
        <f>VLOOKUP(C4138,[1]master_data!$A$2:$E$495,4,FALSE)</f>
        <v>7000</v>
      </c>
      <c r="H4138" s="5">
        <f t="shared" si="198"/>
        <v>4000</v>
      </c>
      <c r="I4138" s="5">
        <f t="shared" si="199"/>
        <v>7000</v>
      </c>
      <c r="J4138" s="5">
        <f t="shared" si="200"/>
        <v>3000</v>
      </c>
      <c r="K4138" s="5" t="str">
        <f>VLOOKUP(C4138,[1]master_data!$A$2:$E$495,5,FALSE)</f>
        <v>Aksesoris</v>
      </c>
      <c r="L4138" s="5" t="s">
        <v>471</v>
      </c>
    </row>
    <row r="4139" spans="1:12" ht="12" customHeight="1" x14ac:dyDescent="0.25">
      <c r="A4139" s="6">
        <v>44585</v>
      </c>
      <c r="B4139" s="1">
        <v>2200424</v>
      </c>
      <c r="C4139" s="5" t="s">
        <v>11</v>
      </c>
      <c r="D4139" s="5" t="str">
        <f>VLOOKUP(C4139,[1]master_data!$A$2:$E$495,2,FALSE)</f>
        <v>MESIN YANG 103</v>
      </c>
      <c r="E4139" s="5">
        <v>1</v>
      </c>
      <c r="F4139" s="5">
        <f>VLOOKUP(C4139,[1]master_data!$A$2:$E$495,3,FALSE)</f>
        <v>66000</v>
      </c>
      <c r="G4139" s="5">
        <f>VLOOKUP(C4139,[1]master_data!$A$2:$E$495,4,FALSE)</f>
        <v>95000</v>
      </c>
      <c r="H4139" s="5">
        <f t="shared" si="198"/>
        <v>66000</v>
      </c>
      <c r="I4139" s="5">
        <f t="shared" si="199"/>
        <v>95000</v>
      </c>
      <c r="J4139" s="5">
        <f t="shared" si="200"/>
        <v>29000</v>
      </c>
      <c r="K4139" s="5" t="str">
        <f>VLOOKUP(C4139,[1]master_data!$A$2:$E$495,5,FALSE)</f>
        <v>Aksesoris</v>
      </c>
      <c r="L4139" s="5" t="s">
        <v>471</v>
      </c>
    </row>
    <row r="4140" spans="1:12" ht="12" customHeight="1" x14ac:dyDescent="0.25">
      <c r="A4140" s="6">
        <v>44585</v>
      </c>
      <c r="B4140" s="1">
        <v>2200423</v>
      </c>
      <c r="C4140" s="5" t="s">
        <v>258</v>
      </c>
      <c r="D4140" s="5" t="str">
        <f>VLOOKUP(C4140,[1]master_data!$A$2:$E$495,2,FALSE)</f>
        <v>BIOBOL</v>
      </c>
      <c r="E4140" s="5">
        <v>2</v>
      </c>
      <c r="F4140" s="5">
        <f>VLOOKUP(C4140,[1]master_data!$A$2:$E$495,3,FALSE)</f>
        <v>4000</v>
      </c>
      <c r="G4140" s="5">
        <f>VLOOKUP(C4140,[1]master_data!$A$2:$E$495,4,FALSE)</f>
        <v>7500</v>
      </c>
      <c r="H4140" s="5">
        <f t="shared" si="198"/>
        <v>8000</v>
      </c>
      <c r="I4140" s="5">
        <f t="shared" si="199"/>
        <v>15000</v>
      </c>
      <c r="J4140" s="5">
        <f t="shared" si="200"/>
        <v>7000</v>
      </c>
      <c r="K4140" s="5" t="str">
        <f>VLOOKUP(C4140,[1]master_data!$A$2:$E$495,5,FALSE)</f>
        <v>Aksesoris</v>
      </c>
      <c r="L4140" s="5" t="s">
        <v>471</v>
      </c>
    </row>
    <row r="4141" spans="1:12" ht="12" customHeight="1" x14ac:dyDescent="0.25">
      <c r="A4141" s="6">
        <v>44585</v>
      </c>
      <c r="B4141" s="1">
        <v>2200422</v>
      </c>
      <c r="C4141" s="5" t="s">
        <v>409</v>
      </c>
      <c r="D4141" s="5" t="str">
        <f>VLOOKUP(C4141,[1]master_data!$A$2:$E$495,2,FALSE)</f>
        <v>GOLD FISH</v>
      </c>
      <c r="E4141" s="5">
        <v>10</v>
      </c>
      <c r="F4141" s="5">
        <f>VLOOKUP(C4141,[1]master_data!$A$2:$E$495,3,FALSE)</f>
        <v>800</v>
      </c>
      <c r="G4141" s="5">
        <f>VLOOKUP(C4141,[1]master_data!$A$2:$E$495,4,FALSE)</f>
        <v>2000</v>
      </c>
      <c r="H4141" s="5">
        <f t="shared" si="198"/>
        <v>8000</v>
      </c>
      <c r="I4141" s="5">
        <f t="shared" si="199"/>
        <v>20000</v>
      </c>
      <c r="J4141" s="5">
        <f t="shared" si="200"/>
        <v>12000</v>
      </c>
      <c r="K4141" s="5" t="str">
        <f>VLOOKUP(C4141,[1]master_data!$A$2:$E$495,5,FALSE)</f>
        <v>Ikan</v>
      </c>
      <c r="L4141" s="5" t="s">
        <v>471</v>
      </c>
    </row>
    <row r="4142" spans="1:12" ht="12" customHeight="1" x14ac:dyDescent="0.25">
      <c r="A4142" s="6">
        <v>44585</v>
      </c>
      <c r="B4142" s="1">
        <v>2200421</v>
      </c>
      <c r="C4142" s="5" t="s">
        <v>427</v>
      </c>
      <c r="D4142" s="5" t="str">
        <f>VLOOKUP(C4142,[1]master_data!$A$2:$E$495,2,FALSE)</f>
        <v>LEMON</v>
      </c>
      <c r="E4142" s="5">
        <v>3</v>
      </c>
      <c r="F4142" s="5">
        <f>VLOOKUP(C4142,[1]master_data!$A$2:$E$495,3,FALSE)</f>
        <v>1000</v>
      </c>
      <c r="G4142" s="5">
        <f>VLOOKUP(C4142,[1]master_data!$A$2:$E$495,4,FALSE)</f>
        <v>2000</v>
      </c>
      <c r="H4142" s="5">
        <f t="shared" si="198"/>
        <v>3000</v>
      </c>
      <c r="I4142" s="5">
        <f t="shared" si="199"/>
        <v>6000</v>
      </c>
      <c r="J4142" s="5">
        <f t="shared" si="200"/>
        <v>3000</v>
      </c>
      <c r="K4142" s="5" t="str">
        <f>VLOOKUP(C4142,[1]master_data!$A$2:$E$495,5,FALSE)</f>
        <v>Ikan</v>
      </c>
      <c r="L4142" s="5" t="s">
        <v>471</v>
      </c>
    </row>
    <row r="4143" spans="1:12" ht="12" customHeight="1" x14ac:dyDescent="0.25">
      <c r="A4143" s="6">
        <v>44585</v>
      </c>
      <c r="B4143" s="1">
        <v>2200420</v>
      </c>
      <c r="C4143" s="5" t="s">
        <v>403</v>
      </c>
      <c r="D4143" s="5" t="str">
        <f>VLOOKUP(C4143,[1]master_data!$A$2:$E$495,2,FALSE)</f>
        <v>CHANNA BLUE PULCHRA K</v>
      </c>
      <c r="E4143" s="5">
        <v>2</v>
      </c>
      <c r="F4143" s="5">
        <f>VLOOKUP(C4143,[1]master_data!$A$2:$E$495,3,FALSE)</f>
        <v>25000</v>
      </c>
      <c r="G4143" s="5">
        <f>VLOOKUP(C4143,[1]master_data!$A$2:$E$495,4,FALSE)</f>
        <v>50000</v>
      </c>
      <c r="H4143" s="5">
        <f t="shared" si="198"/>
        <v>50000</v>
      </c>
      <c r="I4143" s="5">
        <f t="shared" si="199"/>
        <v>100000</v>
      </c>
      <c r="J4143" s="5">
        <f t="shared" si="200"/>
        <v>50000</v>
      </c>
      <c r="K4143" s="5" t="str">
        <f>VLOOKUP(C4143,[1]master_data!$A$2:$E$495,5,FALSE)</f>
        <v>Ikan</v>
      </c>
      <c r="L4143" s="5" t="s">
        <v>471</v>
      </c>
    </row>
    <row r="4144" spans="1:12" ht="12" customHeight="1" x14ac:dyDescent="0.25">
      <c r="A4144" s="6">
        <v>44585</v>
      </c>
      <c r="B4144" s="1">
        <v>2200419</v>
      </c>
      <c r="C4144" s="5" t="s">
        <v>428</v>
      </c>
      <c r="D4144" s="5" t="str">
        <f>VLOOKUP(C4144,[1]master_data!$A$2:$E$495,2,FALSE)</f>
        <v>LOUHAN</v>
      </c>
      <c r="E4144" s="5">
        <v>1</v>
      </c>
      <c r="F4144" s="5">
        <f>VLOOKUP(C4144,[1]master_data!$A$2:$E$495,3,FALSE)</f>
        <v>85000</v>
      </c>
      <c r="G4144" s="5">
        <f>VLOOKUP(C4144,[1]master_data!$A$2:$E$495,4,FALSE)</f>
        <v>200000</v>
      </c>
      <c r="H4144" s="5">
        <f t="shared" si="198"/>
        <v>85000</v>
      </c>
      <c r="I4144" s="5">
        <f t="shared" si="199"/>
        <v>200000</v>
      </c>
      <c r="J4144" s="5">
        <f t="shared" si="200"/>
        <v>115000</v>
      </c>
      <c r="K4144" s="5" t="str">
        <f>VLOOKUP(C4144,[1]master_data!$A$2:$E$495,5,FALSE)</f>
        <v>Ikan</v>
      </c>
      <c r="L4144" s="5" t="s">
        <v>471</v>
      </c>
    </row>
    <row r="4145" spans="1:12" ht="12" customHeight="1" x14ac:dyDescent="0.25">
      <c r="A4145" s="6">
        <v>44585</v>
      </c>
      <c r="B4145" s="1">
        <v>2200418</v>
      </c>
      <c r="C4145" s="5" t="s">
        <v>432</v>
      </c>
      <c r="D4145" s="5" t="str">
        <f>VLOOKUP(C4145,[1]master_data!$A$2:$E$495,2,FALSE)</f>
        <v>MARU K</v>
      </c>
      <c r="E4145" s="5">
        <v>2</v>
      </c>
      <c r="F4145" s="5">
        <f>VLOOKUP(C4145,[1]master_data!$A$2:$E$495,3,FALSE)</f>
        <v>23000</v>
      </c>
      <c r="G4145" s="5">
        <f>VLOOKUP(C4145,[1]master_data!$A$2:$E$495,4,FALSE)</f>
        <v>50000</v>
      </c>
      <c r="H4145" s="5">
        <f t="shared" si="198"/>
        <v>46000</v>
      </c>
      <c r="I4145" s="5">
        <f t="shared" si="199"/>
        <v>100000</v>
      </c>
      <c r="J4145" s="5">
        <f t="shared" si="200"/>
        <v>54000</v>
      </c>
      <c r="K4145" s="5" t="str">
        <f>VLOOKUP(C4145,[1]master_data!$A$2:$E$495,5,FALSE)</f>
        <v>Ikan</v>
      </c>
      <c r="L4145" s="5" t="s">
        <v>471</v>
      </c>
    </row>
    <row r="4146" spans="1:12" ht="12" customHeight="1" x14ac:dyDescent="0.25">
      <c r="A4146" s="6">
        <v>44585</v>
      </c>
      <c r="B4146" s="1">
        <v>2200417</v>
      </c>
      <c r="C4146" s="5" t="s">
        <v>403</v>
      </c>
      <c r="D4146" s="5" t="str">
        <f>VLOOKUP(C4146,[1]master_data!$A$2:$E$495,2,FALSE)</f>
        <v>CHANNA BLUE PULCHRA K</v>
      </c>
      <c r="E4146" s="5">
        <v>3</v>
      </c>
      <c r="F4146" s="5">
        <f>VLOOKUP(C4146,[1]master_data!$A$2:$E$495,3,FALSE)</f>
        <v>25000</v>
      </c>
      <c r="G4146" s="5">
        <f>VLOOKUP(C4146,[1]master_data!$A$2:$E$495,4,FALSE)</f>
        <v>50000</v>
      </c>
      <c r="H4146" s="5">
        <f t="shared" si="198"/>
        <v>75000</v>
      </c>
      <c r="I4146" s="5">
        <f t="shared" si="199"/>
        <v>150000</v>
      </c>
      <c r="J4146" s="5">
        <f t="shared" si="200"/>
        <v>75000</v>
      </c>
      <c r="K4146" s="5" t="str">
        <f>VLOOKUP(C4146,[1]master_data!$A$2:$E$495,5,FALSE)</f>
        <v>Ikan</v>
      </c>
      <c r="L4146" s="5" t="s">
        <v>471</v>
      </c>
    </row>
    <row r="4147" spans="1:12" ht="12" customHeight="1" x14ac:dyDescent="0.25">
      <c r="A4147" s="6">
        <v>44584</v>
      </c>
      <c r="B4147" s="1">
        <v>2200416</v>
      </c>
      <c r="C4147" s="5" t="s">
        <v>20</v>
      </c>
      <c r="D4147" s="5" t="str">
        <f>VLOOKUP(C4147,[1]master_data!$A$2:$E$495,2,FALSE)</f>
        <v>MESIN ROSTON 1200</v>
      </c>
      <c r="E4147" s="5">
        <v>1</v>
      </c>
      <c r="F4147" s="5">
        <f>VLOOKUP(C4147,[1]master_data!$A$2:$E$495,3,FALSE)</f>
        <v>23000</v>
      </c>
      <c r="G4147" s="5">
        <f>VLOOKUP(C4147,[1]master_data!$A$2:$E$495,4,FALSE)</f>
        <v>35000</v>
      </c>
      <c r="H4147" s="5">
        <f t="shared" si="198"/>
        <v>23000</v>
      </c>
      <c r="I4147" s="5">
        <f t="shared" si="199"/>
        <v>35000</v>
      </c>
      <c r="J4147" s="5">
        <f t="shared" si="200"/>
        <v>12000</v>
      </c>
      <c r="K4147" s="5" t="str">
        <f>VLOOKUP(C4147,[1]master_data!$A$2:$E$495,5,FALSE)</f>
        <v>Aksesoris</v>
      </c>
      <c r="L4147" s="5" t="s">
        <v>471</v>
      </c>
    </row>
    <row r="4148" spans="1:12" ht="12" customHeight="1" x14ac:dyDescent="0.25">
      <c r="A4148" s="6">
        <v>44584</v>
      </c>
      <c r="B4148" s="1">
        <v>2200415</v>
      </c>
      <c r="C4148" s="5" t="s">
        <v>281</v>
      </c>
      <c r="D4148" s="5" t="str">
        <f>VLOOKUP(C4148,[1]master_data!$A$2:$E$495,2,FALSE)</f>
        <v>KRAN 3 W</v>
      </c>
      <c r="E4148" s="5">
        <v>1</v>
      </c>
      <c r="F4148" s="5">
        <f>VLOOKUP(C4148,[1]master_data!$A$2:$E$495,3,FALSE)</f>
        <v>5500</v>
      </c>
      <c r="G4148" s="5">
        <f>VLOOKUP(C4148,[1]master_data!$A$2:$E$495,4,FALSE)</f>
        <v>8000</v>
      </c>
      <c r="H4148" s="5">
        <f t="shared" si="198"/>
        <v>5500</v>
      </c>
      <c r="I4148" s="5">
        <f t="shared" si="199"/>
        <v>8000</v>
      </c>
      <c r="J4148" s="5">
        <f t="shared" si="200"/>
        <v>2500</v>
      </c>
      <c r="K4148" s="5" t="str">
        <f>VLOOKUP(C4148,[1]master_data!$A$2:$E$495,5,FALSE)</f>
        <v>Aksesoris</v>
      </c>
      <c r="L4148" s="5" t="s">
        <v>471</v>
      </c>
    </row>
    <row r="4149" spans="1:12" ht="12" customHeight="1" x14ac:dyDescent="0.25">
      <c r="A4149" s="6">
        <v>44584</v>
      </c>
      <c r="B4149" s="1">
        <v>2200414</v>
      </c>
      <c r="C4149" s="5" t="s">
        <v>407</v>
      </c>
      <c r="D4149" s="5" t="str">
        <f>VLOOKUP(C4149,[1]master_data!$A$2:$E$495,2,FALSE)</f>
        <v>CUPANG</v>
      </c>
      <c r="E4149" s="5">
        <v>2</v>
      </c>
      <c r="F4149" s="5">
        <f>VLOOKUP(C4149,[1]master_data!$A$2:$E$495,3,FALSE)</f>
        <v>2000</v>
      </c>
      <c r="G4149" s="5">
        <f>VLOOKUP(C4149,[1]master_data!$A$2:$E$495,4,FALSE)</f>
        <v>5000</v>
      </c>
      <c r="H4149" s="5">
        <f t="shared" si="198"/>
        <v>4000</v>
      </c>
      <c r="I4149" s="5">
        <f t="shared" si="199"/>
        <v>10000</v>
      </c>
      <c r="J4149" s="5">
        <f t="shared" si="200"/>
        <v>6000</v>
      </c>
      <c r="K4149" s="5" t="str">
        <f>VLOOKUP(C4149,[1]master_data!$A$2:$E$495,5,FALSE)</f>
        <v>Ikan</v>
      </c>
      <c r="L4149" s="5" t="s">
        <v>471</v>
      </c>
    </row>
    <row r="4150" spans="1:12" ht="12" customHeight="1" x14ac:dyDescent="0.25">
      <c r="A4150" s="6">
        <v>44584</v>
      </c>
      <c r="B4150" s="1">
        <v>2200413</v>
      </c>
      <c r="C4150" s="5" t="s">
        <v>125</v>
      </c>
      <c r="D4150" s="5" t="str">
        <f>VLOOKUP(C4150,[1]master_data!$A$2:$E$495,2,FALSE)</f>
        <v>LAMPU YAMANO UV 9W</v>
      </c>
      <c r="E4150" s="5">
        <v>1</v>
      </c>
      <c r="F4150" s="5">
        <f>VLOOKUP(C4150,[1]master_data!$A$2:$E$495,3,FALSE)</f>
        <v>66000</v>
      </c>
      <c r="G4150" s="5">
        <f>VLOOKUP(C4150,[1]master_data!$A$2:$E$495,4,FALSE)</f>
        <v>85000</v>
      </c>
      <c r="H4150" s="5">
        <f t="shared" si="198"/>
        <v>66000</v>
      </c>
      <c r="I4150" s="5">
        <f t="shared" si="199"/>
        <v>85000</v>
      </c>
      <c r="J4150" s="5">
        <f t="shared" si="200"/>
        <v>19000</v>
      </c>
      <c r="K4150" s="5" t="str">
        <f>VLOOKUP(C4150,[1]master_data!$A$2:$E$495,5,FALSE)</f>
        <v>Aksesoris</v>
      </c>
      <c r="L4150" s="5" t="s">
        <v>471</v>
      </c>
    </row>
    <row r="4151" spans="1:12" ht="12" customHeight="1" x14ac:dyDescent="0.25">
      <c r="A4151" s="6">
        <v>44584</v>
      </c>
      <c r="B4151" s="1">
        <v>2200412</v>
      </c>
      <c r="C4151" s="5" t="s">
        <v>390</v>
      </c>
      <c r="D4151" s="5" t="str">
        <f>VLOOKUP(C4151,[1]master_data!$A$2:$E$495,2,FALSE)</f>
        <v>CHANNA ASIATICA K</v>
      </c>
      <c r="E4151" s="5">
        <v>2</v>
      </c>
      <c r="F4151" s="5">
        <f>VLOOKUP(C4151,[1]master_data!$A$2:$E$495,3,FALSE)</f>
        <v>10000</v>
      </c>
      <c r="G4151" s="5">
        <f>VLOOKUP(C4151,[1]master_data!$A$2:$E$495,4,FALSE)</f>
        <v>40000</v>
      </c>
      <c r="H4151" s="5">
        <f t="shared" si="198"/>
        <v>20000</v>
      </c>
      <c r="I4151" s="5">
        <f t="shared" si="199"/>
        <v>80000</v>
      </c>
      <c r="J4151" s="5">
        <f t="shared" si="200"/>
        <v>60000</v>
      </c>
      <c r="K4151" s="5" t="str">
        <f>VLOOKUP(C4151,[1]master_data!$A$2:$E$495,5,FALSE)</f>
        <v>Ikan</v>
      </c>
      <c r="L4151" s="5" t="s">
        <v>471</v>
      </c>
    </row>
    <row r="4152" spans="1:12" ht="12" customHeight="1" x14ac:dyDescent="0.25">
      <c r="A4152" s="6">
        <v>44584</v>
      </c>
      <c r="B4152" s="1">
        <v>2200411</v>
      </c>
      <c r="C4152" s="5" t="s">
        <v>405</v>
      </c>
      <c r="D4152" s="5" t="str">
        <f>VLOOKUP(C4152,[1]master_data!$A$2:$E$495,2,FALSE)</f>
        <v>KOMET BOKIM</v>
      </c>
      <c r="E4152" s="5">
        <v>5</v>
      </c>
      <c r="F4152" s="5">
        <f>VLOOKUP(C4152,[1]master_data!$A$2:$E$495,3,FALSE)</f>
        <v>1500</v>
      </c>
      <c r="G4152" s="5">
        <f>VLOOKUP(C4152,[1]master_data!$A$2:$E$495,4,FALSE)</f>
        <v>5000</v>
      </c>
      <c r="H4152" s="5">
        <f t="shared" si="198"/>
        <v>7500</v>
      </c>
      <c r="I4152" s="5">
        <f t="shared" si="199"/>
        <v>25000</v>
      </c>
      <c r="J4152" s="5">
        <f t="shared" si="200"/>
        <v>17500</v>
      </c>
      <c r="K4152" s="5" t="str">
        <f>VLOOKUP(C4152,[1]master_data!$A$2:$E$495,5,FALSE)</f>
        <v>Ikan</v>
      </c>
      <c r="L4152" s="5" t="s">
        <v>471</v>
      </c>
    </row>
    <row r="4153" spans="1:12" ht="12" customHeight="1" x14ac:dyDescent="0.25">
      <c r="A4153" s="6">
        <v>44584</v>
      </c>
      <c r="B4153" s="1">
        <v>2200410</v>
      </c>
      <c r="C4153" s="5" t="s">
        <v>285</v>
      </c>
      <c r="D4153" s="5" t="str">
        <f>VLOOKUP(C4153,[1]master_data!$A$2:$E$495,2,FALSE)</f>
        <v>KAPAS 4 LAPIS</v>
      </c>
      <c r="E4153" s="5">
        <v>1</v>
      </c>
      <c r="F4153" s="5">
        <f>VLOOKUP(C4153,[1]master_data!$A$2:$E$495,3,FALSE)</f>
        <v>6500</v>
      </c>
      <c r="G4153" s="5">
        <f>VLOOKUP(C4153,[1]master_data!$A$2:$E$495,4,FALSE)</f>
        <v>10000</v>
      </c>
      <c r="H4153" s="5">
        <f t="shared" si="198"/>
        <v>6500</v>
      </c>
      <c r="I4153" s="5">
        <f t="shared" si="199"/>
        <v>10000</v>
      </c>
      <c r="J4153" s="5">
        <f t="shared" si="200"/>
        <v>3500</v>
      </c>
      <c r="K4153" s="5" t="str">
        <f>VLOOKUP(C4153,[1]master_data!$A$2:$E$495,5,FALSE)</f>
        <v>Aksesoris</v>
      </c>
      <c r="L4153" s="5" t="s">
        <v>471</v>
      </c>
    </row>
    <row r="4154" spans="1:12" ht="12" customHeight="1" x14ac:dyDescent="0.25">
      <c r="A4154" s="6">
        <v>44584</v>
      </c>
      <c r="B4154" s="1">
        <v>2200409</v>
      </c>
      <c r="C4154" s="5" t="s">
        <v>402</v>
      </c>
      <c r="D4154" s="5" t="str">
        <f>VLOOKUP(C4154,[1]master_data!$A$2:$E$495,2,FALSE)</f>
        <v>BLACK GHOST</v>
      </c>
      <c r="E4154" s="5">
        <v>3</v>
      </c>
      <c r="F4154" s="5">
        <f>VLOOKUP(C4154,[1]master_data!$A$2:$E$495,3,FALSE)</f>
        <v>4000</v>
      </c>
      <c r="G4154" s="5">
        <f>VLOOKUP(C4154,[1]master_data!$A$2:$E$495,4,FALSE)</f>
        <v>10000</v>
      </c>
      <c r="H4154" s="5">
        <f t="shared" si="198"/>
        <v>12000</v>
      </c>
      <c r="I4154" s="5">
        <f t="shared" si="199"/>
        <v>30000</v>
      </c>
      <c r="J4154" s="5">
        <f t="shared" si="200"/>
        <v>18000</v>
      </c>
      <c r="K4154" s="5" t="str">
        <f>VLOOKUP(C4154,[1]master_data!$A$2:$E$495,5,FALSE)</f>
        <v>Ikan</v>
      </c>
      <c r="L4154" s="5" t="s">
        <v>471</v>
      </c>
    </row>
    <row r="4155" spans="1:12" ht="12" customHeight="1" x14ac:dyDescent="0.25">
      <c r="A4155" s="6">
        <v>44584</v>
      </c>
      <c r="B4155" s="1">
        <v>2200408</v>
      </c>
      <c r="C4155" s="5" t="s">
        <v>422</v>
      </c>
      <c r="D4155" s="5" t="str">
        <f>VLOOKUP(C4155,[1]master_data!$A$2:$E$495,2,FALSE)</f>
        <v>KOMET SLAYER</v>
      </c>
      <c r="E4155" s="5">
        <v>2</v>
      </c>
      <c r="F4155" s="5">
        <f>VLOOKUP(C4155,[1]master_data!$A$2:$E$495,3,FALSE)</f>
        <v>2000</v>
      </c>
      <c r="G4155" s="5">
        <f>VLOOKUP(C4155,[1]master_data!$A$2:$E$495,4,FALSE)</f>
        <v>5000</v>
      </c>
      <c r="H4155" s="5">
        <f t="shared" si="198"/>
        <v>4000</v>
      </c>
      <c r="I4155" s="5">
        <f t="shared" si="199"/>
        <v>10000</v>
      </c>
      <c r="J4155" s="5">
        <f t="shared" si="200"/>
        <v>6000</v>
      </c>
      <c r="K4155" s="5" t="str">
        <f>VLOOKUP(C4155,[1]master_data!$A$2:$E$495,5,FALSE)</f>
        <v>Ikan</v>
      </c>
      <c r="L4155" s="5" t="s">
        <v>471</v>
      </c>
    </row>
    <row r="4156" spans="1:12" ht="12" customHeight="1" x14ac:dyDescent="0.25">
      <c r="A4156" s="6">
        <v>44584</v>
      </c>
      <c r="B4156" s="1">
        <v>2200407</v>
      </c>
      <c r="C4156" s="5" t="s">
        <v>462</v>
      </c>
      <c r="D4156" s="5" t="str">
        <f>VLOOKUP(C4156,[1]master_data!$A$2:$E$495,2,FALSE)</f>
        <v>SEPAT ALBINO</v>
      </c>
      <c r="E4156" s="5">
        <v>3</v>
      </c>
      <c r="F4156" s="5">
        <f>VLOOKUP(C4156,[1]master_data!$A$2:$E$495,3,FALSE)</f>
        <v>2000</v>
      </c>
      <c r="G4156" s="5">
        <f>VLOOKUP(C4156,[1]master_data!$A$2:$E$495,4,FALSE)</f>
        <v>5000</v>
      </c>
      <c r="H4156" s="5">
        <f t="shared" si="198"/>
        <v>6000</v>
      </c>
      <c r="I4156" s="5">
        <f t="shared" si="199"/>
        <v>15000</v>
      </c>
      <c r="J4156" s="5">
        <f t="shared" si="200"/>
        <v>9000</v>
      </c>
      <c r="K4156" s="5" t="str">
        <f>VLOOKUP(C4156,[1]master_data!$A$2:$E$495,5,FALSE)</f>
        <v>Ikan</v>
      </c>
      <c r="L4156" s="5" t="s">
        <v>471</v>
      </c>
    </row>
    <row r="4157" spans="1:12" ht="12" customHeight="1" x14ac:dyDescent="0.25">
      <c r="A4157" s="6">
        <v>44584</v>
      </c>
      <c r="B4157" s="1">
        <v>2200406</v>
      </c>
      <c r="C4157" s="5" t="s">
        <v>285</v>
      </c>
      <c r="D4157" s="5" t="str">
        <f>VLOOKUP(C4157,[1]master_data!$A$2:$E$495,2,FALSE)</f>
        <v>KAPAS 4 LAPIS</v>
      </c>
      <c r="E4157" s="5">
        <v>1</v>
      </c>
      <c r="F4157" s="5">
        <f>VLOOKUP(C4157,[1]master_data!$A$2:$E$495,3,FALSE)</f>
        <v>6500</v>
      </c>
      <c r="G4157" s="5">
        <f>VLOOKUP(C4157,[1]master_data!$A$2:$E$495,4,FALSE)</f>
        <v>10000</v>
      </c>
      <c r="H4157" s="5">
        <f t="shared" si="198"/>
        <v>6500</v>
      </c>
      <c r="I4157" s="5">
        <f t="shared" si="199"/>
        <v>10000</v>
      </c>
      <c r="J4157" s="5">
        <f t="shared" si="200"/>
        <v>3500</v>
      </c>
      <c r="K4157" s="5" t="str">
        <f>VLOOKUP(C4157,[1]master_data!$A$2:$E$495,5,FALSE)</f>
        <v>Aksesoris</v>
      </c>
      <c r="L4157" s="5" t="s">
        <v>471</v>
      </c>
    </row>
    <row r="4158" spans="1:12" ht="12" customHeight="1" x14ac:dyDescent="0.25">
      <c r="A4158" s="6">
        <v>44584</v>
      </c>
      <c r="B4158" s="1">
        <v>2200405</v>
      </c>
      <c r="C4158" s="5" t="s">
        <v>115</v>
      </c>
      <c r="D4158" s="5" t="str">
        <f>VLOOKUP(C4158,[1]master_data!$A$2:$E$495,2,FALSE)</f>
        <v>LED ROSTON 30 CM</v>
      </c>
      <c r="E4158" s="5">
        <v>1</v>
      </c>
      <c r="F4158" s="5">
        <f>VLOOKUP(C4158,[1]master_data!$A$2:$E$495,3,FALSE)</f>
        <v>21000</v>
      </c>
      <c r="G4158" s="5">
        <f>VLOOKUP(C4158,[1]master_data!$A$2:$E$495,4,FALSE)</f>
        <v>35000</v>
      </c>
      <c r="H4158" s="5">
        <f t="shared" si="198"/>
        <v>21000</v>
      </c>
      <c r="I4158" s="5">
        <f t="shared" si="199"/>
        <v>35000</v>
      </c>
      <c r="J4158" s="5">
        <f t="shared" si="200"/>
        <v>14000</v>
      </c>
      <c r="K4158" s="5" t="str">
        <f>VLOOKUP(C4158,[1]master_data!$A$2:$E$495,5,FALSE)</f>
        <v>Aksesoris</v>
      </c>
      <c r="L4158" s="5" t="s">
        <v>471</v>
      </c>
    </row>
    <row r="4159" spans="1:12" ht="12" customHeight="1" x14ac:dyDescent="0.25">
      <c r="A4159" s="6">
        <v>44584</v>
      </c>
      <c r="B4159" s="1">
        <v>2200404</v>
      </c>
      <c r="C4159" s="5" t="s">
        <v>432</v>
      </c>
      <c r="D4159" s="5" t="str">
        <f>VLOOKUP(C4159,[1]master_data!$A$2:$E$495,2,FALSE)</f>
        <v>MARU K</v>
      </c>
      <c r="E4159" s="5">
        <v>1</v>
      </c>
      <c r="F4159" s="5">
        <f>VLOOKUP(C4159,[1]master_data!$A$2:$E$495,3,FALSE)</f>
        <v>23000</v>
      </c>
      <c r="G4159" s="5">
        <f>VLOOKUP(C4159,[1]master_data!$A$2:$E$495,4,FALSE)</f>
        <v>50000</v>
      </c>
      <c r="H4159" s="5">
        <f t="shared" si="198"/>
        <v>23000</v>
      </c>
      <c r="I4159" s="5">
        <f t="shared" si="199"/>
        <v>50000</v>
      </c>
      <c r="J4159" s="5">
        <f t="shared" si="200"/>
        <v>27000</v>
      </c>
      <c r="K4159" s="5" t="str">
        <f>VLOOKUP(C4159,[1]master_data!$A$2:$E$495,5,FALSE)</f>
        <v>Ikan</v>
      </c>
      <c r="L4159" s="5" t="s">
        <v>471</v>
      </c>
    </row>
    <row r="4160" spans="1:12" ht="12" customHeight="1" x14ac:dyDescent="0.25">
      <c r="A4160" s="6">
        <v>44584</v>
      </c>
      <c r="B4160" s="1">
        <v>2200403</v>
      </c>
      <c r="C4160" s="5" t="s">
        <v>7</v>
      </c>
      <c r="D4160" s="5" t="str">
        <f>VLOOKUP(C4160,[1]master_data!$A$2:$E$495,2,FALSE)</f>
        <v>MESIN YANG 1600</v>
      </c>
      <c r="E4160" s="5">
        <v>1</v>
      </c>
      <c r="F4160" s="5">
        <f>VLOOKUP(C4160,[1]master_data!$A$2:$E$495,3,FALSE)</f>
        <v>64000</v>
      </c>
      <c r="G4160" s="5">
        <f>VLOOKUP(C4160,[1]master_data!$A$2:$E$495,4,FALSE)</f>
        <v>90000</v>
      </c>
      <c r="H4160" s="5">
        <f t="shared" si="198"/>
        <v>64000</v>
      </c>
      <c r="I4160" s="5">
        <f t="shared" si="199"/>
        <v>90000</v>
      </c>
      <c r="J4160" s="5">
        <f t="shared" si="200"/>
        <v>26000</v>
      </c>
      <c r="K4160" s="5" t="str">
        <f>VLOOKUP(C4160,[1]master_data!$A$2:$E$495,5,FALSE)</f>
        <v>Aksesoris</v>
      </c>
      <c r="L4160" s="5" t="s">
        <v>471</v>
      </c>
    </row>
    <row r="4161" spans="1:12" ht="12" customHeight="1" x14ac:dyDescent="0.25">
      <c r="A4161" s="6">
        <v>44584</v>
      </c>
      <c r="B4161" s="1">
        <v>2200402</v>
      </c>
      <c r="C4161" s="5" t="s">
        <v>122</v>
      </c>
      <c r="D4161" s="5" t="str">
        <f>VLOOKUP(C4161,[1]master_data!$A$2:$E$495,2,FALSE)</f>
        <v>LED ROSTON 60 CM</v>
      </c>
      <c r="E4161" s="5">
        <v>1</v>
      </c>
      <c r="F4161" s="5">
        <f>VLOOKUP(C4161,[1]master_data!$A$2:$E$495,3,FALSE)</f>
        <v>28000</v>
      </c>
      <c r="G4161" s="5">
        <f>VLOOKUP(C4161,[1]master_data!$A$2:$E$495,4,FALSE)</f>
        <v>60000</v>
      </c>
      <c r="H4161" s="5">
        <f t="shared" si="198"/>
        <v>28000</v>
      </c>
      <c r="I4161" s="5">
        <f t="shared" si="199"/>
        <v>60000</v>
      </c>
      <c r="J4161" s="5">
        <f t="shared" si="200"/>
        <v>32000</v>
      </c>
      <c r="K4161" s="5" t="str">
        <f>VLOOKUP(C4161,[1]master_data!$A$2:$E$495,5,FALSE)</f>
        <v>Aksesoris</v>
      </c>
      <c r="L4161" s="5" t="s">
        <v>471</v>
      </c>
    </row>
    <row r="4162" spans="1:12" ht="12" customHeight="1" x14ac:dyDescent="0.25">
      <c r="A4162" s="6">
        <v>44584</v>
      </c>
      <c r="B4162" s="1">
        <v>2200401</v>
      </c>
      <c r="C4162" s="5" t="s">
        <v>418</v>
      </c>
      <c r="D4162" s="5" t="str">
        <f>VLOOKUP(C4162,[1]master_data!$A$2:$E$495,2,FALSE)</f>
        <v>KOI B</v>
      </c>
      <c r="E4162" s="5">
        <v>5</v>
      </c>
      <c r="F4162" s="5">
        <f>VLOOKUP(C4162,[1]master_data!$A$2:$E$495,3,FALSE)</f>
        <v>9000</v>
      </c>
      <c r="G4162" s="5">
        <f>VLOOKUP(C4162,[1]master_data!$A$2:$E$495,4,FALSE)</f>
        <v>30000</v>
      </c>
      <c r="H4162" s="5">
        <f t="shared" si="198"/>
        <v>45000</v>
      </c>
      <c r="I4162" s="5">
        <f t="shared" si="199"/>
        <v>150000</v>
      </c>
      <c r="J4162" s="5">
        <f t="shared" si="200"/>
        <v>105000</v>
      </c>
      <c r="K4162" s="5" t="str">
        <f>VLOOKUP(C4162,[1]master_data!$A$2:$E$495,5,FALSE)</f>
        <v>Ikan</v>
      </c>
      <c r="L4162" s="5" t="s">
        <v>471</v>
      </c>
    </row>
    <row r="4163" spans="1:12" ht="12" customHeight="1" x14ac:dyDescent="0.25">
      <c r="A4163" s="6">
        <v>44584</v>
      </c>
      <c r="B4163" s="1">
        <v>2200400</v>
      </c>
      <c r="C4163" s="5" t="s">
        <v>45</v>
      </c>
      <c r="D4163" s="5" t="str">
        <f>VLOOKUP(C4163,[1]master_data!$A$2:$E$495,2,FALSE)</f>
        <v>TOP FILTER NIKITA K</v>
      </c>
      <c r="E4163" s="5">
        <v>1</v>
      </c>
      <c r="F4163" s="5">
        <f>VLOOKUP(C4163,[1]master_data!$A$2:$E$495,3,FALSE)</f>
        <v>36000</v>
      </c>
      <c r="G4163" s="5">
        <f>VLOOKUP(C4163,[1]master_data!$A$2:$E$495,4,FALSE)</f>
        <v>55000</v>
      </c>
      <c r="H4163" s="5">
        <f t="shared" si="198"/>
        <v>36000</v>
      </c>
      <c r="I4163" s="5">
        <f t="shared" si="199"/>
        <v>55000</v>
      </c>
      <c r="J4163" s="5">
        <f t="shared" si="200"/>
        <v>19000</v>
      </c>
      <c r="K4163" s="5" t="str">
        <f>VLOOKUP(C4163,[1]master_data!$A$2:$E$495,5,FALSE)</f>
        <v>Aksesoris</v>
      </c>
      <c r="L4163" s="5" t="s">
        <v>471</v>
      </c>
    </row>
    <row r="4164" spans="1:12" ht="12" customHeight="1" x14ac:dyDescent="0.25">
      <c r="A4164" s="6">
        <v>44584</v>
      </c>
      <c r="B4164" s="1">
        <v>2200399</v>
      </c>
      <c r="C4164" s="5" t="s">
        <v>425</v>
      </c>
      <c r="D4164" s="5" t="str">
        <f>VLOOKUP(C4164,[1]master_data!$A$2:$E$495,2,FALSE)</f>
        <v>CAROLINE</v>
      </c>
      <c r="E4164" s="5">
        <v>10</v>
      </c>
      <c r="F4164" s="5">
        <f>VLOOKUP(C4164,[1]master_data!$A$2:$E$495,3,FALSE)</f>
        <v>900</v>
      </c>
      <c r="G4164" s="5">
        <f>VLOOKUP(C4164,[1]master_data!$A$2:$E$495,4,FALSE)</f>
        <v>2000</v>
      </c>
      <c r="H4164" s="5">
        <f t="shared" si="198"/>
        <v>9000</v>
      </c>
      <c r="I4164" s="5">
        <f t="shared" si="199"/>
        <v>20000</v>
      </c>
      <c r="J4164" s="5">
        <f t="shared" si="200"/>
        <v>11000</v>
      </c>
      <c r="K4164" s="5" t="str">
        <f>VLOOKUP(C4164,[1]master_data!$A$2:$E$495,5,FALSE)</f>
        <v>Ikan</v>
      </c>
      <c r="L4164" s="5" t="s">
        <v>471</v>
      </c>
    </row>
    <row r="4165" spans="1:12" ht="12" customHeight="1" x14ac:dyDescent="0.25">
      <c r="A4165" s="6">
        <v>44583</v>
      </c>
      <c r="B4165" s="1">
        <v>2200398</v>
      </c>
      <c r="C4165" s="5" t="s">
        <v>248</v>
      </c>
      <c r="D4165" s="5" t="str">
        <f>VLOOKUP(C4165,[1]master_data!$A$2:$E$495,2,FALSE)</f>
        <v>MATLINE BLUE</v>
      </c>
      <c r="E4165" s="5">
        <v>10</v>
      </c>
      <c r="F4165" s="5">
        <f>VLOOKUP(C4165,[1]master_data!$A$2:$E$495,3,FALSE)</f>
        <v>7000</v>
      </c>
      <c r="G4165" s="5">
        <f>VLOOKUP(C4165,[1]master_data!$A$2:$E$495,4,FALSE)</f>
        <v>10000</v>
      </c>
      <c r="H4165" s="5">
        <f t="shared" ref="H4165:H4228" si="201">E4165*F4165</f>
        <v>70000</v>
      </c>
      <c r="I4165" s="5">
        <f t="shared" ref="I4165:I4228" si="202">E4165*G4165</f>
        <v>100000</v>
      </c>
      <c r="J4165" s="5">
        <f t="shared" ref="J4165:J4228" si="203">I4165-H4165</f>
        <v>30000</v>
      </c>
      <c r="K4165" s="5" t="str">
        <f>VLOOKUP(C4165,[1]master_data!$A$2:$E$495,5,FALSE)</f>
        <v>Aksesoris</v>
      </c>
      <c r="L4165" s="5" t="s">
        <v>471</v>
      </c>
    </row>
    <row r="4166" spans="1:12" ht="12" customHeight="1" x14ac:dyDescent="0.25">
      <c r="A4166" s="6">
        <v>44583</v>
      </c>
      <c r="B4166" s="1">
        <v>2200397</v>
      </c>
      <c r="C4166" s="5" t="s">
        <v>318</v>
      </c>
      <c r="D4166" s="5" t="str">
        <f>VLOOKUP(C4166,[1]master_data!$A$2:$E$495,2,FALSE)</f>
        <v>TEMPAT CACING</v>
      </c>
      <c r="E4166" s="5">
        <v>1</v>
      </c>
      <c r="F4166" s="5">
        <f>VLOOKUP(C4166,[1]master_data!$A$2:$E$495,3,FALSE)</f>
        <v>1500</v>
      </c>
      <c r="G4166" s="5">
        <f>VLOOKUP(C4166,[1]master_data!$A$2:$E$495,4,FALSE)</f>
        <v>5000</v>
      </c>
      <c r="H4166" s="5">
        <f t="shared" si="201"/>
        <v>1500</v>
      </c>
      <c r="I4166" s="5">
        <f t="shared" si="202"/>
        <v>5000</v>
      </c>
      <c r="J4166" s="5">
        <f t="shared" si="203"/>
        <v>3500</v>
      </c>
      <c r="K4166" s="5" t="str">
        <f>VLOOKUP(C4166,[1]master_data!$A$2:$E$495,5,FALSE)</f>
        <v>Aksesoris</v>
      </c>
      <c r="L4166" s="5" t="s">
        <v>471</v>
      </c>
    </row>
    <row r="4167" spans="1:12" ht="12" customHeight="1" x14ac:dyDescent="0.25">
      <c r="A4167" s="6">
        <v>44583</v>
      </c>
      <c r="B4167" s="1">
        <v>2200396</v>
      </c>
      <c r="C4167" s="5" t="s">
        <v>419</v>
      </c>
      <c r="D4167" s="5" t="str">
        <f>VLOOKUP(C4167,[1]master_data!$A$2:$E$495,2,FALSE)</f>
        <v>KURA - KURA</v>
      </c>
      <c r="E4167" s="5">
        <v>1</v>
      </c>
      <c r="F4167" s="5">
        <f>VLOOKUP(C4167,[1]master_data!$A$2:$E$495,3,FALSE)</f>
        <v>25000</v>
      </c>
      <c r="G4167" s="5">
        <f>VLOOKUP(C4167,[1]master_data!$A$2:$E$495,4,FALSE)</f>
        <v>35000</v>
      </c>
      <c r="H4167" s="5">
        <f t="shared" si="201"/>
        <v>25000</v>
      </c>
      <c r="I4167" s="5">
        <f t="shared" si="202"/>
        <v>35000</v>
      </c>
      <c r="J4167" s="5">
        <f t="shared" si="203"/>
        <v>10000</v>
      </c>
      <c r="K4167" s="5" t="str">
        <f>VLOOKUP(C4167,[1]master_data!$A$2:$E$495,5,FALSE)</f>
        <v>Ikan</v>
      </c>
      <c r="L4167" s="5" t="s">
        <v>471</v>
      </c>
    </row>
    <row r="4168" spans="1:12" ht="12" customHeight="1" x14ac:dyDescent="0.25">
      <c r="A4168" s="6">
        <v>44583</v>
      </c>
      <c r="B4168" s="1">
        <v>2200395</v>
      </c>
      <c r="C4168" s="5" t="s">
        <v>260</v>
      </c>
      <c r="D4168" s="5" t="str">
        <f>VLOOKUP(C4168,[1]master_data!$A$2:$E$495,2,FALSE)</f>
        <v>BUNGA K</v>
      </c>
      <c r="E4168" s="5">
        <v>1</v>
      </c>
      <c r="F4168" s="5">
        <f>VLOOKUP(C4168,[1]master_data!$A$2:$E$495,3,FALSE)</f>
        <v>2500</v>
      </c>
      <c r="G4168" s="5">
        <f>VLOOKUP(C4168,[1]master_data!$A$2:$E$495,4,FALSE)</f>
        <v>5000</v>
      </c>
      <c r="H4168" s="5">
        <f t="shared" si="201"/>
        <v>2500</v>
      </c>
      <c r="I4168" s="5">
        <f t="shared" si="202"/>
        <v>5000</v>
      </c>
      <c r="J4168" s="5">
        <f t="shared" si="203"/>
        <v>2500</v>
      </c>
      <c r="K4168" s="5" t="str">
        <f>VLOOKUP(C4168,[1]master_data!$A$2:$E$495,5,FALSE)</f>
        <v>Aksesoris</v>
      </c>
      <c r="L4168" s="5" t="s">
        <v>471</v>
      </c>
    </row>
    <row r="4169" spans="1:12" ht="12" customHeight="1" x14ac:dyDescent="0.25">
      <c r="A4169" s="6">
        <v>44583</v>
      </c>
      <c r="B4169" s="1">
        <v>2200394</v>
      </c>
      <c r="C4169" s="5" t="s">
        <v>451</v>
      </c>
      <c r="D4169" s="5" t="str">
        <f>VLOOKUP(C4169,[1]master_data!$A$2:$E$495,2,FALSE)</f>
        <v>SUMATRA GOLD FISH</v>
      </c>
      <c r="E4169" s="5">
        <v>4</v>
      </c>
      <c r="F4169" s="5">
        <f>VLOOKUP(C4169,[1]master_data!$A$2:$E$495,3,FALSE)</f>
        <v>2500</v>
      </c>
      <c r="G4169" s="5">
        <f>VLOOKUP(C4169,[1]master_data!$A$2:$E$495,4,FALSE)</f>
        <v>4000</v>
      </c>
      <c r="H4169" s="5">
        <f t="shared" si="201"/>
        <v>10000</v>
      </c>
      <c r="I4169" s="5">
        <f t="shared" si="202"/>
        <v>16000</v>
      </c>
      <c r="J4169" s="5">
        <f t="shared" si="203"/>
        <v>6000</v>
      </c>
      <c r="K4169" s="5" t="str">
        <f>VLOOKUP(C4169,[1]master_data!$A$2:$E$495,5,FALSE)</f>
        <v>Ikan</v>
      </c>
      <c r="L4169" s="5" t="s">
        <v>471</v>
      </c>
    </row>
    <row r="4170" spans="1:12" ht="12" customHeight="1" x14ac:dyDescent="0.25">
      <c r="A4170" s="6">
        <v>44583</v>
      </c>
      <c r="B4170" s="1">
        <v>2200393</v>
      </c>
      <c r="C4170" s="5" t="s">
        <v>267</v>
      </c>
      <c r="D4170" s="5" t="str">
        <f>VLOOKUP(C4170,[1]master_data!$A$2:$E$495,2,FALSE)</f>
        <v>GARAM</v>
      </c>
      <c r="E4170" s="5">
        <v>1</v>
      </c>
      <c r="F4170" s="5">
        <f>VLOOKUP(C4170,[1]master_data!$A$2:$E$495,3,FALSE)</f>
        <v>3000</v>
      </c>
      <c r="G4170" s="5">
        <f>VLOOKUP(C4170,[1]master_data!$A$2:$E$495,4,FALSE)</f>
        <v>5000</v>
      </c>
      <c r="H4170" s="5">
        <f t="shared" si="201"/>
        <v>3000</v>
      </c>
      <c r="I4170" s="5">
        <f t="shared" si="202"/>
        <v>5000</v>
      </c>
      <c r="J4170" s="5">
        <f t="shared" si="203"/>
        <v>2000</v>
      </c>
      <c r="K4170" s="5" t="str">
        <f>VLOOKUP(C4170,[1]master_data!$A$2:$E$495,5,FALSE)</f>
        <v>Aksesoris</v>
      </c>
      <c r="L4170" s="5" t="s">
        <v>471</v>
      </c>
    </row>
    <row r="4171" spans="1:12" ht="12" customHeight="1" x14ac:dyDescent="0.25">
      <c r="A4171" s="6">
        <v>44583</v>
      </c>
      <c r="B4171" s="1">
        <v>2200392</v>
      </c>
      <c r="C4171" s="5" t="s">
        <v>457</v>
      </c>
      <c r="D4171" s="5" t="str">
        <f>VLOOKUP(C4171,[1]master_data!$A$2:$E$495,2,FALSE)</f>
        <v>ZEBRA PINK</v>
      </c>
      <c r="E4171" s="5">
        <v>5</v>
      </c>
      <c r="F4171" s="5">
        <f>VLOOKUP(C4171,[1]master_data!$A$2:$E$495,3,FALSE)</f>
        <v>800</v>
      </c>
      <c r="G4171" s="5">
        <f>VLOOKUP(C4171,[1]master_data!$A$2:$E$495,4,FALSE)</f>
        <v>2000</v>
      </c>
      <c r="H4171" s="5">
        <f t="shared" si="201"/>
        <v>4000</v>
      </c>
      <c r="I4171" s="5">
        <f t="shared" si="202"/>
        <v>10000</v>
      </c>
      <c r="J4171" s="5">
        <f t="shared" si="203"/>
        <v>6000</v>
      </c>
      <c r="K4171" s="5" t="str">
        <f>VLOOKUP(C4171,[1]master_data!$A$2:$E$495,5,FALSE)</f>
        <v>Ikan</v>
      </c>
      <c r="L4171" s="5" t="s">
        <v>471</v>
      </c>
    </row>
    <row r="4172" spans="1:12" ht="12" customHeight="1" x14ac:dyDescent="0.25">
      <c r="A4172" s="6">
        <v>44583</v>
      </c>
      <c r="B4172" s="1">
        <v>2200391</v>
      </c>
      <c r="C4172" s="5" t="s">
        <v>410</v>
      </c>
      <c r="D4172" s="5" t="str">
        <f>VLOOKUP(C4172,[1]master_data!$A$2:$E$495,2,FALSE)</f>
        <v>GUPY</v>
      </c>
      <c r="E4172" s="5">
        <v>8</v>
      </c>
      <c r="F4172" s="5">
        <f>VLOOKUP(C4172,[1]master_data!$A$2:$E$495,3,FALSE)</f>
        <v>1200</v>
      </c>
      <c r="G4172" s="5">
        <f>VLOOKUP(C4172,[1]master_data!$A$2:$E$495,4,FALSE)</f>
        <v>2500</v>
      </c>
      <c r="H4172" s="5">
        <f t="shared" si="201"/>
        <v>9600</v>
      </c>
      <c r="I4172" s="5">
        <f t="shared" si="202"/>
        <v>20000</v>
      </c>
      <c r="J4172" s="5">
        <f t="shared" si="203"/>
        <v>10400</v>
      </c>
      <c r="K4172" s="5" t="str">
        <f>VLOOKUP(C4172,[1]master_data!$A$2:$E$495,5,FALSE)</f>
        <v>Ikan</v>
      </c>
      <c r="L4172" s="5" t="s">
        <v>471</v>
      </c>
    </row>
    <row r="4173" spans="1:12" ht="12" customHeight="1" x14ac:dyDescent="0.25">
      <c r="A4173" s="6">
        <v>44583</v>
      </c>
      <c r="B4173" s="1">
        <v>2200390</v>
      </c>
      <c r="C4173" s="5" t="s">
        <v>399</v>
      </c>
      <c r="D4173" s="5" t="str">
        <f>VLOOKUP(C4173,[1]master_data!$A$2:$E$495,2,FALSE)</f>
        <v>BUENOS AIRES TETRA</v>
      </c>
      <c r="E4173" s="5">
        <v>10</v>
      </c>
      <c r="F4173" s="5">
        <f>VLOOKUP(C4173,[1]master_data!$A$2:$E$495,3,FALSE)</f>
        <v>800</v>
      </c>
      <c r="G4173" s="5">
        <f>VLOOKUP(C4173,[1]master_data!$A$2:$E$495,4,FALSE)</f>
        <v>2000</v>
      </c>
      <c r="H4173" s="5">
        <f t="shared" si="201"/>
        <v>8000</v>
      </c>
      <c r="I4173" s="5">
        <f t="shared" si="202"/>
        <v>20000</v>
      </c>
      <c r="J4173" s="5">
        <f t="shared" si="203"/>
        <v>12000</v>
      </c>
      <c r="K4173" s="5" t="str">
        <f>VLOOKUP(C4173,[1]master_data!$A$2:$E$495,5,FALSE)</f>
        <v>Ikan</v>
      </c>
      <c r="L4173" s="5" t="s">
        <v>471</v>
      </c>
    </row>
    <row r="4174" spans="1:12" ht="12" customHeight="1" x14ac:dyDescent="0.25">
      <c r="A4174" s="6">
        <v>44583</v>
      </c>
      <c r="B4174" s="1">
        <v>2200389</v>
      </c>
      <c r="C4174" s="5" t="s">
        <v>312</v>
      </c>
      <c r="D4174" s="5" t="str">
        <f>VLOOKUP(C4174,[1]master_data!$A$2:$E$495,2,FALSE)</f>
        <v>T PIPA</v>
      </c>
      <c r="E4174" s="5">
        <v>10</v>
      </c>
      <c r="F4174" s="5">
        <f>VLOOKUP(C4174,[1]master_data!$A$2:$E$495,3,FALSE)</f>
        <v>800</v>
      </c>
      <c r="G4174" s="5">
        <f>VLOOKUP(C4174,[1]master_data!$A$2:$E$495,4,FALSE)</f>
        <v>2000</v>
      </c>
      <c r="H4174" s="5">
        <f t="shared" si="201"/>
        <v>8000</v>
      </c>
      <c r="I4174" s="5">
        <f t="shared" si="202"/>
        <v>20000</v>
      </c>
      <c r="J4174" s="5">
        <f t="shared" si="203"/>
        <v>12000</v>
      </c>
      <c r="K4174" s="5" t="str">
        <f>VLOOKUP(C4174,[1]master_data!$A$2:$E$495,5,FALSE)</f>
        <v>Aksesoris</v>
      </c>
      <c r="L4174" s="5" t="s">
        <v>471</v>
      </c>
    </row>
    <row r="4175" spans="1:12" ht="12" customHeight="1" x14ac:dyDescent="0.25">
      <c r="A4175" s="6">
        <v>44583</v>
      </c>
      <c r="B4175" s="1">
        <v>2200388</v>
      </c>
      <c r="C4175" s="5" t="s">
        <v>420</v>
      </c>
      <c r="D4175" s="5" t="str">
        <f>VLOOKUP(C4175,[1]master_data!$A$2:$E$495,2,FALSE)</f>
        <v>KAVIAT</v>
      </c>
      <c r="E4175" s="5">
        <v>4</v>
      </c>
      <c r="F4175" s="5">
        <f>VLOOKUP(C4175,[1]master_data!$A$2:$E$495,3,FALSE)</f>
        <v>3500</v>
      </c>
      <c r="G4175" s="5">
        <f>VLOOKUP(C4175,[1]master_data!$A$2:$E$495,4,FALSE)</f>
        <v>8000</v>
      </c>
      <c r="H4175" s="5">
        <f t="shared" si="201"/>
        <v>14000</v>
      </c>
      <c r="I4175" s="5">
        <f t="shared" si="202"/>
        <v>32000</v>
      </c>
      <c r="J4175" s="5">
        <f t="shared" si="203"/>
        <v>18000</v>
      </c>
      <c r="K4175" s="5" t="str">
        <f>VLOOKUP(C4175,[1]master_data!$A$2:$E$495,5,FALSE)</f>
        <v>Ikan</v>
      </c>
      <c r="L4175" s="5" t="s">
        <v>471</v>
      </c>
    </row>
    <row r="4176" spans="1:12" ht="12" customHeight="1" x14ac:dyDescent="0.25">
      <c r="A4176" s="6">
        <v>44583</v>
      </c>
      <c r="B4176" s="1">
        <v>2200387</v>
      </c>
      <c r="C4176" s="5" t="s">
        <v>324</v>
      </c>
      <c r="D4176" s="5" t="str">
        <f>VLOOKUP(C4176,[1]master_data!$A$2:$E$495,2,FALSE)</f>
        <v>AIRSTONE PANJANG 6</v>
      </c>
      <c r="E4176" s="5">
        <v>1</v>
      </c>
      <c r="F4176" s="5">
        <f>VLOOKUP(C4176,[1]master_data!$A$2:$E$495,3,FALSE)</f>
        <v>8000</v>
      </c>
      <c r="G4176" s="5">
        <f>VLOOKUP(C4176,[1]master_data!$A$2:$E$495,4,FALSE)</f>
        <v>12000</v>
      </c>
      <c r="H4176" s="5">
        <f t="shared" si="201"/>
        <v>8000</v>
      </c>
      <c r="I4176" s="5">
        <f t="shared" si="202"/>
        <v>12000</v>
      </c>
      <c r="J4176" s="5">
        <f t="shared" si="203"/>
        <v>4000</v>
      </c>
      <c r="K4176" s="5" t="str">
        <f>VLOOKUP(C4176,[1]master_data!$A$2:$E$495,5,FALSE)</f>
        <v>Aksesoris</v>
      </c>
      <c r="L4176" s="5" t="s">
        <v>471</v>
      </c>
    </row>
    <row r="4177" spans="1:12" ht="12" customHeight="1" x14ac:dyDescent="0.25">
      <c r="A4177" s="6">
        <v>44583</v>
      </c>
      <c r="B4177" s="1">
        <v>2200386</v>
      </c>
      <c r="C4177" s="5" t="s">
        <v>444</v>
      </c>
      <c r="D4177" s="5" t="str">
        <f>VLOOKUP(C4177,[1]master_data!$A$2:$E$495,2,FALSE)</f>
        <v>PARROT</v>
      </c>
      <c r="E4177" s="5">
        <v>1</v>
      </c>
      <c r="F4177" s="5">
        <f>VLOOKUP(C4177,[1]master_data!$A$2:$E$495,3,FALSE)</f>
        <v>27000</v>
      </c>
      <c r="G4177" s="5">
        <f>VLOOKUP(C4177,[1]master_data!$A$2:$E$495,4,FALSE)</f>
        <v>60000</v>
      </c>
      <c r="H4177" s="5">
        <f t="shared" si="201"/>
        <v>27000</v>
      </c>
      <c r="I4177" s="5">
        <f t="shared" si="202"/>
        <v>60000</v>
      </c>
      <c r="J4177" s="5">
        <f t="shared" si="203"/>
        <v>33000</v>
      </c>
      <c r="K4177" s="5" t="str">
        <f>VLOOKUP(C4177,[1]master_data!$A$2:$E$495,5,FALSE)</f>
        <v>Ikan</v>
      </c>
      <c r="L4177" s="5" t="s">
        <v>471</v>
      </c>
    </row>
    <row r="4178" spans="1:12" ht="12" customHeight="1" x14ac:dyDescent="0.25">
      <c r="A4178" s="6">
        <v>44583</v>
      </c>
      <c r="B4178" s="1">
        <v>2200385</v>
      </c>
      <c r="C4178" s="5" t="s">
        <v>431</v>
      </c>
      <c r="D4178" s="5" t="str">
        <f>VLOOKUP(C4178,[1]master_data!$A$2:$E$495,2,FALSE)</f>
        <v>MANFISH B</v>
      </c>
      <c r="E4178" s="5">
        <v>1</v>
      </c>
      <c r="F4178" s="5">
        <f>VLOOKUP(C4178,[1]master_data!$A$2:$E$495,3,FALSE)</f>
        <v>4000</v>
      </c>
      <c r="G4178" s="5">
        <f>VLOOKUP(C4178,[1]master_data!$A$2:$E$495,4,FALSE)</f>
        <v>10000</v>
      </c>
      <c r="H4178" s="5">
        <f t="shared" si="201"/>
        <v>4000</v>
      </c>
      <c r="I4178" s="5">
        <f t="shared" si="202"/>
        <v>10000</v>
      </c>
      <c r="J4178" s="5">
        <f t="shared" si="203"/>
        <v>6000</v>
      </c>
      <c r="K4178" s="5" t="str">
        <f>VLOOKUP(C4178,[1]master_data!$A$2:$E$495,5,FALSE)</f>
        <v>Ikan</v>
      </c>
      <c r="L4178" s="5" t="s">
        <v>471</v>
      </c>
    </row>
    <row r="4179" spans="1:12" ht="12" customHeight="1" x14ac:dyDescent="0.25">
      <c r="A4179" s="6">
        <v>44583</v>
      </c>
      <c r="B4179" s="1">
        <v>2200384</v>
      </c>
      <c r="C4179" s="5" t="s">
        <v>310</v>
      </c>
      <c r="D4179" s="5" t="str">
        <f>VLOOKUP(C4179,[1]master_data!$A$2:$E$495,2,FALSE)</f>
        <v>SELANG FUSO</v>
      </c>
      <c r="E4179" s="5">
        <v>5</v>
      </c>
      <c r="F4179" s="5">
        <f>VLOOKUP(C4179,[1]master_data!$A$2:$E$495,3,FALSE)</f>
        <v>800</v>
      </c>
      <c r="G4179" s="5">
        <f>VLOOKUP(C4179,[1]master_data!$A$2:$E$495,4,FALSE)</f>
        <v>2000</v>
      </c>
      <c r="H4179" s="5">
        <f t="shared" si="201"/>
        <v>4000</v>
      </c>
      <c r="I4179" s="5">
        <f t="shared" si="202"/>
        <v>10000</v>
      </c>
      <c r="J4179" s="5">
        <f t="shared" si="203"/>
        <v>6000</v>
      </c>
      <c r="K4179" s="5" t="str">
        <f>VLOOKUP(C4179,[1]master_data!$A$2:$E$495,5,FALSE)</f>
        <v>Aksesoris</v>
      </c>
      <c r="L4179" s="5" t="s">
        <v>471</v>
      </c>
    </row>
    <row r="4180" spans="1:12" ht="12" customHeight="1" x14ac:dyDescent="0.25">
      <c r="A4180" s="6">
        <v>44583</v>
      </c>
      <c r="B4180" s="1">
        <v>2200383</v>
      </c>
      <c r="C4180" s="5" t="s">
        <v>456</v>
      </c>
      <c r="D4180" s="5" t="str">
        <f>VLOOKUP(C4180,[1]master_data!$A$2:$E$495,2,FALSE)</f>
        <v>TOMAN</v>
      </c>
      <c r="E4180" s="5">
        <v>1</v>
      </c>
      <c r="F4180" s="5">
        <f>VLOOKUP(C4180,[1]master_data!$A$2:$E$495,3,FALSE)</f>
        <v>10000</v>
      </c>
      <c r="G4180" s="5">
        <f>VLOOKUP(C4180,[1]master_data!$A$2:$E$495,4,FALSE)</f>
        <v>25000</v>
      </c>
      <c r="H4180" s="5">
        <f t="shared" si="201"/>
        <v>10000</v>
      </c>
      <c r="I4180" s="5">
        <f t="shared" si="202"/>
        <v>25000</v>
      </c>
      <c r="J4180" s="5">
        <f t="shared" si="203"/>
        <v>15000</v>
      </c>
      <c r="K4180" s="5" t="str">
        <f>VLOOKUP(C4180,[1]master_data!$A$2:$E$495,5,FALSE)</f>
        <v>Ikan</v>
      </c>
      <c r="L4180" s="5" t="s">
        <v>471</v>
      </c>
    </row>
    <row r="4181" spans="1:12" ht="12" customHeight="1" x14ac:dyDescent="0.25">
      <c r="A4181" s="6">
        <v>44583</v>
      </c>
      <c r="B4181" s="1">
        <v>2200382</v>
      </c>
      <c r="C4181" s="5" t="s">
        <v>208</v>
      </c>
      <c r="D4181" s="5" t="str">
        <f>VLOOKUP(C4181,[1]master_data!$A$2:$E$495,2,FALSE)</f>
        <v>TOP VIT</v>
      </c>
      <c r="E4181" s="5">
        <v>1</v>
      </c>
      <c r="F4181" s="5">
        <f>VLOOKUP(C4181,[1]master_data!$A$2:$E$495,3,FALSE)</f>
        <v>4000</v>
      </c>
      <c r="G4181" s="5">
        <f>VLOOKUP(C4181,[1]master_data!$A$2:$E$495,4,FALSE)</f>
        <v>7000</v>
      </c>
      <c r="H4181" s="5">
        <f t="shared" si="201"/>
        <v>4000</v>
      </c>
      <c r="I4181" s="5">
        <f t="shared" si="202"/>
        <v>7000</v>
      </c>
      <c r="J4181" s="5">
        <f t="shared" si="203"/>
        <v>3000</v>
      </c>
      <c r="K4181" s="5" t="str">
        <f>VLOOKUP(C4181,[1]master_data!$A$2:$E$495,5,FALSE)</f>
        <v>Aksesoris</v>
      </c>
      <c r="L4181" s="5" t="s">
        <v>471</v>
      </c>
    </row>
    <row r="4182" spans="1:12" ht="12" customHeight="1" x14ac:dyDescent="0.25">
      <c r="A4182" s="6">
        <v>44583</v>
      </c>
      <c r="B4182" s="1">
        <v>2200381</v>
      </c>
      <c r="C4182" s="5" t="s">
        <v>444</v>
      </c>
      <c r="D4182" s="5" t="str">
        <f>VLOOKUP(C4182,[1]master_data!$A$2:$E$495,2,FALSE)</f>
        <v>PARROT</v>
      </c>
      <c r="E4182" s="5">
        <v>1</v>
      </c>
      <c r="F4182" s="5">
        <f>VLOOKUP(C4182,[1]master_data!$A$2:$E$495,3,FALSE)</f>
        <v>27000</v>
      </c>
      <c r="G4182" s="5">
        <f>VLOOKUP(C4182,[1]master_data!$A$2:$E$495,4,FALSE)</f>
        <v>60000</v>
      </c>
      <c r="H4182" s="5">
        <f t="shared" si="201"/>
        <v>27000</v>
      </c>
      <c r="I4182" s="5">
        <f t="shared" si="202"/>
        <v>60000</v>
      </c>
      <c r="J4182" s="5">
        <f t="shared" si="203"/>
        <v>33000</v>
      </c>
      <c r="K4182" s="5" t="str">
        <f>VLOOKUP(C4182,[1]master_data!$A$2:$E$495,5,FALSE)</f>
        <v>Ikan</v>
      </c>
      <c r="L4182" s="5" t="s">
        <v>471</v>
      </c>
    </row>
    <row r="4183" spans="1:12" ht="12" customHeight="1" x14ac:dyDescent="0.25">
      <c r="A4183" s="6">
        <v>44582</v>
      </c>
      <c r="B4183" s="1">
        <v>2200380</v>
      </c>
      <c r="C4183" s="5" t="s">
        <v>208</v>
      </c>
      <c r="D4183" s="5" t="str">
        <f>VLOOKUP(C4183,[1]master_data!$A$2:$E$495,2,FALSE)</f>
        <v>TOP VIT</v>
      </c>
      <c r="E4183" s="5">
        <v>1</v>
      </c>
      <c r="F4183" s="5">
        <f>VLOOKUP(C4183,[1]master_data!$A$2:$E$495,3,FALSE)</f>
        <v>4000</v>
      </c>
      <c r="G4183" s="5">
        <f>VLOOKUP(C4183,[1]master_data!$A$2:$E$495,4,FALSE)</f>
        <v>7000</v>
      </c>
      <c r="H4183" s="5">
        <f t="shared" si="201"/>
        <v>4000</v>
      </c>
      <c r="I4183" s="5">
        <f t="shared" si="202"/>
        <v>7000</v>
      </c>
      <c r="J4183" s="5">
        <f t="shared" si="203"/>
        <v>3000</v>
      </c>
      <c r="K4183" s="5" t="str">
        <f>VLOOKUP(C4183,[1]master_data!$A$2:$E$495,5,FALSE)</f>
        <v>Aksesoris</v>
      </c>
      <c r="L4183" s="5" t="s">
        <v>471</v>
      </c>
    </row>
    <row r="4184" spans="1:12" ht="12" customHeight="1" x14ac:dyDescent="0.25">
      <c r="A4184" s="6">
        <v>44582</v>
      </c>
      <c r="B4184" s="1">
        <v>2200379</v>
      </c>
      <c r="C4184" s="5" t="s">
        <v>430</v>
      </c>
      <c r="D4184" s="5" t="str">
        <f>VLOOKUP(C4184,[1]master_data!$A$2:$E$495,2,FALSE)</f>
        <v>MANFISH K</v>
      </c>
      <c r="E4184" s="5">
        <v>4</v>
      </c>
      <c r="F4184" s="5">
        <f>VLOOKUP(C4184,[1]master_data!$A$2:$E$495,3,FALSE)</f>
        <v>2000</v>
      </c>
      <c r="G4184" s="5">
        <f>VLOOKUP(C4184,[1]master_data!$A$2:$E$495,4,FALSE)</f>
        <v>5000</v>
      </c>
      <c r="H4184" s="5">
        <f t="shared" si="201"/>
        <v>8000</v>
      </c>
      <c r="I4184" s="5">
        <f t="shared" si="202"/>
        <v>20000</v>
      </c>
      <c r="J4184" s="5">
        <f t="shared" si="203"/>
        <v>12000</v>
      </c>
      <c r="K4184" s="5" t="str">
        <f>VLOOKUP(C4184,[1]master_data!$A$2:$E$495,5,FALSE)</f>
        <v>Ikan</v>
      </c>
      <c r="L4184" s="5" t="s">
        <v>471</v>
      </c>
    </row>
    <row r="4185" spans="1:12" ht="12" customHeight="1" x14ac:dyDescent="0.25">
      <c r="A4185" s="6">
        <v>44582</v>
      </c>
      <c r="B4185" s="1">
        <v>2200378</v>
      </c>
      <c r="C4185" s="5" t="s">
        <v>275</v>
      </c>
      <c r="D4185" s="5" t="str">
        <f>VLOOKUP(C4185,[1]master_data!$A$2:$E$495,2,FALSE)</f>
        <v>JARING 20</v>
      </c>
      <c r="E4185" s="5">
        <v>1</v>
      </c>
      <c r="F4185" s="5">
        <f>VLOOKUP(C4185,[1]master_data!$A$2:$E$495,3,FALSE)</f>
        <v>5600</v>
      </c>
      <c r="G4185" s="5">
        <f>VLOOKUP(C4185,[1]master_data!$A$2:$E$495,4,FALSE)</f>
        <v>10000</v>
      </c>
      <c r="H4185" s="5">
        <f t="shared" si="201"/>
        <v>5600</v>
      </c>
      <c r="I4185" s="5">
        <f t="shared" si="202"/>
        <v>10000</v>
      </c>
      <c r="J4185" s="5">
        <f t="shared" si="203"/>
        <v>4400</v>
      </c>
      <c r="K4185" s="5" t="str">
        <f>VLOOKUP(C4185,[1]master_data!$A$2:$E$495,5,FALSE)</f>
        <v>Aksesoris</v>
      </c>
      <c r="L4185" s="5" t="s">
        <v>471</v>
      </c>
    </row>
    <row r="4186" spans="1:12" ht="12" customHeight="1" x14ac:dyDescent="0.25">
      <c r="A4186" s="6">
        <v>44582</v>
      </c>
      <c r="B4186" s="1">
        <v>2200377</v>
      </c>
      <c r="C4186" s="5" t="s">
        <v>285</v>
      </c>
      <c r="D4186" s="5" t="str">
        <f>VLOOKUP(C4186,[1]master_data!$A$2:$E$495,2,FALSE)</f>
        <v>KAPAS 4 LAPIS</v>
      </c>
      <c r="E4186" s="5">
        <v>2</v>
      </c>
      <c r="F4186" s="5">
        <f>VLOOKUP(C4186,[1]master_data!$A$2:$E$495,3,FALSE)</f>
        <v>6500</v>
      </c>
      <c r="G4186" s="5">
        <f>VLOOKUP(C4186,[1]master_data!$A$2:$E$495,4,FALSE)</f>
        <v>10000</v>
      </c>
      <c r="H4186" s="5">
        <f t="shared" si="201"/>
        <v>13000</v>
      </c>
      <c r="I4186" s="5">
        <f t="shared" si="202"/>
        <v>20000</v>
      </c>
      <c r="J4186" s="5">
        <f t="shared" si="203"/>
        <v>7000</v>
      </c>
      <c r="K4186" s="5" t="str">
        <f>VLOOKUP(C4186,[1]master_data!$A$2:$E$495,5,FALSE)</f>
        <v>Aksesoris</v>
      </c>
      <c r="L4186" s="5" t="s">
        <v>471</v>
      </c>
    </row>
    <row r="4187" spans="1:12" ht="12" customHeight="1" x14ac:dyDescent="0.25">
      <c r="A4187" s="6">
        <v>44582</v>
      </c>
      <c r="B4187" s="1">
        <v>2200376</v>
      </c>
      <c r="C4187" s="5" t="s">
        <v>257</v>
      </c>
      <c r="D4187" s="5" t="str">
        <f>VLOOKUP(C4187,[1]master_data!$A$2:$E$495,2,FALSE)</f>
        <v>BILTS K</v>
      </c>
      <c r="E4187" s="5">
        <v>1</v>
      </c>
      <c r="F4187" s="5">
        <f>VLOOKUP(C4187,[1]master_data!$A$2:$E$495,3,FALSE)</f>
        <v>5000</v>
      </c>
      <c r="G4187" s="5">
        <f>VLOOKUP(C4187,[1]master_data!$A$2:$E$495,4,FALSE)</f>
        <v>7000</v>
      </c>
      <c r="H4187" s="5">
        <f t="shared" si="201"/>
        <v>5000</v>
      </c>
      <c r="I4187" s="5">
        <f t="shared" si="202"/>
        <v>7000</v>
      </c>
      <c r="J4187" s="5">
        <f t="shared" si="203"/>
        <v>2000</v>
      </c>
      <c r="K4187" s="5" t="str">
        <f>VLOOKUP(C4187,[1]master_data!$A$2:$E$495,5,FALSE)</f>
        <v>Aksesoris</v>
      </c>
      <c r="L4187" s="5" t="s">
        <v>471</v>
      </c>
    </row>
    <row r="4188" spans="1:12" ht="12" customHeight="1" x14ac:dyDescent="0.25">
      <c r="A4188" s="6">
        <v>44582</v>
      </c>
      <c r="B4188" s="1">
        <v>2200375</v>
      </c>
      <c r="C4188" s="5" t="s">
        <v>248</v>
      </c>
      <c r="D4188" s="5" t="str">
        <f>VLOOKUP(C4188,[1]master_data!$A$2:$E$495,2,FALSE)</f>
        <v>MATLINE BLUE</v>
      </c>
      <c r="E4188" s="5">
        <v>5</v>
      </c>
      <c r="F4188" s="5">
        <f>VLOOKUP(C4188,[1]master_data!$A$2:$E$495,3,FALSE)</f>
        <v>7000</v>
      </c>
      <c r="G4188" s="5">
        <f>VLOOKUP(C4188,[1]master_data!$A$2:$E$495,4,FALSE)</f>
        <v>10000</v>
      </c>
      <c r="H4188" s="5">
        <f t="shared" si="201"/>
        <v>35000</v>
      </c>
      <c r="I4188" s="5">
        <f t="shared" si="202"/>
        <v>50000</v>
      </c>
      <c r="J4188" s="5">
        <f t="shared" si="203"/>
        <v>15000</v>
      </c>
      <c r="K4188" s="5" t="str">
        <f>VLOOKUP(C4188,[1]master_data!$A$2:$E$495,5,FALSE)</f>
        <v>Aksesoris</v>
      </c>
      <c r="L4188" s="5" t="s">
        <v>471</v>
      </c>
    </row>
    <row r="4189" spans="1:12" ht="12" customHeight="1" x14ac:dyDescent="0.25">
      <c r="A4189" s="6">
        <v>44582</v>
      </c>
      <c r="B4189" s="1">
        <v>2200374</v>
      </c>
      <c r="C4189" s="5" t="s">
        <v>309</v>
      </c>
      <c r="D4189" s="5" t="str">
        <f>VLOOKUP(C4189,[1]master_data!$A$2:$E$495,2,FALSE)</f>
        <v>SELANG SPIRAL</v>
      </c>
      <c r="E4189" s="5">
        <v>1</v>
      </c>
      <c r="F4189" s="5">
        <f>VLOOKUP(C4189,[1]master_data!$A$2:$E$495,3,FALSE)</f>
        <v>2600</v>
      </c>
      <c r="G4189" s="5">
        <f>VLOOKUP(C4189,[1]master_data!$A$2:$E$495,4,FALSE)</f>
        <v>5000</v>
      </c>
      <c r="H4189" s="5">
        <f t="shared" si="201"/>
        <v>2600</v>
      </c>
      <c r="I4189" s="5">
        <f t="shared" si="202"/>
        <v>5000</v>
      </c>
      <c r="J4189" s="5">
        <f t="shared" si="203"/>
        <v>2400</v>
      </c>
      <c r="K4189" s="5" t="str">
        <f>VLOOKUP(C4189,[1]master_data!$A$2:$E$495,5,FALSE)</f>
        <v>Aksesoris</v>
      </c>
      <c r="L4189" s="5" t="s">
        <v>471</v>
      </c>
    </row>
    <row r="4190" spans="1:12" ht="12" customHeight="1" x14ac:dyDescent="0.25">
      <c r="A4190" s="6">
        <v>44582</v>
      </c>
      <c r="B4190" s="1">
        <v>2200373</v>
      </c>
      <c r="C4190" s="5" t="s">
        <v>283</v>
      </c>
      <c r="D4190" s="5" t="str">
        <f>VLOOKUP(C4190,[1]master_data!$A$2:$E$495,2,FALSE)</f>
        <v>KAPAS HITAM OXY</v>
      </c>
      <c r="E4190" s="5">
        <v>1</v>
      </c>
      <c r="F4190" s="5">
        <f>VLOOKUP(C4190,[1]master_data!$A$2:$E$495,3,FALSE)</f>
        <v>7000</v>
      </c>
      <c r="G4190" s="5">
        <f>VLOOKUP(C4190,[1]master_data!$A$2:$E$495,4,FALSE)</f>
        <v>10000</v>
      </c>
      <c r="H4190" s="5">
        <f t="shared" si="201"/>
        <v>7000</v>
      </c>
      <c r="I4190" s="5">
        <f t="shared" si="202"/>
        <v>10000</v>
      </c>
      <c r="J4190" s="5">
        <f t="shared" si="203"/>
        <v>3000</v>
      </c>
      <c r="K4190" s="5" t="str">
        <f>VLOOKUP(C4190,[1]master_data!$A$2:$E$495,5,FALSE)</f>
        <v>Aksesoris</v>
      </c>
      <c r="L4190" s="5" t="s">
        <v>471</v>
      </c>
    </row>
    <row r="4191" spans="1:12" ht="12" customHeight="1" x14ac:dyDescent="0.25">
      <c r="A4191" s="6">
        <v>44582</v>
      </c>
      <c r="B4191" s="1">
        <v>2200372</v>
      </c>
      <c r="C4191" s="5" t="s">
        <v>258</v>
      </c>
      <c r="D4191" s="5" t="str">
        <f>VLOOKUP(C4191,[1]master_data!$A$2:$E$495,2,FALSE)</f>
        <v>BIOBOL</v>
      </c>
      <c r="E4191" s="5">
        <v>30</v>
      </c>
      <c r="F4191" s="5">
        <f>VLOOKUP(C4191,[1]master_data!$A$2:$E$495,3,FALSE)</f>
        <v>4000</v>
      </c>
      <c r="G4191" s="5">
        <f>VLOOKUP(C4191,[1]master_data!$A$2:$E$495,4,FALSE)</f>
        <v>7500</v>
      </c>
      <c r="H4191" s="5">
        <f t="shared" si="201"/>
        <v>120000</v>
      </c>
      <c r="I4191" s="5">
        <f t="shared" si="202"/>
        <v>225000</v>
      </c>
      <c r="J4191" s="5">
        <f t="shared" si="203"/>
        <v>105000</v>
      </c>
      <c r="K4191" s="5" t="str">
        <f>VLOOKUP(C4191,[1]master_data!$A$2:$E$495,5,FALSE)</f>
        <v>Aksesoris</v>
      </c>
      <c r="L4191" s="5" t="s">
        <v>471</v>
      </c>
    </row>
    <row r="4192" spans="1:12" ht="12" customHeight="1" x14ac:dyDescent="0.25">
      <c r="A4192" s="6">
        <v>44582</v>
      </c>
      <c r="B4192" s="1">
        <v>2200371</v>
      </c>
      <c r="C4192" s="5" t="s">
        <v>402</v>
      </c>
      <c r="D4192" s="5" t="str">
        <f>VLOOKUP(C4192,[1]master_data!$A$2:$E$495,2,FALSE)</f>
        <v>BLACK GHOST</v>
      </c>
      <c r="E4192" s="5">
        <v>2</v>
      </c>
      <c r="F4192" s="5">
        <f>VLOOKUP(C4192,[1]master_data!$A$2:$E$495,3,FALSE)</f>
        <v>4000</v>
      </c>
      <c r="G4192" s="5">
        <f>VLOOKUP(C4192,[1]master_data!$A$2:$E$495,4,FALSE)</f>
        <v>10000</v>
      </c>
      <c r="H4192" s="5">
        <f t="shared" si="201"/>
        <v>8000</v>
      </c>
      <c r="I4192" s="5">
        <f t="shared" si="202"/>
        <v>20000</v>
      </c>
      <c r="J4192" s="5">
        <f t="shared" si="203"/>
        <v>12000</v>
      </c>
      <c r="K4192" s="5" t="str">
        <f>VLOOKUP(C4192,[1]master_data!$A$2:$E$495,5,FALSE)</f>
        <v>Ikan</v>
      </c>
      <c r="L4192" s="5" t="s">
        <v>471</v>
      </c>
    </row>
    <row r="4193" spans="1:12" ht="12" customHeight="1" x14ac:dyDescent="0.25">
      <c r="A4193" s="6">
        <v>44582</v>
      </c>
      <c r="B4193" s="1">
        <v>2200370</v>
      </c>
      <c r="C4193" s="5" t="s">
        <v>451</v>
      </c>
      <c r="D4193" s="5" t="str">
        <f>VLOOKUP(C4193,[1]master_data!$A$2:$E$495,2,FALSE)</f>
        <v>SUMATRA GOLD FISH</v>
      </c>
      <c r="E4193" s="5">
        <v>6</v>
      </c>
      <c r="F4193" s="5">
        <f>VLOOKUP(C4193,[1]master_data!$A$2:$E$495,3,FALSE)</f>
        <v>2500</v>
      </c>
      <c r="G4193" s="5">
        <f>VLOOKUP(C4193,[1]master_data!$A$2:$E$495,4,FALSE)</f>
        <v>4000</v>
      </c>
      <c r="H4193" s="5">
        <f t="shared" si="201"/>
        <v>15000</v>
      </c>
      <c r="I4193" s="5">
        <f t="shared" si="202"/>
        <v>24000</v>
      </c>
      <c r="J4193" s="5">
        <f t="shared" si="203"/>
        <v>9000</v>
      </c>
      <c r="K4193" s="5" t="str">
        <f>VLOOKUP(C4193,[1]master_data!$A$2:$E$495,5,FALSE)</f>
        <v>Ikan</v>
      </c>
      <c r="L4193" s="5" t="s">
        <v>471</v>
      </c>
    </row>
    <row r="4194" spans="1:12" ht="12" customHeight="1" x14ac:dyDescent="0.25">
      <c r="A4194" s="6">
        <v>44582</v>
      </c>
      <c r="B4194" s="1">
        <v>2200369</v>
      </c>
      <c r="C4194" s="5" t="s">
        <v>411</v>
      </c>
      <c r="D4194" s="5" t="str">
        <f>VLOOKUP(C4194,[1]master_data!$A$2:$E$495,2,FALSE)</f>
        <v>GOLDEN BLACK</v>
      </c>
      <c r="E4194" s="5">
        <v>10</v>
      </c>
      <c r="F4194" s="5">
        <f>VLOOKUP(C4194,[1]master_data!$A$2:$E$495,3,FALSE)</f>
        <v>800</v>
      </c>
      <c r="G4194" s="5">
        <f>VLOOKUP(C4194,[1]master_data!$A$2:$E$495,4,FALSE)</f>
        <v>2000</v>
      </c>
      <c r="H4194" s="5">
        <f t="shared" si="201"/>
        <v>8000</v>
      </c>
      <c r="I4194" s="5">
        <f t="shared" si="202"/>
        <v>20000</v>
      </c>
      <c r="J4194" s="5">
        <f t="shared" si="203"/>
        <v>12000</v>
      </c>
      <c r="K4194" s="5" t="str">
        <f>VLOOKUP(C4194,[1]master_data!$A$2:$E$495,5,FALSE)</f>
        <v>Ikan</v>
      </c>
      <c r="L4194" s="5" t="s">
        <v>471</v>
      </c>
    </row>
    <row r="4195" spans="1:12" ht="12" customHeight="1" x14ac:dyDescent="0.25">
      <c r="A4195" s="6">
        <v>44582</v>
      </c>
      <c r="B4195" s="1">
        <v>2200368</v>
      </c>
      <c r="C4195" s="5" t="s">
        <v>435</v>
      </c>
      <c r="D4195" s="5" t="str">
        <f>VLOOKUP(C4195,[1]master_data!$A$2:$E$495,2,FALSE)</f>
        <v>MOLI BALON</v>
      </c>
      <c r="E4195" s="5">
        <v>5</v>
      </c>
      <c r="F4195" s="5">
        <f>VLOOKUP(C4195,[1]master_data!$A$2:$E$495,3,FALSE)</f>
        <v>800</v>
      </c>
      <c r="G4195" s="5">
        <f>VLOOKUP(C4195,[1]master_data!$A$2:$E$495,4,FALSE)</f>
        <v>2000</v>
      </c>
      <c r="H4195" s="5">
        <f t="shared" si="201"/>
        <v>4000</v>
      </c>
      <c r="I4195" s="5">
        <f t="shared" si="202"/>
        <v>10000</v>
      </c>
      <c r="J4195" s="5">
        <f t="shared" si="203"/>
        <v>6000</v>
      </c>
      <c r="K4195" s="5" t="str">
        <f>VLOOKUP(C4195,[1]master_data!$A$2:$E$495,5,FALSE)</f>
        <v>Ikan</v>
      </c>
      <c r="L4195" s="5" t="s">
        <v>471</v>
      </c>
    </row>
    <row r="4196" spans="1:12" ht="12" customHeight="1" x14ac:dyDescent="0.25">
      <c r="A4196" s="6">
        <v>44582</v>
      </c>
      <c r="B4196" s="1">
        <v>2200367</v>
      </c>
      <c r="C4196" s="5" t="s">
        <v>419</v>
      </c>
      <c r="D4196" s="5" t="str">
        <f>VLOOKUP(C4196,[1]master_data!$A$2:$E$495,2,FALSE)</f>
        <v>KURA - KURA</v>
      </c>
      <c r="E4196" s="5">
        <v>2</v>
      </c>
      <c r="F4196" s="5">
        <f>VLOOKUP(C4196,[1]master_data!$A$2:$E$495,3,FALSE)</f>
        <v>25000</v>
      </c>
      <c r="G4196" s="5">
        <f>VLOOKUP(C4196,[1]master_data!$A$2:$E$495,4,FALSE)</f>
        <v>35000</v>
      </c>
      <c r="H4196" s="5">
        <f t="shared" si="201"/>
        <v>50000</v>
      </c>
      <c r="I4196" s="5">
        <f t="shared" si="202"/>
        <v>70000</v>
      </c>
      <c r="J4196" s="5">
        <f t="shared" si="203"/>
        <v>20000</v>
      </c>
      <c r="K4196" s="5" t="str">
        <f>VLOOKUP(C4196,[1]master_data!$A$2:$E$495,5,FALSE)</f>
        <v>Ikan</v>
      </c>
      <c r="L4196" s="5" t="s">
        <v>471</v>
      </c>
    </row>
    <row r="4197" spans="1:12" ht="12" customHeight="1" x14ac:dyDescent="0.25">
      <c r="A4197" s="6">
        <v>44582</v>
      </c>
      <c r="B4197" s="1">
        <v>2200366</v>
      </c>
      <c r="C4197" s="5" t="s">
        <v>443</v>
      </c>
      <c r="D4197" s="5" t="str">
        <f>VLOOKUP(C4197,[1]master_data!$A$2:$E$495,2,FALSE)</f>
        <v>PALMAS</v>
      </c>
      <c r="E4197" s="5">
        <v>1</v>
      </c>
      <c r="F4197" s="5">
        <f>VLOOKUP(C4197,[1]master_data!$A$2:$E$495,3,FALSE)</f>
        <v>10000</v>
      </c>
      <c r="G4197" s="5">
        <f>VLOOKUP(C4197,[1]master_data!$A$2:$E$495,4,FALSE)</f>
        <v>25000</v>
      </c>
      <c r="H4197" s="5">
        <f t="shared" si="201"/>
        <v>10000</v>
      </c>
      <c r="I4197" s="5">
        <f t="shared" si="202"/>
        <v>25000</v>
      </c>
      <c r="J4197" s="5">
        <f t="shared" si="203"/>
        <v>15000</v>
      </c>
      <c r="K4197" s="5" t="str">
        <f>VLOOKUP(C4197,[1]master_data!$A$2:$E$495,5,FALSE)</f>
        <v>Ikan</v>
      </c>
      <c r="L4197" s="5" t="s">
        <v>471</v>
      </c>
    </row>
    <row r="4198" spans="1:12" ht="12" customHeight="1" x14ac:dyDescent="0.25">
      <c r="A4198" s="6">
        <v>44582</v>
      </c>
      <c r="B4198" s="1">
        <v>2200365</v>
      </c>
      <c r="C4198" s="5" t="s">
        <v>451</v>
      </c>
      <c r="D4198" s="5" t="str">
        <f>VLOOKUP(C4198,[1]master_data!$A$2:$E$495,2,FALSE)</f>
        <v>SUMATRA GOLD FISH</v>
      </c>
      <c r="E4198" s="5">
        <v>2</v>
      </c>
      <c r="F4198" s="5">
        <f>VLOOKUP(C4198,[1]master_data!$A$2:$E$495,3,FALSE)</f>
        <v>2500</v>
      </c>
      <c r="G4198" s="5">
        <f>VLOOKUP(C4198,[1]master_data!$A$2:$E$495,4,FALSE)</f>
        <v>4000</v>
      </c>
      <c r="H4198" s="5">
        <f t="shared" si="201"/>
        <v>5000</v>
      </c>
      <c r="I4198" s="5">
        <f t="shared" si="202"/>
        <v>8000</v>
      </c>
      <c r="J4198" s="5">
        <f t="shared" si="203"/>
        <v>3000</v>
      </c>
      <c r="K4198" s="5" t="str">
        <f>VLOOKUP(C4198,[1]master_data!$A$2:$E$495,5,FALSE)</f>
        <v>Ikan</v>
      </c>
      <c r="L4198" s="5" t="s">
        <v>471</v>
      </c>
    </row>
    <row r="4199" spans="1:12" ht="12" customHeight="1" x14ac:dyDescent="0.25">
      <c r="A4199" s="6">
        <v>44582</v>
      </c>
      <c r="B4199" s="1">
        <v>2200364</v>
      </c>
      <c r="C4199" s="5" t="s">
        <v>447</v>
      </c>
      <c r="D4199" s="5" t="str">
        <f>VLOOKUP(C4199,[1]master_data!$A$2:$E$495,2,FALSE)</f>
        <v>REDFIN ALBINO</v>
      </c>
      <c r="E4199" s="5">
        <v>5</v>
      </c>
      <c r="F4199" s="5">
        <f>VLOOKUP(C4199,[1]master_data!$A$2:$E$495,3,FALSE)</f>
        <v>1500</v>
      </c>
      <c r="G4199" s="5">
        <f>VLOOKUP(C4199,[1]master_data!$A$2:$E$495,4,FALSE)</f>
        <v>4000</v>
      </c>
      <c r="H4199" s="5">
        <f t="shared" si="201"/>
        <v>7500</v>
      </c>
      <c r="I4199" s="5">
        <f t="shared" si="202"/>
        <v>20000</v>
      </c>
      <c r="J4199" s="5">
        <f t="shared" si="203"/>
        <v>12500</v>
      </c>
      <c r="K4199" s="5" t="str">
        <f>VLOOKUP(C4199,[1]master_data!$A$2:$E$495,5,FALSE)</f>
        <v>Ikan</v>
      </c>
      <c r="L4199" s="5" t="s">
        <v>471</v>
      </c>
    </row>
    <row r="4200" spans="1:12" ht="12" customHeight="1" x14ac:dyDescent="0.25">
      <c r="A4200" s="6">
        <v>44581</v>
      </c>
      <c r="B4200" s="1">
        <v>2200363</v>
      </c>
      <c r="C4200" s="5" t="s">
        <v>410</v>
      </c>
      <c r="D4200" s="5" t="str">
        <f>VLOOKUP(C4200,[1]master_data!$A$2:$E$495,2,FALSE)</f>
        <v>GUPY</v>
      </c>
      <c r="E4200" s="5">
        <v>8</v>
      </c>
      <c r="F4200" s="5">
        <f>VLOOKUP(C4200,[1]master_data!$A$2:$E$495,3,FALSE)</f>
        <v>1200</v>
      </c>
      <c r="G4200" s="5">
        <f>VLOOKUP(C4200,[1]master_data!$A$2:$E$495,4,FALSE)</f>
        <v>2500</v>
      </c>
      <c r="H4200" s="5">
        <f t="shared" si="201"/>
        <v>9600</v>
      </c>
      <c r="I4200" s="5">
        <f t="shared" si="202"/>
        <v>20000</v>
      </c>
      <c r="J4200" s="5">
        <f t="shared" si="203"/>
        <v>10400</v>
      </c>
      <c r="K4200" s="5" t="str">
        <f>VLOOKUP(C4200,[1]master_data!$A$2:$E$495,5,FALSE)</f>
        <v>Ikan</v>
      </c>
      <c r="L4200" s="5" t="s">
        <v>471</v>
      </c>
    </row>
    <row r="4201" spans="1:12" ht="12" customHeight="1" x14ac:dyDescent="0.25">
      <c r="A4201" s="6">
        <v>44581</v>
      </c>
      <c r="B4201" s="1">
        <v>2200362</v>
      </c>
      <c r="C4201" s="5" t="s">
        <v>443</v>
      </c>
      <c r="D4201" s="5" t="str">
        <f>VLOOKUP(C4201,[1]master_data!$A$2:$E$495,2,FALSE)</f>
        <v>PALMAS</v>
      </c>
      <c r="E4201" s="5">
        <v>1</v>
      </c>
      <c r="F4201" s="5">
        <f>VLOOKUP(C4201,[1]master_data!$A$2:$E$495,3,FALSE)</f>
        <v>10000</v>
      </c>
      <c r="G4201" s="5">
        <f>VLOOKUP(C4201,[1]master_data!$A$2:$E$495,4,FALSE)</f>
        <v>25000</v>
      </c>
      <c r="H4201" s="5">
        <f t="shared" si="201"/>
        <v>10000</v>
      </c>
      <c r="I4201" s="5">
        <f t="shared" si="202"/>
        <v>25000</v>
      </c>
      <c r="J4201" s="5">
        <f t="shared" si="203"/>
        <v>15000</v>
      </c>
      <c r="K4201" s="5" t="str">
        <f>VLOOKUP(C4201,[1]master_data!$A$2:$E$495,5,FALSE)</f>
        <v>Ikan</v>
      </c>
      <c r="L4201" s="5" t="s">
        <v>471</v>
      </c>
    </row>
    <row r="4202" spans="1:12" ht="12" customHeight="1" x14ac:dyDescent="0.25">
      <c r="A4202" s="6">
        <v>44581</v>
      </c>
      <c r="B4202" s="1">
        <v>2200361</v>
      </c>
      <c r="C4202" s="5" t="s">
        <v>455</v>
      </c>
      <c r="D4202" s="5" t="str">
        <f>VLOOKUP(C4202,[1]master_data!$A$2:$E$495,2,FALSE)</f>
        <v>TETRA</v>
      </c>
      <c r="E4202" s="5">
        <v>5</v>
      </c>
      <c r="F4202" s="5">
        <f>VLOOKUP(C4202,[1]master_data!$A$2:$E$495,3,FALSE)</f>
        <v>800</v>
      </c>
      <c r="G4202" s="5">
        <f>VLOOKUP(C4202,[1]master_data!$A$2:$E$495,4,FALSE)</f>
        <v>2000</v>
      </c>
      <c r="H4202" s="5">
        <f t="shared" si="201"/>
        <v>4000</v>
      </c>
      <c r="I4202" s="5">
        <f t="shared" si="202"/>
        <v>10000</v>
      </c>
      <c r="J4202" s="5">
        <f t="shared" si="203"/>
        <v>6000</v>
      </c>
      <c r="K4202" s="5" t="str">
        <f>VLOOKUP(C4202,[1]master_data!$A$2:$E$495,5,FALSE)</f>
        <v>Ikan</v>
      </c>
      <c r="L4202" s="5" t="s">
        <v>471</v>
      </c>
    </row>
    <row r="4203" spans="1:12" ht="12" customHeight="1" x14ac:dyDescent="0.25">
      <c r="A4203" s="6">
        <v>44581</v>
      </c>
      <c r="B4203" s="1">
        <v>2200360</v>
      </c>
      <c r="C4203" s="5" t="s">
        <v>303</v>
      </c>
      <c r="D4203" s="5" t="str">
        <f>VLOOKUP(C4203,[1]master_data!$A$2:$E$495,2,FALSE)</f>
        <v>PIPA LONJOR 2 M</v>
      </c>
      <c r="E4203" s="5">
        <v>1</v>
      </c>
      <c r="F4203" s="5">
        <f>VLOOKUP(C4203,[1]master_data!$A$2:$E$495,3,FALSE)</f>
        <v>5000</v>
      </c>
      <c r="G4203" s="5">
        <f>VLOOKUP(C4203,[1]master_data!$A$2:$E$495,4,FALSE)</f>
        <v>10000</v>
      </c>
      <c r="H4203" s="5">
        <f t="shared" si="201"/>
        <v>5000</v>
      </c>
      <c r="I4203" s="5">
        <f t="shared" si="202"/>
        <v>10000</v>
      </c>
      <c r="J4203" s="5">
        <f t="shared" si="203"/>
        <v>5000</v>
      </c>
      <c r="K4203" s="5" t="str">
        <f>VLOOKUP(C4203,[1]master_data!$A$2:$E$495,5,FALSE)</f>
        <v>Aksesoris</v>
      </c>
      <c r="L4203" s="5" t="s">
        <v>471</v>
      </c>
    </row>
    <row r="4204" spans="1:12" ht="12" customHeight="1" x14ac:dyDescent="0.25">
      <c r="A4204" s="6">
        <v>44581</v>
      </c>
      <c r="B4204" s="1">
        <v>2200359</v>
      </c>
      <c r="C4204" s="5" t="s">
        <v>139</v>
      </c>
      <c r="D4204" s="5" t="str">
        <f>VLOOKUP(C4204,[1]master_data!$A$2:$E$495,2,FALSE)</f>
        <v>LED NIKITA 3 MODE 80 CM</v>
      </c>
      <c r="E4204" s="5">
        <v>1</v>
      </c>
      <c r="F4204" s="5">
        <f>VLOOKUP(C4204,[1]master_data!$A$2:$E$495,3,FALSE)</f>
        <v>53000</v>
      </c>
      <c r="G4204" s="5">
        <f>VLOOKUP(C4204,[1]master_data!$A$2:$E$495,4,FALSE)</f>
        <v>80000</v>
      </c>
      <c r="H4204" s="5">
        <f t="shared" si="201"/>
        <v>53000</v>
      </c>
      <c r="I4204" s="5">
        <f t="shared" si="202"/>
        <v>80000</v>
      </c>
      <c r="J4204" s="5">
        <f t="shared" si="203"/>
        <v>27000</v>
      </c>
      <c r="K4204" s="5" t="str">
        <f>VLOOKUP(C4204,[1]master_data!$A$2:$E$495,5,FALSE)</f>
        <v>Aksesoris</v>
      </c>
      <c r="L4204" s="5" t="s">
        <v>471</v>
      </c>
    </row>
    <row r="4205" spans="1:12" ht="12" customHeight="1" x14ac:dyDescent="0.25">
      <c r="A4205" s="6">
        <v>44581</v>
      </c>
      <c r="B4205" s="1">
        <v>2200358</v>
      </c>
      <c r="C4205" s="5" t="s">
        <v>303</v>
      </c>
      <c r="D4205" s="5" t="str">
        <f>VLOOKUP(C4205,[1]master_data!$A$2:$E$495,2,FALSE)</f>
        <v>PIPA LONJOR 2 M</v>
      </c>
      <c r="E4205" s="5">
        <v>1</v>
      </c>
      <c r="F4205" s="5">
        <f>VLOOKUP(C4205,[1]master_data!$A$2:$E$495,3,FALSE)</f>
        <v>5000</v>
      </c>
      <c r="G4205" s="5">
        <f>VLOOKUP(C4205,[1]master_data!$A$2:$E$495,4,FALSE)</f>
        <v>10000</v>
      </c>
      <c r="H4205" s="5">
        <f t="shared" si="201"/>
        <v>5000</v>
      </c>
      <c r="I4205" s="5">
        <f t="shared" si="202"/>
        <v>10000</v>
      </c>
      <c r="J4205" s="5">
        <f t="shared" si="203"/>
        <v>5000</v>
      </c>
      <c r="K4205" s="5" t="str">
        <f>VLOOKUP(C4205,[1]master_data!$A$2:$E$495,5,FALSE)</f>
        <v>Aksesoris</v>
      </c>
      <c r="L4205" s="5" t="s">
        <v>471</v>
      </c>
    </row>
    <row r="4206" spans="1:12" ht="12" customHeight="1" x14ac:dyDescent="0.25">
      <c r="A4206" s="6">
        <v>44581</v>
      </c>
      <c r="B4206" s="1">
        <v>2200357</v>
      </c>
      <c r="C4206" s="5" t="s">
        <v>411</v>
      </c>
      <c r="D4206" s="5" t="str">
        <f>VLOOKUP(C4206,[1]master_data!$A$2:$E$495,2,FALSE)</f>
        <v>GOLDEN BLACK</v>
      </c>
      <c r="E4206" s="5">
        <v>10</v>
      </c>
      <c r="F4206" s="5">
        <f>VLOOKUP(C4206,[1]master_data!$A$2:$E$495,3,FALSE)</f>
        <v>800</v>
      </c>
      <c r="G4206" s="5">
        <f>VLOOKUP(C4206,[1]master_data!$A$2:$E$495,4,FALSE)</f>
        <v>2000</v>
      </c>
      <c r="H4206" s="5">
        <f t="shared" si="201"/>
        <v>8000</v>
      </c>
      <c r="I4206" s="5">
        <f t="shared" si="202"/>
        <v>20000</v>
      </c>
      <c r="J4206" s="5">
        <f t="shared" si="203"/>
        <v>12000</v>
      </c>
      <c r="K4206" s="5" t="str">
        <f>VLOOKUP(C4206,[1]master_data!$A$2:$E$495,5,FALSE)</f>
        <v>Ikan</v>
      </c>
      <c r="L4206" s="5" t="s">
        <v>471</v>
      </c>
    </row>
    <row r="4207" spans="1:12" ht="12" customHeight="1" x14ac:dyDescent="0.25">
      <c r="A4207" s="6">
        <v>44581</v>
      </c>
      <c r="B4207" s="1">
        <v>2200356</v>
      </c>
      <c r="C4207" s="5" t="s">
        <v>419</v>
      </c>
      <c r="D4207" s="5" t="str">
        <f>VLOOKUP(C4207,[1]master_data!$A$2:$E$495,2,FALSE)</f>
        <v>KURA - KURA</v>
      </c>
      <c r="E4207" s="5">
        <v>2</v>
      </c>
      <c r="F4207" s="5">
        <f>VLOOKUP(C4207,[1]master_data!$A$2:$E$495,3,FALSE)</f>
        <v>25000</v>
      </c>
      <c r="G4207" s="5">
        <f>VLOOKUP(C4207,[1]master_data!$A$2:$E$495,4,FALSE)</f>
        <v>35000</v>
      </c>
      <c r="H4207" s="5">
        <f t="shared" si="201"/>
        <v>50000</v>
      </c>
      <c r="I4207" s="5">
        <f t="shared" si="202"/>
        <v>70000</v>
      </c>
      <c r="J4207" s="5">
        <f t="shared" si="203"/>
        <v>20000</v>
      </c>
      <c r="K4207" s="5" t="str">
        <f>VLOOKUP(C4207,[1]master_data!$A$2:$E$495,5,FALSE)</f>
        <v>Ikan</v>
      </c>
      <c r="L4207" s="5" t="s">
        <v>471</v>
      </c>
    </row>
    <row r="4208" spans="1:12" ht="12" customHeight="1" x14ac:dyDescent="0.25">
      <c r="A4208" s="6">
        <v>44581</v>
      </c>
      <c r="B4208" s="1">
        <v>2200355</v>
      </c>
      <c r="C4208" s="5" t="s">
        <v>439</v>
      </c>
      <c r="D4208" s="5" t="str">
        <f>VLOOKUP(C4208,[1]master_data!$A$2:$E$495,2,FALSE)</f>
        <v>NEON</v>
      </c>
      <c r="E4208" s="5">
        <v>4</v>
      </c>
      <c r="F4208" s="5">
        <f>VLOOKUP(C4208,[1]master_data!$A$2:$E$495,3,FALSE)</f>
        <v>1250</v>
      </c>
      <c r="G4208" s="5">
        <f>VLOOKUP(C4208,[1]master_data!$A$2:$E$495,4,FALSE)</f>
        <v>5000</v>
      </c>
      <c r="H4208" s="5">
        <f t="shared" si="201"/>
        <v>5000</v>
      </c>
      <c r="I4208" s="5">
        <f t="shared" si="202"/>
        <v>20000</v>
      </c>
      <c r="J4208" s="5">
        <f t="shared" si="203"/>
        <v>15000</v>
      </c>
      <c r="K4208" s="5" t="str">
        <f>VLOOKUP(C4208,[1]master_data!$A$2:$E$495,5,FALSE)</f>
        <v>Ikan</v>
      </c>
      <c r="L4208" s="5" t="s">
        <v>471</v>
      </c>
    </row>
    <row r="4209" spans="1:12" ht="12" customHeight="1" x14ac:dyDescent="0.25">
      <c r="A4209" s="6">
        <v>44581</v>
      </c>
      <c r="B4209" s="1">
        <v>2200354</v>
      </c>
      <c r="C4209" s="5" t="s">
        <v>435</v>
      </c>
      <c r="D4209" s="5" t="str">
        <f>VLOOKUP(C4209,[1]master_data!$A$2:$E$495,2,FALSE)</f>
        <v>MOLI BALON</v>
      </c>
      <c r="E4209" s="5">
        <v>10</v>
      </c>
      <c r="F4209" s="5">
        <f>VLOOKUP(C4209,[1]master_data!$A$2:$E$495,3,FALSE)</f>
        <v>800</v>
      </c>
      <c r="G4209" s="5">
        <f>VLOOKUP(C4209,[1]master_data!$A$2:$E$495,4,FALSE)</f>
        <v>2000</v>
      </c>
      <c r="H4209" s="5">
        <f t="shared" si="201"/>
        <v>8000</v>
      </c>
      <c r="I4209" s="5">
        <f t="shared" si="202"/>
        <v>20000</v>
      </c>
      <c r="J4209" s="5">
        <f t="shared" si="203"/>
        <v>12000</v>
      </c>
      <c r="K4209" s="5" t="str">
        <f>VLOOKUP(C4209,[1]master_data!$A$2:$E$495,5,FALSE)</f>
        <v>Ikan</v>
      </c>
      <c r="L4209" s="5" t="s">
        <v>471</v>
      </c>
    </row>
    <row r="4210" spans="1:12" ht="12" customHeight="1" x14ac:dyDescent="0.25">
      <c r="A4210" s="6">
        <v>44581</v>
      </c>
      <c r="B4210" s="1">
        <v>2200353</v>
      </c>
      <c r="C4210" s="5" t="s">
        <v>414</v>
      </c>
      <c r="D4210" s="5" t="str">
        <f>VLOOKUP(C4210,[1]master_data!$A$2:$E$495,2,FALSE)</f>
        <v>KOKI T</v>
      </c>
      <c r="E4210" s="5">
        <v>2</v>
      </c>
      <c r="F4210" s="5">
        <f>VLOOKUP(C4210,[1]master_data!$A$2:$E$495,3,FALSE)</f>
        <v>8000</v>
      </c>
      <c r="G4210" s="5">
        <f>VLOOKUP(C4210,[1]master_data!$A$2:$E$495,4,FALSE)</f>
        <v>15000</v>
      </c>
      <c r="H4210" s="5">
        <f t="shared" si="201"/>
        <v>16000</v>
      </c>
      <c r="I4210" s="5">
        <f t="shared" si="202"/>
        <v>30000</v>
      </c>
      <c r="J4210" s="5">
        <f t="shared" si="203"/>
        <v>14000</v>
      </c>
      <c r="K4210" s="5" t="str">
        <f>VLOOKUP(C4210,[1]master_data!$A$2:$E$495,5,FALSE)</f>
        <v>Ikan</v>
      </c>
      <c r="L4210" s="5" t="s">
        <v>471</v>
      </c>
    </row>
    <row r="4211" spans="1:12" ht="12" customHeight="1" x14ac:dyDescent="0.25">
      <c r="A4211" s="6">
        <v>44581</v>
      </c>
      <c r="B4211" s="1">
        <v>2200352</v>
      </c>
      <c r="C4211" s="5" t="s">
        <v>10</v>
      </c>
      <c r="D4211" s="5" t="str">
        <f>VLOOKUP(C4211,[1]master_data!$A$2:$E$495,2,FALSE)</f>
        <v>MESIN YANG 2600</v>
      </c>
      <c r="E4211" s="5">
        <v>1</v>
      </c>
      <c r="F4211" s="5">
        <f>VLOOKUP(C4211,[1]master_data!$A$2:$E$495,3,FALSE)</f>
        <v>82000</v>
      </c>
      <c r="G4211" s="5">
        <f>VLOOKUP(C4211,[1]master_data!$A$2:$E$495,4,FALSE)</f>
        <v>115000</v>
      </c>
      <c r="H4211" s="5">
        <f t="shared" si="201"/>
        <v>82000</v>
      </c>
      <c r="I4211" s="5">
        <f t="shared" si="202"/>
        <v>115000</v>
      </c>
      <c r="J4211" s="5">
        <f t="shared" si="203"/>
        <v>33000</v>
      </c>
      <c r="K4211" s="5" t="str">
        <f>VLOOKUP(C4211,[1]master_data!$A$2:$E$495,5,FALSE)</f>
        <v>Aksesoris</v>
      </c>
      <c r="L4211" s="5" t="s">
        <v>471</v>
      </c>
    </row>
    <row r="4212" spans="1:12" ht="12" customHeight="1" x14ac:dyDescent="0.25">
      <c r="A4212" s="6">
        <v>44581</v>
      </c>
      <c r="B4212" s="1">
        <v>2200351</v>
      </c>
      <c r="C4212" s="5" t="s">
        <v>428</v>
      </c>
      <c r="D4212" s="5" t="str">
        <f>VLOOKUP(C4212,[1]master_data!$A$2:$E$495,2,FALSE)</f>
        <v>LOUHAN</v>
      </c>
      <c r="E4212" s="5">
        <v>1</v>
      </c>
      <c r="F4212" s="5">
        <f>VLOOKUP(C4212,[1]master_data!$A$2:$E$495,3,FALSE)</f>
        <v>85000</v>
      </c>
      <c r="G4212" s="5">
        <f>VLOOKUP(C4212,[1]master_data!$A$2:$E$495,4,FALSE)</f>
        <v>200000</v>
      </c>
      <c r="H4212" s="5">
        <f t="shared" si="201"/>
        <v>85000</v>
      </c>
      <c r="I4212" s="5">
        <f t="shared" si="202"/>
        <v>200000</v>
      </c>
      <c r="J4212" s="5">
        <f t="shared" si="203"/>
        <v>115000</v>
      </c>
      <c r="K4212" s="5" t="str">
        <f>VLOOKUP(C4212,[1]master_data!$A$2:$E$495,5,FALSE)</f>
        <v>Ikan</v>
      </c>
      <c r="L4212" s="5" t="s">
        <v>471</v>
      </c>
    </row>
    <row r="4213" spans="1:12" ht="12" customHeight="1" x14ac:dyDescent="0.25">
      <c r="A4213" s="6">
        <v>44581</v>
      </c>
      <c r="B4213" s="1">
        <v>2200350</v>
      </c>
      <c r="C4213" s="5" t="s">
        <v>405</v>
      </c>
      <c r="D4213" s="5" t="str">
        <f>VLOOKUP(C4213,[1]master_data!$A$2:$E$495,2,FALSE)</f>
        <v>KOMET BOKIM</v>
      </c>
      <c r="E4213" s="5">
        <v>10</v>
      </c>
      <c r="F4213" s="5">
        <f>VLOOKUP(C4213,[1]master_data!$A$2:$E$495,3,FALSE)</f>
        <v>1500</v>
      </c>
      <c r="G4213" s="5">
        <f>VLOOKUP(C4213,[1]master_data!$A$2:$E$495,4,FALSE)</f>
        <v>5000</v>
      </c>
      <c r="H4213" s="5">
        <f t="shared" si="201"/>
        <v>15000</v>
      </c>
      <c r="I4213" s="5">
        <f t="shared" si="202"/>
        <v>50000</v>
      </c>
      <c r="J4213" s="5">
        <f t="shared" si="203"/>
        <v>35000</v>
      </c>
      <c r="K4213" s="5" t="str">
        <f>VLOOKUP(C4213,[1]master_data!$A$2:$E$495,5,FALSE)</f>
        <v>Ikan</v>
      </c>
      <c r="L4213" s="5" t="s">
        <v>471</v>
      </c>
    </row>
    <row r="4214" spans="1:12" ht="12" customHeight="1" x14ac:dyDescent="0.25">
      <c r="A4214" s="6">
        <v>44581</v>
      </c>
      <c r="B4214" s="1">
        <v>2200349</v>
      </c>
      <c r="C4214" s="5" t="s">
        <v>422</v>
      </c>
      <c r="D4214" s="5" t="str">
        <f>VLOOKUP(C4214,[1]master_data!$A$2:$E$495,2,FALSE)</f>
        <v>KOMET SLAYER</v>
      </c>
      <c r="E4214" s="5">
        <v>10</v>
      </c>
      <c r="F4214" s="5">
        <f>VLOOKUP(C4214,[1]master_data!$A$2:$E$495,3,FALSE)</f>
        <v>2000</v>
      </c>
      <c r="G4214" s="5">
        <f>VLOOKUP(C4214,[1]master_data!$A$2:$E$495,4,FALSE)</f>
        <v>5000</v>
      </c>
      <c r="H4214" s="5">
        <f t="shared" si="201"/>
        <v>20000</v>
      </c>
      <c r="I4214" s="5">
        <f t="shared" si="202"/>
        <v>50000</v>
      </c>
      <c r="J4214" s="5">
        <f t="shared" si="203"/>
        <v>30000</v>
      </c>
      <c r="K4214" s="5" t="str">
        <f>VLOOKUP(C4214,[1]master_data!$A$2:$E$495,5,FALSE)</f>
        <v>Ikan</v>
      </c>
      <c r="L4214" s="5" t="s">
        <v>471</v>
      </c>
    </row>
    <row r="4215" spans="1:12" ht="12" customHeight="1" x14ac:dyDescent="0.25">
      <c r="A4215" s="6">
        <v>44581</v>
      </c>
      <c r="B4215" s="1">
        <v>2200348</v>
      </c>
      <c r="C4215" s="5" t="s">
        <v>413</v>
      </c>
      <c r="D4215" s="5" t="str">
        <f>VLOOKUP(C4215,[1]master_data!$A$2:$E$495,2,FALSE)</f>
        <v>KOKI K</v>
      </c>
      <c r="E4215" s="5">
        <v>5</v>
      </c>
      <c r="F4215" s="5">
        <f>VLOOKUP(C4215,[1]master_data!$A$2:$E$495,3,FALSE)</f>
        <v>3500</v>
      </c>
      <c r="G4215" s="5">
        <f>VLOOKUP(C4215,[1]master_data!$A$2:$E$495,4,FALSE)</f>
        <v>10000</v>
      </c>
      <c r="H4215" s="5">
        <f t="shared" si="201"/>
        <v>17500</v>
      </c>
      <c r="I4215" s="5">
        <f t="shared" si="202"/>
        <v>50000</v>
      </c>
      <c r="J4215" s="5">
        <f t="shared" si="203"/>
        <v>32500</v>
      </c>
      <c r="K4215" s="5" t="str">
        <f>VLOOKUP(C4215,[1]master_data!$A$2:$E$495,5,FALSE)</f>
        <v>Ikan</v>
      </c>
      <c r="L4215" s="5" t="s">
        <v>471</v>
      </c>
    </row>
    <row r="4216" spans="1:12" ht="12" customHeight="1" x14ac:dyDescent="0.25">
      <c r="A4216" s="6">
        <v>44581</v>
      </c>
      <c r="B4216" s="1">
        <v>2200347</v>
      </c>
      <c r="C4216" s="5" t="s">
        <v>450</v>
      </c>
      <c r="D4216" s="5" t="str">
        <f>VLOOKUP(C4216,[1]master_data!$A$2:$E$495,2,FALSE)</f>
        <v>SUMATRA BIASA</v>
      </c>
      <c r="E4216" s="5">
        <v>5</v>
      </c>
      <c r="F4216" s="5">
        <f>VLOOKUP(C4216,[1]master_data!$A$2:$E$495,3,FALSE)</f>
        <v>800</v>
      </c>
      <c r="G4216" s="5">
        <f>VLOOKUP(C4216,[1]master_data!$A$2:$E$495,4,FALSE)</f>
        <v>2000</v>
      </c>
      <c r="H4216" s="5">
        <f t="shared" si="201"/>
        <v>4000</v>
      </c>
      <c r="I4216" s="5">
        <f t="shared" si="202"/>
        <v>10000</v>
      </c>
      <c r="J4216" s="5">
        <f t="shared" si="203"/>
        <v>6000</v>
      </c>
      <c r="K4216" s="5" t="str">
        <f>VLOOKUP(C4216,[1]master_data!$A$2:$E$495,5,FALSE)</f>
        <v>Ikan</v>
      </c>
      <c r="L4216" s="5" t="s">
        <v>471</v>
      </c>
    </row>
    <row r="4217" spans="1:12" ht="12" customHeight="1" x14ac:dyDescent="0.25">
      <c r="A4217" s="6">
        <v>44580</v>
      </c>
      <c r="B4217" s="1">
        <v>2200346</v>
      </c>
      <c r="C4217" s="5" t="s">
        <v>310</v>
      </c>
      <c r="D4217" s="5" t="str">
        <f>VLOOKUP(C4217,[1]master_data!$A$2:$E$495,2,FALSE)</f>
        <v>SELANG FUSO</v>
      </c>
      <c r="E4217" s="5">
        <v>1</v>
      </c>
      <c r="F4217" s="5">
        <f>VLOOKUP(C4217,[1]master_data!$A$2:$E$495,3,FALSE)</f>
        <v>800</v>
      </c>
      <c r="G4217" s="5">
        <f>VLOOKUP(C4217,[1]master_data!$A$2:$E$495,4,FALSE)</f>
        <v>2000</v>
      </c>
      <c r="H4217" s="5">
        <f t="shared" si="201"/>
        <v>800</v>
      </c>
      <c r="I4217" s="5">
        <f t="shared" si="202"/>
        <v>2000</v>
      </c>
      <c r="J4217" s="5">
        <f t="shared" si="203"/>
        <v>1200</v>
      </c>
      <c r="K4217" s="5" t="str">
        <f>VLOOKUP(C4217,[1]master_data!$A$2:$E$495,5,FALSE)</f>
        <v>Aksesoris</v>
      </c>
      <c r="L4217" s="5" t="s">
        <v>471</v>
      </c>
    </row>
    <row r="4218" spans="1:12" ht="12" customHeight="1" x14ac:dyDescent="0.25">
      <c r="A4218" s="6">
        <v>44580</v>
      </c>
      <c r="B4218" s="1">
        <v>2200345</v>
      </c>
      <c r="C4218" s="5" t="s">
        <v>440</v>
      </c>
      <c r="D4218" s="5" t="str">
        <f>VLOOKUP(C4218,[1]master_data!$A$2:$E$495,2,FALSE)</f>
        <v>OSCAR</v>
      </c>
      <c r="E4218" s="5">
        <v>3</v>
      </c>
      <c r="F4218" s="5">
        <f>VLOOKUP(C4218,[1]master_data!$A$2:$E$495,3,FALSE)</f>
        <v>25000</v>
      </c>
      <c r="G4218" s="5">
        <f>VLOOKUP(C4218,[1]master_data!$A$2:$E$495,4,FALSE)</f>
        <v>50000</v>
      </c>
      <c r="H4218" s="5">
        <f t="shared" si="201"/>
        <v>75000</v>
      </c>
      <c r="I4218" s="5">
        <f t="shared" si="202"/>
        <v>150000</v>
      </c>
      <c r="J4218" s="5">
        <f t="shared" si="203"/>
        <v>75000</v>
      </c>
      <c r="K4218" s="5" t="str">
        <f>VLOOKUP(C4218,[1]master_data!$A$2:$E$495,5,FALSE)</f>
        <v>Ikan</v>
      </c>
      <c r="L4218" s="5" t="s">
        <v>471</v>
      </c>
    </row>
    <row r="4219" spans="1:12" ht="12" customHeight="1" x14ac:dyDescent="0.25">
      <c r="A4219" s="6">
        <v>44580</v>
      </c>
      <c r="B4219" s="1">
        <v>2200344</v>
      </c>
      <c r="C4219" s="5" t="s">
        <v>310</v>
      </c>
      <c r="D4219" s="5" t="str">
        <f>VLOOKUP(C4219,[1]master_data!$A$2:$E$495,2,FALSE)</f>
        <v>SELANG FUSO</v>
      </c>
      <c r="E4219" s="5">
        <v>1</v>
      </c>
      <c r="F4219" s="5">
        <f>VLOOKUP(C4219,[1]master_data!$A$2:$E$495,3,FALSE)</f>
        <v>800</v>
      </c>
      <c r="G4219" s="5">
        <f>VLOOKUP(C4219,[1]master_data!$A$2:$E$495,4,FALSE)</f>
        <v>2000</v>
      </c>
      <c r="H4219" s="5">
        <f t="shared" si="201"/>
        <v>800</v>
      </c>
      <c r="I4219" s="5">
        <f t="shared" si="202"/>
        <v>2000</v>
      </c>
      <c r="J4219" s="5">
        <f t="shared" si="203"/>
        <v>1200</v>
      </c>
      <c r="K4219" s="5" t="str">
        <f>VLOOKUP(C4219,[1]master_data!$A$2:$E$495,5,FALSE)</f>
        <v>Aksesoris</v>
      </c>
      <c r="L4219" s="5" t="s">
        <v>471</v>
      </c>
    </row>
    <row r="4220" spans="1:12" ht="12" customHeight="1" x14ac:dyDescent="0.25">
      <c r="A4220" s="6">
        <v>44580</v>
      </c>
      <c r="B4220" s="1">
        <v>2200343</v>
      </c>
      <c r="C4220" s="5" t="s">
        <v>458</v>
      </c>
      <c r="D4220" s="5" t="str">
        <f>VLOOKUP(C4220,[1]master_data!$A$2:$E$495,2,FALSE)</f>
        <v>ZEBRA HIJAU</v>
      </c>
      <c r="E4220" s="5">
        <v>5</v>
      </c>
      <c r="F4220" s="5">
        <f>VLOOKUP(C4220,[1]master_data!$A$2:$E$495,3,FALSE)</f>
        <v>800</v>
      </c>
      <c r="G4220" s="5">
        <f>VLOOKUP(C4220,[1]master_data!$A$2:$E$495,4,FALSE)</f>
        <v>2000</v>
      </c>
      <c r="H4220" s="5">
        <f t="shared" si="201"/>
        <v>4000</v>
      </c>
      <c r="I4220" s="5">
        <f t="shared" si="202"/>
        <v>10000</v>
      </c>
      <c r="J4220" s="5">
        <f t="shared" si="203"/>
        <v>6000</v>
      </c>
      <c r="K4220" s="5" t="str">
        <f>VLOOKUP(C4220,[1]master_data!$A$2:$E$495,5,FALSE)</f>
        <v>Ikan</v>
      </c>
      <c r="L4220" s="5" t="s">
        <v>471</v>
      </c>
    </row>
    <row r="4221" spans="1:12" ht="12" customHeight="1" x14ac:dyDescent="0.25">
      <c r="A4221" s="6">
        <v>44580</v>
      </c>
      <c r="B4221" s="1">
        <v>2200342</v>
      </c>
      <c r="C4221" s="5" t="s">
        <v>45</v>
      </c>
      <c r="D4221" s="5" t="str">
        <f>VLOOKUP(C4221,[1]master_data!$A$2:$E$495,2,FALSE)</f>
        <v>TOP FILTER NIKITA K</v>
      </c>
      <c r="E4221" s="5">
        <v>1</v>
      </c>
      <c r="F4221" s="5">
        <f>VLOOKUP(C4221,[1]master_data!$A$2:$E$495,3,FALSE)</f>
        <v>36000</v>
      </c>
      <c r="G4221" s="5">
        <f>VLOOKUP(C4221,[1]master_data!$A$2:$E$495,4,FALSE)</f>
        <v>55000</v>
      </c>
      <c r="H4221" s="5">
        <f t="shared" si="201"/>
        <v>36000</v>
      </c>
      <c r="I4221" s="5">
        <f t="shared" si="202"/>
        <v>55000</v>
      </c>
      <c r="J4221" s="5">
        <f t="shared" si="203"/>
        <v>19000</v>
      </c>
      <c r="K4221" s="5" t="str">
        <f>VLOOKUP(C4221,[1]master_data!$A$2:$E$495,5,FALSE)</f>
        <v>Aksesoris</v>
      </c>
      <c r="L4221" s="5" t="s">
        <v>471</v>
      </c>
    </row>
    <row r="4222" spans="1:12" ht="12" customHeight="1" x14ac:dyDescent="0.25">
      <c r="A4222" s="6">
        <v>44580</v>
      </c>
      <c r="B4222" s="1">
        <v>2200341</v>
      </c>
      <c r="C4222" s="5" t="s">
        <v>100</v>
      </c>
      <c r="D4222" s="5" t="str">
        <f>VLOOKUP(C4222,[1]master_data!$A$2:$E$495,2,FALSE)</f>
        <v>AIRATOR AMARA LUB 1</v>
      </c>
      <c r="E4222" s="5">
        <v>1</v>
      </c>
      <c r="F4222" s="5">
        <f>VLOOKUP(C4222,[1]master_data!$A$2:$E$495,3,FALSE)</f>
        <v>17500</v>
      </c>
      <c r="G4222" s="5">
        <f>VLOOKUP(C4222,[1]master_data!$A$2:$E$495,4,FALSE)</f>
        <v>30000</v>
      </c>
      <c r="H4222" s="5">
        <f t="shared" si="201"/>
        <v>17500</v>
      </c>
      <c r="I4222" s="5">
        <f t="shared" si="202"/>
        <v>30000</v>
      </c>
      <c r="J4222" s="5">
        <f t="shared" si="203"/>
        <v>12500</v>
      </c>
      <c r="K4222" s="5" t="str">
        <f>VLOOKUP(C4222,[1]master_data!$A$2:$E$495,5,FALSE)</f>
        <v>Aksesoris</v>
      </c>
      <c r="L4222" s="5" t="s">
        <v>471</v>
      </c>
    </row>
    <row r="4223" spans="1:12" ht="12" customHeight="1" x14ac:dyDescent="0.25">
      <c r="A4223" s="6">
        <v>44580</v>
      </c>
      <c r="B4223" s="1">
        <v>2200340</v>
      </c>
      <c r="C4223" s="5" t="s">
        <v>318</v>
      </c>
      <c r="D4223" s="5" t="str">
        <f>VLOOKUP(C4223,[1]master_data!$A$2:$E$495,2,FALSE)</f>
        <v>TEMPAT CACING</v>
      </c>
      <c r="E4223" s="5">
        <v>1</v>
      </c>
      <c r="F4223" s="5">
        <f>VLOOKUP(C4223,[1]master_data!$A$2:$E$495,3,FALSE)</f>
        <v>1500</v>
      </c>
      <c r="G4223" s="5">
        <f>VLOOKUP(C4223,[1]master_data!$A$2:$E$495,4,FALSE)</f>
        <v>5000</v>
      </c>
      <c r="H4223" s="5">
        <f t="shared" si="201"/>
        <v>1500</v>
      </c>
      <c r="I4223" s="5">
        <f t="shared" si="202"/>
        <v>5000</v>
      </c>
      <c r="J4223" s="5">
        <f t="shared" si="203"/>
        <v>3500</v>
      </c>
      <c r="K4223" s="5" t="str">
        <f>VLOOKUP(C4223,[1]master_data!$A$2:$E$495,5,FALSE)</f>
        <v>Aksesoris</v>
      </c>
      <c r="L4223" s="5" t="s">
        <v>471</v>
      </c>
    </row>
    <row r="4224" spans="1:12" ht="12" customHeight="1" x14ac:dyDescent="0.25">
      <c r="A4224" s="6">
        <v>44580</v>
      </c>
      <c r="B4224" s="1">
        <v>2200339</v>
      </c>
      <c r="C4224" s="5" t="s">
        <v>328</v>
      </c>
      <c r="D4224" s="5" t="str">
        <f>VLOOKUP(C4224,[1]master_data!$A$2:$E$495,2,FALSE)</f>
        <v>AIRSONE PUTIH</v>
      </c>
      <c r="E4224" s="5">
        <v>1</v>
      </c>
      <c r="F4224" s="5">
        <f>VLOOKUP(C4224,[1]master_data!$A$2:$E$495,3,FALSE)</f>
        <v>3000</v>
      </c>
      <c r="G4224" s="5">
        <f>VLOOKUP(C4224,[1]master_data!$A$2:$E$495,4,FALSE)</f>
        <v>5000</v>
      </c>
      <c r="H4224" s="5">
        <f t="shared" si="201"/>
        <v>3000</v>
      </c>
      <c r="I4224" s="5">
        <f t="shared" si="202"/>
        <v>5000</v>
      </c>
      <c r="J4224" s="5">
        <f t="shared" si="203"/>
        <v>2000</v>
      </c>
      <c r="K4224" s="5" t="str">
        <f>VLOOKUP(C4224,[1]master_data!$A$2:$E$495,5,FALSE)</f>
        <v>Aksesoris</v>
      </c>
      <c r="L4224" s="5" t="s">
        <v>471</v>
      </c>
    </row>
    <row r="4225" spans="1:12" ht="12" customHeight="1" x14ac:dyDescent="0.25">
      <c r="A4225" s="6">
        <v>44580</v>
      </c>
      <c r="B4225" s="1">
        <v>2200338</v>
      </c>
      <c r="C4225" s="5" t="s">
        <v>311</v>
      </c>
      <c r="D4225" s="5" t="str">
        <f>VLOOKUP(C4225,[1]master_data!$A$2:$E$495,2,FALSE)</f>
        <v>L PIPA</v>
      </c>
      <c r="E4225" s="5">
        <v>20</v>
      </c>
      <c r="F4225" s="5">
        <f>VLOOKUP(C4225,[1]master_data!$A$2:$E$495,3,FALSE)</f>
        <v>800</v>
      </c>
      <c r="G4225" s="5">
        <f>VLOOKUP(C4225,[1]master_data!$A$2:$E$495,4,FALSE)</f>
        <v>2000</v>
      </c>
      <c r="H4225" s="5">
        <f t="shared" si="201"/>
        <v>16000</v>
      </c>
      <c r="I4225" s="5">
        <f t="shared" si="202"/>
        <v>40000</v>
      </c>
      <c r="J4225" s="5">
        <f t="shared" si="203"/>
        <v>24000</v>
      </c>
      <c r="K4225" s="5" t="str">
        <f>VLOOKUP(C4225,[1]master_data!$A$2:$E$495,5,FALSE)</f>
        <v>Aksesoris</v>
      </c>
      <c r="L4225" s="5" t="s">
        <v>471</v>
      </c>
    </row>
    <row r="4226" spans="1:12" ht="12" customHeight="1" x14ac:dyDescent="0.25">
      <c r="A4226" s="6">
        <v>44580</v>
      </c>
      <c r="B4226" s="1">
        <v>2200337</v>
      </c>
      <c r="C4226" s="5" t="s">
        <v>447</v>
      </c>
      <c r="D4226" s="5" t="str">
        <f>VLOOKUP(C4226,[1]master_data!$A$2:$E$495,2,FALSE)</f>
        <v>REDFIN ALBINO</v>
      </c>
      <c r="E4226" s="5">
        <v>1</v>
      </c>
      <c r="F4226" s="5">
        <f>VLOOKUP(C4226,[1]master_data!$A$2:$E$495,3,FALSE)</f>
        <v>1500</v>
      </c>
      <c r="G4226" s="5">
        <f>VLOOKUP(C4226,[1]master_data!$A$2:$E$495,4,FALSE)</f>
        <v>4000</v>
      </c>
      <c r="H4226" s="5">
        <f t="shared" si="201"/>
        <v>1500</v>
      </c>
      <c r="I4226" s="5">
        <f t="shared" si="202"/>
        <v>4000</v>
      </c>
      <c r="J4226" s="5">
        <f t="shared" si="203"/>
        <v>2500</v>
      </c>
      <c r="K4226" s="5" t="str">
        <f>VLOOKUP(C4226,[1]master_data!$A$2:$E$495,5,FALSE)</f>
        <v>Ikan</v>
      </c>
      <c r="L4226" s="5" t="s">
        <v>471</v>
      </c>
    </row>
    <row r="4227" spans="1:12" ht="12" customHeight="1" x14ac:dyDescent="0.25">
      <c r="A4227" s="6">
        <v>44580</v>
      </c>
      <c r="B4227" s="1">
        <v>2200336</v>
      </c>
      <c r="C4227" s="5" t="s">
        <v>446</v>
      </c>
      <c r="D4227" s="5" t="str">
        <f>VLOOKUP(C4227,[1]master_data!$A$2:$E$495,2,FALSE)</f>
        <v>REDFIN HITAM</v>
      </c>
      <c r="E4227" s="5">
        <v>1</v>
      </c>
      <c r="F4227" s="5">
        <f>VLOOKUP(C4227,[1]master_data!$A$2:$E$495,3,FALSE)</f>
        <v>1500</v>
      </c>
      <c r="G4227" s="5">
        <f>VLOOKUP(C4227,[1]master_data!$A$2:$E$495,4,FALSE)</f>
        <v>4000</v>
      </c>
      <c r="H4227" s="5">
        <f t="shared" si="201"/>
        <v>1500</v>
      </c>
      <c r="I4227" s="5">
        <f t="shared" si="202"/>
        <v>4000</v>
      </c>
      <c r="J4227" s="5">
        <f t="shared" si="203"/>
        <v>2500</v>
      </c>
      <c r="K4227" s="5" t="str">
        <f>VLOOKUP(C4227,[1]master_data!$A$2:$E$495,5,FALSE)</f>
        <v>Ikan</v>
      </c>
      <c r="L4227" s="5" t="s">
        <v>471</v>
      </c>
    </row>
    <row r="4228" spans="1:12" ht="12" customHeight="1" x14ac:dyDescent="0.25">
      <c r="A4228" s="6">
        <v>44580</v>
      </c>
      <c r="B4228" s="1">
        <v>2200335</v>
      </c>
      <c r="C4228" s="5" t="s">
        <v>399</v>
      </c>
      <c r="D4228" s="5" t="str">
        <f>VLOOKUP(C4228,[1]master_data!$A$2:$E$495,2,FALSE)</f>
        <v>BUENOS AIRES TETRA</v>
      </c>
      <c r="E4228" s="5">
        <v>20</v>
      </c>
      <c r="F4228" s="5">
        <f>VLOOKUP(C4228,[1]master_data!$A$2:$E$495,3,FALSE)</f>
        <v>800</v>
      </c>
      <c r="G4228" s="5">
        <f>VLOOKUP(C4228,[1]master_data!$A$2:$E$495,4,FALSE)</f>
        <v>2000</v>
      </c>
      <c r="H4228" s="5">
        <f t="shared" si="201"/>
        <v>16000</v>
      </c>
      <c r="I4228" s="5">
        <f t="shared" si="202"/>
        <v>40000</v>
      </c>
      <c r="J4228" s="5">
        <f t="shared" si="203"/>
        <v>24000</v>
      </c>
      <c r="K4228" s="5" t="str">
        <f>VLOOKUP(C4228,[1]master_data!$A$2:$E$495,5,FALSE)</f>
        <v>Ikan</v>
      </c>
      <c r="L4228" s="5" t="s">
        <v>471</v>
      </c>
    </row>
    <row r="4229" spans="1:12" ht="12" customHeight="1" x14ac:dyDescent="0.25">
      <c r="A4229" s="6">
        <v>44580</v>
      </c>
      <c r="B4229" s="1">
        <v>2200334</v>
      </c>
      <c r="C4229" s="5" t="s">
        <v>457</v>
      </c>
      <c r="D4229" s="5" t="str">
        <f>VLOOKUP(C4229,[1]master_data!$A$2:$E$495,2,FALSE)</f>
        <v>ZEBRA PINK</v>
      </c>
      <c r="E4229" s="5">
        <v>5</v>
      </c>
      <c r="F4229" s="5">
        <f>VLOOKUP(C4229,[1]master_data!$A$2:$E$495,3,FALSE)</f>
        <v>800</v>
      </c>
      <c r="G4229" s="5">
        <f>VLOOKUP(C4229,[1]master_data!$A$2:$E$495,4,FALSE)</f>
        <v>2000</v>
      </c>
      <c r="H4229" s="5">
        <f t="shared" ref="H4229:H4292" si="204">E4229*F4229</f>
        <v>4000</v>
      </c>
      <c r="I4229" s="5">
        <f t="shared" ref="I4229:I4292" si="205">E4229*G4229</f>
        <v>10000</v>
      </c>
      <c r="J4229" s="5">
        <f t="shared" ref="J4229:J4292" si="206">I4229-H4229</f>
        <v>6000</v>
      </c>
      <c r="K4229" s="5" t="str">
        <f>VLOOKUP(C4229,[1]master_data!$A$2:$E$495,5,FALSE)</f>
        <v>Ikan</v>
      </c>
      <c r="L4229" s="5" t="s">
        <v>471</v>
      </c>
    </row>
    <row r="4230" spans="1:12" ht="12" customHeight="1" x14ac:dyDescent="0.25">
      <c r="A4230" s="6">
        <v>44580</v>
      </c>
      <c r="B4230" s="1">
        <v>2200333</v>
      </c>
      <c r="C4230" s="5" t="s">
        <v>280</v>
      </c>
      <c r="D4230" s="5" t="str">
        <f>VLOOKUP(C4230,[1]master_data!$A$2:$E$495,2,FALSE)</f>
        <v>KRAN 2 W</v>
      </c>
      <c r="E4230" s="5">
        <v>1</v>
      </c>
      <c r="F4230" s="5">
        <f>VLOOKUP(C4230,[1]master_data!$A$2:$E$495,3,FALSE)</f>
        <v>4000</v>
      </c>
      <c r="G4230" s="5">
        <f>VLOOKUP(C4230,[1]master_data!$A$2:$E$495,4,FALSE)</f>
        <v>6000</v>
      </c>
      <c r="H4230" s="5">
        <f t="shared" si="204"/>
        <v>4000</v>
      </c>
      <c r="I4230" s="5">
        <f t="shared" si="205"/>
        <v>6000</v>
      </c>
      <c r="J4230" s="5">
        <f t="shared" si="206"/>
        <v>2000</v>
      </c>
      <c r="K4230" s="5" t="str">
        <f>VLOOKUP(C4230,[1]master_data!$A$2:$E$495,5,FALSE)</f>
        <v>Aksesoris</v>
      </c>
      <c r="L4230" s="5" t="s">
        <v>471</v>
      </c>
    </row>
    <row r="4231" spans="1:12" ht="12" customHeight="1" x14ac:dyDescent="0.25">
      <c r="A4231" s="6">
        <v>44580</v>
      </c>
      <c r="B4231" s="1">
        <v>2200332</v>
      </c>
      <c r="C4231" s="5" t="s">
        <v>431</v>
      </c>
      <c r="D4231" s="5" t="str">
        <f>VLOOKUP(C4231,[1]master_data!$A$2:$E$495,2,FALSE)</f>
        <v>MANFISH B</v>
      </c>
      <c r="E4231" s="5">
        <v>3</v>
      </c>
      <c r="F4231" s="5">
        <f>VLOOKUP(C4231,[1]master_data!$A$2:$E$495,3,FALSE)</f>
        <v>4000</v>
      </c>
      <c r="G4231" s="5">
        <f>VLOOKUP(C4231,[1]master_data!$A$2:$E$495,4,FALSE)</f>
        <v>10000</v>
      </c>
      <c r="H4231" s="5">
        <f t="shared" si="204"/>
        <v>12000</v>
      </c>
      <c r="I4231" s="5">
        <f t="shared" si="205"/>
        <v>30000</v>
      </c>
      <c r="J4231" s="5">
        <f t="shared" si="206"/>
        <v>18000</v>
      </c>
      <c r="K4231" s="5" t="str">
        <f>VLOOKUP(C4231,[1]master_data!$A$2:$E$495,5,FALSE)</f>
        <v>Ikan</v>
      </c>
      <c r="L4231" s="5" t="s">
        <v>471</v>
      </c>
    </row>
    <row r="4232" spans="1:12" ht="12" customHeight="1" x14ac:dyDescent="0.25">
      <c r="A4232" s="6">
        <v>44580</v>
      </c>
      <c r="B4232" s="1">
        <v>2200331</v>
      </c>
      <c r="C4232" s="5" t="s">
        <v>402</v>
      </c>
      <c r="D4232" s="5" t="str">
        <f>VLOOKUP(C4232,[1]master_data!$A$2:$E$495,2,FALSE)</f>
        <v>BLACK GHOST</v>
      </c>
      <c r="E4232" s="5">
        <v>10</v>
      </c>
      <c r="F4232" s="5">
        <f>VLOOKUP(C4232,[1]master_data!$A$2:$E$495,3,FALSE)</f>
        <v>4000</v>
      </c>
      <c r="G4232" s="5">
        <f>VLOOKUP(C4232,[1]master_data!$A$2:$E$495,4,FALSE)</f>
        <v>10000</v>
      </c>
      <c r="H4232" s="5">
        <f t="shared" si="204"/>
        <v>40000</v>
      </c>
      <c r="I4232" s="5">
        <f t="shared" si="205"/>
        <v>100000</v>
      </c>
      <c r="J4232" s="5">
        <f t="shared" si="206"/>
        <v>60000</v>
      </c>
      <c r="K4232" s="5" t="str">
        <f>VLOOKUP(C4232,[1]master_data!$A$2:$E$495,5,FALSE)</f>
        <v>Ikan</v>
      </c>
      <c r="L4232" s="5" t="s">
        <v>471</v>
      </c>
    </row>
    <row r="4233" spans="1:12" ht="12" customHeight="1" x14ac:dyDescent="0.25">
      <c r="A4233" s="6">
        <v>44580</v>
      </c>
      <c r="B4233" s="1">
        <v>2200330</v>
      </c>
      <c r="C4233" s="5" t="s">
        <v>327</v>
      </c>
      <c r="D4233" s="5" t="str">
        <f>VLOOKUP(C4233,[1]master_data!$A$2:$E$495,2,FALSE)</f>
        <v>AIRSTONE K</v>
      </c>
      <c r="E4233" s="5">
        <v>1</v>
      </c>
      <c r="F4233" s="5">
        <f>VLOOKUP(C4233,[1]master_data!$A$2:$E$495,3,FALSE)</f>
        <v>850</v>
      </c>
      <c r="G4233" s="5">
        <f>VLOOKUP(C4233,[1]master_data!$A$2:$E$495,4,FALSE)</f>
        <v>3000</v>
      </c>
      <c r="H4233" s="5">
        <f t="shared" si="204"/>
        <v>850</v>
      </c>
      <c r="I4233" s="5">
        <f t="shared" si="205"/>
        <v>3000</v>
      </c>
      <c r="J4233" s="5">
        <f t="shared" si="206"/>
        <v>2150</v>
      </c>
      <c r="K4233" s="5" t="str">
        <f>VLOOKUP(C4233,[1]master_data!$A$2:$E$495,5,FALSE)</f>
        <v>Aksesoris</v>
      </c>
      <c r="L4233" s="5" t="s">
        <v>471</v>
      </c>
    </row>
    <row r="4234" spans="1:12" ht="12" customHeight="1" x14ac:dyDescent="0.25">
      <c r="A4234" s="6">
        <v>44580</v>
      </c>
      <c r="B4234" s="1">
        <v>2200329</v>
      </c>
      <c r="C4234" s="5" t="s">
        <v>460</v>
      </c>
      <c r="D4234" s="5" t="str">
        <f>VLOOKUP(C4234,[1]master_data!$A$2:$E$495,2,FALSE)</f>
        <v>ZEBRA KUNING</v>
      </c>
      <c r="E4234" s="5">
        <v>5</v>
      </c>
      <c r="F4234" s="5">
        <f>VLOOKUP(C4234,[1]master_data!$A$2:$E$495,3,FALSE)</f>
        <v>800</v>
      </c>
      <c r="G4234" s="5">
        <f>VLOOKUP(C4234,[1]master_data!$A$2:$E$495,4,FALSE)</f>
        <v>2000</v>
      </c>
      <c r="H4234" s="5">
        <f t="shared" si="204"/>
        <v>4000</v>
      </c>
      <c r="I4234" s="5">
        <f t="shared" si="205"/>
        <v>10000</v>
      </c>
      <c r="J4234" s="5">
        <f t="shared" si="206"/>
        <v>6000</v>
      </c>
      <c r="K4234" s="5" t="str">
        <f>VLOOKUP(C4234,[1]master_data!$A$2:$E$495,5,FALSE)</f>
        <v>Ikan</v>
      </c>
      <c r="L4234" s="5" t="s">
        <v>471</v>
      </c>
    </row>
    <row r="4235" spans="1:12" ht="12" customHeight="1" x14ac:dyDescent="0.25">
      <c r="A4235" s="6">
        <v>44579</v>
      </c>
      <c r="B4235" s="1">
        <v>2200328</v>
      </c>
      <c r="C4235" s="5" t="s">
        <v>112</v>
      </c>
      <c r="D4235" s="5" t="str">
        <f>VLOOKUP(C4235,[1]master_data!$A$2:$E$495,2,FALSE)</f>
        <v>LED ROSTON 20 CM</v>
      </c>
      <c r="E4235" s="5">
        <v>1</v>
      </c>
      <c r="F4235" s="5">
        <f>VLOOKUP(C4235,[1]master_data!$A$2:$E$495,3,FALSE)</f>
        <v>21000</v>
      </c>
      <c r="G4235" s="5">
        <f>VLOOKUP(C4235,[1]master_data!$A$2:$E$495,4,FALSE)</f>
        <v>30000</v>
      </c>
      <c r="H4235" s="5">
        <f t="shared" si="204"/>
        <v>21000</v>
      </c>
      <c r="I4235" s="5">
        <f t="shared" si="205"/>
        <v>30000</v>
      </c>
      <c r="J4235" s="5">
        <f t="shared" si="206"/>
        <v>9000</v>
      </c>
      <c r="K4235" s="5" t="str">
        <f>VLOOKUP(C4235,[1]master_data!$A$2:$E$495,5,FALSE)</f>
        <v>Aksesoris</v>
      </c>
      <c r="L4235" s="5" t="s">
        <v>471</v>
      </c>
    </row>
    <row r="4236" spans="1:12" ht="12" customHeight="1" x14ac:dyDescent="0.25">
      <c r="A4236" s="6">
        <v>44579</v>
      </c>
      <c r="B4236" s="1">
        <v>2200327</v>
      </c>
      <c r="C4236" s="5" t="s">
        <v>444</v>
      </c>
      <c r="D4236" s="5" t="str">
        <f>VLOOKUP(C4236,[1]master_data!$A$2:$E$495,2,FALSE)</f>
        <v>PARROT</v>
      </c>
      <c r="E4236" s="5">
        <v>1</v>
      </c>
      <c r="F4236" s="5">
        <f>VLOOKUP(C4236,[1]master_data!$A$2:$E$495,3,FALSE)</f>
        <v>27000</v>
      </c>
      <c r="G4236" s="5">
        <f>VLOOKUP(C4236,[1]master_data!$A$2:$E$495,4,FALSE)</f>
        <v>60000</v>
      </c>
      <c r="H4236" s="5">
        <f t="shared" si="204"/>
        <v>27000</v>
      </c>
      <c r="I4236" s="5">
        <f t="shared" si="205"/>
        <v>60000</v>
      </c>
      <c r="J4236" s="5">
        <f t="shared" si="206"/>
        <v>33000</v>
      </c>
      <c r="K4236" s="5" t="str">
        <f>VLOOKUP(C4236,[1]master_data!$A$2:$E$495,5,FALSE)</f>
        <v>Ikan</v>
      </c>
      <c r="L4236" s="5" t="s">
        <v>471</v>
      </c>
    </row>
    <row r="4237" spans="1:12" ht="12" customHeight="1" x14ac:dyDescent="0.25">
      <c r="A4237" s="6">
        <v>44579</v>
      </c>
      <c r="B4237" s="1">
        <v>2200326</v>
      </c>
      <c r="C4237" s="5" t="s">
        <v>445</v>
      </c>
      <c r="D4237" s="5" t="str">
        <f>VLOOKUP(C4237,[1]master_data!$A$2:$E$495,2,FALSE)</f>
        <v>PESO</v>
      </c>
      <c r="E4237" s="5">
        <v>1</v>
      </c>
      <c r="F4237" s="5">
        <f>VLOOKUP(C4237,[1]master_data!$A$2:$E$495,3,FALSE)</f>
        <v>19000</v>
      </c>
      <c r="G4237" s="5">
        <f>VLOOKUP(C4237,[1]master_data!$A$2:$E$495,4,FALSE)</f>
        <v>40000</v>
      </c>
      <c r="H4237" s="5">
        <f t="shared" si="204"/>
        <v>19000</v>
      </c>
      <c r="I4237" s="5">
        <f t="shared" si="205"/>
        <v>40000</v>
      </c>
      <c r="J4237" s="5">
        <f t="shared" si="206"/>
        <v>21000</v>
      </c>
      <c r="K4237" s="5" t="str">
        <f>VLOOKUP(C4237,[1]master_data!$A$2:$E$495,5,FALSE)</f>
        <v>Ikan</v>
      </c>
      <c r="L4237" s="5" t="s">
        <v>471</v>
      </c>
    </row>
    <row r="4238" spans="1:12" ht="12" customHeight="1" x14ac:dyDescent="0.25">
      <c r="A4238" s="6">
        <v>44579</v>
      </c>
      <c r="B4238" s="1">
        <v>2200325</v>
      </c>
      <c r="C4238" s="5" t="s">
        <v>440</v>
      </c>
      <c r="D4238" s="5" t="str">
        <f>VLOOKUP(C4238,[1]master_data!$A$2:$E$495,2,FALSE)</f>
        <v>OSCAR</v>
      </c>
      <c r="E4238" s="5">
        <v>1</v>
      </c>
      <c r="F4238" s="5">
        <f>VLOOKUP(C4238,[1]master_data!$A$2:$E$495,3,FALSE)</f>
        <v>25000</v>
      </c>
      <c r="G4238" s="5">
        <f>VLOOKUP(C4238,[1]master_data!$A$2:$E$495,4,FALSE)</f>
        <v>50000</v>
      </c>
      <c r="H4238" s="5">
        <f t="shared" si="204"/>
        <v>25000</v>
      </c>
      <c r="I4238" s="5">
        <f t="shared" si="205"/>
        <v>50000</v>
      </c>
      <c r="J4238" s="5">
        <f t="shared" si="206"/>
        <v>25000</v>
      </c>
      <c r="K4238" s="5" t="str">
        <f>VLOOKUP(C4238,[1]master_data!$A$2:$E$495,5,FALSE)</f>
        <v>Ikan</v>
      </c>
      <c r="L4238" s="5" t="s">
        <v>471</v>
      </c>
    </row>
    <row r="4239" spans="1:12" ht="12" customHeight="1" x14ac:dyDescent="0.25">
      <c r="A4239" s="6">
        <v>44579</v>
      </c>
      <c r="B4239" s="1">
        <v>2200324</v>
      </c>
      <c r="C4239" s="5" t="s">
        <v>285</v>
      </c>
      <c r="D4239" s="5" t="str">
        <f>VLOOKUP(C4239,[1]master_data!$A$2:$E$495,2,FALSE)</f>
        <v>KAPAS 4 LAPIS</v>
      </c>
      <c r="E4239" s="5">
        <v>1</v>
      </c>
      <c r="F4239" s="5">
        <f>VLOOKUP(C4239,[1]master_data!$A$2:$E$495,3,FALSE)</f>
        <v>6500</v>
      </c>
      <c r="G4239" s="5">
        <f>VLOOKUP(C4239,[1]master_data!$A$2:$E$495,4,FALSE)</f>
        <v>10000</v>
      </c>
      <c r="H4239" s="5">
        <f t="shared" si="204"/>
        <v>6500</v>
      </c>
      <c r="I4239" s="5">
        <f t="shared" si="205"/>
        <v>10000</v>
      </c>
      <c r="J4239" s="5">
        <f t="shared" si="206"/>
        <v>3500</v>
      </c>
      <c r="K4239" s="5" t="str">
        <f>VLOOKUP(C4239,[1]master_data!$A$2:$E$495,5,FALSE)</f>
        <v>Aksesoris</v>
      </c>
      <c r="L4239" s="5" t="s">
        <v>471</v>
      </c>
    </row>
    <row r="4240" spans="1:12" ht="12" customHeight="1" x14ac:dyDescent="0.25">
      <c r="A4240" s="6">
        <v>44579</v>
      </c>
      <c r="B4240" s="1">
        <v>2200323</v>
      </c>
      <c r="C4240" s="5" t="s">
        <v>397</v>
      </c>
      <c r="D4240" s="5" t="str">
        <f>VLOOKUP(C4240,[1]master_data!$A$2:$E$495,2,FALSE)</f>
        <v>ALIGATOR</v>
      </c>
      <c r="E4240" s="5">
        <v>1</v>
      </c>
      <c r="F4240" s="5">
        <f>VLOOKUP(C4240,[1]master_data!$A$2:$E$495,3,FALSE)</f>
        <v>17000</v>
      </c>
      <c r="G4240" s="5">
        <f>VLOOKUP(C4240,[1]master_data!$A$2:$E$495,4,FALSE)</f>
        <v>35000</v>
      </c>
      <c r="H4240" s="5">
        <f t="shared" si="204"/>
        <v>17000</v>
      </c>
      <c r="I4240" s="5">
        <f t="shared" si="205"/>
        <v>35000</v>
      </c>
      <c r="J4240" s="5">
        <f t="shared" si="206"/>
        <v>18000</v>
      </c>
      <c r="K4240" s="5" t="str">
        <f>VLOOKUP(C4240,[1]master_data!$A$2:$E$495,5,FALSE)</f>
        <v>Ikan</v>
      </c>
      <c r="L4240" s="5" t="s">
        <v>471</v>
      </c>
    </row>
    <row r="4241" spans="1:12" ht="12" customHeight="1" x14ac:dyDescent="0.25">
      <c r="A4241" s="6">
        <v>44579</v>
      </c>
      <c r="B4241" s="1">
        <v>2200322</v>
      </c>
      <c r="C4241" s="5" t="s">
        <v>294</v>
      </c>
      <c r="D4241" s="5" t="str">
        <f>VLOOKUP(C4241,[1]master_data!$A$2:$E$495,2,FALSE)</f>
        <v>LEM SEALANT</v>
      </c>
      <c r="E4241" s="5">
        <v>1</v>
      </c>
      <c r="F4241" s="5">
        <f>VLOOKUP(C4241,[1]master_data!$A$2:$E$495,3,FALSE)</f>
        <v>7000</v>
      </c>
      <c r="G4241" s="5">
        <f>VLOOKUP(C4241,[1]master_data!$A$2:$E$495,4,FALSE)</f>
        <v>10000</v>
      </c>
      <c r="H4241" s="5">
        <f t="shared" si="204"/>
        <v>7000</v>
      </c>
      <c r="I4241" s="5">
        <f t="shared" si="205"/>
        <v>10000</v>
      </c>
      <c r="J4241" s="5">
        <f t="shared" si="206"/>
        <v>3000</v>
      </c>
      <c r="K4241" s="5" t="str">
        <f>VLOOKUP(C4241,[1]master_data!$A$2:$E$495,5,FALSE)</f>
        <v>Aksesoris</v>
      </c>
      <c r="L4241" s="5" t="s">
        <v>471</v>
      </c>
    </row>
    <row r="4242" spans="1:12" ht="12" customHeight="1" x14ac:dyDescent="0.25">
      <c r="A4242" s="6">
        <v>44579</v>
      </c>
      <c r="B4242" s="1">
        <v>2200321</v>
      </c>
      <c r="C4242" s="5" t="s">
        <v>288</v>
      </c>
      <c r="D4242" s="5" t="str">
        <f>VLOOKUP(C4242,[1]master_data!$A$2:$E$495,2,FALSE)</f>
        <v>JARING 8</v>
      </c>
      <c r="E4242" s="5">
        <v>1</v>
      </c>
      <c r="F4242" s="5">
        <f>VLOOKUP(C4242,[1]master_data!$A$2:$E$495,3,FALSE)</f>
        <v>3000</v>
      </c>
      <c r="G4242" s="5">
        <f>VLOOKUP(C4242,[1]master_data!$A$2:$E$495,4,FALSE)</f>
        <v>5000</v>
      </c>
      <c r="H4242" s="5">
        <f t="shared" si="204"/>
        <v>3000</v>
      </c>
      <c r="I4242" s="5">
        <f t="shared" si="205"/>
        <v>5000</v>
      </c>
      <c r="J4242" s="5">
        <f t="shared" si="206"/>
        <v>2000</v>
      </c>
      <c r="K4242" s="5" t="str">
        <f>VLOOKUP(C4242,[1]master_data!$A$2:$E$495,5,FALSE)</f>
        <v>Aksesoris</v>
      </c>
      <c r="L4242" s="5" t="s">
        <v>471</v>
      </c>
    </row>
    <row r="4243" spans="1:12" ht="12" customHeight="1" x14ac:dyDescent="0.25">
      <c r="A4243" s="6">
        <v>44579</v>
      </c>
      <c r="B4243" s="1">
        <v>2200320</v>
      </c>
      <c r="C4243" s="5" t="s">
        <v>313</v>
      </c>
      <c r="D4243" s="5" t="str">
        <f>VLOOKUP(C4243,[1]master_data!$A$2:$E$495,2,FALSE)</f>
        <v>LURUS PIPA</v>
      </c>
      <c r="E4243" s="5">
        <v>10</v>
      </c>
      <c r="F4243" s="5">
        <f>VLOOKUP(C4243,[1]master_data!$A$2:$E$495,3,FALSE)</f>
        <v>800</v>
      </c>
      <c r="G4243" s="5">
        <f>VLOOKUP(C4243,[1]master_data!$A$2:$E$495,4,FALSE)</f>
        <v>2000</v>
      </c>
      <c r="H4243" s="5">
        <f t="shared" si="204"/>
        <v>8000</v>
      </c>
      <c r="I4243" s="5">
        <f t="shared" si="205"/>
        <v>20000</v>
      </c>
      <c r="J4243" s="5">
        <f t="shared" si="206"/>
        <v>12000</v>
      </c>
      <c r="K4243" s="5" t="str">
        <f>VLOOKUP(C4243,[1]master_data!$A$2:$E$495,5,FALSE)</f>
        <v>Aksesoris</v>
      </c>
      <c r="L4243" s="5" t="s">
        <v>471</v>
      </c>
    </row>
    <row r="4244" spans="1:12" ht="12" customHeight="1" x14ac:dyDescent="0.25">
      <c r="A4244" s="6">
        <v>44579</v>
      </c>
      <c r="B4244" s="1">
        <v>2200319</v>
      </c>
      <c r="C4244" s="5" t="s">
        <v>198</v>
      </c>
      <c r="D4244" s="5" t="str">
        <f>VLOOKUP(C4244,[1]master_data!$A$2:$E$495,2,FALSE)</f>
        <v>AKARI PREMIUM BLUE</v>
      </c>
      <c r="E4244" s="5">
        <v>1</v>
      </c>
      <c r="F4244" s="5">
        <f>VLOOKUP(C4244,[1]master_data!$A$2:$E$495,3,FALSE)</f>
        <v>37000</v>
      </c>
      <c r="G4244" s="5">
        <f>VLOOKUP(C4244,[1]master_data!$A$2:$E$495,4,FALSE)</f>
        <v>50000</v>
      </c>
      <c r="H4244" s="5">
        <f t="shared" si="204"/>
        <v>37000</v>
      </c>
      <c r="I4244" s="5">
        <f t="shared" si="205"/>
        <v>50000</v>
      </c>
      <c r="J4244" s="5">
        <f t="shared" si="206"/>
        <v>13000</v>
      </c>
      <c r="K4244" s="5" t="str">
        <f>VLOOKUP(C4244,[1]master_data!$A$2:$E$495,5,FALSE)</f>
        <v>Aksesoris</v>
      </c>
      <c r="L4244" s="5" t="s">
        <v>471</v>
      </c>
    </row>
    <row r="4245" spans="1:12" ht="12" customHeight="1" x14ac:dyDescent="0.25">
      <c r="A4245" s="6">
        <v>44579</v>
      </c>
      <c r="B4245" s="1">
        <v>2200318</v>
      </c>
      <c r="C4245" s="5" t="s">
        <v>447</v>
      </c>
      <c r="D4245" s="5" t="str">
        <f>VLOOKUP(C4245,[1]master_data!$A$2:$E$495,2,FALSE)</f>
        <v>REDFIN ALBINO</v>
      </c>
      <c r="E4245" s="5">
        <v>5</v>
      </c>
      <c r="F4245" s="5">
        <f>VLOOKUP(C4245,[1]master_data!$A$2:$E$495,3,FALSE)</f>
        <v>1500</v>
      </c>
      <c r="G4245" s="5">
        <f>VLOOKUP(C4245,[1]master_data!$A$2:$E$495,4,FALSE)</f>
        <v>4000</v>
      </c>
      <c r="H4245" s="5">
        <f t="shared" si="204"/>
        <v>7500</v>
      </c>
      <c r="I4245" s="5">
        <f t="shared" si="205"/>
        <v>20000</v>
      </c>
      <c r="J4245" s="5">
        <f t="shared" si="206"/>
        <v>12500</v>
      </c>
      <c r="K4245" s="5" t="str">
        <f>VLOOKUP(C4245,[1]master_data!$A$2:$E$495,5,FALSE)</f>
        <v>Ikan</v>
      </c>
      <c r="L4245" s="5" t="s">
        <v>471</v>
      </c>
    </row>
    <row r="4246" spans="1:12" ht="12" customHeight="1" x14ac:dyDescent="0.25">
      <c r="A4246" s="6">
        <v>44579</v>
      </c>
      <c r="B4246" s="1">
        <v>2200317</v>
      </c>
      <c r="C4246" s="5" t="s">
        <v>451</v>
      </c>
      <c r="D4246" s="5" t="str">
        <f>VLOOKUP(C4246,[1]master_data!$A$2:$E$495,2,FALSE)</f>
        <v>SUMATRA GOLD FISH</v>
      </c>
      <c r="E4246" s="5">
        <v>12</v>
      </c>
      <c r="F4246" s="5">
        <f>VLOOKUP(C4246,[1]master_data!$A$2:$E$495,3,FALSE)</f>
        <v>2500</v>
      </c>
      <c r="G4246" s="5">
        <f>VLOOKUP(C4246,[1]master_data!$A$2:$E$495,4,FALSE)</f>
        <v>4000</v>
      </c>
      <c r="H4246" s="5">
        <f t="shared" si="204"/>
        <v>30000</v>
      </c>
      <c r="I4246" s="5">
        <f t="shared" si="205"/>
        <v>48000</v>
      </c>
      <c r="J4246" s="5">
        <f t="shared" si="206"/>
        <v>18000</v>
      </c>
      <c r="K4246" s="5" t="str">
        <f>VLOOKUP(C4246,[1]master_data!$A$2:$E$495,5,FALSE)</f>
        <v>Ikan</v>
      </c>
      <c r="L4246" s="5" t="s">
        <v>471</v>
      </c>
    </row>
    <row r="4247" spans="1:12" ht="12" customHeight="1" x14ac:dyDescent="0.25">
      <c r="A4247" s="6">
        <v>44579</v>
      </c>
      <c r="B4247" s="1">
        <v>2200316</v>
      </c>
      <c r="C4247" s="5" t="s">
        <v>456</v>
      </c>
      <c r="D4247" s="5" t="str">
        <f>VLOOKUP(C4247,[1]master_data!$A$2:$E$495,2,FALSE)</f>
        <v>TOMAN</v>
      </c>
      <c r="E4247" s="5">
        <v>1</v>
      </c>
      <c r="F4247" s="5">
        <f>VLOOKUP(C4247,[1]master_data!$A$2:$E$495,3,FALSE)</f>
        <v>10000</v>
      </c>
      <c r="G4247" s="5">
        <f>VLOOKUP(C4247,[1]master_data!$A$2:$E$495,4,FALSE)</f>
        <v>25000</v>
      </c>
      <c r="H4247" s="5">
        <f t="shared" si="204"/>
        <v>10000</v>
      </c>
      <c r="I4247" s="5">
        <f t="shared" si="205"/>
        <v>25000</v>
      </c>
      <c r="J4247" s="5">
        <f t="shared" si="206"/>
        <v>15000</v>
      </c>
      <c r="K4247" s="5" t="str">
        <f>VLOOKUP(C4247,[1]master_data!$A$2:$E$495,5,FALSE)</f>
        <v>Ikan</v>
      </c>
      <c r="L4247" s="5" t="s">
        <v>471</v>
      </c>
    </row>
    <row r="4248" spans="1:12" ht="12" customHeight="1" x14ac:dyDescent="0.25">
      <c r="A4248" s="6">
        <v>44579</v>
      </c>
      <c r="B4248" s="1">
        <v>2200315</v>
      </c>
      <c r="C4248" s="5" t="s">
        <v>400</v>
      </c>
      <c r="D4248" s="5" t="str">
        <f>VLOOKUP(C4248,[1]master_data!$A$2:$E$495,2,FALSE)</f>
        <v>BALA BALA K</v>
      </c>
      <c r="E4248" s="5">
        <v>2</v>
      </c>
      <c r="F4248" s="5">
        <f>VLOOKUP(C4248,[1]master_data!$A$2:$E$495,3,FALSE)</f>
        <v>4000</v>
      </c>
      <c r="G4248" s="5">
        <f>VLOOKUP(C4248,[1]master_data!$A$2:$E$495,4,FALSE)</f>
        <v>8000</v>
      </c>
      <c r="H4248" s="5">
        <f t="shared" si="204"/>
        <v>8000</v>
      </c>
      <c r="I4248" s="5">
        <f t="shared" si="205"/>
        <v>16000</v>
      </c>
      <c r="J4248" s="5">
        <f t="shared" si="206"/>
        <v>8000</v>
      </c>
      <c r="K4248" s="5" t="str">
        <f>VLOOKUP(C4248,[1]master_data!$A$2:$E$495,5,FALSE)</f>
        <v>Ikan</v>
      </c>
      <c r="L4248" s="5" t="s">
        <v>471</v>
      </c>
    </row>
    <row r="4249" spans="1:12" ht="12" customHeight="1" x14ac:dyDescent="0.25">
      <c r="A4249" s="6">
        <v>44579</v>
      </c>
      <c r="B4249" s="1">
        <v>2200314</v>
      </c>
      <c r="C4249" s="5" t="s">
        <v>435</v>
      </c>
      <c r="D4249" s="5" t="str">
        <f>VLOOKUP(C4249,[1]master_data!$A$2:$E$495,2,FALSE)</f>
        <v>MOLI BALON</v>
      </c>
      <c r="E4249" s="5">
        <v>10</v>
      </c>
      <c r="F4249" s="5">
        <f>VLOOKUP(C4249,[1]master_data!$A$2:$E$495,3,FALSE)</f>
        <v>800</v>
      </c>
      <c r="G4249" s="5">
        <f>VLOOKUP(C4249,[1]master_data!$A$2:$E$495,4,FALSE)</f>
        <v>2000</v>
      </c>
      <c r="H4249" s="5">
        <f t="shared" si="204"/>
        <v>8000</v>
      </c>
      <c r="I4249" s="5">
        <f t="shared" si="205"/>
        <v>20000</v>
      </c>
      <c r="J4249" s="5">
        <f t="shared" si="206"/>
        <v>12000</v>
      </c>
      <c r="K4249" s="5" t="str">
        <f>VLOOKUP(C4249,[1]master_data!$A$2:$E$495,5,FALSE)</f>
        <v>Ikan</v>
      </c>
      <c r="L4249" s="5" t="s">
        <v>471</v>
      </c>
    </row>
    <row r="4250" spans="1:12" ht="12" customHeight="1" x14ac:dyDescent="0.25">
      <c r="A4250" s="6">
        <v>44579</v>
      </c>
      <c r="B4250" s="1">
        <v>2200313</v>
      </c>
      <c r="C4250" s="5" t="s">
        <v>446</v>
      </c>
      <c r="D4250" s="5" t="str">
        <f>VLOOKUP(C4250,[1]master_data!$A$2:$E$495,2,FALSE)</f>
        <v>REDFIN HITAM</v>
      </c>
      <c r="E4250" s="5">
        <v>3</v>
      </c>
      <c r="F4250" s="5">
        <f>VLOOKUP(C4250,[1]master_data!$A$2:$E$495,3,FALSE)</f>
        <v>1500</v>
      </c>
      <c r="G4250" s="5">
        <f>VLOOKUP(C4250,[1]master_data!$A$2:$E$495,4,FALSE)</f>
        <v>4000</v>
      </c>
      <c r="H4250" s="5">
        <f t="shared" si="204"/>
        <v>4500</v>
      </c>
      <c r="I4250" s="5">
        <f t="shared" si="205"/>
        <v>12000</v>
      </c>
      <c r="J4250" s="5">
        <f t="shared" si="206"/>
        <v>7500</v>
      </c>
      <c r="K4250" s="5" t="str">
        <f>VLOOKUP(C4250,[1]master_data!$A$2:$E$495,5,FALSE)</f>
        <v>Ikan</v>
      </c>
      <c r="L4250" s="5" t="s">
        <v>471</v>
      </c>
    </row>
    <row r="4251" spans="1:12" ht="12" customHeight="1" x14ac:dyDescent="0.25">
      <c r="A4251" s="6">
        <v>44579</v>
      </c>
      <c r="B4251" s="1">
        <v>2200312</v>
      </c>
      <c r="C4251" s="5" t="s">
        <v>233</v>
      </c>
      <c r="D4251" s="5" t="str">
        <f>VLOOKUP(C4251,[1]master_data!$A$2:$E$495,2,FALSE)</f>
        <v>FISH LOVE PAKAN</v>
      </c>
      <c r="E4251" s="5">
        <v>1</v>
      </c>
      <c r="F4251" s="5">
        <f>VLOOKUP(C4251,[1]master_data!$A$2:$E$495,3,FALSE)</f>
        <v>2500</v>
      </c>
      <c r="G4251" s="5">
        <f>VLOOKUP(C4251,[1]master_data!$A$2:$E$495,4,FALSE)</f>
        <v>5000</v>
      </c>
      <c r="H4251" s="5">
        <f t="shared" si="204"/>
        <v>2500</v>
      </c>
      <c r="I4251" s="5">
        <f t="shared" si="205"/>
        <v>5000</v>
      </c>
      <c r="J4251" s="5">
        <f t="shared" si="206"/>
        <v>2500</v>
      </c>
      <c r="K4251" s="5" t="str">
        <f>VLOOKUP(C4251,[1]master_data!$A$2:$E$495,5,FALSE)</f>
        <v>Aksesoris</v>
      </c>
      <c r="L4251" s="5" t="s">
        <v>471</v>
      </c>
    </row>
    <row r="4252" spans="1:12" ht="12" customHeight="1" x14ac:dyDescent="0.25">
      <c r="A4252" s="6">
        <v>44579</v>
      </c>
      <c r="B4252" s="1">
        <v>2200311</v>
      </c>
      <c r="C4252" s="5" t="s">
        <v>401</v>
      </c>
      <c r="D4252" s="5" t="str">
        <f>VLOOKUP(C4252,[1]master_data!$A$2:$E$495,2,FALSE)</f>
        <v>BALA BALA B</v>
      </c>
      <c r="E4252" s="5">
        <v>2</v>
      </c>
      <c r="F4252" s="5">
        <f>VLOOKUP(C4252,[1]master_data!$A$2:$E$495,3,FALSE)</f>
        <v>7000</v>
      </c>
      <c r="G4252" s="5">
        <f>VLOOKUP(C4252,[1]master_data!$A$2:$E$495,4,FALSE)</f>
        <v>15000</v>
      </c>
      <c r="H4252" s="5">
        <f t="shared" si="204"/>
        <v>14000</v>
      </c>
      <c r="I4252" s="5">
        <f t="shared" si="205"/>
        <v>30000</v>
      </c>
      <c r="J4252" s="5">
        <f t="shared" si="206"/>
        <v>16000</v>
      </c>
      <c r="K4252" s="5" t="str">
        <f>VLOOKUP(C4252,[1]master_data!$A$2:$E$495,5,FALSE)</f>
        <v>Ikan</v>
      </c>
      <c r="L4252" s="5" t="s">
        <v>471</v>
      </c>
    </row>
    <row r="4253" spans="1:12" ht="12" customHeight="1" x14ac:dyDescent="0.25">
      <c r="A4253" s="6">
        <v>44579</v>
      </c>
      <c r="B4253" s="1">
        <v>2200310</v>
      </c>
      <c r="C4253" s="5" t="s">
        <v>285</v>
      </c>
      <c r="D4253" s="5" t="str">
        <f>VLOOKUP(C4253,[1]master_data!$A$2:$E$495,2,FALSE)</f>
        <v>KAPAS 4 LAPIS</v>
      </c>
      <c r="E4253" s="5">
        <v>2</v>
      </c>
      <c r="F4253" s="5">
        <f>VLOOKUP(C4253,[1]master_data!$A$2:$E$495,3,FALSE)</f>
        <v>6500</v>
      </c>
      <c r="G4253" s="5">
        <f>VLOOKUP(C4253,[1]master_data!$A$2:$E$495,4,FALSE)</f>
        <v>10000</v>
      </c>
      <c r="H4253" s="5">
        <f t="shared" si="204"/>
        <v>13000</v>
      </c>
      <c r="I4253" s="5">
        <f t="shared" si="205"/>
        <v>20000</v>
      </c>
      <c r="J4253" s="5">
        <f t="shared" si="206"/>
        <v>7000</v>
      </c>
      <c r="K4253" s="5" t="str">
        <f>VLOOKUP(C4253,[1]master_data!$A$2:$E$495,5,FALSE)</f>
        <v>Aksesoris</v>
      </c>
      <c r="L4253" s="5" t="s">
        <v>471</v>
      </c>
    </row>
    <row r="4254" spans="1:12" ht="12" customHeight="1" x14ac:dyDescent="0.25">
      <c r="A4254" s="6">
        <v>44579</v>
      </c>
      <c r="B4254" s="1">
        <v>2200309</v>
      </c>
      <c r="C4254" s="5" t="s">
        <v>310</v>
      </c>
      <c r="D4254" s="5" t="str">
        <f>VLOOKUP(C4254,[1]master_data!$A$2:$E$495,2,FALSE)</f>
        <v>SELANG FUSO</v>
      </c>
      <c r="E4254" s="5">
        <v>10</v>
      </c>
      <c r="F4254" s="5">
        <f>VLOOKUP(C4254,[1]master_data!$A$2:$E$495,3,FALSE)</f>
        <v>800</v>
      </c>
      <c r="G4254" s="5">
        <f>VLOOKUP(C4254,[1]master_data!$A$2:$E$495,4,FALSE)</f>
        <v>2000</v>
      </c>
      <c r="H4254" s="5">
        <f t="shared" si="204"/>
        <v>8000</v>
      </c>
      <c r="I4254" s="5">
        <f t="shared" si="205"/>
        <v>20000</v>
      </c>
      <c r="J4254" s="5">
        <f t="shared" si="206"/>
        <v>12000</v>
      </c>
      <c r="K4254" s="5" t="str">
        <f>VLOOKUP(C4254,[1]master_data!$A$2:$E$495,5,FALSE)</f>
        <v>Aksesoris</v>
      </c>
      <c r="L4254" s="5" t="s">
        <v>471</v>
      </c>
    </row>
    <row r="4255" spans="1:12" ht="12" customHeight="1" x14ac:dyDescent="0.25">
      <c r="A4255" s="6">
        <v>44578</v>
      </c>
      <c r="B4255" s="1">
        <v>2200308</v>
      </c>
      <c r="C4255" s="5" t="s">
        <v>116</v>
      </c>
      <c r="D4255" s="5" t="str">
        <f>VLOOKUP(C4255,[1]master_data!$A$2:$E$495,2,FALSE)</f>
        <v>LED VOSSO 30 CM</v>
      </c>
      <c r="E4255" s="5">
        <v>1</v>
      </c>
      <c r="F4255" s="5">
        <f>VLOOKUP(C4255,[1]master_data!$A$2:$E$495,3,FALSE)</f>
        <v>21000</v>
      </c>
      <c r="G4255" s="5">
        <f>VLOOKUP(C4255,[1]master_data!$A$2:$E$495,4,FALSE)</f>
        <v>35000</v>
      </c>
      <c r="H4255" s="5">
        <f t="shared" si="204"/>
        <v>21000</v>
      </c>
      <c r="I4255" s="5">
        <f t="shared" si="205"/>
        <v>35000</v>
      </c>
      <c r="J4255" s="5">
        <f t="shared" si="206"/>
        <v>14000</v>
      </c>
      <c r="K4255" s="5" t="str">
        <f>VLOOKUP(C4255,[1]master_data!$A$2:$E$495,5,FALSE)</f>
        <v>Aksesoris</v>
      </c>
      <c r="L4255" s="5" t="s">
        <v>471</v>
      </c>
    </row>
    <row r="4256" spans="1:12" ht="12" customHeight="1" x14ac:dyDescent="0.25">
      <c r="A4256" s="6">
        <v>44578</v>
      </c>
      <c r="B4256" s="1">
        <v>2200307</v>
      </c>
      <c r="C4256" s="5" t="s">
        <v>310</v>
      </c>
      <c r="D4256" s="5" t="str">
        <f>VLOOKUP(C4256,[1]master_data!$A$2:$E$495,2,FALSE)</f>
        <v>SELANG FUSO</v>
      </c>
      <c r="E4256" s="5">
        <v>2</v>
      </c>
      <c r="F4256" s="5">
        <f>VLOOKUP(C4256,[1]master_data!$A$2:$E$495,3,FALSE)</f>
        <v>800</v>
      </c>
      <c r="G4256" s="5">
        <f>VLOOKUP(C4256,[1]master_data!$A$2:$E$495,4,FALSE)</f>
        <v>2000</v>
      </c>
      <c r="H4256" s="5">
        <f t="shared" si="204"/>
        <v>1600</v>
      </c>
      <c r="I4256" s="5">
        <f t="shared" si="205"/>
        <v>4000</v>
      </c>
      <c r="J4256" s="5">
        <f t="shared" si="206"/>
        <v>2400</v>
      </c>
      <c r="K4256" s="5" t="str">
        <f>VLOOKUP(C4256,[1]master_data!$A$2:$E$495,5,FALSE)</f>
        <v>Aksesoris</v>
      </c>
      <c r="L4256" s="5" t="s">
        <v>471</v>
      </c>
    </row>
    <row r="4257" spans="1:12" ht="12" customHeight="1" x14ac:dyDescent="0.25">
      <c r="A4257" s="6">
        <v>44578</v>
      </c>
      <c r="B4257" s="1">
        <v>2200306</v>
      </c>
      <c r="C4257" s="5" t="s">
        <v>419</v>
      </c>
      <c r="D4257" s="5" t="str">
        <f>VLOOKUP(C4257,[1]master_data!$A$2:$E$495,2,FALSE)</f>
        <v>KURA - KURA</v>
      </c>
      <c r="E4257" s="5">
        <v>1</v>
      </c>
      <c r="F4257" s="5">
        <f>VLOOKUP(C4257,[1]master_data!$A$2:$E$495,3,FALSE)</f>
        <v>25000</v>
      </c>
      <c r="G4257" s="5">
        <f>VLOOKUP(C4257,[1]master_data!$A$2:$E$495,4,FALSE)</f>
        <v>35000</v>
      </c>
      <c r="H4257" s="5">
        <f t="shared" si="204"/>
        <v>25000</v>
      </c>
      <c r="I4257" s="5">
        <f t="shared" si="205"/>
        <v>35000</v>
      </c>
      <c r="J4257" s="5">
        <f t="shared" si="206"/>
        <v>10000</v>
      </c>
      <c r="K4257" s="5" t="str">
        <f>VLOOKUP(C4257,[1]master_data!$A$2:$E$495,5,FALSE)</f>
        <v>Ikan</v>
      </c>
      <c r="L4257" s="5" t="s">
        <v>471</v>
      </c>
    </row>
    <row r="4258" spans="1:12" ht="12" customHeight="1" x14ac:dyDescent="0.25">
      <c r="A4258" s="6">
        <v>44578</v>
      </c>
      <c r="B4258" s="1">
        <v>2200305</v>
      </c>
      <c r="C4258" s="5" t="s">
        <v>419</v>
      </c>
      <c r="D4258" s="5" t="str">
        <f>VLOOKUP(C4258,[1]master_data!$A$2:$E$495,2,FALSE)</f>
        <v>KURA - KURA</v>
      </c>
      <c r="E4258" s="5">
        <v>1</v>
      </c>
      <c r="F4258" s="5">
        <f>VLOOKUP(C4258,[1]master_data!$A$2:$E$495,3,FALSE)</f>
        <v>25000</v>
      </c>
      <c r="G4258" s="5">
        <f>VLOOKUP(C4258,[1]master_data!$A$2:$E$495,4,FALSE)</f>
        <v>35000</v>
      </c>
      <c r="H4258" s="5">
        <f t="shared" si="204"/>
        <v>25000</v>
      </c>
      <c r="I4258" s="5">
        <f t="shared" si="205"/>
        <v>35000</v>
      </c>
      <c r="J4258" s="5">
        <f t="shared" si="206"/>
        <v>10000</v>
      </c>
      <c r="K4258" s="5" t="str">
        <f>VLOOKUP(C4258,[1]master_data!$A$2:$E$495,5,FALSE)</f>
        <v>Ikan</v>
      </c>
      <c r="L4258" s="5" t="s">
        <v>471</v>
      </c>
    </row>
    <row r="4259" spans="1:12" ht="12" customHeight="1" x14ac:dyDescent="0.25">
      <c r="A4259" s="6">
        <v>44578</v>
      </c>
      <c r="B4259" s="1">
        <v>2200304</v>
      </c>
      <c r="C4259" s="5" t="s">
        <v>310</v>
      </c>
      <c r="D4259" s="5" t="str">
        <f>VLOOKUP(C4259,[1]master_data!$A$2:$E$495,2,FALSE)</f>
        <v>SELANG FUSO</v>
      </c>
      <c r="E4259" s="5">
        <v>2</v>
      </c>
      <c r="F4259" s="5">
        <f>VLOOKUP(C4259,[1]master_data!$A$2:$E$495,3,FALSE)</f>
        <v>800</v>
      </c>
      <c r="G4259" s="5">
        <f>VLOOKUP(C4259,[1]master_data!$A$2:$E$495,4,FALSE)</f>
        <v>2000</v>
      </c>
      <c r="H4259" s="5">
        <f t="shared" si="204"/>
        <v>1600</v>
      </c>
      <c r="I4259" s="5">
        <f t="shared" si="205"/>
        <v>4000</v>
      </c>
      <c r="J4259" s="5">
        <f t="shared" si="206"/>
        <v>2400</v>
      </c>
      <c r="K4259" s="5" t="str">
        <f>VLOOKUP(C4259,[1]master_data!$A$2:$E$495,5,FALSE)</f>
        <v>Aksesoris</v>
      </c>
      <c r="L4259" s="5" t="s">
        <v>471</v>
      </c>
    </row>
    <row r="4260" spans="1:12" ht="12" customHeight="1" x14ac:dyDescent="0.25">
      <c r="A4260" s="6">
        <v>44578</v>
      </c>
      <c r="B4260" s="1">
        <v>2200303</v>
      </c>
      <c r="C4260" s="5" t="s">
        <v>428</v>
      </c>
      <c r="D4260" s="5" t="str">
        <f>VLOOKUP(C4260,[1]master_data!$A$2:$E$495,2,FALSE)</f>
        <v>LOUHAN</v>
      </c>
      <c r="E4260" s="5">
        <v>1</v>
      </c>
      <c r="F4260" s="5">
        <f>VLOOKUP(C4260,[1]master_data!$A$2:$E$495,3,FALSE)</f>
        <v>85000</v>
      </c>
      <c r="G4260" s="5">
        <f>VLOOKUP(C4260,[1]master_data!$A$2:$E$495,4,FALSE)</f>
        <v>200000</v>
      </c>
      <c r="H4260" s="5">
        <f t="shared" si="204"/>
        <v>85000</v>
      </c>
      <c r="I4260" s="5">
        <f t="shared" si="205"/>
        <v>200000</v>
      </c>
      <c r="J4260" s="5">
        <f t="shared" si="206"/>
        <v>115000</v>
      </c>
      <c r="K4260" s="5" t="str">
        <f>VLOOKUP(C4260,[1]master_data!$A$2:$E$495,5,FALSE)</f>
        <v>Ikan</v>
      </c>
      <c r="L4260" s="5" t="s">
        <v>471</v>
      </c>
    </row>
    <row r="4261" spans="1:12" ht="12" customHeight="1" x14ac:dyDescent="0.25">
      <c r="A4261" s="6">
        <v>44578</v>
      </c>
      <c r="B4261" s="1">
        <v>2200302</v>
      </c>
      <c r="C4261" s="5" t="s">
        <v>310</v>
      </c>
      <c r="D4261" s="5" t="str">
        <f>VLOOKUP(C4261,[1]master_data!$A$2:$E$495,2,FALSE)</f>
        <v>SELANG FUSO</v>
      </c>
      <c r="E4261" s="5">
        <v>5</v>
      </c>
      <c r="F4261" s="5">
        <f>VLOOKUP(C4261,[1]master_data!$A$2:$E$495,3,FALSE)</f>
        <v>800</v>
      </c>
      <c r="G4261" s="5">
        <f>VLOOKUP(C4261,[1]master_data!$A$2:$E$495,4,FALSE)</f>
        <v>2000</v>
      </c>
      <c r="H4261" s="5">
        <f t="shared" si="204"/>
        <v>4000</v>
      </c>
      <c r="I4261" s="5">
        <f t="shared" si="205"/>
        <v>10000</v>
      </c>
      <c r="J4261" s="5">
        <f t="shared" si="206"/>
        <v>6000</v>
      </c>
      <c r="K4261" s="5" t="str">
        <f>VLOOKUP(C4261,[1]master_data!$A$2:$E$495,5,FALSE)</f>
        <v>Aksesoris</v>
      </c>
      <c r="L4261" s="5" t="s">
        <v>471</v>
      </c>
    </row>
    <row r="4262" spans="1:12" ht="12" customHeight="1" x14ac:dyDescent="0.25">
      <c r="A4262" s="6">
        <v>44578</v>
      </c>
      <c r="B4262" s="1">
        <v>2200301</v>
      </c>
      <c r="C4262" s="5" t="s">
        <v>430</v>
      </c>
      <c r="D4262" s="5" t="str">
        <f>VLOOKUP(C4262,[1]master_data!$A$2:$E$495,2,FALSE)</f>
        <v>MANFISH K</v>
      </c>
      <c r="E4262" s="5">
        <v>4</v>
      </c>
      <c r="F4262" s="5">
        <f>VLOOKUP(C4262,[1]master_data!$A$2:$E$495,3,FALSE)</f>
        <v>2000</v>
      </c>
      <c r="G4262" s="5">
        <f>VLOOKUP(C4262,[1]master_data!$A$2:$E$495,4,FALSE)</f>
        <v>5000</v>
      </c>
      <c r="H4262" s="5">
        <f t="shared" si="204"/>
        <v>8000</v>
      </c>
      <c r="I4262" s="5">
        <f t="shared" si="205"/>
        <v>20000</v>
      </c>
      <c r="J4262" s="5">
        <f t="shared" si="206"/>
        <v>12000</v>
      </c>
      <c r="K4262" s="5" t="str">
        <f>VLOOKUP(C4262,[1]master_data!$A$2:$E$495,5,FALSE)</f>
        <v>Ikan</v>
      </c>
      <c r="L4262" s="5" t="s">
        <v>471</v>
      </c>
    </row>
    <row r="4263" spans="1:12" ht="12" customHeight="1" x14ac:dyDescent="0.25">
      <c r="A4263" s="6">
        <v>44578</v>
      </c>
      <c r="B4263" s="1">
        <v>2200300</v>
      </c>
      <c r="C4263" s="5" t="s">
        <v>409</v>
      </c>
      <c r="D4263" s="5" t="str">
        <f>VLOOKUP(C4263,[1]master_data!$A$2:$E$495,2,FALSE)</f>
        <v>GOLD FISH</v>
      </c>
      <c r="E4263" s="5">
        <v>10</v>
      </c>
      <c r="F4263" s="5">
        <f>VLOOKUP(C4263,[1]master_data!$A$2:$E$495,3,FALSE)</f>
        <v>800</v>
      </c>
      <c r="G4263" s="5">
        <f>VLOOKUP(C4263,[1]master_data!$A$2:$E$495,4,FALSE)</f>
        <v>2000</v>
      </c>
      <c r="H4263" s="5">
        <f t="shared" si="204"/>
        <v>8000</v>
      </c>
      <c r="I4263" s="5">
        <f t="shared" si="205"/>
        <v>20000</v>
      </c>
      <c r="J4263" s="5">
        <f t="shared" si="206"/>
        <v>12000</v>
      </c>
      <c r="K4263" s="5" t="str">
        <f>VLOOKUP(C4263,[1]master_data!$A$2:$E$495,5,FALSE)</f>
        <v>Ikan</v>
      </c>
      <c r="L4263" s="5" t="s">
        <v>471</v>
      </c>
    </row>
    <row r="4264" spans="1:12" ht="12" customHeight="1" x14ac:dyDescent="0.25">
      <c r="A4264" s="6">
        <v>44578</v>
      </c>
      <c r="B4264" s="1">
        <v>2200299</v>
      </c>
      <c r="C4264" s="5" t="s">
        <v>448</v>
      </c>
      <c r="D4264" s="5" t="str">
        <f>VLOOKUP(C4264,[1]master_data!$A$2:$E$495,2,FALSE)</f>
        <v xml:space="preserve"> CHANNA RED BARITO K</v>
      </c>
      <c r="E4264" s="5">
        <v>1</v>
      </c>
      <c r="F4264" s="5">
        <f>VLOOKUP(C4264,[1]master_data!$A$2:$E$495,3,FALSE)</f>
        <v>45000</v>
      </c>
      <c r="G4264" s="5">
        <f>VLOOKUP(C4264,[1]master_data!$A$2:$E$495,4,FALSE)</f>
        <v>100000</v>
      </c>
      <c r="H4264" s="5">
        <f t="shared" si="204"/>
        <v>45000</v>
      </c>
      <c r="I4264" s="5">
        <f t="shared" si="205"/>
        <v>100000</v>
      </c>
      <c r="J4264" s="5">
        <f t="shared" si="206"/>
        <v>55000</v>
      </c>
      <c r="K4264" s="5" t="str">
        <f>VLOOKUP(C4264,[1]master_data!$A$2:$E$495,5,FALSE)</f>
        <v>Ikan</v>
      </c>
      <c r="L4264" s="5" t="s">
        <v>471</v>
      </c>
    </row>
    <row r="4265" spans="1:12" ht="12" customHeight="1" x14ac:dyDescent="0.25">
      <c r="A4265" s="6">
        <v>44578</v>
      </c>
      <c r="B4265" s="1">
        <v>2200298</v>
      </c>
      <c r="C4265" s="5" t="s">
        <v>113</v>
      </c>
      <c r="D4265" s="5" t="str">
        <f>VLOOKUP(C4265,[1]master_data!$A$2:$E$495,2,FALSE)</f>
        <v>LED VOSSO 20 CM</v>
      </c>
      <c r="E4265" s="5">
        <v>1</v>
      </c>
      <c r="F4265" s="5">
        <f>VLOOKUP(C4265,[1]master_data!$A$2:$E$495,3,FALSE)</f>
        <v>20000</v>
      </c>
      <c r="G4265" s="5">
        <f>VLOOKUP(C4265,[1]master_data!$A$2:$E$495,4,FALSE)</f>
        <v>30000</v>
      </c>
      <c r="H4265" s="5">
        <f t="shared" si="204"/>
        <v>20000</v>
      </c>
      <c r="I4265" s="5">
        <f t="shared" si="205"/>
        <v>30000</v>
      </c>
      <c r="J4265" s="5">
        <f t="shared" si="206"/>
        <v>10000</v>
      </c>
      <c r="K4265" s="5" t="str">
        <f>VLOOKUP(C4265,[1]master_data!$A$2:$E$495,5,FALSE)</f>
        <v>Aksesoris</v>
      </c>
      <c r="L4265" s="5" t="s">
        <v>471</v>
      </c>
    </row>
    <row r="4266" spans="1:12" ht="12" customHeight="1" x14ac:dyDescent="0.25">
      <c r="A4266" s="6">
        <v>44578</v>
      </c>
      <c r="B4266" s="1">
        <v>2200297</v>
      </c>
      <c r="C4266" s="5" t="s">
        <v>450</v>
      </c>
      <c r="D4266" s="5" t="str">
        <f>VLOOKUP(C4266,[1]master_data!$A$2:$E$495,2,FALSE)</f>
        <v>SUMATRA BIASA</v>
      </c>
      <c r="E4266" s="5">
        <v>10</v>
      </c>
      <c r="F4266" s="5">
        <f>VLOOKUP(C4266,[1]master_data!$A$2:$E$495,3,FALSE)</f>
        <v>800</v>
      </c>
      <c r="G4266" s="5">
        <f>VLOOKUP(C4266,[1]master_data!$A$2:$E$495,4,FALSE)</f>
        <v>2000</v>
      </c>
      <c r="H4266" s="5">
        <f t="shared" si="204"/>
        <v>8000</v>
      </c>
      <c r="I4266" s="5">
        <f t="shared" si="205"/>
        <v>20000</v>
      </c>
      <c r="J4266" s="5">
        <f t="shared" si="206"/>
        <v>12000</v>
      </c>
      <c r="K4266" s="5" t="str">
        <f>VLOOKUP(C4266,[1]master_data!$A$2:$E$495,5,FALSE)</f>
        <v>Ikan</v>
      </c>
      <c r="L4266" s="5" t="s">
        <v>471</v>
      </c>
    </row>
    <row r="4267" spans="1:12" ht="12" customHeight="1" x14ac:dyDescent="0.25">
      <c r="A4267" s="6">
        <v>44578</v>
      </c>
      <c r="B4267" s="1">
        <v>2200296</v>
      </c>
      <c r="C4267" s="5" t="s">
        <v>214</v>
      </c>
      <c r="D4267" s="5" t="str">
        <f>VLOOKUP(C4267,[1]master_data!$A$2:$E$495,2,FALSE)</f>
        <v>ARTEMIA SUPREME PLUS</v>
      </c>
      <c r="E4267" s="5">
        <v>1</v>
      </c>
      <c r="F4267" s="5">
        <f>VLOOKUP(C4267,[1]master_data!$A$2:$E$495,3,FALSE)</f>
        <v>14500</v>
      </c>
      <c r="G4267" s="5">
        <f>VLOOKUP(C4267,[1]master_data!$A$2:$E$495,4,FALSE)</f>
        <v>25000</v>
      </c>
      <c r="H4267" s="5">
        <f t="shared" si="204"/>
        <v>14500</v>
      </c>
      <c r="I4267" s="5">
        <f t="shared" si="205"/>
        <v>25000</v>
      </c>
      <c r="J4267" s="5">
        <f t="shared" si="206"/>
        <v>10500</v>
      </c>
      <c r="K4267" s="5" t="str">
        <f>VLOOKUP(C4267,[1]master_data!$A$2:$E$495,5,FALSE)</f>
        <v>Aksesoris</v>
      </c>
      <c r="L4267" s="5" t="s">
        <v>471</v>
      </c>
    </row>
    <row r="4268" spans="1:12" ht="12" customHeight="1" x14ac:dyDescent="0.25">
      <c r="A4268" s="6">
        <v>44578</v>
      </c>
      <c r="B4268" s="1">
        <v>2200295</v>
      </c>
      <c r="C4268" s="5" t="s">
        <v>329</v>
      </c>
      <c r="D4268" s="5" t="str">
        <f>VLOOKUP(C4268,[1]master_data!$A$2:$E$495,2,FALSE)</f>
        <v>AIRSTONE D2L5</v>
      </c>
      <c r="E4268" s="5">
        <v>1</v>
      </c>
      <c r="F4268" s="5">
        <f>VLOOKUP(C4268,[1]master_data!$A$2:$E$495,3,FALSE)</f>
        <v>1850</v>
      </c>
      <c r="G4268" s="5">
        <f>VLOOKUP(C4268,[1]master_data!$A$2:$E$495,4,FALSE)</f>
        <v>5000</v>
      </c>
      <c r="H4268" s="5">
        <f t="shared" si="204"/>
        <v>1850</v>
      </c>
      <c r="I4268" s="5">
        <f t="shared" si="205"/>
        <v>5000</v>
      </c>
      <c r="J4268" s="5">
        <f t="shared" si="206"/>
        <v>3150</v>
      </c>
      <c r="K4268" s="5" t="str">
        <f>VLOOKUP(C4268,[1]master_data!$A$2:$E$495,5,FALSE)</f>
        <v>Aksesoris</v>
      </c>
      <c r="L4268" s="5" t="s">
        <v>471</v>
      </c>
    </row>
    <row r="4269" spans="1:12" ht="12" customHeight="1" x14ac:dyDescent="0.25">
      <c r="A4269" s="6">
        <v>44578</v>
      </c>
      <c r="B4269" s="1">
        <v>2200294</v>
      </c>
      <c r="C4269" s="5" t="s">
        <v>399</v>
      </c>
      <c r="D4269" s="5" t="str">
        <f>VLOOKUP(C4269,[1]master_data!$A$2:$E$495,2,FALSE)</f>
        <v>BUENOS AIRES TETRA</v>
      </c>
      <c r="E4269" s="5">
        <v>20</v>
      </c>
      <c r="F4269" s="5">
        <f>VLOOKUP(C4269,[1]master_data!$A$2:$E$495,3,FALSE)</f>
        <v>800</v>
      </c>
      <c r="G4269" s="5">
        <f>VLOOKUP(C4269,[1]master_data!$A$2:$E$495,4,FALSE)</f>
        <v>2000</v>
      </c>
      <c r="H4269" s="5">
        <f t="shared" si="204"/>
        <v>16000</v>
      </c>
      <c r="I4269" s="5">
        <f t="shared" si="205"/>
        <v>40000</v>
      </c>
      <c r="J4269" s="5">
        <f t="shared" si="206"/>
        <v>24000</v>
      </c>
      <c r="K4269" s="5" t="str">
        <f>VLOOKUP(C4269,[1]master_data!$A$2:$E$495,5,FALSE)</f>
        <v>Ikan</v>
      </c>
      <c r="L4269" s="5" t="s">
        <v>471</v>
      </c>
    </row>
    <row r="4270" spans="1:12" ht="12" customHeight="1" x14ac:dyDescent="0.25">
      <c r="A4270" s="6">
        <v>44578</v>
      </c>
      <c r="B4270" s="1">
        <v>2200293</v>
      </c>
      <c r="C4270" s="5" t="s">
        <v>280</v>
      </c>
      <c r="D4270" s="5" t="str">
        <f>VLOOKUP(C4270,[1]master_data!$A$2:$E$495,2,FALSE)</f>
        <v>KRAN 2 W</v>
      </c>
      <c r="E4270" s="5">
        <v>1</v>
      </c>
      <c r="F4270" s="5">
        <f>VLOOKUP(C4270,[1]master_data!$A$2:$E$495,3,FALSE)</f>
        <v>4000</v>
      </c>
      <c r="G4270" s="5">
        <f>VLOOKUP(C4270,[1]master_data!$A$2:$E$495,4,FALSE)</f>
        <v>6000</v>
      </c>
      <c r="H4270" s="5">
        <f t="shared" si="204"/>
        <v>4000</v>
      </c>
      <c r="I4270" s="5">
        <f t="shared" si="205"/>
        <v>6000</v>
      </c>
      <c r="J4270" s="5">
        <f t="shared" si="206"/>
        <v>2000</v>
      </c>
      <c r="K4270" s="5" t="str">
        <f>VLOOKUP(C4270,[1]master_data!$A$2:$E$495,5,FALSE)</f>
        <v>Aksesoris</v>
      </c>
      <c r="L4270" s="5" t="s">
        <v>471</v>
      </c>
    </row>
    <row r="4271" spans="1:12" ht="12" customHeight="1" x14ac:dyDescent="0.25">
      <c r="A4271" s="6">
        <v>44578</v>
      </c>
      <c r="B4271" s="1">
        <v>2200292</v>
      </c>
      <c r="C4271" s="5" t="s">
        <v>456</v>
      </c>
      <c r="D4271" s="5" t="str">
        <f>VLOOKUP(C4271,[1]master_data!$A$2:$E$495,2,FALSE)</f>
        <v>TOMAN</v>
      </c>
      <c r="E4271" s="5">
        <v>1</v>
      </c>
      <c r="F4271" s="5">
        <f>VLOOKUP(C4271,[1]master_data!$A$2:$E$495,3,FALSE)</f>
        <v>10000</v>
      </c>
      <c r="G4271" s="5">
        <f>VLOOKUP(C4271,[1]master_data!$A$2:$E$495,4,FALSE)</f>
        <v>25000</v>
      </c>
      <c r="H4271" s="5">
        <f t="shared" si="204"/>
        <v>10000</v>
      </c>
      <c r="I4271" s="5">
        <f t="shared" si="205"/>
        <v>25000</v>
      </c>
      <c r="J4271" s="5">
        <f t="shared" si="206"/>
        <v>15000</v>
      </c>
      <c r="K4271" s="5" t="str">
        <f>VLOOKUP(C4271,[1]master_data!$A$2:$E$495,5,FALSE)</f>
        <v>Ikan</v>
      </c>
      <c r="L4271" s="5" t="s">
        <v>471</v>
      </c>
    </row>
    <row r="4272" spans="1:12" ht="12" customHeight="1" x14ac:dyDescent="0.25">
      <c r="A4272" s="6">
        <v>44577</v>
      </c>
      <c r="B4272" s="1">
        <v>2200291</v>
      </c>
      <c r="C4272" s="5" t="s">
        <v>402</v>
      </c>
      <c r="D4272" s="5" t="str">
        <f>VLOOKUP(C4272,[1]master_data!$A$2:$E$495,2,FALSE)</f>
        <v>BLACK GHOST</v>
      </c>
      <c r="E4272" s="5">
        <v>2</v>
      </c>
      <c r="F4272" s="5">
        <f>VLOOKUP(C4272,[1]master_data!$A$2:$E$495,3,FALSE)</f>
        <v>4000</v>
      </c>
      <c r="G4272" s="5">
        <f>VLOOKUP(C4272,[1]master_data!$A$2:$E$495,4,FALSE)</f>
        <v>10000</v>
      </c>
      <c r="H4272" s="5">
        <f t="shared" si="204"/>
        <v>8000</v>
      </c>
      <c r="I4272" s="5">
        <f t="shared" si="205"/>
        <v>20000</v>
      </c>
      <c r="J4272" s="5">
        <f t="shared" si="206"/>
        <v>12000</v>
      </c>
      <c r="K4272" s="5" t="str">
        <f>VLOOKUP(C4272,[1]master_data!$A$2:$E$495,5,FALSE)</f>
        <v>Ikan</v>
      </c>
      <c r="L4272" s="5" t="s">
        <v>471</v>
      </c>
    </row>
    <row r="4273" spans="1:12" ht="12" customHeight="1" x14ac:dyDescent="0.25">
      <c r="A4273" s="6">
        <v>44577</v>
      </c>
      <c r="B4273" s="1">
        <v>2200290</v>
      </c>
      <c r="C4273" s="5" t="s">
        <v>420</v>
      </c>
      <c r="D4273" s="5" t="str">
        <f>VLOOKUP(C4273,[1]master_data!$A$2:$E$495,2,FALSE)</f>
        <v>KAVIAT</v>
      </c>
      <c r="E4273" s="5">
        <v>6</v>
      </c>
      <c r="F4273" s="5">
        <f>VLOOKUP(C4273,[1]master_data!$A$2:$E$495,3,FALSE)</f>
        <v>3500</v>
      </c>
      <c r="G4273" s="5">
        <f>VLOOKUP(C4273,[1]master_data!$A$2:$E$495,4,FALSE)</f>
        <v>8000</v>
      </c>
      <c r="H4273" s="5">
        <f t="shared" si="204"/>
        <v>21000</v>
      </c>
      <c r="I4273" s="5">
        <f t="shared" si="205"/>
        <v>48000</v>
      </c>
      <c r="J4273" s="5">
        <f t="shared" si="206"/>
        <v>27000</v>
      </c>
      <c r="K4273" s="5" t="str">
        <f>VLOOKUP(C4273,[1]master_data!$A$2:$E$495,5,FALSE)</f>
        <v>Ikan</v>
      </c>
      <c r="L4273" s="5" t="s">
        <v>471</v>
      </c>
    </row>
    <row r="4274" spans="1:12" ht="12" customHeight="1" x14ac:dyDescent="0.25">
      <c r="A4274" s="6">
        <v>44577</v>
      </c>
      <c r="B4274" s="1">
        <v>2200289</v>
      </c>
      <c r="C4274" s="5" t="s">
        <v>111</v>
      </c>
      <c r="D4274" s="5" t="str">
        <f>VLOOKUP(C4274,[1]master_data!$A$2:$E$495,2,FALSE)</f>
        <v>AIRATOR ROSTON LUB 1</v>
      </c>
      <c r="E4274" s="5">
        <v>1</v>
      </c>
      <c r="F4274" s="5">
        <f>VLOOKUP(C4274,[1]master_data!$A$2:$E$495,3,FALSE)</f>
        <v>20000</v>
      </c>
      <c r="G4274" s="5">
        <f>VLOOKUP(C4274,[1]master_data!$A$2:$E$495,4,FALSE)</f>
        <v>30000</v>
      </c>
      <c r="H4274" s="5">
        <f t="shared" si="204"/>
        <v>20000</v>
      </c>
      <c r="I4274" s="5">
        <f t="shared" si="205"/>
        <v>30000</v>
      </c>
      <c r="J4274" s="5">
        <f t="shared" si="206"/>
        <v>10000</v>
      </c>
      <c r="K4274" s="5" t="str">
        <f>VLOOKUP(C4274,[1]master_data!$A$2:$E$495,5,FALSE)</f>
        <v>Aksesoris</v>
      </c>
      <c r="L4274" s="5" t="s">
        <v>471</v>
      </c>
    </row>
    <row r="4275" spans="1:12" ht="12" customHeight="1" x14ac:dyDescent="0.25">
      <c r="A4275" s="6">
        <v>44577</v>
      </c>
      <c r="B4275" s="1">
        <v>2200288</v>
      </c>
      <c r="C4275" s="5" t="s">
        <v>310</v>
      </c>
      <c r="D4275" s="5" t="str">
        <f>VLOOKUP(C4275,[1]master_data!$A$2:$E$495,2,FALSE)</f>
        <v>SELANG FUSO</v>
      </c>
      <c r="E4275" s="5">
        <v>1</v>
      </c>
      <c r="F4275" s="5">
        <f>VLOOKUP(C4275,[1]master_data!$A$2:$E$495,3,FALSE)</f>
        <v>800</v>
      </c>
      <c r="G4275" s="5">
        <f>VLOOKUP(C4275,[1]master_data!$A$2:$E$495,4,FALSE)</f>
        <v>2000</v>
      </c>
      <c r="H4275" s="5">
        <f t="shared" si="204"/>
        <v>800</v>
      </c>
      <c r="I4275" s="5">
        <f t="shared" si="205"/>
        <v>2000</v>
      </c>
      <c r="J4275" s="5">
        <f t="shared" si="206"/>
        <v>1200</v>
      </c>
      <c r="K4275" s="5" t="str">
        <f>VLOOKUP(C4275,[1]master_data!$A$2:$E$495,5,FALSE)</f>
        <v>Aksesoris</v>
      </c>
      <c r="L4275" s="5" t="s">
        <v>471</v>
      </c>
    </row>
    <row r="4276" spans="1:12" ht="12" customHeight="1" x14ac:dyDescent="0.25">
      <c r="A4276" s="6">
        <v>44577</v>
      </c>
      <c r="B4276" s="1">
        <v>2200287</v>
      </c>
      <c r="C4276" s="5" t="s">
        <v>327</v>
      </c>
      <c r="D4276" s="5" t="str">
        <f>VLOOKUP(C4276,[1]master_data!$A$2:$E$495,2,FALSE)</f>
        <v>AIRSTONE K</v>
      </c>
      <c r="E4276" s="5">
        <v>1</v>
      </c>
      <c r="F4276" s="5">
        <f>VLOOKUP(C4276,[1]master_data!$A$2:$E$495,3,FALSE)</f>
        <v>850</v>
      </c>
      <c r="G4276" s="5">
        <f>VLOOKUP(C4276,[1]master_data!$A$2:$E$495,4,FALSE)</f>
        <v>3000</v>
      </c>
      <c r="H4276" s="5">
        <f t="shared" si="204"/>
        <v>850</v>
      </c>
      <c r="I4276" s="5">
        <f t="shared" si="205"/>
        <v>3000</v>
      </c>
      <c r="J4276" s="5">
        <f t="shared" si="206"/>
        <v>2150</v>
      </c>
      <c r="K4276" s="5" t="str">
        <f>VLOOKUP(C4276,[1]master_data!$A$2:$E$495,5,FALSE)</f>
        <v>Aksesoris</v>
      </c>
      <c r="L4276" s="5" t="s">
        <v>471</v>
      </c>
    </row>
    <row r="4277" spans="1:12" ht="12" customHeight="1" x14ac:dyDescent="0.25">
      <c r="A4277" s="6">
        <v>44577</v>
      </c>
      <c r="B4277" s="1">
        <v>2200286</v>
      </c>
      <c r="C4277" s="5" t="s">
        <v>285</v>
      </c>
      <c r="D4277" s="5" t="str">
        <f>VLOOKUP(C4277,[1]master_data!$A$2:$E$495,2,FALSE)</f>
        <v>KAPAS 4 LAPIS</v>
      </c>
      <c r="E4277" s="5">
        <v>1</v>
      </c>
      <c r="F4277" s="5">
        <f>VLOOKUP(C4277,[1]master_data!$A$2:$E$495,3,FALSE)</f>
        <v>6500</v>
      </c>
      <c r="G4277" s="5">
        <f>VLOOKUP(C4277,[1]master_data!$A$2:$E$495,4,FALSE)</f>
        <v>10000</v>
      </c>
      <c r="H4277" s="5">
        <f t="shared" si="204"/>
        <v>6500</v>
      </c>
      <c r="I4277" s="5">
        <f t="shared" si="205"/>
        <v>10000</v>
      </c>
      <c r="J4277" s="5">
        <f t="shared" si="206"/>
        <v>3500</v>
      </c>
      <c r="K4277" s="5" t="str">
        <f>VLOOKUP(C4277,[1]master_data!$A$2:$E$495,5,FALSE)</f>
        <v>Aksesoris</v>
      </c>
      <c r="L4277" s="5" t="s">
        <v>471</v>
      </c>
    </row>
    <row r="4278" spans="1:12" ht="12" customHeight="1" x14ac:dyDescent="0.25">
      <c r="A4278" s="6">
        <v>44577</v>
      </c>
      <c r="B4278" s="1">
        <v>2200285</v>
      </c>
      <c r="C4278" s="5" t="s">
        <v>203</v>
      </c>
      <c r="D4278" s="5" t="str">
        <f>VLOOKUP(C4278,[1]master_data!$A$2:$E$495,2,FALSE)</f>
        <v>HOKKY 3 IN 1</v>
      </c>
      <c r="E4278" s="5">
        <v>1</v>
      </c>
      <c r="F4278" s="5">
        <f>VLOOKUP(C4278,[1]master_data!$A$2:$E$495,3,FALSE)</f>
        <v>20000</v>
      </c>
      <c r="G4278" s="5">
        <f>VLOOKUP(C4278,[1]master_data!$A$2:$E$495,4,FALSE)</f>
        <v>30000</v>
      </c>
      <c r="H4278" s="5">
        <f t="shared" si="204"/>
        <v>20000</v>
      </c>
      <c r="I4278" s="5">
        <f t="shared" si="205"/>
        <v>30000</v>
      </c>
      <c r="J4278" s="5">
        <f t="shared" si="206"/>
        <v>10000</v>
      </c>
      <c r="K4278" s="5" t="str">
        <f>VLOOKUP(C4278,[1]master_data!$A$2:$E$495,5,FALSE)</f>
        <v>Aksesoris</v>
      </c>
      <c r="L4278" s="5" t="s">
        <v>471</v>
      </c>
    </row>
    <row r="4279" spans="1:12" ht="12" customHeight="1" x14ac:dyDescent="0.25">
      <c r="A4279" s="6">
        <v>44577</v>
      </c>
      <c r="B4279" s="1">
        <v>2200284</v>
      </c>
      <c r="C4279" s="5" t="s">
        <v>453</v>
      </c>
      <c r="D4279" s="5" t="str">
        <f>VLOOKUP(C4279,[1]master_data!$A$2:$E$495,2,FALSE)</f>
        <v>SYNODONTIS K</v>
      </c>
      <c r="E4279" s="5">
        <v>2</v>
      </c>
      <c r="F4279" s="5">
        <f>VLOOKUP(C4279,[1]master_data!$A$2:$E$495,3,FALSE)</f>
        <v>1500</v>
      </c>
      <c r="G4279" s="5">
        <f>VLOOKUP(C4279,[1]master_data!$A$2:$E$495,4,FALSE)</f>
        <v>5000</v>
      </c>
      <c r="H4279" s="5">
        <f t="shared" si="204"/>
        <v>3000</v>
      </c>
      <c r="I4279" s="5">
        <f t="shared" si="205"/>
        <v>10000</v>
      </c>
      <c r="J4279" s="5">
        <f t="shared" si="206"/>
        <v>7000</v>
      </c>
      <c r="K4279" s="5" t="str">
        <f>VLOOKUP(C4279,[1]master_data!$A$2:$E$495,5,FALSE)</f>
        <v>Ikan</v>
      </c>
      <c r="L4279" s="5" t="s">
        <v>471</v>
      </c>
    </row>
    <row r="4280" spans="1:12" ht="12" customHeight="1" x14ac:dyDescent="0.25">
      <c r="A4280" s="6">
        <v>44577</v>
      </c>
      <c r="B4280" s="1">
        <v>2200283</v>
      </c>
      <c r="C4280" s="5" t="s">
        <v>428</v>
      </c>
      <c r="D4280" s="5" t="str">
        <f>VLOOKUP(C4280,[1]master_data!$A$2:$E$495,2,FALSE)</f>
        <v>LOUHAN</v>
      </c>
      <c r="E4280" s="5">
        <v>1</v>
      </c>
      <c r="F4280" s="5">
        <f>VLOOKUP(C4280,[1]master_data!$A$2:$E$495,3,FALSE)</f>
        <v>85000</v>
      </c>
      <c r="G4280" s="5">
        <f>VLOOKUP(C4280,[1]master_data!$A$2:$E$495,4,FALSE)</f>
        <v>200000</v>
      </c>
      <c r="H4280" s="5">
        <f t="shared" si="204"/>
        <v>85000</v>
      </c>
      <c r="I4280" s="5">
        <f t="shared" si="205"/>
        <v>200000</v>
      </c>
      <c r="J4280" s="5">
        <f t="shared" si="206"/>
        <v>115000</v>
      </c>
      <c r="K4280" s="5" t="str">
        <f>VLOOKUP(C4280,[1]master_data!$A$2:$E$495,5,FALSE)</f>
        <v>Ikan</v>
      </c>
      <c r="L4280" s="5" t="s">
        <v>471</v>
      </c>
    </row>
    <row r="4281" spans="1:12" ht="12" customHeight="1" x14ac:dyDescent="0.25">
      <c r="A4281" s="6">
        <v>44577</v>
      </c>
      <c r="B4281" s="1">
        <v>2200282</v>
      </c>
      <c r="C4281" s="5" t="s">
        <v>419</v>
      </c>
      <c r="D4281" s="5" t="str">
        <f>VLOOKUP(C4281,[1]master_data!$A$2:$E$495,2,FALSE)</f>
        <v>KURA - KURA</v>
      </c>
      <c r="E4281" s="5">
        <v>2</v>
      </c>
      <c r="F4281" s="5">
        <f>VLOOKUP(C4281,[1]master_data!$A$2:$E$495,3,FALSE)</f>
        <v>25000</v>
      </c>
      <c r="G4281" s="5">
        <f>VLOOKUP(C4281,[1]master_data!$A$2:$E$495,4,FALSE)</f>
        <v>35000</v>
      </c>
      <c r="H4281" s="5">
        <f t="shared" si="204"/>
        <v>50000</v>
      </c>
      <c r="I4281" s="5">
        <f t="shared" si="205"/>
        <v>70000</v>
      </c>
      <c r="J4281" s="5">
        <f t="shared" si="206"/>
        <v>20000</v>
      </c>
      <c r="K4281" s="5" t="str">
        <f>VLOOKUP(C4281,[1]master_data!$A$2:$E$495,5,FALSE)</f>
        <v>Ikan</v>
      </c>
      <c r="L4281" s="5" t="s">
        <v>471</v>
      </c>
    </row>
    <row r="4282" spans="1:12" ht="12" customHeight="1" x14ac:dyDescent="0.25">
      <c r="A4282" s="6">
        <v>44577</v>
      </c>
      <c r="B4282" s="1">
        <v>2200281</v>
      </c>
      <c r="C4282" s="5" t="s">
        <v>208</v>
      </c>
      <c r="D4282" s="5" t="str">
        <f>VLOOKUP(C4282,[1]master_data!$A$2:$E$495,2,FALSE)</f>
        <v>TOP VIT</v>
      </c>
      <c r="E4282" s="5">
        <v>1</v>
      </c>
      <c r="F4282" s="5">
        <f>VLOOKUP(C4282,[1]master_data!$A$2:$E$495,3,FALSE)</f>
        <v>4000</v>
      </c>
      <c r="G4282" s="5">
        <f>VLOOKUP(C4282,[1]master_data!$A$2:$E$495,4,FALSE)</f>
        <v>7000</v>
      </c>
      <c r="H4282" s="5">
        <f t="shared" si="204"/>
        <v>4000</v>
      </c>
      <c r="I4282" s="5">
        <f t="shared" si="205"/>
        <v>7000</v>
      </c>
      <c r="J4282" s="5">
        <f t="shared" si="206"/>
        <v>3000</v>
      </c>
      <c r="K4282" s="5" t="str">
        <f>VLOOKUP(C4282,[1]master_data!$A$2:$E$495,5,FALSE)</f>
        <v>Aksesoris</v>
      </c>
      <c r="L4282" s="5" t="s">
        <v>471</v>
      </c>
    </row>
    <row r="4283" spans="1:12" ht="12" customHeight="1" x14ac:dyDescent="0.25">
      <c r="A4283" s="6">
        <v>44577</v>
      </c>
      <c r="B4283" s="1">
        <v>2200280</v>
      </c>
      <c r="C4283" s="5" t="s">
        <v>313</v>
      </c>
      <c r="D4283" s="5" t="str">
        <f>VLOOKUP(C4283,[1]master_data!$A$2:$E$495,2,FALSE)</f>
        <v>LURUS PIPA</v>
      </c>
      <c r="E4283" s="5">
        <v>5</v>
      </c>
      <c r="F4283" s="5">
        <f>VLOOKUP(C4283,[1]master_data!$A$2:$E$495,3,FALSE)</f>
        <v>800</v>
      </c>
      <c r="G4283" s="5">
        <f>VLOOKUP(C4283,[1]master_data!$A$2:$E$495,4,FALSE)</f>
        <v>2000</v>
      </c>
      <c r="H4283" s="5">
        <f t="shared" si="204"/>
        <v>4000</v>
      </c>
      <c r="I4283" s="5">
        <f t="shared" si="205"/>
        <v>10000</v>
      </c>
      <c r="J4283" s="5">
        <f t="shared" si="206"/>
        <v>6000</v>
      </c>
      <c r="K4283" s="5" t="str">
        <f>VLOOKUP(C4283,[1]master_data!$A$2:$E$495,5,FALSE)</f>
        <v>Aksesoris</v>
      </c>
      <c r="L4283" s="5" t="s">
        <v>471</v>
      </c>
    </row>
    <row r="4284" spans="1:12" ht="12" customHeight="1" x14ac:dyDescent="0.25">
      <c r="A4284" s="6">
        <v>44577</v>
      </c>
      <c r="B4284" s="1">
        <v>2200279</v>
      </c>
      <c r="C4284" s="5" t="s">
        <v>443</v>
      </c>
      <c r="D4284" s="5" t="str">
        <f>VLOOKUP(C4284,[1]master_data!$A$2:$E$495,2,FALSE)</f>
        <v>PALMAS</v>
      </c>
      <c r="E4284" s="5">
        <v>1</v>
      </c>
      <c r="F4284" s="5">
        <f>VLOOKUP(C4284,[1]master_data!$A$2:$E$495,3,FALSE)</f>
        <v>10000</v>
      </c>
      <c r="G4284" s="5">
        <f>VLOOKUP(C4284,[1]master_data!$A$2:$E$495,4,FALSE)</f>
        <v>25000</v>
      </c>
      <c r="H4284" s="5">
        <f t="shared" si="204"/>
        <v>10000</v>
      </c>
      <c r="I4284" s="5">
        <f t="shared" si="205"/>
        <v>25000</v>
      </c>
      <c r="J4284" s="5">
        <f t="shared" si="206"/>
        <v>15000</v>
      </c>
      <c r="K4284" s="5" t="str">
        <f>VLOOKUP(C4284,[1]master_data!$A$2:$E$495,5,FALSE)</f>
        <v>Ikan</v>
      </c>
      <c r="L4284" s="5" t="s">
        <v>471</v>
      </c>
    </row>
    <row r="4285" spans="1:12" ht="12" customHeight="1" x14ac:dyDescent="0.25">
      <c r="A4285" s="6">
        <v>44576</v>
      </c>
      <c r="B4285" s="1">
        <v>2200278</v>
      </c>
      <c r="C4285" s="5" t="s">
        <v>431</v>
      </c>
      <c r="D4285" s="5" t="str">
        <f>VLOOKUP(C4285,[1]master_data!$A$2:$E$495,2,FALSE)</f>
        <v>MANFISH B</v>
      </c>
      <c r="E4285" s="5">
        <v>3</v>
      </c>
      <c r="F4285" s="5">
        <f>VLOOKUP(C4285,[1]master_data!$A$2:$E$495,3,FALSE)</f>
        <v>4000</v>
      </c>
      <c r="G4285" s="5">
        <f>VLOOKUP(C4285,[1]master_data!$A$2:$E$495,4,FALSE)</f>
        <v>10000</v>
      </c>
      <c r="H4285" s="5">
        <f t="shared" si="204"/>
        <v>12000</v>
      </c>
      <c r="I4285" s="5">
        <f t="shared" si="205"/>
        <v>30000</v>
      </c>
      <c r="J4285" s="5">
        <f t="shared" si="206"/>
        <v>18000</v>
      </c>
      <c r="K4285" s="5" t="str">
        <f>VLOOKUP(C4285,[1]master_data!$A$2:$E$495,5,FALSE)</f>
        <v>Ikan</v>
      </c>
      <c r="L4285" s="5" t="s">
        <v>471</v>
      </c>
    </row>
    <row r="4286" spans="1:12" ht="12" customHeight="1" x14ac:dyDescent="0.25">
      <c r="A4286" s="6">
        <v>44576</v>
      </c>
      <c r="B4286" s="1">
        <v>2200277</v>
      </c>
      <c r="C4286" s="5" t="s">
        <v>454</v>
      </c>
      <c r="D4286" s="5" t="str">
        <f>VLOOKUP(C4286,[1]master_data!$A$2:$E$495,2,FALSE)</f>
        <v>SYNODONTI B</v>
      </c>
      <c r="E4286" s="5">
        <v>2</v>
      </c>
      <c r="F4286" s="5">
        <f>VLOOKUP(C4286,[1]master_data!$A$2:$E$495,3,FALSE)</f>
        <v>4000</v>
      </c>
      <c r="G4286" s="5">
        <f>VLOOKUP(C4286,[1]master_data!$A$2:$E$495,4,FALSE)</f>
        <v>10000</v>
      </c>
      <c r="H4286" s="5">
        <f t="shared" si="204"/>
        <v>8000</v>
      </c>
      <c r="I4286" s="5">
        <f t="shared" si="205"/>
        <v>20000</v>
      </c>
      <c r="J4286" s="5">
        <f t="shared" si="206"/>
        <v>12000</v>
      </c>
      <c r="K4286" s="5" t="str">
        <f>VLOOKUP(C4286,[1]master_data!$A$2:$E$495,5,FALSE)</f>
        <v>Ikan</v>
      </c>
      <c r="L4286" s="5" t="s">
        <v>471</v>
      </c>
    </row>
    <row r="4287" spans="1:12" ht="12" customHeight="1" x14ac:dyDescent="0.25">
      <c r="A4287" s="6">
        <v>44576</v>
      </c>
      <c r="B4287" s="1">
        <v>2200276</v>
      </c>
      <c r="C4287" s="5" t="s">
        <v>311</v>
      </c>
      <c r="D4287" s="5" t="str">
        <f>VLOOKUP(C4287,[1]master_data!$A$2:$E$495,2,FALSE)</f>
        <v>L PIPA</v>
      </c>
      <c r="E4287" s="5">
        <v>10</v>
      </c>
      <c r="F4287" s="5">
        <f>VLOOKUP(C4287,[1]master_data!$A$2:$E$495,3,FALSE)</f>
        <v>800</v>
      </c>
      <c r="G4287" s="5">
        <f>VLOOKUP(C4287,[1]master_data!$A$2:$E$495,4,FALSE)</f>
        <v>2000</v>
      </c>
      <c r="H4287" s="5">
        <f t="shared" si="204"/>
        <v>8000</v>
      </c>
      <c r="I4287" s="5">
        <f t="shared" si="205"/>
        <v>20000</v>
      </c>
      <c r="J4287" s="5">
        <f t="shared" si="206"/>
        <v>12000</v>
      </c>
      <c r="K4287" s="5" t="str">
        <f>VLOOKUP(C4287,[1]master_data!$A$2:$E$495,5,FALSE)</f>
        <v>Aksesoris</v>
      </c>
      <c r="L4287" s="5" t="s">
        <v>471</v>
      </c>
    </row>
    <row r="4288" spans="1:12" ht="12" customHeight="1" x14ac:dyDescent="0.25">
      <c r="A4288" s="6">
        <v>44576</v>
      </c>
      <c r="B4288" s="1">
        <v>2200275</v>
      </c>
      <c r="C4288" s="5" t="s">
        <v>307</v>
      </c>
      <c r="D4288" s="5" t="str">
        <f>VLOOKUP(C4288,[1]master_data!$A$2:$E$495,2,FALSE)</f>
        <v>QUICK FILTER</v>
      </c>
      <c r="E4288" s="5">
        <v>1</v>
      </c>
      <c r="F4288" s="5">
        <f>VLOOKUP(C4288,[1]master_data!$A$2:$E$495,3,FALSE)</f>
        <v>12000</v>
      </c>
      <c r="G4288" s="5">
        <f>VLOOKUP(C4288,[1]master_data!$A$2:$E$495,4,FALSE)</f>
        <v>20000</v>
      </c>
      <c r="H4288" s="5">
        <f t="shared" si="204"/>
        <v>12000</v>
      </c>
      <c r="I4288" s="5">
        <f t="shared" si="205"/>
        <v>20000</v>
      </c>
      <c r="J4288" s="5">
        <f t="shared" si="206"/>
        <v>8000</v>
      </c>
      <c r="K4288" s="5" t="str">
        <f>VLOOKUP(C4288,[1]master_data!$A$2:$E$495,5,FALSE)</f>
        <v>Aksesoris</v>
      </c>
      <c r="L4288" s="5" t="s">
        <v>471</v>
      </c>
    </row>
    <row r="4289" spans="1:12" ht="12" customHeight="1" x14ac:dyDescent="0.25">
      <c r="A4289" s="6">
        <v>44576</v>
      </c>
      <c r="B4289" s="1">
        <v>2200274</v>
      </c>
      <c r="C4289" s="5" t="s">
        <v>458</v>
      </c>
      <c r="D4289" s="5" t="str">
        <f>VLOOKUP(C4289,[1]master_data!$A$2:$E$495,2,FALSE)</f>
        <v>ZEBRA HIJAU</v>
      </c>
      <c r="E4289" s="5">
        <v>5</v>
      </c>
      <c r="F4289" s="5">
        <f>VLOOKUP(C4289,[1]master_data!$A$2:$E$495,3,FALSE)</f>
        <v>800</v>
      </c>
      <c r="G4289" s="5">
        <f>VLOOKUP(C4289,[1]master_data!$A$2:$E$495,4,FALSE)</f>
        <v>2000</v>
      </c>
      <c r="H4289" s="5">
        <f t="shared" si="204"/>
        <v>4000</v>
      </c>
      <c r="I4289" s="5">
        <f t="shared" si="205"/>
        <v>10000</v>
      </c>
      <c r="J4289" s="5">
        <f t="shared" si="206"/>
        <v>6000</v>
      </c>
      <c r="K4289" s="5" t="str">
        <f>VLOOKUP(C4289,[1]master_data!$A$2:$E$495,5,FALSE)</f>
        <v>Ikan</v>
      </c>
      <c r="L4289" s="5" t="s">
        <v>471</v>
      </c>
    </row>
    <row r="4290" spans="1:12" ht="12" customHeight="1" x14ac:dyDescent="0.25">
      <c r="A4290" s="6">
        <v>44576</v>
      </c>
      <c r="B4290" s="1">
        <v>2200273</v>
      </c>
      <c r="C4290" s="5" t="s">
        <v>263</v>
      </c>
      <c r="D4290" s="5" t="str">
        <f>VLOOKUP(C4290,[1]master_data!$A$2:$E$495,2,FALSE)</f>
        <v>COP SEKAT KACA</v>
      </c>
      <c r="E4290" s="5">
        <v>4</v>
      </c>
      <c r="F4290" s="5">
        <f>VLOOKUP(C4290,[1]master_data!$A$2:$E$495,3,FALSE)</f>
        <v>800</v>
      </c>
      <c r="G4290" s="5">
        <f>VLOOKUP(C4290,[1]master_data!$A$2:$E$495,4,FALSE)</f>
        <v>2000</v>
      </c>
      <c r="H4290" s="5">
        <f t="shared" si="204"/>
        <v>3200</v>
      </c>
      <c r="I4290" s="5">
        <f t="shared" si="205"/>
        <v>8000</v>
      </c>
      <c r="J4290" s="5">
        <f t="shared" si="206"/>
        <v>4800</v>
      </c>
      <c r="K4290" s="5" t="str">
        <f>VLOOKUP(C4290,[1]master_data!$A$2:$E$495,5,FALSE)</f>
        <v>Aksesoris</v>
      </c>
      <c r="L4290" s="5" t="s">
        <v>471</v>
      </c>
    </row>
    <row r="4291" spans="1:12" ht="12" customHeight="1" x14ac:dyDescent="0.25">
      <c r="A4291" s="6">
        <v>44576</v>
      </c>
      <c r="B4291" s="1">
        <v>2200272</v>
      </c>
      <c r="C4291" s="5" t="s">
        <v>310</v>
      </c>
      <c r="D4291" s="5" t="str">
        <f>VLOOKUP(C4291,[1]master_data!$A$2:$E$495,2,FALSE)</f>
        <v>SELANG FUSO</v>
      </c>
      <c r="E4291" s="5">
        <v>3</v>
      </c>
      <c r="F4291" s="5">
        <f>VLOOKUP(C4291,[1]master_data!$A$2:$E$495,3,FALSE)</f>
        <v>800</v>
      </c>
      <c r="G4291" s="5">
        <f>VLOOKUP(C4291,[1]master_data!$A$2:$E$495,4,FALSE)</f>
        <v>2000</v>
      </c>
      <c r="H4291" s="5">
        <f t="shared" si="204"/>
        <v>2400</v>
      </c>
      <c r="I4291" s="5">
        <f t="shared" si="205"/>
        <v>6000</v>
      </c>
      <c r="J4291" s="5">
        <f t="shared" si="206"/>
        <v>3600</v>
      </c>
      <c r="K4291" s="5" t="str">
        <f>VLOOKUP(C4291,[1]master_data!$A$2:$E$495,5,FALSE)</f>
        <v>Aksesoris</v>
      </c>
      <c r="L4291" s="5" t="s">
        <v>471</v>
      </c>
    </row>
    <row r="4292" spans="1:12" ht="12" customHeight="1" x14ac:dyDescent="0.25">
      <c r="A4292" s="6">
        <v>44576</v>
      </c>
      <c r="B4292" s="1">
        <v>2200271</v>
      </c>
      <c r="C4292" s="5" t="s">
        <v>451</v>
      </c>
      <c r="D4292" s="5" t="str">
        <f>VLOOKUP(C4292,[1]master_data!$A$2:$E$495,2,FALSE)</f>
        <v>SUMATRA GOLD FISH</v>
      </c>
      <c r="E4292" s="5">
        <v>3</v>
      </c>
      <c r="F4292" s="5">
        <f>VLOOKUP(C4292,[1]master_data!$A$2:$E$495,3,FALSE)</f>
        <v>2500</v>
      </c>
      <c r="G4292" s="5">
        <f>VLOOKUP(C4292,[1]master_data!$A$2:$E$495,4,FALSE)</f>
        <v>4000</v>
      </c>
      <c r="H4292" s="5">
        <f t="shared" si="204"/>
        <v>7500</v>
      </c>
      <c r="I4292" s="5">
        <f t="shared" si="205"/>
        <v>12000</v>
      </c>
      <c r="J4292" s="5">
        <f t="shared" si="206"/>
        <v>4500</v>
      </c>
      <c r="K4292" s="5" t="str">
        <f>VLOOKUP(C4292,[1]master_data!$A$2:$E$495,5,FALSE)</f>
        <v>Ikan</v>
      </c>
      <c r="L4292" s="5" t="s">
        <v>471</v>
      </c>
    </row>
    <row r="4293" spans="1:12" ht="12" customHeight="1" x14ac:dyDescent="0.25">
      <c r="A4293" s="6">
        <v>44576</v>
      </c>
      <c r="B4293" s="1">
        <v>2200270</v>
      </c>
      <c r="C4293" s="5" t="s">
        <v>200</v>
      </c>
      <c r="D4293" s="5" t="str">
        <f>VLOOKUP(C4293,[1]master_data!$A$2:$E$495,2,FALSE)</f>
        <v>OK IKO LOUHAN MERAH</v>
      </c>
      <c r="E4293" s="5">
        <v>1</v>
      </c>
      <c r="F4293" s="5">
        <f>VLOOKUP(C4293,[1]master_data!$A$2:$E$495,3,FALSE)</f>
        <v>33500</v>
      </c>
      <c r="G4293" s="5">
        <f>VLOOKUP(C4293,[1]master_data!$A$2:$E$495,4,FALSE)</f>
        <v>50000</v>
      </c>
      <c r="H4293" s="5">
        <f t="shared" ref="H4293:H4356" si="207">E4293*F4293</f>
        <v>33500</v>
      </c>
      <c r="I4293" s="5">
        <f t="shared" ref="I4293:I4356" si="208">E4293*G4293</f>
        <v>50000</v>
      </c>
      <c r="J4293" s="5">
        <f t="shared" ref="J4293:J4356" si="209">I4293-H4293</f>
        <v>16500</v>
      </c>
      <c r="K4293" s="5" t="str">
        <f>VLOOKUP(C4293,[1]master_data!$A$2:$E$495,5,FALSE)</f>
        <v>Aksesoris</v>
      </c>
      <c r="L4293" s="5" t="s">
        <v>471</v>
      </c>
    </row>
    <row r="4294" spans="1:12" ht="12" customHeight="1" x14ac:dyDescent="0.25">
      <c r="A4294" s="6">
        <v>44576</v>
      </c>
      <c r="B4294" s="1">
        <v>2200269</v>
      </c>
      <c r="C4294" s="5" t="s">
        <v>415</v>
      </c>
      <c r="D4294" s="5" t="str">
        <f>VLOOKUP(C4294,[1]master_data!$A$2:$E$495,2,FALSE)</f>
        <v>KOKI B</v>
      </c>
      <c r="E4294" s="5">
        <v>1</v>
      </c>
      <c r="F4294" s="5">
        <f>VLOOKUP(C4294,[1]master_data!$A$2:$E$495,3,FALSE)</f>
        <v>20000</v>
      </c>
      <c r="G4294" s="5">
        <f>VLOOKUP(C4294,[1]master_data!$A$2:$E$495,4,FALSE)</f>
        <v>50000</v>
      </c>
      <c r="H4294" s="5">
        <f t="shared" si="207"/>
        <v>20000</v>
      </c>
      <c r="I4294" s="5">
        <f t="shared" si="208"/>
        <v>50000</v>
      </c>
      <c r="J4294" s="5">
        <f t="shared" si="209"/>
        <v>30000</v>
      </c>
      <c r="K4294" s="5" t="str">
        <f>VLOOKUP(C4294,[1]master_data!$A$2:$E$495,5,FALSE)</f>
        <v>Ikan</v>
      </c>
      <c r="L4294" s="5" t="s">
        <v>471</v>
      </c>
    </row>
    <row r="4295" spans="1:12" ht="12" customHeight="1" x14ac:dyDescent="0.25">
      <c r="A4295" s="6">
        <v>44576</v>
      </c>
      <c r="B4295" s="1">
        <v>2200268</v>
      </c>
      <c r="C4295" s="5" t="s">
        <v>409</v>
      </c>
      <c r="D4295" s="5" t="str">
        <f>VLOOKUP(C4295,[1]master_data!$A$2:$E$495,2,FALSE)</f>
        <v>GOLD FISH</v>
      </c>
      <c r="E4295" s="5">
        <v>5</v>
      </c>
      <c r="F4295" s="5">
        <f>VLOOKUP(C4295,[1]master_data!$A$2:$E$495,3,FALSE)</f>
        <v>800</v>
      </c>
      <c r="G4295" s="5">
        <f>VLOOKUP(C4295,[1]master_data!$A$2:$E$495,4,FALSE)</f>
        <v>2000</v>
      </c>
      <c r="H4295" s="5">
        <f t="shared" si="207"/>
        <v>4000</v>
      </c>
      <c r="I4295" s="5">
        <f t="shared" si="208"/>
        <v>10000</v>
      </c>
      <c r="J4295" s="5">
        <f t="shared" si="209"/>
        <v>6000</v>
      </c>
      <c r="K4295" s="5" t="str">
        <f>VLOOKUP(C4295,[1]master_data!$A$2:$E$495,5,FALSE)</f>
        <v>Ikan</v>
      </c>
      <c r="L4295" s="5" t="s">
        <v>471</v>
      </c>
    </row>
    <row r="4296" spans="1:12" ht="12" customHeight="1" x14ac:dyDescent="0.25">
      <c r="A4296" s="6">
        <v>44576</v>
      </c>
      <c r="B4296" s="1">
        <v>2200267</v>
      </c>
      <c r="C4296" s="5" t="s">
        <v>440</v>
      </c>
      <c r="D4296" s="5" t="str">
        <f>VLOOKUP(C4296,[1]master_data!$A$2:$E$495,2,FALSE)</f>
        <v>OSCAR</v>
      </c>
      <c r="E4296" s="5">
        <v>1</v>
      </c>
      <c r="F4296" s="5">
        <f>VLOOKUP(C4296,[1]master_data!$A$2:$E$495,3,FALSE)</f>
        <v>25000</v>
      </c>
      <c r="G4296" s="5">
        <f>VLOOKUP(C4296,[1]master_data!$A$2:$E$495,4,FALSE)</f>
        <v>50000</v>
      </c>
      <c r="H4296" s="5">
        <f t="shared" si="207"/>
        <v>25000</v>
      </c>
      <c r="I4296" s="5">
        <f t="shared" si="208"/>
        <v>50000</v>
      </c>
      <c r="J4296" s="5">
        <f t="shared" si="209"/>
        <v>25000</v>
      </c>
      <c r="K4296" s="5" t="str">
        <f>VLOOKUP(C4296,[1]master_data!$A$2:$E$495,5,FALSE)</f>
        <v>Ikan</v>
      </c>
      <c r="L4296" s="5" t="s">
        <v>471</v>
      </c>
    </row>
    <row r="4297" spans="1:12" ht="12" customHeight="1" x14ac:dyDescent="0.25">
      <c r="A4297" s="6">
        <v>44576</v>
      </c>
      <c r="B4297" s="1">
        <v>2200266</v>
      </c>
      <c r="C4297" s="5" t="s">
        <v>440</v>
      </c>
      <c r="D4297" s="5" t="str">
        <f>VLOOKUP(C4297,[1]master_data!$A$2:$E$495,2,FALSE)</f>
        <v>OSCAR</v>
      </c>
      <c r="E4297" s="5">
        <v>2</v>
      </c>
      <c r="F4297" s="5">
        <f>VLOOKUP(C4297,[1]master_data!$A$2:$E$495,3,FALSE)</f>
        <v>25000</v>
      </c>
      <c r="G4297" s="5">
        <f>VLOOKUP(C4297,[1]master_data!$A$2:$E$495,4,FALSE)</f>
        <v>50000</v>
      </c>
      <c r="H4297" s="5">
        <f t="shared" si="207"/>
        <v>50000</v>
      </c>
      <c r="I4297" s="5">
        <f t="shared" si="208"/>
        <v>100000</v>
      </c>
      <c r="J4297" s="5">
        <f t="shared" si="209"/>
        <v>50000</v>
      </c>
      <c r="K4297" s="5" t="str">
        <f>VLOOKUP(C4297,[1]master_data!$A$2:$E$495,5,FALSE)</f>
        <v>Ikan</v>
      </c>
      <c r="L4297" s="5" t="s">
        <v>471</v>
      </c>
    </row>
    <row r="4298" spans="1:12" ht="12" customHeight="1" x14ac:dyDescent="0.25">
      <c r="A4298" s="6">
        <v>44576</v>
      </c>
      <c r="B4298" s="1">
        <v>2200265</v>
      </c>
      <c r="C4298" s="5" t="s">
        <v>460</v>
      </c>
      <c r="D4298" s="5" t="str">
        <f>VLOOKUP(C4298,[1]master_data!$A$2:$E$495,2,FALSE)</f>
        <v>ZEBRA KUNING</v>
      </c>
      <c r="E4298" s="5">
        <v>5</v>
      </c>
      <c r="F4298" s="5">
        <f>VLOOKUP(C4298,[1]master_data!$A$2:$E$495,3,FALSE)</f>
        <v>800</v>
      </c>
      <c r="G4298" s="5">
        <f>VLOOKUP(C4298,[1]master_data!$A$2:$E$495,4,FALSE)</f>
        <v>2000</v>
      </c>
      <c r="H4298" s="5">
        <f t="shared" si="207"/>
        <v>4000</v>
      </c>
      <c r="I4298" s="5">
        <f t="shared" si="208"/>
        <v>10000</v>
      </c>
      <c r="J4298" s="5">
        <f t="shared" si="209"/>
        <v>6000</v>
      </c>
      <c r="K4298" s="5" t="str">
        <f>VLOOKUP(C4298,[1]master_data!$A$2:$E$495,5,FALSE)</f>
        <v>Ikan</v>
      </c>
      <c r="L4298" s="5" t="s">
        <v>471</v>
      </c>
    </row>
    <row r="4299" spans="1:12" ht="12" customHeight="1" x14ac:dyDescent="0.25">
      <c r="A4299" s="6">
        <v>44576</v>
      </c>
      <c r="B4299" s="1">
        <v>2200264</v>
      </c>
      <c r="C4299" s="5" t="s">
        <v>455</v>
      </c>
      <c r="D4299" s="5" t="str">
        <f>VLOOKUP(C4299,[1]master_data!$A$2:$E$495,2,FALSE)</f>
        <v>TETRA</v>
      </c>
      <c r="E4299" s="5">
        <v>5</v>
      </c>
      <c r="F4299" s="5">
        <f>VLOOKUP(C4299,[1]master_data!$A$2:$E$495,3,FALSE)</f>
        <v>800</v>
      </c>
      <c r="G4299" s="5">
        <f>VLOOKUP(C4299,[1]master_data!$A$2:$E$495,4,FALSE)</f>
        <v>2000</v>
      </c>
      <c r="H4299" s="5">
        <f t="shared" si="207"/>
        <v>4000</v>
      </c>
      <c r="I4299" s="5">
        <f t="shared" si="208"/>
        <v>10000</v>
      </c>
      <c r="J4299" s="5">
        <f t="shared" si="209"/>
        <v>6000</v>
      </c>
      <c r="K4299" s="5" t="str">
        <f>VLOOKUP(C4299,[1]master_data!$A$2:$E$495,5,FALSE)</f>
        <v>Ikan</v>
      </c>
      <c r="L4299" s="5" t="s">
        <v>471</v>
      </c>
    </row>
    <row r="4300" spans="1:12" ht="12" customHeight="1" x14ac:dyDescent="0.25">
      <c r="A4300" s="6">
        <v>44576</v>
      </c>
      <c r="B4300" s="1">
        <v>2200263</v>
      </c>
      <c r="C4300" s="5" t="s">
        <v>136</v>
      </c>
      <c r="D4300" s="5" t="str">
        <f>VLOOKUP(C4300,[1]master_data!$A$2:$E$495,2,FALSE)</f>
        <v>LED NIKITA NS 600</v>
      </c>
      <c r="E4300" s="5">
        <v>1</v>
      </c>
      <c r="F4300" s="5">
        <f>VLOOKUP(C4300,[1]master_data!$A$2:$E$495,3,FALSE)</f>
        <v>50000</v>
      </c>
      <c r="G4300" s="5">
        <f>VLOOKUP(C4300,[1]master_data!$A$2:$E$495,4,FALSE)</f>
        <v>75000</v>
      </c>
      <c r="H4300" s="5">
        <f t="shared" si="207"/>
        <v>50000</v>
      </c>
      <c r="I4300" s="5">
        <f t="shared" si="208"/>
        <v>75000</v>
      </c>
      <c r="J4300" s="5">
        <f t="shared" si="209"/>
        <v>25000</v>
      </c>
      <c r="K4300" s="5" t="str">
        <f>VLOOKUP(C4300,[1]master_data!$A$2:$E$495,5,FALSE)</f>
        <v>Aksesoris</v>
      </c>
      <c r="L4300" s="5" t="s">
        <v>471</v>
      </c>
    </row>
    <row r="4301" spans="1:12" ht="12" customHeight="1" x14ac:dyDescent="0.25">
      <c r="A4301" s="6">
        <v>44576</v>
      </c>
      <c r="B4301" s="1">
        <v>2200262</v>
      </c>
      <c r="C4301" s="5" t="s">
        <v>22</v>
      </c>
      <c r="D4301" s="5" t="str">
        <f>VLOOKUP(C4301,[1]master_data!$A$2:$E$495,2,FALSE)</f>
        <v>MESIN ROSTON 2600</v>
      </c>
      <c r="E4301" s="5">
        <v>1</v>
      </c>
      <c r="F4301" s="5">
        <f>VLOOKUP(C4301,[1]master_data!$A$2:$E$495,3,FALSE)</f>
        <v>45000</v>
      </c>
      <c r="G4301" s="5">
        <f>VLOOKUP(C4301,[1]master_data!$A$2:$E$495,4,FALSE)</f>
        <v>75000</v>
      </c>
      <c r="H4301" s="5">
        <f t="shared" si="207"/>
        <v>45000</v>
      </c>
      <c r="I4301" s="5">
        <f t="shared" si="208"/>
        <v>75000</v>
      </c>
      <c r="J4301" s="5">
        <f t="shared" si="209"/>
        <v>30000</v>
      </c>
      <c r="K4301" s="5" t="str">
        <f>VLOOKUP(C4301,[1]master_data!$A$2:$E$495,5,FALSE)</f>
        <v>Aksesoris</v>
      </c>
      <c r="L4301" s="5" t="s">
        <v>471</v>
      </c>
    </row>
    <row r="4302" spans="1:12" ht="12" customHeight="1" x14ac:dyDescent="0.25">
      <c r="A4302" s="6">
        <v>44576</v>
      </c>
      <c r="B4302" s="1">
        <v>2200261</v>
      </c>
      <c r="C4302" s="5" t="s">
        <v>281</v>
      </c>
      <c r="D4302" s="5" t="str">
        <f>VLOOKUP(C4302,[1]master_data!$A$2:$E$495,2,FALSE)</f>
        <v>KRAN 3 W</v>
      </c>
      <c r="E4302" s="5">
        <v>1</v>
      </c>
      <c r="F4302" s="5">
        <f>VLOOKUP(C4302,[1]master_data!$A$2:$E$495,3,FALSE)</f>
        <v>5500</v>
      </c>
      <c r="G4302" s="5">
        <f>VLOOKUP(C4302,[1]master_data!$A$2:$E$495,4,FALSE)</f>
        <v>8000</v>
      </c>
      <c r="H4302" s="5">
        <f t="shared" si="207"/>
        <v>5500</v>
      </c>
      <c r="I4302" s="5">
        <f t="shared" si="208"/>
        <v>8000</v>
      </c>
      <c r="J4302" s="5">
        <f t="shared" si="209"/>
        <v>2500</v>
      </c>
      <c r="K4302" s="5" t="str">
        <f>VLOOKUP(C4302,[1]master_data!$A$2:$E$495,5,FALSE)</f>
        <v>Aksesoris</v>
      </c>
      <c r="L4302" s="5" t="s">
        <v>471</v>
      </c>
    </row>
    <row r="4303" spans="1:12" ht="12" customHeight="1" x14ac:dyDescent="0.25">
      <c r="A4303" s="6">
        <v>44575</v>
      </c>
      <c r="B4303" s="1">
        <v>2200260</v>
      </c>
      <c r="C4303" s="5" t="s">
        <v>420</v>
      </c>
      <c r="D4303" s="5" t="str">
        <f>VLOOKUP(C4303,[1]master_data!$A$2:$E$495,2,FALSE)</f>
        <v>KAVIAT</v>
      </c>
      <c r="E4303" s="5">
        <v>1</v>
      </c>
      <c r="F4303" s="5">
        <f>VLOOKUP(C4303,[1]master_data!$A$2:$E$495,3,FALSE)</f>
        <v>3500</v>
      </c>
      <c r="G4303" s="5">
        <f>VLOOKUP(C4303,[1]master_data!$A$2:$E$495,4,FALSE)</f>
        <v>8000</v>
      </c>
      <c r="H4303" s="5">
        <f t="shared" si="207"/>
        <v>3500</v>
      </c>
      <c r="I4303" s="5">
        <f t="shared" si="208"/>
        <v>8000</v>
      </c>
      <c r="J4303" s="5">
        <f t="shared" si="209"/>
        <v>4500</v>
      </c>
      <c r="K4303" s="5" t="str">
        <f>VLOOKUP(C4303,[1]master_data!$A$2:$E$495,5,FALSE)</f>
        <v>Ikan</v>
      </c>
      <c r="L4303" s="5" t="s">
        <v>471</v>
      </c>
    </row>
    <row r="4304" spans="1:12" ht="12" customHeight="1" x14ac:dyDescent="0.25">
      <c r="A4304" s="6">
        <v>44575</v>
      </c>
      <c r="B4304" s="1">
        <v>2200259</v>
      </c>
      <c r="C4304" s="5" t="s">
        <v>405</v>
      </c>
      <c r="D4304" s="5" t="str">
        <f>VLOOKUP(C4304,[1]master_data!$A$2:$E$495,2,FALSE)</f>
        <v>KOMET BOKIM</v>
      </c>
      <c r="E4304" s="5">
        <v>10</v>
      </c>
      <c r="F4304" s="5">
        <f>VLOOKUP(C4304,[1]master_data!$A$2:$E$495,3,FALSE)</f>
        <v>1500</v>
      </c>
      <c r="G4304" s="5">
        <f>VLOOKUP(C4304,[1]master_data!$A$2:$E$495,4,FALSE)</f>
        <v>5000</v>
      </c>
      <c r="H4304" s="5">
        <f t="shared" si="207"/>
        <v>15000</v>
      </c>
      <c r="I4304" s="5">
        <f t="shared" si="208"/>
        <v>50000</v>
      </c>
      <c r="J4304" s="5">
        <f t="shared" si="209"/>
        <v>35000</v>
      </c>
      <c r="K4304" s="5" t="str">
        <f>VLOOKUP(C4304,[1]master_data!$A$2:$E$495,5,FALSE)</f>
        <v>Ikan</v>
      </c>
      <c r="L4304" s="5" t="s">
        <v>471</v>
      </c>
    </row>
    <row r="4305" spans="1:12" ht="12" customHeight="1" x14ac:dyDescent="0.25">
      <c r="A4305" s="6">
        <v>44575</v>
      </c>
      <c r="B4305" s="1">
        <v>2200258</v>
      </c>
      <c r="C4305" s="5" t="s">
        <v>419</v>
      </c>
      <c r="D4305" s="5" t="str">
        <f>VLOOKUP(C4305,[1]master_data!$A$2:$E$495,2,FALSE)</f>
        <v>KURA - KURA</v>
      </c>
      <c r="E4305" s="5">
        <v>1</v>
      </c>
      <c r="F4305" s="5">
        <f>VLOOKUP(C4305,[1]master_data!$A$2:$E$495,3,FALSE)</f>
        <v>25000</v>
      </c>
      <c r="G4305" s="5">
        <f>VLOOKUP(C4305,[1]master_data!$A$2:$E$495,4,FALSE)</f>
        <v>35000</v>
      </c>
      <c r="H4305" s="5">
        <f t="shared" si="207"/>
        <v>25000</v>
      </c>
      <c r="I4305" s="5">
        <f t="shared" si="208"/>
        <v>35000</v>
      </c>
      <c r="J4305" s="5">
        <f t="shared" si="209"/>
        <v>10000</v>
      </c>
      <c r="K4305" s="5" t="str">
        <f>VLOOKUP(C4305,[1]master_data!$A$2:$E$495,5,FALSE)</f>
        <v>Ikan</v>
      </c>
      <c r="L4305" s="5" t="s">
        <v>471</v>
      </c>
    </row>
    <row r="4306" spans="1:12" ht="12" customHeight="1" x14ac:dyDescent="0.25">
      <c r="A4306" s="6">
        <v>44575</v>
      </c>
      <c r="B4306" s="1">
        <v>2200257</v>
      </c>
      <c r="C4306" s="5" t="s">
        <v>285</v>
      </c>
      <c r="D4306" s="5" t="str">
        <f>VLOOKUP(C4306,[1]master_data!$A$2:$E$495,2,FALSE)</f>
        <v>KAPAS 4 LAPIS</v>
      </c>
      <c r="E4306" s="5">
        <v>1</v>
      </c>
      <c r="F4306" s="5">
        <f>VLOOKUP(C4306,[1]master_data!$A$2:$E$495,3,FALSE)</f>
        <v>6500</v>
      </c>
      <c r="G4306" s="5">
        <f>VLOOKUP(C4306,[1]master_data!$A$2:$E$495,4,FALSE)</f>
        <v>10000</v>
      </c>
      <c r="H4306" s="5">
        <f t="shared" si="207"/>
        <v>6500</v>
      </c>
      <c r="I4306" s="5">
        <f t="shared" si="208"/>
        <v>10000</v>
      </c>
      <c r="J4306" s="5">
        <f t="shared" si="209"/>
        <v>3500</v>
      </c>
      <c r="K4306" s="5" t="str">
        <f>VLOOKUP(C4306,[1]master_data!$A$2:$E$495,5,FALSE)</f>
        <v>Aksesoris</v>
      </c>
      <c r="L4306" s="5" t="s">
        <v>471</v>
      </c>
    </row>
    <row r="4307" spans="1:12" ht="12" customHeight="1" x14ac:dyDescent="0.25">
      <c r="A4307" s="6">
        <v>44575</v>
      </c>
      <c r="B4307" s="1">
        <v>2200256</v>
      </c>
      <c r="C4307" s="5" t="s">
        <v>40</v>
      </c>
      <c r="D4307" s="5" t="str">
        <f>VLOOKUP(C4307,[1]master_data!$A$2:$E$495,2,FALSE)</f>
        <v>MESIN YAMANO ACO 001</v>
      </c>
      <c r="E4307" s="5">
        <v>1</v>
      </c>
      <c r="F4307" s="5">
        <f>VLOOKUP(C4307,[1]master_data!$A$2:$E$495,3,FALSE)</f>
        <v>275000</v>
      </c>
      <c r="G4307" s="5">
        <f>VLOOKUP(C4307,[1]master_data!$A$2:$E$495,4,FALSE)</f>
        <v>350000</v>
      </c>
      <c r="H4307" s="5">
        <f t="shared" si="207"/>
        <v>275000</v>
      </c>
      <c r="I4307" s="5">
        <f t="shared" si="208"/>
        <v>350000</v>
      </c>
      <c r="J4307" s="5">
        <f t="shared" si="209"/>
        <v>75000</v>
      </c>
      <c r="K4307" s="5" t="str">
        <f>VLOOKUP(C4307,[1]master_data!$A$2:$E$495,5,FALSE)</f>
        <v>Aksesoris</v>
      </c>
      <c r="L4307" s="5" t="s">
        <v>471</v>
      </c>
    </row>
    <row r="4308" spans="1:12" ht="12" customHeight="1" x14ac:dyDescent="0.25">
      <c r="A4308" s="6">
        <v>44575</v>
      </c>
      <c r="B4308" s="1">
        <v>2200255</v>
      </c>
      <c r="C4308" s="5" t="s">
        <v>257</v>
      </c>
      <c r="D4308" s="5" t="str">
        <f>VLOOKUP(C4308,[1]master_data!$A$2:$E$495,2,FALSE)</f>
        <v>BILTS K</v>
      </c>
      <c r="E4308" s="5">
        <v>1</v>
      </c>
      <c r="F4308" s="5">
        <f>VLOOKUP(C4308,[1]master_data!$A$2:$E$495,3,FALSE)</f>
        <v>5000</v>
      </c>
      <c r="G4308" s="5">
        <f>VLOOKUP(C4308,[1]master_data!$A$2:$E$495,4,FALSE)</f>
        <v>7000</v>
      </c>
      <c r="H4308" s="5">
        <f t="shared" si="207"/>
        <v>5000</v>
      </c>
      <c r="I4308" s="5">
        <f t="shared" si="208"/>
        <v>7000</v>
      </c>
      <c r="J4308" s="5">
        <f t="shared" si="209"/>
        <v>2000</v>
      </c>
      <c r="K4308" s="5" t="str">
        <f>VLOOKUP(C4308,[1]master_data!$A$2:$E$495,5,FALSE)</f>
        <v>Aksesoris</v>
      </c>
      <c r="L4308" s="5" t="s">
        <v>471</v>
      </c>
    </row>
    <row r="4309" spans="1:12" ht="12" customHeight="1" x14ac:dyDescent="0.25">
      <c r="A4309" s="6">
        <v>44575</v>
      </c>
      <c r="B4309" s="1">
        <v>2200254</v>
      </c>
      <c r="C4309" s="5" t="s">
        <v>202</v>
      </c>
      <c r="D4309" s="5" t="str">
        <f>VLOOKUP(C4309,[1]master_data!$A$2:$E$495,2,FALSE)</f>
        <v>HOKKY COLOUR MAX</v>
      </c>
      <c r="E4309" s="5">
        <v>1</v>
      </c>
      <c r="F4309" s="5">
        <f>VLOOKUP(C4309,[1]master_data!$A$2:$E$495,3,FALSE)</f>
        <v>7600</v>
      </c>
      <c r="G4309" s="5">
        <f>VLOOKUP(C4309,[1]master_data!$A$2:$E$495,4,FALSE)</f>
        <v>10000</v>
      </c>
      <c r="H4309" s="5">
        <f t="shared" si="207"/>
        <v>7600</v>
      </c>
      <c r="I4309" s="5">
        <f t="shared" si="208"/>
        <v>10000</v>
      </c>
      <c r="J4309" s="5">
        <f t="shared" si="209"/>
        <v>2400</v>
      </c>
      <c r="K4309" s="5" t="str">
        <f>VLOOKUP(C4309,[1]master_data!$A$2:$E$495,5,FALSE)</f>
        <v>Aksesoris</v>
      </c>
      <c r="L4309" s="5" t="s">
        <v>471</v>
      </c>
    </row>
    <row r="4310" spans="1:12" ht="12" customHeight="1" x14ac:dyDescent="0.25">
      <c r="A4310" s="6">
        <v>44575</v>
      </c>
      <c r="B4310" s="1">
        <v>2200253</v>
      </c>
      <c r="C4310" s="5" t="s">
        <v>285</v>
      </c>
      <c r="D4310" s="5" t="str">
        <f>VLOOKUP(C4310,[1]master_data!$A$2:$E$495,2,FALSE)</f>
        <v>KAPAS 4 LAPIS</v>
      </c>
      <c r="E4310" s="5">
        <v>2</v>
      </c>
      <c r="F4310" s="5">
        <f>VLOOKUP(C4310,[1]master_data!$A$2:$E$495,3,FALSE)</f>
        <v>6500</v>
      </c>
      <c r="G4310" s="5">
        <f>VLOOKUP(C4310,[1]master_data!$A$2:$E$495,4,FALSE)</f>
        <v>10000</v>
      </c>
      <c r="H4310" s="5">
        <f t="shared" si="207"/>
        <v>13000</v>
      </c>
      <c r="I4310" s="5">
        <f t="shared" si="208"/>
        <v>20000</v>
      </c>
      <c r="J4310" s="5">
        <f t="shared" si="209"/>
        <v>7000</v>
      </c>
      <c r="K4310" s="5" t="str">
        <f>VLOOKUP(C4310,[1]master_data!$A$2:$E$495,5,FALSE)</f>
        <v>Aksesoris</v>
      </c>
      <c r="L4310" s="5" t="s">
        <v>471</v>
      </c>
    </row>
    <row r="4311" spans="1:12" ht="12" customHeight="1" x14ac:dyDescent="0.25">
      <c r="A4311" s="6">
        <v>44575</v>
      </c>
      <c r="B4311" s="1">
        <v>2200252</v>
      </c>
      <c r="C4311" s="5" t="s">
        <v>285</v>
      </c>
      <c r="D4311" s="5" t="str">
        <f>VLOOKUP(C4311,[1]master_data!$A$2:$E$495,2,FALSE)</f>
        <v>KAPAS 4 LAPIS</v>
      </c>
      <c r="E4311" s="5">
        <v>1</v>
      </c>
      <c r="F4311" s="5">
        <f>VLOOKUP(C4311,[1]master_data!$A$2:$E$495,3,FALSE)</f>
        <v>6500</v>
      </c>
      <c r="G4311" s="5">
        <f>VLOOKUP(C4311,[1]master_data!$A$2:$E$495,4,FALSE)</f>
        <v>10000</v>
      </c>
      <c r="H4311" s="5">
        <f t="shared" si="207"/>
        <v>6500</v>
      </c>
      <c r="I4311" s="5">
        <f t="shared" si="208"/>
        <v>10000</v>
      </c>
      <c r="J4311" s="5">
        <f t="shared" si="209"/>
        <v>3500</v>
      </c>
      <c r="K4311" s="5" t="str">
        <f>VLOOKUP(C4311,[1]master_data!$A$2:$E$495,5,FALSE)</f>
        <v>Aksesoris</v>
      </c>
      <c r="L4311" s="5" t="s">
        <v>471</v>
      </c>
    </row>
    <row r="4312" spans="1:12" ht="12" customHeight="1" x14ac:dyDescent="0.25">
      <c r="A4312" s="6">
        <v>44575</v>
      </c>
      <c r="B4312" s="1">
        <v>2200251</v>
      </c>
      <c r="C4312" s="5" t="s">
        <v>39</v>
      </c>
      <c r="D4312" s="5" t="str">
        <f>VLOOKUP(C4312,[1]master_data!$A$2:$E$495,2,FALSE)</f>
        <v>MESIN YAMANO 107</v>
      </c>
      <c r="E4312" s="5">
        <v>1</v>
      </c>
      <c r="F4312" s="5">
        <f>VLOOKUP(C4312,[1]master_data!$A$2:$E$495,3,FALSE)</f>
        <v>280000</v>
      </c>
      <c r="G4312" s="5">
        <f>VLOOKUP(C4312,[1]master_data!$A$2:$E$495,4,FALSE)</f>
        <v>321000</v>
      </c>
      <c r="H4312" s="5">
        <f t="shared" si="207"/>
        <v>280000</v>
      </c>
      <c r="I4312" s="5">
        <f t="shared" si="208"/>
        <v>321000</v>
      </c>
      <c r="J4312" s="5">
        <f t="shared" si="209"/>
        <v>41000</v>
      </c>
      <c r="K4312" s="5" t="str">
        <f>VLOOKUP(C4312,[1]master_data!$A$2:$E$495,5,FALSE)</f>
        <v>Aksesoris</v>
      </c>
      <c r="L4312" s="5" t="s">
        <v>471</v>
      </c>
    </row>
    <row r="4313" spans="1:12" ht="12" customHeight="1" x14ac:dyDescent="0.25">
      <c r="A4313" s="6">
        <v>44575</v>
      </c>
      <c r="B4313" s="1">
        <v>2200250</v>
      </c>
      <c r="C4313" s="5" t="s">
        <v>451</v>
      </c>
      <c r="D4313" s="5" t="str">
        <f>VLOOKUP(C4313,[1]master_data!$A$2:$E$495,2,FALSE)</f>
        <v>SUMATRA GOLD FISH</v>
      </c>
      <c r="E4313" s="5">
        <v>3</v>
      </c>
      <c r="F4313" s="5">
        <f>VLOOKUP(C4313,[1]master_data!$A$2:$E$495,3,FALSE)</f>
        <v>2500</v>
      </c>
      <c r="G4313" s="5">
        <f>VLOOKUP(C4313,[1]master_data!$A$2:$E$495,4,FALSE)</f>
        <v>4000</v>
      </c>
      <c r="H4313" s="5">
        <f t="shared" si="207"/>
        <v>7500</v>
      </c>
      <c r="I4313" s="5">
        <f t="shared" si="208"/>
        <v>12000</v>
      </c>
      <c r="J4313" s="5">
        <f t="shared" si="209"/>
        <v>4500</v>
      </c>
      <c r="K4313" s="5" t="str">
        <f>VLOOKUP(C4313,[1]master_data!$A$2:$E$495,5,FALSE)</f>
        <v>Ikan</v>
      </c>
      <c r="L4313" s="5" t="s">
        <v>471</v>
      </c>
    </row>
    <row r="4314" spans="1:12" ht="12" customHeight="1" x14ac:dyDescent="0.25">
      <c r="A4314" s="6">
        <v>44575</v>
      </c>
      <c r="B4314" s="1">
        <v>2200249</v>
      </c>
      <c r="C4314" s="5" t="s">
        <v>310</v>
      </c>
      <c r="D4314" s="5" t="str">
        <f>VLOOKUP(C4314,[1]master_data!$A$2:$E$495,2,FALSE)</f>
        <v>SELANG FUSO</v>
      </c>
      <c r="E4314" s="5">
        <v>20</v>
      </c>
      <c r="F4314" s="5">
        <f>VLOOKUP(C4314,[1]master_data!$A$2:$E$495,3,FALSE)</f>
        <v>800</v>
      </c>
      <c r="G4314" s="5">
        <f>VLOOKUP(C4314,[1]master_data!$A$2:$E$495,4,FALSE)</f>
        <v>2000</v>
      </c>
      <c r="H4314" s="5">
        <f t="shared" si="207"/>
        <v>16000</v>
      </c>
      <c r="I4314" s="5">
        <f t="shared" si="208"/>
        <v>40000</v>
      </c>
      <c r="J4314" s="5">
        <f t="shared" si="209"/>
        <v>24000</v>
      </c>
      <c r="K4314" s="5" t="str">
        <f>VLOOKUP(C4314,[1]master_data!$A$2:$E$495,5,FALSE)</f>
        <v>Aksesoris</v>
      </c>
      <c r="L4314" s="5" t="s">
        <v>471</v>
      </c>
    </row>
    <row r="4315" spans="1:12" ht="12" customHeight="1" x14ac:dyDescent="0.25">
      <c r="A4315" s="6">
        <v>44575</v>
      </c>
      <c r="B4315" s="1">
        <v>2200248</v>
      </c>
      <c r="C4315" s="5" t="s">
        <v>450</v>
      </c>
      <c r="D4315" s="5" t="str">
        <f>VLOOKUP(C4315,[1]master_data!$A$2:$E$495,2,FALSE)</f>
        <v>SUMATRA BIASA</v>
      </c>
      <c r="E4315" s="5">
        <v>5</v>
      </c>
      <c r="F4315" s="5">
        <f>VLOOKUP(C4315,[1]master_data!$A$2:$E$495,3,FALSE)</f>
        <v>800</v>
      </c>
      <c r="G4315" s="5">
        <f>VLOOKUP(C4315,[1]master_data!$A$2:$E$495,4,FALSE)</f>
        <v>2000</v>
      </c>
      <c r="H4315" s="5">
        <f t="shared" si="207"/>
        <v>4000</v>
      </c>
      <c r="I4315" s="5">
        <f t="shared" si="208"/>
        <v>10000</v>
      </c>
      <c r="J4315" s="5">
        <f t="shared" si="209"/>
        <v>6000</v>
      </c>
      <c r="K4315" s="5" t="str">
        <f>VLOOKUP(C4315,[1]master_data!$A$2:$E$495,5,FALSE)</f>
        <v>Ikan</v>
      </c>
      <c r="L4315" s="5" t="s">
        <v>471</v>
      </c>
    </row>
    <row r="4316" spans="1:12" ht="12" customHeight="1" x14ac:dyDescent="0.25">
      <c r="A4316" s="6">
        <v>44575</v>
      </c>
      <c r="B4316" s="1">
        <v>2200247</v>
      </c>
      <c r="C4316" s="5" t="s">
        <v>420</v>
      </c>
      <c r="D4316" s="5" t="str">
        <f>VLOOKUP(C4316,[1]master_data!$A$2:$E$495,2,FALSE)</f>
        <v>KAVIAT</v>
      </c>
      <c r="E4316" s="5">
        <v>1</v>
      </c>
      <c r="F4316" s="5">
        <f>VLOOKUP(C4316,[1]master_data!$A$2:$E$495,3,FALSE)</f>
        <v>3500</v>
      </c>
      <c r="G4316" s="5">
        <f>VLOOKUP(C4316,[1]master_data!$A$2:$E$495,4,FALSE)</f>
        <v>8000</v>
      </c>
      <c r="H4316" s="5">
        <f t="shared" si="207"/>
        <v>3500</v>
      </c>
      <c r="I4316" s="5">
        <f t="shared" si="208"/>
        <v>8000</v>
      </c>
      <c r="J4316" s="5">
        <f t="shared" si="209"/>
        <v>4500</v>
      </c>
      <c r="K4316" s="5" t="str">
        <f>VLOOKUP(C4316,[1]master_data!$A$2:$E$495,5,FALSE)</f>
        <v>Ikan</v>
      </c>
      <c r="L4316" s="5" t="s">
        <v>471</v>
      </c>
    </row>
    <row r="4317" spans="1:12" ht="12" customHeight="1" x14ac:dyDescent="0.25">
      <c r="A4317" s="6">
        <v>44575</v>
      </c>
      <c r="B4317" s="1">
        <v>2200246</v>
      </c>
      <c r="C4317" s="5" t="s">
        <v>450</v>
      </c>
      <c r="D4317" s="5" t="str">
        <f>VLOOKUP(C4317,[1]master_data!$A$2:$E$495,2,FALSE)</f>
        <v>SUMATRA BIASA</v>
      </c>
      <c r="E4317" s="5">
        <v>5</v>
      </c>
      <c r="F4317" s="5">
        <f>VLOOKUP(C4317,[1]master_data!$A$2:$E$495,3,FALSE)</f>
        <v>800</v>
      </c>
      <c r="G4317" s="5">
        <f>VLOOKUP(C4317,[1]master_data!$A$2:$E$495,4,FALSE)</f>
        <v>2000</v>
      </c>
      <c r="H4317" s="5">
        <f t="shared" si="207"/>
        <v>4000</v>
      </c>
      <c r="I4317" s="5">
        <f t="shared" si="208"/>
        <v>10000</v>
      </c>
      <c r="J4317" s="5">
        <f t="shared" si="209"/>
        <v>6000</v>
      </c>
      <c r="K4317" s="5" t="str">
        <f>VLOOKUP(C4317,[1]master_data!$A$2:$E$495,5,FALSE)</f>
        <v>Ikan</v>
      </c>
      <c r="L4317" s="5" t="s">
        <v>471</v>
      </c>
    </row>
    <row r="4318" spans="1:12" ht="12" customHeight="1" x14ac:dyDescent="0.25">
      <c r="A4318" s="6">
        <v>44575</v>
      </c>
      <c r="B4318" s="1">
        <v>2200245</v>
      </c>
      <c r="C4318" s="5" t="s">
        <v>439</v>
      </c>
      <c r="D4318" s="5" t="str">
        <f>VLOOKUP(C4318,[1]master_data!$A$2:$E$495,2,FALSE)</f>
        <v>NEON</v>
      </c>
      <c r="E4318" s="5">
        <v>4</v>
      </c>
      <c r="F4318" s="5">
        <f>VLOOKUP(C4318,[1]master_data!$A$2:$E$495,3,FALSE)</f>
        <v>1250</v>
      </c>
      <c r="G4318" s="5">
        <f>VLOOKUP(C4318,[1]master_data!$A$2:$E$495,4,FALSE)</f>
        <v>5000</v>
      </c>
      <c r="H4318" s="5">
        <f t="shared" si="207"/>
        <v>5000</v>
      </c>
      <c r="I4318" s="5">
        <f t="shared" si="208"/>
        <v>20000</v>
      </c>
      <c r="J4318" s="5">
        <f t="shared" si="209"/>
        <v>15000</v>
      </c>
      <c r="K4318" s="5" t="str">
        <f>VLOOKUP(C4318,[1]master_data!$A$2:$E$495,5,FALSE)</f>
        <v>Ikan</v>
      </c>
      <c r="L4318" s="5" t="s">
        <v>471</v>
      </c>
    </row>
    <row r="4319" spans="1:12" ht="12" customHeight="1" x14ac:dyDescent="0.25">
      <c r="A4319" s="6">
        <v>44575</v>
      </c>
      <c r="B4319" s="1">
        <v>2200244</v>
      </c>
      <c r="C4319" s="5" t="s">
        <v>455</v>
      </c>
      <c r="D4319" s="5" t="str">
        <f>VLOOKUP(C4319,[1]master_data!$A$2:$E$495,2,FALSE)</f>
        <v>TETRA</v>
      </c>
      <c r="E4319" s="5">
        <v>10</v>
      </c>
      <c r="F4319" s="5">
        <f>VLOOKUP(C4319,[1]master_data!$A$2:$E$495,3,FALSE)</f>
        <v>800</v>
      </c>
      <c r="G4319" s="5">
        <f>VLOOKUP(C4319,[1]master_data!$A$2:$E$495,4,FALSE)</f>
        <v>2000</v>
      </c>
      <c r="H4319" s="5">
        <f t="shared" si="207"/>
        <v>8000</v>
      </c>
      <c r="I4319" s="5">
        <f t="shared" si="208"/>
        <v>20000</v>
      </c>
      <c r="J4319" s="5">
        <f t="shared" si="209"/>
        <v>12000</v>
      </c>
      <c r="K4319" s="5" t="str">
        <f>VLOOKUP(C4319,[1]master_data!$A$2:$E$495,5,FALSE)</f>
        <v>Ikan</v>
      </c>
      <c r="L4319" s="5" t="s">
        <v>471</v>
      </c>
    </row>
    <row r="4320" spans="1:12" ht="12" customHeight="1" x14ac:dyDescent="0.25">
      <c r="A4320" s="6">
        <v>44575</v>
      </c>
      <c r="B4320" s="1">
        <v>2200243</v>
      </c>
      <c r="C4320" s="5" t="s">
        <v>409</v>
      </c>
      <c r="D4320" s="5" t="str">
        <f>VLOOKUP(C4320,[1]master_data!$A$2:$E$495,2,FALSE)</f>
        <v>GOLD FISH</v>
      </c>
      <c r="E4320" s="5">
        <v>5</v>
      </c>
      <c r="F4320" s="5">
        <f>VLOOKUP(C4320,[1]master_data!$A$2:$E$495,3,FALSE)</f>
        <v>800</v>
      </c>
      <c r="G4320" s="5">
        <f>VLOOKUP(C4320,[1]master_data!$A$2:$E$495,4,FALSE)</f>
        <v>2000</v>
      </c>
      <c r="H4320" s="5">
        <f t="shared" si="207"/>
        <v>4000</v>
      </c>
      <c r="I4320" s="5">
        <f t="shared" si="208"/>
        <v>10000</v>
      </c>
      <c r="J4320" s="5">
        <f t="shared" si="209"/>
        <v>6000</v>
      </c>
      <c r="K4320" s="5" t="str">
        <f>VLOOKUP(C4320,[1]master_data!$A$2:$E$495,5,FALSE)</f>
        <v>Ikan</v>
      </c>
      <c r="L4320" s="5" t="s">
        <v>471</v>
      </c>
    </row>
    <row r="4321" spans="1:12" ht="12" customHeight="1" x14ac:dyDescent="0.25">
      <c r="A4321" s="6">
        <v>44575</v>
      </c>
      <c r="B4321" s="1">
        <v>2200242</v>
      </c>
      <c r="C4321" s="5" t="s">
        <v>257</v>
      </c>
      <c r="D4321" s="5" t="str">
        <f>VLOOKUP(C4321,[1]master_data!$A$2:$E$495,2,FALSE)</f>
        <v>BILTS K</v>
      </c>
      <c r="E4321" s="5">
        <v>1</v>
      </c>
      <c r="F4321" s="5">
        <f>VLOOKUP(C4321,[1]master_data!$A$2:$E$495,3,FALSE)</f>
        <v>5000</v>
      </c>
      <c r="G4321" s="5">
        <f>VLOOKUP(C4321,[1]master_data!$A$2:$E$495,4,FALSE)</f>
        <v>7000</v>
      </c>
      <c r="H4321" s="5">
        <f t="shared" si="207"/>
        <v>5000</v>
      </c>
      <c r="I4321" s="5">
        <f t="shared" si="208"/>
        <v>7000</v>
      </c>
      <c r="J4321" s="5">
        <f t="shared" si="209"/>
        <v>2000</v>
      </c>
      <c r="K4321" s="5" t="str">
        <f>VLOOKUP(C4321,[1]master_data!$A$2:$E$495,5,FALSE)</f>
        <v>Aksesoris</v>
      </c>
      <c r="L4321" s="5" t="s">
        <v>471</v>
      </c>
    </row>
    <row r="4322" spans="1:12" ht="12" customHeight="1" x14ac:dyDescent="0.25">
      <c r="A4322" s="6">
        <v>44574</v>
      </c>
      <c r="B4322" s="1">
        <v>2200241</v>
      </c>
      <c r="C4322" s="5" t="s">
        <v>460</v>
      </c>
      <c r="D4322" s="5" t="str">
        <f>VLOOKUP(C4322,[1]master_data!$A$2:$E$495,2,FALSE)</f>
        <v>ZEBRA KUNING</v>
      </c>
      <c r="E4322" s="5">
        <v>5</v>
      </c>
      <c r="F4322" s="5">
        <f>VLOOKUP(C4322,[1]master_data!$A$2:$E$495,3,FALSE)</f>
        <v>800</v>
      </c>
      <c r="G4322" s="5">
        <f>VLOOKUP(C4322,[1]master_data!$A$2:$E$495,4,FALSE)</f>
        <v>2000</v>
      </c>
      <c r="H4322" s="5">
        <f t="shared" si="207"/>
        <v>4000</v>
      </c>
      <c r="I4322" s="5">
        <f t="shared" si="208"/>
        <v>10000</v>
      </c>
      <c r="J4322" s="5">
        <f t="shared" si="209"/>
        <v>6000</v>
      </c>
      <c r="K4322" s="5" t="str">
        <f>VLOOKUP(C4322,[1]master_data!$A$2:$E$495,5,FALSE)</f>
        <v>Ikan</v>
      </c>
      <c r="L4322" s="5" t="s">
        <v>471</v>
      </c>
    </row>
    <row r="4323" spans="1:12" ht="12" customHeight="1" x14ac:dyDescent="0.25">
      <c r="A4323" s="6">
        <v>44574</v>
      </c>
      <c r="B4323" s="1">
        <v>2200240</v>
      </c>
      <c r="C4323" s="5" t="s">
        <v>327</v>
      </c>
      <c r="D4323" s="5" t="str">
        <f>VLOOKUP(C4323,[1]master_data!$A$2:$E$495,2,FALSE)</f>
        <v>AIRSTONE K</v>
      </c>
      <c r="E4323" s="5">
        <v>1</v>
      </c>
      <c r="F4323" s="5">
        <f>VLOOKUP(C4323,[1]master_data!$A$2:$E$495,3,FALSE)</f>
        <v>850</v>
      </c>
      <c r="G4323" s="5">
        <f>VLOOKUP(C4323,[1]master_data!$A$2:$E$495,4,FALSE)</f>
        <v>3000</v>
      </c>
      <c r="H4323" s="5">
        <f t="shared" si="207"/>
        <v>850</v>
      </c>
      <c r="I4323" s="5">
        <f t="shared" si="208"/>
        <v>3000</v>
      </c>
      <c r="J4323" s="5">
        <f t="shared" si="209"/>
        <v>2150</v>
      </c>
      <c r="K4323" s="5" t="str">
        <f>VLOOKUP(C4323,[1]master_data!$A$2:$E$495,5,FALSE)</f>
        <v>Aksesoris</v>
      </c>
      <c r="L4323" s="5" t="s">
        <v>471</v>
      </c>
    </row>
    <row r="4324" spans="1:12" ht="12" customHeight="1" x14ac:dyDescent="0.25">
      <c r="A4324" s="6">
        <v>44574</v>
      </c>
      <c r="B4324" s="1">
        <v>2200239</v>
      </c>
      <c r="C4324" s="5" t="s">
        <v>453</v>
      </c>
      <c r="D4324" s="5" t="str">
        <f>VLOOKUP(C4324,[1]master_data!$A$2:$E$495,2,FALSE)</f>
        <v>SYNODONTIS K</v>
      </c>
      <c r="E4324" s="5">
        <v>2</v>
      </c>
      <c r="F4324" s="5">
        <f>VLOOKUP(C4324,[1]master_data!$A$2:$E$495,3,FALSE)</f>
        <v>1500</v>
      </c>
      <c r="G4324" s="5">
        <f>VLOOKUP(C4324,[1]master_data!$A$2:$E$495,4,FALSE)</f>
        <v>5000</v>
      </c>
      <c r="H4324" s="5">
        <f t="shared" si="207"/>
        <v>3000</v>
      </c>
      <c r="I4324" s="5">
        <f t="shared" si="208"/>
        <v>10000</v>
      </c>
      <c r="J4324" s="5">
        <f t="shared" si="209"/>
        <v>7000</v>
      </c>
      <c r="K4324" s="5" t="str">
        <f>VLOOKUP(C4324,[1]master_data!$A$2:$E$495,5,FALSE)</f>
        <v>Ikan</v>
      </c>
      <c r="L4324" s="5" t="s">
        <v>471</v>
      </c>
    </row>
    <row r="4325" spans="1:12" ht="12" customHeight="1" x14ac:dyDescent="0.25">
      <c r="A4325" s="6">
        <v>44574</v>
      </c>
      <c r="B4325" s="1">
        <v>2200238</v>
      </c>
      <c r="C4325" s="5" t="s">
        <v>329</v>
      </c>
      <c r="D4325" s="5" t="str">
        <f>VLOOKUP(C4325,[1]master_data!$A$2:$E$495,2,FALSE)</f>
        <v>AIRSTONE D2L5</v>
      </c>
      <c r="E4325" s="5">
        <v>10</v>
      </c>
      <c r="F4325" s="5">
        <f>VLOOKUP(C4325,[1]master_data!$A$2:$E$495,3,FALSE)</f>
        <v>1850</v>
      </c>
      <c r="G4325" s="5">
        <f>VLOOKUP(C4325,[1]master_data!$A$2:$E$495,4,FALSE)</f>
        <v>5000</v>
      </c>
      <c r="H4325" s="5">
        <f t="shared" si="207"/>
        <v>18500</v>
      </c>
      <c r="I4325" s="5">
        <f t="shared" si="208"/>
        <v>50000</v>
      </c>
      <c r="J4325" s="5">
        <f t="shared" si="209"/>
        <v>31500</v>
      </c>
      <c r="K4325" s="5" t="str">
        <f>VLOOKUP(C4325,[1]master_data!$A$2:$E$495,5,FALSE)</f>
        <v>Aksesoris</v>
      </c>
      <c r="L4325" s="5" t="s">
        <v>471</v>
      </c>
    </row>
    <row r="4326" spans="1:12" ht="12" customHeight="1" x14ac:dyDescent="0.25">
      <c r="A4326" s="6">
        <v>44574</v>
      </c>
      <c r="B4326" s="1">
        <v>2200237</v>
      </c>
      <c r="C4326" s="5" t="s">
        <v>427</v>
      </c>
      <c r="D4326" s="5" t="str">
        <f>VLOOKUP(C4326,[1]master_data!$A$2:$E$495,2,FALSE)</f>
        <v>LEMON</v>
      </c>
      <c r="E4326" s="5">
        <v>5</v>
      </c>
      <c r="F4326" s="5">
        <f>VLOOKUP(C4326,[1]master_data!$A$2:$E$495,3,FALSE)</f>
        <v>1000</v>
      </c>
      <c r="G4326" s="5">
        <f>VLOOKUP(C4326,[1]master_data!$A$2:$E$495,4,FALSE)</f>
        <v>2000</v>
      </c>
      <c r="H4326" s="5">
        <f t="shared" si="207"/>
        <v>5000</v>
      </c>
      <c r="I4326" s="5">
        <f t="shared" si="208"/>
        <v>10000</v>
      </c>
      <c r="J4326" s="5">
        <f t="shared" si="209"/>
        <v>5000</v>
      </c>
      <c r="K4326" s="5" t="str">
        <f>VLOOKUP(C4326,[1]master_data!$A$2:$E$495,5,FALSE)</f>
        <v>Ikan</v>
      </c>
      <c r="L4326" s="5" t="s">
        <v>471</v>
      </c>
    </row>
    <row r="4327" spans="1:12" ht="12" customHeight="1" x14ac:dyDescent="0.25">
      <c r="A4327" s="6">
        <v>44574</v>
      </c>
      <c r="B4327" s="1">
        <v>2200236</v>
      </c>
      <c r="C4327" s="5" t="s">
        <v>260</v>
      </c>
      <c r="D4327" s="5" t="str">
        <f>VLOOKUP(C4327,[1]master_data!$A$2:$E$495,2,FALSE)</f>
        <v>BUNGA K</v>
      </c>
      <c r="E4327" s="5">
        <v>3</v>
      </c>
      <c r="F4327" s="5">
        <f>VLOOKUP(C4327,[1]master_data!$A$2:$E$495,3,FALSE)</f>
        <v>2500</v>
      </c>
      <c r="G4327" s="5">
        <f>VLOOKUP(C4327,[1]master_data!$A$2:$E$495,4,FALSE)</f>
        <v>5000</v>
      </c>
      <c r="H4327" s="5">
        <f t="shared" si="207"/>
        <v>7500</v>
      </c>
      <c r="I4327" s="5">
        <f t="shared" si="208"/>
        <v>15000</v>
      </c>
      <c r="J4327" s="5">
        <f t="shared" si="209"/>
        <v>7500</v>
      </c>
      <c r="K4327" s="5" t="str">
        <f>VLOOKUP(C4327,[1]master_data!$A$2:$E$495,5,FALSE)</f>
        <v>Aksesoris</v>
      </c>
      <c r="L4327" s="5" t="s">
        <v>471</v>
      </c>
    </row>
    <row r="4328" spans="1:12" ht="12" customHeight="1" x14ac:dyDescent="0.25">
      <c r="A4328" s="6">
        <v>44574</v>
      </c>
      <c r="B4328" s="1">
        <v>2200235</v>
      </c>
      <c r="C4328" s="5" t="s">
        <v>435</v>
      </c>
      <c r="D4328" s="5" t="str">
        <f>VLOOKUP(C4328,[1]master_data!$A$2:$E$495,2,FALSE)</f>
        <v>MOLI BALON</v>
      </c>
      <c r="E4328" s="5">
        <v>20</v>
      </c>
      <c r="F4328" s="5">
        <f>VLOOKUP(C4328,[1]master_data!$A$2:$E$495,3,FALSE)</f>
        <v>800</v>
      </c>
      <c r="G4328" s="5">
        <f>VLOOKUP(C4328,[1]master_data!$A$2:$E$495,4,FALSE)</f>
        <v>2000</v>
      </c>
      <c r="H4328" s="5">
        <f t="shared" si="207"/>
        <v>16000</v>
      </c>
      <c r="I4328" s="5">
        <f t="shared" si="208"/>
        <v>40000</v>
      </c>
      <c r="J4328" s="5">
        <f t="shared" si="209"/>
        <v>24000</v>
      </c>
      <c r="K4328" s="5" t="str">
        <f>VLOOKUP(C4328,[1]master_data!$A$2:$E$495,5,FALSE)</f>
        <v>Ikan</v>
      </c>
      <c r="L4328" s="5" t="s">
        <v>471</v>
      </c>
    </row>
    <row r="4329" spans="1:12" ht="12" customHeight="1" x14ac:dyDescent="0.25">
      <c r="A4329" s="6">
        <v>44574</v>
      </c>
      <c r="B4329" s="1">
        <v>2200234</v>
      </c>
      <c r="C4329" s="5" t="s">
        <v>422</v>
      </c>
      <c r="D4329" s="5" t="str">
        <f>VLOOKUP(C4329,[1]master_data!$A$2:$E$495,2,FALSE)</f>
        <v>KOMET SLAYER</v>
      </c>
      <c r="E4329" s="5">
        <v>4</v>
      </c>
      <c r="F4329" s="5">
        <f>VLOOKUP(C4329,[1]master_data!$A$2:$E$495,3,FALSE)</f>
        <v>2000</v>
      </c>
      <c r="G4329" s="5">
        <f>VLOOKUP(C4329,[1]master_data!$A$2:$E$495,4,FALSE)</f>
        <v>5000</v>
      </c>
      <c r="H4329" s="5">
        <f t="shared" si="207"/>
        <v>8000</v>
      </c>
      <c r="I4329" s="5">
        <f t="shared" si="208"/>
        <v>20000</v>
      </c>
      <c r="J4329" s="5">
        <f t="shared" si="209"/>
        <v>12000</v>
      </c>
      <c r="K4329" s="5" t="str">
        <f>VLOOKUP(C4329,[1]master_data!$A$2:$E$495,5,FALSE)</f>
        <v>Ikan</v>
      </c>
      <c r="L4329" s="5" t="s">
        <v>471</v>
      </c>
    </row>
    <row r="4330" spans="1:12" ht="12" customHeight="1" x14ac:dyDescent="0.25">
      <c r="A4330" s="6">
        <v>44574</v>
      </c>
      <c r="B4330" s="1">
        <v>2200233</v>
      </c>
      <c r="C4330" s="5" t="s">
        <v>400</v>
      </c>
      <c r="D4330" s="5" t="str">
        <f>VLOOKUP(C4330,[1]master_data!$A$2:$E$495,2,FALSE)</f>
        <v>BALA BALA K</v>
      </c>
      <c r="E4330" s="5">
        <v>1</v>
      </c>
      <c r="F4330" s="5">
        <f>VLOOKUP(C4330,[1]master_data!$A$2:$E$495,3,FALSE)</f>
        <v>4000</v>
      </c>
      <c r="G4330" s="5">
        <f>VLOOKUP(C4330,[1]master_data!$A$2:$E$495,4,FALSE)</f>
        <v>8000</v>
      </c>
      <c r="H4330" s="5">
        <f t="shared" si="207"/>
        <v>4000</v>
      </c>
      <c r="I4330" s="5">
        <f t="shared" si="208"/>
        <v>8000</v>
      </c>
      <c r="J4330" s="5">
        <f t="shared" si="209"/>
        <v>4000</v>
      </c>
      <c r="K4330" s="5" t="str">
        <f>VLOOKUP(C4330,[1]master_data!$A$2:$E$495,5,FALSE)</f>
        <v>Ikan</v>
      </c>
      <c r="L4330" s="5" t="s">
        <v>471</v>
      </c>
    </row>
    <row r="4331" spans="1:12" ht="12" customHeight="1" x14ac:dyDescent="0.25">
      <c r="A4331" s="6">
        <v>44574</v>
      </c>
      <c r="B4331" s="1">
        <v>2200232</v>
      </c>
      <c r="C4331" s="5" t="s">
        <v>447</v>
      </c>
      <c r="D4331" s="5" t="str">
        <f>VLOOKUP(C4331,[1]master_data!$A$2:$E$495,2,FALSE)</f>
        <v>REDFIN ALBINO</v>
      </c>
      <c r="E4331" s="5">
        <v>3</v>
      </c>
      <c r="F4331" s="5">
        <f>VLOOKUP(C4331,[1]master_data!$A$2:$E$495,3,FALSE)</f>
        <v>1500</v>
      </c>
      <c r="G4331" s="5">
        <f>VLOOKUP(C4331,[1]master_data!$A$2:$E$495,4,FALSE)</f>
        <v>4000</v>
      </c>
      <c r="H4331" s="5">
        <f t="shared" si="207"/>
        <v>4500</v>
      </c>
      <c r="I4331" s="5">
        <f t="shared" si="208"/>
        <v>12000</v>
      </c>
      <c r="J4331" s="5">
        <f t="shared" si="209"/>
        <v>7500</v>
      </c>
      <c r="K4331" s="5" t="str">
        <f>VLOOKUP(C4331,[1]master_data!$A$2:$E$495,5,FALSE)</f>
        <v>Ikan</v>
      </c>
      <c r="L4331" s="5" t="s">
        <v>471</v>
      </c>
    </row>
    <row r="4332" spans="1:12" ht="12" customHeight="1" x14ac:dyDescent="0.25">
      <c r="A4332" s="6">
        <v>44574</v>
      </c>
      <c r="B4332" s="1">
        <v>2200231</v>
      </c>
      <c r="C4332" s="5" t="s">
        <v>208</v>
      </c>
      <c r="D4332" s="5" t="str">
        <f>VLOOKUP(C4332,[1]master_data!$A$2:$E$495,2,FALSE)</f>
        <v>TOP VIT</v>
      </c>
      <c r="E4332" s="5">
        <v>1</v>
      </c>
      <c r="F4332" s="5">
        <f>VLOOKUP(C4332,[1]master_data!$A$2:$E$495,3,FALSE)</f>
        <v>4000</v>
      </c>
      <c r="G4332" s="5">
        <f>VLOOKUP(C4332,[1]master_data!$A$2:$E$495,4,FALSE)</f>
        <v>7000</v>
      </c>
      <c r="H4332" s="5">
        <f t="shared" si="207"/>
        <v>4000</v>
      </c>
      <c r="I4332" s="5">
        <f t="shared" si="208"/>
        <v>7000</v>
      </c>
      <c r="J4332" s="5">
        <f t="shared" si="209"/>
        <v>3000</v>
      </c>
      <c r="K4332" s="5" t="str">
        <f>VLOOKUP(C4332,[1]master_data!$A$2:$E$495,5,FALSE)</f>
        <v>Aksesoris</v>
      </c>
      <c r="L4332" s="5" t="s">
        <v>471</v>
      </c>
    </row>
    <row r="4333" spans="1:12" ht="12" customHeight="1" x14ac:dyDescent="0.25">
      <c r="A4333" s="6">
        <v>44574</v>
      </c>
      <c r="B4333" s="1">
        <v>2200230</v>
      </c>
      <c r="C4333" s="5" t="s">
        <v>415</v>
      </c>
      <c r="D4333" s="5" t="str">
        <f>VLOOKUP(C4333,[1]master_data!$A$2:$E$495,2,FALSE)</f>
        <v>KOKI B</v>
      </c>
      <c r="E4333" s="5">
        <v>1</v>
      </c>
      <c r="F4333" s="5">
        <f>VLOOKUP(C4333,[1]master_data!$A$2:$E$495,3,FALSE)</f>
        <v>20000</v>
      </c>
      <c r="G4333" s="5">
        <f>VLOOKUP(C4333,[1]master_data!$A$2:$E$495,4,FALSE)</f>
        <v>50000</v>
      </c>
      <c r="H4333" s="5">
        <f t="shared" si="207"/>
        <v>20000</v>
      </c>
      <c r="I4333" s="5">
        <f t="shared" si="208"/>
        <v>50000</v>
      </c>
      <c r="J4333" s="5">
        <f t="shared" si="209"/>
        <v>30000</v>
      </c>
      <c r="K4333" s="5" t="str">
        <f>VLOOKUP(C4333,[1]master_data!$A$2:$E$495,5,FALSE)</f>
        <v>Ikan</v>
      </c>
      <c r="L4333" s="5" t="s">
        <v>471</v>
      </c>
    </row>
    <row r="4334" spans="1:12" ht="12" customHeight="1" x14ac:dyDescent="0.25">
      <c r="A4334" s="6">
        <v>44574</v>
      </c>
      <c r="B4334" s="1">
        <v>2200229</v>
      </c>
      <c r="C4334" s="5" t="s">
        <v>310</v>
      </c>
      <c r="D4334" s="5" t="str">
        <f>VLOOKUP(C4334,[1]master_data!$A$2:$E$495,2,FALSE)</f>
        <v>SELANG FUSO</v>
      </c>
      <c r="E4334" s="5">
        <v>2</v>
      </c>
      <c r="F4334" s="5">
        <f>VLOOKUP(C4334,[1]master_data!$A$2:$E$495,3,FALSE)</f>
        <v>800</v>
      </c>
      <c r="G4334" s="5">
        <f>VLOOKUP(C4334,[1]master_data!$A$2:$E$495,4,FALSE)</f>
        <v>2000</v>
      </c>
      <c r="H4334" s="5">
        <f t="shared" si="207"/>
        <v>1600</v>
      </c>
      <c r="I4334" s="5">
        <f t="shared" si="208"/>
        <v>4000</v>
      </c>
      <c r="J4334" s="5">
        <f t="shared" si="209"/>
        <v>2400</v>
      </c>
      <c r="K4334" s="5" t="str">
        <f>VLOOKUP(C4334,[1]master_data!$A$2:$E$495,5,FALSE)</f>
        <v>Aksesoris</v>
      </c>
      <c r="L4334" s="5" t="s">
        <v>471</v>
      </c>
    </row>
    <row r="4335" spans="1:12" ht="12" customHeight="1" x14ac:dyDescent="0.25">
      <c r="A4335" s="6">
        <v>44574</v>
      </c>
      <c r="B4335" s="1">
        <v>2200228</v>
      </c>
      <c r="C4335" s="5" t="s">
        <v>414</v>
      </c>
      <c r="D4335" s="5" t="str">
        <f>VLOOKUP(C4335,[1]master_data!$A$2:$E$495,2,FALSE)</f>
        <v>KOKI T</v>
      </c>
      <c r="E4335" s="5">
        <v>3</v>
      </c>
      <c r="F4335" s="5">
        <f>VLOOKUP(C4335,[1]master_data!$A$2:$E$495,3,FALSE)</f>
        <v>8000</v>
      </c>
      <c r="G4335" s="5">
        <f>VLOOKUP(C4335,[1]master_data!$A$2:$E$495,4,FALSE)</f>
        <v>15000</v>
      </c>
      <c r="H4335" s="5">
        <f t="shared" si="207"/>
        <v>24000</v>
      </c>
      <c r="I4335" s="5">
        <f t="shared" si="208"/>
        <v>45000</v>
      </c>
      <c r="J4335" s="5">
        <f t="shared" si="209"/>
        <v>21000</v>
      </c>
      <c r="K4335" s="5" t="str">
        <f>VLOOKUP(C4335,[1]master_data!$A$2:$E$495,5,FALSE)</f>
        <v>Ikan</v>
      </c>
      <c r="L4335" s="5" t="s">
        <v>471</v>
      </c>
    </row>
    <row r="4336" spans="1:12" ht="12" customHeight="1" x14ac:dyDescent="0.25">
      <c r="A4336" s="6">
        <v>44574</v>
      </c>
      <c r="B4336" s="1">
        <v>2200227</v>
      </c>
      <c r="C4336" s="5" t="s">
        <v>432</v>
      </c>
      <c r="D4336" s="5" t="str">
        <f>VLOOKUP(C4336,[1]master_data!$A$2:$E$495,2,FALSE)</f>
        <v>MARU K</v>
      </c>
      <c r="E4336" s="5">
        <v>1</v>
      </c>
      <c r="F4336" s="5">
        <f>VLOOKUP(C4336,[1]master_data!$A$2:$E$495,3,FALSE)</f>
        <v>23000</v>
      </c>
      <c r="G4336" s="5">
        <f>VLOOKUP(C4336,[1]master_data!$A$2:$E$495,4,FALSE)</f>
        <v>50000</v>
      </c>
      <c r="H4336" s="5">
        <f t="shared" si="207"/>
        <v>23000</v>
      </c>
      <c r="I4336" s="5">
        <f t="shared" si="208"/>
        <v>50000</v>
      </c>
      <c r="J4336" s="5">
        <f t="shared" si="209"/>
        <v>27000</v>
      </c>
      <c r="K4336" s="5" t="str">
        <f>VLOOKUP(C4336,[1]master_data!$A$2:$E$495,5,FALSE)</f>
        <v>Ikan</v>
      </c>
      <c r="L4336" s="5" t="s">
        <v>471</v>
      </c>
    </row>
    <row r="4337" spans="1:12" ht="12" customHeight="1" x14ac:dyDescent="0.25">
      <c r="A4337" s="6">
        <v>44574</v>
      </c>
      <c r="B4337" s="1">
        <v>2200226</v>
      </c>
      <c r="C4337" s="5" t="s">
        <v>420</v>
      </c>
      <c r="D4337" s="5" t="str">
        <f>VLOOKUP(C4337,[1]master_data!$A$2:$E$495,2,FALSE)</f>
        <v>KAVIAT</v>
      </c>
      <c r="E4337" s="5">
        <v>4</v>
      </c>
      <c r="F4337" s="5">
        <f>VLOOKUP(C4337,[1]master_data!$A$2:$E$495,3,FALSE)</f>
        <v>3500</v>
      </c>
      <c r="G4337" s="5">
        <f>VLOOKUP(C4337,[1]master_data!$A$2:$E$495,4,FALSE)</f>
        <v>8000</v>
      </c>
      <c r="H4337" s="5">
        <f t="shared" si="207"/>
        <v>14000</v>
      </c>
      <c r="I4337" s="5">
        <f t="shared" si="208"/>
        <v>32000</v>
      </c>
      <c r="J4337" s="5">
        <f t="shared" si="209"/>
        <v>18000</v>
      </c>
      <c r="K4337" s="5" t="str">
        <f>VLOOKUP(C4337,[1]master_data!$A$2:$E$495,5,FALSE)</f>
        <v>Ikan</v>
      </c>
      <c r="L4337" s="5" t="s">
        <v>471</v>
      </c>
    </row>
    <row r="4338" spans="1:12" ht="12" customHeight="1" x14ac:dyDescent="0.25">
      <c r="A4338" s="6">
        <v>44574</v>
      </c>
      <c r="B4338" s="1">
        <v>2200225</v>
      </c>
      <c r="C4338" s="5" t="s">
        <v>411</v>
      </c>
      <c r="D4338" s="5" t="str">
        <f>VLOOKUP(C4338,[1]master_data!$A$2:$E$495,2,FALSE)</f>
        <v>GOLDEN BLACK</v>
      </c>
      <c r="E4338" s="5">
        <v>10</v>
      </c>
      <c r="F4338" s="5">
        <f>VLOOKUP(C4338,[1]master_data!$A$2:$E$495,3,FALSE)</f>
        <v>800</v>
      </c>
      <c r="G4338" s="5">
        <f>VLOOKUP(C4338,[1]master_data!$A$2:$E$495,4,FALSE)</f>
        <v>2000</v>
      </c>
      <c r="H4338" s="5">
        <f t="shared" si="207"/>
        <v>8000</v>
      </c>
      <c r="I4338" s="5">
        <f t="shared" si="208"/>
        <v>20000</v>
      </c>
      <c r="J4338" s="5">
        <f t="shared" si="209"/>
        <v>12000</v>
      </c>
      <c r="K4338" s="5" t="str">
        <f>VLOOKUP(C4338,[1]master_data!$A$2:$E$495,5,FALSE)</f>
        <v>Ikan</v>
      </c>
      <c r="L4338" s="5" t="s">
        <v>471</v>
      </c>
    </row>
    <row r="4339" spans="1:12" ht="12" customHeight="1" x14ac:dyDescent="0.25">
      <c r="A4339" s="6">
        <v>44574</v>
      </c>
      <c r="B4339" s="1">
        <v>2200224</v>
      </c>
      <c r="C4339" s="5" t="s">
        <v>413</v>
      </c>
      <c r="D4339" s="5" t="str">
        <f>VLOOKUP(C4339,[1]master_data!$A$2:$E$495,2,FALSE)</f>
        <v>KOKI K</v>
      </c>
      <c r="E4339" s="5">
        <v>2</v>
      </c>
      <c r="F4339" s="5">
        <f>VLOOKUP(C4339,[1]master_data!$A$2:$E$495,3,FALSE)</f>
        <v>3500</v>
      </c>
      <c r="G4339" s="5">
        <f>VLOOKUP(C4339,[1]master_data!$A$2:$E$495,4,FALSE)</f>
        <v>10000</v>
      </c>
      <c r="H4339" s="5">
        <f t="shared" si="207"/>
        <v>7000</v>
      </c>
      <c r="I4339" s="5">
        <f t="shared" si="208"/>
        <v>20000</v>
      </c>
      <c r="J4339" s="5">
        <f t="shared" si="209"/>
        <v>13000</v>
      </c>
      <c r="K4339" s="5" t="str">
        <f>VLOOKUP(C4339,[1]master_data!$A$2:$E$495,5,FALSE)</f>
        <v>Ikan</v>
      </c>
      <c r="L4339" s="5" t="s">
        <v>471</v>
      </c>
    </row>
    <row r="4340" spans="1:12" ht="12" customHeight="1" x14ac:dyDescent="0.25">
      <c r="A4340" s="6">
        <v>44574</v>
      </c>
      <c r="B4340" s="1">
        <v>2200223</v>
      </c>
      <c r="C4340" s="5" t="s">
        <v>419</v>
      </c>
      <c r="D4340" s="5" t="str">
        <f>VLOOKUP(C4340,[1]master_data!$A$2:$E$495,2,FALSE)</f>
        <v>KURA - KURA</v>
      </c>
      <c r="E4340" s="5">
        <v>1</v>
      </c>
      <c r="F4340" s="5">
        <f>VLOOKUP(C4340,[1]master_data!$A$2:$E$495,3,FALSE)</f>
        <v>25000</v>
      </c>
      <c r="G4340" s="5">
        <f>VLOOKUP(C4340,[1]master_data!$A$2:$E$495,4,FALSE)</f>
        <v>35000</v>
      </c>
      <c r="H4340" s="5">
        <f t="shared" si="207"/>
        <v>25000</v>
      </c>
      <c r="I4340" s="5">
        <f t="shared" si="208"/>
        <v>35000</v>
      </c>
      <c r="J4340" s="5">
        <f t="shared" si="209"/>
        <v>10000</v>
      </c>
      <c r="K4340" s="5" t="str">
        <f>VLOOKUP(C4340,[1]master_data!$A$2:$E$495,5,FALSE)</f>
        <v>Ikan</v>
      </c>
      <c r="L4340" s="5" t="s">
        <v>471</v>
      </c>
    </row>
    <row r="4341" spans="1:12" ht="12" customHeight="1" x14ac:dyDescent="0.25">
      <c r="A4341" s="6">
        <v>44574</v>
      </c>
      <c r="B4341" s="1">
        <v>2200222</v>
      </c>
      <c r="C4341" s="5" t="s">
        <v>407</v>
      </c>
      <c r="D4341" s="5" t="str">
        <f>VLOOKUP(C4341,[1]master_data!$A$2:$E$495,2,FALSE)</f>
        <v>CUPANG</v>
      </c>
      <c r="E4341" s="5">
        <v>2</v>
      </c>
      <c r="F4341" s="5">
        <f>VLOOKUP(C4341,[1]master_data!$A$2:$E$495,3,FALSE)</f>
        <v>2000</v>
      </c>
      <c r="G4341" s="5">
        <f>VLOOKUP(C4341,[1]master_data!$A$2:$E$495,4,FALSE)</f>
        <v>5000</v>
      </c>
      <c r="H4341" s="5">
        <f t="shared" si="207"/>
        <v>4000</v>
      </c>
      <c r="I4341" s="5">
        <f t="shared" si="208"/>
        <v>10000</v>
      </c>
      <c r="J4341" s="5">
        <f t="shared" si="209"/>
        <v>6000</v>
      </c>
      <c r="K4341" s="5" t="str">
        <f>VLOOKUP(C4341,[1]master_data!$A$2:$E$495,5,FALSE)</f>
        <v>Ikan</v>
      </c>
      <c r="L4341" s="5" t="s">
        <v>471</v>
      </c>
    </row>
    <row r="4342" spans="1:12" ht="12" customHeight="1" x14ac:dyDescent="0.25">
      <c r="A4342" s="6">
        <v>44574</v>
      </c>
      <c r="B4342" s="1">
        <v>2200221</v>
      </c>
      <c r="C4342" s="5" t="s">
        <v>100</v>
      </c>
      <c r="D4342" s="5" t="str">
        <f>VLOOKUP(C4342,[1]master_data!$A$2:$E$495,2,FALSE)</f>
        <v>AIRATOR AMARA LUB 1</v>
      </c>
      <c r="E4342" s="5">
        <v>1</v>
      </c>
      <c r="F4342" s="5">
        <f>VLOOKUP(C4342,[1]master_data!$A$2:$E$495,3,FALSE)</f>
        <v>17500</v>
      </c>
      <c r="G4342" s="5">
        <f>VLOOKUP(C4342,[1]master_data!$A$2:$E$495,4,FALSE)</f>
        <v>30000</v>
      </c>
      <c r="H4342" s="5">
        <f t="shared" si="207"/>
        <v>17500</v>
      </c>
      <c r="I4342" s="5">
        <f t="shared" si="208"/>
        <v>30000</v>
      </c>
      <c r="J4342" s="5">
        <f t="shared" si="209"/>
        <v>12500</v>
      </c>
      <c r="K4342" s="5" t="str">
        <f>VLOOKUP(C4342,[1]master_data!$A$2:$E$495,5,FALSE)</f>
        <v>Aksesoris</v>
      </c>
      <c r="L4342" s="5" t="s">
        <v>471</v>
      </c>
    </row>
    <row r="4343" spans="1:12" ht="12" customHeight="1" x14ac:dyDescent="0.25">
      <c r="A4343" s="6">
        <v>44574</v>
      </c>
      <c r="B4343" s="1">
        <v>2200220</v>
      </c>
      <c r="C4343" s="5" t="s">
        <v>310</v>
      </c>
      <c r="D4343" s="5" t="str">
        <f>VLOOKUP(C4343,[1]master_data!$A$2:$E$495,2,FALSE)</f>
        <v>SELANG FUSO</v>
      </c>
      <c r="E4343" s="5">
        <v>1</v>
      </c>
      <c r="F4343" s="5">
        <f>VLOOKUP(C4343,[1]master_data!$A$2:$E$495,3,FALSE)</f>
        <v>800</v>
      </c>
      <c r="G4343" s="5">
        <f>VLOOKUP(C4343,[1]master_data!$A$2:$E$495,4,FALSE)</f>
        <v>2000</v>
      </c>
      <c r="H4343" s="5">
        <f t="shared" si="207"/>
        <v>800</v>
      </c>
      <c r="I4343" s="5">
        <f t="shared" si="208"/>
        <v>2000</v>
      </c>
      <c r="J4343" s="5">
        <f t="shared" si="209"/>
        <v>1200</v>
      </c>
      <c r="K4343" s="5" t="str">
        <f>VLOOKUP(C4343,[1]master_data!$A$2:$E$495,5,FALSE)</f>
        <v>Aksesoris</v>
      </c>
      <c r="L4343" s="5" t="s">
        <v>471</v>
      </c>
    </row>
    <row r="4344" spans="1:12" ht="12" customHeight="1" x14ac:dyDescent="0.25">
      <c r="A4344" s="6">
        <v>44574</v>
      </c>
      <c r="B4344" s="1">
        <v>2200219</v>
      </c>
      <c r="C4344" s="5" t="s">
        <v>450</v>
      </c>
      <c r="D4344" s="5" t="str">
        <f>VLOOKUP(C4344,[1]master_data!$A$2:$E$495,2,FALSE)</f>
        <v>SUMATRA BIASA</v>
      </c>
      <c r="E4344" s="5">
        <v>5</v>
      </c>
      <c r="F4344" s="5">
        <f>VLOOKUP(C4344,[1]master_data!$A$2:$E$495,3,FALSE)</f>
        <v>800</v>
      </c>
      <c r="G4344" s="5">
        <f>VLOOKUP(C4344,[1]master_data!$A$2:$E$495,4,FALSE)</f>
        <v>2000</v>
      </c>
      <c r="H4344" s="5">
        <f t="shared" si="207"/>
        <v>4000</v>
      </c>
      <c r="I4344" s="5">
        <f t="shared" si="208"/>
        <v>10000</v>
      </c>
      <c r="J4344" s="5">
        <f t="shared" si="209"/>
        <v>6000</v>
      </c>
      <c r="K4344" s="5" t="str">
        <f>VLOOKUP(C4344,[1]master_data!$A$2:$E$495,5,FALSE)</f>
        <v>Ikan</v>
      </c>
      <c r="L4344" s="5" t="s">
        <v>471</v>
      </c>
    </row>
    <row r="4345" spans="1:12" ht="12" customHeight="1" x14ac:dyDescent="0.25">
      <c r="A4345" s="6">
        <v>44573</v>
      </c>
      <c r="B4345" s="1">
        <v>2200218</v>
      </c>
      <c r="C4345" s="5" t="s">
        <v>208</v>
      </c>
      <c r="D4345" s="5" t="str">
        <f>VLOOKUP(C4345,[1]master_data!$A$2:$E$495,2,FALSE)</f>
        <v>TOP VIT</v>
      </c>
      <c r="E4345" s="5">
        <v>2</v>
      </c>
      <c r="F4345" s="5">
        <f>VLOOKUP(C4345,[1]master_data!$A$2:$E$495,3,FALSE)</f>
        <v>4000</v>
      </c>
      <c r="G4345" s="5">
        <f>VLOOKUP(C4345,[1]master_data!$A$2:$E$495,4,FALSE)</f>
        <v>7000</v>
      </c>
      <c r="H4345" s="5">
        <f t="shared" si="207"/>
        <v>8000</v>
      </c>
      <c r="I4345" s="5">
        <f t="shared" si="208"/>
        <v>14000</v>
      </c>
      <c r="J4345" s="5">
        <f t="shared" si="209"/>
        <v>6000</v>
      </c>
      <c r="K4345" s="5" t="str">
        <f>VLOOKUP(C4345,[1]master_data!$A$2:$E$495,5,FALSE)</f>
        <v>Aksesoris</v>
      </c>
      <c r="L4345" s="5" t="s">
        <v>471</v>
      </c>
    </row>
    <row r="4346" spans="1:12" ht="12" customHeight="1" x14ac:dyDescent="0.25">
      <c r="A4346" s="6">
        <v>44573</v>
      </c>
      <c r="B4346" s="1">
        <v>2200217</v>
      </c>
      <c r="C4346" s="5" t="s">
        <v>211</v>
      </c>
      <c r="D4346" s="5" t="str">
        <f>VLOOKUP(C4346,[1]master_data!$A$2:$E$495,2,FALSE)</f>
        <v>CRISTAL PAKAN CUPANG</v>
      </c>
      <c r="E4346" s="5">
        <v>1</v>
      </c>
      <c r="F4346" s="5">
        <f>VLOOKUP(C4346,[1]master_data!$A$2:$E$495,3,FALSE)</f>
        <v>1500</v>
      </c>
      <c r="G4346" s="5">
        <f>VLOOKUP(C4346,[1]master_data!$A$2:$E$495,4,FALSE)</f>
        <v>3000</v>
      </c>
      <c r="H4346" s="5">
        <f t="shared" si="207"/>
        <v>1500</v>
      </c>
      <c r="I4346" s="5">
        <f t="shared" si="208"/>
        <v>3000</v>
      </c>
      <c r="J4346" s="5">
        <f t="shared" si="209"/>
        <v>1500</v>
      </c>
      <c r="K4346" s="5" t="str">
        <f>VLOOKUP(C4346,[1]master_data!$A$2:$E$495,5,FALSE)</f>
        <v>Aksesoris</v>
      </c>
      <c r="L4346" s="5" t="s">
        <v>471</v>
      </c>
    </row>
    <row r="4347" spans="1:12" ht="12" customHeight="1" x14ac:dyDescent="0.25">
      <c r="A4347" s="6">
        <v>44573</v>
      </c>
      <c r="B4347" s="1">
        <v>2200216</v>
      </c>
      <c r="C4347" s="5" t="s">
        <v>285</v>
      </c>
      <c r="D4347" s="5" t="str">
        <f>VLOOKUP(C4347,[1]master_data!$A$2:$E$495,2,FALSE)</f>
        <v>KAPAS 4 LAPIS</v>
      </c>
      <c r="E4347" s="5">
        <v>1</v>
      </c>
      <c r="F4347" s="5">
        <f>VLOOKUP(C4347,[1]master_data!$A$2:$E$495,3,FALSE)</f>
        <v>6500</v>
      </c>
      <c r="G4347" s="5">
        <f>VLOOKUP(C4347,[1]master_data!$A$2:$E$495,4,FALSE)</f>
        <v>10000</v>
      </c>
      <c r="H4347" s="5">
        <f t="shared" si="207"/>
        <v>6500</v>
      </c>
      <c r="I4347" s="5">
        <f t="shared" si="208"/>
        <v>10000</v>
      </c>
      <c r="J4347" s="5">
        <f t="shared" si="209"/>
        <v>3500</v>
      </c>
      <c r="K4347" s="5" t="str">
        <f>VLOOKUP(C4347,[1]master_data!$A$2:$E$495,5,FALSE)</f>
        <v>Aksesoris</v>
      </c>
      <c r="L4347" s="5" t="s">
        <v>471</v>
      </c>
    </row>
    <row r="4348" spans="1:12" ht="12" customHeight="1" x14ac:dyDescent="0.25">
      <c r="A4348" s="6">
        <v>44573</v>
      </c>
      <c r="B4348" s="1">
        <v>2200215</v>
      </c>
      <c r="C4348" s="5" t="s">
        <v>413</v>
      </c>
      <c r="D4348" s="5" t="str">
        <f>VLOOKUP(C4348,[1]master_data!$A$2:$E$495,2,FALSE)</f>
        <v>KOKI K</v>
      </c>
      <c r="E4348" s="5">
        <v>2</v>
      </c>
      <c r="F4348" s="5">
        <f>VLOOKUP(C4348,[1]master_data!$A$2:$E$495,3,FALSE)</f>
        <v>3500</v>
      </c>
      <c r="G4348" s="5">
        <f>VLOOKUP(C4348,[1]master_data!$A$2:$E$495,4,FALSE)</f>
        <v>10000</v>
      </c>
      <c r="H4348" s="5">
        <f t="shared" si="207"/>
        <v>7000</v>
      </c>
      <c r="I4348" s="5">
        <f t="shared" si="208"/>
        <v>20000</v>
      </c>
      <c r="J4348" s="5">
        <f t="shared" si="209"/>
        <v>13000</v>
      </c>
      <c r="K4348" s="5" t="str">
        <f>VLOOKUP(C4348,[1]master_data!$A$2:$E$495,5,FALSE)</f>
        <v>Ikan</v>
      </c>
      <c r="L4348" s="5" t="s">
        <v>471</v>
      </c>
    </row>
    <row r="4349" spans="1:12" ht="12" customHeight="1" x14ac:dyDescent="0.25">
      <c r="A4349" s="6">
        <v>44573</v>
      </c>
      <c r="B4349" s="1">
        <v>2200214</v>
      </c>
      <c r="C4349" s="5" t="s">
        <v>308</v>
      </c>
      <c r="D4349" s="5" t="str">
        <f>VLOOKUP(C4349,[1]master_data!$A$2:$E$495,2,FALSE)</f>
        <v>SUPER BLUE</v>
      </c>
      <c r="E4349" s="5">
        <v>1</v>
      </c>
      <c r="F4349" s="5">
        <f>VLOOKUP(C4349,[1]master_data!$A$2:$E$495,3,FALSE)</f>
        <v>8000</v>
      </c>
      <c r="G4349" s="5">
        <f>VLOOKUP(C4349,[1]master_data!$A$2:$E$495,4,FALSE)</f>
        <v>12000</v>
      </c>
      <c r="H4349" s="5">
        <f t="shared" si="207"/>
        <v>8000</v>
      </c>
      <c r="I4349" s="5">
        <f t="shared" si="208"/>
        <v>12000</v>
      </c>
      <c r="J4349" s="5">
        <f t="shared" si="209"/>
        <v>4000</v>
      </c>
      <c r="K4349" s="5" t="str">
        <f>VLOOKUP(C4349,[1]master_data!$A$2:$E$495,5,FALSE)</f>
        <v>Aksesoris</v>
      </c>
      <c r="L4349" s="5" t="s">
        <v>471</v>
      </c>
    </row>
    <row r="4350" spans="1:12" ht="12" customHeight="1" x14ac:dyDescent="0.25">
      <c r="A4350" s="6">
        <v>44573</v>
      </c>
      <c r="B4350" s="1">
        <v>2200213</v>
      </c>
      <c r="C4350" s="5" t="s">
        <v>248</v>
      </c>
      <c r="D4350" s="5" t="str">
        <f>VLOOKUP(C4350,[1]master_data!$A$2:$E$495,2,FALSE)</f>
        <v>MATLINE BLUE</v>
      </c>
      <c r="E4350" s="5">
        <v>4</v>
      </c>
      <c r="F4350" s="5">
        <f>VLOOKUP(C4350,[1]master_data!$A$2:$E$495,3,FALSE)</f>
        <v>7000</v>
      </c>
      <c r="G4350" s="5">
        <f>VLOOKUP(C4350,[1]master_data!$A$2:$E$495,4,FALSE)</f>
        <v>10000</v>
      </c>
      <c r="H4350" s="5">
        <f t="shared" si="207"/>
        <v>28000</v>
      </c>
      <c r="I4350" s="5">
        <f t="shared" si="208"/>
        <v>40000</v>
      </c>
      <c r="J4350" s="5">
        <f t="shared" si="209"/>
        <v>12000</v>
      </c>
      <c r="K4350" s="5" t="str">
        <f>VLOOKUP(C4350,[1]master_data!$A$2:$E$495,5,FALSE)</f>
        <v>Aksesoris</v>
      </c>
      <c r="L4350" s="5" t="s">
        <v>471</v>
      </c>
    </row>
    <row r="4351" spans="1:12" ht="12" customHeight="1" x14ac:dyDescent="0.25">
      <c r="A4351" s="6">
        <v>44573</v>
      </c>
      <c r="B4351" s="1">
        <v>2200212</v>
      </c>
      <c r="C4351" s="5" t="s">
        <v>430</v>
      </c>
      <c r="D4351" s="5" t="str">
        <f>VLOOKUP(C4351,[1]master_data!$A$2:$E$495,2,FALSE)</f>
        <v>MANFISH K</v>
      </c>
      <c r="E4351" s="5">
        <v>4</v>
      </c>
      <c r="F4351" s="5">
        <f>VLOOKUP(C4351,[1]master_data!$A$2:$E$495,3,FALSE)</f>
        <v>2000</v>
      </c>
      <c r="G4351" s="5">
        <f>VLOOKUP(C4351,[1]master_data!$A$2:$E$495,4,FALSE)</f>
        <v>5000</v>
      </c>
      <c r="H4351" s="5">
        <f t="shared" si="207"/>
        <v>8000</v>
      </c>
      <c r="I4351" s="5">
        <f t="shared" si="208"/>
        <v>20000</v>
      </c>
      <c r="J4351" s="5">
        <f t="shared" si="209"/>
        <v>12000</v>
      </c>
      <c r="K4351" s="5" t="str">
        <f>VLOOKUP(C4351,[1]master_data!$A$2:$E$495,5,FALSE)</f>
        <v>Ikan</v>
      </c>
      <c r="L4351" s="5" t="s">
        <v>471</v>
      </c>
    </row>
    <row r="4352" spans="1:12" ht="12" customHeight="1" x14ac:dyDescent="0.25">
      <c r="A4352" s="6">
        <v>44573</v>
      </c>
      <c r="B4352" s="1">
        <v>2200211</v>
      </c>
      <c r="C4352" s="5" t="s">
        <v>450</v>
      </c>
      <c r="D4352" s="5" t="str">
        <f>VLOOKUP(C4352,[1]master_data!$A$2:$E$495,2,FALSE)</f>
        <v>SUMATRA BIASA</v>
      </c>
      <c r="E4352" s="5">
        <v>5</v>
      </c>
      <c r="F4352" s="5">
        <f>VLOOKUP(C4352,[1]master_data!$A$2:$E$495,3,FALSE)</f>
        <v>800</v>
      </c>
      <c r="G4352" s="5">
        <f>VLOOKUP(C4352,[1]master_data!$A$2:$E$495,4,FALSE)</f>
        <v>2000</v>
      </c>
      <c r="H4352" s="5">
        <f t="shared" si="207"/>
        <v>4000</v>
      </c>
      <c r="I4352" s="5">
        <f t="shared" si="208"/>
        <v>10000</v>
      </c>
      <c r="J4352" s="5">
        <f t="shared" si="209"/>
        <v>6000</v>
      </c>
      <c r="K4352" s="5" t="str">
        <f>VLOOKUP(C4352,[1]master_data!$A$2:$E$495,5,FALSE)</f>
        <v>Ikan</v>
      </c>
      <c r="L4352" s="5" t="s">
        <v>471</v>
      </c>
    </row>
    <row r="4353" spans="1:12" ht="12" customHeight="1" x14ac:dyDescent="0.25">
      <c r="A4353" s="6">
        <v>44573</v>
      </c>
      <c r="B4353" s="1">
        <v>2200210</v>
      </c>
      <c r="C4353" s="5" t="s">
        <v>240</v>
      </c>
      <c r="D4353" s="5" t="str">
        <f>VLOOKUP(C4353,[1]master_data!$A$2:$E$495,2,FALSE)</f>
        <v>PREMIUM RED BG</v>
      </c>
      <c r="E4353" s="5">
        <v>1</v>
      </c>
      <c r="F4353" s="5">
        <f>VLOOKUP(C4353,[1]master_data!$A$2:$E$495,3,FALSE)</f>
        <v>12500</v>
      </c>
      <c r="G4353" s="5">
        <f>VLOOKUP(C4353,[1]master_data!$A$2:$E$495,4,FALSE)</f>
        <v>25000</v>
      </c>
      <c r="H4353" s="5">
        <f t="shared" si="207"/>
        <v>12500</v>
      </c>
      <c r="I4353" s="5">
        <f t="shared" si="208"/>
        <v>25000</v>
      </c>
      <c r="J4353" s="5">
        <f t="shared" si="209"/>
        <v>12500</v>
      </c>
      <c r="K4353" s="5" t="str">
        <f>VLOOKUP(C4353,[1]master_data!$A$2:$E$495,5,FALSE)</f>
        <v>Aksesoris</v>
      </c>
      <c r="L4353" s="5" t="s">
        <v>471</v>
      </c>
    </row>
    <row r="4354" spans="1:12" ht="12" customHeight="1" x14ac:dyDescent="0.25">
      <c r="A4354" s="6">
        <v>44573</v>
      </c>
      <c r="B4354" s="1">
        <v>2200209</v>
      </c>
      <c r="C4354" s="5" t="s">
        <v>457</v>
      </c>
      <c r="D4354" s="5" t="str">
        <f>VLOOKUP(C4354,[1]master_data!$A$2:$E$495,2,FALSE)</f>
        <v>ZEBRA PINK</v>
      </c>
      <c r="E4354" s="5">
        <v>5</v>
      </c>
      <c r="F4354" s="5">
        <f>VLOOKUP(C4354,[1]master_data!$A$2:$E$495,3,FALSE)</f>
        <v>800</v>
      </c>
      <c r="G4354" s="5">
        <f>VLOOKUP(C4354,[1]master_data!$A$2:$E$495,4,FALSE)</f>
        <v>2000</v>
      </c>
      <c r="H4354" s="5">
        <f t="shared" si="207"/>
        <v>4000</v>
      </c>
      <c r="I4354" s="5">
        <f t="shared" si="208"/>
        <v>10000</v>
      </c>
      <c r="J4354" s="5">
        <f t="shared" si="209"/>
        <v>6000</v>
      </c>
      <c r="K4354" s="5" t="str">
        <f>VLOOKUP(C4354,[1]master_data!$A$2:$E$495,5,FALSE)</f>
        <v>Ikan</v>
      </c>
      <c r="L4354" s="5" t="s">
        <v>471</v>
      </c>
    </row>
    <row r="4355" spans="1:12" ht="12" customHeight="1" x14ac:dyDescent="0.25">
      <c r="A4355" s="6">
        <v>44573</v>
      </c>
      <c r="B4355" s="1">
        <v>2200208</v>
      </c>
      <c r="C4355" s="5" t="s">
        <v>216</v>
      </c>
      <c r="D4355" s="5" t="str">
        <f>VLOOKUP(C4355,[1]master_data!$A$2:$E$495,2,FALSE)</f>
        <v>HOKKY LOUHAN COLOUR</v>
      </c>
      <c r="E4355" s="5">
        <v>1</v>
      </c>
      <c r="F4355" s="5">
        <f>VLOOKUP(C4355,[1]master_data!$A$2:$E$495,3,FALSE)</f>
        <v>18000</v>
      </c>
      <c r="G4355" s="5">
        <f>VLOOKUP(C4355,[1]master_data!$A$2:$E$495,4,FALSE)</f>
        <v>25000</v>
      </c>
      <c r="H4355" s="5">
        <f t="shared" si="207"/>
        <v>18000</v>
      </c>
      <c r="I4355" s="5">
        <f t="shared" si="208"/>
        <v>25000</v>
      </c>
      <c r="J4355" s="5">
        <f t="shared" si="209"/>
        <v>7000</v>
      </c>
      <c r="K4355" s="5" t="str">
        <f>VLOOKUP(C4355,[1]master_data!$A$2:$E$495,5,FALSE)</f>
        <v>Aksesoris</v>
      </c>
      <c r="L4355" s="5" t="s">
        <v>471</v>
      </c>
    </row>
    <row r="4356" spans="1:12" ht="12" customHeight="1" x14ac:dyDescent="0.25">
      <c r="A4356" s="6">
        <v>44573</v>
      </c>
      <c r="B4356" s="1">
        <v>2200207</v>
      </c>
      <c r="C4356" s="5" t="s">
        <v>414</v>
      </c>
      <c r="D4356" s="5" t="str">
        <f>VLOOKUP(C4356,[1]master_data!$A$2:$E$495,2,FALSE)</f>
        <v>KOKI T</v>
      </c>
      <c r="E4356" s="5">
        <v>5</v>
      </c>
      <c r="F4356" s="5">
        <f>VLOOKUP(C4356,[1]master_data!$A$2:$E$495,3,FALSE)</f>
        <v>8000</v>
      </c>
      <c r="G4356" s="5">
        <f>VLOOKUP(C4356,[1]master_data!$A$2:$E$495,4,FALSE)</f>
        <v>15000</v>
      </c>
      <c r="H4356" s="5">
        <f t="shared" si="207"/>
        <v>40000</v>
      </c>
      <c r="I4356" s="5">
        <f t="shared" si="208"/>
        <v>75000</v>
      </c>
      <c r="J4356" s="5">
        <f t="shared" si="209"/>
        <v>35000</v>
      </c>
      <c r="K4356" s="5" t="str">
        <f>VLOOKUP(C4356,[1]master_data!$A$2:$E$495,5,FALSE)</f>
        <v>Ikan</v>
      </c>
      <c r="L4356" s="5" t="s">
        <v>471</v>
      </c>
    </row>
    <row r="4357" spans="1:12" ht="12" customHeight="1" x14ac:dyDescent="0.25">
      <c r="A4357" s="6">
        <v>44573</v>
      </c>
      <c r="B4357" s="1">
        <v>2200206</v>
      </c>
      <c r="C4357" s="5" t="s">
        <v>233</v>
      </c>
      <c r="D4357" s="5" t="str">
        <f>VLOOKUP(C4357,[1]master_data!$A$2:$E$495,2,FALSE)</f>
        <v>FISH LOVE PAKAN</v>
      </c>
      <c r="E4357" s="5">
        <v>1</v>
      </c>
      <c r="F4357" s="5">
        <f>VLOOKUP(C4357,[1]master_data!$A$2:$E$495,3,FALSE)</f>
        <v>2500</v>
      </c>
      <c r="G4357" s="5">
        <f>VLOOKUP(C4357,[1]master_data!$A$2:$E$495,4,FALSE)</f>
        <v>5000</v>
      </c>
      <c r="H4357" s="5">
        <f t="shared" ref="H4357:H4420" si="210">E4357*F4357</f>
        <v>2500</v>
      </c>
      <c r="I4357" s="5">
        <f t="shared" ref="I4357:I4420" si="211">E4357*G4357</f>
        <v>5000</v>
      </c>
      <c r="J4357" s="5">
        <f t="shared" ref="J4357:J4420" si="212">I4357-H4357</f>
        <v>2500</v>
      </c>
      <c r="K4357" s="5" t="str">
        <f>VLOOKUP(C4357,[1]master_data!$A$2:$E$495,5,FALSE)</f>
        <v>Aksesoris</v>
      </c>
      <c r="L4357" s="5" t="s">
        <v>471</v>
      </c>
    </row>
    <row r="4358" spans="1:12" ht="12" customHeight="1" x14ac:dyDescent="0.25">
      <c r="A4358" s="6">
        <v>44573</v>
      </c>
      <c r="B4358" s="1">
        <v>2200205</v>
      </c>
      <c r="C4358" s="5" t="s">
        <v>402</v>
      </c>
      <c r="D4358" s="5" t="str">
        <f>VLOOKUP(C4358,[1]master_data!$A$2:$E$495,2,FALSE)</f>
        <v>BLACK GHOST</v>
      </c>
      <c r="E4358" s="5">
        <v>1</v>
      </c>
      <c r="F4358" s="5">
        <f>VLOOKUP(C4358,[1]master_data!$A$2:$E$495,3,FALSE)</f>
        <v>4000</v>
      </c>
      <c r="G4358" s="5">
        <f>VLOOKUP(C4358,[1]master_data!$A$2:$E$495,4,FALSE)</f>
        <v>10000</v>
      </c>
      <c r="H4358" s="5">
        <f t="shared" si="210"/>
        <v>4000</v>
      </c>
      <c r="I4358" s="5">
        <f t="shared" si="211"/>
        <v>10000</v>
      </c>
      <c r="J4358" s="5">
        <f t="shared" si="212"/>
        <v>6000</v>
      </c>
      <c r="K4358" s="5" t="str">
        <f>VLOOKUP(C4358,[1]master_data!$A$2:$E$495,5,FALSE)</f>
        <v>Ikan</v>
      </c>
      <c r="L4358" s="5" t="s">
        <v>471</v>
      </c>
    </row>
    <row r="4359" spans="1:12" ht="12" customHeight="1" x14ac:dyDescent="0.25">
      <c r="A4359" s="6">
        <v>44573</v>
      </c>
      <c r="B4359" s="1">
        <v>2200204</v>
      </c>
      <c r="C4359" s="5" t="s">
        <v>455</v>
      </c>
      <c r="D4359" s="5" t="str">
        <f>VLOOKUP(C4359,[1]master_data!$A$2:$E$495,2,FALSE)</f>
        <v>TETRA</v>
      </c>
      <c r="E4359" s="5">
        <v>10</v>
      </c>
      <c r="F4359" s="5">
        <f>VLOOKUP(C4359,[1]master_data!$A$2:$E$495,3,FALSE)</f>
        <v>800</v>
      </c>
      <c r="G4359" s="5">
        <f>VLOOKUP(C4359,[1]master_data!$A$2:$E$495,4,FALSE)</f>
        <v>2000</v>
      </c>
      <c r="H4359" s="5">
        <f t="shared" si="210"/>
        <v>8000</v>
      </c>
      <c r="I4359" s="5">
        <f t="shared" si="211"/>
        <v>20000</v>
      </c>
      <c r="J4359" s="5">
        <f t="shared" si="212"/>
        <v>12000</v>
      </c>
      <c r="K4359" s="5" t="str">
        <f>VLOOKUP(C4359,[1]master_data!$A$2:$E$495,5,FALSE)</f>
        <v>Ikan</v>
      </c>
      <c r="L4359" s="5" t="s">
        <v>471</v>
      </c>
    </row>
    <row r="4360" spans="1:12" ht="12" customHeight="1" x14ac:dyDescent="0.25">
      <c r="A4360" s="6">
        <v>44573</v>
      </c>
      <c r="B4360" s="1">
        <v>2200203</v>
      </c>
      <c r="C4360" s="5" t="s">
        <v>419</v>
      </c>
      <c r="D4360" s="5" t="str">
        <f>VLOOKUP(C4360,[1]master_data!$A$2:$E$495,2,FALSE)</f>
        <v>KURA - KURA</v>
      </c>
      <c r="E4360" s="5">
        <v>2</v>
      </c>
      <c r="F4360" s="5">
        <f>VLOOKUP(C4360,[1]master_data!$A$2:$E$495,3,FALSE)</f>
        <v>25000</v>
      </c>
      <c r="G4360" s="5">
        <f>VLOOKUP(C4360,[1]master_data!$A$2:$E$495,4,FALSE)</f>
        <v>35000</v>
      </c>
      <c r="H4360" s="5">
        <f t="shared" si="210"/>
        <v>50000</v>
      </c>
      <c r="I4360" s="5">
        <f t="shared" si="211"/>
        <v>70000</v>
      </c>
      <c r="J4360" s="5">
        <f t="shared" si="212"/>
        <v>20000</v>
      </c>
      <c r="K4360" s="5" t="str">
        <f>VLOOKUP(C4360,[1]master_data!$A$2:$E$495,5,FALSE)</f>
        <v>Ikan</v>
      </c>
      <c r="L4360" s="5" t="s">
        <v>471</v>
      </c>
    </row>
    <row r="4361" spans="1:12" ht="12" customHeight="1" x14ac:dyDescent="0.25">
      <c r="A4361" s="6">
        <v>44573</v>
      </c>
      <c r="B4361" s="1">
        <v>2200202</v>
      </c>
      <c r="C4361" s="5" t="s">
        <v>415</v>
      </c>
      <c r="D4361" s="5" t="str">
        <f>VLOOKUP(C4361,[1]master_data!$A$2:$E$495,2,FALSE)</f>
        <v>KOKI B</v>
      </c>
      <c r="E4361" s="5">
        <v>1</v>
      </c>
      <c r="F4361" s="5">
        <f>VLOOKUP(C4361,[1]master_data!$A$2:$E$495,3,FALSE)</f>
        <v>20000</v>
      </c>
      <c r="G4361" s="5">
        <f>VLOOKUP(C4361,[1]master_data!$A$2:$E$495,4,FALSE)</f>
        <v>50000</v>
      </c>
      <c r="H4361" s="5">
        <f t="shared" si="210"/>
        <v>20000</v>
      </c>
      <c r="I4361" s="5">
        <f t="shared" si="211"/>
        <v>50000</v>
      </c>
      <c r="J4361" s="5">
        <f t="shared" si="212"/>
        <v>30000</v>
      </c>
      <c r="K4361" s="5" t="str">
        <f>VLOOKUP(C4361,[1]master_data!$A$2:$E$495,5,FALSE)</f>
        <v>Ikan</v>
      </c>
      <c r="L4361" s="5" t="s">
        <v>471</v>
      </c>
    </row>
    <row r="4362" spans="1:12" ht="12" customHeight="1" x14ac:dyDescent="0.25">
      <c r="A4362" s="6">
        <v>44573</v>
      </c>
      <c r="B4362" s="1">
        <v>2200201</v>
      </c>
      <c r="C4362" s="5" t="s">
        <v>431</v>
      </c>
      <c r="D4362" s="5" t="str">
        <f>VLOOKUP(C4362,[1]master_data!$A$2:$E$495,2,FALSE)</f>
        <v>MANFISH B</v>
      </c>
      <c r="E4362" s="5">
        <v>1</v>
      </c>
      <c r="F4362" s="5">
        <f>VLOOKUP(C4362,[1]master_data!$A$2:$E$495,3,FALSE)</f>
        <v>4000</v>
      </c>
      <c r="G4362" s="5">
        <f>VLOOKUP(C4362,[1]master_data!$A$2:$E$495,4,FALSE)</f>
        <v>10000</v>
      </c>
      <c r="H4362" s="5">
        <f t="shared" si="210"/>
        <v>4000</v>
      </c>
      <c r="I4362" s="5">
        <f t="shared" si="211"/>
        <v>10000</v>
      </c>
      <c r="J4362" s="5">
        <f t="shared" si="212"/>
        <v>6000</v>
      </c>
      <c r="K4362" s="5" t="str">
        <f>VLOOKUP(C4362,[1]master_data!$A$2:$E$495,5,FALSE)</f>
        <v>Ikan</v>
      </c>
      <c r="L4362" s="5" t="s">
        <v>471</v>
      </c>
    </row>
    <row r="4363" spans="1:12" ht="12" customHeight="1" x14ac:dyDescent="0.25">
      <c r="A4363" s="6">
        <v>44573</v>
      </c>
      <c r="B4363" s="1">
        <v>2200200</v>
      </c>
      <c r="C4363" s="5" t="s">
        <v>406</v>
      </c>
      <c r="D4363" s="5" t="str">
        <f>VLOOKUP(C4363,[1]master_data!$A$2:$E$495,2,FALSE)</f>
        <v>BARBIR</v>
      </c>
      <c r="E4363" s="5">
        <v>5</v>
      </c>
      <c r="F4363" s="5">
        <f>VLOOKUP(C4363,[1]master_data!$A$2:$E$495,3,FALSE)</f>
        <v>800</v>
      </c>
      <c r="G4363" s="5">
        <f>VLOOKUP(C4363,[1]master_data!$A$2:$E$495,4,FALSE)</f>
        <v>2000</v>
      </c>
      <c r="H4363" s="5">
        <f t="shared" si="210"/>
        <v>4000</v>
      </c>
      <c r="I4363" s="5">
        <f t="shared" si="211"/>
        <v>10000</v>
      </c>
      <c r="J4363" s="5">
        <f t="shared" si="212"/>
        <v>6000</v>
      </c>
      <c r="K4363" s="5" t="str">
        <f>VLOOKUP(C4363,[1]master_data!$A$2:$E$495,5,FALSE)</f>
        <v>Ikan</v>
      </c>
      <c r="L4363" s="5" t="s">
        <v>471</v>
      </c>
    </row>
    <row r="4364" spans="1:12" ht="12" customHeight="1" x14ac:dyDescent="0.25">
      <c r="A4364" s="6">
        <v>44572</v>
      </c>
      <c r="B4364" s="1">
        <v>2200199</v>
      </c>
      <c r="C4364" s="5" t="s">
        <v>310</v>
      </c>
      <c r="D4364" s="5" t="str">
        <f>VLOOKUP(C4364,[1]master_data!$A$2:$E$495,2,FALSE)</f>
        <v>SELANG FUSO</v>
      </c>
      <c r="E4364" s="5">
        <v>2</v>
      </c>
      <c r="F4364" s="5">
        <f>VLOOKUP(C4364,[1]master_data!$A$2:$E$495,3,FALSE)</f>
        <v>800</v>
      </c>
      <c r="G4364" s="5">
        <f>VLOOKUP(C4364,[1]master_data!$A$2:$E$495,4,FALSE)</f>
        <v>2000</v>
      </c>
      <c r="H4364" s="5">
        <f t="shared" si="210"/>
        <v>1600</v>
      </c>
      <c r="I4364" s="5">
        <f t="shared" si="211"/>
        <v>4000</v>
      </c>
      <c r="J4364" s="5">
        <f t="shared" si="212"/>
        <v>2400</v>
      </c>
      <c r="K4364" s="5" t="str">
        <f>VLOOKUP(C4364,[1]master_data!$A$2:$E$495,5,FALSE)</f>
        <v>Aksesoris</v>
      </c>
      <c r="L4364" s="5" t="s">
        <v>471</v>
      </c>
    </row>
    <row r="4365" spans="1:12" ht="12" customHeight="1" x14ac:dyDescent="0.25">
      <c r="A4365" s="6">
        <v>44572</v>
      </c>
      <c r="B4365" s="1">
        <v>2200198</v>
      </c>
      <c r="C4365" s="5" t="s">
        <v>280</v>
      </c>
      <c r="D4365" s="5" t="str">
        <f>VLOOKUP(C4365,[1]master_data!$A$2:$E$495,2,FALSE)</f>
        <v>KRAN 2 W</v>
      </c>
      <c r="E4365" s="5">
        <v>1</v>
      </c>
      <c r="F4365" s="5">
        <f>VLOOKUP(C4365,[1]master_data!$A$2:$E$495,3,FALSE)</f>
        <v>4000</v>
      </c>
      <c r="G4365" s="5">
        <f>VLOOKUP(C4365,[1]master_data!$A$2:$E$495,4,FALSE)</f>
        <v>6000</v>
      </c>
      <c r="H4365" s="5">
        <f t="shared" si="210"/>
        <v>4000</v>
      </c>
      <c r="I4365" s="5">
        <f t="shared" si="211"/>
        <v>6000</v>
      </c>
      <c r="J4365" s="5">
        <f t="shared" si="212"/>
        <v>2000</v>
      </c>
      <c r="K4365" s="5" t="str">
        <f>VLOOKUP(C4365,[1]master_data!$A$2:$E$495,5,FALSE)</f>
        <v>Aksesoris</v>
      </c>
      <c r="L4365" s="5" t="s">
        <v>471</v>
      </c>
    </row>
    <row r="4366" spans="1:12" ht="12" customHeight="1" x14ac:dyDescent="0.25">
      <c r="A4366" s="6">
        <v>44572</v>
      </c>
      <c r="B4366" s="1">
        <v>2200197</v>
      </c>
      <c r="C4366" s="5" t="s">
        <v>437</v>
      </c>
      <c r="D4366" s="5" t="str">
        <f>VLOOKUP(C4366,[1]master_data!$A$2:$E$495,2,FALSE)</f>
        <v>RED EYE TETRA</v>
      </c>
      <c r="E4366" s="5">
        <v>5</v>
      </c>
      <c r="F4366" s="5">
        <f>VLOOKUP(C4366,[1]master_data!$A$2:$E$495,3,FALSE)</f>
        <v>900</v>
      </c>
      <c r="G4366" s="5">
        <f>VLOOKUP(C4366,[1]master_data!$A$2:$E$495,4,FALSE)</f>
        <v>2000</v>
      </c>
      <c r="H4366" s="5">
        <f t="shared" si="210"/>
        <v>4500</v>
      </c>
      <c r="I4366" s="5">
        <f t="shared" si="211"/>
        <v>10000</v>
      </c>
      <c r="J4366" s="5">
        <f t="shared" si="212"/>
        <v>5500</v>
      </c>
      <c r="K4366" s="5" t="str">
        <f>VLOOKUP(C4366,[1]master_data!$A$2:$E$495,5,FALSE)</f>
        <v>Ikan</v>
      </c>
      <c r="L4366" s="5" t="s">
        <v>471</v>
      </c>
    </row>
    <row r="4367" spans="1:12" ht="12" customHeight="1" x14ac:dyDescent="0.25">
      <c r="A4367" s="6">
        <v>44572</v>
      </c>
      <c r="B4367" s="1">
        <v>2200196</v>
      </c>
      <c r="C4367" s="5" t="s">
        <v>13</v>
      </c>
      <c r="D4367" s="5" t="str">
        <f>VLOOKUP(C4367,[1]master_data!$A$2:$E$495,2,FALSE)</f>
        <v>MESIN YANG 105</v>
      </c>
      <c r="E4367" s="5">
        <v>1</v>
      </c>
      <c r="F4367" s="5">
        <f>VLOOKUP(C4367,[1]master_data!$A$2:$E$495,3,FALSE)</f>
        <v>140000</v>
      </c>
      <c r="G4367" s="5">
        <f>VLOOKUP(C4367,[1]master_data!$A$2:$E$495,4,FALSE)</f>
        <v>190000</v>
      </c>
      <c r="H4367" s="5">
        <f t="shared" si="210"/>
        <v>140000</v>
      </c>
      <c r="I4367" s="5">
        <f t="shared" si="211"/>
        <v>190000</v>
      </c>
      <c r="J4367" s="5">
        <f t="shared" si="212"/>
        <v>50000</v>
      </c>
      <c r="K4367" s="5" t="str">
        <f>VLOOKUP(C4367,[1]master_data!$A$2:$E$495,5,FALSE)</f>
        <v>Aksesoris</v>
      </c>
      <c r="L4367" s="5" t="s">
        <v>471</v>
      </c>
    </row>
    <row r="4368" spans="1:12" ht="12" customHeight="1" x14ac:dyDescent="0.25">
      <c r="A4368" s="6">
        <v>44572</v>
      </c>
      <c r="B4368" s="1">
        <v>2200195</v>
      </c>
      <c r="C4368" s="5" t="s">
        <v>430</v>
      </c>
      <c r="D4368" s="5" t="str">
        <f>VLOOKUP(C4368,[1]master_data!$A$2:$E$495,2,FALSE)</f>
        <v>MANFISH K</v>
      </c>
      <c r="E4368" s="5">
        <v>2</v>
      </c>
      <c r="F4368" s="5">
        <f>VLOOKUP(C4368,[1]master_data!$A$2:$E$495,3,FALSE)</f>
        <v>2000</v>
      </c>
      <c r="G4368" s="5">
        <f>VLOOKUP(C4368,[1]master_data!$A$2:$E$495,4,FALSE)</f>
        <v>5000</v>
      </c>
      <c r="H4368" s="5">
        <f t="shared" si="210"/>
        <v>4000</v>
      </c>
      <c r="I4368" s="5">
        <f t="shared" si="211"/>
        <v>10000</v>
      </c>
      <c r="J4368" s="5">
        <f t="shared" si="212"/>
        <v>6000</v>
      </c>
      <c r="K4368" s="5" t="str">
        <f>VLOOKUP(C4368,[1]master_data!$A$2:$E$495,5,FALSE)</f>
        <v>Ikan</v>
      </c>
      <c r="L4368" s="5" t="s">
        <v>471</v>
      </c>
    </row>
    <row r="4369" spans="1:12" ht="12" customHeight="1" x14ac:dyDescent="0.25">
      <c r="A4369" s="6">
        <v>44572</v>
      </c>
      <c r="B4369" s="1">
        <v>2200194</v>
      </c>
      <c r="C4369" s="5" t="s">
        <v>431</v>
      </c>
      <c r="D4369" s="5" t="str">
        <f>VLOOKUP(C4369,[1]master_data!$A$2:$E$495,2,FALSE)</f>
        <v>MANFISH B</v>
      </c>
      <c r="E4369" s="5">
        <v>1</v>
      </c>
      <c r="F4369" s="5">
        <f>VLOOKUP(C4369,[1]master_data!$A$2:$E$495,3,FALSE)</f>
        <v>4000</v>
      </c>
      <c r="G4369" s="5">
        <f>VLOOKUP(C4369,[1]master_data!$A$2:$E$495,4,FALSE)</f>
        <v>10000</v>
      </c>
      <c r="H4369" s="5">
        <f t="shared" si="210"/>
        <v>4000</v>
      </c>
      <c r="I4369" s="5">
        <f t="shared" si="211"/>
        <v>10000</v>
      </c>
      <c r="J4369" s="5">
        <f t="shared" si="212"/>
        <v>6000</v>
      </c>
      <c r="K4369" s="5" t="str">
        <f>VLOOKUP(C4369,[1]master_data!$A$2:$E$495,5,FALSE)</f>
        <v>Ikan</v>
      </c>
      <c r="L4369" s="5" t="s">
        <v>471</v>
      </c>
    </row>
    <row r="4370" spans="1:12" ht="12" customHeight="1" x14ac:dyDescent="0.25">
      <c r="A4370" s="6">
        <v>44572</v>
      </c>
      <c r="B4370" s="1">
        <v>2200193</v>
      </c>
      <c r="C4370" s="5" t="s">
        <v>446</v>
      </c>
      <c r="D4370" s="5" t="str">
        <f>VLOOKUP(C4370,[1]master_data!$A$2:$E$495,2,FALSE)</f>
        <v>REDFIN HITAM</v>
      </c>
      <c r="E4370" s="5">
        <v>2</v>
      </c>
      <c r="F4370" s="5">
        <f>VLOOKUP(C4370,[1]master_data!$A$2:$E$495,3,FALSE)</f>
        <v>1500</v>
      </c>
      <c r="G4370" s="5">
        <f>VLOOKUP(C4370,[1]master_data!$A$2:$E$495,4,FALSE)</f>
        <v>4000</v>
      </c>
      <c r="H4370" s="5">
        <f t="shared" si="210"/>
        <v>3000</v>
      </c>
      <c r="I4370" s="5">
        <f t="shared" si="211"/>
        <v>8000</v>
      </c>
      <c r="J4370" s="5">
        <f t="shared" si="212"/>
        <v>5000</v>
      </c>
      <c r="K4370" s="5" t="str">
        <f>VLOOKUP(C4370,[1]master_data!$A$2:$E$495,5,FALSE)</f>
        <v>Ikan</v>
      </c>
      <c r="L4370" s="5" t="s">
        <v>471</v>
      </c>
    </row>
    <row r="4371" spans="1:12" ht="12" customHeight="1" x14ac:dyDescent="0.25">
      <c r="A4371" s="6">
        <v>44572</v>
      </c>
      <c r="B4371" s="1">
        <v>2200192</v>
      </c>
      <c r="C4371" s="5" t="s">
        <v>425</v>
      </c>
      <c r="D4371" s="5" t="str">
        <f>VLOOKUP(C4371,[1]master_data!$A$2:$E$495,2,FALSE)</f>
        <v>CAROLINE</v>
      </c>
      <c r="E4371" s="5">
        <v>10</v>
      </c>
      <c r="F4371" s="5">
        <f>VLOOKUP(C4371,[1]master_data!$A$2:$E$495,3,FALSE)</f>
        <v>900</v>
      </c>
      <c r="G4371" s="5">
        <f>VLOOKUP(C4371,[1]master_data!$A$2:$E$495,4,FALSE)</f>
        <v>2000</v>
      </c>
      <c r="H4371" s="5">
        <f t="shared" si="210"/>
        <v>9000</v>
      </c>
      <c r="I4371" s="5">
        <f t="shared" si="211"/>
        <v>20000</v>
      </c>
      <c r="J4371" s="5">
        <f t="shared" si="212"/>
        <v>11000</v>
      </c>
      <c r="K4371" s="5" t="str">
        <f>VLOOKUP(C4371,[1]master_data!$A$2:$E$495,5,FALSE)</f>
        <v>Ikan</v>
      </c>
      <c r="L4371" s="5" t="s">
        <v>471</v>
      </c>
    </row>
    <row r="4372" spans="1:12" ht="12" customHeight="1" x14ac:dyDescent="0.25">
      <c r="A4372" s="6">
        <v>44572</v>
      </c>
      <c r="B4372" s="1">
        <v>2200191</v>
      </c>
      <c r="C4372" s="5" t="s">
        <v>415</v>
      </c>
      <c r="D4372" s="5" t="str">
        <f>VLOOKUP(C4372,[1]master_data!$A$2:$E$495,2,FALSE)</f>
        <v>KOKI B</v>
      </c>
      <c r="E4372" s="5">
        <v>2</v>
      </c>
      <c r="F4372" s="5">
        <f>VLOOKUP(C4372,[1]master_data!$A$2:$E$495,3,FALSE)</f>
        <v>20000</v>
      </c>
      <c r="G4372" s="5">
        <f>VLOOKUP(C4372,[1]master_data!$A$2:$E$495,4,FALSE)</f>
        <v>50000</v>
      </c>
      <c r="H4372" s="5">
        <f t="shared" si="210"/>
        <v>40000</v>
      </c>
      <c r="I4372" s="5">
        <f t="shared" si="211"/>
        <v>100000</v>
      </c>
      <c r="J4372" s="5">
        <f t="shared" si="212"/>
        <v>60000</v>
      </c>
      <c r="K4372" s="5" t="str">
        <f>VLOOKUP(C4372,[1]master_data!$A$2:$E$495,5,FALSE)</f>
        <v>Ikan</v>
      </c>
      <c r="L4372" s="5" t="s">
        <v>471</v>
      </c>
    </row>
    <row r="4373" spans="1:12" ht="12" customHeight="1" x14ac:dyDescent="0.25">
      <c r="A4373" s="6">
        <v>44572</v>
      </c>
      <c r="B4373" s="1">
        <v>2200190</v>
      </c>
      <c r="C4373" s="5" t="s">
        <v>405</v>
      </c>
      <c r="D4373" s="5" t="str">
        <f>VLOOKUP(C4373,[1]master_data!$A$2:$E$495,2,FALSE)</f>
        <v>KOMET BOKIM</v>
      </c>
      <c r="E4373" s="5">
        <v>10</v>
      </c>
      <c r="F4373" s="5">
        <f>VLOOKUP(C4373,[1]master_data!$A$2:$E$495,3,FALSE)</f>
        <v>1500</v>
      </c>
      <c r="G4373" s="5">
        <f>VLOOKUP(C4373,[1]master_data!$A$2:$E$495,4,FALSE)</f>
        <v>5000</v>
      </c>
      <c r="H4373" s="5">
        <f t="shared" si="210"/>
        <v>15000</v>
      </c>
      <c r="I4373" s="5">
        <f t="shared" si="211"/>
        <v>50000</v>
      </c>
      <c r="J4373" s="5">
        <f t="shared" si="212"/>
        <v>35000</v>
      </c>
      <c r="K4373" s="5" t="str">
        <f>VLOOKUP(C4373,[1]master_data!$A$2:$E$495,5,FALSE)</f>
        <v>Ikan</v>
      </c>
      <c r="L4373" s="5" t="s">
        <v>471</v>
      </c>
    </row>
    <row r="4374" spans="1:12" ht="12" customHeight="1" x14ac:dyDescent="0.25">
      <c r="A4374" s="6">
        <v>44572</v>
      </c>
      <c r="B4374" s="1">
        <v>2200189</v>
      </c>
      <c r="C4374" s="5" t="s">
        <v>419</v>
      </c>
      <c r="D4374" s="5" t="str">
        <f>VLOOKUP(C4374,[1]master_data!$A$2:$E$495,2,FALSE)</f>
        <v>KURA - KURA</v>
      </c>
      <c r="E4374" s="5">
        <v>2</v>
      </c>
      <c r="F4374" s="5">
        <f>VLOOKUP(C4374,[1]master_data!$A$2:$E$495,3,FALSE)</f>
        <v>25000</v>
      </c>
      <c r="G4374" s="5">
        <f>VLOOKUP(C4374,[1]master_data!$A$2:$E$495,4,FALSE)</f>
        <v>35000</v>
      </c>
      <c r="H4374" s="5">
        <f t="shared" si="210"/>
        <v>50000</v>
      </c>
      <c r="I4374" s="5">
        <f t="shared" si="211"/>
        <v>70000</v>
      </c>
      <c r="J4374" s="5">
        <f t="shared" si="212"/>
        <v>20000</v>
      </c>
      <c r="K4374" s="5" t="str">
        <f>VLOOKUP(C4374,[1]master_data!$A$2:$E$495,5,FALSE)</f>
        <v>Ikan</v>
      </c>
      <c r="L4374" s="5" t="s">
        <v>471</v>
      </c>
    </row>
    <row r="4375" spans="1:12" ht="12" customHeight="1" x14ac:dyDescent="0.25">
      <c r="A4375" s="6">
        <v>44572</v>
      </c>
      <c r="B4375" s="1">
        <v>2200188</v>
      </c>
      <c r="C4375" s="5" t="s">
        <v>411</v>
      </c>
      <c r="D4375" s="5" t="str">
        <f>VLOOKUP(C4375,[1]master_data!$A$2:$E$495,2,FALSE)</f>
        <v>GOLDEN BLACK</v>
      </c>
      <c r="E4375" s="5">
        <v>5</v>
      </c>
      <c r="F4375" s="5">
        <f>VLOOKUP(C4375,[1]master_data!$A$2:$E$495,3,FALSE)</f>
        <v>800</v>
      </c>
      <c r="G4375" s="5">
        <f>VLOOKUP(C4375,[1]master_data!$A$2:$E$495,4,FALSE)</f>
        <v>2000</v>
      </c>
      <c r="H4375" s="5">
        <f t="shared" si="210"/>
        <v>4000</v>
      </c>
      <c r="I4375" s="5">
        <f t="shared" si="211"/>
        <v>10000</v>
      </c>
      <c r="J4375" s="5">
        <f t="shared" si="212"/>
        <v>6000</v>
      </c>
      <c r="K4375" s="5" t="str">
        <f>VLOOKUP(C4375,[1]master_data!$A$2:$E$495,5,FALSE)</f>
        <v>Ikan</v>
      </c>
      <c r="L4375" s="5" t="s">
        <v>471</v>
      </c>
    </row>
    <row r="4376" spans="1:12" ht="12" customHeight="1" x14ac:dyDescent="0.25">
      <c r="A4376" s="6">
        <v>44572</v>
      </c>
      <c r="B4376" s="1">
        <v>2200187</v>
      </c>
      <c r="C4376" s="5" t="s">
        <v>248</v>
      </c>
      <c r="D4376" s="5" t="str">
        <f>VLOOKUP(C4376,[1]master_data!$A$2:$E$495,2,FALSE)</f>
        <v>MATLINE BLUE</v>
      </c>
      <c r="E4376" s="5">
        <v>4</v>
      </c>
      <c r="F4376" s="5">
        <f>VLOOKUP(C4376,[1]master_data!$A$2:$E$495,3,FALSE)</f>
        <v>7000</v>
      </c>
      <c r="G4376" s="5">
        <f>VLOOKUP(C4376,[1]master_data!$A$2:$E$495,4,FALSE)</f>
        <v>10000</v>
      </c>
      <c r="H4376" s="5">
        <f t="shared" si="210"/>
        <v>28000</v>
      </c>
      <c r="I4376" s="5">
        <f t="shared" si="211"/>
        <v>40000</v>
      </c>
      <c r="J4376" s="5">
        <f t="shared" si="212"/>
        <v>12000</v>
      </c>
      <c r="K4376" s="5" t="str">
        <f>VLOOKUP(C4376,[1]master_data!$A$2:$E$495,5,FALSE)</f>
        <v>Aksesoris</v>
      </c>
      <c r="L4376" s="5" t="s">
        <v>471</v>
      </c>
    </row>
    <row r="4377" spans="1:12" ht="12" customHeight="1" x14ac:dyDescent="0.25">
      <c r="A4377" s="6">
        <v>44572</v>
      </c>
      <c r="B4377" s="1">
        <v>2200186</v>
      </c>
      <c r="C4377" s="5" t="s">
        <v>280</v>
      </c>
      <c r="D4377" s="5" t="str">
        <f>VLOOKUP(C4377,[1]master_data!$A$2:$E$495,2,FALSE)</f>
        <v>KRAN 2 W</v>
      </c>
      <c r="E4377" s="5">
        <v>2</v>
      </c>
      <c r="F4377" s="5">
        <f>VLOOKUP(C4377,[1]master_data!$A$2:$E$495,3,FALSE)</f>
        <v>4000</v>
      </c>
      <c r="G4377" s="5">
        <f>VLOOKUP(C4377,[1]master_data!$A$2:$E$495,4,FALSE)</f>
        <v>6000</v>
      </c>
      <c r="H4377" s="5">
        <f t="shared" si="210"/>
        <v>8000</v>
      </c>
      <c r="I4377" s="5">
        <f t="shared" si="211"/>
        <v>12000</v>
      </c>
      <c r="J4377" s="5">
        <f t="shared" si="212"/>
        <v>4000</v>
      </c>
      <c r="K4377" s="5" t="str">
        <f>VLOOKUP(C4377,[1]master_data!$A$2:$E$495,5,FALSE)</f>
        <v>Aksesoris</v>
      </c>
      <c r="L4377" s="5" t="s">
        <v>471</v>
      </c>
    </row>
    <row r="4378" spans="1:12" ht="12" customHeight="1" x14ac:dyDescent="0.25">
      <c r="A4378" s="6">
        <v>44572</v>
      </c>
      <c r="B4378" s="1">
        <v>2200185</v>
      </c>
      <c r="C4378" s="5" t="s">
        <v>249</v>
      </c>
      <c r="D4378" s="5" t="str">
        <f>VLOOKUP(C4378,[1]master_data!$A$2:$E$495,2,FALSE)</f>
        <v>AIRSTONE BAKSO B</v>
      </c>
      <c r="E4378" s="5">
        <v>4</v>
      </c>
      <c r="F4378" s="5">
        <f>VLOOKUP(C4378,[1]master_data!$A$2:$E$495,3,FALSE)</f>
        <v>7700</v>
      </c>
      <c r="G4378" s="5">
        <f>VLOOKUP(C4378,[1]master_data!$A$2:$E$495,4,FALSE)</f>
        <v>10000</v>
      </c>
      <c r="H4378" s="5">
        <f t="shared" si="210"/>
        <v>30800</v>
      </c>
      <c r="I4378" s="5">
        <f t="shared" si="211"/>
        <v>40000</v>
      </c>
      <c r="J4378" s="5">
        <f t="shared" si="212"/>
        <v>9200</v>
      </c>
      <c r="K4378" s="5" t="str">
        <f>VLOOKUP(C4378,[1]master_data!$A$2:$E$495,5,FALSE)</f>
        <v>Aksesoris</v>
      </c>
      <c r="L4378" s="5" t="s">
        <v>471</v>
      </c>
    </row>
    <row r="4379" spans="1:12" ht="12" customHeight="1" x14ac:dyDescent="0.25">
      <c r="A4379" s="6">
        <v>44572</v>
      </c>
      <c r="B4379" s="1">
        <v>2200184</v>
      </c>
      <c r="C4379" s="5" t="s">
        <v>399</v>
      </c>
      <c r="D4379" s="5" t="str">
        <f>VLOOKUP(C4379,[1]master_data!$A$2:$E$495,2,FALSE)</f>
        <v>BUENOS AIRES TETRA</v>
      </c>
      <c r="E4379" s="5">
        <v>5</v>
      </c>
      <c r="F4379" s="5">
        <f>VLOOKUP(C4379,[1]master_data!$A$2:$E$495,3,FALSE)</f>
        <v>800</v>
      </c>
      <c r="G4379" s="5">
        <f>VLOOKUP(C4379,[1]master_data!$A$2:$E$495,4,FALSE)</f>
        <v>2000</v>
      </c>
      <c r="H4379" s="5">
        <f t="shared" si="210"/>
        <v>4000</v>
      </c>
      <c r="I4379" s="5">
        <f t="shared" si="211"/>
        <v>10000</v>
      </c>
      <c r="J4379" s="5">
        <f t="shared" si="212"/>
        <v>6000</v>
      </c>
      <c r="K4379" s="5" t="str">
        <f>VLOOKUP(C4379,[1]master_data!$A$2:$E$495,5,FALSE)</f>
        <v>Ikan</v>
      </c>
      <c r="L4379" s="5" t="s">
        <v>471</v>
      </c>
    </row>
    <row r="4380" spans="1:12" ht="12" customHeight="1" x14ac:dyDescent="0.25">
      <c r="A4380" s="6">
        <v>44572</v>
      </c>
      <c r="B4380" s="1">
        <v>2200183</v>
      </c>
      <c r="C4380" s="5" t="s">
        <v>100</v>
      </c>
      <c r="D4380" s="5" t="str">
        <f>VLOOKUP(C4380,[1]master_data!$A$2:$E$495,2,FALSE)</f>
        <v>AIRATOR AMARA LUB 1</v>
      </c>
      <c r="E4380" s="5">
        <v>1</v>
      </c>
      <c r="F4380" s="5">
        <f>VLOOKUP(C4380,[1]master_data!$A$2:$E$495,3,FALSE)</f>
        <v>17500</v>
      </c>
      <c r="G4380" s="5">
        <f>VLOOKUP(C4380,[1]master_data!$A$2:$E$495,4,FALSE)</f>
        <v>30000</v>
      </c>
      <c r="H4380" s="5">
        <f t="shared" si="210"/>
        <v>17500</v>
      </c>
      <c r="I4380" s="5">
        <f t="shared" si="211"/>
        <v>30000</v>
      </c>
      <c r="J4380" s="5">
        <f t="shared" si="212"/>
        <v>12500</v>
      </c>
      <c r="K4380" s="5" t="str">
        <f>VLOOKUP(C4380,[1]master_data!$A$2:$E$495,5,FALSE)</f>
        <v>Aksesoris</v>
      </c>
      <c r="L4380" s="5" t="s">
        <v>471</v>
      </c>
    </row>
    <row r="4381" spans="1:12" ht="12" customHeight="1" x14ac:dyDescent="0.25">
      <c r="A4381" s="6">
        <v>44572</v>
      </c>
      <c r="B4381" s="1">
        <v>2200182</v>
      </c>
      <c r="C4381" s="5" t="s">
        <v>432</v>
      </c>
      <c r="D4381" s="5" t="str">
        <f>VLOOKUP(C4381,[1]master_data!$A$2:$E$495,2,FALSE)</f>
        <v>MARU K</v>
      </c>
      <c r="E4381" s="5">
        <v>1</v>
      </c>
      <c r="F4381" s="5">
        <f>VLOOKUP(C4381,[1]master_data!$A$2:$E$495,3,FALSE)</f>
        <v>23000</v>
      </c>
      <c r="G4381" s="5">
        <f>VLOOKUP(C4381,[1]master_data!$A$2:$E$495,4,FALSE)</f>
        <v>50000</v>
      </c>
      <c r="H4381" s="5">
        <f t="shared" si="210"/>
        <v>23000</v>
      </c>
      <c r="I4381" s="5">
        <f t="shared" si="211"/>
        <v>50000</v>
      </c>
      <c r="J4381" s="5">
        <f t="shared" si="212"/>
        <v>27000</v>
      </c>
      <c r="K4381" s="5" t="str">
        <f>VLOOKUP(C4381,[1]master_data!$A$2:$E$495,5,FALSE)</f>
        <v>Ikan</v>
      </c>
      <c r="L4381" s="5" t="s">
        <v>471</v>
      </c>
    </row>
    <row r="4382" spans="1:12" ht="12" customHeight="1" x14ac:dyDescent="0.25">
      <c r="A4382" s="6">
        <v>44572</v>
      </c>
      <c r="B4382" s="1">
        <v>2200181</v>
      </c>
      <c r="C4382" s="5" t="s">
        <v>233</v>
      </c>
      <c r="D4382" s="5" t="str">
        <f>VLOOKUP(C4382,[1]master_data!$A$2:$E$495,2,FALSE)</f>
        <v>FISH LOVE PAKAN</v>
      </c>
      <c r="E4382" s="5">
        <v>2</v>
      </c>
      <c r="F4382" s="5">
        <f>VLOOKUP(C4382,[1]master_data!$A$2:$E$495,3,FALSE)</f>
        <v>2500</v>
      </c>
      <c r="G4382" s="5">
        <f>VLOOKUP(C4382,[1]master_data!$A$2:$E$495,4,FALSE)</f>
        <v>5000</v>
      </c>
      <c r="H4382" s="5">
        <f t="shared" si="210"/>
        <v>5000</v>
      </c>
      <c r="I4382" s="5">
        <f t="shared" si="211"/>
        <v>10000</v>
      </c>
      <c r="J4382" s="5">
        <f t="shared" si="212"/>
        <v>5000</v>
      </c>
      <c r="K4382" s="5" t="str">
        <f>VLOOKUP(C4382,[1]master_data!$A$2:$E$495,5,FALSE)</f>
        <v>Aksesoris</v>
      </c>
      <c r="L4382" s="5" t="s">
        <v>471</v>
      </c>
    </row>
    <row r="4383" spans="1:12" ht="12" customHeight="1" x14ac:dyDescent="0.25">
      <c r="A4383" s="6">
        <v>44572</v>
      </c>
      <c r="B4383" s="1">
        <v>2200180</v>
      </c>
      <c r="C4383" s="5" t="s">
        <v>448</v>
      </c>
      <c r="D4383" s="5" t="str">
        <f>VLOOKUP(C4383,[1]master_data!$A$2:$E$495,2,FALSE)</f>
        <v xml:space="preserve"> CHANNA RED BARITO K</v>
      </c>
      <c r="E4383" s="5">
        <v>1</v>
      </c>
      <c r="F4383" s="5">
        <f>VLOOKUP(C4383,[1]master_data!$A$2:$E$495,3,FALSE)</f>
        <v>45000</v>
      </c>
      <c r="G4383" s="5">
        <f>VLOOKUP(C4383,[1]master_data!$A$2:$E$495,4,FALSE)</f>
        <v>100000</v>
      </c>
      <c r="H4383" s="5">
        <f t="shared" si="210"/>
        <v>45000</v>
      </c>
      <c r="I4383" s="5">
        <f t="shared" si="211"/>
        <v>100000</v>
      </c>
      <c r="J4383" s="5">
        <f t="shared" si="212"/>
        <v>55000</v>
      </c>
      <c r="K4383" s="5" t="str">
        <f>VLOOKUP(C4383,[1]master_data!$A$2:$E$495,5,FALSE)</f>
        <v>Ikan</v>
      </c>
      <c r="L4383" s="5" t="s">
        <v>471</v>
      </c>
    </row>
    <row r="4384" spans="1:12" ht="12" customHeight="1" x14ac:dyDescent="0.25">
      <c r="A4384" s="6">
        <v>44572</v>
      </c>
      <c r="B4384" s="1">
        <v>2200179</v>
      </c>
      <c r="C4384" s="5" t="s">
        <v>400</v>
      </c>
      <c r="D4384" s="5" t="str">
        <f>VLOOKUP(C4384,[1]master_data!$A$2:$E$495,2,FALSE)</f>
        <v>BALA BALA K</v>
      </c>
      <c r="E4384" s="5">
        <v>3</v>
      </c>
      <c r="F4384" s="5">
        <f>VLOOKUP(C4384,[1]master_data!$A$2:$E$495,3,FALSE)</f>
        <v>4000</v>
      </c>
      <c r="G4384" s="5">
        <f>VLOOKUP(C4384,[1]master_data!$A$2:$E$495,4,FALSE)</f>
        <v>8000</v>
      </c>
      <c r="H4384" s="5">
        <f t="shared" si="210"/>
        <v>12000</v>
      </c>
      <c r="I4384" s="5">
        <f t="shared" si="211"/>
        <v>24000</v>
      </c>
      <c r="J4384" s="5">
        <f t="shared" si="212"/>
        <v>12000</v>
      </c>
      <c r="K4384" s="5" t="str">
        <f>VLOOKUP(C4384,[1]master_data!$A$2:$E$495,5,FALSE)</f>
        <v>Ikan</v>
      </c>
      <c r="L4384" s="5" t="s">
        <v>471</v>
      </c>
    </row>
    <row r="4385" spans="1:12" ht="12" customHeight="1" x14ac:dyDescent="0.25">
      <c r="A4385" s="6">
        <v>44572</v>
      </c>
      <c r="B4385" s="1">
        <v>2200178</v>
      </c>
      <c r="C4385" s="5" t="s">
        <v>329</v>
      </c>
      <c r="D4385" s="5" t="str">
        <f>VLOOKUP(C4385,[1]master_data!$A$2:$E$495,2,FALSE)</f>
        <v>AIRSTONE D2L5</v>
      </c>
      <c r="E4385" s="5">
        <v>2</v>
      </c>
      <c r="F4385" s="5">
        <f>VLOOKUP(C4385,[1]master_data!$A$2:$E$495,3,FALSE)</f>
        <v>1850</v>
      </c>
      <c r="G4385" s="5">
        <f>VLOOKUP(C4385,[1]master_data!$A$2:$E$495,4,FALSE)</f>
        <v>5000</v>
      </c>
      <c r="H4385" s="5">
        <f t="shared" si="210"/>
        <v>3700</v>
      </c>
      <c r="I4385" s="5">
        <f t="shared" si="211"/>
        <v>10000</v>
      </c>
      <c r="J4385" s="5">
        <f t="shared" si="212"/>
        <v>6300</v>
      </c>
      <c r="K4385" s="5" t="str">
        <f>VLOOKUP(C4385,[1]master_data!$A$2:$E$495,5,FALSE)</f>
        <v>Aksesoris</v>
      </c>
      <c r="L4385" s="5" t="s">
        <v>471</v>
      </c>
    </row>
    <row r="4386" spans="1:12" ht="12" customHeight="1" x14ac:dyDescent="0.25">
      <c r="A4386" s="6">
        <v>44572</v>
      </c>
      <c r="B4386" s="1">
        <v>2200177</v>
      </c>
      <c r="C4386" s="5" t="s">
        <v>310</v>
      </c>
      <c r="D4386" s="5" t="str">
        <f>VLOOKUP(C4386,[1]master_data!$A$2:$E$495,2,FALSE)</f>
        <v>SELANG FUSO</v>
      </c>
      <c r="E4386" s="5">
        <v>10</v>
      </c>
      <c r="F4386" s="5">
        <f>VLOOKUP(C4386,[1]master_data!$A$2:$E$495,3,FALSE)</f>
        <v>800</v>
      </c>
      <c r="G4386" s="5">
        <f>VLOOKUP(C4386,[1]master_data!$A$2:$E$495,4,FALSE)</f>
        <v>2000</v>
      </c>
      <c r="H4386" s="5">
        <f t="shared" si="210"/>
        <v>8000</v>
      </c>
      <c r="I4386" s="5">
        <f t="shared" si="211"/>
        <v>20000</v>
      </c>
      <c r="J4386" s="5">
        <f t="shared" si="212"/>
        <v>12000</v>
      </c>
      <c r="K4386" s="5" t="str">
        <f>VLOOKUP(C4386,[1]master_data!$A$2:$E$495,5,FALSE)</f>
        <v>Aksesoris</v>
      </c>
      <c r="L4386" s="5" t="s">
        <v>471</v>
      </c>
    </row>
    <row r="4387" spans="1:12" ht="12" customHeight="1" x14ac:dyDescent="0.25">
      <c r="A4387" s="6">
        <v>44571</v>
      </c>
      <c r="B4387" s="1">
        <v>2200176</v>
      </c>
      <c r="C4387" s="5" t="s">
        <v>285</v>
      </c>
      <c r="D4387" s="5" t="str">
        <f>VLOOKUP(C4387,[1]master_data!$A$2:$E$495,2,FALSE)</f>
        <v>KAPAS 4 LAPIS</v>
      </c>
      <c r="E4387" s="5">
        <v>1</v>
      </c>
      <c r="F4387" s="5">
        <f>VLOOKUP(C4387,[1]master_data!$A$2:$E$495,3,FALSE)</f>
        <v>6500</v>
      </c>
      <c r="G4387" s="5">
        <f>VLOOKUP(C4387,[1]master_data!$A$2:$E$495,4,FALSE)</f>
        <v>10000</v>
      </c>
      <c r="H4387" s="5">
        <f t="shared" si="210"/>
        <v>6500</v>
      </c>
      <c r="I4387" s="5">
        <f t="shared" si="211"/>
        <v>10000</v>
      </c>
      <c r="J4387" s="5">
        <f t="shared" si="212"/>
        <v>3500</v>
      </c>
      <c r="K4387" s="5" t="str">
        <f>VLOOKUP(C4387,[1]master_data!$A$2:$E$495,5,FALSE)</f>
        <v>Aksesoris</v>
      </c>
      <c r="L4387" s="5" t="s">
        <v>471</v>
      </c>
    </row>
    <row r="4388" spans="1:12" ht="12" customHeight="1" x14ac:dyDescent="0.25">
      <c r="A4388" s="6">
        <v>44571</v>
      </c>
      <c r="B4388" s="1">
        <v>2200175</v>
      </c>
      <c r="C4388" s="5" t="s">
        <v>256</v>
      </c>
      <c r="D4388" s="5" t="str">
        <f>VLOOKUP(C4388,[1]master_data!$A$2:$E$495,2,FALSE)</f>
        <v>BACKGROUND</v>
      </c>
      <c r="E4388" s="5">
        <v>1</v>
      </c>
      <c r="F4388" s="5">
        <f>VLOOKUP(C4388,[1]master_data!$A$2:$E$495,3,FALSE)</f>
        <v>8000</v>
      </c>
      <c r="G4388" s="5">
        <f>VLOOKUP(C4388,[1]master_data!$A$2:$E$495,4,FALSE)</f>
        <v>15000</v>
      </c>
      <c r="H4388" s="5">
        <f t="shared" si="210"/>
        <v>8000</v>
      </c>
      <c r="I4388" s="5">
        <f t="shared" si="211"/>
        <v>15000</v>
      </c>
      <c r="J4388" s="5">
        <f t="shared" si="212"/>
        <v>7000</v>
      </c>
      <c r="K4388" s="5" t="str">
        <f>VLOOKUP(C4388,[1]master_data!$A$2:$E$495,5,FALSE)</f>
        <v>Aksesoris</v>
      </c>
      <c r="L4388" s="5" t="s">
        <v>471</v>
      </c>
    </row>
    <row r="4389" spans="1:12" ht="12" customHeight="1" x14ac:dyDescent="0.25">
      <c r="A4389" s="6">
        <v>44571</v>
      </c>
      <c r="B4389" s="1">
        <v>2200174</v>
      </c>
      <c r="C4389" s="5" t="s">
        <v>455</v>
      </c>
      <c r="D4389" s="5" t="str">
        <f>VLOOKUP(C4389,[1]master_data!$A$2:$E$495,2,FALSE)</f>
        <v>TETRA</v>
      </c>
      <c r="E4389" s="5">
        <v>5</v>
      </c>
      <c r="F4389" s="5">
        <f>VLOOKUP(C4389,[1]master_data!$A$2:$E$495,3,FALSE)</f>
        <v>800</v>
      </c>
      <c r="G4389" s="5">
        <f>VLOOKUP(C4389,[1]master_data!$A$2:$E$495,4,FALSE)</f>
        <v>2000</v>
      </c>
      <c r="H4389" s="5">
        <f t="shared" si="210"/>
        <v>4000</v>
      </c>
      <c r="I4389" s="5">
        <f t="shared" si="211"/>
        <v>10000</v>
      </c>
      <c r="J4389" s="5">
        <f t="shared" si="212"/>
        <v>6000</v>
      </c>
      <c r="K4389" s="5" t="str">
        <f>VLOOKUP(C4389,[1]master_data!$A$2:$E$495,5,FALSE)</f>
        <v>Ikan</v>
      </c>
      <c r="L4389" s="5" t="s">
        <v>471</v>
      </c>
    </row>
    <row r="4390" spans="1:12" ht="12" customHeight="1" x14ac:dyDescent="0.25">
      <c r="A4390" s="6">
        <v>44571</v>
      </c>
      <c r="B4390" s="1">
        <v>2200173</v>
      </c>
      <c r="C4390" s="5" t="s">
        <v>399</v>
      </c>
      <c r="D4390" s="5" t="str">
        <f>VLOOKUP(C4390,[1]master_data!$A$2:$E$495,2,FALSE)</f>
        <v>BUENOS AIRES TETRA</v>
      </c>
      <c r="E4390" s="5">
        <v>5</v>
      </c>
      <c r="F4390" s="5">
        <f>VLOOKUP(C4390,[1]master_data!$A$2:$E$495,3,FALSE)</f>
        <v>800</v>
      </c>
      <c r="G4390" s="5">
        <f>VLOOKUP(C4390,[1]master_data!$A$2:$E$495,4,FALSE)</f>
        <v>2000</v>
      </c>
      <c r="H4390" s="5">
        <f t="shared" si="210"/>
        <v>4000</v>
      </c>
      <c r="I4390" s="5">
        <f t="shared" si="211"/>
        <v>10000</v>
      </c>
      <c r="J4390" s="5">
        <f t="shared" si="212"/>
        <v>6000</v>
      </c>
      <c r="K4390" s="5" t="str">
        <f>VLOOKUP(C4390,[1]master_data!$A$2:$E$495,5,FALSE)</f>
        <v>Ikan</v>
      </c>
      <c r="L4390" s="5" t="s">
        <v>471</v>
      </c>
    </row>
    <row r="4391" spans="1:12" ht="12" customHeight="1" x14ac:dyDescent="0.25">
      <c r="A4391" s="6">
        <v>44571</v>
      </c>
      <c r="B4391" s="1">
        <v>2200172</v>
      </c>
      <c r="C4391" s="5" t="s">
        <v>432</v>
      </c>
      <c r="D4391" s="5" t="str">
        <f>VLOOKUP(C4391,[1]master_data!$A$2:$E$495,2,FALSE)</f>
        <v>MARU K</v>
      </c>
      <c r="E4391" s="5">
        <v>2</v>
      </c>
      <c r="F4391" s="5">
        <f>VLOOKUP(C4391,[1]master_data!$A$2:$E$495,3,FALSE)</f>
        <v>23000</v>
      </c>
      <c r="G4391" s="5">
        <f>VLOOKUP(C4391,[1]master_data!$A$2:$E$495,4,FALSE)</f>
        <v>50000</v>
      </c>
      <c r="H4391" s="5">
        <f t="shared" si="210"/>
        <v>46000</v>
      </c>
      <c r="I4391" s="5">
        <f t="shared" si="211"/>
        <v>100000</v>
      </c>
      <c r="J4391" s="5">
        <f t="shared" si="212"/>
        <v>54000</v>
      </c>
      <c r="K4391" s="5" t="str">
        <f>VLOOKUP(C4391,[1]master_data!$A$2:$E$495,5,FALSE)</f>
        <v>Ikan</v>
      </c>
      <c r="L4391" s="5" t="s">
        <v>471</v>
      </c>
    </row>
    <row r="4392" spans="1:12" ht="12" customHeight="1" x14ac:dyDescent="0.25">
      <c r="A4392" s="6">
        <v>44571</v>
      </c>
      <c r="B4392" s="1">
        <v>2200171</v>
      </c>
      <c r="C4392" s="5" t="s">
        <v>448</v>
      </c>
      <c r="D4392" s="5" t="str">
        <f>VLOOKUP(C4392,[1]master_data!$A$2:$E$495,2,FALSE)</f>
        <v xml:space="preserve"> CHANNA RED BARITO K</v>
      </c>
      <c r="E4392" s="5">
        <v>3</v>
      </c>
      <c r="F4392" s="5">
        <f>VLOOKUP(C4392,[1]master_data!$A$2:$E$495,3,FALSE)</f>
        <v>45000</v>
      </c>
      <c r="G4392" s="5">
        <f>VLOOKUP(C4392,[1]master_data!$A$2:$E$495,4,FALSE)</f>
        <v>100000</v>
      </c>
      <c r="H4392" s="5">
        <f t="shared" si="210"/>
        <v>135000</v>
      </c>
      <c r="I4392" s="5">
        <f t="shared" si="211"/>
        <v>300000</v>
      </c>
      <c r="J4392" s="5">
        <f t="shared" si="212"/>
        <v>165000</v>
      </c>
      <c r="K4392" s="5" t="str">
        <f>VLOOKUP(C4392,[1]master_data!$A$2:$E$495,5,FALSE)</f>
        <v>Ikan</v>
      </c>
      <c r="L4392" s="5" t="s">
        <v>471</v>
      </c>
    </row>
    <row r="4393" spans="1:12" ht="12" customHeight="1" x14ac:dyDescent="0.25">
      <c r="A4393" s="6">
        <v>44571</v>
      </c>
      <c r="B4393" s="1">
        <v>2200170</v>
      </c>
      <c r="C4393" s="5" t="s">
        <v>213</v>
      </c>
      <c r="D4393" s="5" t="str">
        <f>VLOOKUP(C4393,[1]master_data!$A$2:$E$495,2,FALSE)</f>
        <v>ARTEMIA POLAR RED 10 GR</v>
      </c>
      <c r="E4393" s="5">
        <v>1</v>
      </c>
      <c r="F4393" s="5">
        <f>VLOOKUP(C4393,[1]master_data!$A$2:$E$495,3,FALSE)</f>
        <v>6000</v>
      </c>
      <c r="G4393" s="5">
        <f>VLOOKUP(C4393,[1]master_data!$A$2:$E$495,4,FALSE)</f>
        <v>10000</v>
      </c>
      <c r="H4393" s="5">
        <f t="shared" si="210"/>
        <v>6000</v>
      </c>
      <c r="I4393" s="5">
        <f t="shared" si="211"/>
        <v>10000</v>
      </c>
      <c r="J4393" s="5">
        <f t="shared" si="212"/>
        <v>4000</v>
      </c>
      <c r="K4393" s="5" t="str">
        <f>VLOOKUP(C4393,[1]master_data!$A$2:$E$495,5,FALSE)</f>
        <v>Aksesoris</v>
      </c>
      <c r="L4393" s="5" t="s">
        <v>471</v>
      </c>
    </row>
    <row r="4394" spans="1:12" ht="12" customHeight="1" x14ac:dyDescent="0.25">
      <c r="A4394" s="6">
        <v>44571</v>
      </c>
      <c r="B4394" s="1">
        <v>2200169</v>
      </c>
      <c r="C4394" s="5" t="s">
        <v>400</v>
      </c>
      <c r="D4394" s="5" t="str">
        <f>VLOOKUP(C4394,[1]master_data!$A$2:$E$495,2,FALSE)</f>
        <v>BALA BALA K</v>
      </c>
      <c r="E4394" s="5">
        <v>2</v>
      </c>
      <c r="F4394" s="5">
        <f>VLOOKUP(C4394,[1]master_data!$A$2:$E$495,3,FALSE)</f>
        <v>4000</v>
      </c>
      <c r="G4394" s="5">
        <f>VLOOKUP(C4394,[1]master_data!$A$2:$E$495,4,FALSE)</f>
        <v>8000</v>
      </c>
      <c r="H4394" s="5">
        <f t="shared" si="210"/>
        <v>8000</v>
      </c>
      <c r="I4394" s="5">
        <f t="shared" si="211"/>
        <v>16000</v>
      </c>
      <c r="J4394" s="5">
        <f t="shared" si="212"/>
        <v>8000</v>
      </c>
      <c r="K4394" s="5" t="str">
        <f>VLOOKUP(C4394,[1]master_data!$A$2:$E$495,5,FALSE)</f>
        <v>Ikan</v>
      </c>
      <c r="L4394" s="5" t="s">
        <v>471</v>
      </c>
    </row>
    <row r="4395" spans="1:12" ht="12" customHeight="1" x14ac:dyDescent="0.25">
      <c r="A4395" s="6">
        <v>44571</v>
      </c>
      <c r="B4395" s="1">
        <v>2200168</v>
      </c>
      <c r="C4395" s="5" t="s">
        <v>280</v>
      </c>
      <c r="D4395" s="5" t="str">
        <f>VLOOKUP(C4395,[1]master_data!$A$2:$E$495,2,FALSE)</f>
        <v>KRAN 2 W</v>
      </c>
      <c r="E4395" s="5">
        <v>2</v>
      </c>
      <c r="F4395" s="5">
        <f>VLOOKUP(C4395,[1]master_data!$A$2:$E$495,3,FALSE)</f>
        <v>4000</v>
      </c>
      <c r="G4395" s="5">
        <f>VLOOKUP(C4395,[1]master_data!$A$2:$E$495,4,FALSE)</f>
        <v>6000</v>
      </c>
      <c r="H4395" s="5">
        <f t="shared" si="210"/>
        <v>8000</v>
      </c>
      <c r="I4395" s="5">
        <f t="shared" si="211"/>
        <v>12000</v>
      </c>
      <c r="J4395" s="5">
        <f t="shared" si="212"/>
        <v>4000</v>
      </c>
      <c r="K4395" s="5" t="str">
        <f>VLOOKUP(C4395,[1]master_data!$A$2:$E$495,5,FALSE)</f>
        <v>Aksesoris</v>
      </c>
      <c r="L4395" s="5" t="s">
        <v>471</v>
      </c>
    </row>
    <row r="4396" spans="1:12" ht="12" customHeight="1" x14ac:dyDescent="0.25">
      <c r="A4396" s="6">
        <v>44571</v>
      </c>
      <c r="B4396" s="1">
        <v>2200167</v>
      </c>
      <c r="C4396" s="5" t="s">
        <v>431</v>
      </c>
      <c r="D4396" s="5" t="str">
        <f>VLOOKUP(C4396,[1]master_data!$A$2:$E$495,2,FALSE)</f>
        <v>MANFISH B</v>
      </c>
      <c r="E4396" s="5">
        <v>2</v>
      </c>
      <c r="F4396" s="5">
        <f>VLOOKUP(C4396,[1]master_data!$A$2:$E$495,3,FALSE)</f>
        <v>4000</v>
      </c>
      <c r="G4396" s="5">
        <f>VLOOKUP(C4396,[1]master_data!$A$2:$E$495,4,FALSE)</f>
        <v>10000</v>
      </c>
      <c r="H4396" s="5">
        <f t="shared" si="210"/>
        <v>8000</v>
      </c>
      <c r="I4396" s="5">
        <f t="shared" si="211"/>
        <v>20000</v>
      </c>
      <c r="J4396" s="5">
        <f t="shared" si="212"/>
        <v>12000</v>
      </c>
      <c r="K4396" s="5" t="str">
        <f>VLOOKUP(C4396,[1]master_data!$A$2:$E$495,5,FALSE)</f>
        <v>Ikan</v>
      </c>
      <c r="L4396" s="5" t="s">
        <v>471</v>
      </c>
    </row>
    <row r="4397" spans="1:12" ht="12" customHeight="1" x14ac:dyDescent="0.25">
      <c r="A4397" s="6">
        <v>44571</v>
      </c>
      <c r="B4397" s="1">
        <v>2200166</v>
      </c>
      <c r="C4397" s="5" t="s">
        <v>329</v>
      </c>
      <c r="D4397" s="5" t="str">
        <f>VLOOKUP(C4397,[1]master_data!$A$2:$E$495,2,FALSE)</f>
        <v>AIRSTONE D2L5</v>
      </c>
      <c r="E4397" s="5">
        <v>1</v>
      </c>
      <c r="F4397" s="5">
        <f>VLOOKUP(C4397,[1]master_data!$A$2:$E$495,3,FALSE)</f>
        <v>1850</v>
      </c>
      <c r="G4397" s="5">
        <f>VLOOKUP(C4397,[1]master_data!$A$2:$E$495,4,FALSE)</f>
        <v>5000</v>
      </c>
      <c r="H4397" s="5">
        <f t="shared" si="210"/>
        <v>1850</v>
      </c>
      <c r="I4397" s="5">
        <f t="shared" si="211"/>
        <v>5000</v>
      </c>
      <c r="J4397" s="5">
        <f t="shared" si="212"/>
        <v>3150</v>
      </c>
      <c r="K4397" s="5" t="str">
        <f>VLOOKUP(C4397,[1]master_data!$A$2:$E$495,5,FALSE)</f>
        <v>Aksesoris</v>
      </c>
      <c r="L4397" s="5" t="s">
        <v>471</v>
      </c>
    </row>
    <row r="4398" spans="1:12" ht="12" customHeight="1" x14ac:dyDescent="0.25">
      <c r="A4398" s="6">
        <v>44571</v>
      </c>
      <c r="B4398" s="1">
        <v>2200165</v>
      </c>
      <c r="C4398" s="5" t="s">
        <v>248</v>
      </c>
      <c r="D4398" s="5" t="str">
        <f>VLOOKUP(C4398,[1]master_data!$A$2:$E$495,2,FALSE)</f>
        <v>MATLINE BLUE</v>
      </c>
      <c r="E4398" s="5">
        <v>2</v>
      </c>
      <c r="F4398" s="5">
        <f>VLOOKUP(C4398,[1]master_data!$A$2:$E$495,3,FALSE)</f>
        <v>7000</v>
      </c>
      <c r="G4398" s="5">
        <f>VLOOKUP(C4398,[1]master_data!$A$2:$E$495,4,FALSE)</f>
        <v>10000</v>
      </c>
      <c r="H4398" s="5">
        <f t="shared" si="210"/>
        <v>14000</v>
      </c>
      <c r="I4398" s="5">
        <f t="shared" si="211"/>
        <v>20000</v>
      </c>
      <c r="J4398" s="5">
        <f t="shared" si="212"/>
        <v>6000</v>
      </c>
      <c r="K4398" s="5" t="str">
        <f>VLOOKUP(C4398,[1]master_data!$A$2:$E$495,5,FALSE)</f>
        <v>Aksesoris</v>
      </c>
      <c r="L4398" s="5" t="s">
        <v>471</v>
      </c>
    </row>
    <row r="4399" spans="1:12" ht="12" customHeight="1" x14ac:dyDescent="0.25">
      <c r="A4399" s="6">
        <v>44571</v>
      </c>
      <c r="B4399" s="1">
        <v>2200164</v>
      </c>
      <c r="C4399" s="5" t="s">
        <v>446</v>
      </c>
      <c r="D4399" s="5" t="str">
        <f>VLOOKUP(C4399,[1]master_data!$A$2:$E$495,2,FALSE)</f>
        <v>REDFIN HITAM</v>
      </c>
      <c r="E4399" s="5">
        <v>1</v>
      </c>
      <c r="F4399" s="5">
        <f>VLOOKUP(C4399,[1]master_data!$A$2:$E$495,3,FALSE)</f>
        <v>1500</v>
      </c>
      <c r="G4399" s="5">
        <f>VLOOKUP(C4399,[1]master_data!$A$2:$E$495,4,FALSE)</f>
        <v>4000</v>
      </c>
      <c r="H4399" s="5">
        <f t="shared" si="210"/>
        <v>1500</v>
      </c>
      <c r="I4399" s="5">
        <f t="shared" si="211"/>
        <v>4000</v>
      </c>
      <c r="J4399" s="5">
        <f t="shared" si="212"/>
        <v>2500</v>
      </c>
      <c r="K4399" s="5" t="str">
        <f>VLOOKUP(C4399,[1]master_data!$A$2:$E$495,5,FALSE)</f>
        <v>Ikan</v>
      </c>
      <c r="L4399" s="5" t="s">
        <v>471</v>
      </c>
    </row>
    <row r="4400" spans="1:12" ht="12" customHeight="1" x14ac:dyDescent="0.25">
      <c r="A4400" s="6">
        <v>44571</v>
      </c>
      <c r="B4400" s="1">
        <v>2200163</v>
      </c>
      <c r="C4400" s="5" t="s">
        <v>447</v>
      </c>
      <c r="D4400" s="5" t="str">
        <f>VLOOKUP(C4400,[1]master_data!$A$2:$E$495,2,FALSE)</f>
        <v>REDFIN ALBINO</v>
      </c>
      <c r="E4400" s="5">
        <v>2</v>
      </c>
      <c r="F4400" s="5">
        <f>VLOOKUP(C4400,[1]master_data!$A$2:$E$495,3,FALSE)</f>
        <v>1500</v>
      </c>
      <c r="G4400" s="5">
        <f>VLOOKUP(C4400,[1]master_data!$A$2:$E$495,4,FALSE)</f>
        <v>4000</v>
      </c>
      <c r="H4400" s="5">
        <f t="shared" si="210"/>
        <v>3000</v>
      </c>
      <c r="I4400" s="5">
        <f t="shared" si="211"/>
        <v>8000</v>
      </c>
      <c r="J4400" s="5">
        <f t="shared" si="212"/>
        <v>5000</v>
      </c>
      <c r="K4400" s="5" t="str">
        <f>VLOOKUP(C4400,[1]master_data!$A$2:$E$495,5,FALSE)</f>
        <v>Ikan</v>
      </c>
      <c r="L4400" s="5" t="s">
        <v>471</v>
      </c>
    </row>
    <row r="4401" spans="1:12" ht="12" customHeight="1" x14ac:dyDescent="0.25">
      <c r="A4401" s="6">
        <v>44570</v>
      </c>
      <c r="B4401" s="1">
        <v>2200162</v>
      </c>
      <c r="C4401" s="5" t="s">
        <v>216</v>
      </c>
      <c r="D4401" s="5" t="str">
        <f>VLOOKUP(C4401,[1]master_data!$A$2:$E$495,2,FALSE)</f>
        <v>HOKKY LOUHAN COLOUR</v>
      </c>
      <c r="E4401" s="5">
        <v>1</v>
      </c>
      <c r="F4401" s="5">
        <f>VLOOKUP(C4401,[1]master_data!$A$2:$E$495,3,FALSE)</f>
        <v>18000</v>
      </c>
      <c r="G4401" s="5">
        <f>VLOOKUP(C4401,[1]master_data!$A$2:$E$495,4,FALSE)</f>
        <v>25000</v>
      </c>
      <c r="H4401" s="5">
        <f t="shared" si="210"/>
        <v>18000</v>
      </c>
      <c r="I4401" s="5">
        <f t="shared" si="211"/>
        <v>25000</v>
      </c>
      <c r="J4401" s="5">
        <f t="shared" si="212"/>
        <v>7000</v>
      </c>
      <c r="K4401" s="5" t="str">
        <f>VLOOKUP(C4401,[1]master_data!$A$2:$E$495,5,FALSE)</f>
        <v>Aksesoris</v>
      </c>
      <c r="L4401" s="5" t="s">
        <v>471</v>
      </c>
    </row>
    <row r="4402" spans="1:12" ht="12" customHeight="1" x14ac:dyDescent="0.25">
      <c r="A4402" s="6">
        <v>44570</v>
      </c>
      <c r="B4402" s="1">
        <v>2200161</v>
      </c>
      <c r="C4402" s="5" t="s">
        <v>311</v>
      </c>
      <c r="D4402" s="5" t="str">
        <f>VLOOKUP(C4402,[1]master_data!$A$2:$E$495,2,FALSE)</f>
        <v>L PIPA</v>
      </c>
      <c r="E4402" s="5">
        <v>3</v>
      </c>
      <c r="F4402" s="5">
        <f>VLOOKUP(C4402,[1]master_data!$A$2:$E$495,3,FALSE)</f>
        <v>800</v>
      </c>
      <c r="G4402" s="5">
        <f>VLOOKUP(C4402,[1]master_data!$A$2:$E$495,4,FALSE)</f>
        <v>2000</v>
      </c>
      <c r="H4402" s="5">
        <f t="shared" si="210"/>
        <v>2400</v>
      </c>
      <c r="I4402" s="5">
        <f t="shared" si="211"/>
        <v>6000</v>
      </c>
      <c r="J4402" s="5">
        <f t="shared" si="212"/>
        <v>3600</v>
      </c>
      <c r="K4402" s="5" t="str">
        <f>VLOOKUP(C4402,[1]master_data!$A$2:$E$495,5,FALSE)</f>
        <v>Aksesoris</v>
      </c>
      <c r="L4402" s="5" t="s">
        <v>471</v>
      </c>
    </row>
    <row r="4403" spans="1:12" ht="12" customHeight="1" x14ac:dyDescent="0.25">
      <c r="A4403" s="6">
        <v>44570</v>
      </c>
      <c r="B4403" s="1">
        <v>2200160</v>
      </c>
      <c r="C4403" s="5" t="s">
        <v>427</v>
      </c>
      <c r="D4403" s="5" t="str">
        <f>VLOOKUP(C4403,[1]master_data!$A$2:$E$495,2,FALSE)</f>
        <v>LEMON</v>
      </c>
      <c r="E4403" s="5">
        <v>5</v>
      </c>
      <c r="F4403" s="5">
        <f>VLOOKUP(C4403,[1]master_data!$A$2:$E$495,3,FALSE)</f>
        <v>1000</v>
      </c>
      <c r="G4403" s="5">
        <f>VLOOKUP(C4403,[1]master_data!$A$2:$E$495,4,FALSE)</f>
        <v>2000</v>
      </c>
      <c r="H4403" s="5">
        <f t="shared" si="210"/>
        <v>5000</v>
      </c>
      <c r="I4403" s="5">
        <f t="shared" si="211"/>
        <v>10000</v>
      </c>
      <c r="J4403" s="5">
        <f t="shared" si="212"/>
        <v>5000</v>
      </c>
      <c r="K4403" s="5" t="str">
        <f>VLOOKUP(C4403,[1]master_data!$A$2:$E$495,5,FALSE)</f>
        <v>Ikan</v>
      </c>
      <c r="L4403" s="5" t="s">
        <v>471</v>
      </c>
    </row>
    <row r="4404" spans="1:12" ht="12" customHeight="1" x14ac:dyDescent="0.25">
      <c r="A4404" s="6">
        <v>44570</v>
      </c>
      <c r="B4404" s="1">
        <v>2200159</v>
      </c>
      <c r="C4404" s="5" t="s">
        <v>313</v>
      </c>
      <c r="D4404" s="5" t="str">
        <f>VLOOKUP(C4404,[1]master_data!$A$2:$E$495,2,FALSE)</f>
        <v>LURUS PIPA</v>
      </c>
      <c r="E4404" s="5">
        <v>20</v>
      </c>
      <c r="F4404" s="5">
        <f>VLOOKUP(C4404,[1]master_data!$A$2:$E$495,3,FALSE)</f>
        <v>800</v>
      </c>
      <c r="G4404" s="5">
        <f>VLOOKUP(C4404,[1]master_data!$A$2:$E$495,4,FALSE)</f>
        <v>2000</v>
      </c>
      <c r="H4404" s="5">
        <f t="shared" si="210"/>
        <v>16000</v>
      </c>
      <c r="I4404" s="5">
        <f t="shared" si="211"/>
        <v>40000</v>
      </c>
      <c r="J4404" s="5">
        <f t="shared" si="212"/>
        <v>24000</v>
      </c>
      <c r="K4404" s="5" t="str">
        <f>VLOOKUP(C4404,[1]master_data!$A$2:$E$495,5,FALSE)</f>
        <v>Aksesoris</v>
      </c>
      <c r="L4404" s="5" t="s">
        <v>471</v>
      </c>
    </row>
    <row r="4405" spans="1:12" ht="12" customHeight="1" x14ac:dyDescent="0.25">
      <c r="A4405" s="6">
        <v>44570</v>
      </c>
      <c r="B4405" s="1">
        <v>2200158</v>
      </c>
      <c r="C4405" s="5" t="s">
        <v>452</v>
      </c>
      <c r="D4405" s="5" t="str">
        <f>VLOOKUP(C4405,[1]master_data!$A$2:$E$495,2,FALSE)</f>
        <v>SNOW WHITE</v>
      </c>
      <c r="E4405" s="5">
        <v>5</v>
      </c>
      <c r="F4405" s="5">
        <f>VLOOKUP(C4405,[1]master_data!$A$2:$E$495,3,FALSE)</f>
        <v>1500</v>
      </c>
      <c r="G4405" s="5">
        <f>VLOOKUP(C4405,[1]master_data!$A$2:$E$495,4,FALSE)</f>
        <v>3000</v>
      </c>
      <c r="H4405" s="5">
        <f t="shared" si="210"/>
        <v>7500</v>
      </c>
      <c r="I4405" s="5">
        <f t="shared" si="211"/>
        <v>15000</v>
      </c>
      <c r="J4405" s="5">
        <f t="shared" si="212"/>
        <v>7500</v>
      </c>
      <c r="K4405" s="5" t="str">
        <f>VLOOKUP(C4405,[1]master_data!$A$2:$E$495,5,FALSE)</f>
        <v>Ikan</v>
      </c>
      <c r="L4405" s="5" t="s">
        <v>471</v>
      </c>
    </row>
    <row r="4406" spans="1:12" ht="12" customHeight="1" x14ac:dyDescent="0.25">
      <c r="A4406" s="6">
        <v>44570</v>
      </c>
      <c r="B4406" s="1">
        <v>2200157</v>
      </c>
      <c r="C4406" s="5" t="s">
        <v>285</v>
      </c>
      <c r="D4406" s="5" t="str">
        <f>VLOOKUP(C4406,[1]master_data!$A$2:$E$495,2,FALSE)</f>
        <v>KAPAS 4 LAPIS</v>
      </c>
      <c r="E4406" s="5">
        <v>1</v>
      </c>
      <c r="F4406" s="5">
        <f>VLOOKUP(C4406,[1]master_data!$A$2:$E$495,3,FALSE)</f>
        <v>6500</v>
      </c>
      <c r="G4406" s="5">
        <f>VLOOKUP(C4406,[1]master_data!$A$2:$E$495,4,FALSE)</f>
        <v>10000</v>
      </c>
      <c r="H4406" s="5">
        <f t="shared" si="210"/>
        <v>6500</v>
      </c>
      <c r="I4406" s="5">
        <f t="shared" si="211"/>
        <v>10000</v>
      </c>
      <c r="J4406" s="5">
        <f t="shared" si="212"/>
        <v>3500</v>
      </c>
      <c r="K4406" s="5" t="str">
        <f>VLOOKUP(C4406,[1]master_data!$A$2:$E$495,5,FALSE)</f>
        <v>Aksesoris</v>
      </c>
      <c r="L4406" s="5" t="s">
        <v>471</v>
      </c>
    </row>
    <row r="4407" spans="1:12" ht="12" customHeight="1" x14ac:dyDescent="0.25">
      <c r="A4407" s="6">
        <v>44570</v>
      </c>
      <c r="B4407" s="1">
        <v>2200156</v>
      </c>
      <c r="C4407" s="5" t="s">
        <v>257</v>
      </c>
      <c r="D4407" s="5" t="str">
        <f>VLOOKUP(C4407,[1]master_data!$A$2:$E$495,2,FALSE)</f>
        <v>BILTS K</v>
      </c>
      <c r="E4407" s="5">
        <v>3</v>
      </c>
      <c r="F4407" s="5">
        <f>VLOOKUP(C4407,[1]master_data!$A$2:$E$495,3,FALSE)</f>
        <v>5000</v>
      </c>
      <c r="G4407" s="5">
        <f>VLOOKUP(C4407,[1]master_data!$A$2:$E$495,4,FALSE)</f>
        <v>7000</v>
      </c>
      <c r="H4407" s="5">
        <f t="shared" si="210"/>
        <v>15000</v>
      </c>
      <c r="I4407" s="5">
        <f t="shared" si="211"/>
        <v>21000</v>
      </c>
      <c r="J4407" s="5">
        <f t="shared" si="212"/>
        <v>6000</v>
      </c>
      <c r="K4407" s="5" t="str">
        <f>VLOOKUP(C4407,[1]master_data!$A$2:$E$495,5,FALSE)</f>
        <v>Aksesoris</v>
      </c>
      <c r="L4407" s="5" t="s">
        <v>471</v>
      </c>
    </row>
    <row r="4408" spans="1:12" ht="12" customHeight="1" x14ac:dyDescent="0.25">
      <c r="A4408" s="6">
        <v>44570</v>
      </c>
      <c r="B4408" s="1">
        <v>2200155</v>
      </c>
      <c r="C4408" s="5" t="s">
        <v>294</v>
      </c>
      <c r="D4408" s="5" t="str">
        <f>VLOOKUP(C4408,[1]master_data!$A$2:$E$495,2,FALSE)</f>
        <v>LEM SEALANT</v>
      </c>
      <c r="E4408" s="5">
        <v>1</v>
      </c>
      <c r="F4408" s="5">
        <f>VLOOKUP(C4408,[1]master_data!$A$2:$E$495,3,FALSE)</f>
        <v>7000</v>
      </c>
      <c r="G4408" s="5">
        <f>VLOOKUP(C4408,[1]master_data!$A$2:$E$495,4,FALSE)</f>
        <v>10000</v>
      </c>
      <c r="H4408" s="5">
        <f t="shared" si="210"/>
        <v>7000</v>
      </c>
      <c r="I4408" s="5">
        <f t="shared" si="211"/>
        <v>10000</v>
      </c>
      <c r="J4408" s="5">
        <f t="shared" si="212"/>
        <v>3000</v>
      </c>
      <c r="K4408" s="5" t="str">
        <f>VLOOKUP(C4408,[1]master_data!$A$2:$E$495,5,FALSE)</f>
        <v>Aksesoris</v>
      </c>
      <c r="L4408" s="5" t="s">
        <v>471</v>
      </c>
    </row>
    <row r="4409" spans="1:12" ht="12" customHeight="1" x14ac:dyDescent="0.25">
      <c r="A4409" s="6">
        <v>44570</v>
      </c>
      <c r="B4409" s="1">
        <v>2200154</v>
      </c>
      <c r="C4409" s="5" t="s">
        <v>411</v>
      </c>
      <c r="D4409" s="5" t="str">
        <f>VLOOKUP(C4409,[1]master_data!$A$2:$E$495,2,FALSE)</f>
        <v>GOLDEN BLACK</v>
      </c>
      <c r="E4409" s="5">
        <v>5</v>
      </c>
      <c r="F4409" s="5">
        <f>VLOOKUP(C4409,[1]master_data!$A$2:$E$495,3,FALSE)</f>
        <v>800</v>
      </c>
      <c r="G4409" s="5">
        <f>VLOOKUP(C4409,[1]master_data!$A$2:$E$495,4,FALSE)</f>
        <v>2000</v>
      </c>
      <c r="H4409" s="5">
        <f t="shared" si="210"/>
        <v>4000</v>
      </c>
      <c r="I4409" s="5">
        <f t="shared" si="211"/>
        <v>10000</v>
      </c>
      <c r="J4409" s="5">
        <f t="shared" si="212"/>
        <v>6000</v>
      </c>
      <c r="K4409" s="5" t="str">
        <f>VLOOKUP(C4409,[1]master_data!$A$2:$E$495,5,FALSE)</f>
        <v>Ikan</v>
      </c>
      <c r="L4409" s="5" t="s">
        <v>471</v>
      </c>
    </row>
    <row r="4410" spans="1:12" ht="12" customHeight="1" x14ac:dyDescent="0.25">
      <c r="A4410" s="6">
        <v>44570</v>
      </c>
      <c r="B4410" s="1">
        <v>2200153</v>
      </c>
      <c r="C4410" s="5" t="s">
        <v>409</v>
      </c>
      <c r="D4410" s="5" t="str">
        <f>VLOOKUP(C4410,[1]master_data!$A$2:$E$495,2,FALSE)</f>
        <v>GOLD FISH</v>
      </c>
      <c r="E4410" s="5">
        <v>10</v>
      </c>
      <c r="F4410" s="5">
        <f>VLOOKUP(C4410,[1]master_data!$A$2:$E$495,3,FALSE)</f>
        <v>800</v>
      </c>
      <c r="G4410" s="5">
        <f>VLOOKUP(C4410,[1]master_data!$A$2:$E$495,4,FALSE)</f>
        <v>2000</v>
      </c>
      <c r="H4410" s="5">
        <f t="shared" si="210"/>
        <v>8000</v>
      </c>
      <c r="I4410" s="5">
        <f t="shared" si="211"/>
        <v>20000</v>
      </c>
      <c r="J4410" s="5">
        <f t="shared" si="212"/>
        <v>12000</v>
      </c>
      <c r="K4410" s="5" t="str">
        <f>VLOOKUP(C4410,[1]master_data!$A$2:$E$495,5,FALSE)</f>
        <v>Ikan</v>
      </c>
      <c r="L4410" s="5" t="s">
        <v>471</v>
      </c>
    </row>
    <row r="4411" spans="1:12" ht="12" customHeight="1" x14ac:dyDescent="0.25">
      <c r="A4411" s="6">
        <v>44570</v>
      </c>
      <c r="B4411" s="1">
        <v>2200152</v>
      </c>
      <c r="C4411" s="5" t="s">
        <v>430</v>
      </c>
      <c r="D4411" s="5" t="str">
        <f>VLOOKUP(C4411,[1]master_data!$A$2:$E$495,2,FALSE)</f>
        <v>MANFISH K</v>
      </c>
      <c r="E4411" s="5">
        <v>3</v>
      </c>
      <c r="F4411" s="5">
        <f>VLOOKUP(C4411,[1]master_data!$A$2:$E$495,3,FALSE)</f>
        <v>2000</v>
      </c>
      <c r="G4411" s="5">
        <f>VLOOKUP(C4411,[1]master_data!$A$2:$E$495,4,FALSE)</f>
        <v>5000</v>
      </c>
      <c r="H4411" s="5">
        <f t="shared" si="210"/>
        <v>6000</v>
      </c>
      <c r="I4411" s="5">
        <f t="shared" si="211"/>
        <v>15000</v>
      </c>
      <c r="J4411" s="5">
        <f t="shared" si="212"/>
        <v>9000</v>
      </c>
      <c r="K4411" s="5" t="str">
        <f>VLOOKUP(C4411,[1]master_data!$A$2:$E$495,5,FALSE)</f>
        <v>Ikan</v>
      </c>
      <c r="L4411" s="5" t="s">
        <v>471</v>
      </c>
    </row>
    <row r="4412" spans="1:12" ht="12" customHeight="1" x14ac:dyDescent="0.25">
      <c r="A4412" s="6">
        <v>44570</v>
      </c>
      <c r="B4412" s="1">
        <v>2200151</v>
      </c>
      <c r="C4412" s="5" t="s">
        <v>414</v>
      </c>
      <c r="D4412" s="5" t="str">
        <f>VLOOKUP(C4412,[1]master_data!$A$2:$E$495,2,FALSE)</f>
        <v>KOKI T</v>
      </c>
      <c r="E4412" s="5">
        <v>2</v>
      </c>
      <c r="F4412" s="5">
        <f>VLOOKUP(C4412,[1]master_data!$A$2:$E$495,3,FALSE)</f>
        <v>8000</v>
      </c>
      <c r="G4412" s="5">
        <f>VLOOKUP(C4412,[1]master_data!$A$2:$E$495,4,FALSE)</f>
        <v>15000</v>
      </c>
      <c r="H4412" s="5">
        <f t="shared" si="210"/>
        <v>16000</v>
      </c>
      <c r="I4412" s="5">
        <f t="shared" si="211"/>
        <v>30000</v>
      </c>
      <c r="J4412" s="5">
        <f t="shared" si="212"/>
        <v>14000</v>
      </c>
      <c r="K4412" s="5" t="str">
        <f>VLOOKUP(C4412,[1]master_data!$A$2:$E$495,5,FALSE)</f>
        <v>Ikan</v>
      </c>
      <c r="L4412" s="5" t="s">
        <v>471</v>
      </c>
    </row>
    <row r="4413" spans="1:12" ht="12" customHeight="1" x14ac:dyDescent="0.25">
      <c r="A4413" s="6">
        <v>44570</v>
      </c>
      <c r="B4413" s="1">
        <v>2200150</v>
      </c>
      <c r="C4413" s="5" t="s">
        <v>410</v>
      </c>
      <c r="D4413" s="5" t="str">
        <f>VLOOKUP(C4413,[1]master_data!$A$2:$E$495,2,FALSE)</f>
        <v>GUPY</v>
      </c>
      <c r="E4413" s="5">
        <v>4</v>
      </c>
      <c r="F4413" s="5">
        <f>VLOOKUP(C4413,[1]master_data!$A$2:$E$495,3,FALSE)</f>
        <v>1200</v>
      </c>
      <c r="G4413" s="5">
        <f>VLOOKUP(C4413,[1]master_data!$A$2:$E$495,4,FALSE)</f>
        <v>2500</v>
      </c>
      <c r="H4413" s="5">
        <f t="shared" si="210"/>
        <v>4800</v>
      </c>
      <c r="I4413" s="5">
        <f t="shared" si="211"/>
        <v>10000</v>
      </c>
      <c r="J4413" s="5">
        <f t="shared" si="212"/>
        <v>5200</v>
      </c>
      <c r="K4413" s="5" t="str">
        <f>VLOOKUP(C4413,[1]master_data!$A$2:$E$495,5,FALSE)</f>
        <v>Ikan</v>
      </c>
      <c r="L4413" s="5" t="s">
        <v>471</v>
      </c>
    </row>
    <row r="4414" spans="1:12" ht="12" customHeight="1" x14ac:dyDescent="0.25">
      <c r="A4414" s="6">
        <v>44570</v>
      </c>
      <c r="B4414" s="1">
        <v>2200149</v>
      </c>
      <c r="C4414" s="5" t="s">
        <v>233</v>
      </c>
      <c r="D4414" s="5" t="str">
        <f>VLOOKUP(C4414,[1]master_data!$A$2:$E$495,2,FALSE)</f>
        <v>FISH LOVE PAKAN</v>
      </c>
      <c r="E4414" s="5">
        <v>1</v>
      </c>
      <c r="F4414" s="5">
        <f>VLOOKUP(C4414,[1]master_data!$A$2:$E$495,3,FALSE)</f>
        <v>2500</v>
      </c>
      <c r="G4414" s="5">
        <f>VLOOKUP(C4414,[1]master_data!$A$2:$E$495,4,FALSE)</f>
        <v>5000</v>
      </c>
      <c r="H4414" s="5">
        <f t="shared" si="210"/>
        <v>2500</v>
      </c>
      <c r="I4414" s="5">
        <f t="shared" si="211"/>
        <v>5000</v>
      </c>
      <c r="J4414" s="5">
        <f t="shared" si="212"/>
        <v>2500</v>
      </c>
      <c r="K4414" s="5" t="str">
        <f>VLOOKUP(C4414,[1]master_data!$A$2:$E$495,5,FALSE)</f>
        <v>Aksesoris</v>
      </c>
      <c r="L4414" s="5" t="s">
        <v>471</v>
      </c>
    </row>
    <row r="4415" spans="1:12" ht="12" customHeight="1" x14ac:dyDescent="0.25">
      <c r="A4415" s="6">
        <v>44570</v>
      </c>
      <c r="B4415" s="1">
        <v>2200148</v>
      </c>
      <c r="C4415" s="5" t="s">
        <v>428</v>
      </c>
      <c r="D4415" s="5" t="str">
        <f>VLOOKUP(C4415,[1]master_data!$A$2:$E$495,2,FALSE)</f>
        <v>LOUHAN</v>
      </c>
      <c r="E4415" s="5">
        <v>1</v>
      </c>
      <c r="F4415" s="5">
        <f>VLOOKUP(C4415,[1]master_data!$A$2:$E$495,3,FALSE)</f>
        <v>85000</v>
      </c>
      <c r="G4415" s="5">
        <f>VLOOKUP(C4415,[1]master_data!$A$2:$E$495,4,FALSE)</f>
        <v>200000</v>
      </c>
      <c r="H4415" s="5">
        <f t="shared" si="210"/>
        <v>85000</v>
      </c>
      <c r="I4415" s="5">
        <f t="shared" si="211"/>
        <v>200000</v>
      </c>
      <c r="J4415" s="5">
        <f t="shared" si="212"/>
        <v>115000</v>
      </c>
      <c r="K4415" s="5" t="str">
        <f>VLOOKUP(C4415,[1]master_data!$A$2:$E$495,5,FALSE)</f>
        <v>Ikan</v>
      </c>
      <c r="L4415" s="5" t="s">
        <v>471</v>
      </c>
    </row>
    <row r="4416" spans="1:12" ht="12" customHeight="1" x14ac:dyDescent="0.25">
      <c r="A4416" s="6">
        <v>44570</v>
      </c>
      <c r="B4416" s="1">
        <v>2200147</v>
      </c>
      <c r="C4416" s="5" t="s">
        <v>249</v>
      </c>
      <c r="D4416" s="5" t="str">
        <f>VLOOKUP(C4416,[1]master_data!$A$2:$E$495,2,FALSE)</f>
        <v>AIRSTONE BAKSO B</v>
      </c>
      <c r="E4416" s="5">
        <v>2</v>
      </c>
      <c r="F4416" s="5">
        <f>VLOOKUP(C4416,[1]master_data!$A$2:$E$495,3,FALSE)</f>
        <v>7700</v>
      </c>
      <c r="G4416" s="5">
        <f>VLOOKUP(C4416,[1]master_data!$A$2:$E$495,4,FALSE)</f>
        <v>10000</v>
      </c>
      <c r="H4416" s="5">
        <f t="shared" si="210"/>
        <v>15400</v>
      </c>
      <c r="I4416" s="5">
        <f t="shared" si="211"/>
        <v>20000</v>
      </c>
      <c r="J4416" s="5">
        <f t="shared" si="212"/>
        <v>4600</v>
      </c>
      <c r="K4416" s="5" t="str">
        <f>VLOOKUP(C4416,[1]master_data!$A$2:$E$495,5,FALSE)</f>
        <v>Aksesoris</v>
      </c>
      <c r="L4416" s="5" t="s">
        <v>471</v>
      </c>
    </row>
    <row r="4417" spans="1:12" ht="12" customHeight="1" x14ac:dyDescent="0.25">
      <c r="A4417" s="6">
        <v>44570</v>
      </c>
      <c r="B4417" s="1">
        <v>2200146</v>
      </c>
      <c r="C4417" s="5" t="s">
        <v>427</v>
      </c>
      <c r="D4417" s="5" t="str">
        <f>VLOOKUP(C4417,[1]master_data!$A$2:$E$495,2,FALSE)</f>
        <v>LEMON</v>
      </c>
      <c r="E4417" s="5">
        <v>10</v>
      </c>
      <c r="F4417" s="5">
        <f>VLOOKUP(C4417,[1]master_data!$A$2:$E$495,3,FALSE)</f>
        <v>1000</v>
      </c>
      <c r="G4417" s="5">
        <f>VLOOKUP(C4417,[1]master_data!$A$2:$E$495,4,FALSE)</f>
        <v>2000</v>
      </c>
      <c r="H4417" s="5">
        <f t="shared" si="210"/>
        <v>10000</v>
      </c>
      <c r="I4417" s="5">
        <f t="shared" si="211"/>
        <v>20000</v>
      </c>
      <c r="J4417" s="5">
        <f t="shared" si="212"/>
        <v>10000</v>
      </c>
      <c r="K4417" s="5" t="str">
        <f>VLOOKUP(C4417,[1]master_data!$A$2:$E$495,5,FALSE)</f>
        <v>Ikan</v>
      </c>
      <c r="L4417" s="5" t="s">
        <v>471</v>
      </c>
    </row>
    <row r="4418" spans="1:12" ht="12" customHeight="1" x14ac:dyDescent="0.25">
      <c r="A4418" s="6">
        <v>44569</v>
      </c>
      <c r="B4418" s="1">
        <v>2200145</v>
      </c>
      <c r="C4418" s="5" t="s">
        <v>310</v>
      </c>
      <c r="D4418" s="5" t="str">
        <f>VLOOKUP(C4418,[1]master_data!$A$2:$E$495,2,FALSE)</f>
        <v>SELANG FUSO</v>
      </c>
      <c r="E4418" s="5">
        <v>1</v>
      </c>
      <c r="F4418" s="5">
        <f>VLOOKUP(C4418,[1]master_data!$A$2:$E$495,3,FALSE)</f>
        <v>800</v>
      </c>
      <c r="G4418" s="5">
        <f>VLOOKUP(C4418,[1]master_data!$A$2:$E$495,4,FALSE)</f>
        <v>2000</v>
      </c>
      <c r="H4418" s="5">
        <f t="shared" si="210"/>
        <v>800</v>
      </c>
      <c r="I4418" s="5">
        <f t="shared" si="211"/>
        <v>2000</v>
      </c>
      <c r="J4418" s="5">
        <f t="shared" si="212"/>
        <v>1200</v>
      </c>
      <c r="K4418" s="5" t="str">
        <f>VLOOKUP(C4418,[1]master_data!$A$2:$E$495,5,FALSE)</f>
        <v>Aksesoris</v>
      </c>
      <c r="L4418" s="5" t="s">
        <v>471</v>
      </c>
    </row>
    <row r="4419" spans="1:12" ht="12" customHeight="1" x14ac:dyDescent="0.25">
      <c r="A4419" s="6">
        <v>44569</v>
      </c>
      <c r="B4419" s="1">
        <v>2200144</v>
      </c>
      <c r="C4419" s="5" t="s">
        <v>450</v>
      </c>
      <c r="D4419" s="5" t="str">
        <f>VLOOKUP(C4419,[1]master_data!$A$2:$E$495,2,FALSE)</f>
        <v>SUMATRA BIASA</v>
      </c>
      <c r="E4419" s="5">
        <v>10</v>
      </c>
      <c r="F4419" s="5">
        <f>VLOOKUP(C4419,[1]master_data!$A$2:$E$495,3,FALSE)</f>
        <v>800</v>
      </c>
      <c r="G4419" s="5">
        <f>VLOOKUP(C4419,[1]master_data!$A$2:$E$495,4,FALSE)</f>
        <v>2000</v>
      </c>
      <c r="H4419" s="5">
        <f t="shared" si="210"/>
        <v>8000</v>
      </c>
      <c r="I4419" s="5">
        <f t="shared" si="211"/>
        <v>20000</v>
      </c>
      <c r="J4419" s="5">
        <f t="shared" si="212"/>
        <v>12000</v>
      </c>
      <c r="K4419" s="5" t="str">
        <f>VLOOKUP(C4419,[1]master_data!$A$2:$E$495,5,FALSE)</f>
        <v>Ikan</v>
      </c>
      <c r="L4419" s="5" t="s">
        <v>471</v>
      </c>
    </row>
    <row r="4420" spans="1:12" ht="12" customHeight="1" x14ac:dyDescent="0.25">
      <c r="A4420" s="6">
        <v>44569</v>
      </c>
      <c r="B4420" s="1">
        <v>2200143</v>
      </c>
      <c r="C4420" s="5" t="s">
        <v>285</v>
      </c>
      <c r="D4420" s="5" t="str">
        <f>VLOOKUP(C4420,[1]master_data!$A$2:$E$495,2,FALSE)</f>
        <v>KAPAS 4 LAPIS</v>
      </c>
      <c r="E4420" s="5">
        <v>1</v>
      </c>
      <c r="F4420" s="5">
        <f>VLOOKUP(C4420,[1]master_data!$A$2:$E$495,3,FALSE)</f>
        <v>6500</v>
      </c>
      <c r="G4420" s="5">
        <f>VLOOKUP(C4420,[1]master_data!$A$2:$E$495,4,FALSE)</f>
        <v>10000</v>
      </c>
      <c r="H4420" s="5">
        <f t="shared" si="210"/>
        <v>6500</v>
      </c>
      <c r="I4420" s="5">
        <f t="shared" si="211"/>
        <v>10000</v>
      </c>
      <c r="J4420" s="5">
        <f t="shared" si="212"/>
        <v>3500</v>
      </c>
      <c r="K4420" s="5" t="str">
        <f>VLOOKUP(C4420,[1]master_data!$A$2:$E$495,5,FALSE)</f>
        <v>Aksesoris</v>
      </c>
      <c r="L4420" s="5" t="s">
        <v>471</v>
      </c>
    </row>
    <row r="4421" spans="1:12" ht="12" customHeight="1" x14ac:dyDescent="0.25">
      <c r="A4421" s="6">
        <v>44569</v>
      </c>
      <c r="B4421" s="1">
        <v>2200142</v>
      </c>
      <c r="C4421" s="5" t="s">
        <v>383</v>
      </c>
      <c r="D4421" s="5" t="str">
        <f>VLOOKUP(C4421,[1]master_data!$A$2:$E$495,2,FALSE)</f>
        <v>BATU GOMBONG K</v>
      </c>
      <c r="E4421" s="5">
        <v>1</v>
      </c>
      <c r="F4421" s="5">
        <f>VLOOKUP(C4421,[1]master_data!$A$2:$E$495,3,FALSE)</f>
        <v>20000</v>
      </c>
      <c r="G4421" s="5">
        <f>VLOOKUP(C4421,[1]master_data!$A$2:$E$495,4,FALSE)</f>
        <v>40000</v>
      </c>
      <c r="H4421" s="5">
        <f t="shared" ref="H4421:H4484" si="213">E4421*F4421</f>
        <v>20000</v>
      </c>
      <c r="I4421" s="5">
        <f t="shared" ref="I4421:I4484" si="214">E4421*G4421</f>
        <v>40000</v>
      </c>
      <c r="J4421" s="5">
        <f t="shared" ref="J4421:J4484" si="215">I4421-H4421</f>
        <v>20000</v>
      </c>
      <c r="K4421" s="5" t="str">
        <f>VLOOKUP(C4421,[1]master_data!$A$2:$E$495,5,FALSE)</f>
        <v>Aksesoris</v>
      </c>
      <c r="L4421" s="5" t="s">
        <v>471</v>
      </c>
    </row>
    <row r="4422" spans="1:12" ht="12" customHeight="1" x14ac:dyDescent="0.25">
      <c r="A4422" s="6">
        <v>44569</v>
      </c>
      <c r="B4422" s="1">
        <v>2200141</v>
      </c>
      <c r="C4422" s="5" t="s">
        <v>412</v>
      </c>
      <c r="D4422" s="5" t="str">
        <f>VLOOKUP(C4422,[1]master_data!$A$2:$E$495,2,FALSE)</f>
        <v>HIU TAWAR</v>
      </c>
      <c r="E4422" s="5">
        <v>3</v>
      </c>
      <c r="F4422" s="5">
        <f>VLOOKUP(C4422,[1]master_data!$A$2:$E$495,3,FALSE)</f>
        <v>600</v>
      </c>
      <c r="G4422" s="5">
        <f>VLOOKUP(C4422,[1]master_data!$A$2:$E$495,4,FALSE)</f>
        <v>2000</v>
      </c>
      <c r="H4422" s="5">
        <f t="shared" si="213"/>
        <v>1800</v>
      </c>
      <c r="I4422" s="5">
        <f t="shared" si="214"/>
        <v>6000</v>
      </c>
      <c r="J4422" s="5">
        <f t="shared" si="215"/>
        <v>4200</v>
      </c>
      <c r="K4422" s="5" t="str">
        <f>VLOOKUP(C4422,[1]master_data!$A$2:$E$495,5,FALSE)</f>
        <v>Ikan</v>
      </c>
      <c r="L4422" s="5" t="s">
        <v>471</v>
      </c>
    </row>
    <row r="4423" spans="1:12" ht="12" customHeight="1" x14ac:dyDescent="0.25">
      <c r="A4423" s="6">
        <v>44569</v>
      </c>
      <c r="B4423" s="1">
        <v>2200140</v>
      </c>
      <c r="C4423" s="5" t="s">
        <v>420</v>
      </c>
      <c r="D4423" s="5" t="str">
        <f>VLOOKUP(C4423,[1]master_data!$A$2:$E$495,2,FALSE)</f>
        <v>KAVIAT</v>
      </c>
      <c r="E4423" s="5">
        <v>5</v>
      </c>
      <c r="F4423" s="5">
        <f>VLOOKUP(C4423,[1]master_data!$A$2:$E$495,3,FALSE)</f>
        <v>3500</v>
      </c>
      <c r="G4423" s="5">
        <f>VLOOKUP(C4423,[1]master_data!$A$2:$E$495,4,FALSE)</f>
        <v>8000</v>
      </c>
      <c r="H4423" s="5">
        <f t="shared" si="213"/>
        <v>17500</v>
      </c>
      <c r="I4423" s="5">
        <f t="shared" si="214"/>
        <v>40000</v>
      </c>
      <c r="J4423" s="5">
        <f t="shared" si="215"/>
        <v>22500</v>
      </c>
      <c r="K4423" s="5" t="str">
        <f>VLOOKUP(C4423,[1]master_data!$A$2:$E$495,5,FALSE)</f>
        <v>Ikan</v>
      </c>
      <c r="L4423" s="5" t="s">
        <v>471</v>
      </c>
    </row>
    <row r="4424" spans="1:12" ht="12" customHeight="1" x14ac:dyDescent="0.25">
      <c r="A4424" s="6">
        <v>44569</v>
      </c>
      <c r="B4424" s="1">
        <v>2200139</v>
      </c>
      <c r="C4424" s="5" t="s">
        <v>413</v>
      </c>
      <c r="D4424" s="5" t="str">
        <f>VLOOKUP(C4424,[1]master_data!$A$2:$E$495,2,FALSE)</f>
        <v>KOKI K</v>
      </c>
      <c r="E4424" s="5">
        <v>3</v>
      </c>
      <c r="F4424" s="5">
        <f>VLOOKUP(C4424,[1]master_data!$A$2:$E$495,3,FALSE)</f>
        <v>3500</v>
      </c>
      <c r="G4424" s="5">
        <f>VLOOKUP(C4424,[1]master_data!$A$2:$E$495,4,FALSE)</f>
        <v>10000</v>
      </c>
      <c r="H4424" s="5">
        <f t="shared" si="213"/>
        <v>10500</v>
      </c>
      <c r="I4424" s="5">
        <f t="shared" si="214"/>
        <v>30000</v>
      </c>
      <c r="J4424" s="5">
        <f t="shared" si="215"/>
        <v>19500</v>
      </c>
      <c r="K4424" s="5" t="str">
        <f>VLOOKUP(C4424,[1]master_data!$A$2:$E$495,5,FALSE)</f>
        <v>Ikan</v>
      </c>
      <c r="L4424" s="5" t="s">
        <v>471</v>
      </c>
    </row>
    <row r="4425" spans="1:12" ht="12" customHeight="1" x14ac:dyDescent="0.25">
      <c r="A4425" s="6">
        <v>44569</v>
      </c>
      <c r="B4425" s="1">
        <v>2200138</v>
      </c>
      <c r="C4425" s="5" t="s">
        <v>386</v>
      </c>
      <c r="D4425" s="5" t="str">
        <f>VLOOKUP(C4425,[1]master_data!$A$2:$E$495,2,FALSE)</f>
        <v>BATU KARANG JAHE</v>
      </c>
      <c r="E4425" s="5">
        <v>1</v>
      </c>
      <c r="F4425" s="5">
        <f>VLOOKUP(C4425,[1]master_data!$A$2:$E$495,3,FALSE)</f>
        <v>15000</v>
      </c>
      <c r="G4425" s="5">
        <f>VLOOKUP(C4425,[1]master_data!$A$2:$E$495,4,FALSE)</f>
        <v>25000</v>
      </c>
      <c r="H4425" s="5">
        <f t="shared" si="213"/>
        <v>15000</v>
      </c>
      <c r="I4425" s="5">
        <f t="shared" si="214"/>
        <v>25000</v>
      </c>
      <c r="J4425" s="5">
        <f t="shared" si="215"/>
        <v>10000</v>
      </c>
      <c r="K4425" s="5" t="str">
        <f>VLOOKUP(C4425,[1]master_data!$A$2:$E$495,5,FALSE)</f>
        <v>Aksesoris</v>
      </c>
      <c r="L4425" s="5" t="s">
        <v>471</v>
      </c>
    </row>
    <row r="4426" spans="1:12" ht="12" customHeight="1" x14ac:dyDescent="0.25">
      <c r="A4426" s="6">
        <v>44569</v>
      </c>
      <c r="B4426" s="1">
        <v>2200137</v>
      </c>
      <c r="C4426" s="5" t="s">
        <v>422</v>
      </c>
      <c r="D4426" s="5" t="str">
        <f>VLOOKUP(C4426,[1]master_data!$A$2:$E$495,2,FALSE)</f>
        <v>KOMET SLAYER</v>
      </c>
      <c r="E4426" s="5">
        <v>10</v>
      </c>
      <c r="F4426" s="5">
        <f>VLOOKUP(C4426,[1]master_data!$A$2:$E$495,3,FALSE)</f>
        <v>2000</v>
      </c>
      <c r="G4426" s="5">
        <f>VLOOKUP(C4426,[1]master_data!$A$2:$E$495,4,FALSE)</f>
        <v>5000</v>
      </c>
      <c r="H4426" s="5">
        <f t="shared" si="213"/>
        <v>20000</v>
      </c>
      <c r="I4426" s="5">
        <f t="shared" si="214"/>
        <v>50000</v>
      </c>
      <c r="J4426" s="5">
        <f t="shared" si="215"/>
        <v>30000</v>
      </c>
      <c r="K4426" s="5" t="str">
        <f>VLOOKUP(C4426,[1]master_data!$A$2:$E$495,5,FALSE)</f>
        <v>Ikan</v>
      </c>
      <c r="L4426" s="5" t="s">
        <v>471</v>
      </c>
    </row>
    <row r="4427" spans="1:12" ht="12" customHeight="1" x14ac:dyDescent="0.25">
      <c r="A4427" s="6">
        <v>44569</v>
      </c>
      <c r="B4427" s="1">
        <v>2200136</v>
      </c>
      <c r="C4427" s="5" t="s">
        <v>435</v>
      </c>
      <c r="D4427" s="5" t="str">
        <f>VLOOKUP(C4427,[1]master_data!$A$2:$E$495,2,FALSE)</f>
        <v>MOLI BALON</v>
      </c>
      <c r="E4427" s="5">
        <v>10</v>
      </c>
      <c r="F4427" s="5">
        <f>VLOOKUP(C4427,[1]master_data!$A$2:$E$495,3,FALSE)</f>
        <v>800</v>
      </c>
      <c r="G4427" s="5">
        <f>VLOOKUP(C4427,[1]master_data!$A$2:$E$495,4,FALSE)</f>
        <v>2000</v>
      </c>
      <c r="H4427" s="5">
        <f t="shared" si="213"/>
        <v>8000</v>
      </c>
      <c r="I4427" s="5">
        <f t="shared" si="214"/>
        <v>20000</v>
      </c>
      <c r="J4427" s="5">
        <f t="shared" si="215"/>
        <v>12000</v>
      </c>
      <c r="K4427" s="5" t="str">
        <f>VLOOKUP(C4427,[1]master_data!$A$2:$E$495,5,FALSE)</f>
        <v>Ikan</v>
      </c>
      <c r="L4427" s="5" t="s">
        <v>471</v>
      </c>
    </row>
    <row r="4428" spans="1:12" ht="12" customHeight="1" x14ac:dyDescent="0.25">
      <c r="A4428" s="6">
        <v>44569</v>
      </c>
      <c r="B4428" s="1">
        <v>2200135</v>
      </c>
      <c r="C4428" s="5" t="s">
        <v>428</v>
      </c>
      <c r="D4428" s="5" t="str">
        <f>VLOOKUP(C4428,[1]master_data!$A$2:$E$495,2,FALSE)</f>
        <v>LOUHAN</v>
      </c>
      <c r="E4428" s="5">
        <v>1</v>
      </c>
      <c r="F4428" s="5">
        <f>VLOOKUP(C4428,[1]master_data!$A$2:$E$495,3,FALSE)</f>
        <v>85000</v>
      </c>
      <c r="G4428" s="5">
        <f>VLOOKUP(C4428,[1]master_data!$A$2:$E$495,4,FALSE)</f>
        <v>200000</v>
      </c>
      <c r="H4428" s="5">
        <f t="shared" si="213"/>
        <v>85000</v>
      </c>
      <c r="I4428" s="5">
        <f t="shared" si="214"/>
        <v>200000</v>
      </c>
      <c r="J4428" s="5">
        <f t="shared" si="215"/>
        <v>115000</v>
      </c>
      <c r="K4428" s="5" t="str">
        <f>VLOOKUP(C4428,[1]master_data!$A$2:$E$495,5,FALSE)</f>
        <v>Ikan</v>
      </c>
      <c r="L4428" s="5" t="s">
        <v>471</v>
      </c>
    </row>
    <row r="4429" spans="1:12" ht="12" customHeight="1" x14ac:dyDescent="0.25">
      <c r="A4429" s="6">
        <v>44569</v>
      </c>
      <c r="B4429" s="1">
        <v>2200134</v>
      </c>
      <c r="C4429" s="5" t="s">
        <v>409</v>
      </c>
      <c r="D4429" s="5" t="str">
        <f>VLOOKUP(C4429,[1]master_data!$A$2:$E$495,2,FALSE)</f>
        <v>GOLD FISH</v>
      </c>
      <c r="E4429" s="5">
        <v>5</v>
      </c>
      <c r="F4429" s="5">
        <f>VLOOKUP(C4429,[1]master_data!$A$2:$E$495,3,FALSE)</f>
        <v>800</v>
      </c>
      <c r="G4429" s="5">
        <f>VLOOKUP(C4429,[1]master_data!$A$2:$E$495,4,FALSE)</f>
        <v>2000</v>
      </c>
      <c r="H4429" s="5">
        <f t="shared" si="213"/>
        <v>4000</v>
      </c>
      <c r="I4429" s="5">
        <f t="shared" si="214"/>
        <v>10000</v>
      </c>
      <c r="J4429" s="5">
        <f t="shared" si="215"/>
        <v>6000</v>
      </c>
      <c r="K4429" s="5" t="str">
        <f>VLOOKUP(C4429,[1]master_data!$A$2:$E$495,5,FALSE)</f>
        <v>Ikan</v>
      </c>
      <c r="L4429" s="5" t="s">
        <v>471</v>
      </c>
    </row>
    <row r="4430" spans="1:12" ht="12" customHeight="1" x14ac:dyDescent="0.25">
      <c r="A4430" s="6">
        <v>44569</v>
      </c>
      <c r="B4430" s="1">
        <v>2200133</v>
      </c>
      <c r="C4430" s="5" t="s">
        <v>409</v>
      </c>
      <c r="D4430" s="5" t="str">
        <f>VLOOKUP(C4430,[1]master_data!$A$2:$E$495,2,FALSE)</f>
        <v>GOLD FISH</v>
      </c>
      <c r="E4430" s="5">
        <v>10</v>
      </c>
      <c r="F4430" s="5">
        <f>VLOOKUP(C4430,[1]master_data!$A$2:$E$495,3,FALSE)</f>
        <v>800</v>
      </c>
      <c r="G4430" s="5">
        <f>VLOOKUP(C4430,[1]master_data!$A$2:$E$495,4,FALSE)</f>
        <v>2000</v>
      </c>
      <c r="H4430" s="5">
        <f t="shared" si="213"/>
        <v>8000</v>
      </c>
      <c r="I4430" s="5">
        <f t="shared" si="214"/>
        <v>20000</v>
      </c>
      <c r="J4430" s="5">
        <f t="shared" si="215"/>
        <v>12000</v>
      </c>
      <c r="K4430" s="5" t="str">
        <f>VLOOKUP(C4430,[1]master_data!$A$2:$E$495,5,FALSE)</f>
        <v>Ikan</v>
      </c>
      <c r="L4430" s="5" t="s">
        <v>471</v>
      </c>
    </row>
    <row r="4431" spans="1:12" ht="12" customHeight="1" x14ac:dyDescent="0.25">
      <c r="A4431" s="6">
        <v>44569</v>
      </c>
      <c r="B4431" s="1">
        <v>2200132</v>
      </c>
      <c r="C4431" s="5" t="s">
        <v>436</v>
      </c>
      <c r="D4431" s="5" t="str">
        <f>VLOOKUP(C4431,[1]master_data!$A$2:$E$495,2,FALSE)</f>
        <v>NIASA</v>
      </c>
      <c r="E4431" s="5">
        <v>5</v>
      </c>
      <c r="F4431" s="5">
        <f>VLOOKUP(C4431,[1]master_data!$A$2:$E$495,3,FALSE)</f>
        <v>900</v>
      </c>
      <c r="G4431" s="5">
        <f>VLOOKUP(C4431,[1]master_data!$A$2:$E$495,4,FALSE)</f>
        <v>2000</v>
      </c>
      <c r="H4431" s="5">
        <f t="shared" si="213"/>
        <v>4500</v>
      </c>
      <c r="I4431" s="5">
        <f t="shared" si="214"/>
        <v>10000</v>
      </c>
      <c r="J4431" s="5">
        <f t="shared" si="215"/>
        <v>5500</v>
      </c>
      <c r="K4431" s="5" t="str">
        <f>VLOOKUP(C4431,[1]master_data!$A$2:$E$495,5,FALSE)</f>
        <v>Ikan</v>
      </c>
      <c r="L4431" s="5" t="s">
        <v>471</v>
      </c>
    </row>
    <row r="4432" spans="1:12" ht="12" customHeight="1" x14ac:dyDescent="0.25">
      <c r="A4432" s="6">
        <v>44569</v>
      </c>
      <c r="B4432" s="1">
        <v>2200131</v>
      </c>
      <c r="C4432" s="5" t="s">
        <v>414</v>
      </c>
      <c r="D4432" s="5" t="str">
        <f>VLOOKUP(C4432,[1]master_data!$A$2:$E$495,2,FALSE)</f>
        <v>KOKI T</v>
      </c>
      <c r="E4432" s="5">
        <v>4</v>
      </c>
      <c r="F4432" s="5">
        <f>VLOOKUP(C4432,[1]master_data!$A$2:$E$495,3,FALSE)</f>
        <v>8000</v>
      </c>
      <c r="G4432" s="5">
        <f>VLOOKUP(C4432,[1]master_data!$A$2:$E$495,4,FALSE)</f>
        <v>15000</v>
      </c>
      <c r="H4432" s="5">
        <f t="shared" si="213"/>
        <v>32000</v>
      </c>
      <c r="I4432" s="5">
        <f t="shared" si="214"/>
        <v>60000</v>
      </c>
      <c r="J4432" s="5">
        <f t="shared" si="215"/>
        <v>28000</v>
      </c>
      <c r="K4432" s="5" t="str">
        <f>VLOOKUP(C4432,[1]master_data!$A$2:$E$495,5,FALSE)</f>
        <v>Ikan</v>
      </c>
      <c r="L4432" s="5" t="s">
        <v>471</v>
      </c>
    </row>
    <row r="4433" spans="1:12" ht="12" customHeight="1" x14ac:dyDescent="0.25">
      <c r="A4433" s="6">
        <v>44569</v>
      </c>
      <c r="B4433" s="1">
        <v>2200130</v>
      </c>
      <c r="C4433" s="5" t="s">
        <v>312</v>
      </c>
      <c r="D4433" s="5" t="str">
        <f>VLOOKUP(C4433,[1]master_data!$A$2:$E$495,2,FALSE)</f>
        <v>T PIPA</v>
      </c>
      <c r="E4433" s="5">
        <v>5</v>
      </c>
      <c r="F4433" s="5">
        <f>VLOOKUP(C4433,[1]master_data!$A$2:$E$495,3,FALSE)</f>
        <v>800</v>
      </c>
      <c r="G4433" s="5">
        <f>VLOOKUP(C4433,[1]master_data!$A$2:$E$495,4,FALSE)</f>
        <v>2000</v>
      </c>
      <c r="H4433" s="5">
        <f t="shared" si="213"/>
        <v>4000</v>
      </c>
      <c r="I4433" s="5">
        <f t="shared" si="214"/>
        <v>10000</v>
      </c>
      <c r="J4433" s="5">
        <f t="shared" si="215"/>
        <v>6000</v>
      </c>
      <c r="K4433" s="5" t="str">
        <f>VLOOKUP(C4433,[1]master_data!$A$2:$E$495,5,FALSE)</f>
        <v>Aksesoris</v>
      </c>
      <c r="L4433" s="5" t="s">
        <v>471</v>
      </c>
    </row>
    <row r="4434" spans="1:12" ht="12" customHeight="1" x14ac:dyDescent="0.25">
      <c r="A4434" s="6">
        <v>44569</v>
      </c>
      <c r="B4434" s="1">
        <v>2200129</v>
      </c>
      <c r="C4434" s="5" t="s">
        <v>414</v>
      </c>
      <c r="D4434" s="5" t="str">
        <f>VLOOKUP(C4434,[1]master_data!$A$2:$E$495,2,FALSE)</f>
        <v>KOKI T</v>
      </c>
      <c r="E4434" s="5">
        <v>2</v>
      </c>
      <c r="F4434" s="5">
        <f>VLOOKUP(C4434,[1]master_data!$A$2:$E$495,3,FALSE)</f>
        <v>8000</v>
      </c>
      <c r="G4434" s="5">
        <f>VLOOKUP(C4434,[1]master_data!$A$2:$E$495,4,FALSE)</f>
        <v>15000</v>
      </c>
      <c r="H4434" s="5">
        <f t="shared" si="213"/>
        <v>16000</v>
      </c>
      <c r="I4434" s="5">
        <f t="shared" si="214"/>
        <v>30000</v>
      </c>
      <c r="J4434" s="5">
        <f t="shared" si="215"/>
        <v>14000</v>
      </c>
      <c r="K4434" s="5" t="str">
        <f>VLOOKUP(C4434,[1]master_data!$A$2:$E$495,5,FALSE)</f>
        <v>Ikan</v>
      </c>
      <c r="L4434" s="5" t="s">
        <v>471</v>
      </c>
    </row>
    <row r="4435" spans="1:12" ht="12" customHeight="1" x14ac:dyDescent="0.25">
      <c r="A4435" s="6">
        <v>44569</v>
      </c>
      <c r="B4435" s="1">
        <v>2200128</v>
      </c>
      <c r="C4435" s="5" t="s">
        <v>457</v>
      </c>
      <c r="D4435" s="5" t="str">
        <f>VLOOKUP(C4435,[1]master_data!$A$2:$E$495,2,FALSE)</f>
        <v>ZEBRA PINK</v>
      </c>
      <c r="E4435" s="5">
        <v>5</v>
      </c>
      <c r="F4435" s="5">
        <f>VLOOKUP(C4435,[1]master_data!$A$2:$E$495,3,FALSE)</f>
        <v>800</v>
      </c>
      <c r="G4435" s="5">
        <f>VLOOKUP(C4435,[1]master_data!$A$2:$E$495,4,FALSE)</f>
        <v>2000</v>
      </c>
      <c r="H4435" s="5">
        <f t="shared" si="213"/>
        <v>4000</v>
      </c>
      <c r="I4435" s="5">
        <f t="shared" si="214"/>
        <v>10000</v>
      </c>
      <c r="J4435" s="5">
        <f t="shared" si="215"/>
        <v>6000</v>
      </c>
      <c r="K4435" s="5" t="str">
        <f>VLOOKUP(C4435,[1]master_data!$A$2:$E$495,5,FALSE)</f>
        <v>Ikan</v>
      </c>
      <c r="L4435" s="5" t="s">
        <v>471</v>
      </c>
    </row>
    <row r="4436" spans="1:12" ht="12" customHeight="1" x14ac:dyDescent="0.25">
      <c r="A4436" s="6">
        <v>44569</v>
      </c>
      <c r="B4436" s="1">
        <v>2200127</v>
      </c>
      <c r="C4436" s="5" t="s">
        <v>437</v>
      </c>
      <c r="D4436" s="5" t="str">
        <f>VLOOKUP(C4436,[1]master_data!$A$2:$E$495,2,FALSE)</f>
        <v>RED EYE TETRA</v>
      </c>
      <c r="E4436" s="5">
        <v>5</v>
      </c>
      <c r="F4436" s="5">
        <f>VLOOKUP(C4436,[1]master_data!$A$2:$E$495,3,FALSE)</f>
        <v>900</v>
      </c>
      <c r="G4436" s="5">
        <f>VLOOKUP(C4436,[1]master_data!$A$2:$E$495,4,FALSE)</f>
        <v>2000</v>
      </c>
      <c r="H4436" s="5">
        <f t="shared" si="213"/>
        <v>4500</v>
      </c>
      <c r="I4436" s="5">
        <f t="shared" si="214"/>
        <v>10000</v>
      </c>
      <c r="J4436" s="5">
        <f t="shared" si="215"/>
        <v>5500</v>
      </c>
      <c r="K4436" s="5" t="str">
        <f>VLOOKUP(C4436,[1]master_data!$A$2:$E$495,5,FALSE)</f>
        <v>Ikan</v>
      </c>
      <c r="L4436" s="5" t="s">
        <v>471</v>
      </c>
    </row>
    <row r="4437" spans="1:12" ht="12" customHeight="1" x14ac:dyDescent="0.25">
      <c r="A4437" s="6">
        <v>44569</v>
      </c>
      <c r="B4437" s="1">
        <v>2200126</v>
      </c>
      <c r="C4437" s="5" t="s">
        <v>402</v>
      </c>
      <c r="D4437" s="5" t="str">
        <f>VLOOKUP(C4437,[1]master_data!$A$2:$E$495,2,FALSE)</f>
        <v>BLACK GHOST</v>
      </c>
      <c r="E4437" s="5">
        <v>2</v>
      </c>
      <c r="F4437" s="5">
        <f>VLOOKUP(C4437,[1]master_data!$A$2:$E$495,3,FALSE)</f>
        <v>4000</v>
      </c>
      <c r="G4437" s="5">
        <f>VLOOKUP(C4437,[1]master_data!$A$2:$E$495,4,FALSE)</f>
        <v>10000</v>
      </c>
      <c r="H4437" s="5">
        <f t="shared" si="213"/>
        <v>8000</v>
      </c>
      <c r="I4437" s="5">
        <f t="shared" si="214"/>
        <v>20000</v>
      </c>
      <c r="J4437" s="5">
        <f t="shared" si="215"/>
        <v>12000</v>
      </c>
      <c r="K4437" s="5" t="str">
        <f>VLOOKUP(C4437,[1]master_data!$A$2:$E$495,5,FALSE)</f>
        <v>Ikan</v>
      </c>
      <c r="L4437" s="5" t="s">
        <v>471</v>
      </c>
    </row>
    <row r="4438" spans="1:12" ht="12" customHeight="1" x14ac:dyDescent="0.25">
      <c r="A4438" s="6">
        <v>44569</v>
      </c>
      <c r="B4438" s="1">
        <v>2200125</v>
      </c>
      <c r="C4438" s="5" t="s">
        <v>112</v>
      </c>
      <c r="D4438" s="5" t="str">
        <f>VLOOKUP(C4438,[1]master_data!$A$2:$E$495,2,FALSE)</f>
        <v>LED ROSTON 20 CM</v>
      </c>
      <c r="E4438" s="5">
        <v>1</v>
      </c>
      <c r="F4438" s="5">
        <f>VLOOKUP(C4438,[1]master_data!$A$2:$E$495,3,FALSE)</f>
        <v>21000</v>
      </c>
      <c r="G4438" s="5">
        <f>VLOOKUP(C4438,[1]master_data!$A$2:$E$495,4,FALSE)</f>
        <v>30000</v>
      </c>
      <c r="H4438" s="5">
        <f t="shared" si="213"/>
        <v>21000</v>
      </c>
      <c r="I4438" s="5">
        <f t="shared" si="214"/>
        <v>30000</v>
      </c>
      <c r="J4438" s="5">
        <f t="shared" si="215"/>
        <v>9000</v>
      </c>
      <c r="K4438" s="5" t="str">
        <f>VLOOKUP(C4438,[1]master_data!$A$2:$E$495,5,FALSE)</f>
        <v>Aksesoris</v>
      </c>
      <c r="L4438" s="5" t="s">
        <v>471</v>
      </c>
    </row>
    <row r="4439" spans="1:12" ht="12" customHeight="1" x14ac:dyDescent="0.25">
      <c r="A4439" s="6">
        <v>44569</v>
      </c>
      <c r="B4439" s="1">
        <v>2200124</v>
      </c>
      <c r="C4439" s="5" t="s">
        <v>327</v>
      </c>
      <c r="D4439" s="5" t="str">
        <f>VLOOKUP(C4439,[1]master_data!$A$2:$E$495,2,FALSE)</f>
        <v>AIRSTONE K</v>
      </c>
      <c r="E4439" s="5">
        <v>1</v>
      </c>
      <c r="F4439" s="5">
        <f>VLOOKUP(C4439,[1]master_data!$A$2:$E$495,3,FALSE)</f>
        <v>850</v>
      </c>
      <c r="G4439" s="5">
        <f>VLOOKUP(C4439,[1]master_data!$A$2:$E$495,4,FALSE)</f>
        <v>3000</v>
      </c>
      <c r="H4439" s="5">
        <f t="shared" si="213"/>
        <v>850</v>
      </c>
      <c r="I4439" s="5">
        <f t="shared" si="214"/>
        <v>3000</v>
      </c>
      <c r="J4439" s="5">
        <f t="shared" si="215"/>
        <v>2150</v>
      </c>
      <c r="K4439" s="5" t="str">
        <f>VLOOKUP(C4439,[1]master_data!$A$2:$E$495,5,FALSE)</f>
        <v>Aksesoris</v>
      </c>
      <c r="L4439" s="5" t="s">
        <v>471</v>
      </c>
    </row>
    <row r="4440" spans="1:12" ht="12" customHeight="1" x14ac:dyDescent="0.25">
      <c r="A4440" s="6">
        <v>44568</v>
      </c>
      <c r="B4440" s="1">
        <v>2200123</v>
      </c>
      <c r="C4440" s="5" t="s">
        <v>402</v>
      </c>
      <c r="D4440" s="5" t="str">
        <f>VLOOKUP(C4440,[1]master_data!$A$2:$E$495,2,FALSE)</f>
        <v>BLACK GHOST</v>
      </c>
      <c r="E4440" s="5">
        <v>1</v>
      </c>
      <c r="F4440" s="5">
        <f>VLOOKUP(C4440,[1]master_data!$A$2:$E$495,3,FALSE)</f>
        <v>4000</v>
      </c>
      <c r="G4440" s="5">
        <f>VLOOKUP(C4440,[1]master_data!$A$2:$E$495,4,FALSE)</f>
        <v>10000</v>
      </c>
      <c r="H4440" s="5">
        <f t="shared" si="213"/>
        <v>4000</v>
      </c>
      <c r="I4440" s="5">
        <f t="shared" si="214"/>
        <v>10000</v>
      </c>
      <c r="J4440" s="5">
        <f t="shared" si="215"/>
        <v>6000</v>
      </c>
      <c r="K4440" s="5" t="str">
        <f>VLOOKUP(C4440,[1]master_data!$A$2:$E$495,5,FALSE)</f>
        <v>Ikan</v>
      </c>
      <c r="L4440" s="5" t="s">
        <v>471</v>
      </c>
    </row>
    <row r="4441" spans="1:12" ht="12" customHeight="1" x14ac:dyDescent="0.25">
      <c r="A4441" s="6">
        <v>44568</v>
      </c>
      <c r="B4441" s="1">
        <v>2200122</v>
      </c>
      <c r="C4441" s="5" t="s">
        <v>379</v>
      </c>
      <c r="D4441" s="5" t="str">
        <f>VLOOKUP(C4441,[1]master_data!$A$2:$E$495,2,FALSE)</f>
        <v>PASIR SILICA</v>
      </c>
      <c r="E4441" s="5">
        <v>6</v>
      </c>
      <c r="F4441" s="5">
        <f>VLOOKUP(C4441,[1]master_data!$A$2:$E$495,3,FALSE)</f>
        <v>5000</v>
      </c>
      <c r="G4441" s="5">
        <f>VLOOKUP(C4441,[1]master_data!$A$2:$E$495,4,FALSE)</f>
        <v>10000</v>
      </c>
      <c r="H4441" s="5">
        <f t="shared" si="213"/>
        <v>30000</v>
      </c>
      <c r="I4441" s="5">
        <f t="shared" si="214"/>
        <v>60000</v>
      </c>
      <c r="J4441" s="5">
        <f t="shared" si="215"/>
        <v>30000</v>
      </c>
      <c r="K4441" s="5" t="str">
        <f>VLOOKUP(C4441,[1]master_data!$A$2:$E$495,5,FALSE)</f>
        <v>Aksesoris</v>
      </c>
      <c r="L4441" s="5" t="s">
        <v>471</v>
      </c>
    </row>
    <row r="4442" spans="1:12" ht="12" customHeight="1" x14ac:dyDescent="0.25">
      <c r="A4442" s="6">
        <v>44568</v>
      </c>
      <c r="B4442" s="1">
        <v>2200121</v>
      </c>
      <c r="C4442" s="5" t="s">
        <v>381</v>
      </c>
      <c r="D4442" s="5" t="str">
        <f>VLOOKUP(C4442,[1]master_data!$A$2:$E$495,2,FALSE)</f>
        <v>BATU WARNA FOSFOR K</v>
      </c>
      <c r="E4442" s="5">
        <v>6</v>
      </c>
      <c r="F4442" s="5">
        <f>VLOOKUP(C4442,[1]master_data!$A$2:$E$495,3,FALSE)</f>
        <v>5500</v>
      </c>
      <c r="G4442" s="5">
        <f>VLOOKUP(C4442,[1]master_data!$A$2:$E$495,4,FALSE)</f>
        <v>10000</v>
      </c>
      <c r="H4442" s="5">
        <f t="shared" si="213"/>
        <v>33000</v>
      </c>
      <c r="I4442" s="5">
        <f t="shared" si="214"/>
        <v>60000</v>
      </c>
      <c r="J4442" s="5">
        <f t="shared" si="215"/>
        <v>27000</v>
      </c>
      <c r="K4442" s="5" t="str">
        <f>VLOOKUP(C4442,[1]master_data!$A$2:$E$495,5,FALSE)</f>
        <v>Aksesoris</v>
      </c>
      <c r="L4442" s="5" t="s">
        <v>471</v>
      </c>
    </row>
    <row r="4443" spans="1:12" ht="12" customHeight="1" x14ac:dyDescent="0.25">
      <c r="A4443" s="6">
        <v>44568</v>
      </c>
      <c r="B4443" s="1">
        <v>2200120</v>
      </c>
      <c r="C4443" s="5" t="s">
        <v>455</v>
      </c>
      <c r="D4443" s="5" t="str">
        <f>VLOOKUP(C4443,[1]master_data!$A$2:$E$495,2,FALSE)</f>
        <v>TETRA</v>
      </c>
      <c r="E4443" s="5">
        <v>10</v>
      </c>
      <c r="F4443" s="5">
        <f>VLOOKUP(C4443,[1]master_data!$A$2:$E$495,3,FALSE)</f>
        <v>800</v>
      </c>
      <c r="G4443" s="5">
        <f>VLOOKUP(C4443,[1]master_data!$A$2:$E$495,4,FALSE)</f>
        <v>2000</v>
      </c>
      <c r="H4443" s="5">
        <f t="shared" si="213"/>
        <v>8000</v>
      </c>
      <c r="I4443" s="5">
        <f t="shared" si="214"/>
        <v>20000</v>
      </c>
      <c r="J4443" s="5">
        <f t="shared" si="215"/>
        <v>12000</v>
      </c>
      <c r="K4443" s="5" t="str">
        <f>VLOOKUP(C4443,[1]master_data!$A$2:$E$495,5,FALSE)</f>
        <v>Ikan</v>
      </c>
      <c r="L4443" s="5" t="s">
        <v>471</v>
      </c>
    </row>
    <row r="4444" spans="1:12" ht="12" customHeight="1" x14ac:dyDescent="0.25">
      <c r="A4444" s="6">
        <v>44568</v>
      </c>
      <c r="B4444" s="1">
        <v>2200119</v>
      </c>
      <c r="C4444" s="5" t="s">
        <v>414</v>
      </c>
      <c r="D4444" s="5" t="str">
        <f>VLOOKUP(C4444,[1]master_data!$A$2:$E$495,2,FALSE)</f>
        <v>KOKI T</v>
      </c>
      <c r="E4444" s="5">
        <v>3</v>
      </c>
      <c r="F4444" s="5">
        <f>VLOOKUP(C4444,[1]master_data!$A$2:$E$495,3,FALSE)</f>
        <v>8000</v>
      </c>
      <c r="G4444" s="5">
        <f>VLOOKUP(C4444,[1]master_data!$A$2:$E$495,4,FALSE)</f>
        <v>15000</v>
      </c>
      <c r="H4444" s="5">
        <f t="shared" si="213"/>
        <v>24000</v>
      </c>
      <c r="I4444" s="5">
        <f t="shared" si="214"/>
        <v>45000</v>
      </c>
      <c r="J4444" s="5">
        <f t="shared" si="215"/>
        <v>21000</v>
      </c>
      <c r="K4444" s="5" t="str">
        <f>VLOOKUP(C4444,[1]master_data!$A$2:$E$495,5,FALSE)</f>
        <v>Ikan</v>
      </c>
      <c r="L4444" s="5" t="s">
        <v>471</v>
      </c>
    </row>
    <row r="4445" spans="1:12" ht="12" customHeight="1" x14ac:dyDescent="0.25">
      <c r="A4445" s="6">
        <v>44568</v>
      </c>
      <c r="B4445" s="1">
        <v>2200118</v>
      </c>
      <c r="C4445" s="5" t="s">
        <v>100</v>
      </c>
      <c r="D4445" s="5" t="str">
        <f>VLOOKUP(C4445,[1]master_data!$A$2:$E$495,2,FALSE)</f>
        <v>AIRATOR AMARA LUB 1</v>
      </c>
      <c r="E4445" s="5">
        <v>1</v>
      </c>
      <c r="F4445" s="5">
        <f>VLOOKUP(C4445,[1]master_data!$A$2:$E$495,3,FALSE)</f>
        <v>17500</v>
      </c>
      <c r="G4445" s="5">
        <f>VLOOKUP(C4445,[1]master_data!$A$2:$E$495,4,FALSE)</f>
        <v>30000</v>
      </c>
      <c r="H4445" s="5">
        <f t="shared" si="213"/>
        <v>17500</v>
      </c>
      <c r="I4445" s="5">
        <f t="shared" si="214"/>
        <v>30000</v>
      </c>
      <c r="J4445" s="5">
        <f t="shared" si="215"/>
        <v>12500</v>
      </c>
      <c r="K4445" s="5" t="str">
        <f>VLOOKUP(C4445,[1]master_data!$A$2:$E$495,5,FALSE)</f>
        <v>Aksesoris</v>
      </c>
      <c r="L4445" s="5" t="s">
        <v>471</v>
      </c>
    </row>
    <row r="4446" spans="1:12" ht="12" customHeight="1" x14ac:dyDescent="0.25">
      <c r="A4446" s="6">
        <v>44568</v>
      </c>
      <c r="B4446" s="1">
        <v>2200117</v>
      </c>
      <c r="C4446" s="5" t="s">
        <v>450</v>
      </c>
      <c r="D4446" s="5" t="str">
        <f>VLOOKUP(C4446,[1]master_data!$A$2:$E$495,2,FALSE)</f>
        <v>SUMATRA BIASA</v>
      </c>
      <c r="E4446" s="5">
        <v>10</v>
      </c>
      <c r="F4446" s="5">
        <f>VLOOKUP(C4446,[1]master_data!$A$2:$E$495,3,FALSE)</f>
        <v>800</v>
      </c>
      <c r="G4446" s="5">
        <f>VLOOKUP(C4446,[1]master_data!$A$2:$E$495,4,FALSE)</f>
        <v>2000</v>
      </c>
      <c r="H4446" s="5">
        <f t="shared" si="213"/>
        <v>8000</v>
      </c>
      <c r="I4446" s="5">
        <f t="shared" si="214"/>
        <v>20000</v>
      </c>
      <c r="J4446" s="5">
        <f t="shared" si="215"/>
        <v>12000</v>
      </c>
      <c r="K4446" s="5" t="str">
        <f>VLOOKUP(C4446,[1]master_data!$A$2:$E$495,5,FALSE)</f>
        <v>Ikan</v>
      </c>
      <c r="L4446" s="5" t="s">
        <v>471</v>
      </c>
    </row>
    <row r="4447" spans="1:12" ht="12" customHeight="1" x14ac:dyDescent="0.25">
      <c r="A4447" s="6">
        <v>44568</v>
      </c>
      <c r="B4447" s="1">
        <v>2200116</v>
      </c>
      <c r="C4447" s="5" t="s">
        <v>247</v>
      </c>
      <c r="D4447" s="5" t="str">
        <f>VLOOKUP(C4447,[1]master_data!$A$2:$E$495,2,FALSE)</f>
        <v>FISH ALL CONTRA BACTERIAL</v>
      </c>
      <c r="E4447" s="5">
        <v>3</v>
      </c>
      <c r="F4447" s="5">
        <f>VLOOKUP(C4447,[1]master_data!$A$2:$E$495,3,FALSE)</f>
        <v>6500</v>
      </c>
      <c r="G4447" s="5">
        <f>VLOOKUP(C4447,[1]master_data!$A$2:$E$495,4,FALSE)</f>
        <v>12000</v>
      </c>
      <c r="H4447" s="5">
        <f t="shared" si="213"/>
        <v>19500</v>
      </c>
      <c r="I4447" s="5">
        <f t="shared" si="214"/>
        <v>36000</v>
      </c>
      <c r="J4447" s="5">
        <f t="shared" si="215"/>
        <v>16500</v>
      </c>
      <c r="K4447" s="5" t="str">
        <f>VLOOKUP(C4447,[1]master_data!$A$2:$E$495,5,FALSE)</f>
        <v>Aksesoris</v>
      </c>
      <c r="L4447" s="5" t="s">
        <v>471</v>
      </c>
    </row>
    <row r="4448" spans="1:12" ht="12" customHeight="1" x14ac:dyDescent="0.25">
      <c r="A4448" s="6">
        <v>44568</v>
      </c>
      <c r="B4448" s="1">
        <v>2200115</v>
      </c>
      <c r="C4448" s="5" t="s">
        <v>410</v>
      </c>
      <c r="D4448" s="5" t="str">
        <f>VLOOKUP(C4448,[1]master_data!$A$2:$E$495,2,FALSE)</f>
        <v>GUPY</v>
      </c>
      <c r="E4448" s="5">
        <v>8</v>
      </c>
      <c r="F4448" s="5">
        <f>VLOOKUP(C4448,[1]master_data!$A$2:$E$495,3,FALSE)</f>
        <v>1200</v>
      </c>
      <c r="G4448" s="5">
        <f>VLOOKUP(C4448,[1]master_data!$A$2:$E$495,4,FALSE)</f>
        <v>2500</v>
      </c>
      <c r="H4448" s="5">
        <f t="shared" si="213"/>
        <v>9600</v>
      </c>
      <c r="I4448" s="5">
        <f t="shared" si="214"/>
        <v>20000</v>
      </c>
      <c r="J4448" s="5">
        <f t="shared" si="215"/>
        <v>10400</v>
      </c>
      <c r="K4448" s="5" t="str">
        <f>VLOOKUP(C4448,[1]master_data!$A$2:$E$495,5,FALSE)</f>
        <v>Ikan</v>
      </c>
      <c r="L4448" s="5" t="s">
        <v>471</v>
      </c>
    </row>
    <row r="4449" spans="1:12" ht="12" customHeight="1" x14ac:dyDescent="0.25">
      <c r="A4449" s="6">
        <v>44568</v>
      </c>
      <c r="B4449" s="1">
        <v>2200114</v>
      </c>
      <c r="C4449" s="5" t="s">
        <v>402</v>
      </c>
      <c r="D4449" s="5" t="str">
        <f>VLOOKUP(C4449,[1]master_data!$A$2:$E$495,2,FALSE)</f>
        <v>BLACK GHOST</v>
      </c>
      <c r="E4449" s="5">
        <v>1</v>
      </c>
      <c r="F4449" s="5">
        <f>VLOOKUP(C4449,[1]master_data!$A$2:$E$495,3,FALSE)</f>
        <v>4000</v>
      </c>
      <c r="G4449" s="5">
        <f>VLOOKUP(C4449,[1]master_data!$A$2:$E$495,4,FALSE)</f>
        <v>10000</v>
      </c>
      <c r="H4449" s="5">
        <f t="shared" si="213"/>
        <v>4000</v>
      </c>
      <c r="I4449" s="5">
        <f t="shared" si="214"/>
        <v>10000</v>
      </c>
      <c r="J4449" s="5">
        <f t="shared" si="215"/>
        <v>6000</v>
      </c>
      <c r="K4449" s="5" t="str">
        <f>VLOOKUP(C4449,[1]master_data!$A$2:$E$495,5,FALSE)</f>
        <v>Ikan</v>
      </c>
      <c r="L4449" s="5" t="s">
        <v>471</v>
      </c>
    </row>
    <row r="4450" spans="1:12" ht="12" customHeight="1" x14ac:dyDescent="0.25">
      <c r="A4450" s="6">
        <v>44568</v>
      </c>
      <c r="B4450" s="1">
        <v>2200113</v>
      </c>
      <c r="C4450" s="5" t="s">
        <v>310</v>
      </c>
      <c r="D4450" s="5" t="str">
        <f>VLOOKUP(C4450,[1]master_data!$A$2:$E$495,2,FALSE)</f>
        <v>SELANG FUSO</v>
      </c>
      <c r="E4450" s="5">
        <v>6</v>
      </c>
      <c r="F4450" s="5">
        <f>VLOOKUP(C4450,[1]master_data!$A$2:$E$495,3,FALSE)</f>
        <v>800</v>
      </c>
      <c r="G4450" s="5">
        <f>VLOOKUP(C4450,[1]master_data!$A$2:$E$495,4,FALSE)</f>
        <v>2000</v>
      </c>
      <c r="H4450" s="5">
        <f t="shared" si="213"/>
        <v>4800</v>
      </c>
      <c r="I4450" s="5">
        <f t="shared" si="214"/>
        <v>12000</v>
      </c>
      <c r="J4450" s="5">
        <f t="shared" si="215"/>
        <v>7200</v>
      </c>
      <c r="K4450" s="5" t="str">
        <f>VLOOKUP(C4450,[1]master_data!$A$2:$E$495,5,FALSE)</f>
        <v>Aksesoris</v>
      </c>
      <c r="L4450" s="5" t="s">
        <v>471</v>
      </c>
    </row>
    <row r="4451" spans="1:12" ht="12" customHeight="1" x14ac:dyDescent="0.25">
      <c r="A4451" s="6">
        <v>44568</v>
      </c>
      <c r="B4451" s="1">
        <v>2200112</v>
      </c>
      <c r="C4451" s="5" t="s">
        <v>132</v>
      </c>
      <c r="D4451" s="5" t="str">
        <f>VLOOKUP(C4451,[1]master_data!$A$2:$E$495,2,FALSE)</f>
        <v>LED YAMANO S1000</v>
      </c>
      <c r="E4451" s="5">
        <v>1</v>
      </c>
      <c r="F4451" s="5">
        <f>VLOOKUP(C4451,[1]master_data!$A$2:$E$495,3,FALSE)</f>
        <v>100000</v>
      </c>
      <c r="G4451" s="5">
        <f>VLOOKUP(C4451,[1]master_data!$A$2:$E$495,4,FALSE)</f>
        <v>140000</v>
      </c>
      <c r="H4451" s="5">
        <f t="shared" si="213"/>
        <v>100000</v>
      </c>
      <c r="I4451" s="5">
        <f t="shared" si="214"/>
        <v>140000</v>
      </c>
      <c r="J4451" s="5">
        <f t="shared" si="215"/>
        <v>40000</v>
      </c>
      <c r="K4451" s="5" t="str">
        <f>VLOOKUP(C4451,[1]master_data!$A$2:$E$495,5,FALSE)</f>
        <v>Aksesoris</v>
      </c>
      <c r="L4451" s="5" t="s">
        <v>471</v>
      </c>
    </row>
    <row r="4452" spans="1:12" ht="12" customHeight="1" x14ac:dyDescent="0.25">
      <c r="A4452" s="6">
        <v>44568</v>
      </c>
      <c r="B4452" s="1">
        <v>2200111</v>
      </c>
      <c r="C4452" s="5" t="s">
        <v>409</v>
      </c>
      <c r="D4452" s="5" t="str">
        <f>VLOOKUP(C4452,[1]master_data!$A$2:$E$495,2,FALSE)</f>
        <v>GOLD FISH</v>
      </c>
      <c r="E4452" s="5">
        <v>20</v>
      </c>
      <c r="F4452" s="5">
        <f>VLOOKUP(C4452,[1]master_data!$A$2:$E$495,3,FALSE)</f>
        <v>800</v>
      </c>
      <c r="G4452" s="5">
        <f>VLOOKUP(C4452,[1]master_data!$A$2:$E$495,4,FALSE)</f>
        <v>2000</v>
      </c>
      <c r="H4452" s="5">
        <f t="shared" si="213"/>
        <v>16000</v>
      </c>
      <c r="I4452" s="5">
        <f t="shared" si="214"/>
        <v>40000</v>
      </c>
      <c r="J4452" s="5">
        <f t="shared" si="215"/>
        <v>24000</v>
      </c>
      <c r="K4452" s="5" t="str">
        <f>VLOOKUP(C4452,[1]master_data!$A$2:$E$495,5,FALSE)</f>
        <v>Ikan</v>
      </c>
      <c r="L4452" s="5" t="s">
        <v>471</v>
      </c>
    </row>
    <row r="4453" spans="1:12" ht="12" customHeight="1" x14ac:dyDescent="0.25">
      <c r="A4453" s="6">
        <v>44568</v>
      </c>
      <c r="B4453" s="1">
        <v>2200110</v>
      </c>
      <c r="C4453" s="5" t="s">
        <v>311</v>
      </c>
      <c r="D4453" s="5" t="str">
        <f>VLOOKUP(C4453,[1]master_data!$A$2:$E$495,2,FALSE)</f>
        <v>L PIPA</v>
      </c>
      <c r="E4453" s="5">
        <v>5</v>
      </c>
      <c r="F4453" s="5">
        <f>VLOOKUP(C4453,[1]master_data!$A$2:$E$495,3,FALSE)</f>
        <v>800</v>
      </c>
      <c r="G4453" s="5">
        <f>VLOOKUP(C4453,[1]master_data!$A$2:$E$495,4,FALSE)</f>
        <v>2000</v>
      </c>
      <c r="H4453" s="5">
        <f t="shared" si="213"/>
        <v>4000</v>
      </c>
      <c r="I4453" s="5">
        <f t="shared" si="214"/>
        <v>10000</v>
      </c>
      <c r="J4453" s="5">
        <f t="shared" si="215"/>
        <v>6000</v>
      </c>
      <c r="K4453" s="5" t="str">
        <f>VLOOKUP(C4453,[1]master_data!$A$2:$E$495,5,FALSE)</f>
        <v>Aksesoris</v>
      </c>
      <c r="L4453" s="5" t="s">
        <v>471</v>
      </c>
    </row>
    <row r="4454" spans="1:12" ht="12" customHeight="1" x14ac:dyDescent="0.25">
      <c r="A4454" s="6">
        <v>44568</v>
      </c>
      <c r="B4454" s="1">
        <v>2200109</v>
      </c>
      <c r="C4454" s="5" t="s">
        <v>310</v>
      </c>
      <c r="D4454" s="5" t="str">
        <f>VLOOKUP(C4454,[1]master_data!$A$2:$E$495,2,FALSE)</f>
        <v>SELANG FUSO</v>
      </c>
      <c r="E4454" s="5">
        <v>5</v>
      </c>
      <c r="F4454" s="5">
        <f>VLOOKUP(C4454,[1]master_data!$A$2:$E$495,3,FALSE)</f>
        <v>800</v>
      </c>
      <c r="G4454" s="5">
        <f>VLOOKUP(C4454,[1]master_data!$A$2:$E$495,4,FALSE)</f>
        <v>2000</v>
      </c>
      <c r="H4454" s="5">
        <f t="shared" si="213"/>
        <v>4000</v>
      </c>
      <c r="I4454" s="5">
        <f t="shared" si="214"/>
        <v>10000</v>
      </c>
      <c r="J4454" s="5">
        <f t="shared" si="215"/>
        <v>6000</v>
      </c>
      <c r="K4454" s="5" t="str">
        <f>VLOOKUP(C4454,[1]master_data!$A$2:$E$495,5,FALSE)</f>
        <v>Aksesoris</v>
      </c>
      <c r="L4454" s="5" t="s">
        <v>471</v>
      </c>
    </row>
    <row r="4455" spans="1:12" ht="12" customHeight="1" x14ac:dyDescent="0.25">
      <c r="A4455" s="6">
        <v>44568</v>
      </c>
      <c r="B4455" s="1">
        <v>2200108</v>
      </c>
      <c r="C4455" s="5" t="s">
        <v>412</v>
      </c>
      <c r="D4455" s="5" t="str">
        <f>VLOOKUP(C4455,[1]master_data!$A$2:$E$495,2,FALSE)</f>
        <v>HIU TAWAR</v>
      </c>
      <c r="E4455" s="5">
        <v>5</v>
      </c>
      <c r="F4455" s="5">
        <f>VLOOKUP(C4455,[1]master_data!$A$2:$E$495,3,FALSE)</f>
        <v>600</v>
      </c>
      <c r="G4455" s="5">
        <f>VLOOKUP(C4455,[1]master_data!$A$2:$E$495,4,FALSE)</f>
        <v>2000</v>
      </c>
      <c r="H4455" s="5">
        <f t="shared" si="213"/>
        <v>3000</v>
      </c>
      <c r="I4455" s="5">
        <f t="shared" si="214"/>
        <v>10000</v>
      </c>
      <c r="J4455" s="5">
        <f t="shared" si="215"/>
        <v>7000</v>
      </c>
      <c r="K4455" s="5" t="str">
        <f>VLOOKUP(C4455,[1]master_data!$A$2:$E$495,5,FALSE)</f>
        <v>Ikan</v>
      </c>
      <c r="L4455" s="5" t="s">
        <v>471</v>
      </c>
    </row>
    <row r="4456" spans="1:12" ht="12" customHeight="1" x14ac:dyDescent="0.25">
      <c r="A4456" s="6">
        <v>44568</v>
      </c>
      <c r="B4456" s="1">
        <v>2200107</v>
      </c>
      <c r="C4456" s="5" t="s">
        <v>420</v>
      </c>
      <c r="D4456" s="5" t="str">
        <f>VLOOKUP(C4456,[1]master_data!$A$2:$E$495,2,FALSE)</f>
        <v>KAVIAT</v>
      </c>
      <c r="E4456" s="5">
        <v>2</v>
      </c>
      <c r="F4456" s="5">
        <f>VLOOKUP(C4456,[1]master_data!$A$2:$E$495,3,FALSE)</f>
        <v>3500</v>
      </c>
      <c r="G4456" s="5">
        <f>VLOOKUP(C4456,[1]master_data!$A$2:$E$495,4,FALSE)</f>
        <v>8000</v>
      </c>
      <c r="H4456" s="5">
        <f t="shared" si="213"/>
        <v>7000</v>
      </c>
      <c r="I4456" s="5">
        <f t="shared" si="214"/>
        <v>16000</v>
      </c>
      <c r="J4456" s="5">
        <f t="shared" si="215"/>
        <v>9000</v>
      </c>
      <c r="K4456" s="5" t="str">
        <f>VLOOKUP(C4456,[1]master_data!$A$2:$E$495,5,FALSE)</f>
        <v>Ikan</v>
      </c>
      <c r="L4456" s="5" t="s">
        <v>471</v>
      </c>
    </row>
    <row r="4457" spans="1:12" ht="12" customHeight="1" x14ac:dyDescent="0.25">
      <c r="A4457" s="6">
        <v>44568</v>
      </c>
      <c r="B4457" s="1">
        <v>2200106</v>
      </c>
      <c r="C4457" s="5" t="s">
        <v>414</v>
      </c>
      <c r="D4457" s="5" t="str">
        <f>VLOOKUP(C4457,[1]master_data!$A$2:$E$495,2,FALSE)</f>
        <v>KOKI T</v>
      </c>
      <c r="E4457" s="5">
        <v>2</v>
      </c>
      <c r="F4457" s="5">
        <f>VLOOKUP(C4457,[1]master_data!$A$2:$E$495,3,FALSE)</f>
        <v>8000</v>
      </c>
      <c r="G4457" s="5">
        <f>VLOOKUP(C4457,[1]master_data!$A$2:$E$495,4,FALSE)</f>
        <v>15000</v>
      </c>
      <c r="H4457" s="5">
        <f t="shared" si="213"/>
        <v>16000</v>
      </c>
      <c r="I4457" s="5">
        <f t="shared" si="214"/>
        <v>30000</v>
      </c>
      <c r="J4457" s="5">
        <f t="shared" si="215"/>
        <v>14000</v>
      </c>
      <c r="K4457" s="5" t="str">
        <f>VLOOKUP(C4457,[1]master_data!$A$2:$E$495,5,FALSE)</f>
        <v>Ikan</v>
      </c>
      <c r="L4457" s="5" t="s">
        <v>471</v>
      </c>
    </row>
    <row r="4458" spans="1:12" ht="12" customHeight="1" x14ac:dyDescent="0.25">
      <c r="A4458" s="6">
        <v>44567</v>
      </c>
      <c r="B4458" s="1">
        <v>2200105</v>
      </c>
      <c r="C4458" s="5" t="s">
        <v>409</v>
      </c>
      <c r="D4458" s="5" t="str">
        <f>VLOOKUP(C4458,[1]master_data!$A$2:$E$495,2,FALSE)</f>
        <v>GOLD FISH</v>
      </c>
      <c r="E4458" s="5">
        <v>40</v>
      </c>
      <c r="F4458" s="5">
        <f>VLOOKUP(C4458,[1]master_data!$A$2:$E$495,3,FALSE)</f>
        <v>800</v>
      </c>
      <c r="G4458" s="5">
        <f>VLOOKUP(C4458,[1]master_data!$A$2:$E$495,4,FALSE)</f>
        <v>2000</v>
      </c>
      <c r="H4458" s="5">
        <f t="shared" si="213"/>
        <v>32000</v>
      </c>
      <c r="I4458" s="5">
        <f t="shared" si="214"/>
        <v>80000</v>
      </c>
      <c r="J4458" s="5">
        <f t="shared" si="215"/>
        <v>48000</v>
      </c>
      <c r="K4458" s="5" t="str">
        <f>VLOOKUP(C4458,[1]master_data!$A$2:$E$495,5,FALSE)</f>
        <v>Ikan</v>
      </c>
      <c r="L4458" s="5" t="s">
        <v>471</v>
      </c>
    </row>
    <row r="4459" spans="1:12" ht="12" customHeight="1" x14ac:dyDescent="0.25">
      <c r="A4459" s="6">
        <v>44567</v>
      </c>
      <c r="B4459" s="1">
        <v>2200104</v>
      </c>
      <c r="C4459" s="5" t="s">
        <v>427</v>
      </c>
      <c r="D4459" s="5" t="str">
        <f>VLOOKUP(C4459,[1]master_data!$A$2:$E$495,2,FALSE)</f>
        <v>LEMON</v>
      </c>
      <c r="E4459" s="5">
        <v>5</v>
      </c>
      <c r="F4459" s="5">
        <f>VLOOKUP(C4459,[1]master_data!$A$2:$E$495,3,FALSE)</f>
        <v>1000</v>
      </c>
      <c r="G4459" s="5">
        <f>VLOOKUP(C4459,[1]master_data!$A$2:$E$495,4,FALSE)</f>
        <v>2000</v>
      </c>
      <c r="H4459" s="5">
        <f t="shared" si="213"/>
        <v>5000</v>
      </c>
      <c r="I4459" s="5">
        <f t="shared" si="214"/>
        <v>10000</v>
      </c>
      <c r="J4459" s="5">
        <f t="shared" si="215"/>
        <v>5000</v>
      </c>
      <c r="K4459" s="5" t="str">
        <f>VLOOKUP(C4459,[1]master_data!$A$2:$E$495,5,FALSE)</f>
        <v>Ikan</v>
      </c>
      <c r="L4459" s="5" t="s">
        <v>471</v>
      </c>
    </row>
    <row r="4460" spans="1:12" ht="12" customHeight="1" x14ac:dyDescent="0.25">
      <c r="A4460" s="6">
        <v>44567</v>
      </c>
      <c r="B4460" s="1">
        <v>2200103</v>
      </c>
      <c r="C4460" s="5" t="s">
        <v>431</v>
      </c>
      <c r="D4460" s="5" t="str">
        <f>VLOOKUP(C4460,[1]master_data!$A$2:$E$495,2,FALSE)</f>
        <v>MANFISH B</v>
      </c>
      <c r="E4460" s="5">
        <v>2</v>
      </c>
      <c r="F4460" s="5">
        <f>VLOOKUP(C4460,[1]master_data!$A$2:$E$495,3,FALSE)</f>
        <v>4000</v>
      </c>
      <c r="G4460" s="5">
        <f>VLOOKUP(C4460,[1]master_data!$A$2:$E$495,4,FALSE)</f>
        <v>10000</v>
      </c>
      <c r="H4460" s="5">
        <f t="shared" si="213"/>
        <v>8000</v>
      </c>
      <c r="I4460" s="5">
        <f t="shared" si="214"/>
        <v>20000</v>
      </c>
      <c r="J4460" s="5">
        <f t="shared" si="215"/>
        <v>12000</v>
      </c>
      <c r="K4460" s="5" t="str">
        <f>VLOOKUP(C4460,[1]master_data!$A$2:$E$495,5,FALSE)</f>
        <v>Ikan</v>
      </c>
      <c r="L4460" s="5" t="s">
        <v>471</v>
      </c>
    </row>
    <row r="4461" spans="1:12" ht="12" customHeight="1" x14ac:dyDescent="0.25">
      <c r="A4461" s="6">
        <v>44567</v>
      </c>
      <c r="B4461" s="1">
        <v>2200102</v>
      </c>
      <c r="C4461" s="5" t="s">
        <v>285</v>
      </c>
      <c r="D4461" s="5" t="str">
        <f>VLOOKUP(C4461,[1]master_data!$A$2:$E$495,2,FALSE)</f>
        <v>KAPAS 4 LAPIS</v>
      </c>
      <c r="E4461" s="5">
        <v>1</v>
      </c>
      <c r="F4461" s="5">
        <f>VLOOKUP(C4461,[1]master_data!$A$2:$E$495,3,FALSE)</f>
        <v>6500</v>
      </c>
      <c r="G4461" s="5">
        <f>VLOOKUP(C4461,[1]master_data!$A$2:$E$495,4,FALSE)</f>
        <v>10000</v>
      </c>
      <c r="H4461" s="5">
        <f t="shared" si="213"/>
        <v>6500</v>
      </c>
      <c r="I4461" s="5">
        <f t="shared" si="214"/>
        <v>10000</v>
      </c>
      <c r="J4461" s="5">
        <f t="shared" si="215"/>
        <v>3500</v>
      </c>
      <c r="K4461" s="5" t="str">
        <f>VLOOKUP(C4461,[1]master_data!$A$2:$E$495,5,FALSE)</f>
        <v>Aksesoris</v>
      </c>
      <c r="L4461" s="5" t="s">
        <v>471</v>
      </c>
    </row>
    <row r="4462" spans="1:12" ht="12" customHeight="1" x14ac:dyDescent="0.25">
      <c r="A4462" s="6">
        <v>44567</v>
      </c>
      <c r="B4462" s="1">
        <v>2200101</v>
      </c>
      <c r="C4462" s="5" t="s">
        <v>281</v>
      </c>
      <c r="D4462" s="5" t="str">
        <f>VLOOKUP(C4462,[1]master_data!$A$2:$E$495,2,FALSE)</f>
        <v>KRAN 3 W</v>
      </c>
      <c r="E4462" s="5">
        <v>1</v>
      </c>
      <c r="F4462" s="5">
        <f>VLOOKUP(C4462,[1]master_data!$A$2:$E$495,3,FALSE)</f>
        <v>5500</v>
      </c>
      <c r="G4462" s="5">
        <f>VLOOKUP(C4462,[1]master_data!$A$2:$E$495,4,FALSE)</f>
        <v>8000</v>
      </c>
      <c r="H4462" s="5">
        <f t="shared" si="213"/>
        <v>5500</v>
      </c>
      <c r="I4462" s="5">
        <f t="shared" si="214"/>
        <v>8000</v>
      </c>
      <c r="J4462" s="5">
        <f t="shared" si="215"/>
        <v>2500</v>
      </c>
      <c r="K4462" s="5" t="str">
        <f>VLOOKUP(C4462,[1]master_data!$A$2:$E$495,5,FALSE)</f>
        <v>Aksesoris</v>
      </c>
      <c r="L4462" s="5" t="s">
        <v>471</v>
      </c>
    </row>
    <row r="4463" spans="1:12" ht="12" customHeight="1" x14ac:dyDescent="0.25">
      <c r="A4463" s="6">
        <v>44567</v>
      </c>
      <c r="B4463" s="1">
        <v>2200100</v>
      </c>
      <c r="C4463" s="5" t="s">
        <v>45</v>
      </c>
      <c r="D4463" s="5" t="str">
        <f>VLOOKUP(C4463,[1]master_data!$A$2:$E$495,2,FALSE)</f>
        <v>TOP FILTER NIKITA K</v>
      </c>
      <c r="E4463" s="5">
        <v>1</v>
      </c>
      <c r="F4463" s="5">
        <f>VLOOKUP(C4463,[1]master_data!$A$2:$E$495,3,FALSE)</f>
        <v>36000</v>
      </c>
      <c r="G4463" s="5">
        <f>VLOOKUP(C4463,[1]master_data!$A$2:$E$495,4,FALSE)</f>
        <v>55000</v>
      </c>
      <c r="H4463" s="5">
        <f t="shared" si="213"/>
        <v>36000</v>
      </c>
      <c r="I4463" s="5">
        <f t="shared" si="214"/>
        <v>55000</v>
      </c>
      <c r="J4463" s="5">
        <f t="shared" si="215"/>
        <v>19000</v>
      </c>
      <c r="K4463" s="5" t="str">
        <f>VLOOKUP(C4463,[1]master_data!$A$2:$E$495,5,FALSE)</f>
        <v>Aksesoris</v>
      </c>
      <c r="L4463" s="5" t="s">
        <v>471</v>
      </c>
    </row>
    <row r="4464" spans="1:12" ht="12" customHeight="1" x14ac:dyDescent="0.25">
      <c r="A4464" s="6">
        <v>44567</v>
      </c>
      <c r="B4464" s="1">
        <v>2200099</v>
      </c>
      <c r="C4464" s="5" t="s">
        <v>269</v>
      </c>
      <c r="D4464" s="5" t="str">
        <f>VLOOKUP(C4464,[1]master_data!$A$2:$E$495,2,FALSE)</f>
        <v>HEATER KACA 50 W</v>
      </c>
      <c r="E4464" s="5">
        <v>1</v>
      </c>
      <c r="F4464" s="5">
        <f>VLOOKUP(C4464,[1]master_data!$A$2:$E$495,3,FALSE)</f>
        <v>33000</v>
      </c>
      <c r="G4464" s="5">
        <f>VLOOKUP(C4464,[1]master_data!$A$2:$E$495,4,FALSE)</f>
        <v>50000</v>
      </c>
      <c r="H4464" s="5">
        <f t="shared" si="213"/>
        <v>33000</v>
      </c>
      <c r="I4464" s="5">
        <f t="shared" si="214"/>
        <v>50000</v>
      </c>
      <c r="J4464" s="5">
        <f t="shared" si="215"/>
        <v>17000</v>
      </c>
      <c r="K4464" s="5" t="str">
        <f>VLOOKUP(C4464,[1]master_data!$A$2:$E$495,5,FALSE)</f>
        <v>Aksesoris</v>
      </c>
      <c r="L4464" s="5" t="s">
        <v>471</v>
      </c>
    </row>
    <row r="4465" spans="1:12" ht="12" customHeight="1" x14ac:dyDescent="0.25">
      <c r="A4465" s="6">
        <v>44567</v>
      </c>
      <c r="B4465" s="1">
        <v>2200098</v>
      </c>
      <c r="C4465" s="5" t="s">
        <v>430</v>
      </c>
      <c r="D4465" s="5" t="str">
        <f>VLOOKUP(C4465,[1]master_data!$A$2:$E$495,2,FALSE)</f>
        <v>MANFISH K</v>
      </c>
      <c r="E4465" s="5">
        <v>3</v>
      </c>
      <c r="F4465" s="5">
        <f>VLOOKUP(C4465,[1]master_data!$A$2:$E$495,3,FALSE)</f>
        <v>2000</v>
      </c>
      <c r="G4465" s="5">
        <f>VLOOKUP(C4465,[1]master_data!$A$2:$E$495,4,FALSE)</f>
        <v>5000</v>
      </c>
      <c r="H4465" s="5">
        <f t="shared" si="213"/>
        <v>6000</v>
      </c>
      <c r="I4465" s="5">
        <f t="shared" si="214"/>
        <v>15000</v>
      </c>
      <c r="J4465" s="5">
        <f t="shared" si="215"/>
        <v>9000</v>
      </c>
      <c r="K4465" s="5" t="str">
        <f>VLOOKUP(C4465,[1]master_data!$A$2:$E$495,5,FALSE)</f>
        <v>Ikan</v>
      </c>
      <c r="L4465" s="5" t="s">
        <v>471</v>
      </c>
    </row>
    <row r="4466" spans="1:12" ht="12" customHeight="1" x14ac:dyDescent="0.25">
      <c r="A4466" s="6">
        <v>44567</v>
      </c>
      <c r="B4466" s="1">
        <v>2200097</v>
      </c>
      <c r="C4466" s="5" t="s">
        <v>411</v>
      </c>
      <c r="D4466" s="5" t="str">
        <f>VLOOKUP(C4466,[1]master_data!$A$2:$E$495,2,FALSE)</f>
        <v>GOLDEN BLACK</v>
      </c>
      <c r="E4466" s="5">
        <v>5</v>
      </c>
      <c r="F4466" s="5">
        <f>VLOOKUP(C4466,[1]master_data!$A$2:$E$495,3,FALSE)</f>
        <v>800</v>
      </c>
      <c r="G4466" s="5">
        <f>VLOOKUP(C4466,[1]master_data!$A$2:$E$495,4,FALSE)</f>
        <v>2000</v>
      </c>
      <c r="H4466" s="5">
        <f t="shared" si="213"/>
        <v>4000</v>
      </c>
      <c r="I4466" s="5">
        <f t="shared" si="214"/>
        <v>10000</v>
      </c>
      <c r="J4466" s="5">
        <f t="shared" si="215"/>
        <v>6000</v>
      </c>
      <c r="K4466" s="5" t="str">
        <f>VLOOKUP(C4466,[1]master_data!$A$2:$E$495,5,FALSE)</f>
        <v>Ikan</v>
      </c>
      <c r="L4466" s="5" t="s">
        <v>471</v>
      </c>
    </row>
    <row r="4467" spans="1:12" ht="12" customHeight="1" x14ac:dyDescent="0.25">
      <c r="A4467" s="6">
        <v>44567</v>
      </c>
      <c r="B4467" s="1">
        <v>2200096</v>
      </c>
      <c r="C4467" s="5" t="s">
        <v>319</v>
      </c>
      <c r="D4467" s="5" t="str">
        <f>VLOOKUP(C4467,[1]master_data!$A$2:$E$495,2,FALSE)</f>
        <v>KAPAS HIJAU HITAM</v>
      </c>
      <c r="E4467" s="5">
        <v>2</v>
      </c>
      <c r="F4467" s="5">
        <f>VLOOKUP(C4467,[1]master_data!$A$2:$E$495,3,FALSE)</f>
        <v>11000</v>
      </c>
      <c r="G4467" s="5">
        <f>VLOOKUP(C4467,[1]master_data!$A$2:$E$495,4,FALSE)</f>
        <v>15000</v>
      </c>
      <c r="H4467" s="5">
        <f t="shared" si="213"/>
        <v>22000</v>
      </c>
      <c r="I4467" s="5">
        <f t="shared" si="214"/>
        <v>30000</v>
      </c>
      <c r="J4467" s="5">
        <f t="shared" si="215"/>
        <v>8000</v>
      </c>
      <c r="K4467" s="5" t="str">
        <f>VLOOKUP(C4467,[1]master_data!$A$2:$E$495,5,FALSE)</f>
        <v>Aksesoris</v>
      </c>
      <c r="L4467" s="5" t="s">
        <v>471</v>
      </c>
    </row>
    <row r="4468" spans="1:12" ht="12" customHeight="1" x14ac:dyDescent="0.25">
      <c r="A4468" s="6">
        <v>44567</v>
      </c>
      <c r="B4468" s="1">
        <v>2200095</v>
      </c>
      <c r="C4468" s="5" t="s">
        <v>413</v>
      </c>
      <c r="D4468" s="5" t="str">
        <f>VLOOKUP(C4468,[1]master_data!$A$2:$E$495,2,FALSE)</f>
        <v>KOKI K</v>
      </c>
      <c r="E4468" s="5">
        <v>4</v>
      </c>
      <c r="F4468" s="5">
        <f>VLOOKUP(C4468,[1]master_data!$A$2:$E$495,3,FALSE)</f>
        <v>3500</v>
      </c>
      <c r="G4468" s="5">
        <f>VLOOKUP(C4468,[1]master_data!$A$2:$E$495,4,FALSE)</f>
        <v>10000</v>
      </c>
      <c r="H4468" s="5">
        <f t="shared" si="213"/>
        <v>14000</v>
      </c>
      <c r="I4468" s="5">
        <f t="shared" si="214"/>
        <v>40000</v>
      </c>
      <c r="J4468" s="5">
        <f t="shared" si="215"/>
        <v>26000</v>
      </c>
      <c r="K4468" s="5" t="str">
        <f>VLOOKUP(C4468,[1]master_data!$A$2:$E$495,5,FALSE)</f>
        <v>Ikan</v>
      </c>
      <c r="L4468" s="5" t="s">
        <v>471</v>
      </c>
    </row>
    <row r="4469" spans="1:12" ht="12" customHeight="1" x14ac:dyDescent="0.25">
      <c r="A4469" s="6">
        <v>44567</v>
      </c>
      <c r="B4469" s="1">
        <v>2200094</v>
      </c>
      <c r="C4469" s="5" t="s">
        <v>412</v>
      </c>
      <c r="D4469" s="5" t="str">
        <f>VLOOKUP(C4469,[1]master_data!$A$2:$E$495,2,FALSE)</f>
        <v>HIU TAWAR</v>
      </c>
      <c r="E4469" s="5">
        <v>3</v>
      </c>
      <c r="F4469" s="5">
        <f>VLOOKUP(C4469,[1]master_data!$A$2:$E$495,3,FALSE)</f>
        <v>600</v>
      </c>
      <c r="G4469" s="5">
        <f>VLOOKUP(C4469,[1]master_data!$A$2:$E$495,4,FALSE)</f>
        <v>2000</v>
      </c>
      <c r="H4469" s="5">
        <f t="shared" si="213"/>
        <v>1800</v>
      </c>
      <c r="I4469" s="5">
        <f t="shared" si="214"/>
        <v>6000</v>
      </c>
      <c r="J4469" s="5">
        <f t="shared" si="215"/>
        <v>4200</v>
      </c>
      <c r="K4469" s="5" t="str">
        <f>VLOOKUP(C4469,[1]master_data!$A$2:$E$495,5,FALSE)</f>
        <v>Ikan</v>
      </c>
      <c r="L4469" s="5" t="s">
        <v>471</v>
      </c>
    </row>
    <row r="4470" spans="1:12" ht="12" customHeight="1" x14ac:dyDescent="0.25">
      <c r="A4470" s="6">
        <v>44567</v>
      </c>
      <c r="B4470" s="1">
        <v>2200093</v>
      </c>
      <c r="C4470" s="5" t="s">
        <v>400</v>
      </c>
      <c r="D4470" s="5" t="str">
        <f>VLOOKUP(C4470,[1]master_data!$A$2:$E$495,2,FALSE)</f>
        <v>BALA BALA K</v>
      </c>
      <c r="E4470" s="5">
        <v>3</v>
      </c>
      <c r="F4470" s="5">
        <f>VLOOKUP(C4470,[1]master_data!$A$2:$E$495,3,FALSE)</f>
        <v>4000</v>
      </c>
      <c r="G4470" s="5">
        <f>VLOOKUP(C4470,[1]master_data!$A$2:$E$495,4,FALSE)</f>
        <v>8000</v>
      </c>
      <c r="H4470" s="5">
        <f t="shared" si="213"/>
        <v>12000</v>
      </c>
      <c r="I4470" s="5">
        <f t="shared" si="214"/>
        <v>24000</v>
      </c>
      <c r="J4470" s="5">
        <f t="shared" si="215"/>
        <v>12000</v>
      </c>
      <c r="K4470" s="5" t="str">
        <f>VLOOKUP(C4470,[1]master_data!$A$2:$E$495,5,FALSE)</f>
        <v>Ikan</v>
      </c>
      <c r="L4470" s="5" t="s">
        <v>471</v>
      </c>
    </row>
    <row r="4471" spans="1:12" ht="12" customHeight="1" x14ac:dyDescent="0.25">
      <c r="A4471" s="6">
        <v>44567</v>
      </c>
      <c r="B4471" s="1">
        <v>2200092</v>
      </c>
      <c r="C4471" s="5" t="s">
        <v>409</v>
      </c>
      <c r="D4471" s="5" t="str">
        <f>VLOOKUP(C4471,[1]master_data!$A$2:$E$495,2,FALSE)</f>
        <v>GOLD FISH</v>
      </c>
      <c r="E4471" s="5">
        <v>5</v>
      </c>
      <c r="F4471" s="5">
        <f>VLOOKUP(C4471,[1]master_data!$A$2:$E$495,3,FALSE)</f>
        <v>800</v>
      </c>
      <c r="G4471" s="5">
        <f>VLOOKUP(C4471,[1]master_data!$A$2:$E$495,4,FALSE)</f>
        <v>2000</v>
      </c>
      <c r="H4471" s="5">
        <f t="shared" si="213"/>
        <v>4000</v>
      </c>
      <c r="I4471" s="5">
        <f t="shared" si="214"/>
        <v>10000</v>
      </c>
      <c r="J4471" s="5">
        <f t="shared" si="215"/>
        <v>6000</v>
      </c>
      <c r="K4471" s="5" t="str">
        <f>VLOOKUP(C4471,[1]master_data!$A$2:$E$495,5,FALSE)</f>
        <v>Ikan</v>
      </c>
      <c r="L4471" s="5" t="s">
        <v>471</v>
      </c>
    </row>
    <row r="4472" spans="1:12" ht="12" customHeight="1" x14ac:dyDescent="0.25">
      <c r="A4472" s="6">
        <v>44567</v>
      </c>
      <c r="B4472" s="1">
        <v>2200091</v>
      </c>
      <c r="C4472" s="5" t="s">
        <v>453</v>
      </c>
      <c r="D4472" s="5" t="str">
        <f>VLOOKUP(C4472,[1]master_data!$A$2:$E$495,2,FALSE)</f>
        <v>SYNODONTIS K</v>
      </c>
      <c r="E4472" s="5">
        <v>3</v>
      </c>
      <c r="F4472" s="5">
        <f>VLOOKUP(C4472,[1]master_data!$A$2:$E$495,3,FALSE)</f>
        <v>1500</v>
      </c>
      <c r="G4472" s="5">
        <f>VLOOKUP(C4472,[1]master_data!$A$2:$E$495,4,FALSE)</f>
        <v>5000</v>
      </c>
      <c r="H4472" s="5">
        <f t="shared" si="213"/>
        <v>4500</v>
      </c>
      <c r="I4472" s="5">
        <f t="shared" si="214"/>
        <v>15000</v>
      </c>
      <c r="J4472" s="5">
        <f t="shared" si="215"/>
        <v>10500</v>
      </c>
      <c r="K4472" s="5" t="str">
        <f>VLOOKUP(C4472,[1]master_data!$A$2:$E$495,5,FALSE)</f>
        <v>Ikan</v>
      </c>
      <c r="L4472" s="5" t="s">
        <v>471</v>
      </c>
    </row>
    <row r="4473" spans="1:12" ht="12" customHeight="1" x14ac:dyDescent="0.25">
      <c r="A4473" s="6">
        <v>44567</v>
      </c>
      <c r="B4473" s="1">
        <v>2200090</v>
      </c>
      <c r="C4473" s="5" t="s">
        <v>399</v>
      </c>
      <c r="D4473" s="5" t="str">
        <f>VLOOKUP(C4473,[1]master_data!$A$2:$E$495,2,FALSE)</f>
        <v>BUENOS AIRES TETRA</v>
      </c>
      <c r="E4473" s="5">
        <v>5</v>
      </c>
      <c r="F4473" s="5">
        <f>VLOOKUP(C4473,[1]master_data!$A$2:$E$495,3,FALSE)</f>
        <v>800</v>
      </c>
      <c r="G4473" s="5">
        <f>VLOOKUP(C4473,[1]master_data!$A$2:$E$495,4,FALSE)</f>
        <v>2000</v>
      </c>
      <c r="H4473" s="5">
        <f t="shared" si="213"/>
        <v>4000</v>
      </c>
      <c r="I4473" s="5">
        <f t="shared" si="214"/>
        <v>10000</v>
      </c>
      <c r="J4473" s="5">
        <f t="shared" si="215"/>
        <v>6000</v>
      </c>
      <c r="K4473" s="5" t="str">
        <f>VLOOKUP(C4473,[1]master_data!$A$2:$E$495,5,FALSE)</f>
        <v>Ikan</v>
      </c>
      <c r="L4473" s="5" t="s">
        <v>471</v>
      </c>
    </row>
    <row r="4474" spans="1:12" ht="12" customHeight="1" x14ac:dyDescent="0.25">
      <c r="A4474" s="6">
        <v>44567</v>
      </c>
      <c r="B4474" s="1">
        <v>2200089</v>
      </c>
      <c r="C4474" s="5" t="s">
        <v>285</v>
      </c>
      <c r="D4474" s="5" t="str">
        <f>VLOOKUP(C4474,[1]master_data!$A$2:$E$495,2,FALSE)</f>
        <v>KAPAS 4 LAPIS</v>
      </c>
      <c r="E4474" s="5">
        <v>1</v>
      </c>
      <c r="F4474" s="5">
        <f>VLOOKUP(C4474,[1]master_data!$A$2:$E$495,3,FALSE)</f>
        <v>6500</v>
      </c>
      <c r="G4474" s="5">
        <f>VLOOKUP(C4474,[1]master_data!$A$2:$E$495,4,FALSE)</f>
        <v>10000</v>
      </c>
      <c r="H4474" s="5">
        <f t="shared" si="213"/>
        <v>6500</v>
      </c>
      <c r="I4474" s="5">
        <f t="shared" si="214"/>
        <v>10000</v>
      </c>
      <c r="J4474" s="5">
        <f t="shared" si="215"/>
        <v>3500</v>
      </c>
      <c r="K4474" s="5" t="str">
        <f>VLOOKUP(C4474,[1]master_data!$A$2:$E$495,5,FALSE)</f>
        <v>Aksesoris</v>
      </c>
      <c r="L4474" s="5" t="s">
        <v>471</v>
      </c>
    </row>
    <row r="4475" spans="1:12" ht="12" customHeight="1" x14ac:dyDescent="0.25">
      <c r="A4475" s="6">
        <v>44567</v>
      </c>
      <c r="B4475" s="1">
        <v>2200088</v>
      </c>
      <c r="C4475" s="5" t="s">
        <v>432</v>
      </c>
      <c r="D4475" s="5" t="str">
        <f>VLOOKUP(C4475,[1]master_data!$A$2:$E$495,2,FALSE)</f>
        <v>MARU K</v>
      </c>
      <c r="E4475" s="5">
        <v>1</v>
      </c>
      <c r="F4475" s="5">
        <f>VLOOKUP(C4475,[1]master_data!$A$2:$E$495,3,FALSE)</f>
        <v>23000</v>
      </c>
      <c r="G4475" s="5">
        <f>VLOOKUP(C4475,[1]master_data!$A$2:$E$495,4,FALSE)</f>
        <v>50000</v>
      </c>
      <c r="H4475" s="5">
        <f t="shared" si="213"/>
        <v>23000</v>
      </c>
      <c r="I4475" s="5">
        <f t="shared" si="214"/>
        <v>50000</v>
      </c>
      <c r="J4475" s="5">
        <f t="shared" si="215"/>
        <v>27000</v>
      </c>
      <c r="K4475" s="5" t="str">
        <f>VLOOKUP(C4475,[1]master_data!$A$2:$E$495,5,FALSE)</f>
        <v>Ikan</v>
      </c>
      <c r="L4475" s="5" t="s">
        <v>471</v>
      </c>
    </row>
    <row r="4476" spans="1:12" ht="12" customHeight="1" x14ac:dyDescent="0.25">
      <c r="A4476" s="6">
        <v>44566</v>
      </c>
      <c r="B4476" s="1">
        <v>2200087</v>
      </c>
      <c r="C4476" s="5" t="s">
        <v>313</v>
      </c>
      <c r="D4476" s="5" t="str">
        <f>VLOOKUP(C4476,[1]master_data!$A$2:$E$495,2,FALSE)</f>
        <v>LURUS PIPA</v>
      </c>
      <c r="E4476" s="5">
        <v>10</v>
      </c>
      <c r="F4476" s="5">
        <f>VLOOKUP(C4476,[1]master_data!$A$2:$E$495,3,FALSE)</f>
        <v>800</v>
      </c>
      <c r="G4476" s="5">
        <f>VLOOKUP(C4476,[1]master_data!$A$2:$E$495,4,FALSE)</f>
        <v>2000</v>
      </c>
      <c r="H4476" s="5">
        <f t="shared" si="213"/>
        <v>8000</v>
      </c>
      <c r="I4476" s="5">
        <f t="shared" si="214"/>
        <v>20000</v>
      </c>
      <c r="J4476" s="5">
        <f t="shared" si="215"/>
        <v>12000</v>
      </c>
      <c r="K4476" s="5" t="str">
        <f>VLOOKUP(C4476,[1]master_data!$A$2:$E$495,5,FALSE)</f>
        <v>Aksesoris</v>
      </c>
      <c r="L4476" s="5" t="s">
        <v>471</v>
      </c>
    </row>
    <row r="4477" spans="1:12" ht="12" customHeight="1" x14ac:dyDescent="0.25">
      <c r="A4477" s="6">
        <v>44566</v>
      </c>
      <c r="B4477" s="1">
        <v>2200086</v>
      </c>
      <c r="C4477" s="5" t="s">
        <v>285</v>
      </c>
      <c r="D4477" s="5" t="str">
        <f>VLOOKUP(C4477,[1]master_data!$A$2:$E$495,2,FALSE)</f>
        <v>KAPAS 4 LAPIS</v>
      </c>
      <c r="E4477" s="5">
        <v>3</v>
      </c>
      <c r="F4477" s="5">
        <f>VLOOKUP(C4477,[1]master_data!$A$2:$E$495,3,FALSE)</f>
        <v>6500</v>
      </c>
      <c r="G4477" s="5">
        <f>VLOOKUP(C4477,[1]master_data!$A$2:$E$495,4,FALSE)</f>
        <v>10000</v>
      </c>
      <c r="H4477" s="5">
        <f t="shared" si="213"/>
        <v>19500</v>
      </c>
      <c r="I4477" s="5">
        <f t="shared" si="214"/>
        <v>30000</v>
      </c>
      <c r="J4477" s="5">
        <f t="shared" si="215"/>
        <v>10500</v>
      </c>
      <c r="K4477" s="5" t="str">
        <f>VLOOKUP(C4477,[1]master_data!$A$2:$E$495,5,FALSE)</f>
        <v>Aksesoris</v>
      </c>
      <c r="L4477" s="5" t="s">
        <v>471</v>
      </c>
    </row>
    <row r="4478" spans="1:12" ht="12" customHeight="1" x14ac:dyDescent="0.25">
      <c r="A4478" s="6">
        <v>44566</v>
      </c>
      <c r="B4478" s="1">
        <v>2200085</v>
      </c>
      <c r="C4478" s="5" t="s">
        <v>310</v>
      </c>
      <c r="D4478" s="5" t="str">
        <f>VLOOKUP(C4478,[1]master_data!$A$2:$E$495,2,FALSE)</f>
        <v>SELANG FUSO</v>
      </c>
      <c r="E4478" s="5">
        <v>6</v>
      </c>
      <c r="F4478" s="5">
        <f>VLOOKUP(C4478,[1]master_data!$A$2:$E$495,3,FALSE)</f>
        <v>800</v>
      </c>
      <c r="G4478" s="5">
        <f>VLOOKUP(C4478,[1]master_data!$A$2:$E$495,4,FALSE)</f>
        <v>2000</v>
      </c>
      <c r="H4478" s="5">
        <f t="shared" si="213"/>
        <v>4800</v>
      </c>
      <c r="I4478" s="5">
        <f t="shared" si="214"/>
        <v>12000</v>
      </c>
      <c r="J4478" s="5">
        <f t="shared" si="215"/>
        <v>7200</v>
      </c>
      <c r="K4478" s="5" t="str">
        <f>VLOOKUP(C4478,[1]master_data!$A$2:$E$495,5,FALSE)</f>
        <v>Aksesoris</v>
      </c>
      <c r="L4478" s="5" t="s">
        <v>471</v>
      </c>
    </row>
    <row r="4479" spans="1:12" ht="12" customHeight="1" x14ac:dyDescent="0.25">
      <c r="A4479" s="6">
        <v>44566</v>
      </c>
      <c r="B4479" s="1">
        <v>2200084</v>
      </c>
      <c r="C4479" s="5" t="s">
        <v>348</v>
      </c>
      <c r="D4479" s="5" t="str">
        <f>VLOOKUP(C4479,[1]master_data!$A$2:$E$495,2,FALSE)</f>
        <v>AKUARIUM NIKITA M60</v>
      </c>
      <c r="E4479" s="5">
        <v>1</v>
      </c>
      <c r="F4479" s="5">
        <f>VLOOKUP(C4479,[1]master_data!$A$2:$E$495,3,FALSE)</f>
        <v>60000</v>
      </c>
      <c r="G4479" s="5">
        <f>VLOOKUP(C4479,[1]master_data!$A$2:$E$495,4,FALSE)</f>
        <v>230000</v>
      </c>
      <c r="H4479" s="5">
        <f t="shared" si="213"/>
        <v>60000</v>
      </c>
      <c r="I4479" s="5">
        <f t="shared" si="214"/>
        <v>230000</v>
      </c>
      <c r="J4479" s="5">
        <f t="shared" si="215"/>
        <v>170000</v>
      </c>
      <c r="K4479" s="5" t="str">
        <f>VLOOKUP(C4479,[1]master_data!$A$2:$E$495,5,FALSE)</f>
        <v>Aksesoris</v>
      </c>
      <c r="L4479" s="5" t="s">
        <v>471</v>
      </c>
    </row>
    <row r="4480" spans="1:12" ht="12" customHeight="1" x14ac:dyDescent="0.25">
      <c r="A4480" s="6">
        <v>44566</v>
      </c>
      <c r="B4480" s="1">
        <v>2200083</v>
      </c>
      <c r="C4480" s="5" t="s">
        <v>285</v>
      </c>
      <c r="D4480" s="5" t="str">
        <f>VLOOKUP(C4480,[1]master_data!$A$2:$E$495,2,FALSE)</f>
        <v>KAPAS 4 LAPIS</v>
      </c>
      <c r="E4480" s="5">
        <v>1</v>
      </c>
      <c r="F4480" s="5">
        <f>VLOOKUP(C4480,[1]master_data!$A$2:$E$495,3,FALSE)</f>
        <v>6500</v>
      </c>
      <c r="G4480" s="5">
        <f>VLOOKUP(C4480,[1]master_data!$A$2:$E$495,4,FALSE)</f>
        <v>10000</v>
      </c>
      <c r="H4480" s="5">
        <f t="shared" si="213"/>
        <v>6500</v>
      </c>
      <c r="I4480" s="5">
        <f t="shared" si="214"/>
        <v>10000</v>
      </c>
      <c r="J4480" s="5">
        <f t="shared" si="215"/>
        <v>3500</v>
      </c>
      <c r="K4480" s="5" t="str">
        <f>VLOOKUP(C4480,[1]master_data!$A$2:$E$495,5,FALSE)</f>
        <v>Aksesoris</v>
      </c>
      <c r="L4480" s="5" t="s">
        <v>471</v>
      </c>
    </row>
    <row r="4481" spans="1:12" ht="12" customHeight="1" x14ac:dyDescent="0.25">
      <c r="A4481" s="6">
        <v>44566</v>
      </c>
      <c r="B4481" s="1">
        <v>2200082</v>
      </c>
      <c r="C4481" s="5" t="s">
        <v>415</v>
      </c>
      <c r="D4481" s="5" t="str">
        <f>VLOOKUP(C4481,[1]master_data!$A$2:$E$495,2,FALSE)</f>
        <v>KOKI B</v>
      </c>
      <c r="E4481" s="5">
        <v>1</v>
      </c>
      <c r="F4481" s="5">
        <f>VLOOKUP(C4481,[1]master_data!$A$2:$E$495,3,FALSE)</f>
        <v>20000</v>
      </c>
      <c r="G4481" s="5">
        <f>VLOOKUP(C4481,[1]master_data!$A$2:$E$495,4,FALSE)</f>
        <v>50000</v>
      </c>
      <c r="H4481" s="5">
        <f t="shared" si="213"/>
        <v>20000</v>
      </c>
      <c r="I4481" s="5">
        <f t="shared" si="214"/>
        <v>50000</v>
      </c>
      <c r="J4481" s="5">
        <f t="shared" si="215"/>
        <v>30000</v>
      </c>
      <c r="K4481" s="5" t="str">
        <f>VLOOKUP(C4481,[1]master_data!$A$2:$E$495,5,FALSE)</f>
        <v>Ikan</v>
      </c>
      <c r="L4481" s="5" t="s">
        <v>471</v>
      </c>
    </row>
    <row r="4482" spans="1:12" ht="12" customHeight="1" x14ac:dyDescent="0.25">
      <c r="A4482" s="6">
        <v>44566</v>
      </c>
      <c r="B4482" s="1">
        <v>2200081</v>
      </c>
      <c r="C4482" s="5" t="s">
        <v>435</v>
      </c>
      <c r="D4482" s="5" t="str">
        <f>VLOOKUP(C4482,[1]master_data!$A$2:$E$495,2,FALSE)</f>
        <v>MOLI BALON</v>
      </c>
      <c r="E4482" s="5">
        <v>10</v>
      </c>
      <c r="F4482" s="5">
        <f>VLOOKUP(C4482,[1]master_data!$A$2:$E$495,3,FALSE)</f>
        <v>800</v>
      </c>
      <c r="G4482" s="5">
        <f>VLOOKUP(C4482,[1]master_data!$A$2:$E$495,4,FALSE)</f>
        <v>2000</v>
      </c>
      <c r="H4482" s="5">
        <f t="shared" si="213"/>
        <v>8000</v>
      </c>
      <c r="I4482" s="5">
        <f t="shared" si="214"/>
        <v>20000</v>
      </c>
      <c r="J4482" s="5">
        <f t="shared" si="215"/>
        <v>12000</v>
      </c>
      <c r="K4482" s="5" t="str">
        <f>VLOOKUP(C4482,[1]master_data!$A$2:$E$495,5,FALSE)</f>
        <v>Ikan</v>
      </c>
      <c r="L4482" s="5" t="s">
        <v>471</v>
      </c>
    </row>
    <row r="4483" spans="1:12" ht="12" customHeight="1" x14ac:dyDescent="0.25">
      <c r="A4483" s="6">
        <v>44566</v>
      </c>
      <c r="B4483" s="1">
        <v>2200080</v>
      </c>
      <c r="C4483" s="5" t="s">
        <v>311</v>
      </c>
      <c r="D4483" s="5" t="str">
        <f>VLOOKUP(C4483,[1]master_data!$A$2:$E$495,2,FALSE)</f>
        <v>L PIPA</v>
      </c>
      <c r="E4483" s="5">
        <v>2</v>
      </c>
      <c r="F4483" s="5">
        <f>VLOOKUP(C4483,[1]master_data!$A$2:$E$495,3,FALSE)</f>
        <v>800</v>
      </c>
      <c r="G4483" s="5">
        <f>VLOOKUP(C4483,[1]master_data!$A$2:$E$495,4,FALSE)</f>
        <v>2000</v>
      </c>
      <c r="H4483" s="5">
        <f t="shared" si="213"/>
        <v>1600</v>
      </c>
      <c r="I4483" s="5">
        <f t="shared" si="214"/>
        <v>4000</v>
      </c>
      <c r="J4483" s="5">
        <f t="shared" si="215"/>
        <v>2400</v>
      </c>
      <c r="K4483" s="5" t="str">
        <f>VLOOKUP(C4483,[1]master_data!$A$2:$E$495,5,FALSE)</f>
        <v>Aksesoris</v>
      </c>
      <c r="L4483" s="5" t="s">
        <v>471</v>
      </c>
    </row>
    <row r="4484" spans="1:12" ht="12" customHeight="1" x14ac:dyDescent="0.25">
      <c r="A4484" s="6">
        <v>44566</v>
      </c>
      <c r="B4484" s="1">
        <v>2200079</v>
      </c>
      <c r="C4484" s="5" t="s">
        <v>422</v>
      </c>
      <c r="D4484" s="5" t="str">
        <f>VLOOKUP(C4484,[1]master_data!$A$2:$E$495,2,FALSE)</f>
        <v>KOMET SLAYER</v>
      </c>
      <c r="E4484" s="5">
        <v>6</v>
      </c>
      <c r="F4484" s="5">
        <f>VLOOKUP(C4484,[1]master_data!$A$2:$E$495,3,FALSE)</f>
        <v>2000</v>
      </c>
      <c r="G4484" s="5">
        <f>VLOOKUP(C4484,[1]master_data!$A$2:$E$495,4,FALSE)</f>
        <v>5000</v>
      </c>
      <c r="H4484" s="5">
        <f t="shared" si="213"/>
        <v>12000</v>
      </c>
      <c r="I4484" s="5">
        <f t="shared" si="214"/>
        <v>30000</v>
      </c>
      <c r="J4484" s="5">
        <f t="shared" si="215"/>
        <v>18000</v>
      </c>
      <c r="K4484" s="5" t="str">
        <f>VLOOKUP(C4484,[1]master_data!$A$2:$E$495,5,FALSE)</f>
        <v>Ikan</v>
      </c>
      <c r="L4484" s="5" t="s">
        <v>471</v>
      </c>
    </row>
    <row r="4485" spans="1:12" ht="12" customHeight="1" x14ac:dyDescent="0.25">
      <c r="A4485" s="6">
        <v>44566</v>
      </c>
      <c r="B4485" s="1">
        <v>2200078</v>
      </c>
      <c r="C4485" s="5" t="s">
        <v>446</v>
      </c>
      <c r="D4485" s="5" t="str">
        <f>VLOOKUP(C4485,[1]master_data!$A$2:$E$495,2,FALSE)</f>
        <v>REDFIN HITAM</v>
      </c>
      <c r="E4485" s="5">
        <v>2</v>
      </c>
      <c r="F4485" s="5">
        <f>VLOOKUP(C4485,[1]master_data!$A$2:$E$495,3,FALSE)</f>
        <v>1500</v>
      </c>
      <c r="G4485" s="5">
        <f>VLOOKUP(C4485,[1]master_data!$A$2:$E$495,4,FALSE)</f>
        <v>4000</v>
      </c>
      <c r="H4485" s="5">
        <f t="shared" ref="H4485:H4548" si="216">E4485*F4485</f>
        <v>3000</v>
      </c>
      <c r="I4485" s="5">
        <f t="shared" ref="I4485:I4548" si="217">E4485*G4485</f>
        <v>8000</v>
      </c>
      <c r="J4485" s="5">
        <f t="shared" ref="J4485:J4548" si="218">I4485-H4485</f>
        <v>5000</v>
      </c>
      <c r="K4485" s="5" t="str">
        <f>VLOOKUP(C4485,[1]master_data!$A$2:$E$495,5,FALSE)</f>
        <v>Ikan</v>
      </c>
      <c r="L4485" s="5" t="s">
        <v>471</v>
      </c>
    </row>
    <row r="4486" spans="1:12" ht="12" customHeight="1" x14ac:dyDescent="0.25">
      <c r="A4486" s="6">
        <v>44566</v>
      </c>
      <c r="B4486" s="1">
        <v>2200077</v>
      </c>
      <c r="C4486" s="5" t="s">
        <v>45</v>
      </c>
      <c r="D4486" s="5" t="str">
        <f>VLOOKUP(C4486,[1]master_data!$A$2:$E$495,2,FALSE)</f>
        <v>TOP FILTER NIKITA K</v>
      </c>
      <c r="E4486" s="5">
        <v>1</v>
      </c>
      <c r="F4486" s="5">
        <f>VLOOKUP(C4486,[1]master_data!$A$2:$E$495,3,FALSE)</f>
        <v>36000</v>
      </c>
      <c r="G4486" s="5">
        <f>VLOOKUP(C4486,[1]master_data!$A$2:$E$495,4,FALSE)</f>
        <v>55000</v>
      </c>
      <c r="H4486" s="5">
        <f t="shared" si="216"/>
        <v>36000</v>
      </c>
      <c r="I4486" s="5">
        <f t="shared" si="217"/>
        <v>55000</v>
      </c>
      <c r="J4486" s="5">
        <f t="shared" si="218"/>
        <v>19000</v>
      </c>
      <c r="K4486" s="5" t="str">
        <f>VLOOKUP(C4486,[1]master_data!$A$2:$E$495,5,FALSE)</f>
        <v>Aksesoris</v>
      </c>
      <c r="L4486" s="5" t="s">
        <v>471</v>
      </c>
    </row>
    <row r="4487" spans="1:12" ht="12" customHeight="1" x14ac:dyDescent="0.25">
      <c r="A4487" s="6">
        <v>44566</v>
      </c>
      <c r="B4487" s="1">
        <v>2200076</v>
      </c>
      <c r="C4487" s="5" t="s">
        <v>430</v>
      </c>
      <c r="D4487" s="5" t="str">
        <f>VLOOKUP(C4487,[1]master_data!$A$2:$E$495,2,FALSE)</f>
        <v>MANFISH K</v>
      </c>
      <c r="E4487" s="5">
        <v>3</v>
      </c>
      <c r="F4487" s="5">
        <f>VLOOKUP(C4487,[1]master_data!$A$2:$E$495,3,FALSE)</f>
        <v>2000</v>
      </c>
      <c r="G4487" s="5">
        <f>VLOOKUP(C4487,[1]master_data!$A$2:$E$495,4,FALSE)</f>
        <v>5000</v>
      </c>
      <c r="H4487" s="5">
        <f t="shared" si="216"/>
        <v>6000</v>
      </c>
      <c r="I4487" s="5">
        <f t="shared" si="217"/>
        <v>15000</v>
      </c>
      <c r="J4487" s="5">
        <f t="shared" si="218"/>
        <v>9000</v>
      </c>
      <c r="K4487" s="5" t="str">
        <f>VLOOKUP(C4487,[1]master_data!$A$2:$E$495,5,FALSE)</f>
        <v>Ikan</v>
      </c>
      <c r="L4487" s="5" t="s">
        <v>471</v>
      </c>
    </row>
    <row r="4488" spans="1:12" ht="12" customHeight="1" x14ac:dyDescent="0.25">
      <c r="A4488" s="6">
        <v>44566</v>
      </c>
      <c r="B4488" s="1">
        <v>2200075</v>
      </c>
      <c r="C4488" s="5" t="s">
        <v>233</v>
      </c>
      <c r="D4488" s="5" t="str">
        <f>VLOOKUP(C4488,[1]master_data!$A$2:$E$495,2,FALSE)</f>
        <v>FISH LOVE PAKAN</v>
      </c>
      <c r="E4488" s="5">
        <v>2</v>
      </c>
      <c r="F4488" s="5">
        <f>VLOOKUP(C4488,[1]master_data!$A$2:$E$495,3,FALSE)</f>
        <v>2500</v>
      </c>
      <c r="G4488" s="5">
        <f>VLOOKUP(C4488,[1]master_data!$A$2:$E$495,4,FALSE)</f>
        <v>5000</v>
      </c>
      <c r="H4488" s="5">
        <f t="shared" si="216"/>
        <v>5000</v>
      </c>
      <c r="I4488" s="5">
        <f t="shared" si="217"/>
        <v>10000</v>
      </c>
      <c r="J4488" s="5">
        <f t="shared" si="218"/>
        <v>5000</v>
      </c>
      <c r="K4488" s="5" t="str">
        <f>VLOOKUP(C4488,[1]master_data!$A$2:$E$495,5,FALSE)</f>
        <v>Aksesoris</v>
      </c>
      <c r="L4488" s="5" t="s">
        <v>471</v>
      </c>
    </row>
    <row r="4489" spans="1:12" ht="12" customHeight="1" x14ac:dyDescent="0.25">
      <c r="A4489" s="6">
        <v>44566</v>
      </c>
      <c r="B4489" s="1">
        <v>2200074</v>
      </c>
      <c r="C4489" s="5" t="s">
        <v>414</v>
      </c>
      <c r="D4489" s="5" t="str">
        <f>VLOOKUP(C4489,[1]master_data!$A$2:$E$495,2,FALSE)</f>
        <v>KOKI T</v>
      </c>
      <c r="E4489" s="5">
        <v>2</v>
      </c>
      <c r="F4489" s="5">
        <f>VLOOKUP(C4489,[1]master_data!$A$2:$E$495,3,FALSE)</f>
        <v>8000</v>
      </c>
      <c r="G4489" s="5">
        <f>VLOOKUP(C4489,[1]master_data!$A$2:$E$495,4,FALSE)</f>
        <v>15000</v>
      </c>
      <c r="H4489" s="5">
        <f t="shared" si="216"/>
        <v>16000</v>
      </c>
      <c r="I4489" s="5">
        <f t="shared" si="217"/>
        <v>30000</v>
      </c>
      <c r="J4489" s="5">
        <f t="shared" si="218"/>
        <v>14000</v>
      </c>
      <c r="K4489" s="5" t="str">
        <f>VLOOKUP(C4489,[1]master_data!$A$2:$E$495,5,FALSE)</f>
        <v>Ikan</v>
      </c>
      <c r="L4489" s="5" t="s">
        <v>471</v>
      </c>
    </row>
    <row r="4490" spans="1:12" ht="12" customHeight="1" x14ac:dyDescent="0.25">
      <c r="A4490" s="6">
        <v>44566</v>
      </c>
      <c r="B4490" s="1">
        <v>2200073</v>
      </c>
      <c r="C4490" s="5" t="s">
        <v>447</v>
      </c>
      <c r="D4490" s="5" t="str">
        <f>VLOOKUP(C4490,[1]master_data!$A$2:$E$495,2,FALSE)</f>
        <v>REDFIN ALBINO</v>
      </c>
      <c r="E4490" s="5">
        <v>2</v>
      </c>
      <c r="F4490" s="5">
        <f>VLOOKUP(C4490,[1]master_data!$A$2:$E$495,3,FALSE)</f>
        <v>1500</v>
      </c>
      <c r="G4490" s="5">
        <f>VLOOKUP(C4490,[1]master_data!$A$2:$E$495,4,FALSE)</f>
        <v>4000</v>
      </c>
      <c r="H4490" s="5">
        <f t="shared" si="216"/>
        <v>3000</v>
      </c>
      <c r="I4490" s="5">
        <f t="shared" si="217"/>
        <v>8000</v>
      </c>
      <c r="J4490" s="5">
        <f t="shared" si="218"/>
        <v>5000</v>
      </c>
      <c r="K4490" s="5" t="str">
        <f>VLOOKUP(C4490,[1]master_data!$A$2:$E$495,5,FALSE)</f>
        <v>Ikan</v>
      </c>
      <c r="L4490" s="5" t="s">
        <v>471</v>
      </c>
    </row>
    <row r="4491" spans="1:12" ht="12" customHeight="1" x14ac:dyDescent="0.25">
      <c r="A4491" s="6">
        <v>44566</v>
      </c>
      <c r="B4491" s="1">
        <v>2200072</v>
      </c>
      <c r="C4491" s="5" t="s">
        <v>405</v>
      </c>
      <c r="D4491" s="5" t="str">
        <f>VLOOKUP(C4491,[1]master_data!$A$2:$E$495,2,FALSE)</f>
        <v>KOMET BOKIM</v>
      </c>
      <c r="E4491" s="5">
        <v>5</v>
      </c>
      <c r="F4491" s="5">
        <f>VLOOKUP(C4491,[1]master_data!$A$2:$E$495,3,FALSE)</f>
        <v>1500</v>
      </c>
      <c r="G4491" s="5">
        <f>VLOOKUP(C4491,[1]master_data!$A$2:$E$495,4,FALSE)</f>
        <v>5000</v>
      </c>
      <c r="H4491" s="5">
        <f t="shared" si="216"/>
        <v>7500</v>
      </c>
      <c r="I4491" s="5">
        <f t="shared" si="217"/>
        <v>25000</v>
      </c>
      <c r="J4491" s="5">
        <f t="shared" si="218"/>
        <v>17500</v>
      </c>
      <c r="K4491" s="5" t="str">
        <f>VLOOKUP(C4491,[1]master_data!$A$2:$E$495,5,FALSE)</f>
        <v>Ikan</v>
      </c>
      <c r="L4491" s="5" t="s">
        <v>471</v>
      </c>
    </row>
    <row r="4492" spans="1:12" ht="12" customHeight="1" x14ac:dyDescent="0.25">
      <c r="A4492" s="6">
        <v>44566</v>
      </c>
      <c r="B4492" s="1">
        <v>2200071</v>
      </c>
      <c r="C4492" s="5" t="s">
        <v>411</v>
      </c>
      <c r="D4492" s="5" t="str">
        <f>VLOOKUP(C4492,[1]master_data!$A$2:$E$495,2,FALSE)</f>
        <v>GOLDEN BLACK</v>
      </c>
      <c r="E4492" s="5">
        <v>10</v>
      </c>
      <c r="F4492" s="5">
        <f>VLOOKUP(C4492,[1]master_data!$A$2:$E$495,3,FALSE)</f>
        <v>800</v>
      </c>
      <c r="G4492" s="5">
        <f>VLOOKUP(C4492,[1]master_data!$A$2:$E$495,4,FALSE)</f>
        <v>2000</v>
      </c>
      <c r="H4492" s="5">
        <f t="shared" si="216"/>
        <v>8000</v>
      </c>
      <c r="I4492" s="5">
        <f t="shared" si="217"/>
        <v>20000</v>
      </c>
      <c r="J4492" s="5">
        <f t="shared" si="218"/>
        <v>12000</v>
      </c>
      <c r="K4492" s="5" t="str">
        <f>VLOOKUP(C4492,[1]master_data!$A$2:$E$495,5,FALSE)</f>
        <v>Ikan</v>
      </c>
      <c r="L4492" s="5" t="s">
        <v>471</v>
      </c>
    </row>
    <row r="4493" spans="1:12" ht="12" customHeight="1" x14ac:dyDescent="0.25">
      <c r="A4493" s="6">
        <v>44566</v>
      </c>
      <c r="B4493" s="1">
        <v>2200070</v>
      </c>
      <c r="C4493" s="5" t="s">
        <v>310</v>
      </c>
      <c r="D4493" s="5" t="str">
        <f>VLOOKUP(C4493,[1]master_data!$A$2:$E$495,2,FALSE)</f>
        <v>SELANG FUSO</v>
      </c>
      <c r="E4493" s="5">
        <v>5</v>
      </c>
      <c r="F4493" s="5">
        <f>VLOOKUP(C4493,[1]master_data!$A$2:$E$495,3,FALSE)</f>
        <v>800</v>
      </c>
      <c r="G4493" s="5">
        <f>VLOOKUP(C4493,[1]master_data!$A$2:$E$495,4,FALSE)</f>
        <v>2000</v>
      </c>
      <c r="H4493" s="5">
        <f t="shared" si="216"/>
        <v>4000</v>
      </c>
      <c r="I4493" s="5">
        <f t="shared" si="217"/>
        <v>10000</v>
      </c>
      <c r="J4493" s="5">
        <f t="shared" si="218"/>
        <v>6000</v>
      </c>
      <c r="K4493" s="5" t="str">
        <f>VLOOKUP(C4493,[1]master_data!$A$2:$E$495,5,FALSE)</f>
        <v>Aksesoris</v>
      </c>
      <c r="L4493" s="5" t="s">
        <v>471</v>
      </c>
    </row>
    <row r="4494" spans="1:12" ht="12" customHeight="1" x14ac:dyDescent="0.25">
      <c r="A4494" s="6">
        <v>44565</v>
      </c>
      <c r="B4494" s="1">
        <v>2200069</v>
      </c>
      <c r="C4494" s="5" t="s">
        <v>303</v>
      </c>
      <c r="D4494" s="5" t="str">
        <f>VLOOKUP(C4494,[1]master_data!$A$2:$E$495,2,FALSE)</f>
        <v>PIPA LONJOR 2 M</v>
      </c>
      <c r="E4494" s="5">
        <v>1</v>
      </c>
      <c r="F4494" s="5">
        <f>VLOOKUP(C4494,[1]master_data!$A$2:$E$495,3,FALSE)</f>
        <v>5000</v>
      </c>
      <c r="G4494" s="5">
        <f>VLOOKUP(C4494,[1]master_data!$A$2:$E$495,4,FALSE)</f>
        <v>10000</v>
      </c>
      <c r="H4494" s="5">
        <f t="shared" si="216"/>
        <v>5000</v>
      </c>
      <c r="I4494" s="5">
        <f t="shared" si="217"/>
        <v>10000</v>
      </c>
      <c r="J4494" s="5">
        <f t="shared" si="218"/>
        <v>5000</v>
      </c>
      <c r="K4494" s="5" t="str">
        <f>VLOOKUP(C4494,[1]master_data!$A$2:$E$495,5,FALSE)</f>
        <v>Aksesoris</v>
      </c>
      <c r="L4494" s="5" t="s">
        <v>471</v>
      </c>
    </row>
    <row r="4495" spans="1:12" ht="12" customHeight="1" x14ac:dyDescent="0.25">
      <c r="A4495" s="6">
        <v>44565</v>
      </c>
      <c r="B4495" s="1">
        <v>2200068</v>
      </c>
      <c r="C4495" s="5" t="s">
        <v>413</v>
      </c>
      <c r="D4495" s="5" t="str">
        <f>VLOOKUP(C4495,[1]master_data!$A$2:$E$495,2,FALSE)</f>
        <v>KOKI K</v>
      </c>
      <c r="E4495" s="5">
        <v>2</v>
      </c>
      <c r="F4495" s="5">
        <f>VLOOKUP(C4495,[1]master_data!$A$2:$E$495,3,FALSE)</f>
        <v>3500</v>
      </c>
      <c r="G4495" s="5">
        <f>VLOOKUP(C4495,[1]master_data!$A$2:$E$495,4,FALSE)</f>
        <v>10000</v>
      </c>
      <c r="H4495" s="5">
        <f t="shared" si="216"/>
        <v>7000</v>
      </c>
      <c r="I4495" s="5">
        <f t="shared" si="217"/>
        <v>20000</v>
      </c>
      <c r="J4495" s="5">
        <f t="shared" si="218"/>
        <v>13000</v>
      </c>
      <c r="K4495" s="5" t="str">
        <f>VLOOKUP(C4495,[1]master_data!$A$2:$E$495,5,FALSE)</f>
        <v>Ikan</v>
      </c>
      <c r="L4495" s="5" t="s">
        <v>471</v>
      </c>
    </row>
    <row r="4496" spans="1:12" ht="12" customHeight="1" x14ac:dyDescent="0.25">
      <c r="A4496" s="6">
        <v>44565</v>
      </c>
      <c r="B4496" s="1">
        <v>2200067</v>
      </c>
      <c r="C4496" s="5" t="s">
        <v>432</v>
      </c>
      <c r="D4496" s="5" t="str">
        <f>VLOOKUP(C4496,[1]master_data!$A$2:$E$495,2,FALSE)</f>
        <v>MARU K</v>
      </c>
      <c r="E4496" s="5">
        <v>5</v>
      </c>
      <c r="F4496" s="5">
        <f>VLOOKUP(C4496,[1]master_data!$A$2:$E$495,3,FALSE)</f>
        <v>23000</v>
      </c>
      <c r="G4496" s="5">
        <f>VLOOKUP(C4496,[1]master_data!$A$2:$E$495,4,FALSE)</f>
        <v>50000</v>
      </c>
      <c r="H4496" s="5">
        <f t="shared" si="216"/>
        <v>115000</v>
      </c>
      <c r="I4496" s="5">
        <f t="shared" si="217"/>
        <v>250000</v>
      </c>
      <c r="J4496" s="5">
        <f t="shared" si="218"/>
        <v>135000</v>
      </c>
      <c r="K4496" s="5" t="str">
        <f>VLOOKUP(C4496,[1]master_data!$A$2:$E$495,5,FALSE)</f>
        <v>Ikan</v>
      </c>
      <c r="L4496" s="5" t="s">
        <v>471</v>
      </c>
    </row>
    <row r="4497" spans="1:12" ht="12" customHeight="1" x14ac:dyDescent="0.25">
      <c r="A4497" s="6">
        <v>44565</v>
      </c>
      <c r="B4497" s="1">
        <v>2200066</v>
      </c>
      <c r="C4497" s="5" t="s">
        <v>414</v>
      </c>
      <c r="D4497" s="5" t="str">
        <f>VLOOKUP(C4497,[1]master_data!$A$2:$E$495,2,FALSE)</f>
        <v>KOKI T</v>
      </c>
      <c r="E4497" s="5">
        <v>3</v>
      </c>
      <c r="F4497" s="5">
        <f>VLOOKUP(C4497,[1]master_data!$A$2:$E$495,3,FALSE)</f>
        <v>8000</v>
      </c>
      <c r="G4497" s="5">
        <f>VLOOKUP(C4497,[1]master_data!$A$2:$E$495,4,FALSE)</f>
        <v>15000</v>
      </c>
      <c r="H4497" s="5">
        <f t="shared" si="216"/>
        <v>24000</v>
      </c>
      <c r="I4497" s="5">
        <f t="shared" si="217"/>
        <v>45000</v>
      </c>
      <c r="J4497" s="5">
        <f t="shared" si="218"/>
        <v>21000</v>
      </c>
      <c r="K4497" s="5" t="str">
        <f>VLOOKUP(C4497,[1]master_data!$A$2:$E$495,5,FALSE)</f>
        <v>Ikan</v>
      </c>
      <c r="L4497" s="5" t="s">
        <v>471</v>
      </c>
    </row>
    <row r="4498" spans="1:12" ht="12" customHeight="1" x14ac:dyDescent="0.25">
      <c r="A4498" s="6">
        <v>44565</v>
      </c>
      <c r="B4498" s="1">
        <v>2200065</v>
      </c>
      <c r="C4498" s="5" t="s">
        <v>435</v>
      </c>
      <c r="D4498" s="5" t="str">
        <f>VLOOKUP(C4498,[1]master_data!$A$2:$E$495,2,FALSE)</f>
        <v>MOLI BALON</v>
      </c>
      <c r="E4498" s="5">
        <v>5</v>
      </c>
      <c r="F4498" s="5">
        <f>VLOOKUP(C4498,[1]master_data!$A$2:$E$495,3,FALSE)</f>
        <v>800</v>
      </c>
      <c r="G4498" s="5">
        <f>VLOOKUP(C4498,[1]master_data!$A$2:$E$495,4,FALSE)</f>
        <v>2000</v>
      </c>
      <c r="H4498" s="5">
        <f t="shared" si="216"/>
        <v>4000</v>
      </c>
      <c r="I4498" s="5">
        <f t="shared" si="217"/>
        <v>10000</v>
      </c>
      <c r="J4498" s="5">
        <f t="shared" si="218"/>
        <v>6000</v>
      </c>
      <c r="K4498" s="5" t="str">
        <f>VLOOKUP(C4498,[1]master_data!$A$2:$E$495,5,FALSE)</f>
        <v>Ikan</v>
      </c>
      <c r="L4498" s="5" t="s">
        <v>471</v>
      </c>
    </row>
    <row r="4499" spans="1:12" ht="12" customHeight="1" x14ac:dyDescent="0.25">
      <c r="A4499" s="6">
        <v>44565</v>
      </c>
      <c r="B4499" s="1">
        <v>2200064</v>
      </c>
      <c r="C4499" s="5" t="s">
        <v>285</v>
      </c>
      <c r="D4499" s="5" t="str">
        <f>VLOOKUP(C4499,[1]master_data!$A$2:$E$495,2,FALSE)</f>
        <v>KAPAS 4 LAPIS</v>
      </c>
      <c r="E4499" s="5">
        <v>1</v>
      </c>
      <c r="F4499" s="5">
        <f>VLOOKUP(C4499,[1]master_data!$A$2:$E$495,3,FALSE)</f>
        <v>6500</v>
      </c>
      <c r="G4499" s="5">
        <f>VLOOKUP(C4499,[1]master_data!$A$2:$E$495,4,FALSE)</f>
        <v>10000</v>
      </c>
      <c r="H4499" s="5">
        <f t="shared" si="216"/>
        <v>6500</v>
      </c>
      <c r="I4499" s="5">
        <f t="shared" si="217"/>
        <v>10000</v>
      </c>
      <c r="J4499" s="5">
        <f t="shared" si="218"/>
        <v>3500</v>
      </c>
      <c r="K4499" s="5" t="str">
        <f>VLOOKUP(C4499,[1]master_data!$A$2:$E$495,5,FALSE)</f>
        <v>Aksesoris</v>
      </c>
      <c r="L4499" s="5" t="s">
        <v>471</v>
      </c>
    </row>
    <row r="4500" spans="1:12" ht="12" customHeight="1" x14ac:dyDescent="0.25">
      <c r="A4500" s="6">
        <v>44565</v>
      </c>
      <c r="B4500" s="1">
        <v>2200063</v>
      </c>
      <c r="C4500" s="5" t="s">
        <v>414</v>
      </c>
      <c r="D4500" s="5" t="str">
        <f>VLOOKUP(C4500,[1]master_data!$A$2:$E$495,2,FALSE)</f>
        <v>KOKI T</v>
      </c>
      <c r="E4500" s="5">
        <v>4</v>
      </c>
      <c r="F4500" s="5">
        <f>VLOOKUP(C4500,[1]master_data!$A$2:$E$495,3,FALSE)</f>
        <v>8000</v>
      </c>
      <c r="G4500" s="5">
        <f>VLOOKUP(C4500,[1]master_data!$A$2:$E$495,4,FALSE)</f>
        <v>15000</v>
      </c>
      <c r="H4500" s="5">
        <f t="shared" si="216"/>
        <v>32000</v>
      </c>
      <c r="I4500" s="5">
        <f t="shared" si="217"/>
        <v>60000</v>
      </c>
      <c r="J4500" s="5">
        <f t="shared" si="218"/>
        <v>28000</v>
      </c>
      <c r="K4500" s="5" t="str">
        <f>VLOOKUP(C4500,[1]master_data!$A$2:$E$495,5,FALSE)</f>
        <v>Ikan</v>
      </c>
      <c r="L4500" s="5" t="s">
        <v>471</v>
      </c>
    </row>
    <row r="4501" spans="1:12" ht="12" customHeight="1" x14ac:dyDescent="0.25">
      <c r="A4501" s="6">
        <v>44565</v>
      </c>
      <c r="B4501" s="1">
        <v>2200062</v>
      </c>
      <c r="C4501" s="5" t="s">
        <v>328</v>
      </c>
      <c r="D4501" s="5" t="str">
        <f>VLOOKUP(C4501,[1]master_data!$A$2:$E$495,2,FALSE)</f>
        <v>AIRSONE PUTIH</v>
      </c>
      <c r="E4501" s="5">
        <v>1</v>
      </c>
      <c r="F4501" s="5">
        <f>VLOOKUP(C4501,[1]master_data!$A$2:$E$495,3,FALSE)</f>
        <v>3000</v>
      </c>
      <c r="G4501" s="5">
        <f>VLOOKUP(C4501,[1]master_data!$A$2:$E$495,4,FALSE)</f>
        <v>5000</v>
      </c>
      <c r="H4501" s="5">
        <f t="shared" si="216"/>
        <v>3000</v>
      </c>
      <c r="I4501" s="5">
        <f t="shared" si="217"/>
        <v>5000</v>
      </c>
      <c r="J4501" s="5">
        <f t="shared" si="218"/>
        <v>2000</v>
      </c>
      <c r="K4501" s="5" t="str">
        <f>VLOOKUP(C4501,[1]master_data!$A$2:$E$495,5,FALSE)</f>
        <v>Aksesoris</v>
      </c>
      <c r="L4501" s="5" t="s">
        <v>471</v>
      </c>
    </row>
    <row r="4502" spans="1:12" ht="12" customHeight="1" x14ac:dyDescent="0.25">
      <c r="A4502" s="6">
        <v>44565</v>
      </c>
      <c r="B4502" s="1">
        <v>2200061</v>
      </c>
      <c r="C4502" s="5" t="s">
        <v>311</v>
      </c>
      <c r="D4502" s="5" t="str">
        <f>VLOOKUP(C4502,[1]master_data!$A$2:$E$495,2,FALSE)</f>
        <v>L PIPA</v>
      </c>
      <c r="E4502" s="5">
        <v>3</v>
      </c>
      <c r="F4502" s="5">
        <f>VLOOKUP(C4502,[1]master_data!$A$2:$E$495,3,FALSE)</f>
        <v>800</v>
      </c>
      <c r="G4502" s="5">
        <f>VLOOKUP(C4502,[1]master_data!$A$2:$E$495,4,FALSE)</f>
        <v>2000</v>
      </c>
      <c r="H4502" s="5">
        <f t="shared" si="216"/>
        <v>2400</v>
      </c>
      <c r="I4502" s="5">
        <f t="shared" si="217"/>
        <v>6000</v>
      </c>
      <c r="J4502" s="5">
        <f t="shared" si="218"/>
        <v>3600</v>
      </c>
      <c r="K4502" s="5" t="str">
        <f>VLOOKUP(C4502,[1]master_data!$A$2:$E$495,5,FALSE)</f>
        <v>Aksesoris</v>
      </c>
      <c r="L4502" s="5" t="s">
        <v>471</v>
      </c>
    </row>
    <row r="4503" spans="1:12" ht="12" customHeight="1" x14ac:dyDescent="0.25">
      <c r="A4503" s="6">
        <v>44565</v>
      </c>
      <c r="B4503" s="1">
        <v>2200060</v>
      </c>
      <c r="C4503" s="5" t="s">
        <v>430</v>
      </c>
      <c r="D4503" s="5" t="str">
        <f>VLOOKUP(C4503,[1]master_data!$A$2:$E$495,2,FALSE)</f>
        <v>MANFISH K</v>
      </c>
      <c r="E4503" s="5">
        <v>2</v>
      </c>
      <c r="F4503" s="5">
        <f>VLOOKUP(C4503,[1]master_data!$A$2:$E$495,3,FALSE)</f>
        <v>2000</v>
      </c>
      <c r="G4503" s="5">
        <f>VLOOKUP(C4503,[1]master_data!$A$2:$E$495,4,FALSE)</f>
        <v>5000</v>
      </c>
      <c r="H4503" s="5">
        <f t="shared" si="216"/>
        <v>4000</v>
      </c>
      <c r="I4503" s="5">
        <f t="shared" si="217"/>
        <v>10000</v>
      </c>
      <c r="J4503" s="5">
        <f t="shared" si="218"/>
        <v>6000</v>
      </c>
      <c r="K4503" s="5" t="str">
        <f>VLOOKUP(C4503,[1]master_data!$A$2:$E$495,5,FALSE)</f>
        <v>Ikan</v>
      </c>
      <c r="L4503" s="5" t="s">
        <v>471</v>
      </c>
    </row>
    <row r="4504" spans="1:12" ht="12" customHeight="1" x14ac:dyDescent="0.25">
      <c r="A4504" s="6">
        <v>44565</v>
      </c>
      <c r="B4504" s="1">
        <v>2200059</v>
      </c>
      <c r="C4504" s="5" t="s">
        <v>455</v>
      </c>
      <c r="D4504" s="5" t="str">
        <f>VLOOKUP(C4504,[1]master_data!$A$2:$E$495,2,FALSE)</f>
        <v>TETRA</v>
      </c>
      <c r="E4504" s="5">
        <v>5</v>
      </c>
      <c r="F4504" s="5">
        <f>VLOOKUP(C4504,[1]master_data!$A$2:$E$495,3,FALSE)</f>
        <v>800</v>
      </c>
      <c r="G4504" s="5">
        <f>VLOOKUP(C4504,[1]master_data!$A$2:$E$495,4,FALSE)</f>
        <v>2000</v>
      </c>
      <c r="H4504" s="5">
        <f t="shared" si="216"/>
        <v>4000</v>
      </c>
      <c r="I4504" s="5">
        <f t="shared" si="217"/>
        <v>10000</v>
      </c>
      <c r="J4504" s="5">
        <f t="shared" si="218"/>
        <v>6000</v>
      </c>
      <c r="K4504" s="5" t="str">
        <f>VLOOKUP(C4504,[1]master_data!$A$2:$E$495,5,FALSE)</f>
        <v>Ikan</v>
      </c>
      <c r="L4504" s="5" t="s">
        <v>471</v>
      </c>
    </row>
    <row r="4505" spans="1:12" ht="12" customHeight="1" x14ac:dyDescent="0.25">
      <c r="A4505" s="6">
        <v>44565</v>
      </c>
      <c r="B4505" s="1">
        <v>2200058</v>
      </c>
      <c r="C4505" s="5" t="s">
        <v>410</v>
      </c>
      <c r="D4505" s="5" t="str">
        <f>VLOOKUP(C4505,[1]master_data!$A$2:$E$495,2,FALSE)</f>
        <v>GUPY</v>
      </c>
      <c r="E4505" s="5">
        <v>6</v>
      </c>
      <c r="F4505" s="5">
        <f>VLOOKUP(C4505,[1]master_data!$A$2:$E$495,3,FALSE)</f>
        <v>1200</v>
      </c>
      <c r="G4505" s="5">
        <f>VLOOKUP(C4505,[1]master_data!$A$2:$E$495,4,FALSE)</f>
        <v>2500</v>
      </c>
      <c r="H4505" s="5">
        <f t="shared" si="216"/>
        <v>7200</v>
      </c>
      <c r="I4505" s="5">
        <f t="shared" si="217"/>
        <v>15000</v>
      </c>
      <c r="J4505" s="5">
        <f t="shared" si="218"/>
        <v>7800</v>
      </c>
      <c r="K4505" s="5" t="str">
        <f>VLOOKUP(C4505,[1]master_data!$A$2:$E$495,5,FALSE)</f>
        <v>Ikan</v>
      </c>
      <c r="L4505" s="5" t="s">
        <v>471</v>
      </c>
    </row>
    <row r="4506" spans="1:12" ht="12" customHeight="1" x14ac:dyDescent="0.25">
      <c r="A4506" s="6">
        <v>44565</v>
      </c>
      <c r="B4506" s="1">
        <v>2200057</v>
      </c>
      <c r="C4506" s="5" t="s">
        <v>115</v>
      </c>
      <c r="D4506" s="5" t="str">
        <f>VLOOKUP(C4506,[1]master_data!$A$2:$E$495,2,FALSE)</f>
        <v>LED ROSTON 30 CM</v>
      </c>
      <c r="E4506" s="5">
        <v>1</v>
      </c>
      <c r="F4506" s="5">
        <f>VLOOKUP(C4506,[1]master_data!$A$2:$E$495,3,FALSE)</f>
        <v>21000</v>
      </c>
      <c r="G4506" s="5">
        <f>VLOOKUP(C4506,[1]master_data!$A$2:$E$495,4,FALSE)</f>
        <v>35000</v>
      </c>
      <c r="H4506" s="5">
        <f t="shared" si="216"/>
        <v>21000</v>
      </c>
      <c r="I4506" s="5">
        <f t="shared" si="217"/>
        <v>35000</v>
      </c>
      <c r="J4506" s="5">
        <f t="shared" si="218"/>
        <v>14000</v>
      </c>
      <c r="K4506" s="5" t="str">
        <f>VLOOKUP(C4506,[1]master_data!$A$2:$E$495,5,FALSE)</f>
        <v>Aksesoris</v>
      </c>
      <c r="L4506" s="5" t="s">
        <v>471</v>
      </c>
    </row>
    <row r="4507" spans="1:12" ht="12" customHeight="1" x14ac:dyDescent="0.25">
      <c r="A4507" s="6">
        <v>44565</v>
      </c>
      <c r="B4507" s="1">
        <v>2200056</v>
      </c>
      <c r="C4507" s="5" t="s">
        <v>411</v>
      </c>
      <c r="D4507" s="5" t="str">
        <f>VLOOKUP(C4507,[1]master_data!$A$2:$E$495,2,FALSE)</f>
        <v>GOLDEN BLACK</v>
      </c>
      <c r="E4507" s="5">
        <v>5</v>
      </c>
      <c r="F4507" s="5">
        <f>VLOOKUP(C4507,[1]master_data!$A$2:$E$495,3,FALSE)</f>
        <v>800</v>
      </c>
      <c r="G4507" s="5">
        <f>VLOOKUP(C4507,[1]master_data!$A$2:$E$495,4,FALSE)</f>
        <v>2000</v>
      </c>
      <c r="H4507" s="5">
        <f t="shared" si="216"/>
        <v>4000</v>
      </c>
      <c r="I4507" s="5">
        <f t="shared" si="217"/>
        <v>10000</v>
      </c>
      <c r="J4507" s="5">
        <f t="shared" si="218"/>
        <v>6000</v>
      </c>
      <c r="K4507" s="5" t="str">
        <f>VLOOKUP(C4507,[1]master_data!$A$2:$E$495,5,FALSE)</f>
        <v>Ikan</v>
      </c>
      <c r="L4507" s="5" t="s">
        <v>471</v>
      </c>
    </row>
    <row r="4508" spans="1:12" ht="12" customHeight="1" x14ac:dyDescent="0.25">
      <c r="A4508" s="6">
        <v>44565</v>
      </c>
      <c r="B4508" s="1">
        <v>2200055</v>
      </c>
      <c r="C4508" s="5" t="s">
        <v>409</v>
      </c>
      <c r="D4508" s="5" t="str">
        <f>VLOOKUP(C4508,[1]master_data!$A$2:$E$495,2,FALSE)</f>
        <v>GOLD FISH</v>
      </c>
      <c r="E4508" s="5">
        <v>5</v>
      </c>
      <c r="F4508" s="5">
        <f>VLOOKUP(C4508,[1]master_data!$A$2:$E$495,3,FALSE)</f>
        <v>800</v>
      </c>
      <c r="G4508" s="5">
        <f>VLOOKUP(C4508,[1]master_data!$A$2:$E$495,4,FALSE)</f>
        <v>2000</v>
      </c>
      <c r="H4508" s="5">
        <f t="shared" si="216"/>
        <v>4000</v>
      </c>
      <c r="I4508" s="5">
        <f t="shared" si="217"/>
        <v>10000</v>
      </c>
      <c r="J4508" s="5">
        <f t="shared" si="218"/>
        <v>6000</v>
      </c>
      <c r="K4508" s="5" t="str">
        <f>VLOOKUP(C4508,[1]master_data!$A$2:$E$495,5,FALSE)</f>
        <v>Ikan</v>
      </c>
      <c r="L4508" s="5" t="s">
        <v>471</v>
      </c>
    </row>
    <row r="4509" spans="1:12" ht="12" customHeight="1" x14ac:dyDescent="0.25">
      <c r="A4509" s="6">
        <v>44565</v>
      </c>
      <c r="B4509" s="1">
        <v>2200054</v>
      </c>
      <c r="C4509" s="5" t="s">
        <v>101</v>
      </c>
      <c r="D4509" s="5" t="str">
        <f>VLOOKUP(C4509,[1]master_data!$A$2:$E$495,2,FALSE)</f>
        <v>AIRATOR JINGYE LUB 1</v>
      </c>
      <c r="E4509" s="5">
        <v>1</v>
      </c>
      <c r="F4509" s="5">
        <f>VLOOKUP(C4509,[1]master_data!$A$2:$E$495,3,FALSE)</f>
        <v>20500</v>
      </c>
      <c r="G4509" s="5">
        <f>VLOOKUP(C4509,[1]master_data!$A$2:$E$495,4,FALSE)</f>
        <v>30000</v>
      </c>
      <c r="H4509" s="5">
        <f t="shared" si="216"/>
        <v>20500</v>
      </c>
      <c r="I4509" s="5">
        <f t="shared" si="217"/>
        <v>30000</v>
      </c>
      <c r="J4509" s="5">
        <f t="shared" si="218"/>
        <v>9500</v>
      </c>
      <c r="K4509" s="5" t="str">
        <f>VLOOKUP(C4509,[1]master_data!$A$2:$E$495,5,FALSE)</f>
        <v>Aksesoris</v>
      </c>
      <c r="L4509" s="5" t="s">
        <v>471</v>
      </c>
    </row>
    <row r="4510" spans="1:12" ht="12" customHeight="1" x14ac:dyDescent="0.25">
      <c r="A4510" s="6">
        <v>44565</v>
      </c>
      <c r="B4510" s="1">
        <v>2200053</v>
      </c>
      <c r="C4510" s="5" t="s">
        <v>412</v>
      </c>
      <c r="D4510" s="5" t="str">
        <f>VLOOKUP(C4510,[1]master_data!$A$2:$E$495,2,FALSE)</f>
        <v>HIU TAWAR</v>
      </c>
      <c r="E4510" s="5">
        <v>5</v>
      </c>
      <c r="F4510" s="5">
        <f>VLOOKUP(C4510,[1]master_data!$A$2:$E$495,3,FALSE)</f>
        <v>600</v>
      </c>
      <c r="G4510" s="5">
        <f>VLOOKUP(C4510,[1]master_data!$A$2:$E$495,4,FALSE)</f>
        <v>2000</v>
      </c>
      <c r="H4510" s="5">
        <f t="shared" si="216"/>
        <v>3000</v>
      </c>
      <c r="I4510" s="5">
        <f t="shared" si="217"/>
        <v>10000</v>
      </c>
      <c r="J4510" s="5">
        <f t="shared" si="218"/>
        <v>7000</v>
      </c>
      <c r="K4510" s="5" t="str">
        <f>VLOOKUP(C4510,[1]master_data!$A$2:$E$495,5,FALSE)</f>
        <v>Ikan</v>
      </c>
      <c r="L4510" s="5" t="s">
        <v>471</v>
      </c>
    </row>
    <row r="4511" spans="1:12" ht="12" customHeight="1" x14ac:dyDescent="0.25">
      <c r="A4511" s="6">
        <v>44565</v>
      </c>
      <c r="B4511" s="1">
        <v>2200052</v>
      </c>
      <c r="C4511" s="5" t="s">
        <v>450</v>
      </c>
      <c r="D4511" s="5" t="str">
        <f>VLOOKUP(C4511,[1]master_data!$A$2:$E$495,2,FALSE)</f>
        <v>SUMATRA BIASA</v>
      </c>
      <c r="E4511" s="5">
        <v>5</v>
      </c>
      <c r="F4511" s="5">
        <f>VLOOKUP(C4511,[1]master_data!$A$2:$E$495,3,FALSE)</f>
        <v>800</v>
      </c>
      <c r="G4511" s="5">
        <f>VLOOKUP(C4511,[1]master_data!$A$2:$E$495,4,FALSE)</f>
        <v>2000</v>
      </c>
      <c r="H4511" s="5">
        <f t="shared" si="216"/>
        <v>4000</v>
      </c>
      <c r="I4511" s="5">
        <f t="shared" si="217"/>
        <v>10000</v>
      </c>
      <c r="J4511" s="5">
        <f t="shared" si="218"/>
        <v>6000</v>
      </c>
      <c r="K4511" s="5" t="str">
        <f>VLOOKUP(C4511,[1]master_data!$A$2:$E$495,5,FALSE)</f>
        <v>Ikan</v>
      </c>
      <c r="L4511" s="5" t="s">
        <v>471</v>
      </c>
    </row>
    <row r="4512" spans="1:12" ht="12" customHeight="1" x14ac:dyDescent="0.25">
      <c r="A4512" s="6">
        <v>44565</v>
      </c>
      <c r="B4512" s="1">
        <v>2200051</v>
      </c>
      <c r="C4512" s="5" t="s">
        <v>203</v>
      </c>
      <c r="D4512" s="5" t="str">
        <f>VLOOKUP(C4512,[1]master_data!$A$2:$E$495,2,FALSE)</f>
        <v>HOKKY 3 IN 1</v>
      </c>
      <c r="E4512" s="5">
        <v>5</v>
      </c>
      <c r="F4512" s="5">
        <f>VLOOKUP(C4512,[1]master_data!$A$2:$E$495,3,FALSE)</f>
        <v>20000</v>
      </c>
      <c r="G4512" s="5">
        <f>VLOOKUP(C4512,[1]master_data!$A$2:$E$495,4,FALSE)</f>
        <v>30000</v>
      </c>
      <c r="H4512" s="5">
        <f t="shared" si="216"/>
        <v>100000</v>
      </c>
      <c r="I4512" s="5">
        <f t="shared" si="217"/>
        <v>150000</v>
      </c>
      <c r="J4512" s="5">
        <f t="shared" si="218"/>
        <v>50000</v>
      </c>
      <c r="K4512" s="5" t="str">
        <f>VLOOKUP(C4512,[1]master_data!$A$2:$E$495,5,FALSE)</f>
        <v>Aksesoris</v>
      </c>
      <c r="L4512" s="5" t="s">
        <v>471</v>
      </c>
    </row>
    <row r="4513" spans="1:12" ht="12" customHeight="1" x14ac:dyDescent="0.25">
      <c r="A4513" s="6">
        <v>44564</v>
      </c>
      <c r="B4513" s="1">
        <v>2200050</v>
      </c>
      <c r="C4513" s="5" t="s">
        <v>455</v>
      </c>
      <c r="D4513" s="5" t="str">
        <f>VLOOKUP(C4513,[1]master_data!$A$2:$E$495,2,FALSE)</f>
        <v>TETRA</v>
      </c>
      <c r="E4513" s="5">
        <v>5</v>
      </c>
      <c r="F4513" s="5">
        <f>VLOOKUP(C4513,[1]master_data!$A$2:$E$495,3,FALSE)</f>
        <v>800</v>
      </c>
      <c r="G4513" s="5">
        <f>VLOOKUP(C4513,[1]master_data!$A$2:$E$495,4,FALSE)</f>
        <v>2000</v>
      </c>
      <c r="H4513" s="5">
        <f t="shared" si="216"/>
        <v>4000</v>
      </c>
      <c r="I4513" s="5">
        <f t="shared" si="217"/>
        <v>10000</v>
      </c>
      <c r="J4513" s="5">
        <f t="shared" si="218"/>
        <v>6000</v>
      </c>
      <c r="K4513" s="5" t="str">
        <f>VLOOKUP(C4513,[1]master_data!$A$2:$E$495,5,FALSE)</f>
        <v>Ikan</v>
      </c>
      <c r="L4513" s="5" t="s">
        <v>471</v>
      </c>
    </row>
    <row r="4514" spans="1:12" ht="12" customHeight="1" x14ac:dyDescent="0.25">
      <c r="A4514" s="6">
        <v>44564</v>
      </c>
      <c r="B4514" s="1">
        <v>2200049</v>
      </c>
      <c r="C4514" s="5" t="s">
        <v>248</v>
      </c>
      <c r="D4514" s="5" t="str">
        <f>VLOOKUP(C4514,[1]master_data!$A$2:$E$495,2,FALSE)</f>
        <v>MATLINE BLUE</v>
      </c>
      <c r="E4514" s="5">
        <v>1</v>
      </c>
      <c r="F4514" s="5">
        <f>VLOOKUP(C4514,[1]master_data!$A$2:$E$495,3,FALSE)</f>
        <v>7000</v>
      </c>
      <c r="G4514" s="5">
        <f>VLOOKUP(C4514,[1]master_data!$A$2:$E$495,4,FALSE)</f>
        <v>10000</v>
      </c>
      <c r="H4514" s="5">
        <f t="shared" si="216"/>
        <v>7000</v>
      </c>
      <c r="I4514" s="5">
        <f t="shared" si="217"/>
        <v>10000</v>
      </c>
      <c r="J4514" s="5">
        <f t="shared" si="218"/>
        <v>3000</v>
      </c>
      <c r="K4514" s="5" t="str">
        <f>VLOOKUP(C4514,[1]master_data!$A$2:$E$495,5,FALSE)</f>
        <v>Aksesoris</v>
      </c>
      <c r="L4514" s="5" t="s">
        <v>471</v>
      </c>
    </row>
    <row r="4515" spans="1:12" ht="12" customHeight="1" x14ac:dyDescent="0.25">
      <c r="A4515" s="6">
        <v>44564</v>
      </c>
      <c r="B4515" s="1">
        <v>2200048</v>
      </c>
      <c r="C4515" s="5" t="s">
        <v>423</v>
      </c>
      <c r="D4515" s="5" t="str">
        <f>VLOOKUP(C4515,[1]master_data!$A$2:$E$495,2,FALSE)</f>
        <v>KOI SLAYER K</v>
      </c>
      <c r="E4515" s="5">
        <v>20</v>
      </c>
      <c r="F4515" s="5">
        <f>VLOOKUP(C4515,[1]master_data!$A$2:$E$495,3,FALSE)</f>
        <v>3500</v>
      </c>
      <c r="G4515" s="5">
        <f>VLOOKUP(C4515,[1]master_data!$A$2:$E$495,4,FALSE)</f>
        <v>10000</v>
      </c>
      <c r="H4515" s="5">
        <f t="shared" si="216"/>
        <v>70000</v>
      </c>
      <c r="I4515" s="5">
        <f t="shared" si="217"/>
        <v>200000</v>
      </c>
      <c r="J4515" s="5">
        <f t="shared" si="218"/>
        <v>130000</v>
      </c>
      <c r="K4515" s="5" t="str">
        <f>VLOOKUP(C4515,[1]master_data!$A$2:$E$495,5,FALSE)</f>
        <v>Ikan</v>
      </c>
      <c r="L4515" s="5" t="s">
        <v>471</v>
      </c>
    </row>
    <row r="4516" spans="1:12" ht="12" customHeight="1" x14ac:dyDescent="0.25">
      <c r="A4516" s="6">
        <v>44564</v>
      </c>
      <c r="B4516" s="1">
        <v>2200047</v>
      </c>
      <c r="C4516" s="5" t="s">
        <v>312</v>
      </c>
      <c r="D4516" s="5" t="str">
        <f>VLOOKUP(C4516,[1]master_data!$A$2:$E$495,2,FALSE)</f>
        <v>T PIPA</v>
      </c>
      <c r="E4516" s="5">
        <v>20</v>
      </c>
      <c r="F4516" s="5">
        <f>VLOOKUP(C4516,[1]master_data!$A$2:$E$495,3,FALSE)</f>
        <v>800</v>
      </c>
      <c r="G4516" s="5">
        <f>VLOOKUP(C4516,[1]master_data!$A$2:$E$495,4,FALSE)</f>
        <v>2000</v>
      </c>
      <c r="H4516" s="5">
        <f t="shared" si="216"/>
        <v>16000</v>
      </c>
      <c r="I4516" s="5">
        <f t="shared" si="217"/>
        <v>40000</v>
      </c>
      <c r="J4516" s="5">
        <f t="shared" si="218"/>
        <v>24000</v>
      </c>
      <c r="K4516" s="5" t="str">
        <f>VLOOKUP(C4516,[1]master_data!$A$2:$E$495,5,FALSE)</f>
        <v>Aksesoris</v>
      </c>
      <c r="L4516" s="5" t="s">
        <v>471</v>
      </c>
    </row>
    <row r="4517" spans="1:12" ht="12" customHeight="1" x14ac:dyDescent="0.25">
      <c r="A4517" s="6">
        <v>44564</v>
      </c>
      <c r="B4517" s="1">
        <v>2200046</v>
      </c>
      <c r="C4517" s="5" t="s">
        <v>311</v>
      </c>
      <c r="D4517" s="5" t="str">
        <f>VLOOKUP(C4517,[1]master_data!$A$2:$E$495,2,FALSE)</f>
        <v>L PIPA</v>
      </c>
      <c r="E4517" s="5">
        <v>20</v>
      </c>
      <c r="F4517" s="5">
        <f>VLOOKUP(C4517,[1]master_data!$A$2:$E$495,3,FALSE)</f>
        <v>800</v>
      </c>
      <c r="G4517" s="5">
        <f>VLOOKUP(C4517,[1]master_data!$A$2:$E$495,4,FALSE)</f>
        <v>2000</v>
      </c>
      <c r="H4517" s="5">
        <f t="shared" si="216"/>
        <v>16000</v>
      </c>
      <c r="I4517" s="5">
        <f t="shared" si="217"/>
        <v>40000</v>
      </c>
      <c r="J4517" s="5">
        <f t="shared" si="218"/>
        <v>24000</v>
      </c>
      <c r="K4517" s="5" t="str">
        <f>VLOOKUP(C4517,[1]master_data!$A$2:$E$495,5,FALSE)</f>
        <v>Aksesoris</v>
      </c>
      <c r="L4517" s="5" t="s">
        <v>471</v>
      </c>
    </row>
    <row r="4518" spans="1:12" ht="12" customHeight="1" x14ac:dyDescent="0.25">
      <c r="A4518" s="6">
        <v>44564</v>
      </c>
      <c r="B4518" s="1">
        <v>2200045</v>
      </c>
      <c r="C4518" s="5" t="s">
        <v>402</v>
      </c>
      <c r="D4518" s="5" t="str">
        <f>VLOOKUP(C4518,[1]master_data!$A$2:$E$495,2,FALSE)</f>
        <v>BLACK GHOST</v>
      </c>
      <c r="E4518" s="5">
        <v>10</v>
      </c>
      <c r="F4518" s="5">
        <f>VLOOKUP(C4518,[1]master_data!$A$2:$E$495,3,FALSE)</f>
        <v>4000</v>
      </c>
      <c r="G4518" s="5">
        <f>VLOOKUP(C4518,[1]master_data!$A$2:$E$495,4,FALSE)</f>
        <v>10000</v>
      </c>
      <c r="H4518" s="5">
        <f t="shared" si="216"/>
        <v>40000</v>
      </c>
      <c r="I4518" s="5">
        <f t="shared" si="217"/>
        <v>100000</v>
      </c>
      <c r="J4518" s="5">
        <f t="shared" si="218"/>
        <v>60000</v>
      </c>
      <c r="K4518" s="5" t="str">
        <f>VLOOKUP(C4518,[1]master_data!$A$2:$E$495,5,FALSE)</f>
        <v>Ikan</v>
      </c>
      <c r="L4518" s="5" t="s">
        <v>471</v>
      </c>
    </row>
    <row r="4519" spans="1:12" ht="12" customHeight="1" x14ac:dyDescent="0.25">
      <c r="A4519" s="6">
        <v>44564</v>
      </c>
      <c r="B4519" s="1">
        <v>2200044</v>
      </c>
      <c r="C4519" s="5" t="s">
        <v>410</v>
      </c>
      <c r="D4519" s="5" t="str">
        <f>VLOOKUP(C4519,[1]master_data!$A$2:$E$495,2,FALSE)</f>
        <v>GUPY</v>
      </c>
      <c r="E4519" s="5">
        <v>4</v>
      </c>
      <c r="F4519" s="5">
        <f>VLOOKUP(C4519,[1]master_data!$A$2:$E$495,3,FALSE)</f>
        <v>1200</v>
      </c>
      <c r="G4519" s="5">
        <f>VLOOKUP(C4519,[1]master_data!$A$2:$E$495,4,FALSE)</f>
        <v>2500</v>
      </c>
      <c r="H4519" s="5">
        <f t="shared" si="216"/>
        <v>4800</v>
      </c>
      <c r="I4519" s="5">
        <f t="shared" si="217"/>
        <v>10000</v>
      </c>
      <c r="J4519" s="5">
        <f t="shared" si="218"/>
        <v>5200</v>
      </c>
      <c r="K4519" s="5" t="str">
        <f>VLOOKUP(C4519,[1]master_data!$A$2:$E$495,5,FALSE)</f>
        <v>Ikan</v>
      </c>
      <c r="L4519" s="5" t="s">
        <v>471</v>
      </c>
    </row>
    <row r="4520" spans="1:12" ht="12" customHeight="1" x14ac:dyDescent="0.25">
      <c r="A4520" s="6">
        <v>44564</v>
      </c>
      <c r="B4520" s="1">
        <v>2200043</v>
      </c>
      <c r="C4520" s="5" t="s">
        <v>260</v>
      </c>
      <c r="D4520" s="5" t="str">
        <f>VLOOKUP(C4520,[1]master_data!$A$2:$E$495,2,FALSE)</f>
        <v>BUNGA K</v>
      </c>
      <c r="E4520" s="5">
        <v>1</v>
      </c>
      <c r="F4520" s="5">
        <f>VLOOKUP(C4520,[1]master_data!$A$2:$E$495,3,FALSE)</f>
        <v>2500</v>
      </c>
      <c r="G4520" s="5">
        <f>VLOOKUP(C4520,[1]master_data!$A$2:$E$495,4,FALSE)</f>
        <v>5000</v>
      </c>
      <c r="H4520" s="5">
        <f t="shared" si="216"/>
        <v>2500</v>
      </c>
      <c r="I4520" s="5">
        <f t="shared" si="217"/>
        <v>5000</v>
      </c>
      <c r="J4520" s="5">
        <f t="shared" si="218"/>
        <v>2500</v>
      </c>
      <c r="K4520" s="5" t="str">
        <f>VLOOKUP(C4520,[1]master_data!$A$2:$E$495,5,FALSE)</f>
        <v>Aksesoris</v>
      </c>
      <c r="L4520" s="5" t="s">
        <v>471</v>
      </c>
    </row>
    <row r="4521" spans="1:12" ht="12" customHeight="1" x14ac:dyDescent="0.25">
      <c r="A4521" s="6">
        <v>44564</v>
      </c>
      <c r="B4521" s="1">
        <v>2200042</v>
      </c>
      <c r="C4521" s="5" t="s">
        <v>457</v>
      </c>
      <c r="D4521" s="5" t="str">
        <f>VLOOKUP(C4521,[1]master_data!$A$2:$E$495,2,FALSE)</f>
        <v>ZEBRA PINK</v>
      </c>
      <c r="E4521" s="5">
        <v>50</v>
      </c>
      <c r="F4521" s="5">
        <f>VLOOKUP(C4521,[1]master_data!$A$2:$E$495,3,FALSE)</f>
        <v>800</v>
      </c>
      <c r="G4521" s="5">
        <f>VLOOKUP(C4521,[1]master_data!$A$2:$E$495,4,FALSE)</f>
        <v>2000</v>
      </c>
      <c r="H4521" s="5">
        <f t="shared" si="216"/>
        <v>40000</v>
      </c>
      <c r="I4521" s="5">
        <f t="shared" si="217"/>
        <v>100000</v>
      </c>
      <c r="J4521" s="5">
        <f t="shared" si="218"/>
        <v>60000</v>
      </c>
      <c r="K4521" s="5" t="str">
        <f>VLOOKUP(C4521,[1]master_data!$A$2:$E$495,5,FALSE)</f>
        <v>Ikan</v>
      </c>
      <c r="L4521" s="5" t="s">
        <v>471</v>
      </c>
    </row>
    <row r="4522" spans="1:12" ht="12" customHeight="1" x14ac:dyDescent="0.25">
      <c r="A4522" s="6">
        <v>44564</v>
      </c>
      <c r="B4522" s="1">
        <v>2200041</v>
      </c>
      <c r="C4522" s="5" t="s">
        <v>256</v>
      </c>
      <c r="D4522" s="5" t="str">
        <f>VLOOKUP(C4522,[1]master_data!$A$2:$E$495,2,FALSE)</f>
        <v>BACKGROUND</v>
      </c>
      <c r="E4522" s="5">
        <v>0.5</v>
      </c>
      <c r="F4522" s="5">
        <f>VLOOKUP(C4522,[1]master_data!$A$2:$E$495,3,FALSE)</f>
        <v>8000</v>
      </c>
      <c r="G4522" s="5">
        <f>VLOOKUP(C4522,[1]master_data!$A$2:$E$495,4,FALSE)</f>
        <v>15000</v>
      </c>
      <c r="H4522" s="5">
        <f t="shared" si="216"/>
        <v>4000</v>
      </c>
      <c r="I4522" s="5">
        <f t="shared" si="217"/>
        <v>7500</v>
      </c>
      <c r="J4522" s="5">
        <f t="shared" si="218"/>
        <v>3500</v>
      </c>
      <c r="K4522" s="5" t="str">
        <f>VLOOKUP(C4522,[1]master_data!$A$2:$E$495,5,FALSE)</f>
        <v>Aksesoris</v>
      </c>
      <c r="L4522" s="5" t="s">
        <v>471</v>
      </c>
    </row>
    <row r="4523" spans="1:12" ht="12" customHeight="1" x14ac:dyDescent="0.25">
      <c r="A4523" s="6">
        <v>44564</v>
      </c>
      <c r="B4523" s="1">
        <v>2200040</v>
      </c>
      <c r="C4523" s="5" t="s">
        <v>309</v>
      </c>
      <c r="D4523" s="5" t="str">
        <f>VLOOKUP(C4523,[1]master_data!$A$2:$E$495,2,FALSE)</f>
        <v>SELANG SPIRAL</v>
      </c>
      <c r="E4523" s="5">
        <v>1</v>
      </c>
      <c r="F4523" s="5">
        <f>VLOOKUP(C4523,[1]master_data!$A$2:$E$495,3,FALSE)</f>
        <v>2600</v>
      </c>
      <c r="G4523" s="5">
        <f>VLOOKUP(C4523,[1]master_data!$A$2:$E$495,4,FALSE)</f>
        <v>5000</v>
      </c>
      <c r="H4523" s="5">
        <f t="shared" si="216"/>
        <v>2600</v>
      </c>
      <c r="I4523" s="5">
        <f t="shared" si="217"/>
        <v>5000</v>
      </c>
      <c r="J4523" s="5">
        <f t="shared" si="218"/>
        <v>2400</v>
      </c>
      <c r="K4523" s="5" t="str">
        <f>VLOOKUP(C4523,[1]master_data!$A$2:$E$495,5,FALSE)</f>
        <v>Aksesoris</v>
      </c>
      <c r="L4523" s="5" t="s">
        <v>471</v>
      </c>
    </row>
    <row r="4524" spans="1:12" ht="12" customHeight="1" x14ac:dyDescent="0.25">
      <c r="A4524" s="6">
        <v>44564</v>
      </c>
      <c r="B4524" s="1">
        <v>2200039</v>
      </c>
      <c r="C4524" s="5" t="s">
        <v>412</v>
      </c>
      <c r="D4524" s="5" t="str">
        <f>VLOOKUP(C4524,[1]master_data!$A$2:$E$495,2,FALSE)</f>
        <v>HIU TAWAR</v>
      </c>
      <c r="E4524" s="5">
        <v>3</v>
      </c>
      <c r="F4524" s="5">
        <f>VLOOKUP(C4524,[1]master_data!$A$2:$E$495,3,FALSE)</f>
        <v>600</v>
      </c>
      <c r="G4524" s="5">
        <f>VLOOKUP(C4524,[1]master_data!$A$2:$E$495,4,FALSE)</f>
        <v>2000</v>
      </c>
      <c r="H4524" s="5">
        <f t="shared" si="216"/>
        <v>1800</v>
      </c>
      <c r="I4524" s="5">
        <f t="shared" si="217"/>
        <v>6000</v>
      </c>
      <c r="J4524" s="5">
        <f t="shared" si="218"/>
        <v>4200</v>
      </c>
      <c r="K4524" s="5" t="str">
        <f>VLOOKUP(C4524,[1]master_data!$A$2:$E$495,5,FALSE)</f>
        <v>Ikan</v>
      </c>
      <c r="L4524" s="5" t="s">
        <v>471</v>
      </c>
    </row>
    <row r="4525" spans="1:12" ht="12" customHeight="1" x14ac:dyDescent="0.25">
      <c r="A4525" s="6">
        <v>44564</v>
      </c>
      <c r="B4525" s="1">
        <v>2200038</v>
      </c>
      <c r="C4525" s="5" t="s">
        <v>262</v>
      </c>
      <c r="D4525" s="5" t="str">
        <f>VLOOKUP(C4525,[1]master_data!$A$2:$E$495,2,FALSE)</f>
        <v>COP PIPA</v>
      </c>
      <c r="E4525" s="5">
        <v>3</v>
      </c>
      <c r="F4525" s="5">
        <f>VLOOKUP(C4525,[1]master_data!$A$2:$E$495,3,FALSE)</f>
        <v>800</v>
      </c>
      <c r="G4525" s="5">
        <f>VLOOKUP(C4525,[1]master_data!$A$2:$E$495,4,FALSE)</f>
        <v>2000</v>
      </c>
      <c r="H4525" s="5">
        <f t="shared" si="216"/>
        <v>2400</v>
      </c>
      <c r="I4525" s="5">
        <f t="shared" si="217"/>
        <v>6000</v>
      </c>
      <c r="J4525" s="5">
        <f t="shared" si="218"/>
        <v>3600</v>
      </c>
      <c r="K4525" s="5" t="str">
        <f>VLOOKUP(C4525,[1]master_data!$A$2:$E$495,5,FALSE)</f>
        <v>Aksesoris</v>
      </c>
      <c r="L4525" s="5" t="s">
        <v>471</v>
      </c>
    </row>
    <row r="4526" spans="1:12" ht="12" customHeight="1" x14ac:dyDescent="0.25">
      <c r="A4526" s="6">
        <v>44564</v>
      </c>
      <c r="B4526" s="1">
        <v>2200037</v>
      </c>
      <c r="C4526" s="5" t="s">
        <v>435</v>
      </c>
      <c r="D4526" s="5" t="str">
        <f>VLOOKUP(C4526,[1]master_data!$A$2:$E$495,2,FALSE)</f>
        <v>MOLI BALON</v>
      </c>
      <c r="E4526" s="5">
        <v>6</v>
      </c>
      <c r="F4526" s="5">
        <f>VLOOKUP(C4526,[1]master_data!$A$2:$E$495,3,FALSE)</f>
        <v>800</v>
      </c>
      <c r="G4526" s="5">
        <f>VLOOKUP(C4526,[1]master_data!$A$2:$E$495,4,FALSE)</f>
        <v>2000</v>
      </c>
      <c r="H4526" s="5">
        <f t="shared" si="216"/>
        <v>4800</v>
      </c>
      <c r="I4526" s="5">
        <f t="shared" si="217"/>
        <v>12000</v>
      </c>
      <c r="J4526" s="5">
        <f t="shared" si="218"/>
        <v>7200</v>
      </c>
      <c r="K4526" s="5" t="str">
        <f>VLOOKUP(C4526,[1]master_data!$A$2:$E$495,5,FALSE)</f>
        <v>Ikan</v>
      </c>
      <c r="L4526" s="5" t="s">
        <v>471</v>
      </c>
    </row>
    <row r="4527" spans="1:12" ht="12" customHeight="1" x14ac:dyDescent="0.25">
      <c r="A4527" s="6">
        <v>44564</v>
      </c>
      <c r="B4527" s="1">
        <v>2200036</v>
      </c>
      <c r="C4527" s="5" t="s">
        <v>267</v>
      </c>
      <c r="D4527" s="5" t="str">
        <f>VLOOKUP(C4527,[1]master_data!$A$2:$E$495,2,FALSE)</f>
        <v>GARAM</v>
      </c>
      <c r="E4527" s="5">
        <v>1</v>
      </c>
      <c r="F4527" s="5">
        <f>VLOOKUP(C4527,[1]master_data!$A$2:$E$495,3,FALSE)</f>
        <v>3000</v>
      </c>
      <c r="G4527" s="5">
        <f>VLOOKUP(C4527,[1]master_data!$A$2:$E$495,4,FALSE)</f>
        <v>5000</v>
      </c>
      <c r="H4527" s="5">
        <f t="shared" si="216"/>
        <v>3000</v>
      </c>
      <c r="I4527" s="5">
        <f t="shared" si="217"/>
        <v>5000</v>
      </c>
      <c r="J4527" s="5">
        <f t="shared" si="218"/>
        <v>2000</v>
      </c>
      <c r="K4527" s="5" t="str">
        <f>VLOOKUP(C4527,[1]master_data!$A$2:$E$495,5,FALSE)</f>
        <v>Aksesoris</v>
      </c>
      <c r="L4527" s="5" t="s">
        <v>471</v>
      </c>
    </row>
    <row r="4528" spans="1:12" ht="12" customHeight="1" x14ac:dyDescent="0.25">
      <c r="A4528" s="6">
        <v>44564</v>
      </c>
      <c r="B4528" s="1">
        <v>2200035</v>
      </c>
      <c r="C4528" s="5" t="s">
        <v>285</v>
      </c>
      <c r="D4528" s="5" t="str">
        <f>VLOOKUP(C4528,[1]master_data!$A$2:$E$495,2,FALSE)</f>
        <v>KAPAS 4 LAPIS</v>
      </c>
      <c r="E4528" s="5">
        <v>1</v>
      </c>
      <c r="F4528" s="5">
        <f>VLOOKUP(C4528,[1]master_data!$A$2:$E$495,3,FALSE)</f>
        <v>6500</v>
      </c>
      <c r="G4528" s="5">
        <f>VLOOKUP(C4528,[1]master_data!$A$2:$E$495,4,FALSE)</f>
        <v>10000</v>
      </c>
      <c r="H4528" s="5">
        <f t="shared" si="216"/>
        <v>6500</v>
      </c>
      <c r="I4528" s="5">
        <f t="shared" si="217"/>
        <v>10000</v>
      </c>
      <c r="J4528" s="5">
        <f t="shared" si="218"/>
        <v>3500</v>
      </c>
      <c r="K4528" s="5" t="str">
        <f>VLOOKUP(C4528,[1]master_data!$A$2:$E$495,5,FALSE)</f>
        <v>Aksesoris</v>
      </c>
      <c r="L4528" s="5" t="s">
        <v>471</v>
      </c>
    </row>
    <row r="4529" spans="1:12" ht="12" customHeight="1" x14ac:dyDescent="0.25">
      <c r="A4529" s="6">
        <v>44564</v>
      </c>
      <c r="B4529" s="1">
        <v>2200034</v>
      </c>
      <c r="C4529" s="5" t="s">
        <v>282</v>
      </c>
      <c r="D4529" s="5" t="str">
        <f>VLOOKUP(C4529,[1]master_data!$A$2:$E$495,2,FALSE)</f>
        <v>HIASAN KELAPA</v>
      </c>
      <c r="E4529" s="5">
        <v>1</v>
      </c>
      <c r="F4529" s="5">
        <f>VLOOKUP(C4529,[1]master_data!$A$2:$E$495,3,FALSE)</f>
        <v>8000</v>
      </c>
      <c r="G4529" s="5">
        <f>VLOOKUP(C4529,[1]master_data!$A$2:$E$495,4,FALSE)</f>
        <v>15000</v>
      </c>
      <c r="H4529" s="5">
        <f t="shared" si="216"/>
        <v>8000</v>
      </c>
      <c r="I4529" s="5">
        <f t="shared" si="217"/>
        <v>15000</v>
      </c>
      <c r="J4529" s="5">
        <f t="shared" si="218"/>
        <v>7000</v>
      </c>
      <c r="K4529" s="5" t="str">
        <f>VLOOKUP(C4529,[1]master_data!$A$2:$E$495,5,FALSE)</f>
        <v>Aksesoris</v>
      </c>
      <c r="L4529" s="5" t="s">
        <v>471</v>
      </c>
    </row>
    <row r="4530" spans="1:12" ht="12" customHeight="1" x14ac:dyDescent="0.25">
      <c r="A4530" s="6">
        <v>44563</v>
      </c>
      <c r="B4530" s="1">
        <v>2200033</v>
      </c>
      <c r="C4530" s="5" t="s">
        <v>420</v>
      </c>
      <c r="D4530" s="5" t="str">
        <f>VLOOKUP(C4530,[1]master_data!$A$2:$E$495,2,FALSE)</f>
        <v>KAVIAT</v>
      </c>
      <c r="E4530" s="5">
        <v>3</v>
      </c>
      <c r="F4530" s="5">
        <f>VLOOKUP(C4530,[1]master_data!$A$2:$E$495,3,FALSE)</f>
        <v>3500</v>
      </c>
      <c r="G4530" s="5">
        <f>VLOOKUP(C4530,[1]master_data!$A$2:$E$495,4,FALSE)</f>
        <v>8000</v>
      </c>
      <c r="H4530" s="5">
        <f t="shared" si="216"/>
        <v>10500</v>
      </c>
      <c r="I4530" s="5">
        <f t="shared" si="217"/>
        <v>24000</v>
      </c>
      <c r="J4530" s="5">
        <f t="shared" si="218"/>
        <v>13500</v>
      </c>
      <c r="K4530" s="5" t="str">
        <f>VLOOKUP(C4530,[1]master_data!$A$2:$E$495,5,FALSE)</f>
        <v>Ikan</v>
      </c>
      <c r="L4530" s="5" t="s">
        <v>471</v>
      </c>
    </row>
    <row r="4531" spans="1:12" ht="12" customHeight="1" x14ac:dyDescent="0.25">
      <c r="A4531" s="6">
        <v>44563</v>
      </c>
      <c r="B4531" s="1">
        <v>2200032</v>
      </c>
      <c r="C4531" s="5" t="s">
        <v>455</v>
      </c>
      <c r="D4531" s="5" t="str">
        <f>VLOOKUP(C4531,[1]master_data!$A$2:$E$495,2,FALSE)</f>
        <v>TETRA</v>
      </c>
      <c r="E4531" s="5">
        <v>4</v>
      </c>
      <c r="F4531" s="5">
        <f>VLOOKUP(C4531,[1]master_data!$A$2:$E$495,3,FALSE)</f>
        <v>800</v>
      </c>
      <c r="G4531" s="5">
        <f>VLOOKUP(C4531,[1]master_data!$A$2:$E$495,4,FALSE)</f>
        <v>2000</v>
      </c>
      <c r="H4531" s="5">
        <f t="shared" si="216"/>
        <v>3200</v>
      </c>
      <c r="I4531" s="5">
        <f t="shared" si="217"/>
        <v>8000</v>
      </c>
      <c r="J4531" s="5">
        <f t="shared" si="218"/>
        <v>4800</v>
      </c>
      <c r="K4531" s="5" t="str">
        <f>VLOOKUP(C4531,[1]master_data!$A$2:$E$495,5,FALSE)</f>
        <v>Ikan</v>
      </c>
      <c r="L4531" s="5" t="s">
        <v>471</v>
      </c>
    </row>
    <row r="4532" spans="1:12" ht="12" customHeight="1" x14ac:dyDescent="0.25">
      <c r="A4532" s="6">
        <v>44563</v>
      </c>
      <c r="B4532" s="1">
        <v>2200031</v>
      </c>
      <c r="C4532" s="5" t="s">
        <v>45</v>
      </c>
      <c r="D4532" s="5" t="str">
        <f>VLOOKUP(C4532,[1]master_data!$A$2:$E$495,2,FALSE)</f>
        <v>TOP FILTER NIKITA K</v>
      </c>
      <c r="E4532" s="5">
        <v>1</v>
      </c>
      <c r="F4532" s="5">
        <f>VLOOKUP(C4532,[1]master_data!$A$2:$E$495,3,FALSE)</f>
        <v>36000</v>
      </c>
      <c r="G4532" s="5">
        <f>VLOOKUP(C4532,[1]master_data!$A$2:$E$495,4,FALSE)</f>
        <v>55000</v>
      </c>
      <c r="H4532" s="5">
        <f t="shared" si="216"/>
        <v>36000</v>
      </c>
      <c r="I4532" s="5">
        <f t="shared" si="217"/>
        <v>55000</v>
      </c>
      <c r="J4532" s="5">
        <f t="shared" si="218"/>
        <v>19000</v>
      </c>
      <c r="K4532" s="5" t="str">
        <f>VLOOKUP(C4532,[1]master_data!$A$2:$E$495,5,FALSE)</f>
        <v>Aksesoris</v>
      </c>
      <c r="L4532" s="5" t="s">
        <v>471</v>
      </c>
    </row>
    <row r="4533" spans="1:12" ht="12" customHeight="1" x14ac:dyDescent="0.25">
      <c r="A4533" s="6">
        <v>44563</v>
      </c>
      <c r="B4533" s="1">
        <v>2200030</v>
      </c>
      <c r="C4533" s="5" t="s">
        <v>308</v>
      </c>
      <c r="D4533" s="5" t="str">
        <f>VLOOKUP(C4533,[1]master_data!$A$2:$E$495,2,FALSE)</f>
        <v>SUPER BLUE</v>
      </c>
      <c r="E4533" s="5">
        <v>1</v>
      </c>
      <c r="F4533" s="5">
        <f>VLOOKUP(C4533,[1]master_data!$A$2:$E$495,3,FALSE)</f>
        <v>8000</v>
      </c>
      <c r="G4533" s="5">
        <f>VLOOKUP(C4533,[1]master_data!$A$2:$E$495,4,FALSE)</f>
        <v>12000</v>
      </c>
      <c r="H4533" s="5">
        <f t="shared" si="216"/>
        <v>8000</v>
      </c>
      <c r="I4533" s="5">
        <f t="shared" si="217"/>
        <v>12000</v>
      </c>
      <c r="J4533" s="5">
        <f t="shared" si="218"/>
        <v>4000</v>
      </c>
      <c r="K4533" s="5" t="str">
        <f>VLOOKUP(C4533,[1]master_data!$A$2:$E$495,5,FALSE)</f>
        <v>Aksesoris</v>
      </c>
      <c r="L4533" s="5" t="s">
        <v>471</v>
      </c>
    </row>
    <row r="4534" spans="1:12" ht="12" customHeight="1" x14ac:dyDescent="0.25">
      <c r="A4534" s="6">
        <v>44563</v>
      </c>
      <c r="B4534" s="1">
        <v>2200029</v>
      </c>
      <c r="C4534" s="5" t="s">
        <v>127</v>
      </c>
      <c r="D4534" s="5" t="str">
        <f>VLOOKUP(C4534,[1]master_data!$A$2:$E$495,2,FALSE)</f>
        <v>LED YAMANO 3W</v>
      </c>
      <c r="E4534" s="5">
        <v>3</v>
      </c>
      <c r="F4534" s="5">
        <f>VLOOKUP(C4534,[1]master_data!$A$2:$E$495,3,FALSE)</f>
        <v>37000</v>
      </c>
      <c r="G4534" s="5">
        <f>VLOOKUP(C4534,[1]master_data!$A$2:$E$495,4,FALSE)</f>
        <v>60000</v>
      </c>
      <c r="H4534" s="5">
        <f t="shared" si="216"/>
        <v>111000</v>
      </c>
      <c r="I4534" s="5">
        <f t="shared" si="217"/>
        <v>180000</v>
      </c>
      <c r="J4534" s="5">
        <f t="shared" si="218"/>
        <v>69000</v>
      </c>
      <c r="K4534" s="5" t="str">
        <f>VLOOKUP(C4534,[1]master_data!$A$2:$E$495,5,FALSE)</f>
        <v>Aksesoris</v>
      </c>
      <c r="L4534" s="5" t="s">
        <v>471</v>
      </c>
    </row>
    <row r="4535" spans="1:12" ht="12" customHeight="1" x14ac:dyDescent="0.25">
      <c r="A4535" s="6">
        <v>44563</v>
      </c>
      <c r="B4535" s="1">
        <v>2200028</v>
      </c>
      <c r="C4535" s="5" t="s">
        <v>303</v>
      </c>
      <c r="D4535" s="5" t="str">
        <f>VLOOKUP(C4535,[1]master_data!$A$2:$E$495,2,FALSE)</f>
        <v>PIPA LONJOR 2 M</v>
      </c>
      <c r="E4535" s="5">
        <v>1</v>
      </c>
      <c r="F4535" s="5">
        <f>VLOOKUP(C4535,[1]master_data!$A$2:$E$495,3,FALSE)</f>
        <v>5000</v>
      </c>
      <c r="G4535" s="5">
        <f>VLOOKUP(C4535,[1]master_data!$A$2:$E$495,4,FALSE)</f>
        <v>10000</v>
      </c>
      <c r="H4535" s="5">
        <f t="shared" si="216"/>
        <v>5000</v>
      </c>
      <c r="I4535" s="5">
        <f t="shared" si="217"/>
        <v>10000</v>
      </c>
      <c r="J4535" s="5">
        <f t="shared" si="218"/>
        <v>5000</v>
      </c>
      <c r="K4535" s="5" t="str">
        <f>VLOOKUP(C4535,[1]master_data!$A$2:$E$495,5,FALSE)</f>
        <v>Aksesoris</v>
      </c>
      <c r="L4535" s="5" t="s">
        <v>471</v>
      </c>
    </row>
    <row r="4536" spans="1:12" ht="12" customHeight="1" x14ac:dyDescent="0.25">
      <c r="A4536" s="6">
        <v>44563</v>
      </c>
      <c r="B4536" s="1">
        <v>2200027</v>
      </c>
      <c r="C4536" s="5" t="s">
        <v>311</v>
      </c>
      <c r="D4536" s="5" t="str">
        <f>VLOOKUP(C4536,[1]master_data!$A$2:$E$495,2,FALSE)</f>
        <v>L PIPA</v>
      </c>
      <c r="E4536" s="5">
        <v>4</v>
      </c>
      <c r="F4536" s="5">
        <f>VLOOKUP(C4536,[1]master_data!$A$2:$E$495,3,FALSE)</f>
        <v>800</v>
      </c>
      <c r="G4536" s="5">
        <f>VLOOKUP(C4536,[1]master_data!$A$2:$E$495,4,FALSE)</f>
        <v>2000</v>
      </c>
      <c r="H4536" s="5">
        <f t="shared" si="216"/>
        <v>3200</v>
      </c>
      <c r="I4536" s="5">
        <f t="shared" si="217"/>
        <v>8000</v>
      </c>
      <c r="J4536" s="5">
        <f t="shared" si="218"/>
        <v>4800</v>
      </c>
      <c r="K4536" s="5" t="str">
        <f>VLOOKUP(C4536,[1]master_data!$A$2:$E$495,5,FALSE)</f>
        <v>Aksesoris</v>
      </c>
      <c r="L4536" s="5" t="s">
        <v>471</v>
      </c>
    </row>
    <row r="4537" spans="1:12" ht="12" customHeight="1" x14ac:dyDescent="0.25">
      <c r="A4537" s="6">
        <v>44563</v>
      </c>
      <c r="B4537" s="1">
        <v>2200026</v>
      </c>
      <c r="C4537" s="5" t="s">
        <v>406</v>
      </c>
      <c r="D4537" s="5" t="str">
        <f>VLOOKUP(C4537,[1]master_data!$A$2:$E$495,2,FALSE)</f>
        <v>BARBIR</v>
      </c>
      <c r="E4537" s="5">
        <v>5</v>
      </c>
      <c r="F4537" s="5">
        <f>VLOOKUP(C4537,[1]master_data!$A$2:$E$495,3,FALSE)</f>
        <v>800</v>
      </c>
      <c r="G4537" s="5">
        <f>VLOOKUP(C4537,[1]master_data!$A$2:$E$495,4,FALSE)</f>
        <v>2000</v>
      </c>
      <c r="H4537" s="5">
        <f t="shared" si="216"/>
        <v>4000</v>
      </c>
      <c r="I4537" s="5">
        <f t="shared" si="217"/>
        <v>10000</v>
      </c>
      <c r="J4537" s="5">
        <f t="shared" si="218"/>
        <v>6000</v>
      </c>
      <c r="K4537" s="5" t="str">
        <f>VLOOKUP(C4537,[1]master_data!$A$2:$E$495,5,FALSE)</f>
        <v>Ikan</v>
      </c>
      <c r="L4537" s="5" t="s">
        <v>471</v>
      </c>
    </row>
    <row r="4538" spans="1:12" ht="12" customHeight="1" x14ac:dyDescent="0.25">
      <c r="A4538" s="6">
        <v>44563</v>
      </c>
      <c r="B4538" s="1">
        <v>2200025</v>
      </c>
      <c r="C4538" s="5" t="s">
        <v>431</v>
      </c>
      <c r="D4538" s="5" t="str">
        <f>VLOOKUP(C4538,[1]master_data!$A$2:$E$495,2,FALSE)</f>
        <v>MANFISH B</v>
      </c>
      <c r="E4538" s="5">
        <v>2</v>
      </c>
      <c r="F4538" s="5">
        <f>VLOOKUP(C4538,[1]master_data!$A$2:$E$495,3,FALSE)</f>
        <v>4000</v>
      </c>
      <c r="G4538" s="5">
        <f>VLOOKUP(C4538,[1]master_data!$A$2:$E$495,4,FALSE)</f>
        <v>10000</v>
      </c>
      <c r="H4538" s="5">
        <f t="shared" si="216"/>
        <v>8000</v>
      </c>
      <c r="I4538" s="5">
        <f t="shared" si="217"/>
        <v>20000</v>
      </c>
      <c r="J4538" s="5">
        <f t="shared" si="218"/>
        <v>12000</v>
      </c>
      <c r="K4538" s="5" t="str">
        <f>VLOOKUP(C4538,[1]master_data!$A$2:$E$495,5,FALSE)</f>
        <v>Ikan</v>
      </c>
      <c r="L4538" s="5" t="s">
        <v>471</v>
      </c>
    </row>
    <row r="4539" spans="1:12" ht="12" customHeight="1" x14ac:dyDescent="0.25">
      <c r="A4539" s="6">
        <v>44563</v>
      </c>
      <c r="B4539" s="1">
        <v>2200024</v>
      </c>
      <c r="C4539" s="5" t="s">
        <v>390</v>
      </c>
      <c r="D4539" s="5" t="str">
        <f>VLOOKUP(C4539,[1]master_data!$A$2:$E$495,2,FALSE)</f>
        <v>CHANNA ASIATICA K</v>
      </c>
      <c r="E4539" s="5">
        <v>3</v>
      </c>
      <c r="F4539" s="5">
        <f>VLOOKUP(C4539,[1]master_data!$A$2:$E$495,3,FALSE)</f>
        <v>10000</v>
      </c>
      <c r="G4539" s="5">
        <f>VLOOKUP(C4539,[1]master_data!$A$2:$E$495,4,FALSE)</f>
        <v>40000</v>
      </c>
      <c r="H4539" s="5">
        <f t="shared" si="216"/>
        <v>30000</v>
      </c>
      <c r="I4539" s="5">
        <f t="shared" si="217"/>
        <v>120000</v>
      </c>
      <c r="J4539" s="5">
        <f t="shared" si="218"/>
        <v>90000</v>
      </c>
      <c r="K4539" s="5" t="str">
        <f>VLOOKUP(C4539,[1]master_data!$A$2:$E$495,5,FALSE)</f>
        <v>Ikan</v>
      </c>
      <c r="L4539" s="5" t="s">
        <v>471</v>
      </c>
    </row>
    <row r="4540" spans="1:12" ht="12" customHeight="1" x14ac:dyDescent="0.25">
      <c r="A4540" s="6">
        <v>44563</v>
      </c>
      <c r="B4540" s="1">
        <v>2200023</v>
      </c>
      <c r="C4540" s="5" t="s">
        <v>394</v>
      </c>
      <c r="D4540" s="5" t="str">
        <f>VLOOKUP(C4540,[1]master_data!$A$2:$E$495,2,FALSE)</f>
        <v>ARWANA SILVER K</v>
      </c>
      <c r="E4540" s="5">
        <v>2</v>
      </c>
      <c r="F4540" s="5">
        <f>VLOOKUP(C4540,[1]master_data!$A$2:$E$495,3,FALSE)</f>
        <v>100000</v>
      </c>
      <c r="G4540" s="5">
        <f>VLOOKUP(C4540,[1]master_data!$A$2:$E$495,4,FALSE)</f>
        <v>200000</v>
      </c>
      <c r="H4540" s="5">
        <f t="shared" si="216"/>
        <v>200000</v>
      </c>
      <c r="I4540" s="5">
        <f t="shared" si="217"/>
        <v>400000</v>
      </c>
      <c r="J4540" s="5">
        <f t="shared" si="218"/>
        <v>200000</v>
      </c>
      <c r="K4540" s="5" t="str">
        <f>VLOOKUP(C4540,[1]master_data!$A$2:$E$495,5,FALSE)</f>
        <v>Ikan</v>
      </c>
      <c r="L4540" s="5" t="s">
        <v>471</v>
      </c>
    </row>
    <row r="4541" spans="1:12" ht="12" customHeight="1" x14ac:dyDescent="0.25">
      <c r="A4541" s="6">
        <v>44563</v>
      </c>
      <c r="B4541" s="1">
        <v>2200022</v>
      </c>
      <c r="C4541" s="5" t="s">
        <v>434</v>
      </c>
      <c r="D4541" s="5" t="str">
        <f>VLOOKUP(C4541,[1]master_data!$A$2:$E$495,2,FALSE)</f>
        <v>MOLI PAKAN</v>
      </c>
      <c r="E4541" s="5">
        <v>100</v>
      </c>
      <c r="F4541" s="5">
        <f>VLOOKUP(C4541,[1]master_data!$A$2:$E$495,3,FALSE)</f>
        <v>100</v>
      </c>
      <c r="G4541" s="5">
        <f>VLOOKUP(C4541,[1]master_data!$A$2:$E$495,4,FALSE)</f>
        <v>200</v>
      </c>
      <c r="H4541" s="5">
        <f t="shared" si="216"/>
        <v>10000</v>
      </c>
      <c r="I4541" s="5">
        <f t="shared" si="217"/>
        <v>20000</v>
      </c>
      <c r="J4541" s="5">
        <f t="shared" si="218"/>
        <v>10000</v>
      </c>
      <c r="K4541" s="5" t="str">
        <f>VLOOKUP(C4541,[1]master_data!$A$2:$E$495,5,FALSE)</f>
        <v>Ikan</v>
      </c>
      <c r="L4541" s="5" t="s">
        <v>471</v>
      </c>
    </row>
    <row r="4542" spans="1:12" ht="12" customHeight="1" x14ac:dyDescent="0.25">
      <c r="A4542" s="6">
        <v>44563</v>
      </c>
      <c r="B4542" s="1">
        <v>2200021</v>
      </c>
      <c r="C4542" s="5" t="s">
        <v>421</v>
      </c>
      <c r="D4542" s="5" t="str">
        <f>VLOOKUP(C4542,[1]master_data!$A$2:$E$495,2,FALSE)</f>
        <v>KOMET PAKAN</v>
      </c>
      <c r="E4542" s="5">
        <v>20</v>
      </c>
      <c r="F4542" s="5">
        <f>VLOOKUP(C4542,[1]master_data!$A$2:$E$495,3,FALSE)</f>
        <v>300</v>
      </c>
      <c r="G4542" s="5">
        <f>VLOOKUP(C4542,[1]master_data!$A$2:$E$495,4,FALSE)</f>
        <v>1000</v>
      </c>
      <c r="H4542" s="5">
        <f t="shared" si="216"/>
        <v>6000</v>
      </c>
      <c r="I4542" s="5">
        <f t="shared" si="217"/>
        <v>20000</v>
      </c>
      <c r="J4542" s="5">
        <f t="shared" si="218"/>
        <v>14000</v>
      </c>
      <c r="K4542" s="5" t="str">
        <f>VLOOKUP(C4542,[1]master_data!$A$2:$E$495,5,FALSE)</f>
        <v>Ikan</v>
      </c>
      <c r="L4542" s="5" t="s">
        <v>471</v>
      </c>
    </row>
    <row r="4543" spans="1:12" ht="12" customHeight="1" x14ac:dyDescent="0.25">
      <c r="A4543" s="6">
        <v>44563</v>
      </c>
      <c r="B4543" s="1">
        <v>2200020</v>
      </c>
      <c r="C4543" s="5" t="s">
        <v>431</v>
      </c>
      <c r="D4543" s="5" t="str">
        <f>VLOOKUP(C4543,[1]master_data!$A$2:$E$495,2,FALSE)</f>
        <v>MANFISH B</v>
      </c>
      <c r="E4543" s="5">
        <v>2</v>
      </c>
      <c r="F4543" s="5">
        <f>VLOOKUP(C4543,[1]master_data!$A$2:$E$495,3,FALSE)</f>
        <v>4000</v>
      </c>
      <c r="G4543" s="5">
        <f>VLOOKUP(C4543,[1]master_data!$A$2:$E$495,4,FALSE)</f>
        <v>10000</v>
      </c>
      <c r="H4543" s="5">
        <f t="shared" si="216"/>
        <v>8000</v>
      </c>
      <c r="I4543" s="5">
        <f t="shared" si="217"/>
        <v>20000</v>
      </c>
      <c r="J4543" s="5">
        <f t="shared" si="218"/>
        <v>12000</v>
      </c>
      <c r="K4543" s="5" t="str">
        <f>VLOOKUP(C4543,[1]master_data!$A$2:$E$495,5,FALSE)</f>
        <v>Ikan</v>
      </c>
      <c r="L4543" s="5" t="s">
        <v>471</v>
      </c>
    </row>
    <row r="4544" spans="1:12" ht="12" customHeight="1" x14ac:dyDescent="0.25">
      <c r="A4544" s="6">
        <v>44563</v>
      </c>
      <c r="B4544" s="1">
        <v>2200019</v>
      </c>
      <c r="C4544" s="5" t="s">
        <v>374</v>
      </c>
      <c r="D4544" s="5" t="str">
        <f>VLOOKUP(C4544,[1]master_data!$A$2:$E$495,2,FALSE)</f>
        <v>PASIR HITAM B</v>
      </c>
      <c r="E4544" s="5">
        <v>1</v>
      </c>
      <c r="F4544" s="5">
        <f>VLOOKUP(C4544,[1]master_data!$A$2:$E$495,3,FALSE)</f>
        <v>8000</v>
      </c>
      <c r="G4544" s="5">
        <f>VLOOKUP(C4544,[1]master_data!$A$2:$E$495,4,FALSE)</f>
        <v>15000</v>
      </c>
      <c r="H4544" s="5">
        <f t="shared" si="216"/>
        <v>8000</v>
      </c>
      <c r="I4544" s="5">
        <f t="shared" si="217"/>
        <v>15000</v>
      </c>
      <c r="J4544" s="5">
        <f t="shared" si="218"/>
        <v>7000</v>
      </c>
      <c r="K4544" s="5" t="str">
        <f>VLOOKUP(C4544,[1]master_data!$A$2:$E$495,5,FALSE)</f>
        <v>Aksesoris</v>
      </c>
      <c r="L4544" s="5" t="s">
        <v>471</v>
      </c>
    </row>
    <row r="4545" spans="1:12" ht="12" customHeight="1" x14ac:dyDescent="0.25">
      <c r="A4545" s="6">
        <v>44562</v>
      </c>
      <c r="B4545" s="1">
        <v>2200018</v>
      </c>
      <c r="C4545" s="5" t="s">
        <v>434</v>
      </c>
      <c r="D4545" s="5" t="str">
        <f>VLOOKUP(C4545,[1]master_data!$A$2:$E$495,2,FALSE)</f>
        <v>MOLI PAKAN</v>
      </c>
      <c r="E4545" s="5">
        <v>50</v>
      </c>
      <c r="F4545" s="5">
        <f>VLOOKUP(C4545,[1]master_data!$A$2:$E$495,3,FALSE)</f>
        <v>100</v>
      </c>
      <c r="G4545" s="5">
        <f>VLOOKUP(C4545,[1]master_data!$A$2:$E$495,4,FALSE)</f>
        <v>200</v>
      </c>
      <c r="H4545" s="5">
        <f t="shared" si="216"/>
        <v>5000</v>
      </c>
      <c r="I4545" s="5">
        <f t="shared" si="217"/>
        <v>10000</v>
      </c>
      <c r="J4545" s="5">
        <f t="shared" si="218"/>
        <v>5000</v>
      </c>
      <c r="K4545" s="5" t="str">
        <f>VLOOKUP(C4545,[1]master_data!$A$2:$E$495,5,FALSE)</f>
        <v>Ikan</v>
      </c>
      <c r="L4545" s="5" t="s">
        <v>471</v>
      </c>
    </row>
    <row r="4546" spans="1:12" ht="12" customHeight="1" x14ac:dyDescent="0.25">
      <c r="A4546" s="6">
        <v>44562</v>
      </c>
      <c r="B4546" s="1">
        <v>2200017</v>
      </c>
      <c r="C4546" s="5" t="s">
        <v>263</v>
      </c>
      <c r="D4546" s="5" t="str">
        <f>VLOOKUP(C4546,[1]master_data!$A$2:$E$495,2,FALSE)</f>
        <v>COP SEKAT KACA</v>
      </c>
      <c r="E4546" s="5">
        <v>2</v>
      </c>
      <c r="F4546" s="5">
        <f>VLOOKUP(C4546,[1]master_data!$A$2:$E$495,3,FALSE)</f>
        <v>800</v>
      </c>
      <c r="G4546" s="5">
        <f>VLOOKUP(C4546,[1]master_data!$A$2:$E$495,4,FALSE)</f>
        <v>2000</v>
      </c>
      <c r="H4546" s="5">
        <f t="shared" si="216"/>
        <v>1600</v>
      </c>
      <c r="I4546" s="5">
        <f t="shared" si="217"/>
        <v>4000</v>
      </c>
      <c r="J4546" s="5">
        <f t="shared" si="218"/>
        <v>2400</v>
      </c>
      <c r="K4546" s="5" t="str">
        <f>VLOOKUP(C4546,[1]master_data!$A$2:$E$495,5,FALSE)</f>
        <v>Aksesoris</v>
      </c>
      <c r="L4546" s="5" t="s">
        <v>471</v>
      </c>
    </row>
    <row r="4547" spans="1:12" ht="12" customHeight="1" x14ac:dyDescent="0.25">
      <c r="A4547" s="6">
        <v>44562</v>
      </c>
      <c r="B4547" s="1">
        <v>2200016</v>
      </c>
      <c r="C4547" s="5" t="s">
        <v>208</v>
      </c>
      <c r="D4547" s="5" t="str">
        <f>VLOOKUP(C4547,[1]master_data!$A$2:$E$495,2,FALSE)</f>
        <v>TOP VIT</v>
      </c>
      <c r="E4547" s="5">
        <v>1</v>
      </c>
      <c r="F4547" s="5">
        <f>VLOOKUP(C4547,[1]master_data!$A$2:$E$495,3,FALSE)</f>
        <v>4000</v>
      </c>
      <c r="G4547" s="5">
        <f>VLOOKUP(C4547,[1]master_data!$A$2:$E$495,4,FALSE)</f>
        <v>7000</v>
      </c>
      <c r="H4547" s="5">
        <f t="shared" si="216"/>
        <v>4000</v>
      </c>
      <c r="I4547" s="5">
        <f t="shared" si="217"/>
        <v>7000</v>
      </c>
      <c r="J4547" s="5">
        <f t="shared" si="218"/>
        <v>3000</v>
      </c>
      <c r="K4547" s="5" t="str">
        <f>VLOOKUP(C4547,[1]master_data!$A$2:$E$495,5,FALSE)</f>
        <v>Aksesoris</v>
      </c>
      <c r="L4547" s="5" t="s">
        <v>471</v>
      </c>
    </row>
    <row r="4548" spans="1:12" ht="12" customHeight="1" x14ac:dyDescent="0.25">
      <c r="A4548" s="6">
        <v>44562</v>
      </c>
      <c r="B4548" s="1">
        <v>2200015</v>
      </c>
      <c r="C4548" s="5" t="s">
        <v>427</v>
      </c>
      <c r="D4548" s="5" t="str">
        <f>VLOOKUP(C4548,[1]master_data!$A$2:$E$495,2,FALSE)</f>
        <v>LEMON</v>
      </c>
      <c r="E4548" s="5">
        <v>10</v>
      </c>
      <c r="F4548" s="5">
        <f>VLOOKUP(C4548,[1]master_data!$A$2:$E$495,3,FALSE)</f>
        <v>1000</v>
      </c>
      <c r="G4548" s="5">
        <f>VLOOKUP(C4548,[1]master_data!$A$2:$E$495,4,FALSE)</f>
        <v>2000</v>
      </c>
      <c r="H4548" s="5">
        <f t="shared" si="216"/>
        <v>10000</v>
      </c>
      <c r="I4548" s="5">
        <f t="shared" si="217"/>
        <v>20000</v>
      </c>
      <c r="J4548" s="5">
        <f t="shared" si="218"/>
        <v>10000</v>
      </c>
      <c r="K4548" s="5" t="str">
        <f>VLOOKUP(C4548,[1]master_data!$A$2:$E$495,5,FALSE)</f>
        <v>Ikan</v>
      </c>
      <c r="L4548" s="5" t="s">
        <v>471</v>
      </c>
    </row>
    <row r="4549" spans="1:12" ht="12" customHeight="1" x14ac:dyDescent="0.25">
      <c r="A4549" s="6">
        <v>44562</v>
      </c>
      <c r="B4549" s="1">
        <v>2200014</v>
      </c>
      <c r="C4549" s="5" t="s">
        <v>416</v>
      </c>
      <c r="D4549" s="5" t="str">
        <f>VLOOKUP(C4549,[1]master_data!$A$2:$E$495,2,FALSE)</f>
        <v>KOI K</v>
      </c>
      <c r="E4549" s="5">
        <v>6</v>
      </c>
      <c r="F4549" s="5">
        <f>VLOOKUP(C4549,[1]master_data!$A$2:$E$495,3,FALSE)</f>
        <v>2500</v>
      </c>
      <c r="G4549" s="5">
        <f>VLOOKUP(C4549,[1]master_data!$A$2:$E$495,4,FALSE)</f>
        <v>10000</v>
      </c>
      <c r="H4549" s="5">
        <f t="shared" ref="H4549:H4562" si="219">E4549*F4549</f>
        <v>15000</v>
      </c>
      <c r="I4549" s="5">
        <f t="shared" ref="I4549:I4562" si="220">E4549*G4549</f>
        <v>60000</v>
      </c>
      <c r="J4549" s="5">
        <f t="shared" ref="J4549:J4562" si="221">I4549-H4549</f>
        <v>45000</v>
      </c>
      <c r="K4549" s="5" t="str">
        <f>VLOOKUP(C4549,[1]master_data!$A$2:$E$495,5,FALSE)</f>
        <v>Ikan</v>
      </c>
      <c r="L4549" s="5" t="s">
        <v>471</v>
      </c>
    </row>
    <row r="4550" spans="1:12" ht="12" customHeight="1" x14ac:dyDescent="0.25">
      <c r="A4550" s="6">
        <v>44562</v>
      </c>
      <c r="B4550" s="1">
        <v>2200013</v>
      </c>
      <c r="C4550" s="5" t="s">
        <v>418</v>
      </c>
      <c r="D4550" s="5" t="str">
        <f>VLOOKUP(C4550,[1]master_data!$A$2:$E$495,2,FALSE)</f>
        <v>KOI B</v>
      </c>
      <c r="E4550" s="5">
        <v>5</v>
      </c>
      <c r="F4550" s="5">
        <f>VLOOKUP(C4550,[1]master_data!$A$2:$E$495,3,FALSE)</f>
        <v>9000</v>
      </c>
      <c r="G4550" s="5">
        <f>VLOOKUP(C4550,[1]master_data!$A$2:$E$495,4,FALSE)</f>
        <v>30000</v>
      </c>
      <c r="H4550" s="5">
        <f t="shared" si="219"/>
        <v>45000</v>
      </c>
      <c r="I4550" s="5">
        <f t="shared" si="220"/>
        <v>150000</v>
      </c>
      <c r="J4550" s="5">
        <f t="shared" si="221"/>
        <v>105000</v>
      </c>
      <c r="K4550" s="5" t="str">
        <f>VLOOKUP(C4550,[1]master_data!$A$2:$E$495,5,FALSE)</f>
        <v>Ikan</v>
      </c>
      <c r="L4550" s="5" t="s">
        <v>471</v>
      </c>
    </row>
    <row r="4551" spans="1:12" ht="12" customHeight="1" x14ac:dyDescent="0.25">
      <c r="A4551" s="6">
        <v>44562</v>
      </c>
      <c r="B4551" s="1">
        <v>2200012</v>
      </c>
      <c r="C4551" s="5" t="s">
        <v>407</v>
      </c>
      <c r="D4551" s="5" t="str">
        <f>VLOOKUP(C4551,[1]master_data!$A$2:$E$495,2,FALSE)</f>
        <v>CUPANG</v>
      </c>
      <c r="E4551" s="5">
        <v>4</v>
      </c>
      <c r="F4551" s="5">
        <f>VLOOKUP(C4551,[1]master_data!$A$2:$E$495,3,FALSE)</f>
        <v>2000</v>
      </c>
      <c r="G4551" s="5">
        <f>VLOOKUP(C4551,[1]master_data!$A$2:$E$495,4,FALSE)</f>
        <v>5000</v>
      </c>
      <c r="H4551" s="5">
        <f t="shared" si="219"/>
        <v>8000</v>
      </c>
      <c r="I4551" s="5">
        <f t="shared" si="220"/>
        <v>20000</v>
      </c>
      <c r="J4551" s="5">
        <f t="shared" si="221"/>
        <v>12000</v>
      </c>
      <c r="K4551" s="5" t="str">
        <f>VLOOKUP(C4551,[1]master_data!$A$2:$E$495,5,FALSE)</f>
        <v>Ikan</v>
      </c>
      <c r="L4551" s="5" t="s">
        <v>471</v>
      </c>
    </row>
    <row r="4552" spans="1:12" ht="12" customHeight="1" x14ac:dyDescent="0.25">
      <c r="A4552" s="6">
        <v>44562</v>
      </c>
      <c r="B4552" s="1">
        <v>2200011</v>
      </c>
      <c r="C4552" s="5" t="s">
        <v>285</v>
      </c>
      <c r="D4552" s="5" t="str">
        <f>VLOOKUP(C4552,[1]master_data!$A$2:$E$495,2,FALSE)</f>
        <v>KAPAS 4 LAPIS</v>
      </c>
      <c r="E4552" s="5">
        <v>1</v>
      </c>
      <c r="F4552" s="5">
        <f>VLOOKUP(C4552,[1]master_data!$A$2:$E$495,3,FALSE)</f>
        <v>6500</v>
      </c>
      <c r="G4552" s="5">
        <f>VLOOKUP(C4552,[1]master_data!$A$2:$E$495,4,FALSE)</f>
        <v>10000</v>
      </c>
      <c r="H4552" s="5">
        <f t="shared" si="219"/>
        <v>6500</v>
      </c>
      <c r="I4552" s="5">
        <f t="shared" si="220"/>
        <v>10000</v>
      </c>
      <c r="J4552" s="5">
        <f t="shared" si="221"/>
        <v>3500</v>
      </c>
      <c r="K4552" s="5" t="str">
        <f>VLOOKUP(C4552,[1]master_data!$A$2:$E$495,5,FALSE)</f>
        <v>Aksesoris</v>
      </c>
      <c r="L4552" s="5" t="s">
        <v>471</v>
      </c>
    </row>
    <row r="4553" spans="1:12" ht="12" customHeight="1" x14ac:dyDescent="0.25">
      <c r="A4553" s="6">
        <v>44562</v>
      </c>
      <c r="B4553" s="1">
        <v>2200010</v>
      </c>
      <c r="C4553" s="5" t="s">
        <v>7</v>
      </c>
      <c r="D4553" s="5" t="str">
        <f>VLOOKUP(C4553,[1]master_data!$A$2:$E$495,2,FALSE)</f>
        <v>MESIN YANG 1600</v>
      </c>
      <c r="E4553" s="5">
        <v>5</v>
      </c>
      <c r="F4553" s="5">
        <f>VLOOKUP(C4553,[1]master_data!$A$2:$E$495,3,FALSE)</f>
        <v>64000</v>
      </c>
      <c r="G4553" s="5">
        <f>VLOOKUP(C4553,[1]master_data!$A$2:$E$495,4,FALSE)</f>
        <v>90000</v>
      </c>
      <c r="H4553" s="5">
        <f t="shared" si="219"/>
        <v>320000</v>
      </c>
      <c r="I4553" s="5">
        <f t="shared" si="220"/>
        <v>450000</v>
      </c>
      <c r="J4553" s="5">
        <f t="shared" si="221"/>
        <v>130000</v>
      </c>
      <c r="K4553" s="5" t="str">
        <f>VLOOKUP(C4553,[1]master_data!$A$2:$E$495,5,FALSE)</f>
        <v>Aksesoris</v>
      </c>
      <c r="L4553" s="5" t="s">
        <v>471</v>
      </c>
    </row>
    <row r="4554" spans="1:12" ht="12" customHeight="1" x14ac:dyDescent="0.25">
      <c r="A4554" s="6">
        <v>44562</v>
      </c>
      <c r="B4554" s="1">
        <v>2200009</v>
      </c>
      <c r="C4554" s="5" t="s">
        <v>414</v>
      </c>
      <c r="D4554" s="5" t="str">
        <f>VLOOKUP(C4554,[1]master_data!$A$2:$E$495,2,FALSE)</f>
        <v>KOKI T</v>
      </c>
      <c r="E4554" s="5">
        <v>5</v>
      </c>
      <c r="F4554" s="5">
        <f>VLOOKUP(C4554,[1]master_data!$A$2:$E$495,3,FALSE)</f>
        <v>8000</v>
      </c>
      <c r="G4554" s="5">
        <f>VLOOKUP(C4554,[1]master_data!$A$2:$E$495,4,FALSE)</f>
        <v>15000</v>
      </c>
      <c r="H4554" s="5">
        <f t="shared" si="219"/>
        <v>40000</v>
      </c>
      <c r="I4554" s="5">
        <f t="shared" si="220"/>
        <v>75000</v>
      </c>
      <c r="J4554" s="5">
        <f t="shared" si="221"/>
        <v>35000</v>
      </c>
      <c r="K4554" s="5" t="str">
        <f>VLOOKUP(C4554,[1]master_data!$A$2:$E$495,5,FALSE)</f>
        <v>Ikan</v>
      </c>
      <c r="L4554" s="5" t="s">
        <v>471</v>
      </c>
    </row>
    <row r="4555" spans="1:12" ht="12" customHeight="1" x14ac:dyDescent="0.25">
      <c r="A4555" s="6">
        <v>44562</v>
      </c>
      <c r="B4555" s="1">
        <v>2200008</v>
      </c>
      <c r="C4555" s="5" t="s">
        <v>409</v>
      </c>
      <c r="D4555" s="5" t="str">
        <f>VLOOKUP(C4555,[1]master_data!$A$2:$E$495,2,FALSE)</f>
        <v>GOLD FISH</v>
      </c>
      <c r="E4555" s="5">
        <v>5</v>
      </c>
      <c r="F4555" s="5">
        <f>VLOOKUP(C4555,[1]master_data!$A$2:$E$495,3,FALSE)</f>
        <v>800</v>
      </c>
      <c r="G4555" s="5">
        <f>VLOOKUP(C4555,[1]master_data!$A$2:$E$495,4,FALSE)</f>
        <v>2000</v>
      </c>
      <c r="H4555" s="5">
        <f t="shared" si="219"/>
        <v>4000</v>
      </c>
      <c r="I4555" s="5">
        <f t="shared" si="220"/>
        <v>10000</v>
      </c>
      <c r="J4555" s="5">
        <f t="shared" si="221"/>
        <v>6000</v>
      </c>
      <c r="K4555" s="5" t="str">
        <f>VLOOKUP(C4555,[1]master_data!$A$2:$E$495,5,FALSE)</f>
        <v>Ikan</v>
      </c>
      <c r="L4555" s="5" t="s">
        <v>471</v>
      </c>
    </row>
    <row r="4556" spans="1:12" ht="12" customHeight="1" x14ac:dyDescent="0.25">
      <c r="A4556" s="6">
        <v>44562</v>
      </c>
      <c r="B4556" s="1">
        <v>2200007</v>
      </c>
      <c r="C4556" s="5" t="s">
        <v>398</v>
      </c>
      <c r="D4556" s="5" t="str">
        <f>VLOOKUP(C4556,[1]master_data!$A$2:$E$495,2,FALSE)</f>
        <v>BIPOLAR</v>
      </c>
      <c r="E4556" s="5">
        <v>8</v>
      </c>
      <c r="F4556" s="5">
        <f>VLOOKUP(C4556,[1]master_data!$A$2:$E$495,3,FALSE)</f>
        <v>1000</v>
      </c>
      <c r="G4556" s="5">
        <f>VLOOKUP(C4556,[1]master_data!$A$2:$E$495,4,FALSE)</f>
        <v>2500</v>
      </c>
      <c r="H4556" s="5">
        <f t="shared" si="219"/>
        <v>8000</v>
      </c>
      <c r="I4556" s="5">
        <f t="shared" si="220"/>
        <v>20000</v>
      </c>
      <c r="J4556" s="5">
        <f t="shared" si="221"/>
        <v>12000</v>
      </c>
      <c r="K4556" s="5" t="str">
        <f>VLOOKUP(C4556,[1]master_data!$A$2:$E$495,5,FALSE)</f>
        <v>Ikan</v>
      </c>
      <c r="L4556" s="5" t="s">
        <v>471</v>
      </c>
    </row>
    <row r="4557" spans="1:12" ht="12" customHeight="1" x14ac:dyDescent="0.25">
      <c r="A4557" s="6">
        <v>44562</v>
      </c>
      <c r="B4557" s="1">
        <v>2200006</v>
      </c>
      <c r="C4557" s="5" t="s">
        <v>260</v>
      </c>
      <c r="D4557" s="5" t="str">
        <f>VLOOKUP(C4557,[1]master_data!$A$2:$E$495,2,FALSE)</f>
        <v>BUNGA K</v>
      </c>
      <c r="E4557" s="5">
        <v>1</v>
      </c>
      <c r="F4557" s="5">
        <f>VLOOKUP(C4557,[1]master_data!$A$2:$E$495,3,FALSE)</f>
        <v>2500</v>
      </c>
      <c r="G4557" s="5">
        <f>VLOOKUP(C4557,[1]master_data!$A$2:$E$495,4,FALSE)</f>
        <v>5000</v>
      </c>
      <c r="H4557" s="5">
        <f t="shared" si="219"/>
        <v>2500</v>
      </c>
      <c r="I4557" s="5">
        <f t="shared" si="220"/>
        <v>5000</v>
      </c>
      <c r="J4557" s="5">
        <f t="shared" si="221"/>
        <v>2500</v>
      </c>
      <c r="K4557" s="5" t="str">
        <f>VLOOKUP(C4557,[1]master_data!$A$2:$E$495,5,FALSE)</f>
        <v>Aksesoris</v>
      </c>
      <c r="L4557" s="5" t="s">
        <v>471</v>
      </c>
    </row>
    <row r="4558" spans="1:12" ht="12" customHeight="1" x14ac:dyDescent="0.25">
      <c r="A4558" s="6">
        <v>44562</v>
      </c>
      <c r="B4558" s="1">
        <v>2200005</v>
      </c>
      <c r="C4558" s="5" t="s">
        <v>451</v>
      </c>
      <c r="D4558" s="5" t="str">
        <f>VLOOKUP(C4558,[1]master_data!$A$2:$E$495,2,FALSE)</f>
        <v>SUMATRA GOLD FISH</v>
      </c>
      <c r="E4558" s="5">
        <v>3</v>
      </c>
      <c r="F4558" s="5">
        <f>VLOOKUP(C4558,[1]master_data!$A$2:$E$495,3,FALSE)</f>
        <v>2500</v>
      </c>
      <c r="G4558" s="5">
        <f>VLOOKUP(C4558,[1]master_data!$A$2:$E$495,4,FALSE)</f>
        <v>4000</v>
      </c>
      <c r="H4558" s="5">
        <f t="shared" si="219"/>
        <v>7500</v>
      </c>
      <c r="I4558" s="5">
        <f t="shared" si="220"/>
        <v>12000</v>
      </c>
      <c r="J4558" s="5">
        <f t="shared" si="221"/>
        <v>4500</v>
      </c>
      <c r="K4558" s="5" t="str">
        <f>VLOOKUP(C4558,[1]master_data!$A$2:$E$495,5,FALSE)</f>
        <v>Ikan</v>
      </c>
      <c r="L4558" s="5" t="s">
        <v>471</v>
      </c>
    </row>
    <row r="4559" spans="1:12" ht="12" customHeight="1" x14ac:dyDescent="0.25">
      <c r="A4559" s="6">
        <v>44562</v>
      </c>
      <c r="B4559" s="1">
        <v>2200004</v>
      </c>
      <c r="C4559" s="5" t="s">
        <v>400</v>
      </c>
      <c r="D4559" s="5" t="str">
        <f>VLOOKUP(C4559,[1]master_data!$A$2:$E$495,2,FALSE)</f>
        <v>BALA BALA K</v>
      </c>
      <c r="E4559" s="5">
        <v>4</v>
      </c>
      <c r="F4559" s="5">
        <f>VLOOKUP(C4559,[1]master_data!$A$2:$E$495,3,FALSE)</f>
        <v>4000</v>
      </c>
      <c r="G4559" s="5">
        <f>VLOOKUP(C4559,[1]master_data!$A$2:$E$495,4,FALSE)</f>
        <v>8000</v>
      </c>
      <c r="H4559" s="5">
        <f t="shared" si="219"/>
        <v>16000</v>
      </c>
      <c r="I4559" s="5">
        <f t="shared" si="220"/>
        <v>32000</v>
      </c>
      <c r="J4559" s="5">
        <f t="shared" si="221"/>
        <v>16000</v>
      </c>
      <c r="K4559" s="5" t="str">
        <f>VLOOKUP(C4559,[1]master_data!$A$2:$E$495,5,FALSE)</f>
        <v>Ikan</v>
      </c>
      <c r="L4559" s="5" t="s">
        <v>471</v>
      </c>
    </row>
    <row r="4560" spans="1:12" ht="12" customHeight="1" x14ac:dyDescent="0.25">
      <c r="A4560" s="6">
        <v>44562</v>
      </c>
      <c r="B4560" s="1">
        <v>2200003</v>
      </c>
      <c r="C4560" s="5" t="s">
        <v>310</v>
      </c>
      <c r="D4560" s="5" t="str">
        <f>VLOOKUP(C4560,[1]master_data!$A$2:$E$495,2,FALSE)</f>
        <v>SELANG FUSO</v>
      </c>
      <c r="E4560" s="5">
        <v>5</v>
      </c>
      <c r="F4560" s="5">
        <f>VLOOKUP(C4560,[1]master_data!$A$2:$E$495,3,FALSE)</f>
        <v>800</v>
      </c>
      <c r="G4560" s="5">
        <f>VLOOKUP(C4560,[1]master_data!$A$2:$E$495,4,FALSE)</f>
        <v>2000</v>
      </c>
      <c r="H4560" s="5">
        <f t="shared" si="219"/>
        <v>4000</v>
      </c>
      <c r="I4560" s="5">
        <f t="shared" si="220"/>
        <v>10000</v>
      </c>
      <c r="J4560" s="5">
        <f t="shared" si="221"/>
        <v>6000</v>
      </c>
      <c r="K4560" s="5" t="str">
        <f>VLOOKUP(C4560,[1]master_data!$A$2:$E$495,5,FALSE)</f>
        <v>Aksesoris</v>
      </c>
      <c r="L4560" s="5" t="s">
        <v>471</v>
      </c>
    </row>
    <row r="4561" spans="1:12" ht="12" customHeight="1" x14ac:dyDescent="0.25">
      <c r="A4561" s="6">
        <v>44562</v>
      </c>
      <c r="B4561" s="1">
        <v>2200002</v>
      </c>
      <c r="C4561" s="5" t="s">
        <v>461</v>
      </c>
      <c r="D4561" s="5" t="str">
        <f>VLOOKUP(C4561,[1]master_data!$A$2:$E$495,2,FALSE)</f>
        <v>SEPAT</v>
      </c>
      <c r="E4561" s="5">
        <v>3</v>
      </c>
      <c r="F4561" s="5">
        <f>VLOOKUP(C4561,[1]master_data!$A$2:$E$495,3,FALSE)</f>
        <v>600</v>
      </c>
      <c r="G4561" s="5">
        <f>VLOOKUP(C4561,[1]master_data!$A$2:$E$495,4,FALSE)</f>
        <v>2000</v>
      </c>
      <c r="H4561" s="5">
        <f t="shared" si="219"/>
        <v>1800</v>
      </c>
      <c r="I4561" s="5">
        <f t="shared" si="220"/>
        <v>6000</v>
      </c>
      <c r="J4561" s="5">
        <f t="shared" si="221"/>
        <v>4200</v>
      </c>
      <c r="K4561" s="5" t="str">
        <f>VLOOKUP(C4561,[1]master_data!$A$2:$E$495,5,FALSE)</f>
        <v>Ikan</v>
      </c>
      <c r="L4561" s="5" t="s">
        <v>471</v>
      </c>
    </row>
    <row r="4562" spans="1:12" ht="12" customHeight="1" x14ac:dyDescent="0.25">
      <c r="A4562" s="6">
        <v>44562</v>
      </c>
      <c r="B4562" s="1">
        <v>2200001</v>
      </c>
      <c r="C4562" s="5" t="s">
        <v>430</v>
      </c>
      <c r="D4562" s="5" t="str">
        <f>VLOOKUP(C4562,[1]master_data!$A$2:$E$495,2,FALSE)</f>
        <v>MANFISH K</v>
      </c>
      <c r="E4562" s="5">
        <v>2</v>
      </c>
      <c r="F4562" s="5">
        <f>VLOOKUP(C4562,[1]master_data!$A$2:$E$495,3,FALSE)</f>
        <v>2000</v>
      </c>
      <c r="G4562" s="5">
        <f>VLOOKUP(C4562,[1]master_data!$A$2:$E$495,4,FALSE)</f>
        <v>5000</v>
      </c>
      <c r="H4562" s="5">
        <f t="shared" si="219"/>
        <v>4000</v>
      </c>
      <c r="I4562" s="5">
        <f t="shared" si="220"/>
        <v>10000</v>
      </c>
      <c r="J4562" s="5">
        <f t="shared" si="221"/>
        <v>6000</v>
      </c>
      <c r="K4562" s="5" t="str">
        <f>VLOOKUP(C4562,[1]master_data!$A$2:$E$495,5,FALSE)</f>
        <v>Ikan</v>
      </c>
      <c r="L4562" s="5" t="s">
        <v>471</v>
      </c>
    </row>
    <row r="4563" spans="1:12" ht="12" customHeight="1" x14ac:dyDescent="0.25">
      <c r="A4563" s="6"/>
      <c r="B4563" s="1"/>
      <c r="C4563" s="5"/>
      <c r="D4563" s="5"/>
      <c r="E4563" s="5"/>
      <c r="F4563" s="5"/>
      <c r="G4563" s="5"/>
      <c r="H4563" s="5"/>
      <c r="I4563" s="5"/>
      <c r="J4563" s="5"/>
      <c r="K4563" s="5"/>
      <c r="L4563" s="5"/>
    </row>
    <row r="4564" spans="1:12" ht="12" customHeight="1" x14ac:dyDescent="0.25">
      <c r="A4564" s="9">
        <v>44926</v>
      </c>
      <c r="B4564" s="1"/>
      <c r="C4564" s="10"/>
      <c r="D4564" s="5"/>
      <c r="E4564" s="11"/>
      <c r="F4564" s="5"/>
      <c r="G4564" s="5"/>
      <c r="H4564" s="5"/>
      <c r="I4564" s="5"/>
      <c r="J4564" s="5"/>
      <c r="K4564" s="5"/>
      <c r="L4564" s="5"/>
    </row>
    <row r="4565" spans="1:12" ht="12" customHeight="1" x14ac:dyDescent="0.25">
      <c r="A4565" s="9">
        <v>44926</v>
      </c>
      <c r="B4565" s="1"/>
      <c r="C4565" s="10"/>
      <c r="D4565" s="5"/>
      <c r="E4565" s="11"/>
      <c r="F4565" s="5"/>
      <c r="G4565" s="5"/>
      <c r="H4565" s="5"/>
      <c r="I4565" s="5"/>
      <c r="J4565" s="5"/>
      <c r="K4565" s="5"/>
      <c r="L4565" s="5"/>
    </row>
    <row r="4566" spans="1:12" ht="12" customHeight="1" x14ac:dyDescent="0.25">
      <c r="A4566" s="6"/>
      <c r="B4566" s="1"/>
      <c r="C4566" s="5"/>
      <c r="D4566" s="5"/>
      <c r="E4566" s="5"/>
      <c r="F4566" s="5"/>
      <c r="G4566" s="5"/>
      <c r="H4566" s="5"/>
      <c r="I4566" s="5"/>
      <c r="J4566" s="5"/>
      <c r="K4566" s="5"/>
      <c r="L4566" s="5"/>
    </row>
    <row r="4567" spans="1:12" ht="12" customHeight="1" x14ac:dyDescent="0.25">
      <c r="A4567" s="9"/>
      <c r="B4567" s="9"/>
      <c r="C4567" s="1"/>
      <c r="D4567" s="10"/>
      <c r="E4567" s="10"/>
      <c r="F4567" s="11"/>
      <c r="G4567" s="5"/>
      <c r="H4567" s="5"/>
      <c r="I4567" s="5"/>
      <c r="J4567" s="5"/>
      <c r="K4567" s="5"/>
      <c r="L4567" s="5"/>
    </row>
    <row r="4568" spans="1:12" ht="12" customHeight="1" x14ac:dyDescent="0.25">
      <c r="A4568" s="6"/>
      <c r="B4568" s="1"/>
      <c r="C4568" s="5"/>
      <c r="D4568" s="5"/>
      <c r="E4568" s="5"/>
      <c r="F4568" s="5"/>
      <c r="G4568" s="5"/>
      <c r="H4568" s="5"/>
      <c r="I4568" s="5"/>
      <c r="J4568" s="5"/>
      <c r="K4568" s="5"/>
      <c r="L4568" s="5"/>
    </row>
    <row r="4569" spans="1:12" ht="12" customHeight="1" x14ac:dyDescent="0.25">
      <c r="A4569" s="9"/>
      <c r="B4569" s="9"/>
      <c r="C4569" s="1"/>
      <c r="D4569" s="10"/>
      <c r="E4569" s="10"/>
      <c r="F4569" s="5"/>
      <c r="G4569" s="5"/>
      <c r="H4569" s="5"/>
      <c r="I4569" s="5"/>
      <c r="J4569" s="5"/>
      <c r="K4569" s="5"/>
      <c r="L4569" s="5"/>
    </row>
    <row r="4570" spans="1:12" ht="12" customHeight="1" x14ac:dyDescent="0.25">
      <c r="A4570" s="11"/>
      <c r="B4570" s="1"/>
      <c r="C4570" s="5"/>
      <c r="D4570" s="5"/>
      <c r="E4570" s="5"/>
      <c r="F4570" s="5"/>
      <c r="G4570" s="5"/>
      <c r="H4570" s="5"/>
      <c r="I4570" s="5"/>
      <c r="J4570" s="5"/>
      <c r="K4570" s="5"/>
      <c r="L4570" s="5"/>
    </row>
    <row r="4571" spans="1:12" ht="12" customHeight="1" x14ac:dyDescent="0.25">
      <c r="A4571" s="11"/>
      <c r="B4571" s="1"/>
      <c r="C4571" s="5"/>
      <c r="D4571" s="5"/>
      <c r="E4571" s="5"/>
      <c r="F4571" s="5"/>
      <c r="G4571" s="5"/>
      <c r="H4571" s="5"/>
      <c r="I4571" s="5"/>
      <c r="J4571" s="5"/>
      <c r="K4571" s="5"/>
      <c r="L4571" s="5"/>
    </row>
    <row r="4572" spans="1:12" ht="12" customHeight="1" x14ac:dyDescent="0.25">
      <c r="A4572" s="9"/>
      <c r="B4572" s="1"/>
      <c r="C4572" s="10"/>
      <c r="D4572" s="5"/>
      <c r="E4572" s="11"/>
      <c r="F4572" s="5"/>
      <c r="G4572" s="5"/>
      <c r="H4572" s="5"/>
      <c r="I4572" s="5"/>
      <c r="J4572" s="5"/>
      <c r="K4572" s="5"/>
      <c r="L4572" s="5"/>
    </row>
    <row r="4573" spans="1:12" ht="12" customHeight="1" x14ac:dyDescent="0.25">
      <c r="A4573" s="9"/>
      <c r="B4573" s="1"/>
      <c r="C4573" s="10"/>
      <c r="D4573" s="10"/>
      <c r="E4573" s="11"/>
      <c r="F4573" s="5"/>
      <c r="G4573" s="5"/>
      <c r="H4573" s="5"/>
      <c r="I4573" s="5"/>
      <c r="J4573" s="5"/>
      <c r="K4573" s="5"/>
      <c r="L4573" s="5"/>
    </row>
    <row r="4574" spans="1:12" ht="12" customHeight="1" x14ac:dyDescent="0.25">
      <c r="A4574" s="9"/>
      <c r="B4574" s="1"/>
      <c r="C4574" s="10"/>
      <c r="D4574" s="10"/>
      <c r="E4574" s="11"/>
      <c r="F4574" s="5"/>
      <c r="G4574" s="5"/>
      <c r="H4574" s="5"/>
      <c r="I4574" s="5"/>
      <c r="J4574" s="5"/>
      <c r="K4574" s="5"/>
      <c r="L4574" s="5"/>
    </row>
    <row r="4575" spans="1:12" ht="12" customHeight="1" x14ac:dyDescent="0.25">
      <c r="A4575" s="6"/>
      <c r="B4575" s="1"/>
      <c r="C4575" s="5"/>
      <c r="D4575" s="5"/>
      <c r="E4575" s="5"/>
      <c r="F4575" s="11"/>
      <c r="G4575" s="5"/>
      <c r="H4575" s="5"/>
      <c r="I4575" s="5"/>
      <c r="J4575" s="5"/>
      <c r="K4575" s="5"/>
      <c r="L4575" s="5"/>
    </row>
    <row r="4576" spans="1:12" ht="12" customHeight="1" x14ac:dyDescent="0.25">
      <c r="A4576" s="6"/>
      <c r="B4576" s="1"/>
      <c r="C4576" s="5"/>
      <c r="D4576" s="5"/>
      <c r="E4576" s="5"/>
      <c r="F4576" s="11"/>
      <c r="G4576" s="5"/>
      <c r="H4576" s="5"/>
      <c r="I4576" s="5"/>
      <c r="J4576" s="5"/>
      <c r="K4576" s="5"/>
      <c r="L4576" s="5"/>
    </row>
    <row r="4577" spans="1:12" ht="12" customHeight="1" x14ac:dyDescent="0.25">
      <c r="A4577" s="9"/>
      <c r="B4577" s="1"/>
      <c r="C4577" s="10"/>
      <c r="D4577" s="10"/>
      <c r="E4577" s="11"/>
      <c r="F4577" s="5"/>
      <c r="G4577" s="5"/>
      <c r="H4577" s="5"/>
      <c r="I4577" s="5"/>
      <c r="J4577" s="5"/>
      <c r="K4577" s="5"/>
      <c r="L4577" s="5"/>
    </row>
    <row r="4578" spans="1:12" ht="12" customHeight="1" x14ac:dyDescent="0.25">
      <c r="A4578" s="6"/>
      <c r="B4578" s="9"/>
      <c r="C4578" s="1"/>
      <c r="D4578" s="10"/>
      <c r="E4578" s="10"/>
      <c r="F4578" s="5"/>
      <c r="G4578" s="5"/>
      <c r="H4578" s="5"/>
      <c r="I4578" s="5"/>
      <c r="J4578" s="5"/>
      <c r="K4578" s="5"/>
      <c r="L4578" s="5"/>
    </row>
    <row r="4579" spans="1:12" ht="12" customHeight="1" x14ac:dyDescent="0.25">
      <c r="A4579" s="6"/>
      <c r="B4579" s="1"/>
      <c r="C4579" s="5"/>
      <c r="D4579" s="5"/>
      <c r="E4579" s="5"/>
      <c r="F4579" s="11"/>
      <c r="G4579" s="5"/>
      <c r="H4579" s="5"/>
      <c r="I4579" s="5"/>
      <c r="J4579" s="5"/>
      <c r="K4579" s="5"/>
      <c r="L4579" s="5"/>
    </row>
    <row r="4580" spans="1:12" ht="12" customHeight="1" x14ac:dyDescent="0.25">
      <c r="A4580" s="6"/>
      <c r="B4580" s="1"/>
      <c r="C4580" s="5"/>
      <c r="D4580" s="5"/>
      <c r="E4580" s="5"/>
      <c r="F4580" s="5"/>
      <c r="G4580" s="5"/>
      <c r="H4580" s="5"/>
      <c r="I4580" s="5"/>
      <c r="J4580" s="5"/>
      <c r="K4580" s="5"/>
      <c r="L4580" s="5"/>
    </row>
    <row r="4581" spans="1:12" ht="12" customHeight="1" x14ac:dyDescent="0.25">
      <c r="A4581" s="9"/>
      <c r="B4581" s="9"/>
      <c r="C4581" s="1"/>
      <c r="D4581" s="10"/>
      <c r="E4581" s="10"/>
      <c r="F4581" s="5"/>
      <c r="G4581" s="5"/>
      <c r="H4581" s="5"/>
      <c r="I4581" s="5"/>
      <c r="J4581" s="5"/>
      <c r="K4581" s="5"/>
      <c r="L4581" s="5"/>
    </row>
    <row r="4582" spans="1:12" ht="12" customHeight="1" x14ac:dyDescent="0.25">
      <c r="A4582" s="6"/>
      <c r="B4582" s="1"/>
      <c r="C4582" s="5"/>
      <c r="D4582" s="5"/>
      <c r="E4582" s="5"/>
    </row>
    <row r="4583" spans="1:12" ht="12" customHeight="1" x14ac:dyDescent="0.25">
      <c r="A4583" s="9"/>
      <c r="B4583" s="1"/>
      <c r="C4583" s="10"/>
      <c r="D4583" s="5"/>
      <c r="E4583" s="11"/>
    </row>
    <row r="4584" spans="1:12" ht="12" customHeight="1" x14ac:dyDescent="0.25"/>
    <row r="4585" spans="1:12" ht="12" customHeight="1" x14ac:dyDescent="0.25"/>
    <row r="4586" spans="1:12" ht="12" customHeight="1" x14ac:dyDescent="0.25"/>
    <row r="4587" spans="1:12" ht="12" customHeight="1" x14ac:dyDescent="0.25"/>
    <row r="4588" spans="1:12" ht="12" customHeight="1" x14ac:dyDescent="0.25"/>
    <row r="4589" spans="1:12" ht="12" customHeight="1" x14ac:dyDescent="0.25"/>
    <row r="4590" spans="1:12" ht="12" customHeight="1" x14ac:dyDescent="0.25"/>
    <row r="4591" spans="1:12" ht="12" customHeight="1" x14ac:dyDescent="0.25"/>
    <row r="4592" spans="1:12" ht="12" customHeight="1" x14ac:dyDescent="0.25"/>
    <row r="4593" ht="12" customHeight="1" x14ac:dyDescent="0.25"/>
    <row r="4594" ht="12" customHeight="1" x14ac:dyDescent="0.25"/>
    <row r="4595" ht="12" customHeight="1" x14ac:dyDescent="0.25"/>
    <row r="4596" ht="12" customHeight="1" x14ac:dyDescent="0.25"/>
    <row r="4597" ht="12" customHeight="1" x14ac:dyDescent="0.25"/>
    <row r="4598" ht="12" customHeight="1" x14ac:dyDescent="0.25"/>
    <row r="4599" ht="12" customHeight="1" x14ac:dyDescent="0.25"/>
    <row r="4600" ht="12" customHeight="1" x14ac:dyDescent="0.25"/>
    <row r="4601" ht="12" customHeight="1" x14ac:dyDescent="0.25"/>
    <row r="4602" ht="12" customHeight="1" x14ac:dyDescent="0.25"/>
    <row r="4603" ht="12" customHeight="1" x14ac:dyDescent="0.25"/>
    <row r="4604" ht="12" customHeight="1" x14ac:dyDescent="0.25"/>
    <row r="4605" ht="12" customHeight="1" x14ac:dyDescent="0.25"/>
    <row r="4606" ht="12" customHeight="1" x14ac:dyDescent="0.25"/>
    <row r="4607" ht="12" customHeight="1" x14ac:dyDescent="0.25"/>
    <row r="4608" ht="12" customHeight="1" x14ac:dyDescent="0.25"/>
    <row r="4609" ht="12" customHeight="1" x14ac:dyDescent="0.25"/>
    <row r="4610" ht="12" customHeight="1" x14ac:dyDescent="0.25"/>
    <row r="4611" ht="12" customHeight="1" x14ac:dyDescent="0.25"/>
    <row r="4612" ht="12" customHeight="1" x14ac:dyDescent="0.25"/>
    <row r="4613" ht="12" customHeight="1" x14ac:dyDescent="0.25"/>
    <row r="4614" ht="12" customHeight="1" x14ac:dyDescent="0.25"/>
    <row r="4615" ht="12" customHeight="1" x14ac:dyDescent="0.25"/>
    <row r="4616" ht="12" customHeight="1" x14ac:dyDescent="0.25"/>
    <row r="4617" ht="12" customHeight="1" x14ac:dyDescent="0.25"/>
    <row r="4618" ht="12" customHeight="1" x14ac:dyDescent="0.25"/>
    <row r="4619" ht="12" customHeight="1" x14ac:dyDescent="0.25"/>
    <row r="4620" ht="12" customHeight="1" x14ac:dyDescent="0.25"/>
    <row r="4621" ht="12" customHeight="1" x14ac:dyDescent="0.25"/>
    <row r="4622" ht="12" customHeight="1" x14ac:dyDescent="0.25"/>
    <row r="4623" ht="12" customHeight="1" x14ac:dyDescent="0.25"/>
    <row r="4624" ht="12" customHeight="1" x14ac:dyDescent="0.25"/>
    <row r="4625" ht="12" customHeight="1" x14ac:dyDescent="0.25"/>
    <row r="4626" ht="12" customHeight="1" x14ac:dyDescent="0.25"/>
    <row r="4627" ht="12" customHeight="1" x14ac:dyDescent="0.25"/>
    <row r="4628" ht="12" customHeight="1" x14ac:dyDescent="0.25"/>
    <row r="4629" ht="12" customHeight="1" x14ac:dyDescent="0.25"/>
    <row r="4630" ht="12" customHeight="1" x14ac:dyDescent="0.25"/>
    <row r="4631" ht="12" customHeight="1" x14ac:dyDescent="0.25"/>
    <row r="4632" ht="12" customHeight="1" x14ac:dyDescent="0.25"/>
    <row r="4633" ht="12" customHeight="1" x14ac:dyDescent="0.25"/>
    <row r="4634" ht="12" customHeight="1" x14ac:dyDescent="0.25"/>
    <row r="4635" ht="12" customHeight="1" x14ac:dyDescent="0.25"/>
    <row r="4636" ht="12" customHeight="1" x14ac:dyDescent="0.25"/>
    <row r="4637" ht="12" customHeight="1" x14ac:dyDescent="0.25"/>
    <row r="4638" ht="12" customHeight="1" x14ac:dyDescent="0.25"/>
    <row r="4639" ht="12" customHeight="1" x14ac:dyDescent="0.25"/>
    <row r="4640" ht="12" customHeight="1" x14ac:dyDescent="0.25"/>
    <row r="4641" ht="12" customHeight="1" x14ac:dyDescent="0.25"/>
    <row r="4642" ht="12" customHeight="1" x14ac:dyDescent="0.25"/>
    <row r="4643" ht="12" customHeight="1" x14ac:dyDescent="0.25"/>
    <row r="4644" ht="12" customHeight="1" x14ac:dyDescent="0.25"/>
    <row r="4645" ht="12" customHeight="1" x14ac:dyDescent="0.25"/>
    <row r="4646" ht="12" customHeight="1" x14ac:dyDescent="0.25"/>
    <row r="4647" ht="12" customHeight="1" x14ac:dyDescent="0.25"/>
    <row r="4648" ht="12" customHeight="1" x14ac:dyDescent="0.25"/>
    <row r="4649" ht="12" customHeight="1" x14ac:dyDescent="0.25"/>
    <row r="4650" ht="12" customHeight="1" x14ac:dyDescent="0.25"/>
    <row r="4651" ht="12" customHeight="1" x14ac:dyDescent="0.25"/>
    <row r="4652" ht="12" customHeight="1" x14ac:dyDescent="0.25"/>
    <row r="4653" ht="12" customHeight="1" x14ac:dyDescent="0.25"/>
    <row r="4654" ht="12" customHeight="1" x14ac:dyDescent="0.25"/>
    <row r="4655" ht="12" customHeight="1" x14ac:dyDescent="0.25"/>
    <row r="4656" ht="12" customHeight="1" x14ac:dyDescent="0.25"/>
    <row r="4657" ht="12" customHeight="1" x14ac:dyDescent="0.25"/>
    <row r="4658" ht="12" customHeight="1" x14ac:dyDescent="0.25"/>
    <row r="4659" ht="12" customHeight="1" x14ac:dyDescent="0.25"/>
    <row r="4660" ht="12" customHeight="1" x14ac:dyDescent="0.25"/>
    <row r="4661" ht="12" customHeight="1" x14ac:dyDescent="0.25"/>
    <row r="4662" ht="12" customHeight="1" x14ac:dyDescent="0.25"/>
    <row r="4663" ht="12" customHeight="1" x14ac:dyDescent="0.25"/>
    <row r="4664" ht="12" customHeight="1" x14ac:dyDescent="0.25"/>
    <row r="4665" ht="12" customHeight="1" x14ac:dyDescent="0.25"/>
    <row r="4666" ht="12" customHeight="1" x14ac:dyDescent="0.25"/>
    <row r="4667" ht="12" customHeight="1" x14ac:dyDescent="0.25"/>
    <row r="4668" ht="12" customHeight="1" x14ac:dyDescent="0.25"/>
    <row r="4669" ht="12" customHeight="1" x14ac:dyDescent="0.25"/>
    <row r="4670" ht="12" customHeight="1" x14ac:dyDescent="0.25"/>
    <row r="4671" ht="12" customHeight="1" x14ac:dyDescent="0.25"/>
    <row r="4672" ht="12" customHeight="1" x14ac:dyDescent="0.25"/>
    <row r="4673" ht="12" customHeight="1" x14ac:dyDescent="0.25"/>
    <row r="4674" ht="12" customHeight="1" x14ac:dyDescent="0.25"/>
    <row r="4675" ht="12" customHeight="1" x14ac:dyDescent="0.25"/>
    <row r="4676" ht="12" customHeight="1" x14ac:dyDescent="0.25"/>
    <row r="4677" ht="12" customHeight="1" x14ac:dyDescent="0.25"/>
    <row r="4678" ht="12" customHeight="1" x14ac:dyDescent="0.25"/>
    <row r="4679" ht="12" customHeight="1" x14ac:dyDescent="0.25"/>
    <row r="4680" ht="12" customHeight="1" x14ac:dyDescent="0.25"/>
    <row r="4681" ht="12" customHeight="1" x14ac:dyDescent="0.25"/>
    <row r="4682" ht="12" customHeight="1" x14ac:dyDescent="0.25"/>
    <row r="4683" ht="12" customHeight="1" x14ac:dyDescent="0.25"/>
    <row r="4684" ht="12" customHeight="1" x14ac:dyDescent="0.25"/>
    <row r="4685" ht="12" customHeight="1" x14ac:dyDescent="0.25"/>
    <row r="4686" ht="12" customHeight="1" x14ac:dyDescent="0.25"/>
    <row r="4687" ht="12" customHeight="1" x14ac:dyDescent="0.25"/>
    <row r="4688" ht="12" customHeight="1" x14ac:dyDescent="0.25"/>
    <row r="4689" ht="12" customHeight="1" x14ac:dyDescent="0.25"/>
    <row r="4690" ht="12" customHeight="1" x14ac:dyDescent="0.25"/>
    <row r="4691" ht="12" customHeight="1" x14ac:dyDescent="0.25"/>
    <row r="4692" ht="12" customHeight="1" x14ac:dyDescent="0.25"/>
    <row r="4693" ht="12" customHeight="1" x14ac:dyDescent="0.25"/>
    <row r="4694" ht="12" customHeight="1" x14ac:dyDescent="0.25"/>
    <row r="4695" ht="12" customHeight="1" x14ac:dyDescent="0.25"/>
    <row r="4696" ht="12" customHeight="1" x14ac:dyDescent="0.25"/>
    <row r="4697" ht="12" customHeight="1" x14ac:dyDescent="0.25"/>
    <row r="4698" ht="12" customHeight="1" x14ac:dyDescent="0.25"/>
    <row r="4699" ht="12" customHeight="1" x14ac:dyDescent="0.25"/>
    <row r="4700" ht="12" customHeight="1" x14ac:dyDescent="0.25"/>
    <row r="4701" ht="12" customHeight="1" x14ac:dyDescent="0.25"/>
    <row r="4702" ht="12" customHeight="1" x14ac:dyDescent="0.25"/>
    <row r="4703" ht="12" customHeight="1" x14ac:dyDescent="0.25"/>
    <row r="4704" ht="12" customHeight="1" x14ac:dyDescent="0.25"/>
    <row r="4705" ht="12" customHeight="1" x14ac:dyDescent="0.25"/>
    <row r="4706" ht="12" customHeight="1" x14ac:dyDescent="0.25"/>
    <row r="4707" ht="12" customHeight="1" x14ac:dyDescent="0.25"/>
    <row r="4708" ht="12" customHeight="1" x14ac:dyDescent="0.25"/>
    <row r="4709" ht="12" customHeight="1" x14ac:dyDescent="0.25"/>
    <row r="4710" ht="12" customHeight="1" x14ac:dyDescent="0.25"/>
    <row r="4711" ht="12" customHeight="1" x14ac:dyDescent="0.25"/>
    <row r="4712" ht="12" customHeight="1" x14ac:dyDescent="0.25"/>
    <row r="4713" ht="12" customHeight="1" x14ac:dyDescent="0.25"/>
    <row r="4714" ht="12" customHeight="1" x14ac:dyDescent="0.25"/>
    <row r="4715" ht="12" customHeight="1" x14ac:dyDescent="0.25"/>
    <row r="4716" ht="12" customHeight="1" x14ac:dyDescent="0.25"/>
    <row r="4717" ht="12" customHeight="1" x14ac:dyDescent="0.25"/>
    <row r="4718" ht="12" customHeight="1" x14ac:dyDescent="0.25"/>
    <row r="4719" ht="12" customHeight="1" x14ac:dyDescent="0.25"/>
    <row r="4720" ht="12" customHeight="1" x14ac:dyDescent="0.25"/>
    <row r="4721" ht="12" customHeight="1" x14ac:dyDescent="0.25"/>
    <row r="4722" ht="12" customHeight="1" x14ac:dyDescent="0.25"/>
    <row r="4723" ht="12" customHeight="1" x14ac:dyDescent="0.25"/>
    <row r="4724" ht="12" customHeight="1" x14ac:dyDescent="0.25"/>
    <row r="4725" ht="12" customHeight="1" x14ac:dyDescent="0.25"/>
    <row r="4726" ht="12" customHeight="1" x14ac:dyDescent="0.25"/>
    <row r="4727" ht="12" customHeight="1" x14ac:dyDescent="0.25"/>
    <row r="4728" ht="12" customHeight="1" x14ac:dyDescent="0.25"/>
    <row r="4729" ht="12" customHeight="1" x14ac:dyDescent="0.25"/>
    <row r="4730" ht="12" customHeight="1" x14ac:dyDescent="0.25"/>
    <row r="4731" ht="12" customHeight="1" x14ac:dyDescent="0.25"/>
    <row r="4732" ht="12" customHeight="1" x14ac:dyDescent="0.25"/>
    <row r="4733" ht="12" customHeight="1" x14ac:dyDescent="0.25"/>
    <row r="4734" ht="12" customHeight="1" x14ac:dyDescent="0.25"/>
    <row r="4735" ht="12" customHeight="1" x14ac:dyDescent="0.25"/>
    <row r="4736" ht="12" customHeight="1" x14ac:dyDescent="0.25"/>
    <row r="4737" ht="12" customHeight="1" x14ac:dyDescent="0.25"/>
    <row r="4738" ht="12" customHeight="1" x14ac:dyDescent="0.25"/>
    <row r="4739" ht="12" customHeight="1" x14ac:dyDescent="0.25"/>
    <row r="4740" ht="12" customHeight="1" x14ac:dyDescent="0.25"/>
    <row r="4741" ht="12" customHeight="1" x14ac:dyDescent="0.25"/>
    <row r="4742" ht="12" customHeight="1" x14ac:dyDescent="0.25"/>
    <row r="4743" ht="12" customHeight="1" x14ac:dyDescent="0.25"/>
    <row r="4744" ht="12" customHeight="1" x14ac:dyDescent="0.25"/>
    <row r="4745" ht="12" customHeight="1" x14ac:dyDescent="0.25"/>
    <row r="4746" ht="12" customHeight="1" x14ac:dyDescent="0.25"/>
    <row r="4747" ht="12" customHeight="1" x14ac:dyDescent="0.25"/>
    <row r="4748" ht="12" customHeight="1" x14ac:dyDescent="0.25"/>
    <row r="4749" ht="12" customHeight="1" x14ac:dyDescent="0.25"/>
    <row r="4750" ht="12" customHeight="1" x14ac:dyDescent="0.25"/>
    <row r="4751" ht="12" customHeight="1" x14ac:dyDescent="0.25"/>
    <row r="4752" ht="12" customHeight="1" x14ac:dyDescent="0.25"/>
    <row r="4753" ht="12" customHeight="1" x14ac:dyDescent="0.25"/>
    <row r="4754" ht="12" customHeight="1" x14ac:dyDescent="0.25"/>
    <row r="4755" ht="12" customHeight="1" x14ac:dyDescent="0.25"/>
    <row r="4756" ht="12" customHeight="1" x14ac:dyDescent="0.25"/>
    <row r="4757" ht="12" customHeight="1" x14ac:dyDescent="0.25"/>
    <row r="4758" ht="12" customHeight="1" x14ac:dyDescent="0.25"/>
    <row r="4759" ht="12" customHeight="1" x14ac:dyDescent="0.25"/>
    <row r="4760" ht="12" customHeight="1" x14ac:dyDescent="0.25"/>
    <row r="4761" ht="12" customHeight="1" x14ac:dyDescent="0.25"/>
    <row r="4762" ht="12" customHeight="1" x14ac:dyDescent="0.25"/>
    <row r="4763" ht="12" customHeight="1" x14ac:dyDescent="0.25"/>
    <row r="4764" ht="12" customHeight="1" x14ac:dyDescent="0.25"/>
    <row r="4765" ht="12" customHeight="1" x14ac:dyDescent="0.25"/>
    <row r="4766" ht="12" customHeight="1" x14ac:dyDescent="0.25"/>
    <row r="4767" ht="12" customHeight="1" x14ac:dyDescent="0.25"/>
    <row r="4768" ht="12" customHeight="1" x14ac:dyDescent="0.25"/>
    <row r="4769" ht="12" customHeight="1" x14ac:dyDescent="0.25"/>
    <row r="4770" ht="12" customHeight="1" x14ac:dyDescent="0.25"/>
    <row r="4771" ht="12" customHeight="1" x14ac:dyDescent="0.25"/>
    <row r="4772" ht="12" customHeight="1" x14ac:dyDescent="0.25"/>
    <row r="4773" ht="12" customHeight="1" x14ac:dyDescent="0.25"/>
    <row r="4774" ht="12" customHeight="1" x14ac:dyDescent="0.25"/>
    <row r="4775" ht="12" customHeight="1" x14ac:dyDescent="0.25"/>
    <row r="4776" ht="12" customHeight="1" x14ac:dyDescent="0.25"/>
    <row r="4777" ht="12" customHeight="1" x14ac:dyDescent="0.25"/>
    <row r="4778" ht="12" customHeight="1" x14ac:dyDescent="0.25"/>
    <row r="4779" ht="12" customHeight="1" x14ac:dyDescent="0.25"/>
    <row r="4780" ht="12" customHeight="1" x14ac:dyDescent="0.25"/>
    <row r="4781" ht="12" customHeight="1" x14ac:dyDescent="0.25"/>
    <row r="4782" ht="12" customHeight="1" x14ac:dyDescent="0.25"/>
    <row r="4783" ht="12" customHeight="1" x14ac:dyDescent="0.25"/>
    <row r="4784" ht="12" customHeight="1" x14ac:dyDescent="0.25"/>
    <row r="4785" ht="12" customHeight="1" x14ac:dyDescent="0.25"/>
    <row r="4786" ht="12" customHeight="1" x14ac:dyDescent="0.25"/>
    <row r="4787" ht="12" customHeight="1" x14ac:dyDescent="0.25"/>
    <row r="4788" ht="12" customHeight="1" x14ac:dyDescent="0.25"/>
    <row r="4789" ht="12" customHeight="1" x14ac:dyDescent="0.25"/>
    <row r="4790" ht="12" customHeight="1" x14ac:dyDescent="0.25"/>
    <row r="4791" ht="12" customHeight="1" x14ac:dyDescent="0.25"/>
    <row r="4792" ht="12" customHeight="1" x14ac:dyDescent="0.25"/>
    <row r="4793" ht="12" customHeight="1" x14ac:dyDescent="0.25"/>
    <row r="4794" ht="12" customHeight="1" x14ac:dyDescent="0.25"/>
    <row r="4795" ht="12" customHeight="1" x14ac:dyDescent="0.25"/>
    <row r="4796" ht="12" customHeight="1" x14ac:dyDescent="0.25"/>
    <row r="4797" ht="12" customHeight="1" x14ac:dyDescent="0.25"/>
    <row r="4798" ht="12" customHeight="1" x14ac:dyDescent="0.25"/>
    <row r="4799" ht="12" customHeight="1" x14ac:dyDescent="0.25"/>
    <row r="4800" ht="12" customHeight="1" x14ac:dyDescent="0.25"/>
    <row r="4801" ht="12" customHeight="1" x14ac:dyDescent="0.25"/>
    <row r="4802" ht="12" customHeight="1" x14ac:dyDescent="0.25"/>
    <row r="4803" ht="12" customHeight="1" x14ac:dyDescent="0.25"/>
    <row r="4804" ht="12" customHeight="1" x14ac:dyDescent="0.25"/>
    <row r="4805" ht="12" customHeight="1" x14ac:dyDescent="0.25"/>
    <row r="4806" ht="12" customHeight="1" x14ac:dyDescent="0.25"/>
    <row r="4807" ht="12" customHeight="1" x14ac:dyDescent="0.25"/>
    <row r="4808" ht="12" customHeight="1" x14ac:dyDescent="0.25"/>
    <row r="4809" ht="12" customHeight="1" x14ac:dyDescent="0.25"/>
    <row r="4810" ht="12" customHeight="1" x14ac:dyDescent="0.25"/>
    <row r="4811" ht="12" customHeight="1" x14ac:dyDescent="0.25"/>
    <row r="4812" ht="12" customHeight="1" x14ac:dyDescent="0.25"/>
    <row r="4813" ht="12" customHeight="1" x14ac:dyDescent="0.25"/>
    <row r="4814" ht="12" customHeight="1" x14ac:dyDescent="0.25"/>
    <row r="4815" ht="12" customHeight="1" x14ac:dyDescent="0.25"/>
    <row r="4816" ht="12" customHeight="1" x14ac:dyDescent="0.25"/>
    <row r="4817" ht="12" customHeight="1" x14ac:dyDescent="0.25"/>
    <row r="4818" ht="12" customHeight="1" x14ac:dyDescent="0.25"/>
    <row r="4819" ht="12" customHeight="1" x14ac:dyDescent="0.25"/>
    <row r="4820" ht="12" customHeight="1" x14ac:dyDescent="0.25"/>
    <row r="4821" ht="12" customHeight="1" x14ac:dyDescent="0.25"/>
    <row r="4822" ht="12" customHeight="1" x14ac:dyDescent="0.25"/>
    <row r="4823" ht="12" customHeight="1" x14ac:dyDescent="0.25"/>
    <row r="4824" ht="12" customHeight="1" x14ac:dyDescent="0.25"/>
    <row r="4825" ht="12" customHeight="1" x14ac:dyDescent="0.25"/>
    <row r="4826" ht="12" customHeight="1" x14ac:dyDescent="0.25"/>
    <row r="4827" ht="12" customHeight="1" x14ac:dyDescent="0.25"/>
    <row r="4828" ht="12" customHeight="1" x14ac:dyDescent="0.25"/>
    <row r="4829" ht="12" customHeight="1" x14ac:dyDescent="0.25"/>
    <row r="4830" ht="12" customHeight="1" x14ac:dyDescent="0.25"/>
    <row r="4831" ht="12" customHeight="1" x14ac:dyDescent="0.25"/>
    <row r="4832" ht="12" customHeight="1" x14ac:dyDescent="0.25"/>
    <row r="4833" ht="12" customHeight="1" x14ac:dyDescent="0.25"/>
    <row r="4834" ht="12" customHeight="1" x14ac:dyDescent="0.25"/>
    <row r="4835" ht="12" customHeight="1" x14ac:dyDescent="0.25"/>
    <row r="4836" ht="12" customHeight="1" x14ac:dyDescent="0.25"/>
    <row r="4837" ht="12" customHeight="1" x14ac:dyDescent="0.25"/>
    <row r="4838" ht="12" customHeight="1" x14ac:dyDescent="0.25"/>
    <row r="4839" ht="12" customHeight="1" x14ac:dyDescent="0.25"/>
    <row r="4840" ht="12" customHeight="1" x14ac:dyDescent="0.25"/>
    <row r="4841" ht="12" customHeight="1" x14ac:dyDescent="0.25"/>
    <row r="4842" ht="12" customHeight="1" x14ac:dyDescent="0.25"/>
    <row r="4843" ht="12" customHeight="1" x14ac:dyDescent="0.25"/>
    <row r="4844" ht="12" customHeight="1" x14ac:dyDescent="0.25"/>
    <row r="4845" ht="12" customHeight="1" x14ac:dyDescent="0.25"/>
    <row r="4846" ht="12" customHeight="1" x14ac:dyDescent="0.25"/>
    <row r="4847" ht="12" customHeight="1" x14ac:dyDescent="0.25"/>
    <row r="4848" ht="12" customHeight="1" x14ac:dyDescent="0.25"/>
    <row r="4849" ht="12" customHeight="1" x14ac:dyDescent="0.25"/>
    <row r="4850" ht="12" customHeight="1" x14ac:dyDescent="0.25"/>
    <row r="4851" ht="12" customHeight="1" x14ac:dyDescent="0.25"/>
    <row r="4852" ht="12" customHeight="1" x14ac:dyDescent="0.25"/>
    <row r="4853" ht="12" customHeight="1" x14ac:dyDescent="0.25"/>
    <row r="4854" ht="12" customHeight="1" x14ac:dyDescent="0.25"/>
    <row r="4855" ht="12" customHeight="1" x14ac:dyDescent="0.25"/>
    <row r="4856" ht="12" customHeight="1" x14ac:dyDescent="0.25"/>
    <row r="4857" ht="12" customHeight="1" x14ac:dyDescent="0.25"/>
    <row r="4858" ht="12" customHeight="1" x14ac:dyDescent="0.25"/>
    <row r="4859" ht="12" customHeight="1" x14ac:dyDescent="0.25"/>
    <row r="4860" ht="12" customHeight="1" x14ac:dyDescent="0.25"/>
    <row r="4861" ht="12" customHeight="1" x14ac:dyDescent="0.25"/>
    <row r="4862" ht="12" customHeight="1" x14ac:dyDescent="0.25"/>
    <row r="4863" ht="12" customHeight="1" x14ac:dyDescent="0.25"/>
    <row r="4864" ht="12" customHeight="1" x14ac:dyDescent="0.25"/>
    <row r="4865" ht="12" customHeight="1" x14ac:dyDescent="0.25"/>
    <row r="4866" ht="12" customHeight="1" x14ac:dyDescent="0.25"/>
    <row r="4867" ht="12" customHeight="1" x14ac:dyDescent="0.25"/>
    <row r="4868" ht="12" customHeight="1" x14ac:dyDescent="0.25"/>
    <row r="4869" ht="12" customHeight="1" x14ac:dyDescent="0.25"/>
    <row r="4870" ht="12" customHeight="1" x14ac:dyDescent="0.25"/>
    <row r="4871" ht="12" customHeight="1" x14ac:dyDescent="0.25"/>
    <row r="4872" ht="12" customHeight="1" x14ac:dyDescent="0.25"/>
    <row r="4873" ht="12" customHeight="1" x14ac:dyDescent="0.25"/>
    <row r="4874" ht="12" customHeight="1" x14ac:dyDescent="0.25"/>
    <row r="4875" ht="12" customHeight="1" x14ac:dyDescent="0.25"/>
    <row r="4876" ht="12" customHeight="1" x14ac:dyDescent="0.25"/>
    <row r="4877" ht="12" customHeight="1" x14ac:dyDescent="0.25"/>
    <row r="4878" ht="12" customHeight="1" x14ac:dyDescent="0.25"/>
    <row r="4879" ht="12" customHeight="1" x14ac:dyDescent="0.25"/>
    <row r="4880" ht="12" customHeight="1" x14ac:dyDescent="0.25"/>
    <row r="4881" ht="12" customHeight="1" x14ac:dyDescent="0.25"/>
    <row r="4882" ht="12" customHeight="1" x14ac:dyDescent="0.25"/>
    <row r="4883" ht="12" customHeight="1" x14ac:dyDescent="0.25"/>
    <row r="4884" ht="12" customHeight="1" x14ac:dyDescent="0.25"/>
    <row r="4885" ht="12" customHeight="1" x14ac:dyDescent="0.25"/>
    <row r="4886" ht="12" customHeight="1" x14ac:dyDescent="0.25"/>
    <row r="4887" ht="12" customHeight="1" x14ac:dyDescent="0.25"/>
    <row r="4888" ht="12" customHeight="1" x14ac:dyDescent="0.25"/>
    <row r="4889" ht="12" customHeight="1" x14ac:dyDescent="0.25"/>
    <row r="4890" ht="12" customHeight="1" x14ac:dyDescent="0.25"/>
    <row r="4891" ht="12" customHeight="1" x14ac:dyDescent="0.25"/>
    <row r="4892" ht="12" customHeight="1" x14ac:dyDescent="0.25"/>
    <row r="4893" ht="12" customHeight="1" x14ac:dyDescent="0.25"/>
    <row r="4894" ht="12" customHeight="1" x14ac:dyDescent="0.25"/>
    <row r="4895" ht="12" customHeight="1" x14ac:dyDescent="0.25"/>
    <row r="4896" ht="12" customHeight="1" x14ac:dyDescent="0.25"/>
    <row r="4897" ht="12" customHeight="1" x14ac:dyDescent="0.25"/>
    <row r="4898" ht="12" customHeight="1" x14ac:dyDescent="0.25"/>
    <row r="4899" ht="12" customHeight="1" x14ac:dyDescent="0.25"/>
    <row r="4900" ht="12" customHeight="1" x14ac:dyDescent="0.25"/>
    <row r="4901" ht="12" customHeight="1" x14ac:dyDescent="0.25"/>
    <row r="4902" ht="12" customHeight="1" x14ac:dyDescent="0.25"/>
    <row r="4903" ht="12" customHeight="1" x14ac:dyDescent="0.25"/>
    <row r="4904" ht="12" customHeight="1" x14ac:dyDescent="0.25"/>
    <row r="4905" ht="12" customHeight="1" x14ac:dyDescent="0.25"/>
    <row r="4906" ht="12" customHeight="1" x14ac:dyDescent="0.25"/>
    <row r="4907" ht="12" customHeight="1" x14ac:dyDescent="0.25"/>
    <row r="4908" ht="12" customHeight="1" x14ac:dyDescent="0.25"/>
    <row r="4909" ht="12" customHeight="1" x14ac:dyDescent="0.25"/>
    <row r="4910" ht="12" customHeight="1" x14ac:dyDescent="0.25"/>
    <row r="4911" ht="12" customHeight="1" x14ac:dyDescent="0.25"/>
    <row r="4912" ht="12" customHeight="1" x14ac:dyDescent="0.25"/>
    <row r="4913" ht="12" customHeight="1" x14ac:dyDescent="0.25"/>
    <row r="4914" ht="12" customHeight="1" x14ac:dyDescent="0.25"/>
    <row r="4915" ht="12" customHeight="1" x14ac:dyDescent="0.25"/>
    <row r="4916" ht="12" customHeight="1" x14ac:dyDescent="0.25"/>
    <row r="4917" ht="12" customHeight="1" x14ac:dyDescent="0.25"/>
    <row r="4918" ht="12" customHeight="1" x14ac:dyDescent="0.25"/>
    <row r="4919" ht="12" customHeight="1" x14ac:dyDescent="0.25"/>
    <row r="4920" ht="12" customHeight="1" x14ac:dyDescent="0.25"/>
    <row r="4921" ht="12" customHeight="1" x14ac:dyDescent="0.25"/>
    <row r="4922" ht="12" customHeight="1" x14ac:dyDescent="0.25"/>
    <row r="4923" ht="12" customHeight="1" x14ac:dyDescent="0.25"/>
    <row r="4924" ht="12" customHeight="1" x14ac:dyDescent="0.25"/>
    <row r="4925" ht="12" customHeight="1" x14ac:dyDescent="0.25"/>
    <row r="4926" ht="12" customHeight="1" x14ac:dyDescent="0.25"/>
    <row r="4927" ht="12" customHeight="1" x14ac:dyDescent="0.25"/>
    <row r="4928" ht="12" customHeight="1" x14ac:dyDescent="0.25"/>
    <row r="4929" ht="12" customHeight="1" x14ac:dyDescent="0.25"/>
    <row r="4930" ht="12" customHeight="1" x14ac:dyDescent="0.25"/>
    <row r="4931" ht="12" customHeight="1" x14ac:dyDescent="0.25"/>
    <row r="4932" ht="12" customHeight="1" x14ac:dyDescent="0.25"/>
    <row r="4933" ht="12" customHeight="1" x14ac:dyDescent="0.25"/>
    <row r="4934" ht="12" customHeight="1" x14ac:dyDescent="0.25"/>
    <row r="4935" ht="12" customHeight="1" x14ac:dyDescent="0.25"/>
    <row r="4936" ht="12" customHeight="1" x14ac:dyDescent="0.25"/>
    <row r="4937" ht="12" customHeight="1" x14ac:dyDescent="0.25"/>
    <row r="4938" ht="12" customHeight="1" x14ac:dyDescent="0.25"/>
    <row r="4939" ht="12" customHeight="1" x14ac:dyDescent="0.25"/>
    <row r="4940" ht="12" customHeight="1" x14ac:dyDescent="0.25"/>
    <row r="4941" ht="12" customHeight="1" x14ac:dyDescent="0.25"/>
    <row r="4942" ht="12" customHeight="1" x14ac:dyDescent="0.25"/>
    <row r="4943" ht="12" customHeight="1" x14ac:dyDescent="0.25"/>
    <row r="4944" ht="12" customHeight="1" x14ac:dyDescent="0.25"/>
    <row r="4945" ht="12" customHeight="1" x14ac:dyDescent="0.25"/>
    <row r="4946" ht="12" customHeight="1" x14ac:dyDescent="0.25"/>
    <row r="4947" ht="12" customHeight="1" x14ac:dyDescent="0.25"/>
    <row r="4948" ht="12" customHeight="1" x14ac:dyDescent="0.25"/>
    <row r="4949" ht="12" customHeight="1" x14ac:dyDescent="0.25"/>
    <row r="4950" ht="12" customHeight="1" x14ac:dyDescent="0.25"/>
    <row r="4951" ht="12" customHeight="1" x14ac:dyDescent="0.25"/>
    <row r="4952" ht="12" customHeight="1" x14ac:dyDescent="0.25"/>
    <row r="4953" ht="12" customHeight="1" x14ac:dyDescent="0.25"/>
    <row r="4954" ht="12" customHeight="1" x14ac:dyDescent="0.25"/>
    <row r="4955" ht="12" customHeight="1" x14ac:dyDescent="0.25"/>
    <row r="4956" ht="12" customHeight="1" x14ac:dyDescent="0.25"/>
    <row r="4957" ht="12" customHeight="1" x14ac:dyDescent="0.25"/>
    <row r="4958" ht="12" customHeight="1" x14ac:dyDescent="0.25"/>
    <row r="4959" ht="12" customHeight="1" x14ac:dyDescent="0.25"/>
    <row r="4960" ht="12" customHeight="1" x14ac:dyDescent="0.25"/>
    <row r="4961" ht="12" customHeight="1" x14ac:dyDescent="0.25"/>
    <row r="4962" ht="12" customHeight="1" x14ac:dyDescent="0.25"/>
    <row r="4963" ht="12" customHeight="1" x14ac:dyDescent="0.25"/>
    <row r="4964" ht="12" customHeight="1" x14ac:dyDescent="0.25"/>
    <row r="4965" ht="12" customHeight="1" x14ac:dyDescent="0.25"/>
    <row r="4966" ht="12" customHeight="1" x14ac:dyDescent="0.25"/>
    <row r="4967" ht="12" customHeight="1" x14ac:dyDescent="0.25"/>
    <row r="4968" ht="12" customHeight="1" x14ac:dyDescent="0.25"/>
    <row r="4969" ht="12" customHeight="1" x14ac:dyDescent="0.25"/>
    <row r="4970" ht="12" customHeight="1" x14ac:dyDescent="0.25"/>
    <row r="4971" ht="12" customHeight="1" x14ac:dyDescent="0.25"/>
    <row r="4972" ht="12" customHeight="1" x14ac:dyDescent="0.25"/>
    <row r="4973" ht="12" customHeight="1" x14ac:dyDescent="0.25"/>
    <row r="4974" ht="12" customHeight="1" x14ac:dyDescent="0.25"/>
    <row r="4975" ht="12" customHeight="1" x14ac:dyDescent="0.25"/>
    <row r="4976" ht="12" customHeight="1" x14ac:dyDescent="0.25"/>
    <row r="4977" ht="12" customHeight="1" x14ac:dyDescent="0.25"/>
    <row r="4978" ht="12" customHeight="1" x14ac:dyDescent="0.25"/>
    <row r="4979" ht="12" customHeight="1" x14ac:dyDescent="0.25"/>
    <row r="4980" ht="12" customHeight="1" x14ac:dyDescent="0.25"/>
    <row r="4981" ht="12" customHeight="1" x14ac:dyDescent="0.25"/>
    <row r="4982" ht="12" customHeight="1" x14ac:dyDescent="0.25"/>
    <row r="4983" ht="12" customHeight="1" x14ac:dyDescent="0.25"/>
    <row r="4984" ht="12" customHeight="1" x14ac:dyDescent="0.25"/>
    <row r="4985" ht="12" customHeight="1" x14ac:dyDescent="0.25"/>
    <row r="4986" ht="12" customHeight="1" x14ac:dyDescent="0.25"/>
    <row r="4987" ht="12" customHeight="1" x14ac:dyDescent="0.25"/>
    <row r="4988" ht="12" customHeight="1" x14ac:dyDescent="0.25"/>
    <row r="4989" ht="12" customHeight="1" x14ac:dyDescent="0.25"/>
    <row r="4990" ht="12" customHeight="1" x14ac:dyDescent="0.25"/>
    <row r="4991" ht="12" customHeight="1" x14ac:dyDescent="0.25"/>
    <row r="4992" ht="12" customHeight="1" x14ac:dyDescent="0.25"/>
    <row r="4993" ht="12" customHeight="1" x14ac:dyDescent="0.25"/>
    <row r="4994" ht="12" customHeight="1" x14ac:dyDescent="0.25"/>
    <row r="4995" ht="12" customHeight="1" x14ac:dyDescent="0.25"/>
    <row r="4996" ht="12" customHeight="1" x14ac:dyDescent="0.25"/>
    <row r="4997" ht="12" customHeight="1" x14ac:dyDescent="0.25"/>
    <row r="4998" ht="12" customHeight="1" x14ac:dyDescent="0.25"/>
    <row r="4999" ht="12" customHeight="1" x14ac:dyDescent="0.25"/>
    <row r="5000" ht="12" customHeight="1" x14ac:dyDescent="0.25"/>
    <row r="5001" ht="12" customHeight="1" x14ac:dyDescent="0.25"/>
    <row r="5002" ht="12" customHeight="1" x14ac:dyDescent="0.25"/>
    <row r="5003" ht="12" customHeight="1" x14ac:dyDescent="0.25"/>
    <row r="5004" ht="12" customHeight="1" x14ac:dyDescent="0.25"/>
    <row r="5005" ht="12" customHeight="1" x14ac:dyDescent="0.25"/>
    <row r="5006" ht="12" customHeight="1" x14ac:dyDescent="0.25"/>
    <row r="5007" ht="12" customHeight="1" x14ac:dyDescent="0.25"/>
    <row r="5008" ht="12" customHeight="1" x14ac:dyDescent="0.25"/>
    <row r="5009" ht="12" customHeight="1" x14ac:dyDescent="0.25"/>
    <row r="5010" ht="12" customHeight="1" x14ac:dyDescent="0.25"/>
    <row r="5011" ht="12" customHeight="1" x14ac:dyDescent="0.25"/>
    <row r="5012" ht="12" customHeight="1" x14ac:dyDescent="0.25"/>
    <row r="5013" ht="12" customHeight="1" x14ac:dyDescent="0.25"/>
    <row r="5014" ht="12" customHeight="1" x14ac:dyDescent="0.25"/>
    <row r="5015" ht="12" customHeight="1" x14ac:dyDescent="0.25"/>
    <row r="5016" ht="12" customHeight="1" x14ac:dyDescent="0.25"/>
    <row r="5017" ht="12" customHeight="1" x14ac:dyDescent="0.25"/>
    <row r="5018" ht="12" customHeight="1" x14ac:dyDescent="0.25"/>
    <row r="5019" ht="12" customHeight="1" x14ac:dyDescent="0.25"/>
    <row r="5020" ht="12" customHeight="1" x14ac:dyDescent="0.25"/>
    <row r="5021" ht="12" customHeight="1" x14ac:dyDescent="0.25"/>
    <row r="5022" ht="12" customHeight="1" x14ac:dyDescent="0.25"/>
    <row r="5023" ht="12" customHeight="1" x14ac:dyDescent="0.25"/>
    <row r="5024" ht="12" customHeight="1" x14ac:dyDescent="0.25"/>
    <row r="5025" ht="12" customHeight="1" x14ac:dyDescent="0.25"/>
    <row r="5026" ht="12" customHeight="1" x14ac:dyDescent="0.25"/>
    <row r="5027" ht="12" customHeight="1" x14ac:dyDescent="0.25"/>
    <row r="5028" ht="12" customHeight="1" x14ac:dyDescent="0.25"/>
    <row r="5029" ht="12" customHeight="1" x14ac:dyDescent="0.25"/>
    <row r="5030" ht="12" customHeight="1" x14ac:dyDescent="0.25"/>
    <row r="5031" ht="12" customHeight="1" x14ac:dyDescent="0.25"/>
    <row r="5032" ht="12" customHeight="1" x14ac:dyDescent="0.25"/>
    <row r="5033" ht="12" customHeight="1" x14ac:dyDescent="0.25"/>
    <row r="5034" ht="12" customHeight="1" x14ac:dyDescent="0.25"/>
    <row r="5035" ht="12" customHeight="1" x14ac:dyDescent="0.25"/>
    <row r="5036" ht="12" customHeight="1" x14ac:dyDescent="0.25"/>
    <row r="5037" ht="12" customHeight="1" x14ac:dyDescent="0.25"/>
    <row r="5038" ht="12" customHeight="1" x14ac:dyDescent="0.25"/>
    <row r="5039" ht="12" customHeight="1" x14ac:dyDescent="0.25"/>
    <row r="5040" ht="12" customHeight="1" x14ac:dyDescent="0.25"/>
    <row r="5041" ht="12" customHeight="1" x14ac:dyDescent="0.25"/>
    <row r="5042" ht="12" customHeight="1" x14ac:dyDescent="0.25"/>
    <row r="5043" ht="12" customHeight="1" x14ac:dyDescent="0.25"/>
    <row r="5044" ht="12" customHeight="1" x14ac:dyDescent="0.25"/>
    <row r="5045" ht="12" customHeight="1" x14ac:dyDescent="0.25"/>
    <row r="5046" ht="12" customHeight="1" x14ac:dyDescent="0.25"/>
    <row r="5047" ht="12" customHeight="1" x14ac:dyDescent="0.25"/>
    <row r="5048" ht="12" customHeight="1" x14ac:dyDescent="0.25"/>
    <row r="5049" ht="12" customHeight="1" x14ac:dyDescent="0.25"/>
    <row r="5050" ht="12" customHeight="1" x14ac:dyDescent="0.25"/>
    <row r="5051" ht="12" customHeight="1" x14ac:dyDescent="0.25"/>
    <row r="5052" ht="12" customHeight="1" x14ac:dyDescent="0.25"/>
    <row r="5053" ht="12" customHeight="1" x14ac:dyDescent="0.25"/>
    <row r="5054" ht="12" customHeight="1" x14ac:dyDescent="0.25"/>
    <row r="5055" ht="12" customHeight="1" x14ac:dyDescent="0.25"/>
    <row r="5056" ht="12" customHeight="1" x14ac:dyDescent="0.25"/>
    <row r="5057" ht="12" customHeight="1" x14ac:dyDescent="0.25"/>
    <row r="5058" ht="12" customHeight="1" x14ac:dyDescent="0.25"/>
    <row r="5059" ht="12" customHeight="1" x14ac:dyDescent="0.25"/>
    <row r="5060" ht="12" customHeight="1" x14ac:dyDescent="0.25"/>
    <row r="5061" ht="12" customHeight="1" x14ac:dyDescent="0.25"/>
    <row r="5062" ht="12" customHeight="1" x14ac:dyDescent="0.25"/>
    <row r="5063" ht="12" customHeight="1" x14ac:dyDescent="0.25"/>
    <row r="5064" ht="12" customHeight="1" x14ac:dyDescent="0.25"/>
    <row r="5065" ht="12" customHeight="1" x14ac:dyDescent="0.25"/>
    <row r="5066" ht="12" customHeight="1" x14ac:dyDescent="0.25"/>
    <row r="5067" ht="12" customHeight="1" x14ac:dyDescent="0.25"/>
    <row r="5068" ht="12" customHeight="1" x14ac:dyDescent="0.25"/>
    <row r="5069" ht="12" customHeight="1" x14ac:dyDescent="0.25"/>
    <row r="5070" ht="12" customHeight="1" x14ac:dyDescent="0.25"/>
    <row r="5071" ht="12" customHeight="1" x14ac:dyDescent="0.25"/>
    <row r="5072" ht="12" customHeight="1" x14ac:dyDescent="0.25"/>
    <row r="5073" ht="12" customHeight="1" x14ac:dyDescent="0.25"/>
    <row r="5074" ht="12" customHeight="1" x14ac:dyDescent="0.25"/>
    <row r="5075" ht="12" customHeight="1" x14ac:dyDescent="0.25"/>
    <row r="5076" ht="12" customHeight="1" x14ac:dyDescent="0.25"/>
    <row r="5077" ht="12" customHeight="1" x14ac:dyDescent="0.25"/>
    <row r="5078" ht="12" customHeight="1" x14ac:dyDescent="0.25"/>
    <row r="5079" ht="12" customHeight="1" x14ac:dyDescent="0.25"/>
    <row r="5080" ht="12" customHeight="1" x14ac:dyDescent="0.25"/>
    <row r="5081" ht="12" customHeight="1" x14ac:dyDescent="0.25"/>
    <row r="5082" ht="12" customHeight="1" x14ac:dyDescent="0.25"/>
    <row r="5083" ht="12" customHeight="1" x14ac:dyDescent="0.25"/>
    <row r="5084" ht="12" customHeight="1" x14ac:dyDescent="0.25"/>
    <row r="5085" ht="12" customHeight="1" x14ac:dyDescent="0.25"/>
    <row r="5086" ht="12" customHeight="1" x14ac:dyDescent="0.25"/>
    <row r="5087" ht="12" customHeight="1" x14ac:dyDescent="0.25"/>
    <row r="5088" ht="12" customHeight="1" x14ac:dyDescent="0.25"/>
    <row r="5089" ht="12" customHeight="1" x14ac:dyDescent="0.25"/>
    <row r="5090" ht="12" customHeight="1" x14ac:dyDescent="0.25"/>
    <row r="5091" ht="12" customHeight="1" x14ac:dyDescent="0.25"/>
    <row r="5092" ht="12" customHeight="1" x14ac:dyDescent="0.25"/>
    <row r="5093" ht="12" customHeight="1" x14ac:dyDescent="0.25"/>
    <row r="5094" ht="12" customHeight="1" x14ac:dyDescent="0.25"/>
    <row r="5095" ht="12" customHeight="1" x14ac:dyDescent="0.25"/>
    <row r="5096" ht="12" customHeight="1" x14ac:dyDescent="0.25"/>
    <row r="5097" ht="12" customHeight="1" x14ac:dyDescent="0.25"/>
    <row r="5098" ht="12" customHeight="1" x14ac:dyDescent="0.25"/>
    <row r="5099" ht="12" customHeight="1" x14ac:dyDescent="0.25"/>
    <row r="5100" ht="12" customHeight="1" x14ac:dyDescent="0.25"/>
    <row r="5101" ht="12" customHeight="1" x14ac:dyDescent="0.25"/>
    <row r="5102" ht="12" customHeight="1" x14ac:dyDescent="0.25"/>
    <row r="5103" ht="12" customHeight="1" x14ac:dyDescent="0.25"/>
    <row r="5104" ht="12" customHeight="1" x14ac:dyDescent="0.25"/>
    <row r="5105" ht="12" customHeight="1" x14ac:dyDescent="0.25"/>
    <row r="5106" ht="12" customHeight="1" x14ac:dyDescent="0.25"/>
    <row r="5107" ht="12" customHeight="1" x14ac:dyDescent="0.25"/>
    <row r="5108" ht="12" customHeight="1" x14ac:dyDescent="0.25"/>
    <row r="5109" ht="12" customHeight="1" x14ac:dyDescent="0.25"/>
    <row r="5110" ht="12" customHeight="1" x14ac:dyDescent="0.25"/>
    <row r="5111" ht="12" customHeight="1" x14ac:dyDescent="0.25"/>
    <row r="5112" ht="12" customHeight="1" x14ac:dyDescent="0.25"/>
    <row r="5113" ht="12" customHeight="1" x14ac:dyDescent="0.25"/>
    <row r="5114" ht="12" customHeight="1" x14ac:dyDescent="0.25"/>
    <row r="5115" ht="12" customHeight="1" x14ac:dyDescent="0.25"/>
    <row r="5116" ht="12" customHeight="1" x14ac:dyDescent="0.25"/>
    <row r="5117" ht="12" customHeight="1" x14ac:dyDescent="0.25"/>
    <row r="5118" ht="12" customHeight="1" x14ac:dyDescent="0.25"/>
    <row r="5119" ht="12" customHeight="1" x14ac:dyDescent="0.25"/>
    <row r="5120" ht="12" customHeight="1" x14ac:dyDescent="0.25"/>
    <row r="5121" ht="12" customHeight="1" x14ac:dyDescent="0.25"/>
    <row r="5122" ht="12" customHeight="1" x14ac:dyDescent="0.25"/>
    <row r="5123" ht="12" customHeight="1" x14ac:dyDescent="0.25"/>
    <row r="5124" ht="12" customHeight="1" x14ac:dyDescent="0.25"/>
    <row r="5125" ht="12" customHeight="1" x14ac:dyDescent="0.25"/>
    <row r="5126" ht="12" customHeight="1" x14ac:dyDescent="0.25"/>
    <row r="5127" ht="12" customHeight="1" x14ac:dyDescent="0.25"/>
    <row r="5128" ht="12" customHeight="1" x14ac:dyDescent="0.25"/>
    <row r="5129" ht="12" customHeight="1" x14ac:dyDescent="0.25"/>
    <row r="5130" ht="12" customHeight="1" x14ac:dyDescent="0.25"/>
    <row r="5131" ht="12" customHeight="1" x14ac:dyDescent="0.25"/>
    <row r="5132" ht="12" customHeight="1" x14ac:dyDescent="0.25"/>
    <row r="5133" ht="12" customHeight="1" x14ac:dyDescent="0.25"/>
    <row r="5134" ht="12" customHeight="1" x14ac:dyDescent="0.25"/>
    <row r="5135" ht="12" customHeight="1" x14ac:dyDescent="0.25"/>
    <row r="5136" ht="12" customHeight="1" x14ac:dyDescent="0.25"/>
    <row r="5137" ht="12" customHeight="1" x14ac:dyDescent="0.25"/>
    <row r="5138" ht="12" customHeight="1" x14ac:dyDescent="0.25"/>
    <row r="5139" ht="12" customHeight="1" x14ac:dyDescent="0.25"/>
    <row r="5140" ht="12" customHeight="1" x14ac:dyDescent="0.25"/>
    <row r="5141" ht="12" customHeight="1" x14ac:dyDescent="0.25"/>
    <row r="5142" ht="12" customHeight="1" x14ac:dyDescent="0.25"/>
    <row r="5143" ht="12" customHeight="1" x14ac:dyDescent="0.25"/>
    <row r="5144" ht="12" customHeight="1" x14ac:dyDescent="0.25"/>
    <row r="5145" ht="12" customHeight="1" x14ac:dyDescent="0.25"/>
    <row r="5146" ht="12" customHeight="1" x14ac:dyDescent="0.25"/>
    <row r="5147" ht="12" customHeight="1" x14ac:dyDescent="0.25"/>
    <row r="5148" ht="12" customHeight="1" x14ac:dyDescent="0.25"/>
    <row r="5149" ht="12" customHeight="1" x14ac:dyDescent="0.25"/>
    <row r="5150" ht="12" customHeight="1" x14ac:dyDescent="0.25"/>
    <row r="5151" ht="12" customHeight="1" x14ac:dyDescent="0.25"/>
    <row r="5152" ht="12" customHeight="1" x14ac:dyDescent="0.25"/>
    <row r="5153" ht="12" customHeight="1" x14ac:dyDescent="0.25"/>
    <row r="5154" ht="12" customHeight="1" x14ac:dyDescent="0.25"/>
    <row r="5155" ht="12" customHeight="1" x14ac:dyDescent="0.25"/>
    <row r="5156" ht="12" customHeight="1" x14ac:dyDescent="0.25"/>
    <row r="5157" ht="12" customHeight="1" x14ac:dyDescent="0.25"/>
    <row r="5158" ht="12" customHeight="1" x14ac:dyDescent="0.25"/>
    <row r="5159" ht="12" customHeight="1" x14ac:dyDescent="0.25"/>
    <row r="5160" ht="12" customHeight="1" x14ac:dyDescent="0.25"/>
    <row r="5161" ht="12" customHeight="1" x14ac:dyDescent="0.25"/>
    <row r="5162" ht="12" customHeight="1" x14ac:dyDescent="0.25"/>
    <row r="5163" ht="12" customHeight="1" x14ac:dyDescent="0.25"/>
    <row r="5164" ht="12" customHeight="1" x14ac:dyDescent="0.25"/>
    <row r="5165" ht="12" customHeight="1" x14ac:dyDescent="0.25"/>
    <row r="5166" ht="12" customHeight="1" x14ac:dyDescent="0.25"/>
    <row r="5167" ht="12" customHeight="1" x14ac:dyDescent="0.25"/>
    <row r="5168" ht="12" customHeight="1" x14ac:dyDescent="0.25"/>
    <row r="5169" ht="12" customHeight="1" x14ac:dyDescent="0.25"/>
    <row r="5170" ht="12" customHeight="1" x14ac:dyDescent="0.25"/>
    <row r="5171" ht="12" customHeight="1" x14ac:dyDescent="0.25"/>
    <row r="5172" ht="12" customHeight="1" x14ac:dyDescent="0.25"/>
    <row r="5173" ht="12" customHeight="1" x14ac:dyDescent="0.25"/>
    <row r="5174" ht="12" customHeight="1" x14ac:dyDescent="0.25"/>
    <row r="5175" ht="12" customHeight="1" x14ac:dyDescent="0.25"/>
    <row r="5176" ht="12" customHeight="1" x14ac:dyDescent="0.25"/>
    <row r="5177" ht="12" customHeight="1" x14ac:dyDescent="0.25"/>
    <row r="5178" ht="12" customHeight="1" x14ac:dyDescent="0.25"/>
    <row r="5179" ht="12" customHeight="1" x14ac:dyDescent="0.25"/>
    <row r="5180" ht="12" customHeight="1" x14ac:dyDescent="0.25"/>
    <row r="5181" ht="12" customHeight="1" x14ac:dyDescent="0.25"/>
    <row r="5182" ht="12" customHeight="1" x14ac:dyDescent="0.25"/>
    <row r="5183" ht="12" customHeight="1" x14ac:dyDescent="0.25"/>
    <row r="5184" ht="12" customHeight="1" x14ac:dyDescent="0.25"/>
    <row r="5185" ht="12" customHeight="1" x14ac:dyDescent="0.25"/>
    <row r="5186" ht="12" customHeight="1" x14ac:dyDescent="0.25"/>
    <row r="5187" ht="12" customHeight="1" x14ac:dyDescent="0.25"/>
    <row r="5188" ht="12" customHeight="1" x14ac:dyDescent="0.25"/>
    <row r="5189" ht="12" customHeight="1" x14ac:dyDescent="0.25"/>
    <row r="5190" ht="12" customHeight="1" x14ac:dyDescent="0.25"/>
    <row r="5191" ht="12" customHeight="1" x14ac:dyDescent="0.25"/>
    <row r="5192" ht="12" customHeight="1" x14ac:dyDescent="0.25"/>
    <row r="5193" ht="12" customHeight="1" x14ac:dyDescent="0.25"/>
    <row r="5194" ht="12" customHeight="1" x14ac:dyDescent="0.25"/>
    <row r="5195" ht="12" customHeight="1" x14ac:dyDescent="0.25"/>
    <row r="5196" ht="12" customHeight="1" x14ac:dyDescent="0.25"/>
    <row r="5197" ht="12" customHeight="1" x14ac:dyDescent="0.25"/>
    <row r="5198" ht="12" customHeight="1" x14ac:dyDescent="0.25"/>
    <row r="5199" ht="12" customHeight="1" x14ac:dyDescent="0.25"/>
    <row r="5200" ht="12" customHeight="1" x14ac:dyDescent="0.25"/>
    <row r="5201" ht="12" customHeight="1" x14ac:dyDescent="0.25"/>
    <row r="5202" ht="12" customHeight="1" x14ac:dyDescent="0.25"/>
    <row r="5203" ht="12" customHeight="1" x14ac:dyDescent="0.25"/>
    <row r="5204" ht="12" customHeight="1" x14ac:dyDescent="0.25"/>
    <row r="5205" ht="12" customHeight="1" x14ac:dyDescent="0.25"/>
    <row r="5206" ht="12" customHeight="1" x14ac:dyDescent="0.25"/>
    <row r="5207" ht="12" customHeight="1" x14ac:dyDescent="0.25"/>
    <row r="5208" ht="12" customHeight="1" x14ac:dyDescent="0.25"/>
    <row r="5209" ht="12" customHeight="1" x14ac:dyDescent="0.25"/>
    <row r="5210" ht="12" customHeight="1" x14ac:dyDescent="0.25"/>
    <row r="5211" ht="12" customHeight="1" x14ac:dyDescent="0.25"/>
    <row r="5212" ht="12" customHeight="1" x14ac:dyDescent="0.25"/>
    <row r="5213" ht="12" customHeight="1" x14ac:dyDescent="0.25"/>
    <row r="5214" ht="12" customHeight="1" x14ac:dyDescent="0.25"/>
    <row r="5215" ht="12" customHeight="1" x14ac:dyDescent="0.25"/>
    <row r="5216" ht="12" customHeight="1" x14ac:dyDescent="0.25"/>
    <row r="5217" ht="12" customHeight="1" x14ac:dyDescent="0.25"/>
    <row r="5218" ht="12" customHeight="1" x14ac:dyDescent="0.25"/>
    <row r="5219" ht="12" customHeight="1" x14ac:dyDescent="0.25"/>
    <row r="5220" ht="12" customHeight="1" x14ac:dyDescent="0.25"/>
    <row r="5221" ht="12" customHeight="1" x14ac:dyDescent="0.25"/>
    <row r="5222" ht="12" customHeight="1" x14ac:dyDescent="0.25"/>
    <row r="5223" ht="12" customHeight="1" x14ac:dyDescent="0.25"/>
    <row r="5224" ht="12" customHeight="1" x14ac:dyDescent="0.25"/>
    <row r="5225" ht="12" customHeight="1" x14ac:dyDescent="0.25"/>
    <row r="5226" ht="12" customHeight="1" x14ac:dyDescent="0.25"/>
    <row r="5227" ht="12" customHeight="1" x14ac:dyDescent="0.25"/>
    <row r="5228" ht="12" customHeight="1" x14ac:dyDescent="0.25"/>
    <row r="5229" ht="12" customHeight="1" x14ac:dyDescent="0.25"/>
    <row r="5230" ht="12" customHeight="1" x14ac:dyDescent="0.25"/>
    <row r="5231" ht="12" customHeight="1" x14ac:dyDescent="0.25"/>
    <row r="5232" ht="12" customHeight="1" x14ac:dyDescent="0.25"/>
    <row r="5233" ht="12" customHeight="1" x14ac:dyDescent="0.25"/>
    <row r="5234" ht="12" customHeight="1" x14ac:dyDescent="0.25"/>
    <row r="5235" ht="12" customHeight="1" x14ac:dyDescent="0.25"/>
    <row r="5236" ht="12" customHeight="1" x14ac:dyDescent="0.25"/>
    <row r="5237" ht="12" customHeight="1" x14ac:dyDescent="0.25"/>
    <row r="5238" ht="12" customHeight="1" x14ac:dyDescent="0.25"/>
    <row r="5239" ht="12" customHeight="1" x14ac:dyDescent="0.25"/>
    <row r="5240" ht="12" customHeight="1" x14ac:dyDescent="0.25"/>
    <row r="5241" ht="12" customHeight="1" x14ac:dyDescent="0.25"/>
    <row r="5242" ht="12" customHeight="1" x14ac:dyDescent="0.25"/>
    <row r="5243" ht="12" customHeight="1" x14ac:dyDescent="0.25"/>
    <row r="5244" ht="12" customHeight="1" x14ac:dyDescent="0.25"/>
    <row r="5245" ht="12" customHeight="1" x14ac:dyDescent="0.25"/>
    <row r="5246" ht="12" customHeight="1" x14ac:dyDescent="0.25"/>
    <row r="5247" ht="12" customHeight="1" x14ac:dyDescent="0.25"/>
    <row r="5248" ht="12" customHeight="1" x14ac:dyDescent="0.25"/>
    <row r="5249" ht="12" customHeight="1" x14ac:dyDescent="0.25"/>
    <row r="5250" ht="12" customHeight="1" x14ac:dyDescent="0.25"/>
    <row r="5251" ht="12" customHeight="1" x14ac:dyDescent="0.25"/>
    <row r="5252" ht="12" customHeight="1" x14ac:dyDescent="0.25"/>
    <row r="5253" ht="12" customHeight="1" x14ac:dyDescent="0.25"/>
    <row r="5254" ht="12" customHeight="1" x14ac:dyDescent="0.25"/>
    <row r="5255" ht="12" customHeight="1" x14ac:dyDescent="0.25"/>
    <row r="5256" ht="12" customHeight="1" x14ac:dyDescent="0.25"/>
    <row r="5257" ht="12" customHeight="1" x14ac:dyDescent="0.25"/>
    <row r="5258" ht="12" customHeight="1" x14ac:dyDescent="0.25"/>
    <row r="5259" ht="12" customHeight="1" x14ac:dyDescent="0.25"/>
    <row r="5260" ht="12" customHeight="1" x14ac:dyDescent="0.25"/>
    <row r="5261" ht="12" customHeight="1" x14ac:dyDescent="0.25"/>
    <row r="5262" ht="12" customHeight="1" x14ac:dyDescent="0.25"/>
    <row r="5263" ht="12" customHeight="1" x14ac:dyDescent="0.25"/>
    <row r="5264" ht="12" customHeight="1" x14ac:dyDescent="0.25"/>
    <row r="5265" ht="12" customHeight="1" x14ac:dyDescent="0.25"/>
    <row r="5266" ht="12" customHeight="1" x14ac:dyDescent="0.25"/>
    <row r="5267" ht="12" customHeight="1" x14ac:dyDescent="0.25"/>
    <row r="5268" ht="12" customHeight="1" x14ac:dyDescent="0.25"/>
    <row r="5269" ht="12" customHeight="1" x14ac:dyDescent="0.25"/>
    <row r="5270" ht="12" customHeight="1" x14ac:dyDescent="0.25"/>
    <row r="5271" ht="12" customHeight="1" x14ac:dyDescent="0.25"/>
    <row r="5272" ht="12" customHeight="1" x14ac:dyDescent="0.25"/>
    <row r="5273" ht="12" customHeight="1" x14ac:dyDescent="0.25"/>
    <row r="5274" ht="12" customHeight="1" x14ac:dyDescent="0.25"/>
    <row r="5275" ht="12" customHeight="1" x14ac:dyDescent="0.25"/>
    <row r="5276" ht="12" customHeight="1" x14ac:dyDescent="0.25"/>
    <row r="5277" ht="12" customHeight="1" x14ac:dyDescent="0.25"/>
    <row r="5278" ht="12" customHeight="1" x14ac:dyDescent="0.25"/>
    <row r="5279" ht="12" customHeight="1" x14ac:dyDescent="0.25"/>
    <row r="5280" ht="12" customHeight="1" x14ac:dyDescent="0.25"/>
    <row r="5281" ht="12" customHeight="1" x14ac:dyDescent="0.25"/>
    <row r="5282" ht="12" customHeight="1" x14ac:dyDescent="0.25"/>
    <row r="5283" ht="12" customHeight="1" x14ac:dyDescent="0.25"/>
    <row r="5284" ht="12" customHeight="1" x14ac:dyDescent="0.25"/>
    <row r="5285" ht="12" customHeight="1" x14ac:dyDescent="0.25"/>
    <row r="5286" ht="12" customHeight="1" x14ac:dyDescent="0.25"/>
    <row r="5287" ht="12" customHeight="1" x14ac:dyDescent="0.25"/>
    <row r="5288" ht="12" customHeight="1" x14ac:dyDescent="0.25"/>
    <row r="5289" ht="12" customHeight="1" x14ac:dyDescent="0.25"/>
    <row r="5290" ht="12" customHeight="1" x14ac:dyDescent="0.25"/>
    <row r="5291" ht="12" customHeight="1" x14ac:dyDescent="0.25"/>
    <row r="5292" ht="12" customHeight="1" x14ac:dyDescent="0.25"/>
    <row r="5293" ht="12" customHeight="1" x14ac:dyDescent="0.25"/>
    <row r="5294" ht="12" customHeight="1" x14ac:dyDescent="0.25"/>
    <row r="5295" ht="12" customHeight="1" x14ac:dyDescent="0.25"/>
    <row r="5296" ht="12" customHeight="1" x14ac:dyDescent="0.25"/>
    <row r="5297" ht="12" customHeight="1" x14ac:dyDescent="0.25"/>
    <row r="5298" ht="12" customHeight="1" x14ac:dyDescent="0.25"/>
    <row r="5299" ht="12" customHeight="1" x14ac:dyDescent="0.25"/>
    <row r="5300" ht="12" customHeight="1" x14ac:dyDescent="0.25"/>
    <row r="5301" ht="12" customHeight="1" x14ac:dyDescent="0.25"/>
    <row r="5302" ht="12" customHeight="1" x14ac:dyDescent="0.25"/>
    <row r="5303" ht="12" customHeight="1" x14ac:dyDescent="0.25"/>
    <row r="5304" ht="12" customHeight="1" x14ac:dyDescent="0.25"/>
    <row r="5305" ht="12" customHeight="1" x14ac:dyDescent="0.25"/>
    <row r="5306" ht="12" customHeight="1" x14ac:dyDescent="0.25"/>
    <row r="5307" ht="12" customHeight="1" x14ac:dyDescent="0.25"/>
    <row r="5308" ht="12" customHeight="1" x14ac:dyDescent="0.25"/>
    <row r="5309" ht="12" customHeight="1" x14ac:dyDescent="0.25"/>
    <row r="5310" ht="12" customHeight="1" x14ac:dyDescent="0.25"/>
    <row r="5311" ht="12" customHeight="1" x14ac:dyDescent="0.25"/>
    <row r="5312" ht="12" customHeight="1" x14ac:dyDescent="0.25"/>
    <row r="5313" ht="12" customHeight="1" x14ac:dyDescent="0.25"/>
    <row r="5314" ht="12" customHeight="1" x14ac:dyDescent="0.25"/>
    <row r="5315" ht="12" customHeight="1" x14ac:dyDescent="0.25"/>
    <row r="5316" ht="12" customHeight="1" x14ac:dyDescent="0.25"/>
    <row r="5317" ht="12" customHeight="1" x14ac:dyDescent="0.25"/>
    <row r="5318" ht="12" customHeight="1" x14ac:dyDescent="0.25"/>
    <row r="5319" ht="12" customHeight="1" x14ac:dyDescent="0.25"/>
    <row r="5320" ht="12" customHeight="1" x14ac:dyDescent="0.25"/>
    <row r="5321" ht="12" customHeight="1" x14ac:dyDescent="0.25"/>
    <row r="5322" ht="12" customHeight="1" x14ac:dyDescent="0.25"/>
    <row r="5323" ht="12" customHeight="1" x14ac:dyDescent="0.25"/>
    <row r="5324" ht="12" customHeight="1" x14ac:dyDescent="0.25"/>
    <row r="5325" ht="12" customHeight="1" x14ac:dyDescent="0.25"/>
    <row r="5326" ht="12" customHeight="1" x14ac:dyDescent="0.25"/>
    <row r="5327" ht="12" customHeight="1" x14ac:dyDescent="0.25"/>
    <row r="5328" ht="12" customHeight="1" x14ac:dyDescent="0.25"/>
    <row r="5329" ht="12" customHeight="1" x14ac:dyDescent="0.25"/>
    <row r="5330" ht="12" customHeight="1" x14ac:dyDescent="0.25"/>
    <row r="5331" ht="12" customHeight="1" x14ac:dyDescent="0.25"/>
    <row r="5332" ht="12" customHeight="1" x14ac:dyDescent="0.25"/>
    <row r="5333" ht="12" customHeight="1" x14ac:dyDescent="0.25"/>
    <row r="5334" ht="12" customHeight="1" x14ac:dyDescent="0.25"/>
    <row r="5335" ht="12" customHeight="1" x14ac:dyDescent="0.25"/>
    <row r="5336" ht="12" customHeight="1" x14ac:dyDescent="0.25"/>
    <row r="5337" ht="12" customHeight="1" x14ac:dyDescent="0.25"/>
    <row r="5338" ht="12" customHeight="1" x14ac:dyDescent="0.25"/>
    <row r="5339" ht="12" customHeight="1" x14ac:dyDescent="0.25"/>
    <row r="5340" ht="12" customHeight="1" x14ac:dyDescent="0.25"/>
    <row r="5341" ht="12" customHeight="1" x14ac:dyDescent="0.25"/>
    <row r="5342" ht="12" customHeight="1" x14ac:dyDescent="0.25"/>
    <row r="5343" ht="12" customHeight="1" x14ac:dyDescent="0.25"/>
    <row r="5344" ht="12" customHeight="1" x14ac:dyDescent="0.25"/>
    <row r="5345" ht="12" customHeight="1" x14ac:dyDescent="0.25"/>
    <row r="5346" ht="12" customHeight="1" x14ac:dyDescent="0.25"/>
    <row r="5347" ht="12" customHeight="1" x14ac:dyDescent="0.25"/>
    <row r="5348" ht="12" customHeight="1" x14ac:dyDescent="0.25"/>
    <row r="5349" ht="12" customHeight="1" x14ac:dyDescent="0.25"/>
    <row r="5350" ht="12" customHeight="1" x14ac:dyDescent="0.25"/>
    <row r="5351" ht="12" customHeight="1" x14ac:dyDescent="0.25"/>
    <row r="5352" ht="12" customHeight="1" x14ac:dyDescent="0.25"/>
    <row r="5353" ht="12" customHeight="1" x14ac:dyDescent="0.25"/>
    <row r="5354" ht="12" customHeight="1" x14ac:dyDescent="0.25"/>
    <row r="5355" ht="12" customHeight="1" x14ac:dyDescent="0.25"/>
    <row r="5356" ht="12" customHeight="1" x14ac:dyDescent="0.25"/>
    <row r="5357" ht="12" customHeight="1" x14ac:dyDescent="0.25"/>
    <row r="5358" ht="12" customHeight="1" x14ac:dyDescent="0.25"/>
    <row r="5359" ht="12" customHeight="1" x14ac:dyDescent="0.25"/>
    <row r="5360" ht="12" customHeight="1" x14ac:dyDescent="0.25"/>
    <row r="5361" ht="12" customHeight="1" x14ac:dyDescent="0.25"/>
    <row r="5362" ht="12" customHeight="1" x14ac:dyDescent="0.25"/>
    <row r="5363" ht="12" customHeight="1" x14ac:dyDescent="0.25"/>
    <row r="5364" ht="12" customHeight="1" x14ac:dyDescent="0.25"/>
    <row r="5365" ht="12" customHeight="1" x14ac:dyDescent="0.25"/>
    <row r="5366" ht="12" customHeight="1" x14ac:dyDescent="0.25"/>
    <row r="5367" ht="12" customHeight="1" x14ac:dyDescent="0.25"/>
    <row r="5368" ht="12" customHeight="1" x14ac:dyDescent="0.25"/>
    <row r="5369" ht="12" customHeight="1" x14ac:dyDescent="0.25"/>
    <row r="5370" ht="12" customHeight="1" x14ac:dyDescent="0.25"/>
    <row r="5371" ht="12" customHeight="1" x14ac:dyDescent="0.25"/>
    <row r="5372" ht="12" customHeight="1" x14ac:dyDescent="0.25"/>
    <row r="5373" ht="12" customHeight="1" x14ac:dyDescent="0.25"/>
    <row r="5374" ht="12" customHeight="1" x14ac:dyDescent="0.25"/>
    <row r="5375" ht="12" customHeight="1" x14ac:dyDescent="0.25"/>
    <row r="5376" ht="12" customHeight="1" x14ac:dyDescent="0.25"/>
    <row r="5377" ht="12" customHeight="1" x14ac:dyDescent="0.25"/>
    <row r="5378" ht="12" customHeight="1" x14ac:dyDescent="0.25"/>
    <row r="5379" ht="12" customHeight="1" x14ac:dyDescent="0.25"/>
    <row r="5380" ht="12" customHeight="1" x14ac:dyDescent="0.25"/>
    <row r="5381" ht="12" customHeight="1" x14ac:dyDescent="0.25"/>
    <row r="5382" ht="12" customHeight="1" x14ac:dyDescent="0.25"/>
    <row r="5383" ht="12" customHeight="1" x14ac:dyDescent="0.25"/>
    <row r="5384" ht="12" customHeight="1" x14ac:dyDescent="0.25"/>
    <row r="5385" ht="12" customHeight="1" x14ac:dyDescent="0.25"/>
    <row r="5386" ht="12" customHeight="1" x14ac:dyDescent="0.25"/>
    <row r="5387" ht="12" customHeight="1" x14ac:dyDescent="0.25"/>
    <row r="5388" ht="12" customHeight="1" x14ac:dyDescent="0.25"/>
    <row r="5389" ht="12" customHeight="1" x14ac:dyDescent="0.25"/>
    <row r="5390" ht="12" customHeight="1" x14ac:dyDescent="0.25"/>
    <row r="5391" ht="12" customHeight="1" x14ac:dyDescent="0.25"/>
    <row r="5392" ht="12" customHeight="1" x14ac:dyDescent="0.25"/>
    <row r="5393" ht="12" customHeight="1" x14ac:dyDescent="0.25"/>
    <row r="5394" ht="12" customHeight="1" x14ac:dyDescent="0.25"/>
    <row r="5395" ht="12" customHeight="1" x14ac:dyDescent="0.25"/>
    <row r="5396" ht="12" customHeight="1" x14ac:dyDescent="0.25"/>
    <row r="5397" ht="12" customHeight="1" x14ac:dyDescent="0.25"/>
    <row r="5398" ht="12" customHeight="1" x14ac:dyDescent="0.25"/>
    <row r="5399" ht="12" customHeight="1" x14ac:dyDescent="0.25"/>
    <row r="5400" ht="12" customHeight="1" x14ac:dyDescent="0.25"/>
    <row r="5401" ht="12" customHeight="1" x14ac:dyDescent="0.25"/>
    <row r="5402" ht="12" customHeight="1" x14ac:dyDescent="0.25"/>
    <row r="5403" ht="12" customHeight="1" x14ac:dyDescent="0.25"/>
    <row r="5404" ht="12" customHeight="1" x14ac:dyDescent="0.25"/>
    <row r="5405" ht="12" customHeight="1" x14ac:dyDescent="0.25"/>
    <row r="5406" ht="12" customHeight="1" x14ac:dyDescent="0.25"/>
    <row r="5407" ht="12" customHeight="1" x14ac:dyDescent="0.25"/>
    <row r="5408" ht="12" customHeight="1" x14ac:dyDescent="0.25"/>
    <row r="5409" ht="12" customHeight="1" x14ac:dyDescent="0.25"/>
    <row r="5410" ht="12" customHeight="1" x14ac:dyDescent="0.25"/>
    <row r="5411" ht="12" customHeight="1" x14ac:dyDescent="0.25"/>
    <row r="5412" ht="12" customHeight="1" x14ac:dyDescent="0.25"/>
    <row r="5413" ht="12" customHeight="1" x14ac:dyDescent="0.25"/>
    <row r="5414" ht="12" customHeight="1" x14ac:dyDescent="0.25"/>
    <row r="5415" ht="12" customHeight="1" x14ac:dyDescent="0.25"/>
    <row r="5416" ht="12" customHeight="1" x14ac:dyDescent="0.25"/>
    <row r="5417" ht="12" customHeight="1" x14ac:dyDescent="0.25"/>
    <row r="5418" ht="12" customHeight="1" x14ac:dyDescent="0.25"/>
    <row r="5419" ht="12" customHeight="1" x14ac:dyDescent="0.25"/>
    <row r="5420" ht="12" customHeight="1" x14ac:dyDescent="0.25"/>
    <row r="5421" ht="12" customHeight="1" x14ac:dyDescent="0.25"/>
    <row r="5422" ht="12" customHeight="1" x14ac:dyDescent="0.25"/>
    <row r="5423" ht="12" customHeight="1" x14ac:dyDescent="0.25"/>
    <row r="5424" ht="12" customHeight="1" x14ac:dyDescent="0.25"/>
    <row r="5425" ht="12" customHeight="1" x14ac:dyDescent="0.25"/>
    <row r="5426" ht="12" customHeight="1" x14ac:dyDescent="0.25"/>
    <row r="5427" ht="12" customHeight="1" x14ac:dyDescent="0.25"/>
    <row r="5428" ht="12" customHeight="1" x14ac:dyDescent="0.25"/>
    <row r="5429" ht="12" customHeight="1" x14ac:dyDescent="0.25"/>
    <row r="5430" ht="12" customHeight="1" x14ac:dyDescent="0.25"/>
    <row r="5431" ht="12" customHeight="1" x14ac:dyDescent="0.25"/>
    <row r="5432" ht="12" customHeight="1" x14ac:dyDescent="0.25"/>
    <row r="5433" ht="12" customHeight="1" x14ac:dyDescent="0.25"/>
    <row r="5434" ht="12" customHeight="1" x14ac:dyDescent="0.25"/>
    <row r="5435" ht="12" customHeight="1" x14ac:dyDescent="0.25"/>
    <row r="5436" ht="12" customHeight="1" x14ac:dyDescent="0.25"/>
    <row r="5437" ht="12" customHeight="1" x14ac:dyDescent="0.25"/>
    <row r="5438" ht="12" customHeight="1" x14ac:dyDescent="0.25"/>
    <row r="5439" ht="12" customHeight="1" x14ac:dyDescent="0.25"/>
    <row r="5440" ht="12" customHeight="1" x14ac:dyDescent="0.25"/>
    <row r="5441" ht="12" customHeight="1" x14ac:dyDescent="0.25"/>
    <row r="5442" ht="12" customHeight="1" x14ac:dyDescent="0.25"/>
    <row r="5443" ht="12" customHeight="1" x14ac:dyDescent="0.25"/>
    <row r="5444" ht="12" customHeight="1" x14ac:dyDescent="0.25"/>
    <row r="5445" ht="12" customHeight="1" x14ac:dyDescent="0.25"/>
    <row r="5446" ht="12" customHeight="1" x14ac:dyDescent="0.25"/>
    <row r="5447" ht="12" customHeight="1" x14ac:dyDescent="0.25"/>
    <row r="5448" ht="12" customHeight="1" x14ac:dyDescent="0.25"/>
    <row r="5449" ht="12" customHeight="1" x14ac:dyDescent="0.25"/>
    <row r="5450" ht="12" customHeight="1" x14ac:dyDescent="0.25"/>
    <row r="5451" ht="12" customHeight="1" x14ac:dyDescent="0.25"/>
    <row r="5452" ht="12" customHeight="1" x14ac:dyDescent="0.25"/>
    <row r="5453" ht="12" customHeight="1" x14ac:dyDescent="0.25"/>
    <row r="5454" ht="12" customHeight="1" x14ac:dyDescent="0.25"/>
    <row r="5455" ht="12" customHeight="1" x14ac:dyDescent="0.25"/>
    <row r="5456" ht="12" customHeight="1" x14ac:dyDescent="0.25"/>
    <row r="5457" ht="12" customHeight="1" x14ac:dyDescent="0.25"/>
    <row r="5458" ht="12" customHeight="1" x14ac:dyDescent="0.25"/>
    <row r="5459" ht="12" customHeight="1" x14ac:dyDescent="0.25"/>
    <row r="5460" ht="12" customHeight="1" x14ac:dyDescent="0.25"/>
    <row r="5461" ht="12" customHeight="1" x14ac:dyDescent="0.25"/>
    <row r="5462" ht="12" customHeight="1" x14ac:dyDescent="0.25"/>
    <row r="5463" ht="12" customHeight="1" x14ac:dyDescent="0.25"/>
    <row r="5464" ht="12" customHeight="1" x14ac:dyDescent="0.25"/>
    <row r="5465" ht="12" customHeight="1" x14ac:dyDescent="0.25"/>
    <row r="5466" ht="12" customHeight="1" x14ac:dyDescent="0.25"/>
    <row r="5467" ht="12" customHeight="1" x14ac:dyDescent="0.25"/>
    <row r="5468" ht="12" customHeight="1" x14ac:dyDescent="0.25"/>
    <row r="5469" ht="12" customHeight="1" x14ac:dyDescent="0.25"/>
    <row r="5470" ht="12" customHeight="1" x14ac:dyDescent="0.25"/>
    <row r="5471" ht="12" customHeight="1" x14ac:dyDescent="0.25"/>
    <row r="5472" ht="12" customHeight="1" x14ac:dyDescent="0.25"/>
    <row r="5473" ht="12" customHeight="1" x14ac:dyDescent="0.25"/>
    <row r="5474" ht="12" customHeight="1" x14ac:dyDescent="0.25"/>
    <row r="5475" ht="12" customHeight="1" x14ac:dyDescent="0.25"/>
    <row r="5476" ht="12" customHeight="1" x14ac:dyDescent="0.25"/>
    <row r="5477" ht="12" customHeight="1" x14ac:dyDescent="0.25"/>
    <row r="5478" ht="12" customHeight="1" x14ac:dyDescent="0.25"/>
    <row r="5479" ht="12" customHeight="1" x14ac:dyDescent="0.25"/>
    <row r="5480" ht="12" customHeight="1" x14ac:dyDescent="0.25"/>
    <row r="5481" ht="12" customHeight="1" x14ac:dyDescent="0.25"/>
    <row r="5482" ht="12" customHeight="1" x14ac:dyDescent="0.25"/>
    <row r="5483" ht="12" customHeight="1" x14ac:dyDescent="0.25"/>
    <row r="5484" ht="12" customHeight="1" x14ac:dyDescent="0.25"/>
    <row r="5485" ht="12" customHeight="1" x14ac:dyDescent="0.25"/>
    <row r="5486" ht="12" customHeight="1" x14ac:dyDescent="0.25"/>
    <row r="5487" ht="12" customHeight="1" x14ac:dyDescent="0.25"/>
    <row r="5488" ht="12" customHeight="1" x14ac:dyDescent="0.25"/>
    <row r="5489" ht="12" customHeight="1" x14ac:dyDescent="0.25"/>
    <row r="5490" ht="12" customHeight="1" x14ac:dyDescent="0.25"/>
    <row r="5491" ht="12" customHeight="1" x14ac:dyDescent="0.25"/>
    <row r="5492" ht="12" customHeight="1" x14ac:dyDescent="0.25"/>
    <row r="5493" ht="12" customHeight="1" x14ac:dyDescent="0.25"/>
    <row r="5494" ht="12" customHeight="1" x14ac:dyDescent="0.25"/>
    <row r="5495" ht="12" customHeight="1" x14ac:dyDescent="0.25"/>
    <row r="5496" ht="12" customHeight="1" x14ac:dyDescent="0.25"/>
    <row r="5497" ht="12" customHeight="1" x14ac:dyDescent="0.25"/>
    <row r="5498" ht="12" customHeight="1" x14ac:dyDescent="0.25"/>
    <row r="5499" ht="12" customHeight="1" x14ac:dyDescent="0.25"/>
    <row r="5500" ht="12" customHeight="1" x14ac:dyDescent="0.25"/>
    <row r="5501" ht="12" customHeight="1" x14ac:dyDescent="0.25"/>
    <row r="5502" ht="12" customHeight="1" x14ac:dyDescent="0.25"/>
    <row r="5503" ht="12" customHeight="1" x14ac:dyDescent="0.25"/>
    <row r="5504" ht="12" customHeight="1" x14ac:dyDescent="0.25"/>
    <row r="5505" ht="12" customHeight="1" x14ac:dyDescent="0.25"/>
    <row r="5506" ht="12" customHeight="1" x14ac:dyDescent="0.25"/>
    <row r="5507" ht="12" customHeight="1" x14ac:dyDescent="0.25"/>
    <row r="5508" ht="12" customHeight="1" x14ac:dyDescent="0.25"/>
    <row r="5509" ht="12" customHeight="1" x14ac:dyDescent="0.25"/>
    <row r="5510" ht="12" customHeight="1" x14ac:dyDescent="0.25"/>
    <row r="5511" ht="12" customHeight="1" x14ac:dyDescent="0.25"/>
    <row r="5512" ht="12" customHeight="1" x14ac:dyDescent="0.25"/>
    <row r="5513" ht="12" customHeight="1" x14ac:dyDescent="0.25"/>
    <row r="5514" ht="12" customHeight="1" x14ac:dyDescent="0.25"/>
    <row r="5515" ht="12" customHeight="1" x14ac:dyDescent="0.25"/>
    <row r="5516" ht="12" customHeight="1" x14ac:dyDescent="0.25"/>
    <row r="5517" ht="12" customHeight="1" x14ac:dyDescent="0.25"/>
    <row r="5518" ht="12" customHeight="1" x14ac:dyDescent="0.25"/>
    <row r="5519" ht="12" customHeight="1" x14ac:dyDescent="0.25"/>
    <row r="5520" ht="12" customHeight="1" x14ac:dyDescent="0.25"/>
    <row r="5521" ht="12" customHeight="1" x14ac:dyDescent="0.25"/>
    <row r="5522" ht="12" customHeight="1" x14ac:dyDescent="0.25"/>
    <row r="5523" ht="12" customHeight="1" x14ac:dyDescent="0.25"/>
    <row r="5524" ht="12" customHeight="1" x14ac:dyDescent="0.25"/>
    <row r="5525" ht="12" customHeight="1" x14ac:dyDescent="0.25"/>
    <row r="5526" ht="12" customHeight="1" x14ac:dyDescent="0.25"/>
    <row r="5527" ht="12" customHeight="1" x14ac:dyDescent="0.25"/>
    <row r="5528" ht="12" customHeight="1" x14ac:dyDescent="0.25"/>
    <row r="5529" ht="12" customHeight="1" x14ac:dyDescent="0.25"/>
    <row r="5530" ht="12" customHeight="1" x14ac:dyDescent="0.25"/>
    <row r="5531" ht="12" customHeight="1" x14ac:dyDescent="0.25"/>
    <row r="5532" ht="12" customHeight="1" x14ac:dyDescent="0.25"/>
    <row r="5533" ht="12" customHeight="1" x14ac:dyDescent="0.25"/>
    <row r="5534" ht="12" customHeight="1" x14ac:dyDescent="0.25"/>
    <row r="5535" ht="12" customHeight="1" x14ac:dyDescent="0.25"/>
    <row r="5536" ht="12" customHeight="1" x14ac:dyDescent="0.25"/>
    <row r="5537" ht="12" customHeight="1" x14ac:dyDescent="0.25"/>
    <row r="5538" ht="12" customHeight="1" x14ac:dyDescent="0.25"/>
    <row r="5539" ht="12" customHeight="1" x14ac:dyDescent="0.25"/>
    <row r="5540" ht="12" customHeight="1" x14ac:dyDescent="0.25"/>
    <row r="5541" ht="12" customHeight="1" x14ac:dyDescent="0.25"/>
    <row r="5542" ht="12" customHeight="1" x14ac:dyDescent="0.25"/>
    <row r="5543" ht="12" customHeight="1" x14ac:dyDescent="0.25"/>
    <row r="5544" ht="12" customHeight="1" x14ac:dyDescent="0.25"/>
    <row r="5545" ht="12" customHeight="1" x14ac:dyDescent="0.25"/>
    <row r="5546" ht="12" customHeight="1" x14ac:dyDescent="0.25"/>
    <row r="5547" ht="12" customHeight="1" x14ac:dyDescent="0.25"/>
    <row r="5548" ht="12" customHeight="1" x14ac:dyDescent="0.25"/>
    <row r="5549" ht="12" customHeight="1" x14ac:dyDescent="0.25"/>
    <row r="5550" ht="12" customHeight="1" x14ac:dyDescent="0.25"/>
    <row r="5551" ht="12" customHeight="1" x14ac:dyDescent="0.25"/>
    <row r="5552" ht="12" customHeight="1" x14ac:dyDescent="0.25"/>
    <row r="5553" ht="12" customHeight="1" x14ac:dyDescent="0.25"/>
    <row r="5554" ht="12" customHeight="1" x14ac:dyDescent="0.25"/>
    <row r="5555" ht="12" customHeight="1" x14ac:dyDescent="0.25"/>
    <row r="5556" ht="12" customHeight="1" x14ac:dyDescent="0.25"/>
    <row r="5557" ht="12" customHeight="1" x14ac:dyDescent="0.25"/>
    <row r="5558" ht="12" customHeight="1" x14ac:dyDescent="0.25"/>
    <row r="5559" ht="12" customHeight="1" x14ac:dyDescent="0.25"/>
    <row r="5560" ht="12" customHeight="1" x14ac:dyDescent="0.25"/>
    <row r="5561" ht="12" customHeight="1" x14ac:dyDescent="0.25"/>
    <row r="5562" ht="12" customHeight="1" x14ac:dyDescent="0.25"/>
    <row r="5563" ht="12" customHeight="1" x14ac:dyDescent="0.25"/>
    <row r="5564" ht="12" customHeight="1" x14ac:dyDescent="0.25"/>
    <row r="5565" ht="12" customHeight="1" x14ac:dyDescent="0.25"/>
    <row r="5566" ht="12" customHeight="1" x14ac:dyDescent="0.25"/>
    <row r="5567" ht="12" customHeight="1" x14ac:dyDescent="0.25"/>
    <row r="5568" ht="12" customHeight="1" x14ac:dyDescent="0.25"/>
    <row r="5569" ht="12" customHeight="1" x14ac:dyDescent="0.25"/>
    <row r="5570" ht="12" customHeight="1" x14ac:dyDescent="0.25"/>
    <row r="5571" ht="12" customHeight="1" x14ac:dyDescent="0.25"/>
    <row r="5572" ht="12" customHeight="1" x14ac:dyDescent="0.25"/>
    <row r="5573" ht="12" customHeight="1" x14ac:dyDescent="0.25"/>
    <row r="5574" ht="12" customHeight="1" x14ac:dyDescent="0.25"/>
    <row r="5575" ht="12" customHeight="1" x14ac:dyDescent="0.25"/>
    <row r="5576" ht="12" customHeight="1" x14ac:dyDescent="0.25"/>
    <row r="5577" ht="12" customHeight="1" x14ac:dyDescent="0.25"/>
    <row r="5578" ht="12" customHeight="1" x14ac:dyDescent="0.25"/>
    <row r="5579" ht="12" customHeight="1" x14ac:dyDescent="0.25"/>
    <row r="5580" ht="12" customHeight="1" x14ac:dyDescent="0.25"/>
    <row r="5581" ht="12" customHeight="1" x14ac:dyDescent="0.25"/>
    <row r="5582" ht="12" customHeight="1" x14ac:dyDescent="0.25"/>
    <row r="5583" ht="12" customHeight="1" x14ac:dyDescent="0.25"/>
    <row r="5584" ht="12" customHeight="1" x14ac:dyDescent="0.25"/>
    <row r="5585" ht="12" customHeight="1" x14ac:dyDescent="0.25"/>
    <row r="5586" ht="12" customHeight="1" x14ac:dyDescent="0.25"/>
    <row r="5587" ht="12" customHeight="1" x14ac:dyDescent="0.25"/>
    <row r="5588" ht="12" customHeight="1" x14ac:dyDescent="0.25"/>
    <row r="5589" ht="12" customHeight="1" x14ac:dyDescent="0.25"/>
    <row r="5590" ht="12" customHeight="1" x14ac:dyDescent="0.25"/>
    <row r="5591" ht="12" customHeight="1" x14ac:dyDescent="0.25"/>
    <row r="5592" ht="12" customHeight="1" x14ac:dyDescent="0.25"/>
    <row r="5593" ht="12" customHeight="1" x14ac:dyDescent="0.25"/>
    <row r="5594" ht="12" customHeight="1" x14ac:dyDescent="0.25"/>
    <row r="5595" ht="12" customHeight="1" x14ac:dyDescent="0.25"/>
    <row r="5596" ht="12" customHeight="1" x14ac:dyDescent="0.25"/>
    <row r="5597" ht="12" customHeight="1" x14ac:dyDescent="0.25"/>
    <row r="5598" ht="12" customHeight="1" x14ac:dyDescent="0.25"/>
    <row r="5599" ht="12" customHeight="1" x14ac:dyDescent="0.25"/>
    <row r="5600" ht="12" customHeight="1" x14ac:dyDescent="0.25"/>
    <row r="5601" ht="12" customHeight="1" x14ac:dyDescent="0.25"/>
    <row r="5602" ht="12" customHeight="1" x14ac:dyDescent="0.25"/>
    <row r="5603" ht="12" customHeight="1" x14ac:dyDescent="0.25"/>
    <row r="5604" ht="12" customHeight="1" x14ac:dyDescent="0.25"/>
    <row r="5605" ht="12" customHeight="1" x14ac:dyDescent="0.25"/>
    <row r="5606" ht="12" customHeight="1" x14ac:dyDescent="0.25"/>
    <row r="5607" ht="12" customHeight="1" x14ac:dyDescent="0.25"/>
    <row r="5608" ht="12" customHeight="1" x14ac:dyDescent="0.25"/>
    <row r="5609" ht="12" customHeight="1" x14ac:dyDescent="0.25"/>
    <row r="5610" ht="12" customHeight="1" x14ac:dyDescent="0.25"/>
    <row r="5611" ht="12" customHeight="1" x14ac:dyDescent="0.25"/>
    <row r="5612" ht="12" customHeight="1" x14ac:dyDescent="0.25"/>
    <row r="5613" ht="12" customHeight="1" x14ac:dyDescent="0.25"/>
    <row r="5614" ht="12" customHeight="1" x14ac:dyDescent="0.25"/>
    <row r="5615" ht="12" customHeight="1" x14ac:dyDescent="0.25"/>
    <row r="5616" ht="12" customHeight="1" x14ac:dyDescent="0.25"/>
    <row r="5617" ht="12" customHeight="1" x14ac:dyDescent="0.25"/>
    <row r="5618" ht="12" customHeight="1" x14ac:dyDescent="0.25"/>
    <row r="5619" ht="12" customHeight="1" x14ac:dyDescent="0.25"/>
    <row r="5620" ht="12" customHeight="1" x14ac:dyDescent="0.25"/>
    <row r="5621" ht="12" customHeight="1" x14ac:dyDescent="0.25"/>
    <row r="5622" ht="12" customHeight="1" x14ac:dyDescent="0.25"/>
    <row r="5623" ht="12" customHeight="1" x14ac:dyDescent="0.25"/>
    <row r="5624" ht="12" customHeight="1" x14ac:dyDescent="0.25"/>
    <row r="5625" ht="12" customHeight="1" x14ac:dyDescent="0.25"/>
    <row r="5626" ht="12" customHeight="1" x14ac:dyDescent="0.25"/>
    <row r="5627" ht="12" customHeight="1" x14ac:dyDescent="0.25"/>
    <row r="5628" ht="12" customHeight="1" x14ac:dyDescent="0.25"/>
    <row r="5629" ht="12" customHeight="1" x14ac:dyDescent="0.25"/>
    <row r="5630" ht="12" customHeight="1" x14ac:dyDescent="0.25"/>
    <row r="5631" ht="12" customHeight="1" x14ac:dyDescent="0.25"/>
    <row r="5632" ht="12" customHeight="1" x14ac:dyDescent="0.25"/>
    <row r="5633" ht="12" customHeight="1" x14ac:dyDescent="0.25"/>
    <row r="5634" ht="12" customHeight="1" x14ac:dyDescent="0.25"/>
    <row r="5635" ht="12" customHeight="1" x14ac:dyDescent="0.25"/>
    <row r="5636" ht="12" customHeight="1" x14ac:dyDescent="0.25"/>
    <row r="5637" ht="12" customHeight="1" x14ac:dyDescent="0.25"/>
    <row r="5638" ht="12" customHeight="1" x14ac:dyDescent="0.25"/>
    <row r="5639" ht="12" customHeight="1" x14ac:dyDescent="0.25"/>
    <row r="5640" ht="12" customHeight="1" x14ac:dyDescent="0.25"/>
    <row r="5641" ht="12" customHeight="1" x14ac:dyDescent="0.25"/>
    <row r="5642" ht="12" customHeight="1" x14ac:dyDescent="0.25"/>
    <row r="5643" ht="12" customHeight="1" x14ac:dyDescent="0.25"/>
    <row r="5644" ht="12" customHeight="1" x14ac:dyDescent="0.25"/>
    <row r="5645" ht="12" customHeight="1" x14ac:dyDescent="0.25"/>
    <row r="5646" ht="12" customHeight="1" x14ac:dyDescent="0.25"/>
    <row r="5647" ht="12" customHeight="1" x14ac:dyDescent="0.25"/>
    <row r="5648" ht="12" customHeight="1" x14ac:dyDescent="0.25"/>
    <row r="5649" ht="12" customHeight="1" x14ac:dyDescent="0.25"/>
    <row r="5650" ht="12" customHeight="1" x14ac:dyDescent="0.25"/>
    <row r="5651" ht="12" customHeight="1" x14ac:dyDescent="0.25"/>
    <row r="5652" ht="12" customHeight="1" x14ac:dyDescent="0.25"/>
    <row r="5653" ht="12" customHeight="1" x14ac:dyDescent="0.25"/>
    <row r="5654" ht="12" customHeight="1" x14ac:dyDescent="0.25"/>
    <row r="5655" ht="12" customHeight="1" x14ac:dyDescent="0.25"/>
    <row r="5656" ht="12" customHeight="1" x14ac:dyDescent="0.25"/>
    <row r="5657" ht="12" customHeight="1" x14ac:dyDescent="0.25"/>
    <row r="5658" ht="12" customHeight="1" x14ac:dyDescent="0.25"/>
    <row r="5659" ht="12" customHeight="1" x14ac:dyDescent="0.25"/>
    <row r="5660" ht="12" customHeight="1" x14ac:dyDescent="0.25"/>
    <row r="5661" ht="12" customHeight="1" x14ac:dyDescent="0.25"/>
    <row r="5662" ht="12" customHeight="1" x14ac:dyDescent="0.25"/>
    <row r="5663" ht="12" customHeight="1" x14ac:dyDescent="0.25"/>
    <row r="5664" ht="12" customHeight="1" x14ac:dyDescent="0.25"/>
    <row r="5665" ht="12" customHeight="1" x14ac:dyDescent="0.25"/>
    <row r="5666" ht="12" customHeight="1" x14ac:dyDescent="0.25"/>
    <row r="5667" ht="12" customHeight="1" x14ac:dyDescent="0.25"/>
    <row r="5668" ht="12" customHeight="1" x14ac:dyDescent="0.25"/>
    <row r="5669" ht="12" customHeight="1" x14ac:dyDescent="0.25"/>
    <row r="5670" ht="12" customHeight="1" x14ac:dyDescent="0.25"/>
    <row r="5671" ht="12" customHeight="1" x14ac:dyDescent="0.25"/>
    <row r="5672" ht="12" customHeight="1" x14ac:dyDescent="0.25"/>
    <row r="5673" ht="12" customHeight="1" x14ac:dyDescent="0.25"/>
    <row r="5674" ht="12" customHeight="1" x14ac:dyDescent="0.25"/>
    <row r="5675" ht="12" customHeight="1" x14ac:dyDescent="0.25"/>
    <row r="5676" ht="12" customHeight="1" x14ac:dyDescent="0.25"/>
    <row r="5677" ht="12" customHeight="1" x14ac:dyDescent="0.25"/>
    <row r="5678" ht="12" customHeight="1" x14ac:dyDescent="0.25"/>
    <row r="5679" ht="12" customHeight="1" x14ac:dyDescent="0.25"/>
    <row r="5680" ht="12" customHeight="1" x14ac:dyDescent="0.25"/>
    <row r="5681" ht="12" customHeight="1" x14ac:dyDescent="0.25"/>
    <row r="5682" ht="12" customHeight="1" x14ac:dyDescent="0.25"/>
    <row r="5683" ht="12" customHeight="1" x14ac:dyDescent="0.25"/>
    <row r="5684" ht="12" customHeight="1" x14ac:dyDescent="0.25"/>
    <row r="5685" ht="12" customHeight="1" x14ac:dyDescent="0.25"/>
    <row r="5686" ht="12" customHeight="1" x14ac:dyDescent="0.25"/>
    <row r="5687" ht="12" customHeight="1" x14ac:dyDescent="0.25"/>
    <row r="5688" ht="12" customHeight="1" x14ac:dyDescent="0.25"/>
    <row r="5689" ht="12" customHeight="1" x14ac:dyDescent="0.25"/>
    <row r="5690" ht="12" customHeight="1" x14ac:dyDescent="0.25"/>
    <row r="5691" ht="12" customHeight="1" x14ac:dyDescent="0.25"/>
    <row r="5692" ht="12" customHeight="1" x14ac:dyDescent="0.25"/>
    <row r="5693" ht="12" customHeight="1" x14ac:dyDescent="0.25"/>
    <row r="5694" ht="12" customHeight="1" x14ac:dyDescent="0.25"/>
    <row r="5695" ht="12" customHeight="1" x14ac:dyDescent="0.25"/>
    <row r="5696" ht="12" customHeight="1" x14ac:dyDescent="0.25"/>
    <row r="5697" ht="12" customHeight="1" x14ac:dyDescent="0.25"/>
    <row r="5698" ht="12" customHeight="1" x14ac:dyDescent="0.25"/>
    <row r="5699" ht="12" customHeight="1" x14ac:dyDescent="0.25"/>
    <row r="5700" ht="12" customHeight="1" x14ac:dyDescent="0.25"/>
    <row r="5701" ht="12" customHeight="1" x14ac:dyDescent="0.25"/>
    <row r="5702" ht="12" customHeight="1" x14ac:dyDescent="0.25"/>
    <row r="5703" ht="12" customHeight="1" x14ac:dyDescent="0.25"/>
    <row r="5704" ht="12" customHeight="1" x14ac:dyDescent="0.25"/>
    <row r="5705" ht="12" customHeight="1" x14ac:dyDescent="0.25"/>
    <row r="5706" ht="12" customHeight="1" x14ac:dyDescent="0.25"/>
    <row r="5707" ht="12" customHeight="1" x14ac:dyDescent="0.25"/>
    <row r="5708" ht="12" customHeight="1" x14ac:dyDescent="0.25"/>
    <row r="5709" ht="12" customHeight="1" x14ac:dyDescent="0.25"/>
    <row r="5710" ht="12" customHeight="1" x14ac:dyDescent="0.25"/>
    <row r="5711" ht="12" customHeight="1" x14ac:dyDescent="0.25"/>
    <row r="5712" ht="12" customHeight="1" x14ac:dyDescent="0.25"/>
    <row r="5713" ht="12" customHeight="1" x14ac:dyDescent="0.25"/>
    <row r="5714" ht="12" customHeight="1" x14ac:dyDescent="0.25"/>
    <row r="5715" ht="12" customHeight="1" x14ac:dyDescent="0.25"/>
    <row r="5716" ht="12" customHeight="1" x14ac:dyDescent="0.25"/>
    <row r="5717" ht="12" customHeight="1" x14ac:dyDescent="0.25"/>
    <row r="5718" ht="12" customHeight="1" x14ac:dyDescent="0.25"/>
    <row r="5719" ht="12" customHeight="1" x14ac:dyDescent="0.25"/>
    <row r="5720" ht="12" customHeight="1" x14ac:dyDescent="0.25"/>
    <row r="5721" ht="12" customHeight="1" x14ac:dyDescent="0.25"/>
    <row r="5722" ht="12" customHeight="1" x14ac:dyDescent="0.25"/>
    <row r="5723" ht="12" customHeight="1" x14ac:dyDescent="0.25"/>
    <row r="5724" ht="12" customHeight="1" x14ac:dyDescent="0.25"/>
    <row r="5725" ht="12" customHeight="1" x14ac:dyDescent="0.25"/>
    <row r="5726" ht="12" customHeight="1" x14ac:dyDescent="0.25"/>
    <row r="5727" ht="12" customHeight="1" x14ac:dyDescent="0.25"/>
    <row r="5728" ht="12" customHeight="1" x14ac:dyDescent="0.25"/>
    <row r="5729" ht="12" customHeight="1" x14ac:dyDescent="0.25"/>
    <row r="5730" ht="12" customHeight="1" x14ac:dyDescent="0.25"/>
    <row r="5731" ht="12" customHeight="1" x14ac:dyDescent="0.25"/>
    <row r="5732" ht="12" customHeight="1" x14ac:dyDescent="0.25"/>
    <row r="5733" ht="12" customHeight="1" x14ac:dyDescent="0.25"/>
    <row r="5734" ht="12" customHeight="1" x14ac:dyDescent="0.25"/>
    <row r="5735" ht="12" customHeight="1" x14ac:dyDescent="0.25"/>
    <row r="5736" ht="12" customHeight="1" x14ac:dyDescent="0.25"/>
    <row r="5737" ht="12" customHeight="1" x14ac:dyDescent="0.25"/>
    <row r="5738" ht="12" customHeight="1" x14ac:dyDescent="0.25"/>
    <row r="5739" ht="12" customHeight="1" x14ac:dyDescent="0.25"/>
    <row r="5740" ht="12" customHeight="1" x14ac:dyDescent="0.25"/>
    <row r="5741" ht="12" customHeight="1" x14ac:dyDescent="0.25"/>
    <row r="5742" ht="12" customHeight="1" x14ac:dyDescent="0.25"/>
    <row r="5743" ht="12" customHeight="1" x14ac:dyDescent="0.25"/>
    <row r="5744" ht="12" customHeight="1" x14ac:dyDescent="0.25"/>
    <row r="5745" ht="12" customHeight="1" x14ac:dyDescent="0.25"/>
    <row r="5746" ht="12" customHeight="1" x14ac:dyDescent="0.25"/>
    <row r="5747" ht="12" customHeight="1" x14ac:dyDescent="0.25"/>
    <row r="5748" ht="12" customHeight="1" x14ac:dyDescent="0.25"/>
    <row r="5749" ht="12" customHeight="1" x14ac:dyDescent="0.25"/>
    <row r="5750" ht="12" customHeight="1" x14ac:dyDescent="0.25"/>
    <row r="5751" ht="12" customHeight="1" x14ac:dyDescent="0.25"/>
    <row r="5752" ht="12" customHeight="1" x14ac:dyDescent="0.25"/>
    <row r="5753" ht="12" customHeight="1" x14ac:dyDescent="0.25"/>
    <row r="5754" ht="12" customHeight="1" x14ac:dyDescent="0.25"/>
    <row r="5755" ht="12" customHeight="1" x14ac:dyDescent="0.25"/>
    <row r="5756" ht="12" customHeight="1" x14ac:dyDescent="0.25"/>
    <row r="5757" ht="12" customHeight="1" x14ac:dyDescent="0.25"/>
    <row r="5758" ht="12" customHeight="1" x14ac:dyDescent="0.25"/>
    <row r="5759" ht="12" customHeight="1" x14ac:dyDescent="0.25"/>
    <row r="5760" ht="12" customHeight="1" x14ac:dyDescent="0.25"/>
    <row r="5761" ht="12" customHeight="1" x14ac:dyDescent="0.25"/>
    <row r="5762" ht="12" customHeight="1" x14ac:dyDescent="0.25"/>
    <row r="5763" ht="12" customHeight="1" x14ac:dyDescent="0.25"/>
    <row r="5764" ht="12" customHeight="1" x14ac:dyDescent="0.25"/>
    <row r="5765" ht="12" customHeight="1" x14ac:dyDescent="0.25"/>
    <row r="5766" ht="12" customHeight="1" x14ac:dyDescent="0.25"/>
    <row r="5767" ht="12" customHeight="1" x14ac:dyDescent="0.25"/>
    <row r="5768" ht="12" customHeight="1" x14ac:dyDescent="0.25"/>
    <row r="5769" ht="12" customHeight="1" x14ac:dyDescent="0.25"/>
    <row r="5770" ht="12" customHeight="1" x14ac:dyDescent="0.25"/>
    <row r="5771" ht="12" customHeight="1" x14ac:dyDescent="0.25"/>
    <row r="5772" ht="12" customHeight="1" x14ac:dyDescent="0.25"/>
    <row r="5773" ht="12" customHeight="1" x14ac:dyDescent="0.25"/>
    <row r="5774" ht="12" customHeight="1" x14ac:dyDescent="0.25"/>
    <row r="5775" ht="12" customHeight="1" x14ac:dyDescent="0.25"/>
    <row r="5776" ht="12" customHeight="1" x14ac:dyDescent="0.25"/>
    <row r="5777" ht="12" customHeight="1" x14ac:dyDescent="0.25"/>
    <row r="5778" ht="12" customHeight="1" x14ac:dyDescent="0.25"/>
    <row r="5779" ht="12" customHeight="1" x14ac:dyDescent="0.25"/>
    <row r="5780" ht="12" customHeight="1" x14ac:dyDescent="0.25"/>
    <row r="5781" ht="12" customHeight="1" x14ac:dyDescent="0.25"/>
    <row r="5782" ht="12" customHeight="1" x14ac:dyDescent="0.25"/>
    <row r="5783" ht="12" customHeight="1" x14ac:dyDescent="0.25"/>
    <row r="5784" ht="12" customHeight="1" x14ac:dyDescent="0.25"/>
    <row r="5785" ht="12" customHeight="1" x14ac:dyDescent="0.25"/>
    <row r="5786" ht="12" customHeight="1" x14ac:dyDescent="0.25"/>
    <row r="5787" ht="12" customHeight="1" x14ac:dyDescent="0.25"/>
    <row r="5788" ht="12" customHeight="1" x14ac:dyDescent="0.25"/>
    <row r="5789" ht="12" customHeight="1" x14ac:dyDescent="0.25"/>
    <row r="5790" ht="12" customHeight="1" x14ac:dyDescent="0.25"/>
    <row r="5791" ht="12" customHeight="1" x14ac:dyDescent="0.25"/>
    <row r="5792" ht="12" customHeight="1" x14ac:dyDescent="0.25"/>
    <row r="5793" ht="12" customHeight="1" x14ac:dyDescent="0.25"/>
    <row r="5794" ht="12" customHeight="1" x14ac:dyDescent="0.25"/>
    <row r="5795" ht="12" customHeight="1" x14ac:dyDescent="0.25"/>
    <row r="5796" ht="12" customHeight="1" x14ac:dyDescent="0.25"/>
    <row r="5797" ht="12" customHeight="1" x14ac:dyDescent="0.25"/>
    <row r="5798" ht="12" customHeight="1" x14ac:dyDescent="0.25"/>
    <row r="5799" ht="12" customHeight="1" x14ac:dyDescent="0.25"/>
    <row r="5800" ht="12" customHeight="1" x14ac:dyDescent="0.25"/>
    <row r="5801" ht="12" customHeight="1" x14ac:dyDescent="0.25"/>
    <row r="5802" ht="12" customHeight="1" x14ac:dyDescent="0.25"/>
    <row r="5803" ht="12" customHeight="1" x14ac:dyDescent="0.25"/>
    <row r="5804" ht="12" customHeight="1" x14ac:dyDescent="0.25"/>
    <row r="5805" ht="12" customHeight="1" x14ac:dyDescent="0.25"/>
    <row r="5806" ht="12" customHeight="1" x14ac:dyDescent="0.25"/>
    <row r="5807" ht="12" customHeight="1" x14ac:dyDescent="0.25"/>
    <row r="5808" ht="12" customHeight="1" x14ac:dyDescent="0.25"/>
    <row r="5809" ht="12" customHeight="1" x14ac:dyDescent="0.25"/>
    <row r="5810" ht="12" customHeight="1" x14ac:dyDescent="0.25"/>
    <row r="5811" ht="12" customHeight="1" x14ac:dyDescent="0.25"/>
    <row r="5812" ht="12" customHeight="1" x14ac:dyDescent="0.25"/>
    <row r="5813" ht="12" customHeight="1" x14ac:dyDescent="0.25"/>
    <row r="5814" ht="12" customHeight="1" x14ac:dyDescent="0.25"/>
    <row r="5815" ht="12" customHeight="1" x14ac:dyDescent="0.25"/>
    <row r="5816" ht="12" customHeight="1" x14ac:dyDescent="0.25"/>
    <row r="5817" ht="12" customHeight="1" x14ac:dyDescent="0.25"/>
    <row r="5818" ht="12" customHeight="1" x14ac:dyDescent="0.25"/>
    <row r="5819" ht="12" customHeight="1" x14ac:dyDescent="0.25"/>
    <row r="5820" ht="12" customHeight="1" x14ac:dyDescent="0.25"/>
    <row r="5821" ht="12" customHeight="1" x14ac:dyDescent="0.25"/>
    <row r="5822" ht="12" customHeight="1" x14ac:dyDescent="0.25"/>
    <row r="5823" ht="12" customHeight="1" x14ac:dyDescent="0.25"/>
    <row r="5824" ht="12" customHeight="1" x14ac:dyDescent="0.25"/>
    <row r="5825" ht="12" customHeight="1" x14ac:dyDescent="0.25"/>
    <row r="5826" ht="12" customHeight="1" x14ac:dyDescent="0.25"/>
    <row r="5827" ht="12" customHeight="1" x14ac:dyDescent="0.25"/>
    <row r="5828" ht="12" customHeight="1" x14ac:dyDescent="0.25"/>
    <row r="5829" ht="12" customHeight="1" x14ac:dyDescent="0.25"/>
    <row r="5830" ht="12" customHeight="1" x14ac:dyDescent="0.25"/>
    <row r="5831" ht="12" customHeight="1" x14ac:dyDescent="0.25"/>
    <row r="5832" ht="12" customHeight="1" x14ac:dyDescent="0.25"/>
    <row r="5833" ht="12" customHeight="1" x14ac:dyDescent="0.25"/>
    <row r="5834" ht="12" customHeight="1" x14ac:dyDescent="0.25"/>
    <row r="5835" ht="12" customHeight="1" x14ac:dyDescent="0.25"/>
    <row r="5836" ht="12" customHeight="1" x14ac:dyDescent="0.25"/>
    <row r="5837" ht="12" customHeight="1" x14ac:dyDescent="0.25"/>
    <row r="5838" ht="12" customHeight="1" x14ac:dyDescent="0.25"/>
    <row r="5839" ht="12" customHeight="1" x14ac:dyDescent="0.25"/>
    <row r="5840" ht="12" customHeight="1" x14ac:dyDescent="0.25"/>
    <row r="5841" ht="12" customHeight="1" x14ac:dyDescent="0.25"/>
    <row r="5842" ht="12" customHeight="1" x14ac:dyDescent="0.25"/>
    <row r="5843" ht="12" customHeight="1" x14ac:dyDescent="0.25"/>
    <row r="5844" ht="12" customHeight="1" x14ac:dyDescent="0.25"/>
    <row r="5845" ht="12" customHeight="1" x14ac:dyDescent="0.25"/>
    <row r="5846" ht="12" customHeight="1" x14ac:dyDescent="0.25"/>
    <row r="5847" ht="12" customHeight="1" x14ac:dyDescent="0.25"/>
    <row r="5848" ht="12" customHeight="1" x14ac:dyDescent="0.25"/>
    <row r="5849" ht="12" customHeight="1" x14ac:dyDescent="0.25"/>
    <row r="5850" ht="12" customHeight="1" x14ac:dyDescent="0.25"/>
    <row r="5851" ht="12" customHeight="1" x14ac:dyDescent="0.25"/>
    <row r="5852" ht="12" customHeight="1" x14ac:dyDescent="0.25"/>
    <row r="5853" ht="12" customHeight="1" x14ac:dyDescent="0.25"/>
    <row r="5854" ht="12" customHeight="1" x14ac:dyDescent="0.25"/>
    <row r="5855" ht="12" customHeight="1" x14ac:dyDescent="0.25"/>
    <row r="5856" ht="12" customHeight="1" x14ac:dyDescent="0.25"/>
    <row r="5857" ht="12" customHeight="1" x14ac:dyDescent="0.25"/>
    <row r="5858" ht="12" customHeight="1" x14ac:dyDescent="0.25"/>
    <row r="5859" ht="12" customHeight="1" x14ac:dyDescent="0.25"/>
    <row r="5860" ht="12" customHeight="1" x14ac:dyDescent="0.25"/>
    <row r="5861" ht="12" customHeight="1" x14ac:dyDescent="0.25"/>
    <row r="5862" ht="12" customHeight="1" x14ac:dyDescent="0.25"/>
    <row r="5863" ht="12" customHeight="1" x14ac:dyDescent="0.25"/>
    <row r="5864" ht="12" customHeight="1" x14ac:dyDescent="0.25"/>
    <row r="5865" ht="12" customHeight="1" x14ac:dyDescent="0.25"/>
    <row r="5866" ht="12" customHeight="1" x14ac:dyDescent="0.25"/>
    <row r="5867" ht="12" customHeight="1" x14ac:dyDescent="0.25"/>
    <row r="5868" ht="12" customHeight="1" x14ac:dyDescent="0.25"/>
    <row r="5869" ht="12" customHeight="1" x14ac:dyDescent="0.25"/>
    <row r="5870" ht="12" customHeight="1" x14ac:dyDescent="0.25"/>
    <row r="5871" ht="12" customHeight="1" x14ac:dyDescent="0.25"/>
    <row r="5872" ht="12" customHeight="1" x14ac:dyDescent="0.25"/>
    <row r="5873" ht="12" customHeight="1" x14ac:dyDescent="0.25"/>
    <row r="5874" ht="12" customHeight="1" x14ac:dyDescent="0.25"/>
    <row r="5875" ht="12" customHeight="1" x14ac:dyDescent="0.25"/>
    <row r="5876" ht="12" customHeight="1" x14ac:dyDescent="0.25"/>
    <row r="5877" ht="12" customHeight="1" x14ac:dyDescent="0.25"/>
    <row r="5878" ht="12" customHeight="1" x14ac:dyDescent="0.25"/>
    <row r="5879" ht="12" customHeight="1" x14ac:dyDescent="0.25"/>
    <row r="5880" ht="12" customHeight="1" x14ac:dyDescent="0.25"/>
    <row r="5881" ht="12" customHeight="1" x14ac:dyDescent="0.25"/>
    <row r="5882" ht="12" customHeight="1" x14ac:dyDescent="0.25"/>
    <row r="5883" ht="12" customHeight="1" x14ac:dyDescent="0.25"/>
    <row r="5884" ht="12" customHeight="1" x14ac:dyDescent="0.25"/>
    <row r="5885" ht="12" customHeight="1" x14ac:dyDescent="0.25"/>
    <row r="5886" ht="12" customHeight="1" x14ac:dyDescent="0.25"/>
    <row r="5887" ht="12" customHeight="1" x14ac:dyDescent="0.25"/>
    <row r="5888" ht="12" customHeight="1" x14ac:dyDescent="0.25"/>
    <row r="5889" ht="12" customHeight="1" x14ac:dyDescent="0.25"/>
    <row r="5890" ht="12" customHeight="1" x14ac:dyDescent="0.25"/>
    <row r="5891" ht="12" customHeight="1" x14ac:dyDescent="0.25"/>
    <row r="5892" ht="12" customHeight="1" x14ac:dyDescent="0.25"/>
    <row r="5893" ht="12" customHeight="1" x14ac:dyDescent="0.25"/>
    <row r="5894" ht="12" customHeight="1" x14ac:dyDescent="0.25"/>
    <row r="5895" ht="12" customHeight="1" x14ac:dyDescent="0.25"/>
    <row r="5896" ht="12" customHeight="1" x14ac:dyDescent="0.25"/>
    <row r="5897" ht="12" customHeight="1" x14ac:dyDescent="0.25"/>
    <row r="5898" ht="12" customHeight="1" x14ac:dyDescent="0.25"/>
    <row r="5899" ht="12" customHeight="1" x14ac:dyDescent="0.25"/>
    <row r="5900" ht="12" customHeight="1" x14ac:dyDescent="0.25"/>
    <row r="5901" ht="12" customHeight="1" x14ac:dyDescent="0.25"/>
    <row r="5902" ht="12" customHeight="1" x14ac:dyDescent="0.25"/>
    <row r="5903" ht="12" customHeight="1" x14ac:dyDescent="0.25"/>
    <row r="5904" ht="12" customHeight="1" x14ac:dyDescent="0.25"/>
    <row r="5905" ht="12" customHeight="1" x14ac:dyDescent="0.25"/>
    <row r="5906" ht="12" customHeight="1" x14ac:dyDescent="0.25"/>
    <row r="5907" ht="12" customHeight="1" x14ac:dyDescent="0.25"/>
    <row r="5908" ht="12" customHeight="1" x14ac:dyDescent="0.25"/>
    <row r="5909" ht="12" customHeight="1" x14ac:dyDescent="0.25"/>
    <row r="5910" ht="12" customHeight="1" x14ac:dyDescent="0.25"/>
    <row r="5911" ht="12" customHeight="1" x14ac:dyDescent="0.25"/>
    <row r="5912" ht="12" customHeight="1" x14ac:dyDescent="0.25"/>
    <row r="5913" ht="12" customHeight="1" x14ac:dyDescent="0.25"/>
    <row r="5914" ht="12" customHeight="1" x14ac:dyDescent="0.25"/>
    <row r="5915" ht="12" customHeight="1" x14ac:dyDescent="0.25"/>
    <row r="5916" ht="12" customHeight="1" x14ac:dyDescent="0.25"/>
    <row r="5917" ht="12" customHeight="1" x14ac:dyDescent="0.25"/>
    <row r="5918" ht="12" customHeight="1" x14ac:dyDescent="0.25"/>
    <row r="5919" ht="12" customHeight="1" x14ac:dyDescent="0.25"/>
    <row r="5920" ht="12" customHeight="1" x14ac:dyDescent="0.25"/>
    <row r="5921" ht="12" customHeight="1" x14ac:dyDescent="0.25"/>
    <row r="5922" ht="12" customHeight="1" x14ac:dyDescent="0.25"/>
    <row r="5923" ht="12" customHeight="1" x14ac:dyDescent="0.25"/>
    <row r="5924" ht="12" customHeight="1" x14ac:dyDescent="0.25"/>
    <row r="5925" ht="12" customHeight="1" x14ac:dyDescent="0.25"/>
    <row r="5926" ht="12" customHeight="1" x14ac:dyDescent="0.25"/>
    <row r="5927" ht="12" customHeight="1" x14ac:dyDescent="0.25"/>
    <row r="5928" ht="12" customHeight="1" x14ac:dyDescent="0.25"/>
    <row r="5929" ht="12" customHeight="1" x14ac:dyDescent="0.25"/>
    <row r="5930" ht="12" customHeight="1" x14ac:dyDescent="0.25"/>
    <row r="5931" ht="12" customHeight="1" x14ac:dyDescent="0.25"/>
    <row r="5932" ht="12" customHeight="1" x14ac:dyDescent="0.25"/>
    <row r="5933" ht="12" customHeight="1" x14ac:dyDescent="0.25"/>
    <row r="5934" ht="12" customHeight="1" x14ac:dyDescent="0.25"/>
    <row r="5935" ht="12" customHeight="1" x14ac:dyDescent="0.25"/>
    <row r="5936" ht="12" customHeight="1" x14ac:dyDescent="0.25"/>
    <row r="5937" ht="12" customHeight="1" x14ac:dyDescent="0.25"/>
    <row r="5938" ht="12" customHeight="1" x14ac:dyDescent="0.25"/>
    <row r="5939" ht="12" customHeight="1" x14ac:dyDescent="0.25"/>
    <row r="5940" ht="12" customHeight="1" x14ac:dyDescent="0.25"/>
    <row r="5941" ht="12" customHeight="1" x14ac:dyDescent="0.25"/>
    <row r="5942" ht="12" customHeight="1" x14ac:dyDescent="0.25"/>
    <row r="5943" ht="12" customHeight="1" x14ac:dyDescent="0.25"/>
    <row r="5944" ht="12" customHeight="1" x14ac:dyDescent="0.25"/>
    <row r="5945" ht="12" customHeight="1" x14ac:dyDescent="0.25"/>
    <row r="5946" ht="12" customHeight="1" x14ac:dyDescent="0.25"/>
    <row r="5947" ht="12" customHeight="1" x14ac:dyDescent="0.25"/>
    <row r="5948" ht="12" customHeight="1" x14ac:dyDescent="0.25"/>
    <row r="5949" ht="12" customHeight="1" x14ac:dyDescent="0.25"/>
    <row r="5950" ht="12" customHeight="1" x14ac:dyDescent="0.25"/>
    <row r="5951" ht="12" customHeight="1" x14ac:dyDescent="0.25"/>
    <row r="5952" ht="12" customHeight="1" x14ac:dyDescent="0.25"/>
    <row r="5953" ht="12" customHeight="1" x14ac:dyDescent="0.25"/>
    <row r="5954" ht="12" customHeight="1" x14ac:dyDescent="0.25"/>
    <row r="5955" ht="12" customHeight="1" x14ac:dyDescent="0.25"/>
    <row r="5956" ht="12" customHeight="1" x14ac:dyDescent="0.25"/>
    <row r="5957" ht="12" customHeight="1" x14ac:dyDescent="0.25"/>
    <row r="5958" ht="12" customHeight="1" x14ac:dyDescent="0.25"/>
    <row r="5959" ht="12" customHeight="1" x14ac:dyDescent="0.25"/>
    <row r="5960" ht="12" customHeight="1" x14ac:dyDescent="0.25"/>
    <row r="5961" ht="12" customHeight="1" x14ac:dyDescent="0.25"/>
    <row r="5962" ht="12" customHeight="1" x14ac:dyDescent="0.25"/>
    <row r="5963" ht="12" customHeight="1" x14ac:dyDescent="0.25"/>
    <row r="5964" ht="12" customHeight="1" x14ac:dyDescent="0.25"/>
    <row r="5965" ht="12" customHeight="1" x14ac:dyDescent="0.25"/>
    <row r="5966" ht="12" customHeight="1" x14ac:dyDescent="0.25"/>
    <row r="5967" ht="12" customHeight="1" x14ac:dyDescent="0.25"/>
    <row r="5968" ht="12" customHeight="1" x14ac:dyDescent="0.25"/>
    <row r="5969" ht="12" customHeight="1" x14ac:dyDescent="0.25"/>
    <row r="5970" ht="12" customHeight="1" x14ac:dyDescent="0.25"/>
    <row r="5971" ht="12" customHeight="1" x14ac:dyDescent="0.25"/>
    <row r="5972" ht="12" customHeight="1" x14ac:dyDescent="0.25"/>
    <row r="5973" ht="12" customHeight="1" x14ac:dyDescent="0.25"/>
    <row r="5974" ht="12" customHeight="1" x14ac:dyDescent="0.25"/>
    <row r="5975" ht="12" customHeight="1" x14ac:dyDescent="0.25"/>
    <row r="5976" ht="12" customHeight="1" x14ac:dyDescent="0.25"/>
    <row r="5977" ht="12" customHeight="1" x14ac:dyDescent="0.25"/>
    <row r="5978" ht="12" customHeight="1" x14ac:dyDescent="0.25"/>
    <row r="5979" ht="12" customHeight="1" x14ac:dyDescent="0.25"/>
    <row r="5980" ht="12" customHeight="1" x14ac:dyDescent="0.25"/>
    <row r="5981" ht="12" customHeight="1" x14ac:dyDescent="0.25"/>
    <row r="5982" ht="12" customHeight="1" x14ac:dyDescent="0.25"/>
    <row r="5983" ht="12" customHeight="1" x14ac:dyDescent="0.25"/>
    <row r="5984" ht="12" customHeight="1" x14ac:dyDescent="0.25"/>
    <row r="5985" ht="12" customHeight="1" x14ac:dyDescent="0.25"/>
    <row r="5986" ht="12" customHeight="1" x14ac:dyDescent="0.25"/>
    <row r="5987" ht="12" customHeight="1" x14ac:dyDescent="0.25"/>
    <row r="5988" ht="12" customHeight="1" x14ac:dyDescent="0.25"/>
    <row r="5989" ht="12" customHeight="1" x14ac:dyDescent="0.25"/>
    <row r="5990" ht="12" customHeight="1" x14ac:dyDescent="0.25"/>
    <row r="5991" ht="12" customHeight="1" x14ac:dyDescent="0.25"/>
    <row r="5992" ht="12" customHeight="1" x14ac:dyDescent="0.25"/>
    <row r="5993" ht="12" customHeight="1" x14ac:dyDescent="0.25"/>
    <row r="5994" ht="12" customHeight="1" x14ac:dyDescent="0.25"/>
    <row r="5995" ht="12" customHeight="1" x14ac:dyDescent="0.25"/>
    <row r="5996" ht="12" customHeight="1" x14ac:dyDescent="0.25"/>
    <row r="5997" ht="12" customHeight="1" x14ac:dyDescent="0.25"/>
    <row r="5998" ht="12" customHeight="1" x14ac:dyDescent="0.25"/>
    <row r="5999" ht="12" customHeight="1" x14ac:dyDescent="0.25"/>
    <row r="6000" ht="12" customHeight="1" x14ac:dyDescent="0.25"/>
    <row r="6001" ht="12" customHeight="1" x14ac:dyDescent="0.25"/>
    <row r="6002" ht="12" customHeight="1" x14ac:dyDescent="0.25"/>
    <row r="6003" ht="12" customHeight="1" x14ac:dyDescent="0.25"/>
    <row r="6004" ht="12" customHeight="1" x14ac:dyDescent="0.25"/>
    <row r="6005" ht="12" customHeight="1" x14ac:dyDescent="0.25"/>
    <row r="6006" ht="12" customHeight="1" x14ac:dyDescent="0.25"/>
    <row r="6007" ht="12" customHeight="1" x14ac:dyDescent="0.25"/>
    <row r="6008" ht="12" customHeight="1" x14ac:dyDescent="0.25"/>
    <row r="6009" ht="12" customHeight="1" x14ac:dyDescent="0.25"/>
    <row r="6010" ht="12" customHeight="1" x14ac:dyDescent="0.25"/>
    <row r="6011" ht="12" customHeight="1" x14ac:dyDescent="0.25"/>
    <row r="6012" ht="12" customHeight="1" x14ac:dyDescent="0.25"/>
    <row r="6013" ht="12" customHeight="1" x14ac:dyDescent="0.25"/>
    <row r="6014" ht="12" customHeight="1" x14ac:dyDescent="0.25"/>
    <row r="6015" ht="12" customHeight="1" x14ac:dyDescent="0.25"/>
    <row r="6016" ht="12" customHeight="1" x14ac:dyDescent="0.25"/>
    <row r="6017" ht="12" customHeight="1" x14ac:dyDescent="0.25"/>
    <row r="6018" ht="12" customHeight="1" x14ac:dyDescent="0.25"/>
    <row r="6019" ht="12" customHeight="1" x14ac:dyDescent="0.25"/>
    <row r="6020" ht="12" customHeight="1" x14ac:dyDescent="0.25"/>
    <row r="6021" ht="12" customHeight="1" x14ac:dyDescent="0.25"/>
    <row r="6022" ht="12" customHeight="1" x14ac:dyDescent="0.25"/>
    <row r="6023" ht="12" customHeight="1" x14ac:dyDescent="0.25"/>
    <row r="6024" ht="12" customHeight="1" x14ac:dyDescent="0.25"/>
    <row r="6025" ht="12" customHeight="1" x14ac:dyDescent="0.25"/>
    <row r="6026" ht="12" customHeight="1" x14ac:dyDescent="0.25"/>
    <row r="6027" ht="12" customHeight="1" x14ac:dyDescent="0.25"/>
    <row r="6028" ht="12" customHeight="1" x14ac:dyDescent="0.25"/>
    <row r="6029" ht="12" customHeight="1" x14ac:dyDescent="0.25"/>
    <row r="6030" ht="12" customHeight="1" x14ac:dyDescent="0.25"/>
    <row r="6031" ht="12" customHeight="1" x14ac:dyDescent="0.25"/>
    <row r="6032" ht="12" customHeight="1" x14ac:dyDescent="0.25"/>
    <row r="6033" ht="12" customHeight="1" x14ac:dyDescent="0.25"/>
    <row r="6034" ht="12" customHeight="1" x14ac:dyDescent="0.25"/>
    <row r="6035" ht="12" customHeight="1" x14ac:dyDescent="0.25"/>
    <row r="6036" ht="12" customHeight="1" x14ac:dyDescent="0.25"/>
    <row r="6037" ht="12" customHeight="1" x14ac:dyDescent="0.25"/>
    <row r="6038" ht="12" customHeight="1" x14ac:dyDescent="0.25"/>
    <row r="6039" ht="12" customHeight="1" x14ac:dyDescent="0.25"/>
    <row r="6040" ht="12" customHeight="1" x14ac:dyDescent="0.25"/>
    <row r="6041" ht="12" customHeight="1" x14ac:dyDescent="0.25"/>
    <row r="6042" ht="12" customHeight="1" x14ac:dyDescent="0.25"/>
    <row r="6043" ht="12" customHeight="1" x14ac:dyDescent="0.25"/>
    <row r="6044" ht="12" customHeight="1" x14ac:dyDescent="0.25"/>
    <row r="6045" ht="12" customHeight="1" x14ac:dyDescent="0.25"/>
    <row r="6046" ht="12" customHeight="1" x14ac:dyDescent="0.25"/>
    <row r="6047" ht="12" customHeight="1" x14ac:dyDescent="0.25"/>
    <row r="6048" ht="12" customHeight="1" x14ac:dyDescent="0.25"/>
    <row r="6049" ht="12" customHeight="1" x14ac:dyDescent="0.25"/>
    <row r="6050" ht="12" customHeight="1" x14ac:dyDescent="0.25"/>
    <row r="6051" ht="12" customHeight="1" x14ac:dyDescent="0.25"/>
    <row r="6052" ht="12" customHeight="1" x14ac:dyDescent="0.25"/>
    <row r="6053" ht="12" customHeight="1" x14ac:dyDescent="0.25"/>
    <row r="6054" ht="12" customHeight="1" x14ac:dyDescent="0.25"/>
    <row r="6055" ht="12" customHeight="1" x14ac:dyDescent="0.25"/>
    <row r="6056" ht="12" customHeight="1" x14ac:dyDescent="0.25"/>
    <row r="6057" ht="12" customHeight="1" x14ac:dyDescent="0.25"/>
    <row r="6058" ht="12" customHeight="1" x14ac:dyDescent="0.25"/>
    <row r="6059" ht="12" customHeight="1" x14ac:dyDescent="0.25"/>
    <row r="6060" ht="12" customHeight="1" x14ac:dyDescent="0.25"/>
    <row r="6061" ht="12" customHeight="1" x14ac:dyDescent="0.25"/>
    <row r="6062" ht="12" customHeight="1" x14ac:dyDescent="0.25"/>
    <row r="6063" ht="12" customHeight="1" x14ac:dyDescent="0.25"/>
    <row r="6064" ht="12" customHeight="1" x14ac:dyDescent="0.25"/>
    <row r="6065" ht="12" customHeight="1" x14ac:dyDescent="0.25"/>
    <row r="6066" ht="12" customHeight="1" x14ac:dyDescent="0.25"/>
    <row r="6067" ht="12" customHeight="1" x14ac:dyDescent="0.25"/>
    <row r="6068" ht="12" customHeight="1" x14ac:dyDescent="0.25"/>
    <row r="6069" ht="12" customHeight="1" x14ac:dyDescent="0.25"/>
    <row r="6070" ht="12" customHeight="1" x14ac:dyDescent="0.25"/>
    <row r="6071" ht="12" customHeight="1" x14ac:dyDescent="0.25"/>
    <row r="6072" ht="12" customHeight="1" x14ac:dyDescent="0.25"/>
    <row r="6073" ht="12" customHeight="1" x14ac:dyDescent="0.25"/>
    <row r="6074" ht="12" customHeight="1" x14ac:dyDescent="0.25"/>
    <row r="6075" ht="12" customHeight="1" x14ac:dyDescent="0.25"/>
    <row r="6076" ht="12" customHeight="1" x14ac:dyDescent="0.25"/>
    <row r="6077" ht="12" customHeight="1" x14ac:dyDescent="0.25"/>
    <row r="6078" ht="12" customHeight="1" x14ac:dyDescent="0.25"/>
    <row r="6079" ht="12" customHeight="1" x14ac:dyDescent="0.25"/>
    <row r="6080" ht="12" customHeight="1" x14ac:dyDescent="0.25"/>
    <row r="6081" ht="12" customHeight="1" x14ac:dyDescent="0.25"/>
    <row r="6082" ht="12" customHeight="1" x14ac:dyDescent="0.25"/>
    <row r="6083" ht="12" customHeight="1" x14ac:dyDescent="0.25"/>
    <row r="6084" ht="12" customHeight="1" x14ac:dyDescent="0.25"/>
    <row r="6085" ht="12" customHeight="1" x14ac:dyDescent="0.25"/>
    <row r="6086" ht="12" customHeight="1" x14ac:dyDescent="0.25"/>
    <row r="6087" ht="12" customHeight="1" x14ac:dyDescent="0.25"/>
    <row r="6088" ht="12" customHeight="1" x14ac:dyDescent="0.25"/>
    <row r="6089" ht="12" customHeight="1" x14ac:dyDescent="0.25"/>
    <row r="6090" ht="12" customHeight="1" x14ac:dyDescent="0.25"/>
    <row r="6091" ht="12" customHeight="1" x14ac:dyDescent="0.25"/>
    <row r="6092" ht="12" customHeight="1" x14ac:dyDescent="0.25"/>
    <row r="6093" ht="12" customHeight="1" x14ac:dyDescent="0.25"/>
    <row r="6094" ht="12" customHeight="1" x14ac:dyDescent="0.25"/>
    <row r="6095" ht="12" customHeight="1" x14ac:dyDescent="0.25"/>
    <row r="6096" ht="12" customHeight="1" x14ac:dyDescent="0.25"/>
    <row r="6097" ht="12" customHeight="1" x14ac:dyDescent="0.25"/>
    <row r="6098" ht="12" customHeight="1" x14ac:dyDescent="0.25"/>
    <row r="6099" ht="12" customHeight="1" x14ac:dyDescent="0.25"/>
    <row r="6100" ht="12" customHeight="1" x14ac:dyDescent="0.25"/>
    <row r="6101" ht="12" customHeight="1" x14ac:dyDescent="0.25"/>
    <row r="6102" ht="12" customHeight="1" x14ac:dyDescent="0.25"/>
    <row r="6103" ht="12" customHeight="1" x14ac:dyDescent="0.25"/>
    <row r="6104" ht="12" customHeight="1" x14ac:dyDescent="0.25"/>
    <row r="6105" ht="12" customHeight="1" x14ac:dyDescent="0.25"/>
    <row r="6106" ht="12" customHeight="1" x14ac:dyDescent="0.25"/>
    <row r="6107" ht="12" customHeight="1" x14ac:dyDescent="0.25"/>
    <row r="6108" ht="12" customHeight="1" x14ac:dyDescent="0.25"/>
    <row r="6109" ht="12" customHeight="1" x14ac:dyDescent="0.25"/>
    <row r="6110" ht="12" customHeight="1" x14ac:dyDescent="0.25"/>
    <row r="6111" ht="12" customHeight="1" x14ac:dyDescent="0.25"/>
    <row r="6112" ht="12" customHeight="1" x14ac:dyDescent="0.25"/>
    <row r="6113" ht="12" customHeight="1" x14ac:dyDescent="0.25"/>
    <row r="6114" ht="12" customHeight="1" x14ac:dyDescent="0.25"/>
    <row r="6115" ht="12" customHeight="1" x14ac:dyDescent="0.25"/>
    <row r="6116" ht="12" customHeight="1" x14ac:dyDescent="0.25"/>
    <row r="6117" ht="12" customHeight="1" x14ac:dyDescent="0.25"/>
    <row r="6118" ht="12" customHeight="1" x14ac:dyDescent="0.25"/>
    <row r="6119" ht="12" customHeight="1" x14ac:dyDescent="0.25"/>
    <row r="6120" ht="12" customHeight="1" x14ac:dyDescent="0.25"/>
    <row r="6121" ht="12" customHeight="1" x14ac:dyDescent="0.25"/>
    <row r="6122" ht="12" customHeight="1" x14ac:dyDescent="0.25"/>
    <row r="6123" ht="12" customHeight="1" x14ac:dyDescent="0.25"/>
    <row r="6124" ht="12" customHeight="1" x14ac:dyDescent="0.25"/>
    <row r="6125" ht="12" customHeight="1" x14ac:dyDescent="0.25"/>
    <row r="6126" ht="12" customHeight="1" x14ac:dyDescent="0.25"/>
    <row r="6127" ht="12" customHeight="1" x14ac:dyDescent="0.25"/>
    <row r="6128" ht="12" customHeight="1" x14ac:dyDescent="0.25"/>
    <row r="6129" ht="12" customHeight="1" x14ac:dyDescent="0.25"/>
    <row r="6130" ht="12" customHeight="1" x14ac:dyDescent="0.25"/>
    <row r="6131" ht="12" customHeight="1" x14ac:dyDescent="0.25"/>
    <row r="6132" ht="12" customHeight="1" x14ac:dyDescent="0.25"/>
    <row r="6133" ht="12" customHeight="1" x14ac:dyDescent="0.25"/>
    <row r="6134" ht="12" customHeight="1" x14ac:dyDescent="0.25"/>
    <row r="6135" ht="12" customHeight="1" x14ac:dyDescent="0.25"/>
    <row r="6136" ht="12" customHeight="1" x14ac:dyDescent="0.25"/>
    <row r="6137" ht="12" customHeight="1" x14ac:dyDescent="0.25"/>
    <row r="6138" ht="12" customHeight="1" x14ac:dyDescent="0.25"/>
    <row r="6139" ht="12" customHeight="1" x14ac:dyDescent="0.25"/>
    <row r="6140" ht="12" customHeight="1" x14ac:dyDescent="0.25"/>
    <row r="6141" ht="12" customHeight="1" x14ac:dyDescent="0.25"/>
    <row r="6142" ht="12" customHeight="1" x14ac:dyDescent="0.25"/>
    <row r="6143" ht="12" customHeight="1" x14ac:dyDescent="0.25"/>
    <row r="6144" ht="12" customHeight="1" x14ac:dyDescent="0.25"/>
    <row r="6145" ht="12" customHeight="1" x14ac:dyDescent="0.25"/>
    <row r="6146" ht="12" customHeight="1" x14ac:dyDescent="0.25"/>
    <row r="6147" ht="12" customHeight="1" x14ac:dyDescent="0.25"/>
    <row r="6148" ht="12" customHeight="1" x14ac:dyDescent="0.25"/>
    <row r="6149" ht="12" customHeight="1" x14ac:dyDescent="0.25"/>
    <row r="6150" ht="12" customHeight="1" x14ac:dyDescent="0.25"/>
    <row r="6151" ht="12" customHeight="1" x14ac:dyDescent="0.25"/>
    <row r="6152" ht="12" customHeight="1" x14ac:dyDescent="0.25"/>
    <row r="6153" ht="12" customHeight="1" x14ac:dyDescent="0.25"/>
    <row r="6154" ht="12" customHeight="1" x14ac:dyDescent="0.25"/>
    <row r="6155" ht="12" customHeight="1" x14ac:dyDescent="0.25"/>
    <row r="6156" ht="12" customHeight="1" x14ac:dyDescent="0.25"/>
    <row r="6157" ht="12" customHeight="1" x14ac:dyDescent="0.25"/>
    <row r="6158" ht="12" customHeight="1" x14ac:dyDescent="0.25"/>
    <row r="6159" ht="12" customHeight="1" x14ac:dyDescent="0.25"/>
    <row r="6160" ht="12" customHeight="1" x14ac:dyDescent="0.25"/>
    <row r="6161" ht="12" customHeight="1" x14ac:dyDescent="0.25"/>
    <row r="6162" ht="12" customHeight="1" x14ac:dyDescent="0.25"/>
    <row r="6163" ht="12" customHeight="1" x14ac:dyDescent="0.25"/>
    <row r="6164" ht="12" customHeight="1" x14ac:dyDescent="0.25"/>
    <row r="6165" ht="12" customHeight="1" x14ac:dyDescent="0.25"/>
    <row r="6166" ht="12" customHeight="1" x14ac:dyDescent="0.25"/>
    <row r="6167" ht="12" customHeight="1" x14ac:dyDescent="0.25"/>
    <row r="6168" ht="12" customHeight="1" x14ac:dyDescent="0.25"/>
    <row r="6169" ht="12" customHeight="1" x14ac:dyDescent="0.25"/>
    <row r="6170" ht="12" customHeight="1" x14ac:dyDescent="0.25"/>
    <row r="6171" ht="12" customHeight="1" x14ac:dyDescent="0.25"/>
    <row r="6172" ht="12" customHeight="1" x14ac:dyDescent="0.25"/>
    <row r="6173" ht="12" customHeight="1" x14ac:dyDescent="0.25"/>
    <row r="6174" ht="12" customHeight="1" x14ac:dyDescent="0.25"/>
    <row r="6175" ht="12" customHeight="1" x14ac:dyDescent="0.25"/>
    <row r="6176" ht="12" customHeight="1" x14ac:dyDescent="0.25"/>
    <row r="6177" ht="12" customHeight="1" x14ac:dyDescent="0.25"/>
    <row r="6178" ht="12" customHeight="1" x14ac:dyDescent="0.25"/>
    <row r="6179" ht="12" customHeight="1" x14ac:dyDescent="0.25"/>
    <row r="6180" ht="12" customHeight="1" x14ac:dyDescent="0.25"/>
    <row r="6181" ht="12" customHeight="1" x14ac:dyDescent="0.25"/>
    <row r="6182" ht="12" customHeight="1" x14ac:dyDescent="0.25"/>
    <row r="6183" ht="12" customHeight="1" x14ac:dyDescent="0.25"/>
    <row r="6184" ht="12" customHeight="1" x14ac:dyDescent="0.25"/>
    <row r="6185" ht="12" customHeight="1" x14ac:dyDescent="0.25"/>
    <row r="6186" ht="12" customHeight="1" x14ac:dyDescent="0.25"/>
    <row r="6187" ht="12" customHeight="1" x14ac:dyDescent="0.25"/>
    <row r="6188" ht="12" customHeight="1" x14ac:dyDescent="0.25"/>
    <row r="6189" ht="12" customHeight="1" x14ac:dyDescent="0.25"/>
    <row r="6190" ht="12" customHeight="1" x14ac:dyDescent="0.25"/>
    <row r="6191" ht="12" customHeight="1" x14ac:dyDescent="0.25"/>
    <row r="6192" ht="12" customHeight="1" x14ac:dyDescent="0.25"/>
    <row r="6193" ht="12" customHeight="1" x14ac:dyDescent="0.25"/>
    <row r="6194" ht="12" customHeight="1" x14ac:dyDescent="0.25"/>
    <row r="6195" ht="12" customHeight="1" x14ac:dyDescent="0.25"/>
    <row r="6196" ht="12" customHeight="1" x14ac:dyDescent="0.25"/>
    <row r="6197" ht="12" customHeight="1" x14ac:dyDescent="0.25"/>
    <row r="6198" ht="12" customHeight="1" x14ac:dyDescent="0.25"/>
    <row r="6199" ht="12" customHeight="1" x14ac:dyDescent="0.25"/>
    <row r="6200" ht="12" customHeight="1" x14ac:dyDescent="0.25"/>
    <row r="6201" ht="12" customHeight="1" x14ac:dyDescent="0.25"/>
    <row r="6202" ht="12" customHeight="1" x14ac:dyDescent="0.25"/>
    <row r="6203" ht="12" customHeight="1" x14ac:dyDescent="0.25"/>
    <row r="6204" ht="12" customHeight="1" x14ac:dyDescent="0.25"/>
    <row r="6205" ht="12" customHeight="1" x14ac:dyDescent="0.25"/>
    <row r="6206" ht="12" customHeight="1" x14ac:dyDescent="0.25"/>
    <row r="6207" ht="12" customHeight="1" x14ac:dyDescent="0.25"/>
    <row r="6208" ht="12" customHeight="1" x14ac:dyDescent="0.25"/>
    <row r="6209" ht="12" customHeight="1" x14ac:dyDescent="0.25"/>
    <row r="6210" ht="12" customHeight="1" x14ac:dyDescent="0.25"/>
    <row r="6211" ht="12" customHeight="1" x14ac:dyDescent="0.25"/>
    <row r="6212" ht="12" customHeight="1" x14ac:dyDescent="0.25"/>
    <row r="6213" ht="12" customHeight="1" x14ac:dyDescent="0.25"/>
    <row r="6214" ht="12" customHeight="1" x14ac:dyDescent="0.25"/>
    <row r="6215" ht="12" customHeight="1" x14ac:dyDescent="0.25"/>
    <row r="6216" ht="12" customHeight="1" x14ac:dyDescent="0.25"/>
    <row r="6217" ht="12" customHeight="1" x14ac:dyDescent="0.25"/>
    <row r="6218" ht="12" customHeight="1" x14ac:dyDescent="0.25"/>
    <row r="6219" ht="12" customHeight="1" x14ac:dyDescent="0.25"/>
    <row r="6220" ht="12" customHeight="1" x14ac:dyDescent="0.25"/>
    <row r="6221" ht="12" customHeight="1" x14ac:dyDescent="0.25"/>
    <row r="6222" ht="12" customHeight="1" x14ac:dyDescent="0.25"/>
    <row r="6223" ht="12" customHeight="1" x14ac:dyDescent="0.25"/>
    <row r="6224" ht="12" customHeight="1" x14ac:dyDescent="0.25"/>
    <row r="6225" ht="12" customHeight="1" x14ac:dyDescent="0.25"/>
    <row r="6226" ht="12" customHeight="1" x14ac:dyDescent="0.25"/>
    <row r="6227" ht="12" customHeight="1" x14ac:dyDescent="0.25"/>
    <row r="6228" ht="12" customHeight="1" x14ac:dyDescent="0.25"/>
    <row r="6229" ht="12" customHeight="1" x14ac:dyDescent="0.25"/>
    <row r="6230" ht="12" customHeight="1" x14ac:dyDescent="0.25"/>
    <row r="6231" ht="12" customHeight="1" x14ac:dyDescent="0.25"/>
    <row r="6232" ht="12" customHeight="1" x14ac:dyDescent="0.25"/>
    <row r="6233" ht="12" customHeight="1" x14ac:dyDescent="0.25"/>
    <row r="6234" ht="12" customHeight="1" x14ac:dyDescent="0.25"/>
    <row r="6235" ht="12" customHeight="1" x14ac:dyDescent="0.25"/>
    <row r="6236" ht="12" customHeight="1" x14ac:dyDescent="0.25"/>
    <row r="6237" ht="12" customHeight="1" x14ac:dyDescent="0.25"/>
    <row r="6238" ht="12" customHeight="1" x14ac:dyDescent="0.25"/>
    <row r="6239" ht="12" customHeight="1" x14ac:dyDescent="0.25"/>
    <row r="6240" ht="12" customHeight="1" x14ac:dyDescent="0.25"/>
    <row r="6241" ht="12" customHeight="1" x14ac:dyDescent="0.25"/>
    <row r="6242" ht="12" customHeight="1" x14ac:dyDescent="0.25"/>
    <row r="6243" ht="12" customHeight="1" x14ac:dyDescent="0.25"/>
    <row r="6244" ht="12" customHeight="1" x14ac:dyDescent="0.25"/>
    <row r="6245" ht="12" customHeight="1" x14ac:dyDescent="0.25"/>
    <row r="6246" ht="12" customHeight="1" x14ac:dyDescent="0.25"/>
    <row r="6247" ht="12" customHeight="1" x14ac:dyDescent="0.25"/>
    <row r="6248" ht="12" customHeight="1" x14ac:dyDescent="0.25"/>
    <row r="6249" ht="12" customHeight="1" x14ac:dyDescent="0.25"/>
    <row r="6250" ht="12" customHeight="1" x14ac:dyDescent="0.25"/>
    <row r="6251" ht="12" customHeight="1" x14ac:dyDescent="0.25"/>
    <row r="6252" ht="12" customHeight="1" x14ac:dyDescent="0.25"/>
    <row r="6253" ht="12" customHeight="1" x14ac:dyDescent="0.25"/>
    <row r="6254" ht="12" customHeight="1" x14ac:dyDescent="0.25"/>
    <row r="6255" ht="12" customHeight="1" x14ac:dyDescent="0.25"/>
    <row r="6256" ht="12" customHeight="1" x14ac:dyDescent="0.25"/>
    <row r="6257" ht="12" customHeight="1" x14ac:dyDescent="0.25"/>
    <row r="6258" ht="12" customHeight="1" x14ac:dyDescent="0.25"/>
    <row r="6259" ht="12" customHeight="1" x14ac:dyDescent="0.25"/>
    <row r="6260" ht="12" customHeight="1" x14ac:dyDescent="0.25"/>
    <row r="6261" ht="12" customHeight="1" x14ac:dyDescent="0.25"/>
    <row r="6262" ht="12" customHeight="1" x14ac:dyDescent="0.25"/>
    <row r="6263" ht="12" customHeight="1" x14ac:dyDescent="0.25"/>
    <row r="6264" ht="12" customHeight="1" x14ac:dyDescent="0.25"/>
    <row r="6265" ht="12" customHeight="1" x14ac:dyDescent="0.25"/>
    <row r="6266" ht="12" customHeight="1" x14ac:dyDescent="0.25"/>
    <row r="6267" ht="12" customHeight="1" x14ac:dyDescent="0.25"/>
    <row r="6268" ht="12" customHeight="1" x14ac:dyDescent="0.25"/>
    <row r="6269" ht="12" customHeight="1" x14ac:dyDescent="0.25"/>
    <row r="6270" ht="12" customHeight="1" x14ac:dyDescent="0.25"/>
    <row r="6271" ht="12" customHeight="1" x14ac:dyDescent="0.25"/>
    <row r="6272" ht="12" customHeight="1" x14ac:dyDescent="0.25"/>
    <row r="6273" ht="12" customHeight="1" x14ac:dyDescent="0.25"/>
    <row r="6274" ht="12" customHeight="1" x14ac:dyDescent="0.25"/>
    <row r="6275" ht="12" customHeight="1" x14ac:dyDescent="0.25"/>
    <row r="6276" ht="12" customHeight="1" x14ac:dyDescent="0.25"/>
    <row r="6277" ht="12" customHeight="1" x14ac:dyDescent="0.25"/>
    <row r="6278" ht="12" customHeight="1" x14ac:dyDescent="0.25"/>
    <row r="6279" ht="12" customHeight="1" x14ac:dyDescent="0.25"/>
    <row r="6280" ht="12" customHeight="1" x14ac:dyDescent="0.25"/>
    <row r="6281" ht="12" customHeight="1" x14ac:dyDescent="0.25"/>
    <row r="6282" ht="12" customHeight="1" x14ac:dyDescent="0.25"/>
    <row r="6283" ht="12" customHeight="1" x14ac:dyDescent="0.25"/>
    <row r="6284" ht="12" customHeight="1" x14ac:dyDescent="0.25"/>
    <row r="6285" ht="12" customHeight="1" x14ac:dyDescent="0.25"/>
    <row r="6286" ht="12" customHeight="1" x14ac:dyDescent="0.25"/>
    <row r="6287" ht="12" customHeight="1" x14ac:dyDescent="0.25"/>
    <row r="6288" ht="12" customHeight="1" x14ac:dyDescent="0.25"/>
    <row r="6289" ht="12" customHeight="1" x14ac:dyDescent="0.25"/>
    <row r="6290" ht="12" customHeight="1" x14ac:dyDescent="0.25"/>
    <row r="6291" ht="12" customHeight="1" x14ac:dyDescent="0.25"/>
    <row r="6292" ht="12" customHeight="1" x14ac:dyDescent="0.25"/>
    <row r="6293" ht="12" customHeight="1" x14ac:dyDescent="0.25"/>
    <row r="6294" ht="12" customHeight="1" x14ac:dyDescent="0.25"/>
    <row r="6295" ht="12" customHeight="1" x14ac:dyDescent="0.25"/>
    <row r="6296" ht="12" customHeight="1" x14ac:dyDescent="0.25"/>
    <row r="6297" ht="12" customHeight="1" x14ac:dyDescent="0.25"/>
    <row r="6298" ht="12" customHeight="1" x14ac:dyDescent="0.25"/>
    <row r="6299" ht="12" customHeight="1" x14ac:dyDescent="0.25"/>
    <row r="6300" ht="12" customHeight="1" x14ac:dyDescent="0.25"/>
    <row r="6301" ht="12" customHeight="1" x14ac:dyDescent="0.25"/>
    <row r="6302" ht="12" customHeight="1" x14ac:dyDescent="0.25"/>
    <row r="6303" ht="12" customHeight="1" x14ac:dyDescent="0.25"/>
    <row r="6304" ht="12" customHeight="1" x14ac:dyDescent="0.25"/>
    <row r="6305" ht="12" customHeight="1" x14ac:dyDescent="0.25"/>
    <row r="6306" ht="12" customHeight="1" x14ac:dyDescent="0.25"/>
    <row r="6307" ht="12" customHeight="1" x14ac:dyDescent="0.25"/>
    <row r="6308" ht="12" customHeight="1" x14ac:dyDescent="0.25"/>
    <row r="6309" ht="12" customHeight="1" x14ac:dyDescent="0.25"/>
    <row r="6310" ht="12" customHeight="1" x14ac:dyDescent="0.25"/>
    <row r="6311" ht="12" customHeight="1" x14ac:dyDescent="0.25"/>
    <row r="6312" ht="12" customHeight="1" x14ac:dyDescent="0.25"/>
    <row r="6313" ht="12" customHeight="1" x14ac:dyDescent="0.25"/>
    <row r="6314" ht="12" customHeight="1" x14ac:dyDescent="0.25"/>
    <row r="6315" ht="12" customHeight="1" x14ac:dyDescent="0.25"/>
    <row r="6316" ht="12" customHeight="1" x14ac:dyDescent="0.25"/>
    <row r="6317" ht="12" customHeight="1" x14ac:dyDescent="0.25"/>
    <row r="6318" ht="12" customHeight="1" x14ac:dyDescent="0.25"/>
    <row r="6319" ht="12" customHeight="1" x14ac:dyDescent="0.25"/>
    <row r="6320" ht="12" customHeight="1" x14ac:dyDescent="0.25"/>
    <row r="6321" ht="12" customHeight="1" x14ac:dyDescent="0.25"/>
    <row r="6322" ht="12" customHeight="1" x14ac:dyDescent="0.25"/>
    <row r="6323" ht="12" customHeight="1" x14ac:dyDescent="0.25"/>
    <row r="6324" ht="12" customHeight="1" x14ac:dyDescent="0.25"/>
    <row r="6325" ht="12" customHeight="1" x14ac:dyDescent="0.25"/>
    <row r="6326" ht="12" customHeight="1" x14ac:dyDescent="0.25"/>
    <row r="6327" ht="12" customHeight="1" x14ac:dyDescent="0.25"/>
    <row r="6328" ht="12" customHeight="1" x14ac:dyDescent="0.25"/>
    <row r="6329" ht="12" customHeight="1" x14ac:dyDescent="0.25"/>
    <row r="6330" ht="12" customHeight="1" x14ac:dyDescent="0.25"/>
    <row r="6331" ht="12" customHeight="1" x14ac:dyDescent="0.25"/>
    <row r="6332" ht="12" customHeight="1" x14ac:dyDescent="0.25"/>
    <row r="6333" ht="12" customHeight="1" x14ac:dyDescent="0.25"/>
    <row r="6334" ht="12" customHeight="1" x14ac:dyDescent="0.25"/>
    <row r="6335" ht="12" customHeight="1" x14ac:dyDescent="0.25"/>
    <row r="6336" ht="12" customHeight="1" x14ac:dyDescent="0.25"/>
    <row r="6337" ht="12" customHeight="1" x14ac:dyDescent="0.25"/>
    <row r="6338" ht="12" customHeight="1" x14ac:dyDescent="0.25"/>
    <row r="6339" ht="12" customHeight="1" x14ac:dyDescent="0.25"/>
    <row r="6340" ht="12" customHeight="1" x14ac:dyDescent="0.25"/>
    <row r="6341" ht="12" customHeight="1" x14ac:dyDescent="0.25"/>
    <row r="6342" ht="12" customHeight="1" x14ac:dyDescent="0.25"/>
    <row r="6343" ht="12" customHeight="1" x14ac:dyDescent="0.25"/>
    <row r="6344" ht="12" customHeight="1" x14ac:dyDescent="0.25"/>
    <row r="6345" ht="12" customHeight="1" x14ac:dyDescent="0.25"/>
    <row r="6346" ht="12" customHeight="1" x14ac:dyDescent="0.25"/>
    <row r="6347" ht="12" customHeight="1" x14ac:dyDescent="0.25"/>
    <row r="6348" ht="12" customHeight="1" x14ac:dyDescent="0.25"/>
    <row r="6349" ht="12" customHeight="1" x14ac:dyDescent="0.25"/>
    <row r="6350" ht="12" customHeight="1" x14ac:dyDescent="0.25"/>
    <row r="6351" ht="12" customHeight="1" x14ac:dyDescent="0.25"/>
    <row r="6352" ht="12" customHeight="1" x14ac:dyDescent="0.25"/>
    <row r="6353" ht="12" customHeight="1" x14ac:dyDescent="0.25"/>
    <row r="6354" ht="12" customHeight="1" x14ac:dyDescent="0.25"/>
    <row r="6355" ht="12" customHeight="1" x14ac:dyDescent="0.25"/>
    <row r="6356" ht="12" customHeight="1" x14ac:dyDescent="0.25"/>
    <row r="6357" ht="12" customHeight="1" x14ac:dyDescent="0.25"/>
    <row r="6358" ht="12" customHeight="1" x14ac:dyDescent="0.25"/>
    <row r="6359" ht="12" customHeight="1" x14ac:dyDescent="0.25"/>
    <row r="6360" ht="12" customHeight="1" x14ac:dyDescent="0.25"/>
    <row r="6361" ht="12" customHeight="1" x14ac:dyDescent="0.25"/>
    <row r="6362" ht="12" customHeight="1" x14ac:dyDescent="0.25"/>
    <row r="6363" ht="12" customHeight="1" x14ac:dyDescent="0.25"/>
    <row r="6364" ht="12" customHeight="1" x14ac:dyDescent="0.25"/>
    <row r="6365" ht="12" customHeight="1" x14ac:dyDescent="0.25"/>
    <row r="6366" ht="12" customHeight="1" x14ac:dyDescent="0.25"/>
    <row r="6367" ht="12" customHeight="1" x14ac:dyDescent="0.25"/>
    <row r="6368" ht="12" customHeight="1" x14ac:dyDescent="0.25"/>
    <row r="6369" ht="12" customHeight="1" x14ac:dyDescent="0.25"/>
    <row r="6370" ht="12" customHeight="1" x14ac:dyDescent="0.25"/>
    <row r="6371" ht="12" customHeight="1" x14ac:dyDescent="0.25"/>
    <row r="6372" ht="12" customHeight="1" x14ac:dyDescent="0.25"/>
    <row r="6373" ht="12" customHeight="1" x14ac:dyDescent="0.25"/>
    <row r="6374" ht="12" customHeight="1" x14ac:dyDescent="0.25"/>
    <row r="6375" ht="12" customHeight="1" x14ac:dyDescent="0.25"/>
    <row r="6376" ht="12" customHeight="1" x14ac:dyDescent="0.25"/>
    <row r="6377" ht="12" customHeight="1" x14ac:dyDescent="0.25"/>
    <row r="6378" ht="12" customHeight="1" x14ac:dyDescent="0.25"/>
    <row r="6379" ht="12" customHeight="1" x14ac:dyDescent="0.25"/>
    <row r="6380" ht="12" customHeight="1" x14ac:dyDescent="0.25"/>
    <row r="6381" ht="12" customHeight="1" x14ac:dyDescent="0.25"/>
    <row r="6382" ht="12" customHeight="1" x14ac:dyDescent="0.25"/>
    <row r="6383" ht="12" customHeight="1" x14ac:dyDescent="0.25"/>
    <row r="6384" ht="12" customHeight="1" x14ac:dyDescent="0.25"/>
    <row r="6385" ht="12" customHeight="1" x14ac:dyDescent="0.25"/>
    <row r="6386" ht="12" customHeight="1" x14ac:dyDescent="0.25"/>
    <row r="6387" ht="12" customHeight="1" x14ac:dyDescent="0.25"/>
    <row r="6388" ht="12" customHeight="1" x14ac:dyDescent="0.25"/>
    <row r="6389" ht="12" customHeight="1" x14ac:dyDescent="0.25"/>
    <row r="6390" ht="12" customHeight="1" x14ac:dyDescent="0.25"/>
    <row r="6391" ht="12" customHeight="1" x14ac:dyDescent="0.25"/>
    <row r="6392" ht="12" customHeight="1" x14ac:dyDescent="0.25"/>
    <row r="6393" ht="12" customHeight="1" x14ac:dyDescent="0.25"/>
    <row r="6394" ht="12" customHeight="1" x14ac:dyDescent="0.25"/>
    <row r="6395" ht="12" customHeight="1" x14ac:dyDescent="0.25"/>
    <row r="6396" ht="12" customHeight="1" x14ac:dyDescent="0.25"/>
    <row r="6397" ht="12" customHeight="1" x14ac:dyDescent="0.25"/>
    <row r="6398" ht="12" customHeight="1" x14ac:dyDescent="0.25"/>
    <row r="6399" ht="12" customHeight="1" x14ac:dyDescent="0.25"/>
    <row r="6400" ht="12" customHeight="1" x14ac:dyDescent="0.25"/>
    <row r="6401" ht="12" customHeight="1" x14ac:dyDescent="0.25"/>
    <row r="6402" ht="12" customHeight="1" x14ac:dyDescent="0.25"/>
    <row r="6403" ht="12" customHeight="1" x14ac:dyDescent="0.25"/>
    <row r="6404" ht="12" customHeight="1" x14ac:dyDescent="0.25"/>
    <row r="6405" ht="12" customHeight="1" x14ac:dyDescent="0.25"/>
    <row r="6406" ht="12" customHeight="1" x14ac:dyDescent="0.25"/>
    <row r="6407" ht="12" customHeight="1" x14ac:dyDescent="0.25"/>
    <row r="6408" ht="12" customHeight="1" x14ac:dyDescent="0.25"/>
    <row r="6409" ht="12" customHeight="1" x14ac:dyDescent="0.25"/>
    <row r="6410" ht="12" customHeight="1" x14ac:dyDescent="0.25"/>
    <row r="6411" ht="12" customHeight="1" x14ac:dyDescent="0.25"/>
    <row r="6412" ht="12" customHeight="1" x14ac:dyDescent="0.25"/>
    <row r="6413" ht="12" customHeight="1" x14ac:dyDescent="0.25"/>
    <row r="6414" ht="12" customHeight="1" x14ac:dyDescent="0.25"/>
    <row r="6415" ht="12" customHeight="1" x14ac:dyDescent="0.25"/>
    <row r="6416" ht="12" customHeight="1" x14ac:dyDescent="0.25"/>
    <row r="6417" ht="12" customHeight="1" x14ac:dyDescent="0.25"/>
    <row r="6418" ht="12" customHeight="1" x14ac:dyDescent="0.25"/>
    <row r="6419" ht="12" customHeight="1" x14ac:dyDescent="0.25"/>
    <row r="6420" ht="12" customHeight="1" x14ac:dyDescent="0.25"/>
    <row r="6421" ht="12" customHeight="1" x14ac:dyDescent="0.25"/>
    <row r="6422" ht="12" customHeight="1" x14ac:dyDescent="0.25"/>
    <row r="6423" ht="12" customHeight="1" x14ac:dyDescent="0.25"/>
    <row r="6424" ht="12" customHeight="1" x14ac:dyDescent="0.25"/>
    <row r="6425" ht="12" customHeight="1" x14ac:dyDescent="0.25"/>
    <row r="6426" ht="12" customHeight="1" x14ac:dyDescent="0.25"/>
    <row r="6427" ht="12" customHeight="1" x14ac:dyDescent="0.25"/>
    <row r="6428" ht="12" customHeight="1" x14ac:dyDescent="0.25"/>
    <row r="6429" ht="12" customHeight="1" x14ac:dyDescent="0.25"/>
    <row r="6430" ht="12" customHeight="1" x14ac:dyDescent="0.25"/>
    <row r="6431" ht="12" customHeight="1" x14ac:dyDescent="0.25"/>
    <row r="6432" ht="12" customHeight="1" x14ac:dyDescent="0.25"/>
    <row r="6433" ht="12" customHeight="1" x14ac:dyDescent="0.25"/>
    <row r="6434" ht="12" customHeight="1" x14ac:dyDescent="0.25"/>
    <row r="6435" ht="12" customHeight="1" x14ac:dyDescent="0.25"/>
    <row r="6436" ht="12" customHeight="1" x14ac:dyDescent="0.25"/>
    <row r="6437" ht="12" customHeight="1" x14ac:dyDescent="0.25"/>
    <row r="6438" ht="12" customHeight="1" x14ac:dyDescent="0.25"/>
    <row r="6439" ht="12" customHeight="1" x14ac:dyDescent="0.25"/>
    <row r="6440" ht="12" customHeight="1" x14ac:dyDescent="0.25"/>
    <row r="6441" ht="12" customHeight="1" x14ac:dyDescent="0.25"/>
    <row r="6442" ht="12" customHeight="1" x14ac:dyDescent="0.25"/>
    <row r="6443" ht="12" customHeight="1" x14ac:dyDescent="0.25"/>
    <row r="6444" ht="12" customHeight="1" x14ac:dyDescent="0.25"/>
    <row r="6445" ht="12" customHeight="1" x14ac:dyDescent="0.25"/>
    <row r="6446" ht="12" customHeight="1" x14ac:dyDescent="0.25"/>
    <row r="6447" ht="12" customHeight="1" x14ac:dyDescent="0.25"/>
    <row r="6448" ht="12" customHeight="1" x14ac:dyDescent="0.25"/>
    <row r="6449" ht="12" customHeight="1" x14ac:dyDescent="0.25"/>
    <row r="6450" ht="12" customHeight="1" x14ac:dyDescent="0.25"/>
    <row r="6451" ht="12" customHeight="1" x14ac:dyDescent="0.25"/>
    <row r="6452" ht="12" customHeight="1" x14ac:dyDescent="0.25"/>
    <row r="6453" ht="12" customHeight="1" x14ac:dyDescent="0.25"/>
    <row r="6454" ht="12" customHeight="1" x14ac:dyDescent="0.25"/>
    <row r="6455" ht="12" customHeight="1" x14ac:dyDescent="0.25"/>
    <row r="6456" ht="12" customHeight="1" x14ac:dyDescent="0.25"/>
    <row r="6457" ht="12" customHeight="1" x14ac:dyDescent="0.25"/>
    <row r="6458" ht="12" customHeight="1" x14ac:dyDescent="0.25"/>
    <row r="6459" ht="12" customHeight="1" x14ac:dyDescent="0.25"/>
    <row r="6460" ht="12" customHeight="1" x14ac:dyDescent="0.25"/>
    <row r="6461" ht="12" customHeight="1" x14ac:dyDescent="0.25"/>
    <row r="6462" ht="12" customHeight="1" x14ac:dyDescent="0.25"/>
    <row r="6463" ht="12" customHeight="1" x14ac:dyDescent="0.25"/>
    <row r="6464" ht="12" customHeight="1" x14ac:dyDescent="0.25"/>
    <row r="6465" ht="12" customHeight="1" x14ac:dyDescent="0.25"/>
    <row r="6466" ht="12" customHeight="1" x14ac:dyDescent="0.25"/>
    <row r="6467" ht="12" customHeight="1" x14ac:dyDescent="0.25"/>
    <row r="6468" ht="12" customHeight="1" x14ac:dyDescent="0.25"/>
    <row r="6469" ht="12" customHeight="1" x14ac:dyDescent="0.25"/>
    <row r="6470" ht="12" customHeight="1" x14ac:dyDescent="0.25"/>
    <row r="6471" ht="12" customHeight="1" x14ac:dyDescent="0.25"/>
    <row r="6472" ht="12" customHeight="1" x14ac:dyDescent="0.25"/>
    <row r="6473" ht="12" customHeight="1" x14ac:dyDescent="0.25"/>
    <row r="6474" ht="12" customHeight="1" x14ac:dyDescent="0.25"/>
    <row r="6475" ht="12" customHeight="1" x14ac:dyDescent="0.25"/>
    <row r="6476" ht="12" customHeight="1" x14ac:dyDescent="0.25"/>
    <row r="6477" ht="12" customHeight="1" x14ac:dyDescent="0.25"/>
    <row r="6478" ht="12" customHeight="1" x14ac:dyDescent="0.25"/>
    <row r="6479" ht="12" customHeight="1" x14ac:dyDescent="0.25"/>
    <row r="6480" ht="12" customHeight="1" x14ac:dyDescent="0.25"/>
    <row r="6481" ht="12" customHeight="1" x14ac:dyDescent="0.25"/>
    <row r="6482" ht="12" customHeight="1" x14ac:dyDescent="0.25"/>
    <row r="6483" ht="12" customHeight="1" x14ac:dyDescent="0.25"/>
    <row r="6484" ht="12" customHeight="1" x14ac:dyDescent="0.25"/>
    <row r="6485" ht="12" customHeight="1" x14ac:dyDescent="0.25"/>
    <row r="6486" ht="12" customHeight="1" x14ac:dyDescent="0.25"/>
    <row r="6487" ht="12" customHeight="1" x14ac:dyDescent="0.25"/>
    <row r="6488" ht="12" customHeight="1" x14ac:dyDescent="0.25"/>
    <row r="6489" ht="12" customHeight="1" x14ac:dyDescent="0.25"/>
    <row r="6490" ht="12" customHeight="1" x14ac:dyDescent="0.25"/>
    <row r="6491" ht="12" customHeight="1" x14ac:dyDescent="0.25"/>
    <row r="6492" ht="12" customHeight="1" x14ac:dyDescent="0.25"/>
    <row r="6493" ht="12" customHeight="1" x14ac:dyDescent="0.25"/>
    <row r="6494" ht="12" customHeight="1" x14ac:dyDescent="0.25"/>
    <row r="6495" ht="12" customHeight="1" x14ac:dyDescent="0.25"/>
    <row r="6496" ht="12" customHeight="1" x14ac:dyDescent="0.25"/>
    <row r="6497" ht="12" customHeight="1" x14ac:dyDescent="0.25"/>
    <row r="6498" ht="12" customHeight="1" x14ac:dyDescent="0.25"/>
    <row r="6499" ht="12" customHeight="1" x14ac:dyDescent="0.25"/>
    <row r="6500" ht="12" customHeight="1" x14ac:dyDescent="0.25"/>
    <row r="6501" ht="12" customHeight="1" x14ac:dyDescent="0.25"/>
    <row r="6502" ht="12" customHeight="1" x14ac:dyDescent="0.25"/>
    <row r="6503" ht="12" customHeight="1" x14ac:dyDescent="0.25"/>
    <row r="6504" ht="12" customHeight="1" x14ac:dyDescent="0.25"/>
    <row r="6505" ht="12" customHeight="1" x14ac:dyDescent="0.25"/>
    <row r="6506" ht="12" customHeight="1" x14ac:dyDescent="0.25"/>
    <row r="6507" ht="12" customHeight="1" x14ac:dyDescent="0.25"/>
    <row r="6508" ht="12" customHeight="1" x14ac:dyDescent="0.25"/>
    <row r="6509" ht="12" customHeight="1" x14ac:dyDescent="0.25"/>
    <row r="6510" ht="12" customHeight="1" x14ac:dyDescent="0.25"/>
    <row r="6511" ht="12" customHeight="1" x14ac:dyDescent="0.25"/>
    <row r="6512" ht="12" customHeight="1" x14ac:dyDescent="0.25"/>
    <row r="6513" ht="12" customHeight="1" x14ac:dyDescent="0.25"/>
    <row r="6514" ht="12" customHeight="1" x14ac:dyDescent="0.25"/>
    <row r="6515" ht="12" customHeight="1" x14ac:dyDescent="0.25"/>
    <row r="6516" ht="12" customHeight="1" x14ac:dyDescent="0.25"/>
    <row r="6517" ht="12" customHeight="1" x14ac:dyDescent="0.25"/>
    <row r="6518" ht="12" customHeight="1" x14ac:dyDescent="0.25"/>
    <row r="6519" ht="12" customHeight="1" x14ac:dyDescent="0.25"/>
    <row r="6520" ht="12" customHeight="1" x14ac:dyDescent="0.25"/>
    <row r="6521" ht="12" customHeight="1" x14ac:dyDescent="0.25"/>
    <row r="6522" ht="12" customHeight="1" x14ac:dyDescent="0.25"/>
    <row r="6523" ht="12" customHeight="1" x14ac:dyDescent="0.25"/>
    <row r="6524" ht="12" customHeight="1" x14ac:dyDescent="0.25"/>
    <row r="6525" ht="12" customHeight="1" x14ac:dyDescent="0.25"/>
    <row r="6526" ht="12" customHeight="1" x14ac:dyDescent="0.25"/>
    <row r="6527" ht="12" customHeight="1" x14ac:dyDescent="0.25"/>
    <row r="6528" ht="12" customHeight="1" x14ac:dyDescent="0.25"/>
    <row r="6529" ht="12" customHeight="1" x14ac:dyDescent="0.25"/>
    <row r="6530" ht="12" customHeight="1" x14ac:dyDescent="0.25"/>
    <row r="6531" ht="12" customHeight="1" x14ac:dyDescent="0.25"/>
    <row r="6532" ht="12" customHeight="1" x14ac:dyDescent="0.25"/>
    <row r="6533" ht="12" customHeight="1" x14ac:dyDescent="0.25"/>
    <row r="6534" ht="12" customHeight="1" x14ac:dyDescent="0.25"/>
    <row r="6535" ht="12" customHeight="1" x14ac:dyDescent="0.25"/>
    <row r="6536" ht="12" customHeight="1" x14ac:dyDescent="0.25"/>
    <row r="6537" ht="12" customHeight="1" x14ac:dyDescent="0.25"/>
    <row r="6538" ht="12" customHeight="1" x14ac:dyDescent="0.25"/>
    <row r="6539" ht="12" customHeight="1" x14ac:dyDescent="0.25"/>
    <row r="6540" ht="12" customHeight="1" x14ac:dyDescent="0.25"/>
    <row r="6541" ht="12" customHeight="1" x14ac:dyDescent="0.25"/>
    <row r="6542" ht="12" customHeight="1" x14ac:dyDescent="0.25"/>
    <row r="6543" ht="12" customHeight="1" x14ac:dyDescent="0.25"/>
    <row r="6544" ht="12" customHeight="1" x14ac:dyDescent="0.25"/>
    <row r="6545" ht="12" customHeight="1" x14ac:dyDescent="0.25"/>
    <row r="6546" ht="12" customHeight="1" x14ac:dyDescent="0.25"/>
    <row r="6547" ht="12" customHeight="1" x14ac:dyDescent="0.25"/>
    <row r="6548" ht="12" customHeight="1" x14ac:dyDescent="0.25"/>
    <row r="6549" ht="12" customHeight="1" x14ac:dyDescent="0.25"/>
    <row r="6550" ht="12" customHeight="1" x14ac:dyDescent="0.25"/>
    <row r="6551" ht="12" customHeight="1" x14ac:dyDescent="0.25"/>
    <row r="6552" ht="12" customHeight="1" x14ac:dyDescent="0.25"/>
    <row r="6553" ht="12" customHeight="1" x14ac:dyDescent="0.25"/>
    <row r="6554" ht="12" customHeight="1" x14ac:dyDescent="0.25"/>
    <row r="6555" ht="12" customHeight="1" x14ac:dyDescent="0.25"/>
    <row r="6556" ht="12" customHeight="1" x14ac:dyDescent="0.25"/>
    <row r="6557" ht="12" customHeight="1" x14ac:dyDescent="0.25"/>
    <row r="6558" ht="12" customHeight="1" x14ac:dyDescent="0.25"/>
    <row r="6559" ht="12" customHeight="1" x14ac:dyDescent="0.25"/>
    <row r="6560" ht="12" customHeight="1" x14ac:dyDescent="0.25"/>
    <row r="6561" ht="12" customHeight="1" x14ac:dyDescent="0.25"/>
    <row r="6562" ht="12" customHeight="1" x14ac:dyDescent="0.25"/>
    <row r="6563" ht="12" customHeight="1" x14ac:dyDescent="0.25"/>
    <row r="6564" ht="12" customHeight="1" x14ac:dyDescent="0.25"/>
    <row r="6565" ht="12" customHeight="1" x14ac:dyDescent="0.25"/>
    <row r="6566" ht="12" customHeight="1" x14ac:dyDescent="0.25"/>
    <row r="6567" ht="12" customHeight="1" x14ac:dyDescent="0.25"/>
    <row r="6568" ht="12" customHeight="1" x14ac:dyDescent="0.25"/>
    <row r="6569" ht="12" customHeight="1" x14ac:dyDescent="0.25"/>
    <row r="6570" ht="12" customHeight="1" x14ac:dyDescent="0.25"/>
    <row r="6571" ht="12" customHeight="1" x14ac:dyDescent="0.25"/>
    <row r="6572" ht="12" customHeight="1" x14ac:dyDescent="0.25"/>
    <row r="6573" ht="12" customHeight="1" x14ac:dyDescent="0.25"/>
    <row r="6574" ht="12" customHeight="1" x14ac:dyDescent="0.25"/>
    <row r="6575" ht="12" customHeight="1" x14ac:dyDescent="0.25"/>
    <row r="6576" ht="12" customHeight="1" x14ac:dyDescent="0.25"/>
    <row r="6577" ht="12" customHeight="1" x14ac:dyDescent="0.25"/>
    <row r="6578" ht="12" customHeight="1" x14ac:dyDescent="0.25"/>
    <row r="6579" ht="12" customHeight="1" x14ac:dyDescent="0.25"/>
    <row r="6580" ht="12" customHeight="1" x14ac:dyDescent="0.25"/>
    <row r="6581" ht="12" customHeight="1" x14ac:dyDescent="0.25"/>
    <row r="6582" ht="12" customHeight="1" x14ac:dyDescent="0.25"/>
    <row r="6583" ht="12" customHeight="1" x14ac:dyDescent="0.25"/>
    <row r="6584" ht="12" customHeight="1" x14ac:dyDescent="0.25"/>
    <row r="6585" ht="12" customHeight="1" x14ac:dyDescent="0.25"/>
    <row r="6586" ht="12" customHeight="1" x14ac:dyDescent="0.25"/>
    <row r="6587" ht="12" customHeight="1" x14ac:dyDescent="0.25"/>
    <row r="6588" ht="12" customHeight="1" x14ac:dyDescent="0.25"/>
    <row r="6589" ht="12" customHeight="1" x14ac:dyDescent="0.25"/>
    <row r="6590" ht="12" customHeight="1" x14ac:dyDescent="0.25"/>
    <row r="6591" ht="12" customHeight="1" x14ac:dyDescent="0.25"/>
    <row r="6592" ht="12" customHeight="1" x14ac:dyDescent="0.25"/>
    <row r="6593" ht="12" customHeight="1" x14ac:dyDescent="0.25"/>
    <row r="6594" ht="12" customHeight="1" x14ac:dyDescent="0.25"/>
    <row r="6595" ht="12" customHeight="1" x14ac:dyDescent="0.25"/>
    <row r="6596" ht="12" customHeight="1" x14ac:dyDescent="0.25"/>
    <row r="6597" ht="12" customHeight="1" x14ac:dyDescent="0.25"/>
    <row r="6598" ht="12" customHeight="1" x14ac:dyDescent="0.25"/>
    <row r="6599" ht="12" customHeight="1" x14ac:dyDescent="0.25"/>
    <row r="6600" ht="12" customHeight="1" x14ac:dyDescent="0.25"/>
    <row r="6601" ht="12" customHeight="1" x14ac:dyDescent="0.25"/>
    <row r="6602" ht="12" customHeight="1" x14ac:dyDescent="0.25"/>
    <row r="6603" ht="12" customHeight="1" x14ac:dyDescent="0.25"/>
    <row r="6604" ht="12" customHeight="1" x14ac:dyDescent="0.25"/>
    <row r="6605" ht="12" customHeight="1" x14ac:dyDescent="0.25"/>
    <row r="6606" ht="12" customHeight="1" x14ac:dyDescent="0.25"/>
    <row r="6607" ht="12" customHeight="1" x14ac:dyDescent="0.25"/>
    <row r="6608" ht="12" customHeight="1" x14ac:dyDescent="0.25"/>
    <row r="6609" ht="12" customHeight="1" x14ac:dyDescent="0.25"/>
    <row r="6610" ht="12" customHeight="1" x14ac:dyDescent="0.25"/>
    <row r="6611" ht="12" customHeight="1" x14ac:dyDescent="0.25"/>
    <row r="6612" ht="12" customHeight="1" x14ac:dyDescent="0.25"/>
    <row r="6613" ht="12" customHeight="1" x14ac:dyDescent="0.25"/>
    <row r="6614" ht="12" customHeight="1" x14ac:dyDescent="0.25"/>
    <row r="6615" ht="12" customHeight="1" x14ac:dyDescent="0.25"/>
    <row r="6616" ht="12" customHeight="1" x14ac:dyDescent="0.25"/>
    <row r="6617" ht="12" customHeight="1" x14ac:dyDescent="0.25"/>
    <row r="6618" ht="12" customHeight="1" x14ac:dyDescent="0.25"/>
    <row r="6619" ht="12" customHeight="1" x14ac:dyDescent="0.25"/>
    <row r="6620" ht="12" customHeight="1" x14ac:dyDescent="0.25"/>
    <row r="6621" ht="12" customHeight="1" x14ac:dyDescent="0.25"/>
    <row r="6622" ht="12" customHeight="1" x14ac:dyDescent="0.25"/>
    <row r="6623" ht="12" customHeight="1" x14ac:dyDescent="0.25"/>
    <row r="6624" ht="12" customHeight="1" x14ac:dyDescent="0.25"/>
    <row r="6625" ht="12" customHeight="1" x14ac:dyDescent="0.25"/>
    <row r="6626" ht="12" customHeight="1" x14ac:dyDescent="0.25"/>
    <row r="6627" ht="12" customHeight="1" x14ac:dyDescent="0.25"/>
    <row r="6628" ht="12" customHeight="1" x14ac:dyDescent="0.25"/>
    <row r="6629" ht="12" customHeight="1" x14ac:dyDescent="0.25"/>
    <row r="6630" ht="12" customHeight="1" x14ac:dyDescent="0.25"/>
    <row r="6631" ht="12" customHeight="1" x14ac:dyDescent="0.25"/>
    <row r="6632" ht="12" customHeight="1" x14ac:dyDescent="0.25"/>
    <row r="6633" ht="12" customHeight="1" x14ac:dyDescent="0.25"/>
    <row r="6634" ht="12" customHeight="1" x14ac:dyDescent="0.25"/>
    <row r="6635" ht="12" customHeight="1" x14ac:dyDescent="0.25"/>
    <row r="6636" ht="12" customHeight="1" x14ac:dyDescent="0.25"/>
    <row r="6637" ht="12" customHeight="1" x14ac:dyDescent="0.25"/>
    <row r="6638" ht="12" customHeight="1" x14ac:dyDescent="0.25"/>
    <row r="6639" ht="12" customHeight="1" x14ac:dyDescent="0.25"/>
    <row r="6640" ht="12" customHeight="1" x14ac:dyDescent="0.25"/>
    <row r="6641" ht="12" customHeight="1" x14ac:dyDescent="0.25"/>
    <row r="6642" ht="12" customHeight="1" x14ac:dyDescent="0.25"/>
    <row r="6643" ht="12" customHeight="1" x14ac:dyDescent="0.25"/>
    <row r="6644" ht="12" customHeight="1" x14ac:dyDescent="0.25"/>
    <row r="6645" ht="12" customHeight="1" x14ac:dyDescent="0.25"/>
    <row r="6646" ht="12" customHeight="1" x14ac:dyDescent="0.25"/>
    <row r="6647" ht="12" customHeight="1" x14ac:dyDescent="0.25"/>
    <row r="6648" ht="12" customHeight="1" x14ac:dyDescent="0.25"/>
    <row r="6649" ht="12" customHeight="1" x14ac:dyDescent="0.25"/>
    <row r="6650" ht="12" customHeight="1" x14ac:dyDescent="0.25"/>
    <row r="6651" ht="12" customHeight="1" x14ac:dyDescent="0.25"/>
    <row r="6652" ht="12" customHeight="1" x14ac:dyDescent="0.25"/>
    <row r="6653" ht="12" customHeight="1" x14ac:dyDescent="0.25"/>
    <row r="6654" ht="12" customHeight="1" x14ac:dyDescent="0.25"/>
    <row r="6655" ht="12" customHeight="1" x14ac:dyDescent="0.25"/>
    <row r="6656" ht="12" customHeight="1" x14ac:dyDescent="0.25"/>
    <row r="6657" ht="12" customHeight="1" x14ac:dyDescent="0.25"/>
    <row r="6658" ht="12" customHeight="1" x14ac:dyDescent="0.25"/>
    <row r="6659" ht="12" customHeight="1" x14ac:dyDescent="0.25"/>
    <row r="6660" ht="12" customHeight="1" x14ac:dyDescent="0.25"/>
    <row r="6661" ht="12" customHeight="1" x14ac:dyDescent="0.25"/>
    <row r="6662" ht="12" customHeight="1" x14ac:dyDescent="0.25"/>
    <row r="6663" ht="12" customHeight="1" x14ac:dyDescent="0.25"/>
    <row r="6664" ht="12" customHeight="1" x14ac:dyDescent="0.25"/>
    <row r="6665" ht="12" customHeight="1" x14ac:dyDescent="0.25"/>
    <row r="6666" ht="12" customHeight="1" x14ac:dyDescent="0.25"/>
    <row r="6667" ht="12" customHeight="1" x14ac:dyDescent="0.25"/>
    <row r="6668" ht="12" customHeight="1" x14ac:dyDescent="0.25"/>
    <row r="6669" ht="12" customHeight="1" x14ac:dyDescent="0.25"/>
    <row r="6670" ht="12" customHeight="1" x14ac:dyDescent="0.25"/>
    <row r="6671" ht="12" customHeight="1" x14ac:dyDescent="0.25"/>
    <row r="6672" ht="12" customHeight="1" x14ac:dyDescent="0.25"/>
    <row r="6673" ht="12" customHeight="1" x14ac:dyDescent="0.25"/>
    <row r="6674" ht="12" customHeight="1" x14ac:dyDescent="0.25"/>
    <row r="6675" ht="12" customHeight="1" x14ac:dyDescent="0.25"/>
    <row r="6676" ht="12" customHeight="1" x14ac:dyDescent="0.25"/>
    <row r="6677" ht="12" customHeight="1" x14ac:dyDescent="0.25"/>
    <row r="6678" ht="12" customHeight="1" x14ac:dyDescent="0.25"/>
    <row r="6679" ht="12" customHeight="1" x14ac:dyDescent="0.25"/>
    <row r="6680" ht="12" customHeight="1" x14ac:dyDescent="0.25"/>
    <row r="6681" ht="12" customHeight="1" x14ac:dyDescent="0.25"/>
    <row r="6682" ht="12" customHeight="1" x14ac:dyDescent="0.25"/>
    <row r="6683" ht="12" customHeight="1" x14ac:dyDescent="0.25"/>
    <row r="6684" ht="12" customHeight="1" x14ac:dyDescent="0.25"/>
    <row r="6685" ht="12" customHeight="1" x14ac:dyDescent="0.25"/>
    <row r="6686" ht="12" customHeight="1" x14ac:dyDescent="0.25"/>
    <row r="6687" ht="12" customHeight="1" x14ac:dyDescent="0.25"/>
    <row r="6688" ht="12" customHeight="1" x14ac:dyDescent="0.25"/>
    <row r="6689" ht="12" customHeight="1" x14ac:dyDescent="0.25"/>
    <row r="6690" ht="12" customHeight="1" x14ac:dyDescent="0.25"/>
    <row r="6691" ht="12" customHeight="1" x14ac:dyDescent="0.25"/>
    <row r="6692" ht="12" customHeight="1" x14ac:dyDescent="0.25"/>
    <row r="6693" ht="12" customHeight="1" x14ac:dyDescent="0.25"/>
    <row r="6694" ht="12" customHeight="1" x14ac:dyDescent="0.25"/>
    <row r="6695" ht="12" customHeight="1" x14ac:dyDescent="0.25"/>
    <row r="6696" ht="12" customHeight="1" x14ac:dyDescent="0.25"/>
    <row r="6697" ht="12" customHeight="1" x14ac:dyDescent="0.25"/>
    <row r="6698" ht="12" customHeight="1" x14ac:dyDescent="0.25"/>
    <row r="6699" ht="12" customHeight="1" x14ac:dyDescent="0.25"/>
    <row r="6700" ht="12" customHeight="1" x14ac:dyDescent="0.25"/>
    <row r="6701" ht="12" customHeight="1" x14ac:dyDescent="0.25"/>
    <row r="6702" ht="12" customHeight="1" x14ac:dyDescent="0.25"/>
    <row r="6703" ht="12" customHeight="1" x14ac:dyDescent="0.25"/>
    <row r="6704" ht="12" customHeight="1" x14ac:dyDescent="0.25"/>
    <row r="6705" ht="12" customHeight="1" x14ac:dyDescent="0.25"/>
    <row r="6706" ht="12" customHeight="1" x14ac:dyDescent="0.25"/>
    <row r="6707" ht="12" customHeight="1" x14ac:dyDescent="0.25"/>
    <row r="6708" ht="12" customHeight="1" x14ac:dyDescent="0.25"/>
    <row r="6709" ht="12" customHeight="1" x14ac:dyDescent="0.25"/>
    <row r="6710" ht="12" customHeight="1" x14ac:dyDescent="0.25"/>
    <row r="6711" ht="12" customHeight="1" x14ac:dyDescent="0.25"/>
    <row r="6712" ht="12" customHeight="1" x14ac:dyDescent="0.25"/>
    <row r="6713" ht="12" customHeight="1" x14ac:dyDescent="0.25"/>
    <row r="6714" ht="12" customHeight="1" x14ac:dyDescent="0.25"/>
    <row r="6715" ht="12" customHeight="1" x14ac:dyDescent="0.25"/>
    <row r="6716" ht="12" customHeight="1" x14ac:dyDescent="0.25"/>
    <row r="6717" ht="12" customHeight="1" x14ac:dyDescent="0.25"/>
    <row r="6718" ht="12" customHeight="1" x14ac:dyDescent="0.25"/>
    <row r="6719" ht="12" customHeight="1" x14ac:dyDescent="0.25"/>
    <row r="6720" ht="12" customHeight="1" x14ac:dyDescent="0.25"/>
    <row r="6721" ht="12" customHeight="1" x14ac:dyDescent="0.25"/>
    <row r="6722" ht="12" customHeight="1" x14ac:dyDescent="0.25"/>
    <row r="6723" ht="12" customHeight="1" x14ac:dyDescent="0.25"/>
    <row r="6724" ht="12" customHeight="1" x14ac:dyDescent="0.25"/>
    <row r="6725" ht="12" customHeight="1" x14ac:dyDescent="0.25"/>
    <row r="6726" ht="12" customHeight="1" x14ac:dyDescent="0.25"/>
    <row r="6727" ht="12" customHeight="1" x14ac:dyDescent="0.25"/>
    <row r="6728" ht="12" customHeight="1" x14ac:dyDescent="0.25"/>
    <row r="6729" ht="12" customHeight="1" x14ac:dyDescent="0.25"/>
    <row r="6730" ht="12" customHeight="1" x14ac:dyDescent="0.25"/>
    <row r="6731" ht="12" customHeight="1" x14ac:dyDescent="0.25"/>
    <row r="6732" ht="12" customHeight="1" x14ac:dyDescent="0.25"/>
    <row r="6733" ht="12" customHeight="1" x14ac:dyDescent="0.25"/>
    <row r="6734" ht="12" customHeight="1" x14ac:dyDescent="0.25"/>
    <row r="6735" ht="12" customHeight="1" x14ac:dyDescent="0.25"/>
    <row r="6736" ht="12" customHeight="1" x14ac:dyDescent="0.25"/>
    <row r="6737" ht="12" customHeight="1" x14ac:dyDescent="0.25"/>
    <row r="6738" ht="12" customHeight="1" x14ac:dyDescent="0.25"/>
    <row r="6739" ht="12" customHeight="1" x14ac:dyDescent="0.25"/>
    <row r="6740" ht="12" customHeight="1" x14ac:dyDescent="0.25"/>
    <row r="6741" ht="12" customHeight="1" x14ac:dyDescent="0.25"/>
    <row r="6742" ht="12" customHeight="1" x14ac:dyDescent="0.25"/>
    <row r="6743" ht="12" customHeight="1" x14ac:dyDescent="0.25"/>
    <row r="6744" ht="12" customHeight="1" x14ac:dyDescent="0.25"/>
    <row r="6745" ht="12" customHeight="1" x14ac:dyDescent="0.25"/>
    <row r="6746" ht="12" customHeight="1" x14ac:dyDescent="0.25"/>
    <row r="6747" ht="12" customHeight="1" x14ac:dyDescent="0.25"/>
    <row r="6748" ht="12" customHeight="1" x14ac:dyDescent="0.25"/>
    <row r="6749" ht="12" customHeight="1" x14ac:dyDescent="0.25"/>
    <row r="6750" ht="12" customHeight="1" x14ac:dyDescent="0.25"/>
    <row r="6751" ht="12" customHeight="1" x14ac:dyDescent="0.25"/>
    <row r="6752" ht="12" customHeight="1" x14ac:dyDescent="0.25"/>
    <row r="6753" ht="12" customHeight="1" x14ac:dyDescent="0.25"/>
    <row r="6754" ht="12" customHeight="1" x14ac:dyDescent="0.25"/>
    <row r="6755" ht="12" customHeight="1" x14ac:dyDescent="0.25"/>
    <row r="6756" ht="12" customHeight="1" x14ac:dyDescent="0.25"/>
    <row r="6757" ht="12" customHeight="1" x14ac:dyDescent="0.25"/>
    <row r="6758" ht="12" customHeight="1" x14ac:dyDescent="0.25"/>
    <row r="6759" ht="12" customHeight="1" x14ac:dyDescent="0.25"/>
    <row r="6760" ht="12" customHeight="1" x14ac:dyDescent="0.25"/>
    <row r="6761" ht="12" customHeight="1" x14ac:dyDescent="0.25"/>
    <row r="6762" ht="12" customHeight="1" x14ac:dyDescent="0.25"/>
    <row r="6763" ht="12" customHeight="1" x14ac:dyDescent="0.25"/>
    <row r="6764" ht="12" customHeight="1" x14ac:dyDescent="0.25"/>
    <row r="6765" ht="12" customHeight="1" x14ac:dyDescent="0.25"/>
    <row r="6766" ht="12" customHeight="1" x14ac:dyDescent="0.25"/>
    <row r="6767" ht="12" customHeight="1" x14ac:dyDescent="0.25"/>
    <row r="6768" ht="12" customHeight="1" x14ac:dyDescent="0.25"/>
    <row r="6769" ht="12" customHeight="1" x14ac:dyDescent="0.25"/>
    <row r="6770" ht="12" customHeight="1" x14ac:dyDescent="0.25"/>
    <row r="6771" ht="12" customHeight="1" x14ac:dyDescent="0.25"/>
    <row r="6772" ht="12" customHeight="1" x14ac:dyDescent="0.25"/>
    <row r="6773" ht="12" customHeight="1" x14ac:dyDescent="0.25"/>
    <row r="6774" ht="12" customHeight="1" x14ac:dyDescent="0.25"/>
    <row r="6775" ht="12" customHeight="1" x14ac:dyDescent="0.25"/>
    <row r="6776" ht="12" customHeight="1" x14ac:dyDescent="0.25"/>
    <row r="6777" ht="12" customHeight="1" x14ac:dyDescent="0.25"/>
    <row r="6778" ht="12" customHeight="1" x14ac:dyDescent="0.25"/>
    <row r="6779" ht="12" customHeight="1" x14ac:dyDescent="0.25"/>
    <row r="6780" ht="12" customHeight="1" x14ac:dyDescent="0.25"/>
    <row r="6781" ht="12" customHeight="1" x14ac:dyDescent="0.25"/>
    <row r="6782" ht="12" customHeight="1" x14ac:dyDescent="0.25"/>
    <row r="6783" ht="12" customHeight="1" x14ac:dyDescent="0.25"/>
    <row r="6784" ht="12" customHeight="1" x14ac:dyDescent="0.25"/>
    <row r="6785" ht="12" customHeight="1" x14ac:dyDescent="0.25"/>
    <row r="6786" ht="12" customHeight="1" x14ac:dyDescent="0.25"/>
    <row r="6787" ht="12" customHeight="1" x14ac:dyDescent="0.25"/>
    <row r="6788" ht="12" customHeight="1" x14ac:dyDescent="0.25"/>
    <row r="6789" ht="12" customHeight="1" x14ac:dyDescent="0.25"/>
    <row r="6790" ht="12" customHeight="1" x14ac:dyDescent="0.25"/>
    <row r="6791" ht="12" customHeight="1" x14ac:dyDescent="0.25"/>
    <row r="6792" ht="12" customHeight="1" x14ac:dyDescent="0.25"/>
    <row r="6793" ht="12" customHeight="1" x14ac:dyDescent="0.25"/>
    <row r="6794" ht="12" customHeight="1" x14ac:dyDescent="0.25"/>
    <row r="6795" ht="12" customHeight="1" x14ac:dyDescent="0.25"/>
    <row r="6796" ht="12" customHeight="1" x14ac:dyDescent="0.25"/>
    <row r="6797" ht="12" customHeight="1" x14ac:dyDescent="0.25"/>
    <row r="6798" ht="12" customHeight="1" x14ac:dyDescent="0.25"/>
    <row r="6799" ht="12" customHeight="1" x14ac:dyDescent="0.25"/>
    <row r="6800" ht="12" customHeight="1" x14ac:dyDescent="0.25"/>
    <row r="6801" ht="12" customHeight="1" x14ac:dyDescent="0.25"/>
    <row r="6802" ht="12" customHeight="1" x14ac:dyDescent="0.25"/>
    <row r="6803" ht="12" customHeight="1" x14ac:dyDescent="0.25"/>
    <row r="6804" ht="12" customHeight="1" x14ac:dyDescent="0.25"/>
    <row r="6805" ht="12" customHeight="1" x14ac:dyDescent="0.25"/>
    <row r="6806" ht="12" customHeight="1" x14ac:dyDescent="0.25"/>
    <row r="6807" ht="12" customHeight="1" x14ac:dyDescent="0.25"/>
    <row r="6808" ht="12" customHeight="1" x14ac:dyDescent="0.25"/>
    <row r="6809" ht="12" customHeight="1" x14ac:dyDescent="0.25"/>
    <row r="6810" ht="12" customHeight="1" x14ac:dyDescent="0.25"/>
    <row r="6811" ht="12" customHeight="1" x14ac:dyDescent="0.25"/>
    <row r="6812" ht="12" customHeight="1" x14ac:dyDescent="0.25"/>
    <row r="6813" ht="12" customHeight="1" x14ac:dyDescent="0.25"/>
    <row r="6814" ht="12" customHeight="1" x14ac:dyDescent="0.25"/>
    <row r="6815" ht="12" customHeight="1" x14ac:dyDescent="0.25"/>
    <row r="6816" ht="12" customHeight="1" x14ac:dyDescent="0.25"/>
    <row r="6817" ht="12" customHeight="1" x14ac:dyDescent="0.25"/>
    <row r="6818" ht="12" customHeight="1" x14ac:dyDescent="0.25"/>
    <row r="6819" ht="12" customHeight="1" x14ac:dyDescent="0.25"/>
    <row r="6820" ht="12" customHeight="1" x14ac:dyDescent="0.25"/>
    <row r="6821" ht="12" customHeight="1" x14ac:dyDescent="0.25"/>
    <row r="6822" ht="12" customHeight="1" x14ac:dyDescent="0.25"/>
    <row r="6823" ht="12" customHeight="1" x14ac:dyDescent="0.25"/>
    <row r="6824" ht="12" customHeight="1" x14ac:dyDescent="0.25"/>
    <row r="6825" ht="12" customHeight="1" x14ac:dyDescent="0.25"/>
    <row r="6826" ht="12" customHeight="1" x14ac:dyDescent="0.25"/>
    <row r="6827" ht="12" customHeight="1" x14ac:dyDescent="0.25"/>
    <row r="6828" ht="12" customHeight="1" x14ac:dyDescent="0.25"/>
    <row r="6829" ht="12" customHeight="1" x14ac:dyDescent="0.25"/>
    <row r="6830" ht="12" customHeight="1" x14ac:dyDescent="0.25"/>
    <row r="6831" ht="12" customHeight="1" x14ac:dyDescent="0.25"/>
    <row r="6832" ht="12" customHeight="1" x14ac:dyDescent="0.25"/>
    <row r="6833" ht="12" customHeight="1" x14ac:dyDescent="0.25"/>
    <row r="6834" ht="12" customHeight="1" x14ac:dyDescent="0.25"/>
    <row r="6835" ht="12" customHeight="1" x14ac:dyDescent="0.25"/>
    <row r="6836" ht="12" customHeight="1" x14ac:dyDescent="0.25"/>
    <row r="6837" ht="12" customHeight="1" x14ac:dyDescent="0.25"/>
    <row r="6838" ht="12" customHeight="1" x14ac:dyDescent="0.25"/>
    <row r="6839" ht="12" customHeight="1" x14ac:dyDescent="0.25"/>
    <row r="6840" ht="12" customHeight="1" x14ac:dyDescent="0.25"/>
    <row r="6841" ht="12" customHeight="1" x14ac:dyDescent="0.25"/>
    <row r="6842" ht="12" customHeight="1" x14ac:dyDescent="0.25"/>
    <row r="6843" ht="12" customHeight="1" x14ac:dyDescent="0.25"/>
    <row r="6844" ht="12" customHeight="1" x14ac:dyDescent="0.25"/>
    <row r="6845" ht="12" customHeight="1" x14ac:dyDescent="0.25"/>
    <row r="6846" ht="12" customHeight="1" x14ac:dyDescent="0.25"/>
    <row r="6847" ht="12" customHeight="1" x14ac:dyDescent="0.25"/>
    <row r="6848" ht="12" customHeight="1" x14ac:dyDescent="0.25"/>
    <row r="6849" ht="12" customHeight="1" x14ac:dyDescent="0.25"/>
    <row r="6850" ht="12" customHeight="1" x14ac:dyDescent="0.25"/>
    <row r="6851" ht="12" customHeight="1" x14ac:dyDescent="0.25"/>
    <row r="6852" ht="12" customHeight="1" x14ac:dyDescent="0.25"/>
    <row r="6853" ht="12" customHeight="1" x14ac:dyDescent="0.25"/>
    <row r="6854" ht="12" customHeight="1" x14ac:dyDescent="0.25"/>
    <row r="6855" ht="12" customHeight="1" x14ac:dyDescent="0.25"/>
    <row r="6856" ht="12" customHeight="1" x14ac:dyDescent="0.25"/>
    <row r="6857" ht="12" customHeight="1" x14ac:dyDescent="0.25"/>
    <row r="6858" ht="12" customHeight="1" x14ac:dyDescent="0.25"/>
    <row r="6859" ht="12" customHeight="1" x14ac:dyDescent="0.25"/>
    <row r="6860" ht="12" customHeight="1" x14ac:dyDescent="0.25"/>
    <row r="6861" ht="12" customHeight="1" x14ac:dyDescent="0.25"/>
    <row r="6862" ht="12" customHeight="1" x14ac:dyDescent="0.25"/>
    <row r="6863" ht="12" customHeight="1" x14ac:dyDescent="0.25"/>
    <row r="6864" ht="12" customHeight="1" x14ac:dyDescent="0.25"/>
    <row r="6865" ht="12" customHeight="1" x14ac:dyDescent="0.25"/>
    <row r="6866" ht="12" customHeight="1" x14ac:dyDescent="0.25"/>
    <row r="6867" ht="12" customHeight="1" x14ac:dyDescent="0.25"/>
    <row r="6868" ht="12" customHeight="1" x14ac:dyDescent="0.25"/>
    <row r="6869" ht="12" customHeight="1" x14ac:dyDescent="0.25"/>
    <row r="6870" ht="12" customHeight="1" x14ac:dyDescent="0.25"/>
    <row r="6871" ht="12" customHeight="1" x14ac:dyDescent="0.25"/>
    <row r="6872" ht="12" customHeight="1" x14ac:dyDescent="0.25"/>
    <row r="6873" ht="12" customHeight="1" x14ac:dyDescent="0.25"/>
    <row r="6874" ht="12" customHeight="1" x14ac:dyDescent="0.25"/>
    <row r="6875" ht="12" customHeight="1" x14ac:dyDescent="0.25"/>
    <row r="6876" ht="12" customHeight="1" x14ac:dyDescent="0.25"/>
    <row r="6877" ht="12" customHeight="1" x14ac:dyDescent="0.25"/>
    <row r="6878" ht="12" customHeight="1" x14ac:dyDescent="0.25"/>
    <row r="6879" ht="12" customHeight="1" x14ac:dyDescent="0.25"/>
    <row r="6880" ht="12" customHeight="1" x14ac:dyDescent="0.25"/>
    <row r="6881" ht="12" customHeight="1" x14ac:dyDescent="0.25"/>
    <row r="6882" ht="12" customHeight="1" x14ac:dyDescent="0.25"/>
    <row r="6883" ht="12" customHeight="1" x14ac:dyDescent="0.25"/>
    <row r="6884" ht="12" customHeight="1" x14ac:dyDescent="0.25"/>
    <row r="6885" ht="12" customHeight="1" x14ac:dyDescent="0.25"/>
    <row r="6886" ht="12" customHeight="1" x14ac:dyDescent="0.25"/>
    <row r="6887" ht="12" customHeight="1" x14ac:dyDescent="0.25"/>
    <row r="6888" ht="12" customHeight="1" x14ac:dyDescent="0.25"/>
    <row r="6889" ht="12" customHeight="1" x14ac:dyDescent="0.25"/>
    <row r="6890" ht="12" customHeight="1" x14ac:dyDescent="0.25"/>
    <row r="6891" ht="12" customHeight="1" x14ac:dyDescent="0.25"/>
    <row r="6892" ht="12" customHeight="1" x14ac:dyDescent="0.25"/>
    <row r="6893" ht="12" customHeight="1" x14ac:dyDescent="0.25"/>
    <row r="6894" ht="12" customHeight="1" x14ac:dyDescent="0.25"/>
    <row r="6895" ht="12" customHeight="1" x14ac:dyDescent="0.25"/>
    <row r="6896" ht="12" customHeight="1" x14ac:dyDescent="0.25"/>
    <row r="6897" ht="12" customHeight="1" x14ac:dyDescent="0.25"/>
    <row r="6898" ht="12" customHeight="1" x14ac:dyDescent="0.25"/>
    <row r="6899" ht="12" customHeight="1" x14ac:dyDescent="0.25"/>
    <row r="6900" ht="12" customHeight="1" x14ac:dyDescent="0.25"/>
    <row r="6901" ht="12" customHeight="1" x14ac:dyDescent="0.25"/>
    <row r="6902" ht="12" customHeight="1" x14ac:dyDescent="0.25"/>
    <row r="6903" ht="12" customHeight="1" x14ac:dyDescent="0.25"/>
    <row r="6904" ht="12" customHeight="1" x14ac:dyDescent="0.25"/>
    <row r="6905" ht="12" customHeight="1" x14ac:dyDescent="0.25"/>
    <row r="6906" ht="12" customHeight="1" x14ac:dyDescent="0.25"/>
    <row r="6907" ht="12" customHeight="1" x14ac:dyDescent="0.25"/>
    <row r="6908" ht="12" customHeight="1" x14ac:dyDescent="0.25"/>
    <row r="6909" ht="12" customHeight="1" x14ac:dyDescent="0.25"/>
    <row r="6910" ht="12" customHeight="1" x14ac:dyDescent="0.25"/>
    <row r="6911" ht="12" customHeight="1" x14ac:dyDescent="0.25"/>
    <row r="6912" ht="12" customHeight="1" x14ac:dyDescent="0.25"/>
    <row r="6913" ht="12" customHeight="1" x14ac:dyDescent="0.25"/>
    <row r="6914" ht="12" customHeight="1" x14ac:dyDescent="0.25"/>
    <row r="6915" ht="12" customHeight="1" x14ac:dyDescent="0.25"/>
    <row r="6916" ht="12" customHeight="1" x14ac:dyDescent="0.25"/>
    <row r="6917" ht="12" customHeight="1" x14ac:dyDescent="0.25"/>
    <row r="6918" ht="12" customHeight="1" x14ac:dyDescent="0.25"/>
    <row r="6919" ht="12" customHeight="1" x14ac:dyDescent="0.25"/>
    <row r="6920" ht="12" customHeight="1" x14ac:dyDescent="0.25"/>
    <row r="6921" ht="12" customHeight="1" x14ac:dyDescent="0.25"/>
    <row r="6922" ht="12" customHeight="1" x14ac:dyDescent="0.25"/>
    <row r="6923" ht="12" customHeight="1" x14ac:dyDescent="0.25"/>
    <row r="6924" ht="12" customHeight="1" x14ac:dyDescent="0.25"/>
    <row r="6925" ht="12" customHeight="1" x14ac:dyDescent="0.25"/>
    <row r="6926" ht="12" customHeight="1" x14ac:dyDescent="0.25"/>
    <row r="6927" ht="12" customHeight="1" x14ac:dyDescent="0.25"/>
    <row r="6928" ht="12" customHeight="1" x14ac:dyDescent="0.25"/>
    <row r="6929" ht="12" customHeight="1" x14ac:dyDescent="0.25"/>
    <row r="6930" ht="12" customHeight="1" x14ac:dyDescent="0.25"/>
    <row r="6931" ht="12" customHeight="1" x14ac:dyDescent="0.25"/>
    <row r="6932" ht="12" customHeight="1" x14ac:dyDescent="0.25"/>
    <row r="6933" ht="12" customHeight="1" x14ac:dyDescent="0.25"/>
    <row r="6934" ht="12" customHeight="1" x14ac:dyDescent="0.25"/>
    <row r="6935" ht="12" customHeight="1" x14ac:dyDescent="0.25"/>
    <row r="6936" ht="12" customHeight="1" x14ac:dyDescent="0.25"/>
    <row r="6937" ht="12" customHeight="1" x14ac:dyDescent="0.25"/>
    <row r="6938" ht="12" customHeight="1" x14ac:dyDescent="0.25"/>
    <row r="6939" ht="12" customHeight="1" x14ac:dyDescent="0.25"/>
    <row r="6940" ht="12" customHeight="1" x14ac:dyDescent="0.25"/>
    <row r="6941" ht="12" customHeight="1" x14ac:dyDescent="0.25"/>
    <row r="6942" ht="12" customHeight="1" x14ac:dyDescent="0.25"/>
    <row r="6943" ht="12" customHeight="1" x14ac:dyDescent="0.25"/>
    <row r="6944" ht="12" customHeight="1" x14ac:dyDescent="0.25"/>
    <row r="6945" ht="12" customHeight="1" x14ac:dyDescent="0.25"/>
    <row r="6946" ht="12" customHeight="1" x14ac:dyDescent="0.25"/>
    <row r="6947" ht="12" customHeight="1" x14ac:dyDescent="0.25"/>
    <row r="6948" ht="12" customHeight="1" x14ac:dyDescent="0.25"/>
    <row r="6949" ht="12" customHeight="1" x14ac:dyDescent="0.25"/>
    <row r="6950" ht="12" customHeight="1" x14ac:dyDescent="0.25"/>
    <row r="6951" ht="12" customHeight="1" x14ac:dyDescent="0.25"/>
    <row r="6952" ht="12" customHeight="1" x14ac:dyDescent="0.25"/>
    <row r="6953" ht="12" customHeight="1" x14ac:dyDescent="0.25"/>
    <row r="6954" ht="12" customHeight="1" x14ac:dyDescent="0.25"/>
    <row r="6955" ht="12" customHeight="1" x14ac:dyDescent="0.25"/>
    <row r="6956" ht="12" customHeight="1" x14ac:dyDescent="0.25"/>
    <row r="6957" ht="12" customHeight="1" x14ac:dyDescent="0.25"/>
    <row r="6958" ht="12" customHeight="1" x14ac:dyDescent="0.25"/>
    <row r="6959" ht="12" customHeight="1" x14ac:dyDescent="0.25"/>
    <row r="6960" ht="12" customHeight="1" x14ac:dyDescent="0.25"/>
    <row r="6961" ht="12" customHeight="1" x14ac:dyDescent="0.25"/>
    <row r="6962" ht="12" customHeight="1" x14ac:dyDescent="0.25"/>
    <row r="6963" ht="12" customHeight="1" x14ac:dyDescent="0.25"/>
    <row r="6964" ht="12" customHeight="1" x14ac:dyDescent="0.25"/>
    <row r="6965" ht="12" customHeight="1" x14ac:dyDescent="0.25"/>
    <row r="6966" ht="12" customHeight="1" x14ac:dyDescent="0.25"/>
    <row r="6967" ht="12" customHeight="1" x14ac:dyDescent="0.25"/>
    <row r="6968" ht="12" customHeight="1" x14ac:dyDescent="0.25"/>
    <row r="6969" ht="12" customHeight="1" x14ac:dyDescent="0.25"/>
    <row r="6970" ht="12" customHeight="1" x14ac:dyDescent="0.25"/>
    <row r="6971" ht="12" customHeight="1" x14ac:dyDescent="0.25"/>
    <row r="6972" ht="12" customHeight="1" x14ac:dyDescent="0.25"/>
    <row r="6973" ht="12" customHeight="1" x14ac:dyDescent="0.25"/>
    <row r="6974" ht="12" customHeight="1" x14ac:dyDescent="0.25"/>
    <row r="6975" ht="12" customHeight="1" x14ac:dyDescent="0.25"/>
    <row r="6976" ht="12" customHeight="1" x14ac:dyDescent="0.25"/>
    <row r="6977" ht="12" customHeight="1" x14ac:dyDescent="0.25"/>
    <row r="6978" ht="12" customHeight="1" x14ac:dyDescent="0.25"/>
    <row r="6979" ht="12" customHeight="1" x14ac:dyDescent="0.25"/>
    <row r="6980" ht="12" customHeight="1" x14ac:dyDescent="0.25"/>
    <row r="6981" ht="12" customHeight="1" x14ac:dyDescent="0.25"/>
    <row r="6982" ht="12" customHeight="1" x14ac:dyDescent="0.25"/>
    <row r="6983" ht="12" customHeight="1" x14ac:dyDescent="0.25"/>
    <row r="6984" ht="12" customHeight="1" x14ac:dyDescent="0.25"/>
    <row r="6985" ht="12" customHeight="1" x14ac:dyDescent="0.25"/>
    <row r="6986" ht="12" customHeight="1" x14ac:dyDescent="0.25"/>
    <row r="6987" ht="12" customHeight="1" x14ac:dyDescent="0.25"/>
    <row r="6988" ht="12" customHeight="1" x14ac:dyDescent="0.25"/>
    <row r="6989" ht="12" customHeight="1" x14ac:dyDescent="0.25"/>
    <row r="6990" ht="12" customHeight="1" x14ac:dyDescent="0.25"/>
    <row r="6991" ht="12" customHeight="1" x14ac:dyDescent="0.25"/>
    <row r="6992" ht="12" customHeight="1" x14ac:dyDescent="0.25"/>
    <row r="6993" ht="12" customHeight="1" x14ac:dyDescent="0.25"/>
    <row r="6994" ht="12" customHeight="1" x14ac:dyDescent="0.25"/>
    <row r="6995" ht="12" customHeight="1" x14ac:dyDescent="0.25"/>
    <row r="6996" ht="12" customHeight="1" x14ac:dyDescent="0.25"/>
    <row r="6997" ht="12" customHeight="1" x14ac:dyDescent="0.25"/>
    <row r="6998" ht="12" customHeight="1" x14ac:dyDescent="0.25"/>
    <row r="6999" ht="12" customHeight="1" x14ac:dyDescent="0.25"/>
    <row r="7000" ht="12" customHeight="1" x14ac:dyDescent="0.25"/>
    <row r="7001" ht="12" customHeight="1" x14ac:dyDescent="0.25"/>
    <row r="7002" ht="12" customHeight="1" x14ac:dyDescent="0.25"/>
    <row r="7003" ht="12" customHeight="1" x14ac:dyDescent="0.25"/>
    <row r="7004" ht="12" customHeight="1" x14ac:dyDescent="0.25"/>
    <row r="7005" ht="12" customHeight="1" x14ac:dyDescent="0.25"/>
    <row r="7006" ht="12" customHeight="1" x14ac:dyDescent="0.25"/>
    <row r="7007" ht="12" customHeight="1" x14ac:dyDescent="0.25"/>
    <row r="7008" ht="12" customHeight="1" x14ac:dyDescent="0.25"/>
    <row r="7009" ht="12" customHeight="1" x14ac:dyDescent="0.25"/>
    <row r="7010" ht="12" customHeight="1" x14ac:dyDescent="0.25"/>
    <row r="7011" ht="12" customHeight="1" x14ac:dyDescent="0.25"/>
    <row r="7012" ht="12" customHeight="1" x14ac:dyDescent="0.25"/>
    <row r="7013" ht="12" customHeight="1" x14ac:dyDescent="0.25"/>
    <row r="7014" ht="12" customHeight="1" x14ac:dyDescent="0.25"/>
    <row r="7015" ht="12" customHeight="1" x14ac:dyDescent="0.25"/>
    <row r="7016" ht="12" customHeight="1" x14ac:dyDescent="0.25"/>
    <row r="7017" ht="12" customHeight="1" x14ac:dyDescent="0.25"/>
    <row r="7018" ht="12" customHeight="1" x14ac:dyDescent="0.25"/>
    <row r="7019" ht="12" customHeight="1" x14ac:dyDescent="0.25"/>
    <row r="7020" ht="12" customHeight="1" x14ac:dyDescent="0.25"/>
    <row r="7021" ht="12" customHeight="1" x14ac:dyDescent="0.25"/>
    <row r="7022" ht="12" customHeight="1" x14ac:dyDescent="0.25"/>
    <row r="7023" ht="12" customHeight="1" x14ac:dyDescent="0.25"/>
    <row r="7024" ht="12" customHeight="1" x14ac:dyDescent="0.25"/>
    <row r="7025" ht="12" customHeight="1" x14ac:dyDescent="0.25"/>
    <row r="7026" ht="12" customHeight="1" x14ac:dyDescent="0.25"/>
    <row r="7027" ht="12" customHeight="1" x14ac:dyDescent="0.25"/>
    <row r="7028" ht="12" customHeight="1" x14ac:dyDescent="0.25"/>
    <row r="7029" ht="12" customHeight="1" x14ac:dyDescent="0.25"/>
    <row r="7030" ht="12" customHeight="1" x14ac:dyDescent="0.25"/>
    <row r="7031" ht="12" customHeight="1" x14ac:dyDescent="0.25"/>
    <row r="7032" ht="12" customHeight="1" x14ac:dyDescent="0.25"/>
    <row r="7033" ht="12" customHeight="1" x14ac:dyDescent="0.25"/>
    <row r="7034" ht="12" customHeight="1" x14ac:dyDescent="0.25"/>
    <row r="7035" ht="12" customHeight="1" x14ac:dyDescent="0.25"/>
    <row r="7036" ht="12" customHeight="1" x14ac:dyDescent="0.25"/>
    <row r="7037" ht="12" customHeight="1" x14ac:dyDescent="0.25"/>
    <row r="7038" ht="12" customHeight="1" x14ac:dyDescent="0.25"/>
    <row r="7039" ht="12" customHeight="1" x14ac:dyDescent="0.25"/>
    <row r="7040" ht="12" customHeight="1" x14ac:dyDescent="0.25"/>
    <row r="7041" ht="12" customHeight="1" x14ac:dyDescent="0.25"/>
    <row r="7042" ht="12" customHeight="1" x14ac:dyDescent="0.25"/>
    <row r="7043" ht="12" customHeight="1" x14ac:dyDescent="0.25"/>
    <row r="7044" ht="12" customHeight="1" x14ac:dyDescent="0.25"/>
    <row r="7045" ht="12" customHeight="1" x14ac:dyDescent="0.25"/>
    <row r="7046" ht="12" customHeight="1" x14ac:dyDescent="0.25"/>
    <row r="7047" ht="12" customHeight="1" x14ac:dyDescent="0.25"/>
    <row r="7048" ht="12" customHeight="1" x14ac:dyDescent="0.25"/>
    <row r="7049" ht="12" customHeight="1" x14ac:dyDescent="0.25"/>
    <row r="7050" ht="12" customHeight="1" x14ac:dyDescent="0.25"/>
    <row r="7051" ht="12" customHeight="1" x14ac:dyDescent="0.25"/>
    <row r="7052" ht="12" customHeight="1" x14ac:dyDescent="0.25"/>
    <row r="7053" ht="12" customHeight="1" x14ac:dyDescent="0.25"/>
    <row r="7054" ht="12" customHeight="1" x14ac:dyDescent="0.25"/>
    <row r="7055" ht="12" customHeight="1" x14ac:dyDescent="0.25"/>
    <row r="7056" ht="12" customHeight="1" x14ac:dyDescent="0.25"/>
    <row r="7057" ht="12" customHeight="1" x14ac:dyDescent="0.25"/>
    <row r="7058" ht="12" customHeight="1" x14ac:dyDescent="0.25"/>
    <row r="7059" ht="12" customHeight="1" x14ac:dyDescent="0.25"/>
    <row r="7060" ht="12" customHeight="1" x14ac:dyDescent="0.25"/>
    <row r="7061" ht="12" customHeight="1" x14ac:dyDescent="0.25"/>
    <row r="7062" ht="12" customHeight="1" x14ac:dyDescent="0.25"/>
    <row r="7063" ht="12" customHeight="1" x14ac:dyDescent="0.25"/>
    <row r="7064" ht="12" customHeight="1" x14ac:dyDescent="0.25"/>
    <row r="7065" ht="12" customHeight="1" x14ac:dyDescent="0.25"/>
    <row r="7066" ht="12" customHeight="1" x14ac:dyDescent="0.25"/>
    <row r="7067" ht="12" customHeight="1" x14ac:dyDescent="0.25"/>
    <row r="7068" ht="12" customHeight="1" x14ac:dyDescent="0.25"/>
    <row r="7069" ht="12" customHeight="1" x14ac:dyDescent="0.25"/>
    <row r="7070" ht="12" customHeight="1" x14ac:dyDescent="0.25"/>
    <row r="7071" ht="12" customHeight="1" x14ac:dyDescent="0.25"/>
    <row r="7072" ht="12" customHeight="1" x14ac:dyDescent="0.25"/>
    <row r="7073" ht="12" customHeight="1" x14ac:dyDescent="0.25"/>
    <row r="7074" ht="12" customHeight="1" x14ac:dyDescent="0.25"/>
    <row r="7075" ht="12" customHeight="1" x14ac:dyDescent="0.25"/>
    <row r="7076" ht="12" customHeight="1" x14ac:dyDescent="0.25"/>
    <row r="7077" ht="12" customHeight="1" x14ac:dyDescent="0.25"/>
    <row r="7078" ht="12" customHeight="1" x14ac:dyDescent="0.25"/>
    <row r="7079" ht="12" customHeight="1" x14ac:dyDescent="0.25"/>
    <row r="7080" ht="12" customHeight="1" x14ac:dyDescent="0.25"/>
    <row r="7081" ht="12" customHeight="1" x14ac:dyDescent="0.25"/>
    <row r="7082" ht="12" customHeight="1" x14ac:dyDescent="0.25"/>
    <row r="7083" ht="12" customHeight="1" x14ac:dyDescent="0.25"/>
    <row r="7084" ht="12" customHeight="1" x14ac:dyDescent="0.25"/>
    <row r="7085" ht="12" customHeight="1" x14ac:dyDescent="0.25"/>
    <row r="7086" ht="12" customHeight="1" x14ac:dyDescent="0.25"/>
    <row r="7087" ht="12" customHeight="1" x14ac:dyDescent="0.25"/>
    <row r="7088" ht="12" customHeight="1" x14ac:dyDescent="0.25"/>
    <row r="7089" ht="12" customHeight="1" x14ac:dyDescent="0.25"/>
    <row r="7090" ht="12" customHeight="1" x14ac:dyDescent="0.25"/>
    <row r="7091" ht="12" customHeight="1" x14ac:dyDescent="0.25"/>
    <row r="7092" ht="12" customHeight="1" x14ac:dyDescent="0.25"/>
    <row r="7093" ht="12" customHeight="1" x14ac:dyDescent="0.25"/>
    <row r="7094" ht="12" customHeight="1" x14ac:dyDescent="0.25"/>
    <row r="7095" ht="12" customHeight="1" x14ac:dyDescent="0.25"/>
    <row r="7096" ht="12" customHeight="1" x14ac:dyDescent="0.25"/>
    <row r="7097" ht="12" customHeight="1" x14ac:dyDescent="0.25"/>
    <row r="7098" ht="12" customHeight="1" x14ac:dyDescent="0.25"/>
    <row r="7099" ht="12" customHeight="1" x14ac:dyDescent="0.25"/>
    <row r="7100" ht="12" customHeight="1" x14ac:dyDescent="0.25"/>
    <row r="7101" ht="12" customHeight="1" x14ac:dyDescent="0.25"/>
    <row r="7102" ht="12" customHeight="1" x14ac:dyDescent="0.25"/>
    <row r="7103" ht="12" customHeight="1" x14ac:dyDescent="0.25"/>
    <row r="7104" ht="12" customHeight="1" x14ac:dyDescent="0.25"/>
    <row r="7105" ht="12" customHeight="1" x14ac:dyDescent="0.25"/>
    <row r="7106" ht="12" customHeight="1" x14ac:dyDescent="0.25"/>
    <row r="7107" ht="12" customHeight="1" x14ac:dyDescent="0.25"/>
    <row r="7108" ht="12" customHeight="1" x14ac:dyDescent="0.25"/>
    <row r="7109" ht="12" customHeight="1" x14ac:dyDescent="0.25"/>
    <row r="7110" ht="12" customHeight="1" x14ac:dyDescent="0.25"/>
    <row r="7111" ht="12" customHeight="1" x14ac:dyDescent="0.25"/>
    <row r="7112" ht="12" customHeight="1" x14ac:dyDescent="0.25"/>
    <row r="7113" ht="12" customHeight="1" x14ac:dyDescent="0.25"/>
    <row r="7114" ht="12" customHeight="1" x14ac:dyDescent="0.25"/>
    <row r="7115" ht="12" customHeight="1" x14ac:dyDescent="0.25"/>
    <row r="7116" ht="12" customHeight="1" x14ac:dyDescent="0.25"/>
    <row r="7117" ht="12" customHeight="1" x14ac:dyDescent="0.25"/>
    <row r="7118" ht="12" customHeight="1" x14ac:dyDescent="0.25"/>
    <row r="7119" ht="12" customHeight="1" x14ac:dyDescent="0.25"/>
    <row r="7120" ht="12" customHeight="1" x14ac:dyDescent="0.25"/>
    <row r="7121" ht="12" customHeight="1" x14ac:dyDescent="0.25"/>
    <row r="7122" ht="12" customHeight="1" x14ac:dyDescent="0.25"/>
    <row r="7123" ht="12" customHeight="1" x14ac:dyDescent="0.25"/>
    <row r="7124" ht="12" customHeight="1" x14ac:dyDescent="0.25"/>
    <row r="7125" ht="12" customHeight="1" x14ac:dyDescent="0.25"/>
    <row r="7126" ht="12" customHeight="1" x14ac:dyDescent="0.25"/>
    <row r="7127" ht="12" customHeight="1" x14ac:dyDescent="0.25"/>
    <row r="7128" ht="12" customHeight="1" x14ac:dyDescent="0.25"/>
    <row r="7129" ht="12" customHeight="1" x14ac:dyDescent="0.25"/>
    <row r="7130" ht="12" customHeight="1" x14ac:dyDescent="0.25"/>
    <row r="7131" ht="12" customHeight="1" x14ac:dyDescent="0.25"/>
    <row r="7132" ht="12" customHeight="1" x14ac:dyDescent="0.25"/>
    <row r="7133" ht="12" customHeight="1" x14ac:dyDescent="0.25"/>
    <row r="7134" ht="12" customHeight="1" x14ac:dyDescent="0.25"/>
    <row r="7135" ht="12" customHeight="1" x14ac:dyDescent="0.25"/>
    <row r="7136" ht="12" customHeight="1" x14ac:dyDescent="0.25"/>
    <row r="7137" ht="12" customHeight="1" x14ac:dyDescent="0.25"/>
    <row r="7138" ht="12" customHeight="1" x14ac:dyDescent="0.25"/>
    <row r="7139" ht="12" customHeight="1" x14ac:dyDescent="0.25"/>
    <row r="7140" ht="12" customHeight="1" x14ac:dyDescent="0.25"/>
    <row r="7141" ht="12" customHeight="1" x14ac:dyDescent="0.25"/>
    <row r="7142" ht="12" customHeight="1" x14ac:dyDescent="0.25"/>
    <row r="7143" ht="12" customHeight="1" x14ac:dyDescent="0.25"/>
    <row r="7144" ht="12" customHeight="1" x14ac:dyDescent="0.25"/>
    <row r="7145" ht="12" customHeight="1" x14ac:dyDescent="0.25"/>
    <row r="7146" ht="12" customHeight="1" x14ac:dyDescent="0.25"/>
    <row r="7147" ht="12" customHeight="1" x14ac:dyDescent="0.25"/>
    <row r="7148" ht="12" customHeight="1" x14ac:dyDescent="0.25"/>
    <row r="7149" ht="12" customHeight="1" x14ac:dyDescent="0.25"/>
    <row r="7150" ht="12" customHeight="1" x14ac:dyDescent="0.25"/>
    <row r="7151" ht="12" customHeight="1" x14ac:dyDescent="0.25"/>
    <row r="7152" ht="12" customHeight="1" x14ac:dyDescent="0.25"/>
    <row r="7153" ht="12" customHeight="1" x14ac:dyDescent="0.25"/>
    <row r="7154" ht="12" customHeight="1" x14ac:dyDescent="0.25"/>
    <row r="7155" ht="12" customHeight="1" x14ac:dyDescent="0.25"/>
    <row r="7156" ht="12" customHeight="1" x14ac:dyDescent="0.25"/>
    <row r="7157" ht="12" customHeight="1" x14ac:dyDescent="0.25"/>
    <row r="7158" ht="12" customHeight="1" x14ac:dyDescent="0.25"/>
    <row r="7159" ht="12" customHeight="1" x14ac:dyDescent="0.25"/>
    <row r="7160" ht="12" customHeight="1" x14ac:dyDescent="0.25"/>
    <row r="7161" ht="12" customHeight="1" x14ac:dyDescent="0.25"/>
    <row r="7162" ht="12" customHeight="1" x14ac:dyDescent="0.25"/>
    <row r="7163" ht="12" customHeight="1" x14ac:dyDescent="0.25"/>
    <row r="7164" ht="12" customHeight="1" x14ac:dyDescent="0.25"/>
    <row r="7165" ht="12" customHeight="1" x14ac:dyDescent="0.25"/>
    <row r="7166" ht="12" customHeight="1" x14ac:dyDescent="0.25"/>
    <row r="7167" ht="12" customHeight="1" x14ac:dyDescent="0.25"/>
    <row r="7168" ht="12" customHeight="1" x14ac:dyDescent="0.25"/>
    <row r="7169" ht="12" customHeight="1" x14ac:dyDescent="0.25"/>
    <row r="7170" ht="12" customHeight="1" x14ac:dyDescent="0.25"/>
    <row r="7171" ht="12" customHeight="1" x14ac:dyDescent="0.25"/>
    <row r="7172" ht="12" customHeight="1" x14ac:dyDescent="0.25"/>
    <row r="7173" ht="12" customHeight="1" x14ac:dyDescent="0.25"/>
    <row r="7174" ht="12" customHeight="1" x14ac:dyDescent="0.25"/>
    <row r="7175" ht="12" customHeight="1" x14ac:dyDescent="0.25"/>
    <row r="7176" ht="12" customHeight="1" x14ac:dyDescent="0.25"/>
    <row r="7177" ht="12" customHeight="1" x14ac:dyDescent="0.25"/>
    <row r="7178" ht="12" customHeight="1" x14ac:dyDescent="0.25"/>
    <row r="7179" ht="12" customHeight="1" x14ac:dyDescent="0.25"/>
    <row r="7180" ht="12" customHeight="1" x14ac:dyDescent="0.25"/>
    <row r="7181" ht="12" customHeight="1" x14ac:dyDescent="0.25"/>
    <row r="7182" ht="12" customHeight="1" x14ac:dyDescent="0.25"/>
    <row r="7183" ht="12" customHeight="1" x14ac:dyDescent="0.25"/>
    <row r="7184" ht="12" customHeight="1" x14ac:dyDescent="0.25"/>
    <row r="7185" ht="12" customHeight="1" x14ac:dyDescent="0.25"/>
    <row r="7186" ht="12" customHeight="1" x14ac:dyDescent="0.25"/>
    <row r="7187" ht="12" customHeight="1" x14ac:dyDescent="0.25"/>
    <row r="7188" ht="12" customHeight="1" x14ac:dyDescent="0.25"/>
    <row r="7189" ht="12" customHeight="1" x14ac:dyDescent="0.25"/>
    <row r="7190" ht="12" customHeight="1" x14ac:dyDescent="0.25"/>
    <row r="7191" ht="12" customHeight="1" x14ac:dyDescent="0.25"/>
    <row r="7192" ht="12" customHeight="1" x14ac:dyDescent="0.25"/>
    <row r="7193" ht="12" customHeight="1" x14ac:dyDescent="0.25"/>
    <row r="7194" ht="12" customHeight="1" x14ac:dyDescent="0.25"/>
    <row r="7195" ht="12" customHeight="1" x14ac:dyDescent="0.25"/>
    <row r="7196" ht="12" customHeight="1" x14ac:dyDescent="0.25"/>
    <row r="7197" ht="12" customHeight="1" x14ac:dyDescent="0.25"/>
    <row r="7198" ht="12" customHeight="1" x14ac:dyDescent="0.25"/>
    <row r="7199" ht="12" customHeight="1" x14ac:dyDescent="0.25"/>
    <row r="7200" ht="12" customHeight="1" x14ac:dyDescent="0.25"/>
    <row r="7201" ht="12" customHeight="1" x14ac:dyDescent="0.25"/>
    <row r="7202" ht="12" customHeight="1" x14ac:dyDescent="0.25"/>
    <row r="7203" ht="12" customHeight="1" x14ac:dyDescent="0.25"/>
    <row r="7204" ht="12" customHeight="1" x14ac:dyDescent="0.25"/>
    <row r="7205" ht="12" customHeight="1" x14ac:dyDescent="0.25"/>
    <row r="7206" ht="12" customHeight="1" x14ac:dyDescent="0.25"/>
    <row r="7207" ht="12" customHeight="1" x14ac:dyDescent="0.25"/>
    <row r="7208" ht="12" customHeight="1" x14ac:dyDescent="0.25"/>
    <row r="7209" ht="12" customHeight="1" x14ac:dyDescent="0.25"/>
    <row r="7210" ht="12" customHeight="1" x14ac:dyDescent="0.25"/>
    <row r="7211" ht="12" customHeight="1" x14ac:dyDescent="0.25"/>
    <row r="7212" ht="12" customHeight="1" x14ac:dyDescent="0.25"/>
    <row r="7213" ht="12" customHeight="1" x14ac:dyDescent="0.25"/>
    <row r="7214" ht="12" customHeight="1" x14ac:dyDescent="0.25"/>
    <row r="7215" ht="12" customHeight="1" x14ac:dyDescent="0.25"/>
    <row r="7216" ht="12" customHeight="1" x14ac:dyDescent="0.25"/>
    <row r="7217" ht="12" customHeight="1" x14ac:dyDescent="0.25"/>
    <row r="7218" ht="12" customHeight="1" x14ac:dyDescent="0.25"/>
    <row r="7219" ht="12" customHeight="1" x14ac:dyDescent="0.25"/>
    <row r="7220" ht="12" customHeight="1" x14ac:dyDescent="0.25"/>
    <row r="7221" ht="12" customHeight="1" x14ac:dyDescent="0.25"/>
    <row r="7222" ht="12" customHeight="1" x14ac:dyDescent="0.25"/>
    <row r="7223" ht="12" customHeight="1" x14ac:dyDescent="0.25"/>
    <row r="7224" ht="12" customHeight="1" x14ac:dyDescent="0.25"/>
    <row r="7225" ht="12" customHeight="1" x14ac:dyDescent="0.25"/>
    <row r="7226" ht="12" customHeight="1" x14ac:dyDescent="0.25"/>
    <row r="7227" ht="12" customHeight="1" x14ac:dyDescent="0.25"/>
    <row r="7228" ht="12" customHeight="1" x14ac:dyDescent="0.25"/>
    <row r="7229" ht="12" customHeight="1" x14ac:dyDescent="0.25"/>
    <row r="7230" ht="12" customHeight="1" x14ac:dyDescent="0.25"/>
    <row r="7231" ht="12" customHeight="1" x14ac:dyDescent="0.25"/>
    <row r="7232" ht="12" customHeight="1" x14ac:dyDescent="0.25"/>
    <row r="7233" ht="12" customHeight="1" x14ac:dyDescent="0.25"/>
    <row r="7234" ht="12" customHeight="1" x14ac:dyDescent="0.25"/>
    <row r="7235" ht="12" customHeight="1" x14ac:dyDescent="0.25"/>
    <row r="7236" ht="12" customHeight="1" x14ac:dyDescent="0.25"/>
    <row r="7237" ht="12" customHeight="1" x14ac:dyDescent="0.25"/>
    <row r="7238" ht="12" customHeight="1" x14ac:dyDescent="0.25"/>
    <row r="7239" ht="12" customHeight="1" x14ac:dyDescent="0.25"/>
    <row r="7240" ht="12" customHeight="1" x14ac:dyDescent="0.25"/>
    <row r="7241" ht="12" customHeight="1" x14ac:dyDescent="0.25"/>
    <row r="7242" ht="12" customHeight="1" x14ac:dyDescent="0.25"/>
    <row r="7243" ht="12" customHeight="1" x14ac:dyDescent="0.25"/>
    <row r="7244" ht="12" customHeight="1" x14ac:dyDescent="0.25"/>
    <row r="7245" ht="12" customHeight="1" x14ac:dyDescent="0.25"/>
    <row r="7246" ht="12" customHeight="1" x14ac:dyDescent="0.25"/>
    <row r="7247" ht="12" customHeight="1" x14ac:dyDescent="0.25"/>
    <row r="7248" ht="12" customHeight="1" x14ac:dyDescent="0.25"/>
    <row r="7249" ht="12" customHeight="1" x14ac:dyDescent="0.25"/>
    <row r="7250" ht="12" customHeight="1" x14ac:dyDescent="0.25"/>
    <row r="7251" ht="12" customHeight="1" x14ac:dyDescent="0.25"/>
    <row r="7252" ht="12" customHeight="1" x14ac:dyDescent="0.25"/>
    <row r="7253" ht="12" customHeight="1" x14ac:dyDescent="0.25"/>
    <row r="7254" ht="12" customHeight="1" x14ac:dyDescent="0.25"/>
    <row r="7255" ht="12" customHeight="1" x14ac:dyDescent="0.25"/>
    <row r="7256" ht="12" customHeight="1" x14ac:dyDescent="0.25"/>
    <row r="7257" ht="12" customHeight="1" x14ac:dyDescent="0.25"/>
    <row r="7258" ht="12" customHeight="1" x14ac:dyDescent="0.25"/>
    <row r="7259" ht="12" customHeight="1" x14ac:dyDescent="0.25"/>
    <row r="7260" ht="12" customHeight="1" x14ac:dyDescent="0.25"/>
    <row r="7261" ht="12" customHeight="1" x14ac:dyDescent="0.25"/>
    <row r="7262" ht="12" customHeight="1" x14ac:dyDescent="0.25"/>
    <row r="7263" ht="12" customHeight="1" x14ac:dyDescent="0.25"/>
    <row r="7264" ht="12" customHeight="1" x14ac:dyDescent="0.25"/>
    <row r="7265" ht="12" customHeight="1" x14ac:dyDescent="0.25"/>
    <row r="7266" ht="12" customHeight="1" x14ac:dyDescent="0.25"/>
    <row r="7267" ht="12" customHeight="1" x14ac:dyDescent="0.25"/>
    <row r="7268" ht="12" customHeight="1" x14ac:dyDescent="0.25"/>
    <row r="7269" ht="12" customHeight="1" x14ac:dyDescent="0.25"/>
    <row r="7270" ht="12" customHeight="1" x14ac:dyDescent="0.25"/>
    <row r="7271" ht="12" customHeight="1" x14ac:dyDescent="0.25"/>
    <row r="7272" ht="12" customHeight="1" x14ac:dyDescent="0.25"/>
    <row r="7273" ht="12" customHeight="1" x14ac:dyDescent="0.25"/>
    <row r="7274" ht="12" customHeight="1" x14ac:dyDescent="0.25"/>
    <row r="7275" ht="12" customHeight="1" x14ac:dyDescent="0.25"/>
    <row r="7276" ht="12" customHeight="1" x14ac:dyDescent="0.25"/>
    <row r="7277" ht="12" customHeight="1" x14ac:dyDescent="0.25"/>
    <row r="7278" ht="12" customHeight="1" x14ac:dyDescent="0.25"/>
    <row r="7279" ht="12" customHeight="1" x14ac:dyDescent="0.25"/>
    <row r="7280" ht="12" customHeight="1" x14ac:dyDescent="0.25"/>
    <row r="7281" ht="12" customHeight="1" x14ac:dyDescent="0.25"/>
    <row r="7282" ht="12" customHeight="1" x14ac:dyDescent="0.25"/>
    <row r="7283" ht="12" customHeight="1" x14ac:dyDescent="0.25"/>
    <row r="7284" ht="12" customHeight="1" x14ac:dyDescent="0.25"/>
    <row r="7285" ht="12" customHeight="1" x14ac:dyDescent="0.25"/>
    <row r="7286" ht="12" customHeight="1" x14ac:dyDescent="0.25"/>
    <row r="7287" ht="12" customHeight="1" x14ac:dyDescent="0.25"/>
    <row r="7288" ht="12" customHeight="1" x14ac:dyDescent="0.25"/>
    <row r="7289" ht="12" customHeight="1" x14ac:dyDescent="0.25"/>
    <row r="7290" ht="12" customHeight="1" x14ac:dyDescent="0.25"/>
    <row r="7291" ht="12" customHeight="1" x14ac:dyDescent="0.25"/>
    <row r="7292" ht="12" customHeight="1" x14ac:dyDescent="0.25"/>
    <row r="7293" ht="12" customHeight="1" x14ac:dyDescent="0.25"/>
    <row r="7294" ht="12" customHeight="1" x14ac:dyDescent="0.25"/>
    <row r="7295" ht="12" customHeight="1" x14ac:dyDescent="0.25"/>
    <row r="7296" ht="12" customHeight="1" x14ac:dyDescent="0.25"/>
    <row r="7297" ht="12" customHeight="1" x14ac:dyDescent="0.25"/>
    <row r="7298" ht="12" customHeight="1" x14ac:dyDescent="0.25"/>
    <row r="7299" ht="12" customHeight="1" x14ac:dyDescent="0.25"/>
    <row r="7300" ht="12" customHeight="1" x14ac:dyDescent="0.25"/>
    <row r="7301" ht="12" customHeight="1" x14ac:dyDescent="0.25"/>
    <row r="7302" ht="12" customHeight="1" x14ac:dyDescent="0.25"/>
    <row r="7303" ht="12" customHeight="1" x14ac:dyDescent="0.25"/>
    <row r="7304" ht="12" customHeight="1" x14ac:dyDescent="0.25"/>
    <row r="7305" ht="12" customHeight="1" x14ac:dyDescent="0.25"/>
    <row r="7306" ht="12" customHeight="1" x14ac:dyDescent="0.25"/>
    <row r="7307" ht="12" customHeight="1" x14ac:dyDescent="0.25"/>
    <row r="7308" ht="12" customHeight="1" x14ac:dyDescent="0.25"/>
    <row r="7309" ht="12" customHeight="1" x14ac:dyDescent="0.25"/>
    <row r="7310" ht="12" customHeight="1" x14ac:dyDescent="0.25"/>
    <row r="7311" ht="12" customHeight="1" x14ac:dyDescent="0.25"/>
    <row r="7312" ht="12" customHeight="1" x14ac:dyDescent="0.25"/>
    <row r="7313" ht="12" customHeight="1" x14ac:dyDescent="0.25"/>
    <row r="7314" ht="12" customHeight="1" x14ac:dyDescent="0.25"/>
    <row r="7315" ht="12" customHeight="1" x14ac:dyDescent="0.25"/>
    <row r="7316" ht="12" customHeight="1" x14ac:dyDescent="0.25"/>
    <row r="7317" ht="12" customHeight="1" x14ac:dyDescent="0.25"/>
    <row r="7318" ht="12" customHeight="1" x14ac:dyDescent="0.25"/>
    <row r="7319" ht="12" customHeight="1" x14ac:dyDescent="0.25"/>
    <row r="7320" ht="12" customHeight="1" x14ac:dyDescent="0.25"/>
    <row r="7321" ht="12" customHeight="1" x14ac:dyDescent="0.25"/>
    <row r="7322" ht="12" customHeight="1" x14ac:dyDescent="0.25"/>
    <row r="7323" ht="12" customHeight="1" x14ac:dyDescent="0.25"/>
    <row r="7324" ht="12" customHeight="1" x14ac:dyDescent="0.25"/>
    <row r="7325" ht="12" customHeight="1" x14ac:dyDescent="0.25"/>
    <row r="7326" ht="12" customHeight="1" x14ac:dyDescent="0.25"/>
    <row r="7327" ht="12" customHeight="1" x14ac:dyDescent="0.25"/>
    <row r="7328" ht="12" customHeight="1" x14ac:dyDescent="0.25"/>
    <row r="7329" ht="12" customHeight="1" x14ac:dyDescent="0.25"/>
    <row r="7330" ht="12" customHeight="1" x14ac:dyDescent="0.25"/>
    <row r="7331" ht="12" customHeight="1" x14ac:dyDescent="0.25"/>
    <row r="7332" ht="12" customHeight="1" x14ac:dyDescent="0.25"/>
    <row r="7333" ht="12" customHeight="1" x14ac:dyDescent="0.25"/>
    <row r="7334" ht="12" customHeight="1" x14ac:dyDescent="0.25"/>
    <row r="7335" ht="12" customHeight="1" x14ac:dyDescent="0.25"/>
    <row r="7336" ht="12" customHeight="1" x14ac:dyDescent="0.25"/>
    <row r="7337" ht="12" customHeight="1" x14ac:dyDescent="0.25"/>
    <row r="7338" ht="12" customHeight="1" x14ac:dyDescent="0.25"/>
    <row r="7339" ht="12" customHeight="1" x14ac:dyDescent="0.25"/>
    <row r="7340" ht="12" customHeight="1" x14ac:dyDescent="0.25"/>
    <row r="7341" ht="12" customHeight="1" x14ac:dyDescent="0.25"/>
    <row r="7342" ht="12" customHeight="1" x14ac:dyDescent="0.25"/>
    <row r="7343" ht="12" customHeight="1" x14ac:dyDescent="0.25"/>
    <row r="7344" ht="12" customHeight="1" x14ac:dyDescent="0.25"/>
    <row r="7345" ht="12" customHeight="1" x14ac:dyDescent="0.25"/>
    <row r="7346" ht="12" customHeight="1" x14ac:dyDescent="0.25"/>
    <row r="7347" ht="12" customHeight="1" x14ac:dyDescent="0.25"/>
    <row r="7348" ht="12" customHeight="1" x14ac:dyDescent="0.25"/>
    <row r="7349" ht="12" customHeight="1" x14ac:dyDescent="0.25"/>
    <row r="7350" ht="12" customHeight="1" x14ac:dyDescent="0.25"/>
    <row r="7351" ht="12" customHeight="1" x14ac:dyDescent="0.25"/>
    <row r="7352" ht="12" customHeight="1" x14ac:dyDescent="0.25"/>
    <row r="7353" ht="12" customHeight="1" x14ac:dyDescent="0.25"/>
    <row r="7354" ht="12" customHeight="1" x14ac:dyDescent="0.25"/>
    <row r="7355" ht="12" customHeight="1" x14ac:dyDescent="0.25"/>
    <row r="7356" ht="12" customHeight="1" x14ac:dyDescent="0.25"/>
    <row r="7357" ht="12" customHeight="1" x14ac:dyDescent="0.25"/>
    <row r="7358" ht="12" customHeight="1" x14ac:dyDescent="0.25"/>
    <row r="7359" ht="12" customHeight="1" x14ac:dyDescent="0.25"/>
    <row r="7360" ht="12" customHeight="1" x14ac:dyDescent="0.25"/>
    <row r="7361" spans="1:12" ht="12" customHeight="1" x14ac:dyDescent="0.25"/>
    <row r="7362" spans="1:12" ht="12" customHeight="1" x14ac:dyDescent="0.25"/>
    <row r="7363" spans="1:12" ht="12" customHeight="1" x14ac:dyDescent="0.25"/>
    <row r="7364" spans="1:12" ht="12" customHeight="1" x14ac:dyDescent="0.25"/>
    <row r="7365" spans="1:12" ht="12" customHeight="1" x14ac:dyDescent="0.25"/>
    <row r="7366" spans="1:12" ht="12" customHeight="1" x14ac:dyDescent="0.25"/>
    <row r="7367" spans="1:12" ht="12" customHeight="1" x14ac:dyDescent="0.25"/>
    <row r="7368" spans="1:12" ht="12" customHeight="1" x14ac:dyDescent="0.25"/>
    <row r="7369" spans="1:12" ht="12" customHeight="1" x14ac:dyDescent="0.25"/>
    <row r="7370" spans="1:12" ht="12" customHeight="1" x14ac:dyDescent="0.25"/>
    <row r="7371" spans="1:12" ht="12" customHeight="1" x14ac:dyDescent="0.25">
      <c r="F7371" s="5"/>
      <c r="G7371" s="5"/>
      <c r="H7371" s="5"/>
      <c r="I7371" s="5"/>
      <c r="J7371" s="5"/>
      <c r="K7371" s="5"/>
      <c r="L7371" s="5"/>
    </row>
    <row r="7372" spans="1:12" ht="12" customHeight="1" x14ac:dyDescent="0.25">
      <c r="F7372" s="5"/>
      <c r="G7372" s="5"/>
      <c r="H7372" s="5"/>
      <c r="I7372" s="5"/>
      <c r="J7372" s="5"/>
      <c r="K7372" s="5"/>
      <c r="L7372" s="5"/>
    </row>
    <row r="7373" spans="1:12" ht="12" customHeight="1" x14ac:dyDescent="0.25">
      <c r="A7373" s="6"/>
      <c r="B7373" s="1"/>
      <c r="C7373" s="5"/>
      <c r="D7373" s="5"/>
      <c r="E7373" s="5"/>
      <c r="F7373" s="5"/>
      <c r="G7373" s="5"/>
      <c r="H7373" s="5"/>
      <c r="I7373" s="5"/>
      <c r="J7373" s="5"/>
      <c r="K7373" s="5"/>
      <c r="L7373" s="5"/>
    </row>
    <row r="7374" spans="1:12" ht="12" customHeight="1" x14ac:dyDescent="0.25">
      <c r="A7374" s="6"/>
      <c r="B7374" s="1"/>
      <c r="C7374" s="5"/>
      <c r="D7374" s="5"/>
      <c r="E7374" s="5"/>
      <c r="F7374" s="5"/>
      <c r="G7374" s="5"/>
      <c r="H7374" s="5"/>
      <c r="I7374" s="5"/>
      <c r="J7374" s="5"/>
      <c r="K7374" s="5"/>
      <c r="L7374" s="5"/>
    </row>
    <row r="7375" spans="1:12" ht="12" customHeight="1" x14ac:dyDescent="0.25">
      <c r="A7375" s="6"/>
      <c r="B7375" s="1"/>
      <c r="C7375" s="5"/>
      <c r="D7375" s="5"/>
      <c r="E7375" s="5"/>
      <c r="F7375" s="5"/>
      <c r="G7375" s="5"/>
      <c r="H7375" s="5"/>
      <c r="I7375" s="5"/>
      <c r="J7375" s="5"/>
      <c r="K7375" s="5"/>
      <c r="L7375" s="5"/>
    </row>
    <row r="7376" spans="1:12" ht="12" customHeight="1" x14ac:dyDescent="0.25">
      <c r="A7376" s="6"/>
      <c r="B7376" s="1"/>
      <c r="C7376" s="5"/>
      <c r="D7376" s="5"/>
      <c r="E7376" s="5"/>
      <c r="F7376" s="5"/>
      <c r="G7376" s="5"/>
      <c r="H7376" s="5"/>
      <c r="I7376" s="5"/>
      <c r="J7376" s="5"/>
      <c r="K7376" s="5"/>
      <c r="L7376" s="5"/>
    </row>
    <row r="7377" spans="1:12" ht="12" customHeight="1" x14ac:dyDescent="0.25">
      <c r="A7377" s="6"/>
      <c r="B7377" s="1"/>
      <c r="C7377" s="5"/>
      <c r="D7377" s="5"/>
      <c r="E7377" s="5"/>
      <c r="F7377" s="5"/>
      <c r="G7377" s="5"/>
      <c r="H7377" s="5"/>
      <c r="I7377" s="5"/>
      <c r="J7377" s="5"/>
      <c r="K7377" s="5"/>
      <c r="L7377" s="5"/>
    </row>
    <row r="7378" spans="1:12" ht="12" customHeight="1" x14ac:dyDescent="0.25">
      <c r="A7378" s="6"/>
      <c r="B7378" s="1"/>
      <c r="C7378" s="5"/>
      <c r="D7378" s="5"/>
      <c r="E7378" s="5"/>
      <c r="F7378" s="5"/>
      <c r="G7378" s="5"/>
      <c r="H7378" s="5"/>
      <c r="I7378" s="5"/>
      <c r="J7378" s="5"/>
      <c r="K7378" s="5"/>
      <c r="L7378" s="5"/>
    </row>
    <row r="7379" spans="1:12" ht="12" customHeight="1" x14ac:dyDescent="0.25">
      <c r="A7379" s="6"/>
      <c r="B7379" s="1"/>
      <c r="C7379" s="5"/>
      <c r="D7379" s="5"/>
      <c r="E7379" s="5"/>
      <c r="F7379" s="5"/>
      <c r="G7379" s="5"/>
      <c r="H7379" s="5"/>
      <c r="I7379" s="5"/>
      <c r="J7379" s="5"/>
      <c r="K7379" s="5"/>
      <c r="L7379" s="5"/>
    </row>
    <row r="7380" spans="1:12" ht="12" customHeight="1" x14ac:dyDescent="0.25">
      <c r="A7380" s="6"/>
      <c r="B7380" s="1"/>
      <c r="C7380" s="5"/>
      <c r="D7380" s="5"/>
      <c r="E7380" s="5"/>
      <c r="F7380" s="5"/>
      <c r="G7380" s="5"/>
      <c r="H7380" s="5"/>
      <c r="I7380" s="5"/>
      <c r="J7380" s="5"/>
      <c r="K7380" s="5"/>
      <c r="L7380" s="5"/>
    </row>
    <row r="7381" spans="1:12" ht="12" customHeight="1" x14ac:dyDescent="0.25">
      <c r="A7381" s="6"/>
      <c r="B7381" s="1"/>
      <c r="C7381" s="5"/>
      <c r="D7381" s="5"/>
      <c r="E7381" s="5"/>
      <c r="F7381" s="5"/>
      <c r="G7381" s="5"/>
      <c r="H7381" s="5"/>
      <c r="I7381" s="5"/>
      <c r="J7381" s="5"/>
      <c r="K7381" s="5"/>
      <c r="L7381" s="5"/>
    </row>
    <row r="7382" spans="1:12" ht="12" customHeight="1" x14ac:dyDescent="0.25">
      <c r="A7382" s="6"/>
      <c r="B7382" s="1"/>
      <c r="C7382" s="5"/>
      <c r="D7382" s="5"/>
      <c r="E7382" s="5"/>
      <c r="F7382" s="5"/>
      <c r="G7382" s="5"/>
      <c r="H7382" s="5"/>
      <c r="I7382" s="5"/>
      <c r="J7382" s="5"/>
      <c r="K7382" s="5"/>
      <c r="L7382" s="5"/>
    </row>
    <row r="7383" spans="1:12" ht="12" customHeight="1" x14ac:dyDescent="0.25">
      <c r="A7383" s="6"/>
      <c r="B7383" s="1"/>
      <c r="C7383" s="5"/>
      <c r="D7383" s="5"/>
      <c r="E7383" s="5"/>
      <c r="F7383" s="5"/>
      <c r="G7383" s="5"/>
      <c r="H7383" s="5"/>
      <c r="I7383" s="5"/>
      <c r="J7383" s="5"/>
      <c r="K7383" s="5"/>
      <c r="L7383" s="5"/>
    </row>
    <row r="7384" spans="1:12" ht="12" customHeight="1" x14ac:dyDescent="0.25">
      <c r="A7384" s="6"/>
      <c r="B7384" s="1"/>
      <c r="C7384" s="5"/>
      <c r="D7384" s="5"/>
      <c r="E7384" s="5"/>
      <c r="F7384" s="5"/>
      <c r="G7384" s="5"/>
      <c r="H7384" s="5"/>
      <c r="I7384" s="5"/>
      <c r="J7384" s="5"/>
      <c r="K7384" s="5"/>
      <c r="L7384" s="5"/>
    </row>
    <row r="7385" spans="1:12" ht="12" customHeight="1" x14ac:dyDescent="0.25">
      <c r="A7385" s="6"/>
      <c r="B7385" s="1"/>
      <c r="C7385" s="5"/>
      <c r="D7385" s="5"/>
      <c r="E7385" s="5"/>
      <c r="F7385" s="5"/>
      <c r="G7385" s="5"/>
      <c r="H7385" s="5"/>
      <c r="I7385" s="5"/>
      <c r="J7385" s="5"/>
      <c r="K7385" s="5"/>
      <c r="L7385" s="5"/>
    </row>
    <row r="7386" spans="1:12" ht="12" customHeight="1" x14ac:dyDescent="0.25">
      <c r="A7386" s="6"/>
      <c r="B7386" s="1"/>
      <c r="C7386" s="5"/>
      <c r="D7386" s="5"/>
      <c r="E7386" s="5"/>
      <c r="F7386" s="5"/>
      <c r="G7386" s="5"/>
      <c r="H7386" s="5"/>
      <c r="I7386" s="5"/>
      <c r="J7386" s="5"/>
      <c r="K7386" s="5"/>
      <c r="L7386" s="5"/>
    </row>
    <row r="7387" spans="1:12" ht="12" customHeight="1" x14ac:dyDescent="0.25">
      <c r="A7387" s="6"/>
      <c r="B7387" s="1"/>
      <c r="C7387" s="5"/>
      <c r="D7387" s="5"/>
      <c r="E7387" s="5"/>
      <c r="F7387" s="5"/>
      <c r="G7387" s="5"/>
      <c r="H7387" s="5"/>
      <c r="I7387" s="5"/>
      <c r="J7387" s="5"/>
      <c r="K7387" s="5"/>
      <c r="L7387" s="5"/>
    </row>
    <row r="7388" spans="1:12" ht="12" customHeight="1" x14ac:dyDescent="0.25">
      <c r="A7388" s="6"/>
      <c r="B7388" s="1"/>
      <c r="C7388" s="5"/>
      <c r="D7388" s="5"/>
      <c r="E7388" s="5"/>
      <c r="F7388" s="5"/>
      <c r="G7388" s="5"/>
      <c r="H7388" s="5"/>
      <c r="I7388" s="5"/>
      <c r="J7388" s="5"/>
      <c r="K7388" s="5"/>
      <c r="L7388" s="5"/>
    </row>
    <row r="7389" spans="1:12" ht="12" customHeight="1" x14ac:dyDescent="0.25">
      <c r="A7389" s="6"/>
      <c r="B7389" s="1"/>
      <c r="C7389" s="5"/>
      <c r="D7389" s="5"/>
      <c r="E7389" s="5"/>
      <c r="F7389" s="5"/>
      <c r="G7389" s="5"/>
      <c r="H7389" s="5"/>
      <c r="I7389" s="5"/>
      <c r="J7389" s="5"/>
      <c r="K7389" s="5"/>
      <c r="L7389" s="5"/>
    </row>
    <row r="7390" spans="1:12" ht="12" customHeight="1" x14ac:dyDescent="0.25">
      <c r="A7390" s="6"/>
      <c r="B7390" s="1"/>
      <c r="C7390" s="5"/>
      <c r="D7390" s="5"/>
      <c r="E7390" s="5"/>
      <c r="F7390" s="5"/>
      <c r="G7390" s="5"/>
      <c r="H7390" s="5"/>
      <c r="I7390" s="5"/>
      <c r="J7390" s="5"/>
      <c r="K7390" s="5"/>
      <c r="L7390" s="5"/>
    </row>
    <row r="7391" spans="1:12" ht="12" customHeight="1" x14ac:dyDescent="0.25">
      <c r="A7391" s="6"/>
      <c r="B7391" s="1"/>
      <c r="C7391" s="5"/>
      <c r="D7391" s="5"/>
      <c r="E7391" s="5"/>
      <c r="F7391" s="5"/>
      <c r="G7391" s="5"/>
      <c r="H7391" s="5"/>
      <c r="I7391" s="5"/>
      <c r="J7391" s="5"/>
      <c r="K7391" s="5"/>
      <c r="L7391" s="5"/>
    </row>
    <row r="7392" spans="1:12" ht="12" customHeight="1" x14ac:dyDescent="0.25">
      <c r="A7392" s="6"/>
      <c r="B7392" s="1"/>
      <c r="C7392" s="5"/>
      <c r="D7392" s="5"/>
      <c r="E7392" s="5"/>
      <c r="F7392" s="5"/>
      <c r="G7392" s="5"/>
      <c r="H7392" s="5"/>
      <c r="I7392" s="5"/>
      <c r="J7392" s="5"/>
      <c r="K7392" s="5"/>
      <c r="L7392" s="5"/>
    </row>
    <row r="7393" spans="1:12" ht="12" customHeight="1" x14ac:dyDescent="0.25">
      <c r="A7393" s="6"/>
      <c r="B7393" s="1"/>
      <c r="C7393" s="5"/>
      <c r="D7393" s="5"/>
      <c r="E7393" s="5"/>
      <c r="F7393" s="5"/>
      <c r="G7393" s="5"/>
      <c r="H7393" s="5"/>
      <c r="I7393" s="5"/>
      <c r="J7393" s="5"/>
      <c r="K7393" s="5"/>
      <c r="L7393" s="5"/>
    </row>
    <row r="7394" spans="1:12" ht="12" customHeight="1" x14ac:dyDescent="0.25">
      <c r="A7394" s="6"/>
      <c r="B7394" s="1"/>
      <c r="C7394" s="5"/>
      <c r="D7394" s="5"/>
      <c r="E7394" s="5"/>
      <c r="F7394" s="5"/>
      <c r="G7394" s="5"/>
      <c r="H7394" s="5"/>
      <c r="I7394" s="5"/>
      <c r="J7394" s="5"/>
      <c r="K7394" s="5"/>
      <c r="L7394" s="5"/>
    </row>
    <row r="7395" spans="1:12" ht="12" customHeight="1" x14ac:dyDescent="0.25">
      <c r="A7395" s="6"/>
      <c r="B7395" s="1"/>
      <c r="C7395" s="5"/>
      <c r="D7395" s="5"/>
      <c r="E7395" s="5"/>
      <c r="F7395" s="5"/>
      <c r="G7395" s="5"/>
      <c r="H7395" s="5"/>
      <c r="I7395" s="5"/>
      <c r="J7395" s="5"/>
      <c r="K7395" s="5"/>
      <c r="L7395" s="5"/>
    </row>
    <row r="7396" spans="1:12" ht="12" customHeight="1" x14ac:dyDescent="0.25">
      <c r="A7396" s="6"/>
      <c r="B7396" s="1"/>
      <c r="C7396" s="5"/>
      <c r="D7396" s="5"/>
      <c r="E7396" s="5"/>
      <c r="F7396" s="5"/>
      <c r="G7396" s="5"/>
      <c r="H7396" s="5"/>
      <c r="I7396" s="5"/>
      <c r="J7396" s="5"/>
      <c r="K7396" s="5"/>
      <c r="L7396" s="5"/>
    </row>
    <row r="7397" spans="1:12" ht="12" customHeight="1" x14ac:dyDescent="0.25">
      <c r="A7397" s="6"/>
      <c r="B7397" s="1"/>
      <c r="C7397" s="5"/>
      <c r="D7397" s="5"/>
      <c r="E7397" s="5"/>
      <c r="F7397" s="5"/>
      <c r="G7397" s="5"/>
      <c r="H7397" s="5"/>
      <c r="I7397" s="5"/>
      <c r="J7397" s="5"/>
      <c r="K7397" s="5"/>
      <c r="L7397" s="5"/>
    </row>
    <row r="7398" spans="1:12" ht="12" customHeight="1" x14ac:dyDescent="0.25">
      <c r="A7398" s="6"/>
      <c r="B7398" s="1"/>
      <c r="C7398" s="5"/>
      <c r="D7398" s="5"/>
      <c r="E7398" s="5"/>
      <c r="F7398" s="5"/>
      <c r="G7398" s="5"/>
      <c r="H7398" s="5"/>
      <c r="I7398" s="5"/>
      <c r="J7398" s="5"/>
      <c r="K7398" s="5"/>
      <c r="L7398" s="5"/>
    </row>
    <row r="7399" spans="1:12" ht="12" customHeight="1" x14ac:dyDescent="0.25">
      <c r="A7399" s="6"/>
      <c r="B7399" s="1"/>
      <c r="C7399" s="5"/>
      <c r="D7399" s="5"/>
      <c r="E7399" s="5"/>
      <c r="F7399" s="5"/>
      <c r="G7399" s="5"/>
      <c r="H7399" s="5"/>
      <c r="I7399" s="5"/>
      <c r="J7399" s="5"/>
      <c r="K7399" s="5"/>
      <c r="L7399" s="5"/>
    </row>
    <row r="7400" spans="1:12" ht="12" customHeight="1" x14ac:dyDescent="0.25">
      <c r="A7400" s="6"/>
      <c r="B7400" s="1"/>
      <c r="C7400" s="5"/>
      <c r="D7400" s="5"/>
      <c r="E7400" s="5"/>
      <c r="F7400" s="5"/>
      <c r="G7400" s="5"/>
      <c r="H7400" s="5"/>
      <c r="I7400" s="5"/>
      <c r="J7400" s="5"/>
      <c r="K7400" s="5"/>
      <c r="L7400" s="5"/>
    </row>
    <row r="7401" spans="1:12" ht="12" customHeight="1" x14ac:dyDescent="0.25">
      <c r="A7401" s="6"/>
      <c r="B7401" s="1"/>
      <c r="C7401" s="5"/>
      <c r="D7401" s="5"/>
      <c r="E7401" s="5"/>
      <c r="F7401" s="5"/>
      <c r="G7401" s="5"/>
      <c r="H7401" s="5"/>
      <c r="I7401" s="5"/>
      <c r="J7401" s="5"/>
      <c r="K7401" s="5"/>
      <c r="L7401" s="5"/>
    </row>
    <row r="7402" spans="1:12" ht="12" customHeight="1" x14ac:dyDescent="0.25">
      <c r="A7402" s="6"/>
      <c r="B7402" s="1"/>
      <c r="C7402" s="5"/>
      <c r="D7402" s="5"/>
      <c r="E7402" s="5"/>
      <c r="F7402" s="5"/>
      <c r="G7402" s="5"/>
      <c r="H7402" s="5"/>
      <c r="I7402" s="5"/>
      <c r="J7402" s="5"/>
      <c r="K7402" s="5"/>
      <c r="L7402" s="5"/>
    </row>
    <row r="7403" spans="1:12" ht="12" customHeight="1" x14ac:dyDescent="0.25">
      <c r="A7403" s="6"/>
      <c r="B7403" s="1"/>
      <c r="C7403" s="5"/>
      <c r="D7403" s="5"/>
      <c r="E7403" s="5"/>
      <c r="F7403" s="5"/>
      <c r="G7403" s="5"/>
      <c r="H7403" s="5"/>
      <c r="I7403" s="5"/>
      <c r="J7403" s="5"/>
      <c r="K7403" s="5"/>
      <c r="L7403" s="5"/>
    </row>
    <row r="7404" spans="1:12" ht="12" customHeight="1" x14ac:dyDescent="0.25">
      <c r="A7404" s="6"/>
      <c r="B7404" s="1"/>
      <c r="C7404" s="5"/>
      <c r="D7404" s="5"/>
      <c r="E7404" s="5"/>
      <c r="F7404" s="5"/>
      <c r="G7404" s="5"/>
      <c r="H7404" s="5"/>
      <c r="I7404" s="5"/>
      <c r="J7404" s="5"/>
      <c r="K7404" s="5"/>
      <c r="L7404" s="5"/>
    </row>
    <row r="7405" spans="1:12" ht="12" customHeight="1" x14ac:dyDescent="0.25">
      <c r="A7405" s="6"/>
      <c r="B7405" s="1"/>
      <c r="C7405" s="5"/>
      <c r="D7405" s="5"/>
      <c r="E7405" s="5"/>
      <c r="F7405" s="5"/>
      <c r="G7405" s="5"/>
      <c r="H7405" s="5"/>
      <c r="I7405" s="5"/>
      <c r="J7405" s="5"/>
      <c r="K7405" s="5"/>
      <c r="L7405" s="5"/>
    </row>
    <row r="7406" spans="1:12" ht="12" customHeight="1" x14ac:dyDescent="0.25">
      <c r="A7406" s="6"/>
      <c r="B7406" s="1"/>
      <c r="C7406" s="5"/>
      <c r="D7406" s="5"/>
      <c r="E7406" s="5"/>
      <c r="F7406" s="5"/>
      <c r="G7406" s="5"/>
      <c r="H7406" s="5"/>
      <c r="I7406" s="5"/>
      <c r="J7406" s="5"/>
      <c r="K7406" s="5"/>
      <c r="L7406" s="5"/>
    </row>
    <row r="7407" spans="1:12" ht="12" customHeight="1" x14ac:dyDescent="0.25">
      <c r="A7407" s="6"/>
      <c r="B7407" s="1"/>
      <c r="C7407" s="5"/>
      <c r="D7407" s="5"/>
      <c r="E7407" s="5"/>
      <c r="F7407" s="5"/>
      <c r="G7407" s="5"/>
      <c r="H7407" s="5"/>
      <c r="I7407" s="5"/>
      <c r="J7407" s="5"/>
      <c r="K7407" s="5"/>
      <c r="L7407" s="5"/>
    </row>
    <row r="7408" spans="1:12" ht="12" customHeight="1" x14ac:dyDescent="0.25">
      <c r="A7408" s="6"/>
      <c r="B7408" s="1"/>
      <c r="C7408" s="5"/>
      <c r="D7408" s="5"/>
      <c r="E7408" s="5"/>
      <c r="F7408" s="5"/>
      <c r="G7408" s="5"/>
      <c r="H7408" s="5"/>
      <c r="I7408" s="5"/>
      <c r="J7408" s="5"/>
      <c r="K7408" s="5"/>
      <c r="L7408" s="5"/>
    </row>
    <row r="7409" spans="1:12" ht="12" customHeight="1" x14ac:dyDescent="0.25">
      <c r="A7409" s="6"/>
      <c r="B7409" s="1"/>
      <c r="C7409" s="5"/>
      <c r="D7409" s="5"/>
      <c r="E7409" s="5"/>
      <c r="F7409" s="5"/>
      <c r="G7409" s="5"/>
      <c r="H7409" s="5"/>
      <c r="I7409" s="5"/>
      <c r="J7409" s="5"/>
      <c r="K7409" s="5"/>
      <c r="L7409" s="5"/>
    </row>
    <row r="7410" spans="1:12" ht="12" customHeight="1" x14ac:dyDescent="0.25">
      <c r="A7410" s="6"/>
      <c r="B7410" s="1"/>
      <c r="C7410" s="5"/>
      <c r="D7410" s="5"/>
      <c r="E7410" s="5"/>
      <c r="F7410" s="5"/>
      <c r="G7410" s="5"/>
      <c r="H7410" s="5"/>
      <c r="I7410" s="5"/>
      <c r="J7410" s="5"/>
      <c r="K7410" s="5"/>
      <c r="L7410" s="5"/>
    </row>
    <row r="7411" spans="1:12" ht="12" customHeight="1" x14ac:dyDescent="0.25">
      <c r="A7411" s="6"/>
      <c r="B7411" s="1"/>
      <c r="C7411" s="5"/>
      <c r="D7411" s="5"/>
      <c r="E7411" s="5"/>
      <c r="F7411" s="5"/>
      <c r="G7411" s="5"/>
      <c r="H7411" s="5"/>
      <c r="I7411" s="5"/>
      <c r="J7411" s="5"/>
      <c r="K7411" s="5"/>
      <c r="L7411" s="5"/>
    </row>
    <row r="7412" spans="1:12" ht="12" customHeight="1" x14ac:dyDescent="0.25">
      <c r="A7412" s="6"/>
      <c r="B7412" s="1"/>
      <c r="C7412" s="5"/>
      <c r="D7412" s="5"/>
      <c r="E7412" s="5"/>
      <c r="F7412" s="5"/>
      <c r="G7412" s="5"/>
      <c r="H7412" s="5"/>
      <c r="I7412" s="5"/>
      <c r="J7412" s="5"/>
      <c r="K7412" s="5"/>
      <c r="L7412" s="5"/>
    </row>
    <row r="7413" spans="1:12" ht="12" customHeight="1" x14ac:dyDescent="0.25">
      <c r="A7413" s="6"/>
      <c r="B7413" s="1"/>
      <c r="C7413" s="5"/>
      <c r="D7413" s="5"/>
      <c r="E7413" s="5"/>
      <c r="F7413" s="5"/>
      <c r="G7413" s="5"/>
      <c r="H7413" s="5"/>
      <c r="I7413" s="5"/>
      <c r="J7413" s="5"/>
      <c r="K7413" s="5"/>
      <c r="L7413" s="5"/>
    </row>
    <row r="7414" spans="1:12" ht="12" customHeight="1" x14ac:dyDescent="0.25">
      <c r="A7414" s="6"/>
      <c r="B7414" s="1"/>
      <c r="C7414" s="5"/>
      <c r="D7414" s="5"/>
      <c r="E7414" s="5"/>
      <c r="F7414" s="5"/>
      <c r="G7414" s="5"/>
      <c r="H7414" s="5"/>
      <c r="I7414" s="5"/>
      <c r="J7414" s="5"/>
      <c r="K7414" s="5"/>
      <c r="L7414" s="5"/>
    </row>
    <row r="7415" spans="1:12" ht="12" customHeight="1" x14ac:dyDescent="0.25">
      <c r="A7415" s="6"/>
      <c r="B7415" s="1"/>
      <c r="C7415" s="5"/>
      <c r="D7415" s="5"/>
      <c r="E7415" s="5"/>
      <c r="F7415" s="5"/>
      <c r="G7415" s="5"/>
      <c r="H7415" s="5"/>
      <c r="I7415" s="5"/>
      <c r="J7415" s="5"/>
      <c r="K7415" s="5"/>
      <c r="L7415" s="5"/>
    </row>
    <row r="7416" spans="1:12" ht="12" customHeight="1" x14ac:dyDescent="0.25">
      <c r="A7416" s="6"/>
      <c r="B7416" s="1"/>
      <c r="C7416" s="5"/>
      <c r="D7416" s="5"/>
      <c r="E7416" s="5"/>
      <c r="F7416" s="5"/>
      <c r="G7416" s="5"/>
      <c r="H7416" s="5"/>
      <c r="I7416" s="5"/>
      <c r="J7416" s="5"/>
      <c r="K7416" s="5"/>
      <c r="L7416" s="5"/>
    </row>
    <row r="7417" spans="1:12" ht="12" customHeight="1" x14ac:dyDescent="0.25">
      <c r="A7417" s="6"/>
      <c r="B7417" s="1"/>
      <c r="C7417" s="5"/>
      <c r="D7417" s="5"/>
      <c r="E7417" s="5"/>
      <c r="F7417" s="5"/>
      <c r="G7417" s="5"/>
      <c r="H7417" s="5"/>
      <c r="I7417" s="5"/>
      <c r="J7417" s="5"/>
      <c r="K7417" s="5"/>
      <c r="L7417" s="5"/>
    </row>
    <row r="7418" spans="1:12" ht="12" customHeight="1" x14ac:dyDescent="0.25">
      <c r="A7418" s="6"/>
      <c r="B7418" s="1"/>
      <c r="C7418" s="5"/>
      <c r="D7418" s="5"/>
      <c r="E7418" s="5"/>
      <c r="F7418" s="5"/>
      <c r="G7418" s="5"/>
      <c r="H7418" s="5"/>
      <c r="I7418" s="5"/>
      <c r="J7418" s="5"/>
      <c r="K7418" s="5"/>
      <c r="L7418" s="5"/>
    </row>
    <row r="7419" spans="1:12" ht="12" customHeight="1" x14ac:dyDescent="0.25">
      <c r="A7419" s="6"/>
      <c r="B7419" s="1"/>
      <c r="C7419" s="5"/>
      <c r="D7419" s="5"/>
      <c r="E7419" s="5"/>
      <c r="F7419" s="5"/>
      <c r="G7419" s="5"/>
      <c r="H7419" s="5"/>
      <c r="I7419" s="5"/>
      <c r="J7419" s="5"/>
      <c r="K7419" s="5"/>
      <c r="L7419" s="5"/>
    </row>
    <row r="7420" spans="1:12" ht="12" customHeight="1" x14ac:dyDescent="0.25">
      <c r="A7420" s="6"/>
      <c r="B7420" s="1"/>
      <c r="C7420" s="5"/>
      <c r="D7420" s="5"/>
      <c r="E7420" s="5"/>
      <c r="F7420" s="5"/>
      <c r="G7420" s="5"/>
      <c r="H7420" s="5"/>
      <c r="I7420" s="5"/>
      <c r="J7420" s="5"/>
      <c r="K7420" s="5"/>
      <c r="L7420" s="5"/>
    </row>
    <row r="7421" spans="1:12" ht="12" customHeight="1" x14ac:dyDescent="0.25">
      <c r="A7421" s="6"/>
      <c r="B7421" s="1"/>
      <c r="C7421" s="5"/>
      <c r="D7421" s="5"/>
      <c r="E7421" s="5"/>
      <c r="F7421" s="5"/>
      <c r="G7421" s="5"/>
      <c r="H7421" s="5"/>
      <c r="I7421" s="5"/>
      <c r="J7421" s="5"/>
      <c r="K7421" s="5"/>
      <c r="L7421" s="5"/>
    </row>
    <row r="7422" spans="1:12" ht="12" customHeight="1" x14ac:dyDescent="0.25">
      <c r="A7422" s="6"/>
      <c r="B7422" s="1"/>
      <c r="C7422" s="5"/>
      <c r="D7422" s="5"/>
      <c r="E7422" s="5"/>
      <c r="F7422" s="5"/>
      <c r="G7422" s="5"/>
      <c r="H7422" s="5"/>
      <c r="I7422" s="5"/>
      <c r="J7422" s="5"/>
      <c r="K7422" s="5"/>
      <c r="L7422" s="5"/>
    </row>
    <row r="7423" spans="1:12" ht="12" customHeight="1" x14ac:dyDescent="0.25">
      <c r="A7423" s="6"/>
      <c r="B7423" s="1"/>
      <c r="C7423" s="5"/>
      <c r="D7423" s="5"/>
      <c r="E7423" s="5"/>
      <c r="F7423" s="5"/>
      <c r="G7423" s="5"/>
      <c r="H7423" s="5"/>
      <c r="I7423" s="5"/>
      <c r="J7423" s="5"/>
      <c r="K7423" s="5"/>
      <c r="L7423" s="5"/>
    </row>
    <row r="7424" spans="1:12" ht="12" customHeight="1" x14ac:dyDescent="0.25">
      <c r="A7424" s="6"/>
      <c r="B7424" s="1"/>
      <c r="C7424" s="5"/>
      <c r="D7424" s="5"/>
      <c r="E7424" s="5"/>
      <c r="F7424" s="5"/>
      <c r="G7424" s="5"/>
      <c r="H7424" s="5"/>
      <c r="I7424" s="5"/>
      <c r="J7424" s="5"/>
      <c r="K7424" s="5"/>
      <c r="L7424" s="5"/>
    </row>
    <row r="7425" spans="1:12" ht="12" customHeight="1" x14ac:dyDescent="0.25">
      <c r="A7425" s="6"/>
      <c r="B7425" s="1"/>
      <c r="C7425" s="5"/>
      <c r="D7425" s="5"/>
      <c r="E7425" s="5"/>
      <c r="F7425" s="5"/>
      <c r="G7425" s="5"/>
      <c r="H7425" s="5"/>
      <c r="I7425" s="5"/>
      <c r="J7425" s="5"/>
      <c r="K7425" s="5"/>
      <c r="L7425" s="5"/>
    </row>
    <row r="7426" spans="1:12" ht="12" customHeight="1" x14ac:dyDescent="0.25">
      <c r="A7426" s="6"/>
      <c r="B7426" s="1"/>
      <c r="C7426" s="5"/>
      <c r="D7426" s="5"/>
      <c r="E7426" s="5"/>
      <c r="F7426" s="5"/>
      <c r="G7426" s="5"/>
      <c r="H7426" s="5"/>
      <c r="I7426" s="5"/>
      <c r="J7426" s="5"/>
      <c r="K7426" s="5"/>
      <c r="L7426" s="5"/>
    </row>
    <row r="7427" spans="1:12" ht="12" customHeight="1" x14ac:dyDescent="0.25">
      <c r="A7427" s="6"/>
      <c r="B7427" s="1"/>
      <c r="C7427" s="5"/>
      <c r="D7427" s="5"/>
      <c r="E7427" s="5"/>
      <c r="F7427" s="5"/>
      <c r="G7427" s="5"/>
      <c r="H7427" s="5"/>
      <c r="I7427" s="5"/>
      <c r="J7427" s="5"/>
      <c r="K7427" s="5"/>
      <c r="L7427" s="5"/>
    </row>
    <row r="7428" spans="1:12" ht="12" customHeight="1" x14ac:dyDescent="0.25">
      <c r="A7428" s="6"/>
      <c r="B7428" s="1"/>
      <c r="C7428" s="5"/>
      <c r="D7428" s="5"/>
      <c r="E7428" s="5"/>
      <c r="F7428" s="5"/>
      <c r="G7428" s="5"/>
      <c r="H7428" s="5"/>
      <c r="I7428" s="5"/>
      <c r="J7428" s="5"/>
      <c r="K7428" s="5"/>
      <c r="L7428" s="5"/>
    </row>
    <row r="7429" spans="1:12" ht="12" customHeight="1" x14ac:dyDescent="0.25">
      <c r="A7429" s="6"/>
      <c r="B7429" s="1"/>
      <c r="C7429" s="5"/>
      <c r="D7429" s="5"/>
      <c r="E7429" s="5"/>
      <c r="F7429" s="5"/>
      <c r="G7429" s="5"/>
      <c r="H7429" s="5"/>
      <c r="I7429" s="5"/>
      <c r="J7429" s="5"/>
      <c r="K7429" s="5"/>
      <c r="L7429" s="5"/>
    </row>
    <row r="7430" spans="1:12" ht="12" customHeight="1" x14ac:dyDescent="0.25">
      <c r="A7430" s="6"/>
      <c r="B7430" s="1"/>
      <c r="C7430" s="5"/>
      <c r="D7430" s="5"/>
      <c r="E7430" s="5"/>
      <c r="F7430" s="5"/>
      <c r="G7430" s="5"/>
      <c r="H7430" s="5"/>
      <c r="I7430" s="5"/>
      <c r="J7430" s="5"/>
      <c r="K7430" s="5"/>
      <c r="L7430" s="5"/>
    </row>
    <row r="7431" spans="1:12" ht="12" customHeight="1" x14ac:dyDescent="0.25">
      <c r="A7431" s="6"/>
      <c r="B7431" s="1"/>
      <c r="C7431" s="5"/>
      <c r="D7431" s="5"/>
      <c r="E7431" s="5"/>
      <c r="F7431" s="5"/>
      <c r="G7431" s="5"/>
      <c r="H7431" s="5"/>
      <c r="I7431" s="5"/>
      <c r="J7431" s="5"/>
      <c r="K7431" s="5"/>
      <c r="L7431" s="5"/>
    </row>
    <row r="7432" spans="1:12" ht="12" customHeight="1" x14ac:dyDescent="0.25">
      <c r="A7432" s="6"/>
      <c r="B7432" s="1"/>
      <c r="C7432" s="5"/>
      <c r="D7432" s="5"/>
      <c r="E7432" s="5"/>
      <c r="F7432" s="5"/>
      <c r="G7432" s="5"/>
      <c r="H7432" s="5"/>
      <c r="I7432" s="5"/>
      <c r="J7432" s="5"/>
      <c r="K7432" s="5"/>
      <c r="L7432" s="5"/>
    </row>
    <row r="7433" spans="1:12" ht="12" customHeight="1" x14ac:dyDescent="0.25">
      <c r="A7433" s="6"/>
      <c r="B7433" s="1"/>
      <c r="C7433" s="5"/>
      <c r="D7433" s="5"/>
      <c r="E7433" s="5"/>
      <c r="F7433" s="5"/>
      <c r="G7433" s="5"/>
      <c r="H7433" s="5"/>
      <c r="I7433" s="5"/>
      <c r="J7433" s="5"/>
      <c r="K7433" s="5"/>
      <c r="L7433" s="5"/>
    </row>
    <row r="7434" spans="1:12" ht="12" customHeight="1" x14ac:dyDescent="0.25">
      <c r="A7434" s="6"/>
      <c r="B7434" s="1"/>
      <c r="C7434" s="5"/>
      <c r="D7434" s="5"/>
      <c r="E7434" s="5"/>
      <c r="F7434" s="5"/>
      <c r="G7434" s="5"/>
      <c r="H7434" s="5"/>
      <c r="I7434" s="5"/>
      <c r="J7434" s="5"/>
      <c r="K7434" s="5"/>
      <c r="L7434" s="5"/>
    </row>
    <row r="7435" spans="1:12" ht="12" customHeight="1" x14ac:dyDescent="0.25">
      <c r="A7435" s="6"/>
      <c r="B7435" s="1"/>
      <c r="C7435" s="5"/>
      <c r="D7435" s="5"/>
      <c r="E7435" s="5"/>
      <c r="F7435" s="5"/>
      <c r="G7435" s="5"/>
      <c r="H7435" s="5"/>
      <c r="I7435" s="5"/>
      <c r="J7435" s="5"/>
      <c r="K7435" s="5"/>
      <c r="L7435" s="5"/>
    </row>
    <row r="7436" spans="1:12" ht="12" customHeight="1" x14ac:dyDescent="0.25">
      <c r="A7436" s="6"/>
      <c r="B7436" s="1"/>
      <c r="C7436" s="5"/>
      <c r="D7436" s="5"/>
      <c r="E7436" s="5"/>
      <c r="F7436" s="5"/>
      <c r="G7436" s="5"/>
      <c r="H7436" s="5"/>
      <c r="I7436" s="5"/>
      <c r="J7436" s="5"/>
      <c r="K7436" s="5"/>
      <c r="L7436" s="5"/>
    </row>
    <row r="7437" spans="1:12" ht="12" customHeight="1" x14ac:dyDescent="0.25">
      <c r="A7437" s="6"/>
      <c r="B7437" s="1"/>
      <c r="C7437" s="5"/>
      <c r="D7437" s="5"/>
      <c r="E7437" s="5"/>
      <c r="F7437" s="5"/>
      <c r="G7437" s="5"/>
      <c r="H7437" s="5"/>
      <c r="I7437" s="5"/>
      <c r="J7437" s="5"/>
      <c r="K7437" s="5"/>
      <c r="L7437" s="5"/>
    </row>
    <row r="7438" spans="1:12" ht="12" customHeight="1" x14ac:dyDescent="0.25">
      <c r="A7438" s="6"/>
      <c r="B7438" s="1"/>
      <c r="C7438" s="5"/>
      <c r="D7438" s="5"/>
      <c r="E7438" s="5"/>
      <c r="F7438" s="5"/>
      <c r="G7438" s="5"/>
      <c r="H7438" s="5"/>
      <c r="I7438" s="5"/>
      <c r="J7438" s="5"/>
      <c r="K7438" s="5"/>
      <c r="L7438" s="5"/>
    </row>
    <row r="7439" spans="1:12" ht="12" customHeight="1" x14ac:dyDescent="0.25">
      <c r="A7439" s="6"/>
      <c r="B7439" s="1"/>
      <c r="C7439" s="5"/>
      <c r="D7439" s="5"/>
      <c r="E7439" s="5"/>
      <c r="F7439" s="5"/>
      <c r="G7439" s="5"/>
      <c r="H7439" s="5"/>
      <c r="I7439" s="5"/>
      <c r="J7439" s="5"/>
      <c r="K7439" s="5"/>
      <c r="L7439" s="5"/>
    </row>
    <row r="7440" spans="1:12" ht="12" customHeight="1" x14ac:dyDescent="0.25">
      <c r="A7440" s="6"/>
      <c r="B7440" s="1"/>
      <c r="C7440" s="5"/>
      <c r="D7440" s="5"/>
      <c r="E7440" s="5"/>
      <c r="F7440" s="5"/>
      <c r="G7440" s="5"/>
      <c r="H7440" s="5"/>
      <c r="I7440" s="5"/>
      <c r="J7440" s="5"/>
      <c r="K7440" s="5"/>
      <c r="L7440" s="5"/>
    </row>
    <row r="7441" spans="1:12" ht="12" customHeight="1" x14ac:dyDescent="0.25">
      <c r="A7441" s="6"/>
      <c r="B7441" s="1"/>
      <c r="C7441" s="5"/>
      <c r="D7441" s="5"/>
      <c r="E7441" s="5"/>
      <c r="F7441" s="5"/>
      <c r="G7441" s="5"/>
      <c r="H7441" s="5"/>
      <c r="I7441" s="5"/>
      <c r="J7441" s="5"/>
      <c r="K7441" s="5"/>
      <c r="L7441" s="5"/>
    </row>
    <row r="7442" spans="1:12" ht="12" customHeight="1" x14ac:dyDescent="0.25">
      <c r="A7442" s="6"/>
      <c r="B7442" s="1"/>
      <c r="C7442" s="5"/>
      <c r="D7442" s="5"/>
      <c r="E7442" s="5"/>
      <c r="F7442" s="5"/>
      <c r="G7442" s="5"/>
      <c r="H7442" s="5"/>
      <c r="I7442" s="5"/>
      <c r="J7442" s="5"/>
      <c r="K7442" s="5"/>
      <c r="L7442" s="5"/>
    </row>
    <row r="7443" spans="1:12" ht="12" customHeight="1" x14ac:dyDescent="0.25">
      <c r="A7443" s="6"/>
      <c r="B7443" s="1"/>
      <c r="C7443" s="5"/>
      <c r="D7443" s="5"/>
      <c r="E7443" s="5"/>
      <c r="F7443" s="5"/>
      <c r="G7443" s="5"/>
      <c r="H7443" s="5"/>
      <c r="I7443" s="5"/>
      <c r="J7443" s="5"/>
      <c r="K7443" s="5"/>
      <c r="L7443" s="5"/>
    </row>
    <row r="7444" spans="1:12" ht="12" customHeight="1" x14ac:dyDescent="0.25">
      <c r="A7444" s="6"/>
      <c r="B7444" s="1"/>
      <c r="C7444" s="5"/>
      <c r="D7444" s="5"/>
      <c r="E7444" s="5"/>
      <c r="F7444" s="5"/>
      <c r="G7444" s="5"/>
      <c r="H7444" s="5"/>
      <c r="I7444" s="5"/>
      <c r="J7444" s="5"/>
      <c r="K7444" s="5"/>
      <c r="L7444" s="5"/>
    </row>
    <row r="7445" spans="1:12" ht="12" customHeight="1" x14ac:dyDescent="0.25">
      <c r="A7445" s="6"/>
      <c r="B7445" s="1"/>
      <c r="C7445" s="5"/>
      <c r="D7445" s="5"/>
      <c r="E7445" s="5"/>
      <c r="F7445" s="5"/>
      <c r="G7445" s="5"/>
      <c r="H7445" s="5"/>
      <c r="I7445" s="5"/>
      <c r="J7445" s="5"/>
      <c r="K7445" s="5"/>
      <c r="L7445" s="5"/>
    </row>
    <row r="7446" spans="1:12" ht="12" customHeight="1" x14ac:dyDescent="0.25">
      <c r="A7446" s="6"/>
      <c r="B7446" s="1"/>
      <c r="C7446" s="5"/>
      <c r="D7446" s="5"/>
      <c r="E7446" s="5"/>
      <c r="F7446" s="5"/>
      <c r="G7446" s="5"/>
      <c r="H7446" s="5"/>
      <c r="I7446" s="5"/>
      <c r="J7446" s="5"/>
      <c r="K7446" s="5"/>
      <c r="L7446" s="5"/>
    </row>
    <row r="7447" spans="1:12" ht="12" customHeight="1" x14ac:dyDescent="0.25">
      <c r="A7447" s="6"/>
      <c r="B7447" s="1"/>
      <c r="C7447" s="5"/>
      <c r="D7447" s="5"/>
      <c r="E7447" s="5"/>
      <c r="F7447" s="5"/>
      <c r="G7447" s="5"/>
      <c r="H7447" s="5"/>
      <c r="I7447" s="5"/>
      <c r="J7447" s="5"/>
      <c r="K7447" s="5"/>
      <c r="L7447" s="5"/>
    </row>
    <row r="7448" spans="1:12" ht="12" customHeight="1" x14ac:dyDescent="0.25">
      <c r="A7448" s="6"/>
      <c r="B7448" s="1"/>
      <c r="C7448" s="5"/>
      <c r="D7448" s="5"/>
      <c r="E7448" s="5"/>
      <c r="F7448" s="5"/>
      <c r="G7448" s="5"/>
      <c r="H7448" s="5"/>
      <c r="I7448" s="5"/>
      <c r="J7448" s="5"/>
      <c r="K7448" s="5"/>
      <c r="L7448" s="5"/>
    </row>
    <row r="7449" spans="1:12" ht="12" customHeight="1" x14ac:dyDescent="0.25">
      <c r="A7449" s="6"/>
      <c r="B7449" s="1"/>
      <c r="C7449" s="5"/>
      <c r="D7449" s="5"/>
      <c r="E7449" s="5"/>
      <c r="F7449" s="5"/>
      <c r="G7449" s="5"/>
      <c r="H7449" s="5"/>
      <c r="I7449" s="5"/>
      <c r="J7449" s="5"/>
      <c r="K7449" s="5"/>
      <c r="L7449" s="5"/>
    </row>
    <row r="7450" spans="1:12" ht="12" customHeight="1" x14ac:dyDescent="0.25">
      <c r="A7450" s="6"/>
      <c r="B7450" s="1"/>
      <c r="C7450" s="5"/>
      <c r="D7450" s="5"/>
      <c r="E7450" s="5"/>
      <c r="F7450" s="5"/>
      <c r="G7450" s="5"/>
      <c r="H7450" s="5"/>
      <c r="I7450" s="5"/>
      <c r="J7450" s="5"/>
      <c r="K7450" s="5"/>
      <c r="L7450" s="5"/>
    </row>
    <row r="7451" spans="1:12" ht="12" customHeight="1" x14ac:dyDescent="0.25">
      <c r="A7451" s="6"/>
      <c r="B7451" s="1"/>
      <c r="C7451" s="5"/>
      <c r="D7451" s="5"/>
      <c r="E7451" s="5"/>
      <c r="F7451" s="5"/>
      <c r="G7451" s="5"/>
      <c r="H7451" s="5"/>
      <c r="I7451" s="5"/>
      <c r="J7451" s="5"/>
      <c r="K7451" s="5"/>
      <c r="L7451" s="5"/>
    </row>
    <row r="7452" spans="1:12" ht="12" customHeight="1" x14ac:dyDescent="0.25">
      <c r="A7452" s="6"/>
      <c r="B7452" s="1"/>
      <c r="C7452" s="5"/>
      <c r="D7452" s="5"/>
      <c r="E7452" s="5"/>
      <c r="F7452" s="5"/>
      <c r="G7452" s="5"/>
      <c r="H7452" s="5"/>
      <c r="I7452" s="5"/>
      <c r="J7452" s="5"/>
      <c r="K7452" s="5"/>
      <c r="L7452" s="5"/>
    </row>
    <row r="7453" spans="1:12" ht="12" customHeight="1" x14ac:dyDescent="0.25">
      <c r="A7453" s="6"/>
      <c r="B7453" s="1"/>
      <c r="C7453" s="5"/>
      <c r="D7453" s="5"/>
      <c r="E7453" s="5"/>
      <c r="F7453" s="5"/>
      <c r="G7453" s="5"/>
      <c r="H7453" s="5"/>
      <c r="I7453" s="5"/>
      <c r="J7453" s="5"/>
      <c r="K7453" s="5"/>
      <c r="L7453" s="5"/>
    </row>
    <row r="7454" spans="1:12" ht="12" customHeight="1" x14ac:dyDescent="0.25">
      <c r="A7454" s="6"/>
      <c r="B7454" s="1"/>
      <c r="C7454" s="5"/>
      <c r="D7454" s="5"/>
      <c r="E7454" s="5"/>
      <c r="F7454" s="5"/>
      <c r="G7454" s="5"/>
      <c r="H7454" s="5"/>
      <c r="I7454" s="5"/>
      <c r="J7454" s="5"/>
      <c r="K7454" s="5"/>
      <c r="L7454" s="5"/>
    </row>
    <row r="7455" spans="1:12" ht="12" customHeight="1" x14ac:dyDescent="0.25">
      <c r="A7455" s="6"/>
      <c r="B7455" s="1"/>
      <c r="C7455" s="5"/>
      <c r="D7455" s="5"/>
      <c r="E7455" s="5"/>
      <c r="F7455" s="5"/>
      <c r="G7455" s="5"/>
      <c r="H7455" s="5"/>
      <c r="I7455" s="5"/>
      <c r="J7455" s="5"/>
      <c r="K7455" s="5"/>
      <c r="L7455" s="5"/>
    </row>
    <row r="7456" spans="1:12" ht="12" customHeight="1" x14ac:dyDescent="0.25">
      <c r="A7456" s="6"/>
      <c r="B7456" s="1"/>
      <c r="C7456" s="5"/>
      <c r="D7456" s="5"/>
      <c r="E7456" s="5"/>
      <c r="F7456" s="5"/>
      <c r="G7456" s="5"/>
      <c r="H7456" s="5"/>
      <c r="I7456" s="5"/>
      <c r="J7456" s="5"/>
      <c r="K7456" s="5"/>
      <c r="L7456" s="5"/>
    </row>
    <row r="7457" spans="1:12" ht="12" customHeight="1" x14ac:dyDescent="0.25">
      <c r="A7457" s="6"/>
      <c r="B7457" s="1"/>
      <c r="C7457" s="5"/>
      <c r="D7457" s="5"/>
      <c r="E7457" s="5"/>
      <c r="F7457" s="5"/>
      <c r="G7457" s="5"/>
      <c r="H7457" s="5"/>
      <c r="I7457" s="5"/>
      <c r="J7457" s="5"/>
      <c r="K7457" s="5"/>
      <c r="L7457" s="5"/>
    </row>
    <row r="7458" spans="1:12" ht="12" customHeight="1" x14ac:dyDescent="0.25">
      <c r="A7458" s="6"/>
      <c r="B7458" s="1"/>
      <c r="C7458" s="5"/>
      <c r="D7458" s="5"/>
      <c r="E7458" s="5"/>
      <c r="F7458" s="5"/>
      <c r="G7458" s="5"/>
      <c r="H7458" s="5"/>
      <c r="I7458" s="5"/>
      <c r="J7458" s="5"/>
      <c r="K7458" s="5"/>
      <c r="L7458" s="5"/>
    </row>
    <row r="7459" spans="1:12" ht="12" customHeight="1" x14ac:dyDescent="0.25">
      <c r="A7459" s="6"/>
      <c r="B7459" s="1"/>
      <c r="C7459" s="5"/>
      <c r="D7459" s="5"/>
      <c r="E7459" s="5"/>
      <c r="F7459" s="5"/>
      <c r="G7459" s="5"/>
      <c r="H7459" s="5"/>
      <c r="I7459" s="5"/>
      <c r="J7459" s="5"/>
      <c r="K7459" s="5"/>
      <c r="L7459" s="5"/>
    </row>
    <row r="7460" spans="1:12" ht="12" customHeight="1" x14ac:dyDescent="0.25">
      <c r="A7460" s="6"/>
      <c r="B7460" s="1"/>
      <c r="C7460" s="5"/>
      <c r="D7460" s="5"/>
      <c r="E7460" s="5"/>
      <c r="F7460" s="5"/>
      <c r="G7460" s="5"/>
      <c r="H7460" s="5"/>
      <c r="I7460" s="5"/>
      <c r="J7460" s="5"/>
      <c r="K7460" s="5"/>
      <c r="L7460" s="5"/>
    </row>
    <row r="7461" spans="1:12" ht="12" customHeight="1" x14ac:dyDescent="0.25">
      <c r="A7461" s="6"/>
      <c r="B7461" s="1"/>
      <c r="C7461" s="5"/>
      <c r="D7461" s="5"/>
      <c r="E7461" s="5"/>
      <c r="F7461" s="5"/>
      <c r="G7461" s="5"/>
      <c r="H7461" s="5"/>
      <c r="I7461" s="5"/>
      <c r="J7461" s="5"/>
      <c r="K7461" s="5"/>
      <c r="L7461" s="5"/>
    </row>
    <row r="7462" spans="1:12" ht="12" customHeight="1" x14ac:dyDescent="0.25">
      <c r="A7462" s="6"/>
      <c r="B7462" s="1"/>
      <c r="C7462" s="5"/>
      <c r="D7462" s="5"/>
      <c r="E7462" s="5"/>
      <c r="F7462" s="5"/>
      <c r="G7462" s="5"/>
      <c r="H7462" s="5"/>
      <c r="I7462" s="5"/>
      <c r="J7462" s="5"/>
      <c r="K7462" s="5"/>
      <c r="L7462" s="5"/>
    </row>
    <row r="7463" spans="1:12" ht="12" customHeight="1" x14ac:dyDescent="0.25">
      <c r="A7463" s="6"/>
      <c r="B7463" s="1"/>
      <c r="C7463" s="5"/>
      <c r="D7463" s="5"/>
      <c r="E7463" s="5"/>
      <c r="F7463" s="5"/>
      <c r="G7463" s="5"/>
      <c r="H7463" s="5"/>
      <c r="I7463" s="5"/>
      <c r="J7463" s="5"/>
      <c r="K7463" s="5"/>
      <c r="L7463" s="5"/>
    </row>
    <row r="7464" spans="1:12" ht="12" customHeight="1" x14ac:dyDescent="0.25">
      <c r="A7464" s="6"/>
      <c r="B7464" s="1"/>
      <c r="C7464" s="5"/>
      <c r="D7464" s="5"/>
      <c r="E7464" s="5"/>
      <c r="F7464" s="5"/>
      <c r="G7464" s="5"/>
      <c r="H7464" s="5"/>
      <c r="I7464" s="5"/>
      <c r="J7464" s="5"/>
      <c r="K7464" s="5"/>
      <c r="L7464" s="5"/>
    </row>
    <row r="7465" spans="1:12" ht="12" customHeight="1" x14ac:dyDescent="0.25">
      <c r="A7465" s="6"/>
      <c r="B7465" s="1"/>
      <c r="C7465" s="5"/>
      <c r="D7465" s="5"/>
      <c r="E7465" s="5"/>
      <c r="F7465" s="5"/>
      <c r="G7465" s="5"/>
      <c r="H7465" s="5"/>
      <c r="I7465" s="5"/>
      <c r="J7465" s="5"/>
      <c r="K7465" s="5"/>
      <c r="L7465" s="5"/>
    </row>
    <row r="7466" spans="1:12" ht="12" customHeight="1" x14ac:dyDescent="0.25">
      <c r="A7466" s="6"/>
      <c r="B7466" s="1"/>
      <c r="C7466" s="5"/>
      <c r="D7466" s="5"/>
      <c r="E7466" s="5"/>
      <c r="F7466" s="5"/>
      <c r="G7466" s="5"/>
      <c r="H7466" s="5"/>
      <c r="I7466" s="5"/>
      <c r="J7466" s="5"/>
      <c r="K7466" s="5"/>
      <c r="L7466" s="5"/>
    </row>
    <row r="7467" spans="1:12" ht="12" customHeight="1" x14ac:dyDescent="0.25">
      <c r="A7467" s="6"/>
      <c r="B7467" s="1"/>
      <c r="C7467" s="5"/>
      <c r="D7467" s="5"/>
      <c r="E7467" s="5"/>
      <c r="F7467" s="5"/>
      <c r="G7467" s="5"/>
      <c r="H7467" s="5"/>
      <c r="I7467" s="5"/>
      <c r="J7467" s="5"/>
      <c r="K7467" s="5"/>
      <c r="L7467" s="5"/>
    </row>
    <row r="7468" spans="1:12" ht="12" customHeight="1" x14ac:dyDescent="0.25">
      <c r="A7468" s="6"/>
      <c r="B7468" s="1"/>
      <c r="C7468" s="5"/>
      <c r="D7468" s="5"/>
      <c r="E7468" s="5"/>
      <c r="F7468" s="5"/>
      <c r="G7468" s="5"/>
      <c r="H7468" s="5"/>
      <c r="I7468" s="5"/>
      <c r="J7468" s="5"/>
      <c r="K7468" s="5"/>
      <c r="L7468" s="5"/>
    </row>
    <row r="7469" spans="1:12" ht="12" customHeight="1" x14ac:dyDescent="0.25">
      <c r="A7469" s="6"/>
      <c r="B7469" s="1"/>
      <c r="C7469" s="5"/>
      <c r="D7469" s="5"/>
      <c r="E7469" s="5"/>
      <c r="F7469" s="5"/>
      <c r="G7469" s="5"/>
      <c r="H7469" s="5"/>
      <c r="I7469" s="5"/>
      <c r="J7469" s="5"/>
      <c r="K7469" s="5"/>
      <c r="L7469" s="5"/>
    </row>
    <row r="7470" spans="1:12" ht="12" customHeight="1" x14ac:dyDescent="0.25">
      <c r="A7470" s="6"/>
      <c r="B7470" s="1"/>
      <c r="C7470" s="5"/>
      <c r="D7470" s="5"/>
      <c r="E7470" s="5"/>
      <c r="F7470" s="5"/>
      <c r="G7470" s="5"/>
      <c r="H7470" s="5"/>
      <c r="I7470" s="5"/>
      <c r="J7470" s="5"/>
      <c r="K7470" s="5"/>
      <c r="L7470" s="5"/>
    </row>
    <row r="7471" spans="1:12" ht="12" customHeight="1" x14ac:dyDescent="0.25">
      <c r="A7471" s="6"/>
      <c r="B7471" s="1"/>
      <c r="C7471" s="5"/>
      <c r="D7471" s="5"/>
      <c r="E7471" s="5"/>
      <c r="F7471" s="5"/>
      <c r="G7471" s="5"/>
      <c r="H7471" s="5"/>
      <c r="I7471" s="5"/>
      <c r="J7471" s="5"/>
      <c r="K7471" s="5"/>
      <c r="L7471" s="5"/>
    </row>
    <row r="7472" spans="1:12" ht="12" customHeight="1" x14ac:dyDescent="0.25">
      <c r="A7472" s="6"/>
      <c r="B7472" s="1"/>
      <c r="C7472" s="5"/>
      <c r="D7472" s="5"/>
      <c r="E7472" s="5"/>
      <c r="F7472" s="5"/>
      <c r="G7472" s="5"/>
      <c r="H7472" s="5"/>
      <c r="I7472" s="5"/>
      <c r="J7472" s="5"/>
      <c r="K7472" s="5"/>
      <c r="L7472" s="5"/>
    </row>
    <row r="7473" spans="1:12" ht="12" customHeight="1" x14ac:dyDescent="0.25">
      <c r="A7473" s="6"/>
      <c r="B7473" s="1"/>
      <c r="C7473" s="5"/>
      <c r="D7473" s="5"/>
      <c r="E7473" s="5"/>
      <c r="F7473" s="5"/>
      <c r="G7473" s="5"/>
      <c r="H7473" s="5"/>
      <c r="I7473" s="5"/>
      <c r="J7473" s="5"/>
      <c r="K7473" s="5"/>
      <c r="L7473" s="5"/>
    </row>
    <row r="7474" spans="1:12" ht="12" customHeight="1" x14ac:dyDescent="0.25">
      <c r="A7474" s="6"/>
      <c r="B7474" s="1"/>
      <c r="C7474" s="5"/>
      <c r="D7474" s="5"/>
      <c r="E7474" s="5"/>
      <c r="F7474" s="5"/>
      <c r="G7474" s="5"/>
      <c r="H7474" s="5"/>
      <c r="I7474" s="5"/>
      <c r="J7474" s="5"/>
      <c r="K7474" s="5"/>
      <c r="L7474" s="5"/>
    </row>
    <row r="7475" spans="1:12" ht="12" customHeight="1" x14ac:dyDescent="0.25">
      <c r="A7475" s="6"/>
      <c r="B7475" s="1"/>
      <c r="C7475" s="5"/>
      <c r="D7475" s="5"/>
      <c r="E7475" s="5"/>
      <c r="F7475" s="5"/>
      <c r="G7475" s="5"/>
      <c r="H7475" s="5"/>
      <c r="I7475" s="5"/>
      <c r="J7475" s="5"/>
      <c r="K7475" s="5"/>
      <c r="L7475" s="5"/>
    </row>
    <row r="7476" spans="1:12" ht="12" customHeight="1" x14ac:dyDescent="0.25">
      <c r="A7476" s="6"/>
      <c r="B7476" s="1"/>
      <c r="C7476" s="5"/>
      <c r="D7476" s="5"/>
      <c r="E7476" s="5"/>
      <c r="F7476" s="5"/>
      <c r="G7476" s="5"/>
      <c r="H7476" s="5"/>
      <c r="I7476" s="5"/>
      <c r="J7476" s="5"/>
      <c r="K7476" s="5"/>
      <c r="L7476" s="5"/>
    </row>
    <row r="7477" spans="1:12" ht="12" customHeight="1" x14ac:dyDescent="0.25">
      <c r="A7477" s="6"/>
      <c r="B7477" s="1"/>
      <c r="C7477" s="5"/>
      <c r="D7477" s="5"/>
      <c r="E7477" s="5"/>
      <c r="F7477" s="5"/>
      <c r="G7477" s="5"/>
      <c r="H7477" s="5"/>
      <c r="I7477" s="5"/>
      <c r="J7477" s="5"/>
      <c r="K7477" s="5"/>
      <c r="L7477" s="5"/>
    </row>
    <row r="7478" spans="1:12" ht="12" customHeight="1" x14ac:dyDescent="0.25">
      <c r="A7478" s="6"/>
      <c r="B7478" s="1"/>
      <c r="C7478" s="5"/>
      <c r="D7478" s="5"/>
      <c r="E7478" s="5"/>
      <c r="F7478" s="5"/>
      <c r="G7478" s="5"/>
      <c r="H7478" s="5"/>
      <c r="I7478" s="5"/>
      <c r="J7478" s="5"/>
      <c r="K7478" s="5"/>
      <c r="L7478" s="5"/>
    </row>
    <row r="7479" spans="1:12" ht="12" customHeight="1" x14ac:dyDescent="0.25">
      <c r="A7479" s="6"/>
      <c r="B7479" s="1"/>
      <c r="C7479" s="5"/>
      <c r="D7479" s="5"/>
      <c r="E7479" s="5"/>
      <c r="F7479" s="5"/>
      <c r="G7479" s="5"/>
      <c r="H7479" s="5"/>
      <c r="I7479" s="5"/>
      <c r="J7479" s="5"/>
      <c r="K7479" s="5"/>
      <c r="L7479" s="5"/>
    </row>
    <row r="7480" spans="1:12" ht="12" customHeight="1" x14ac:dyDescent="0.25">
      <c r="A7480" s="6"/>
      <c r="B7480" s="1"/>
      <c r="C7480" s="5"/>
      <c r="D7480" s="5"/>
      <c r="E7480" s="5"/>
      <c r="F7480" s="5"/>
      <c r="G7480" s="5"/>
      <c r="H7480" s="5"/>
      <c r="I7480" s="5"/>
      <c r="J7480" s="5"/>
      <c r="K7480" s="5"/>
      <c r="L7480" s="5"/>
    </row>
    <row r="7481" spans="1:12" ht="12" customHeight="1" x14ac:dyDescent="0.25">
      <c r="A7481" s="6"/>
      <c r="B7481" s="1"/>
      <c r="C7481" s="5"/>
      <c r="D7481" s="5"/>
      <c r="E7481" s="5"/>
      <c r="F7481" s="5"/>
      <c r="G7481" s="5"/>
      <c r="H7481" s="5"/>
      <c r="I7481" s="5"/>
      <c r="J7481" s="5"/>
      <c r="K7481" s="5"/>
      <c r="L7481" s="5"/>
    </row>
    <row r="7482" spans="1:12" ht="12" customHeight="1" x14ac:dyDescent="0.25">
      <c r="A7482" s="6"/>
      <c r="B7482" s="1"/>
      <c r="C7482" s="5"/>
      <c r="D7482" s="5"/>
      <c r="E7482" s="5"/>
      <c r="F7482" s="5"/>
      <c r="G7482" s="5"/>
      <c r="H7482" s="5"/>
      <c r="I7482" s="5"/>
      <c r="J7482" s="5"/>
      <c r="K7482" s="5"/>
      <c r="L7482" s="5"/>
    </row>
    <row r="7483" spans="1:12" ht="12" customHeight="1" x14ac:dyDescent="0.25">
      <c r="A7483" s="6"/>
      <c r="B7483" s="1"/>
      <c r="C7483" s="5"/>
      <c r="D7483" s="5"/>
      <c r="E7483" s="5"/>
      <c r="F7483" s="5"/>
      <c r="G7483" s="5"/>
      <c r="H7483" s="5"/>
      <c r="I7483" s="5"/>
      <c r="J7483" s="5"/>
      <c r="K7483" s="5"/>
      <c r="L7483" s="5"/>
    </row>
    <row r="7484" spans="1:12" ht="12" customHeight="1" x14ac:dyDescent="0.25">
      <c r="A7484" s="6"/>
      <c r="B7484" s="1"/>
      <c r="C7484" s="5"/>
      <c r="D7484" s="5"/>
      <c r="E7484" s="5"/>
      <c r="F7484" s="5"/>
      <c r="G7484" s="5"/>
      <c r="H7484" s="5"/>
      <c r="I7484" s="5"/>
      <c r="J7484" s="5"/>
      <c r="K7484" s="5"/>
      <c r="L7484" s="5"/>
    </row>
    <row r="7485" spans="1:12" ht="12" customHeight="1" x14ac:dyDescent="0.25">
      <c r="A7485" s="6"/>
      <c r="B7485" s="1"/>
      <c r="C7485" s="5"/>
      <c r="D7485" s="5"/>
      <c r="E7485" s="5"/>
      <c r="F7485" s="5"/>
      <c r="G7485" s="5"/>
      <c r="H7485" s="5"/>
      <c r="I7485" s="5"/>
      <c r="J7485" s="5"/>
      <c r="K7485" s="5"/>
      <c r="L7485" s="5"/>
    </row>
    <row r="7486" spans="1:12" ht="12" customHeight="1" x14ac:dyDescent="0.25">
      <c r="A7486" s="6"/>
      <c r="B7486" s="1"/>
      <c r="C7486" s="5"/>
      <c r="D7486" s="5"/>
      <c r="E7486" s="5"/>
      <c r="F7486" s="5"/>
      <c r="G7486" s="5"/>
      <c r="H7486" s="5"/>
      <c r="I7486" s="5"/>
      <c r="J7486" s="5"/>
      <c r="K7486" s="5"/>
      <c r="L7486" s="5"/>
    </row>
    <row r="7487" spans="1:12" ht="12" customHeight="1" x14ac:dyDescent="0.25">
      <c r="A7487" s="6"/>
      <c r="B7487" s="1"/>
      <c r="C7487" s="5"/>
      <c r="D7487" s="5"/>
      <c r="E7487" s="5"/>
      <c r="F7487" s="5"/>
      <c r="G7487" s="5"/>
      <c r="H7487" s="5"/>
      <c r="I7487" s="5"/>
      <c r="J7487" s="5"/>
      <c r="K7487" s="5"/>
      <c r="L7487" s="5"/>
    </row>
    <row r="7488" spans="1:12" ht="12" customHeight="1" x14ac:dyDescent="0.25">
      <c r="A7488" s="6"/>
      <c r="B7488" s="1"/>
      <c r="C7488" s="5"/>
      <c r="D7488" s="5"/>
      <c r="E7488" s="5"/>
      <c r="F7488" s="5"/>
      <c r="G7488" s="5"/>
      <c r="H7488" s="5"/>
      <c r="I7488" s="5"/>
      <c r="J7488" s="5"/>
      <c r="K7488" s="5"/>
      <c r="L7488" s="5"/>
    </row>
    <row r="7489" spans="1:12" ht="12" customHeight="1" x14ac:dyDescent="0.25">
      <c r="A7489" s="6"/>
      <c r="B7489" s="1"/>
      <c r="C7489" s="5"/>
      <c r="D7489" s="5"/>
      <c r="E7489" s="5"/>
      <c r="F7489" s="5"/>
      <c r="G7489" s="5"/>
      <c r="H7489" s="5"/>
      <c r="I7489" s="5"/>
      <c r="J7489" s="5"/>
      <c r="K7489" s="5"/>
      <c r="L7489" s="5"/>
    </row>
    <row r="7490" spans="1:12" ht="12" customHeight="1" x14ac:dyDescent="0.25">
      <c r="A7490" s="6"/>
      <c r="B7490" s="1"/>
      <c r="C7490" s="5"/>
      <c r="D7490" s="5"/>
      <c r="E7490" s="5"/>
      <c r="F7490" s="5"/>
      <c r="G7490" s="5"/>
      <c r="H7490" s="5"/>
      <c r="I7490" s="5"/>
      <c r="J7490" s="5"/>
      <c r="K7490" s="5"/>
      <c r="L7490" s="5"/>
    </row>
    <row r="7491" spans="1:12" ht="12" customHeight="1" x14ac:dyDescent="0.25">
      <c r="A7491" s="6"/>
      <c r="B7491" s="1"/>
      <c r="C7491" s="5"/>
      <c r="D7491" s="5"/>
      <c r="E7491" s="5"/>
      <c r="F7491" s="5"/>
      <c r="G7491" s="5"/>
      <c r="H7491" s="5"/>
      <c r="I7491" s="5"/>
      <c r="J7491" s="5"/>
      <c r="K7491" s="5"/>
      <c r="L7491" s="5"/>
    </row>
    <row r="7492" spans="1:12" ht="12" customHeight="1" x14ac:dyDescent="0.25">
      <c r="A7492" s="6"/>
      <c r="B7492" s="1"/>
      <c r="C7492" s="5"/>
      <c r="D7492" s="5"/>
      <c r="E7492" s="5"/>
      <c r="F7492" s="5"/>
      <c r="G7492" s="5"/>
      <c r="H7492" s="5"/>
      <c r="I7492" s="5"/>
      <c r="J7492" s="5"/>
      <c r="K7492" s="5"/>
      <c r="L7492" s="5"/>
    </row>
    <row r="7493" spans="1:12" ht="12" customHeight="1" x14ac:dyDescent="0.25">
      <c r="A7493" s="6"/>
      <c r="B7493" s="1"/>
      <c r="C7493" s="5"/>
      <c r="D7493" s="5"/>
      <c r="E7493" s="5"/>
      <c r="F7493" s="5"/>
      <c r="G7493" s="5"/>
      <c r="H7493" s="5"/>
      <c r="I7493" s="5"/>
      <c r="J7493" s="5"/>
      <c r="K7493" s="5"/>
      <c r="L7493" s="5"/>
    </row>
    <row r="7494" spans="1:12" ht="12" customHeight="1" x14ac:dyDescent="0.25">
      <c r="A7494" s="6"/>
      <c r="B7494" s="1"/>
      <c r="C7494" s="5"/>
      <c r="D7494" s="5"/>
      <c r="E7494" s="5"/>
      <c r="F7494" s="5"/>
      <c r="G7494" s="5"/>
      <c r="H7494" s="5"/>
      <c r="I7494" s="5"/>
      <c r="J7494" s="5"/>
      <c r="K7494" s="5"/>
      <c r="L7494" s="5"/>
    </row>
    <row r="7495" spans="1:12" ht="12" customHeight="1" x14ac:dyDescent="0.25">
      <c r="A7495" s="6"/>
      <c r="B7495" s="1"/>
      <c r="C7495" s="5"/>
      <c r="D7495" s="5"/>
      <c r="E7495" s="5"/>
      <c r="F7495" s="5"/>
      <c r="G7495" s="5"/>
      <c r="H7495" s="5"/>
      <c r="I7495" s="5"/>
      <c r="J7495" s="5"/>
      <c r="K7495" s="5"/>
      <c r="L7495" s="5"/>
    </row>
    <row r="7496" spans="1:12" ht="12" customHeight="1" x14ac:dyDescent="0.25">
      <c r="A7496" s="6"/>
      <c r="B7496" s="1"/>
      <c r="C7496" s="5"/>
      <c r="D7496" s="5"/>
      <c r="E7496" s="5"/>
      <c r="F7496" s="5"/>
      <c r="G7496" s="5"/>
      <c r="H7496" s="5"/>
      <c r="I7496" s="5"/>
      <c r="J7496" s="5"/>
      <c r="K7496" s="5"/>
      <c r="L7496" s="5"/>
    </row>
    <row r="7497" spans="1:12" ht="12" customHeight="1" x14ac:dyDescent="0.25">
      <c r="A7497" s="6"/>
      <c r="B7497" s="1"/>
      <c r="C7497" s="5"/>
      <c r="D7497" s="5"/>
      <c r="E7497" s="5"/>
      <c r="F7497" s="5"/>
      <c r="G7497" s="5"/>
      <c r="H7497" s="5"/>
      <c r="I7497" s="5"/>
      <c r="J7497" s="5"/>
      <c r="K7497" s="5"/>
      <c r="L7497" s="5"/>
    </row>
    <row r="7498" spans="1:12" ht="12" customHeight="1" x14ac:dyDescent="0.25">
      <c r="A7498" s="6"/>
      <c r="B7498" s="1"/>
      <c r="C7498" s="5"/>
      <c r="D7498" s="5"/>
      <c r="E7498" s="5"/>
      <c r="F7498" s="5"/>
      <c r="G7498" s="5"/>
      <c r="H7498" s="5"/>
      <c r="I7498" s="5"/>
      <c r="J7498" s="5"/>
      <c r="K7498" s="5"/>
      <c r="L7498" s="5"/>
    </row>
    <row r="7499" spans="1:12" ht="12" customHeight="1" x14ac:dyDescent="0.25">
      <c r="A7499" s="6"/>
      <c r="B7499" s="1"/>
      <c r="C7499" s="5"/>
      <c r="D7499" s="5"/>
      <c r="E7499" s="5"/>
      <c r="F7499" s="5"/>
      <c r="G7499" s="5"/>
      <c r="H7499" s="5"/>
      <c r="I7499" s="5"/>
      <c r="J7499" s="5"/>
      <c r="K7499" s="5"/>
      <c r="L7499" s="5"/>
    </row>
    <row r="7500" spans="1:12" ht="12" customHeight="1" x14ac:dyDescent="0.25">
      <c r="A7500" s="6"/>
      <c r="B7500" s="1"/>
      <c r="C7500" s="5"/>
      <c r="D7500" s="5"/>
      <c r="E7500" s="5"/>
      <c r="F7500" s="5"/>
      <c r="G7500" s="5"/>
      <c r="H7500" s="5"/>
      <c r="I7500" s="5"/>
      <c r="J7500" s="5"/>
      <c r="K7500" s="5"/>
      <c r="L7500" s="5"/>
    </row>
    <row r="7501" spans="1:12" ht="12" customHeight="1" x14ac:dyDescent="0.25">
      <c r="A7501" s="6"/>
      <c r="B7501" s="1"/>
      <c r="C7501" s="5"/>
      <c r="D7501" s="5"/>
      <c r="E7501" s="5"/>
      <c r="F7501" s="5"/>
      <c r="G7501" s="5"/>
      <c r="H7501" s="5"/>
      <c r="I7501" s="5"/>
      <c r="J7501" s="5"/>
      <c r="K7501" s="5"/>
      <c r="L7501" s="5"/>
    </row>
    <row r="7502" spans="1:12" ht="12" customHeight="1" x14ac:dyDescent="0.25">
      <c r="A7502" s="6"/>
      <c r="B7502" s="1"/>
      <c r="C7502" s="5"/>
      <c r="D7502" s="5"/>
      <c r="E7502" s="5"/>
      <c r="F7502" s="5"/>
      <c r="G7502" s="5"/>
      <c r="H7502" s="5"/>
      <c r="I7502" s="5"/>
      <c r="J7502" s="5"/>
      <c r="K7502" s="5"/>
      <c r="L7502" s="5"/>
    </row>
    <row r="7503" spans="1:12" ht="12" customHeight="1" x14ac:dyDescent="0.25">
      <c r="A7503" s="6"/>
      <c r="B7503" s="1"/>
      <c r="C7503" s="5"/>
      <c r="D7503" s="5"/>
      <c r="E7503" s="5"/>
      <c r="F7503" s="5"/>
      <c r="G7503" s="5"/>
      <c r="H7503" s="5"/>
      <c r="I7503" s="5"/>
      <c r="J7503" s="5"/>
      <c r="K7503" s="5"/>
      <c r="L7503" s="5"/>
    </row>
    <row r="7504" spans="1:12" ht="12" customHeight="1" x14ac:dyDescent="0.25">
      <c r="A7504" s="6"/>
      <c r="B7504" s="1"/>
      <c r="C7504" s="5"/>
      <c r="D7504" s="5"/>
      <c r="E7504" s="5"/>
      <c r="F7504" s="5"/>
      <c r="G7504" s="5"/>
      <c r="H7504" s="5"/>
      <c r="I7504" s="5"/>
      <c r="J7504" s="5"/>
      <c r="K7504" s="5"/>
      <c r="L7504" s="5"/>
    </row>
    <row r="7505" spans="1:12" ht="12" customHeight="1" x14ac:dyDescent="0.25">
      <c r="A7505" s="6"/>
      <c r="B7505" s="1"/>
      <c r="C7505" s="5"/>
      <c r="D7505" s="5"/>
      <c r="E7505" s="5"/>
      <c r="F7505" s="5"/>
      <c r="G7505" s="5"/>
      <c r="H7505" s="5"/>
      <c r="I7505" s="5"/>
      <c r="J7505" s="5"/>
      <c r="K7505" s="5"/>
      <c r="L7505" s="5"/>
    </row>
    <row r="7506" spans="1:12" ht="12" customHeight="1" x14ac:dyDescent="0.25">
      <c r="A7506" s="6"/>
      <c r="B7506" s="1"/>
      <c r="C7506" s="5"/>
      <c r="D7506" s="5"/>
      <c r="E7506" s="5"/>
      <c r="F7506" s="5"/>
      <c r="G7506" s="5"/>
      <c r="H7506" s="5"/>
      <c r="I7506" s="5"/>
      <c r="J7506" s="5"/>
      <c r="K7506" s="5"/>
      <c r="L7506" s="5"/>
    </row>
    <row r="7507" spans="1:12" ht="12" customHeight="1" x14ac:dyDescent="0.25">
      <c r="A7507" s="6"/>
      <c r="B7507" s="1"/>
      <c r="C7507" s="5"/>
      <c r="D7507" s="5"/>
      <c r="E7507" s="5"/>
      <c r="F7507" s="5"/>
      <c r="G7507" s="5"/>
      <c r="H7507" s="5"/>
      <c r="I7507" s="5"/>
      <c r="J7507" s="5"/>
      <c r="K7507" s="5"/>
      <c r="L7507" s="5"/>
    </row>
    <row r="7508" spans="1:12" ht="12" customHeight="1" x14ac:dyDescent="0.25">
      <c r="A7508" s="6"/>
      <c r="B7508" s="1"/>
      <c r="C7508" s="5"/>
      <c r="D7508" s="5"/>
      <c r="E7508" s="5"/>
      <c r="F7508" s="5"/>
      <c r="G7508" s="5"/>
      <c r="H7508" s="5"/>
      <c r="I7508" s="5"/>
      <c r="J7508" s="5"/>
      <c r="K7508" s="5"/>
      <c r="L7508" s="5"/>
    </row>
    <row r="7509" spans="1:12" ht="12" customHeight="1" x14ac:dyDescent="0.25">
      <c r="A7509" s="6"/>
      <c r="B7509" s="1"/>
      <c r="C7509" s="5"/>
      <c r="D7509" s="5"/>
      <c r="E7509" s="5"/>
      <c r="F7509" s="5"/>
      <c r="G7509" s="5"/>
      <c r="H7509" s="5"/>
      <c r="I7509" s="5"/>
      <c r="J7509" s="5"/>
      <c r="K7509" s="5"/>
      <c r="L7509" s="5"/>
    </row>
    <row r="7510" spans="1:12" ht="12" customHeight="1" x14ac:dyDescent="0.25">
      <c r="A7510" s="6"/>
      <c r="B7510" s="1"/>
      <c r="C7510" s="5"/>
      <c r="D7510" s="5"/>
      <c r="E7510" s="5"/>
      <c r="F7510" s="5"/>
      <c r="G7510" s="5"/>
      <c r="H7510" s="5"/>
      <c r="I7510" s="5"/>
      <c r="J7510" s="5"/>
      <c r="K7510" s="5"/>
      <c r="L7510" s="5"/>
    </row>
    <row r="7511" spans="1:12" ht="12" customHeight="1" x14ac:dyDescent="0.25">
      <c r="A7511" s="6"/>
      <c r="B7511" s="1"/>
      <c r="C7511" s="5"/>
      <c r="D7511" s="5"/>
      <c r="E7511" s="5"/>
      <c r="F7511" s="5"/>
      <c r="G7511" s="5"/>
      <c r="H7511" s="5"/>
      <c r="I7511" s="5"/>
      <c r="J7511" s="5"/>
      <c r="K7511" s="5"/>
      <c r="L7511" s="5"/>
    </row>
    <row r="7512" spans="1:12" ht="12" customHeight="1" x14ac:dyDescent="0.25">
      <c r="A7512" s="6"/>
      <c r="B7512" s="1"/>
      <c r="C7512" s="5"/>
      <c r="D7512" s="5"/>
      <c r="E7512" s="5"/>
      <c r="F7512" s="5"/>
      <c r="G7512" s="5"/>
      <c r="H7512" s="5"/>
      <c r="I7512" s="5"/>
      <c r="J7512" s="5"/>
      <c r="K7512" s="5"/>
      <c r="L7512" s="5"/>
    </row>
    <row r="7513" spans="1:12" ht="12" customHeight="1" x14ac:dyDescent="0.25">
      <c r="A7513" s="6"/>
      <c r="B7513" s="1"/>
      <c r="C7513" s="5"/>
      <c r="D7513" s="5"/>
      <c r="E7513" s="5"/>
      <c r="F7513" s="5"/>
      <c r="G7513" s="5"/>
      <c r="H7513" s="5"/>
      <c r="I7513" s="5"/>
      <c r="J7513" s="5"/>
      <c r="K7513" s="5"/>
      <c r="L7513" s="5"/>
    </row>
    <row r="7514" spans="1:12" ht="12" customHeight="1" x14ac:dyDescent="0.25">
      <c r="A7514" s="6"/>
      <c r="B7514" s="1"/>
      <c r="C7514" s="5"/>
      <c r="D7514" s="5"/>
      <c r="E7514" s="5"/>
      <c r="F7514" s="5"/>
      <c r="G7514" s="5"/>
      <c r="H7514" s="5"/>
      <c r="I7514" s="5"/>
      <c r="J7514" s="5"/>
      <c r="K7514" s="5"/>
      <c r="L7514" s="5"/>
    </row>
    <row r="7515" spans="1:12" ht="12" customHeight="1" x14ac:dyDescent="0.25">
      <c r="A7515" s="6"/>
      <c r="B7515" s="1"/>
      <c r="C7515" s="5"/>
      <c r="D7515" s="5"/>
      <c r="E7515" s="5"/>
      <c r="F7515" s="5"/>
      <c r="G7515" s="5"/>
      <c r="H7515" s="5"/>
      <c r="I7515" s="5"/>
      <c r="J7515" s="5"/>
      <c r="K7515" s="5"/>
      <c r="L7515" s="5"/>
    </row>
    <row r="7516" spans="1:12" ht="12" customHeight="1" x14ac:dyDescent="0.25">
      <c r="A7516" s="6"/>
      <c r="B7516" s="1"/>
      <c r="C7516" s="5"/>
      <c r="D7516" s="5"/>
      <c r="E7516" s="5"/>
      <c r="F7516" s="5"/>
      <c r="G7516" s="5"/>
      <c r="H7516" s="5"/>
      <c r="I7516" s="5"/>
      <c r="J7516" s="5"/>
      <c r="K7516" s="5"/>
      <c r="L7516" s="5"/>
    </row>
    <row r="7517" spans="1:12" ht="12" customHeight="1" x14ac:dyDescent="0.25">
      <c r="A7517" s="6"/>
      <c r="B7517" s="1"/>
      <c r="C7517" s="5"/>
      <c r="D7517" s="5"/>
      <c r="E7517" s="5"/>
      <c r="F7517" s="5"/>
      <c r="G7517" s="5"/>
      <c r="H7517" s="5"/>
      <c r="I7517" s="5"/>
      <c r="J7517" s="5"/>
      <c r="K7517" s="5"/>
      <c r="L7517" s="5"/>
    </row>
    <row r="7518" spans="1:12" ht="12" customHeight="1" x14ac:dyDescent="0.25">
      <c r="A7518" s="6"/>
      <c r="B7518" s="1"/>
      <c r="C7518" s="5"/>
      <c r="D7518" s="5"/>
      <c r="E7518" s="5"/>
      <c r="F7518" s="5"/>
      <c r="G7518" s="5"/>
      <c r="H7518" s="5"/>
      <c r="I7518" s="5"/>
      <c r="J7518" s="5"/>
      <c r="K7518" s="5"/>
      <c r="L7518" s="5"/>
    </row>
    <row r="7519" spans="1:12" ht="12" customHeight="1" x14ac:dyDescent="0.25">
      <c r="A7519" s="6"/>
      <c r="B7519" s="1"/>
      <c r="C7519" s="5"/>
      <c r="D7519" s="5"/>
      <c r="E7519" s="5"/>
      <c r="F7519" s="5"/>
      <c r="G7519" s="5"/>
      <c r="H7519" s="5"/>
      <c r="I7519" s="5"/>
      <c r="J7519" s="5"/>
      <c r="K7519" s="5"/>
      <c r="L7519" s="5"/>
    </row>
    <row r="7520" spans="1:12" ht="12" customHeight="1" x14ac:dyDescent="0.25">
      <c r="A7520" s="6"/>
      <c r="B7520" s="1"/>
      <c r="C7520" s="5"/>
      <c r="D7520" s="5"/>
      <c r="E7520" s="5"/>
      <c r="F7520" s="5"/>
      <c r="G7520" s="5"/>
      <c r="H7520" s="5"/>
      <c r="I7520" s="5"/>
      <c r="J7520" s="5"/>
      <c r="K7520" s="5"/>
      <c r="L7520" s="5"/>
    </row>
    <row r="7521" spans="1:12" ht="12" customHeight="1" x14ac:dyDescent="0.25">
      <c r="A7521" s="6"/>
      <c r="B7521" s="1"/>
      <c r="C7521" s="5"/>
      <c r="D7521" s="5"/>
      <c r="E7521" s="5"/>
      <c r="F7521" s="5"/>
      <c r="G7521" s="5"/>
      <c r="H7521" s="5"/>
      <c r="I7521" s="5"/>
      <c r="J7521" s="5"/>
      <c r="K7521" s="5"/>
      <c r="L7521" s="5"/>
    </row>
    <row r="7522" spans="1:12" ht="12" customHeight="1" x14ac:dyDescent="0.25">
      <c r="A7522" s="6"/>
      <c r="B7522" s="1"/>
      <c r="C7522" s="5"/>
      <c r="D7522" s="5"/>
      <c r="E7522" s="5"/>
      <c r="F7522" s="5"/>
      <c r="G7522" s="5"/>
      <c r="H7522" s="5"/>
      <c r="I7522" s="5"/>
      <c r="J7522" s="5"/>
      <c r="K7522" s="5"/>
      <c r="L7522" s="5"/>
    </row>
    <row r="7523" spans="1:12" ht="12" customHeight="1" x14ac:dyDescent="0.25">
      <c r="A7523" s="6"/>
      <c r="B7523" s="1"/>
      <c r="C7523" s="5"/>
      <c r="D7523" s="5"/>
      <c r="E7523" s="5"/>
      <c r="F7523" s="5"/>
      <c r="G7523" s="5"/>
      <c r="H7523" s="5"/>
      <c r="I7523" s="5"/>
      <c r="J7523" s="5"/>
      <c r="K7523" s="5"/>
      <c r="L7523" s="5"/>
    </row>
    <row r="7524" spans="1:12" ht="12" customHeight="1" x14ac:dyDescent="0.25">
      <c r="A7524" s="6"/>
      <c r="B7524" s="1"/>
      <c r="C7524" s="5"/>
      <c r="D7524" s="5"/>
      <c r="E7524" s="5"/>
      <c r="F7524" s="5"/>
      <c r="G7524" s="5"/>
      <c r="H7524" s="5"/>
      <c r="I7524" s="5"/>
      <c r="J7524" s="5"/>
      <c r="K7524" s="5"/>
      <c r="L7524" s="5"/>
    </row>
    <row r="7525" spans="1:12" ht="12" customHeight="1" x14ac:dyDescent="0.25">
      <c r="A7525" s="6"/>
      <c r="B7525" s="1"/>
      <c r="C7525" s="5"/>
      <c r="D7525" s="5"/>
      <c r="E7525" s="5"/>
      <c r="F7525" s="5"/>
      <c r="G7525" s="5"/>
      <c r="H7525" s="5"/>
      <c r="I7525" s="5"/>
      <c r="J7525" s="5"/>
      <c r="K7525" s="5"/>
      <c r="L7525" s="5"/>
    </row>
    <row r="7526" spans="1:12" ht="12" customHeight="1" x14ac:dyDescent="0.25">
      <c r="A7526" s="6"/>
      <c r="B7526" s="1"/>
      <c r="C7526" s="5"/>
      <c r="D7526" s="5"/>
      <c r="E7526" s="5"/>
      <c r="F7526" s="5"/>
      <c r="G7526" s="5"/>
      <c r="H7526" s="5"/>
      <c r="I7526" s="5"/>
      <c r="J7526" s="5"/>
      <c r="K7526" s="5"/>
      <c r="L7526" s="5"/>
    </row>
    <row r="7527" spans="1:12" ht="12" customHeight="1" x14ac:dyDescent="0.25">
      <c r="A7527" s="6"/>
      <c r="B7527" s="1"/>
      <c r="C7527" s="5"/>
      <c r="D7527" s="5"/>
      <c r="E7527" s="5"/>
      <c r="F7527" s="5"/>
      <c r="G7527" s="5"/>
      <c r="H7527" s="5"/>
      <c r="I7527" s="5"/>
      <c r="J7527" s="5"/>
      <c r="K7527" s="5"/>
      <c r="L7527" s="5"/>
    </row>
    <row r="7528" spans="1:12" ht="12" customHeight="1" x14ac:dyDescent="0.25">
      <c r="A7528" s="6"/>
      <c r="B7528" s="1"/>
      <c r="C7528" s="5"/>
      <c r="D7528" s="5"/>
      <c r="E7528" s="5"/>
      <c r="F7528" s="5"/>
      <c r="G7528" s="5"/>
      <c r="H7528" s="5"/>
      <c r="I7528" s="5"/>
      <c r="J7528" s="5"/>
      <c r="K7528" s="5"/>
      <c r="L7528" s="5"/>
    </row>
    <row r="7529" spans="1:12" ht="12" customHeight="1" x14ac:dyDescent="0.25">
      <c r="A7529" s="6"/>
      <c r="B7529" s="1"/>
      <c r="C7529" s="5"/>
      <c r="D7529" s="5"/>
      <c r="E7529" s="5"/>
      <c r="F7529" s="5"/>
      <c r="G7529" s="5"/>
      <c r="H7529" s="5"/>
      <c r="I7529" s="5"/>
      <c r="J7529" s="5"/>
      <c r="K7529" s="5"/>
      <c r="L7529" s="5"/>
    </row>
    <row r="7530" spans="1:12" ht="12" customHeight="1" x14ac:dyDescent="0.25">
      <c r="A7530" s="6"/>
      <c r="B7530" s="1"/>
      <c r="C7530" s="5"/>
      <c r="D7530" s="5"/>
      <c r="E7530" s="5"/>
      <c r="F7530" s="5"/>
      <c r="G7530" s="5"/>
      <c r="H7530" s="5"/>
      <c r="I7530" s="5"/>
      <c r="J7530" s="5"/>
      <c r="K7530" s="5"/>
      <c r="L7530" s="5"/>
    </row>
    <row r="7531" spans="1:12" ht="12" customHeight="1" x14ac:dyDescent="0.25">
      <c r="A7531" s="6"/>
      <c r="B7531" s="1"/>
      <c r="C7531" s="5"/>
      <c r="D7531" s="5"/>
      <c r="E7531" s="5"/>
      <c r="F7531" s="5"/>
      <c r="G7531" s="5"/>
      <c r="H7531" s="5"/>
      <c r="I7531" s="5"/>
      <c r="J7531" s="5"/>
      <c r="K7531" s="5"/>
      <c r="L7531" s="5"/>
    </row>
    <row r="7532" spans="1:12" ht="12" customHeight="1" x14ac:dyDescent="0.25">
      <c r="A7532" s="6"/>
      <c r="B7532" s="1"/>
      <c r="C7532" s="5"/>
      <c r="D7532" s="5"/>
      <c r="E7532" s="5"/>
      <c r="F7532" s="5"/>
      <c r="G7532" s="5"/>
      <c r="H7532" s="5"/>
      <c r="I7532" s="5"/>
      <c r="J7532" s="5"/>
      <c r="K7532" s="5"/>
      <c r="L7532" s="5"/>
    </row>
    <row r="7533" spans="1:12" ht="12" customHeight="1" x14ac:dyDescent="0.25">
      <c r="A7533" s="6"/>
      <c r="B7533" s="1"/>
      <c r="C7533" s="5"/>
      <c r="D7533" s="5"/>
      <c r="E7533" s="5"/>
      <c r="F7533" s="5"/>
      <c r="G7533" s="5"/>
      <c r="H7533" s="5"/>
      <c r="I7533" s="5"/>
      <c r="J7533" s="5"/>
      <c r="K7533" s="5"/>
      <c r="L7533" s="5"/>
    </row>
    <row r="7534" spans="1:12" ht="12" customHeight="1" x14ac:dyDescent="0.25">
      <c r="A7534" s="6"/>
      <c r="B7534" s="1"/>
      <c r="C7534" s="5"/>
      <c r="D7534" s="5"/>
      <c r="E7534" s="5"/>
      <c r="F7534" s="5"/>
      <c r="G7534" s="5"/>
      <c r="H7534" s="5"/>
      <c r="I7534" s="5"/>
      <c r="J7534" s="5"/>
      <c r="K7534" s="5"/>
      <c r="L7534" s="5"/>
    </row>
    <row r="7535" spans="1:12" ht="12" customHeight="1" x14ac:dyDescent="0.25">
      <c r="A7535" s="6"/>
      <c r="B7535" s="1"/>
      <c r="C7535" s="5"/>
      <c r="D7535" s="5"/>
      <c r="E7535" s="5"/>
      <c r="F7535" s="5"/>
      <c r="G7535" s="5"/>
      <c r="H7535" s="5"/>
      <c r="I7535" s="5"/>
      <c r="J7535" s="5"/>
      <c r="K7535" s="5"/>
      <c r="L7535" s="5"/>
    </row>
    <row r="7536" spans="1:12" ht="12" customHeight="1" x14ac:dyDescent="0.25">
      <c r="A7536" s="6"/>
      <c r="B7536" s="1"/>
      <c r="C7536" s="5"/>
      <c r="D7536" s="5"/>
      <c r="E7536" s="5"/>
      <c r="F7536" s="5"/>
      <c r="G7536" s="5"/>
      <c r="H7536" s="5"/>
      <c r="I7536" s="5"/>
      <c r="J7536" s="5"/>
      <c r="K7536" s="5"/>
      <c r="L7536" s="5"/>
    </row>
    <row r="7537" spans="1:12" ht="12" customHeight="1" x14ac:dyDescent="0.25">
      <c r="A7537" s="6"/>
      <c r="B7537" s="1"/>
      <c r="C7537" s="5"/>
      <c r="D7537" s="5"/>
      <c r="E7537" s="5"/>
      <c r="F7537" s="5"/>
      <c r="G7537" s="5"/>
      <c r="H7537" s="5"/>
      <c r="I7537" s="5"/>
      <c r="J7537" s="5"/>
      <c r="K7537" s="5"/>
      <c r="L7537" s="5"/>
    </row>
    <row r="7538" spans="1:12" ht="12" customHeight="1" x14ac:dyDescent="0.25">
      <c r="A7538" s="6"/>
      <c r="B7538" s="1"/>
      <c r="C7538" s="5"/>
      <c r="D7538" s="5"/>
      <c r="E7538" s="5"/>
      <c r="F7538" s="5"/>
      <c r="G7538" s="5"/>
      <c r="H7538" s="5"/>
      <c r="I7538" s="5"/>
      <c r="J7538" s="5"/>
      <c r="K7538" s="5"/>
      <c r="L7538" s="5"/>
    </row>
    <row r="7539" spans="1:12" ht="12" customHeight="1" x14ac:dyDescent="0.25">
      <c r="A7539" s="6"/>
      <c r="B7539" s="1"/>
      <c r="C7539" s="5"/>
      <c r="D7539" s="5"/>
      <c r="E7539" s="5"/>
      <c r="F7539" s="5"/>
      <c r="G7539" s="5"/>
      <c r="H7539" s="5"/>
      <c r="I7539" s="5"/>
      <c r="J7539" s="5"/>
      <c r="K7539" s="5"/>
      <c r="L7539" s="5"/>
    </row>
    <row r="7540" spans="1:12" ht="12" customHeight="1" x14ac:dyDescent="0.25">
      <c r="A7540" s="6"/>
      <c r="B7540" s="1"/>
      <c r="C7540" s="5"/>
      <c r="D7540" s="5"/>
      <c r="E7540" s="5"/>
      <c r="F7540" s="5"/>
      <c r="G7540" s="5"/>
      <c r="H7540" s="5"/>
      <c r="I7540" s="5"/>
      <c r="J7540" s="5"/>
      <c r="K7540" s="5"/>
      <c r="L7540" s="5"/>
    </row>
    <row r="7541" spans="1:12" ht="12" customHeight="1" x14ac:dyDescent="0.25">
      <c r="A7541" s="6"/>
      <c r="B7541" s="1"/>
      <c r="C7541" s="5"/>
      <c r="D7541" s="5"/>
      <c r="E7541" s="5"/>
      <c r="F7541" s="5"/>
      <c r="G7541" s="5"/>
      <c r="H7541" s="5"/>
      <c r="I7541" s="5"/>
      <c r="J7541" s="5"/>
      <c r="K7541" s="5"/>
      <c r="L7541" s="5"/>
    </row>
    <row r="7542" spans="1:12" ht="12" customHeight="1" x14ac:dyDescent="0.25">
      <c r="A7542" s="6"/>
      <c r="B7542" s="1"/>
      <c r="C7542" s="5"/>
      <c r="D7542" s="5"/>
      <c r="E7542" s="5"/>
      <c r="F7542" s="5"/>
      <c r="G7542" s="5"/>
      <c r="H7542" s="5"/>
      <c r="I7542" s="5"/>
      <c r="J7542" s="5"/>
      <c r="K7542" s="5"/>
      <c r="L7542" s="5"/>
    </row>
    <row r="7543" spans="1:12" ht="12" customHeight="1" x14ac:dyDescent="0.25">
      <c r="A7543" s="6"/>
      <c r="B7543" s="1"/>
      <c r="C7543" s="5"/>
      <c r="D7543" s="5"/>
      <c r="E7543" s="5"/>
      <c r="F7543" s="5"/>
      <c r="G7543" s="5"/>
      <c r="H7543" s="5"/>
      <c r="I7543" s="5"/>
      <c r="J7543" s="5"/>
      <c r="K7543" s="5"/>
      <c r="L7543" s="5"/>
    </row>
    <row r="7544" spans="1:12" ht="12" customHeight="1" x14ac:dyDescent="0.25">
      <c r="A7544" s="6"/>
      <c r="B7544" s="1"/>
      <c r="C7544" s="5"/>
      <c r="D7544" s="5"/>
      <c r="E7544" s="5"/>
      <c r="F7544" s="5"/>
      <c r="G7544" s="5"/>
      <c r="H7544" s="5"/>
      <c r="I7544" s="5"/>
      <c r="J7544" s="5"/>
      <c r="K7544" s="5"/>
      <c r="L7544" s="5"/>
    </row>
    <row r="7545" spans="1:12" ht="12" customHeight="1" x14ac:dyDescent="0.25">
      <c r="A7545" s="6"/>
      <c r="B7545" s="1"/>
      <c r="C7545" s="5"/>
      <c r="D7545" s="5"/>
      <c r="E7545" s="5"/>
      <c r="F7545" s="5"/>
      <c r="G7545" s="5"/>
      <c r="H7545" s="5"/>
      <c r="I7545" s="5"/>
      <c r="J7545" s="5"/>
      <c r="K7545" s="5"/>
      <c r="L7545" s="5"/>
    </row>
    <row r="7546" spans="1:12" ht="12" customHeight="1" x14ac:dyDescent="0.25">
      <c r="A7546" s="6"/>
      <c r="B7546" s="1"/>
      <c r="C7546" s="5"/>
      <c r="D7546" s="5"/>
      <c r="E7546" s="5"/>
      <c r="F7546" s="5"/>
      <c r="G7546" s="5"/>
      <c r="H7546" s="5"/>
      <c r="I7546" s="5"/>
      <c r="J7546" s="5"/>
      <c r="K7546" s="5"/>
      <c r="L7546" s="5"/>
    </row>
    <row r="7547" spans="1:12" ht="12" customHeight="1" x14ac:dyDescent="0.25">
      <c r="A7547" s="6"/>
      <c r="B7547" s="1"/>
      <c r="C7547" s="5"/>
      <c r="D7547" s="5"/>
      <c r="E7547" s="5"/>
      <c r="F7547" s="5"/>
      <c r="G7547" s="5"/>
      <c r="H7547" s="5"/>
      <c r="I7547" s="5"/>
      <c r="J7547" s="5"/>
      <c r="K7547" s="5"/>
      <c r="L7547" s="5"/>
    </row>
    <row r="7548" spans="1:12" ht="12" customHeight="1" x14ac:dyDescent="0.25">
      <c r="A7548" s="6"/>
      <c r="B7548" s="1"/>
      <c r="C7548" s="5"/>
      <c r="D7548" s="5"/>
      <c r="E7548" s="5"/>
      <c r="F7548" s="5"/>
      <c r="G7548" s="5"/>
      <c r="H7548" s="5"/>
      <c r="I7548" s="5"/>
      <c r="J7548" s="5"/>
      <c r="K7548" s="5"/>
      <c r="L7548" s="5"/>
    </row>
    <row r="7549" spans="1:12" ht="12" customHeight="1" x14ac:dyDescent="0.25">
      <c r="A7549" s="6"/>
      <c r="B7549" s="1"/>
      <c r="C7549" s="5"/>
      <c r="D7549" s="5"/>
      <c r="E7549" s="5"/>
      <c r="F7549" s="5"/>
      <c r="G7549" s="5"/>
      <c r="H7549" s="5"/>
      <c r="I7549" s="5"/>
      <c r="J7549" s="5"/>
      <c r="K7549" s="5"/>
      <c r="L7549" s="5"/>
    </row>
    <row r="7550" spans="1:12" ht="12" customHeight="1" x14ac:dyDescent="0.25">
      <c r="A7550" s="6"/>
      <c r="B7550" s="1"/>
      <c r="C7550" s="5"/>
      <c r="D7550" s="5"/>
      <c r="E7550" s="5"/>
      <c r="F7550" s="5"/>
      <c r="G7550" s="5"/>
      <c r="H7550" s="5"/>
      <c r="I7550" s="5"/>
      <c r="J7550" s="5"/>
      <c r="K7550" s="5"/>
      <c r="L7550" s="5"/>
    </row>
    <row r="7551" spans="1:12" ht="12" customHeight="1" x14ac:dyDescent="0.25">
      <c r="A7551" s="6"/>
      <c r="B7551" s="1"/>
      <c r="C7551" s="5"/>
      <c r="D7551" s="5"/>
      <c r="E7551" s="5"/>
      <c r="F7551" s="5"/>
      <c r="G7551" s="5"/>
      <c r="H7551" s="5"/>
      <c r="I7551" s="5"/>
      <c r="J7551" s="5"/>
      <c r="K7551" s="5"/>
      <c r="L7551" s="5"/>
    </row>
    <row r="7552" spans="1:12" ht="12" customHeight="1" x14ac:dyDescent="0.25">
      <c r="A7552" s="6"/>
      <c r="B7552" s="1"/>
      <c r="C7552" s="5"/>
      <c r="D7552" s="5"/>
      <c r="E7552" s="5"/>
      <c r="F7552" s="5"/>
      <c r="G7552" s="5"/>
      <c r="H7552" s="5"/>
      <c r="I7552" s="5"/>
      <c r="J7552" s="5"/>
      <c r="K7552" s="5"/>
      <c r="L7552" s="5"/>
    </row>
    <row r="7553" spans="1:12" ht="12" customHeight="1" x14ac:dyDescent="0.25">
      <c r="A7553" s="6"/>
      <c r="B7553" s="1"/>
      <c r="C7553" s="5"/>
      <c r="D7553" s="5"/>
      <c r="E7553" s="5"/>
      <c r="F7553" s="5"/>
      <c r="G7553" s="5"/>
      <c r="H7553" s="5"/>
      <c r="I7553" s="5"/>
      <c r="J7553" s="5"/>
      <c r="K7553" s="5"/>
      <c r="L7553" s="5"/>
    </row>
    <row r="7554" spans="1:12" ht="12" customHeight="1" x14ac:dyDescent="0.25">
      <c r="A7554" s="6"/>
      <c r="B7554" s="1"/>
      <c r="C7554" s="5"/>
      <c r="D7554" s="5"/>
      <c r="E7554" s="5"/>
      <c r="F7554" s="5"/>
      <c r="G7554" s="5"/>
      <c r="H7554" s="5"/>
      <c r="I7554" s="5"/>
      <c r="J7554" s="5"/>
      <c r="K7554" s="5"/>
      <c r="L7554" s="5"/>
    </row>
    <row r="7555" spans="1:12" ht="12" customHeight="1" x14ac:dyDescent="0.25">
      <c r="A7555" s="6"/>
      <c r="B7555" s="1"/>
      <c r="C7555" s="5"/>
      <c r="D7555" s="5"/>
      <c r="E7555" s="5"/>
      <c r="F7555" s="5"/>
      <c r="G7555" s="5"/>
      <c r="H7555" s="5"/>
      <c r="I7555" s="5"/>
      <c r="J7555" s="5"/>
      <c r="K7555" s="5"/>
      <c r="L7555" s="5"/>
    </row>
    <row r="7556" spans="1:12" ht="12" customHeight="1" x14ac:dyDescent="0.25">
      <c r="A7556" s="6"/>
      <c r="B7556" s="1"/>
      <c r="C7556" s="5"/>
      <c r="D7556" s="5"/>
      <c r="E7556" s="5"/>
      <c r="F7556" s="5"/>
      <c r="G7556" s="5"/>
      <c r="H7556" s="5"/>
      <c r="I7556" s="5"/>
      <c r="J7556" s="5"/>
      <c r="K7556" s="5"/>
      <c r="L7556" s="5"/>
    </row>
    <row r="7557" spans="1:12" ht="12" customHeight="1" x14ac:dyDescent="0.25">
      <c r="A7557" s="6"/>
      <c r="B7557" s="1"/>
      <c r="C7557" s="5"/>
      <c r="D7557" s="5"/>
      <c r="E7557" s="5"/>
      <c r="F7557" s="5"/>
      <c r="G7557" s="5"/>
      <c r="H7557" s="5"/>
      <c r="I7557" s="5"/>
      <c r="J7557" s="5"/>
      <c r="K7557" s="5"/>
      <c r="L7557" s="5"/>
    </row>
    <row r="7558" spans="1:12" ht="12" customHeight="1" x14ac:dyDescent="0.25">
      <c r="A7558" s="6"/>
      <c r="B7558" s="1"/>
      <c r="C7558" s="5"/>
      <c r="D7558" s="5"/>
      <c r="E7558" s="5"/>
      <c r="F7558" s="5"/>
      <c r="G7558" s="5"/>
      <c r="H7558" s="5"/>
      <c r="I7558" s="5"/>
      <c r="J7558" s="5"/>
      <c r="K7558" s="5"/>
      <c r="L7558" s="5"/>
    </row>
    <row r="7559" spans="1:12" ht="12" customHeight="1" x14ac:dyDescent="0.25">
      <c r="A7559" s="6"/>
      <c r="B7559" s="1"/>
      <c r="C7559" s="5"/>
      <c r="D7559" s="5"/>
      <c r="E7559" s="5"/>
      <c r="F7559" s="5"/>
      <c r="G7559" s="5"/>
      <c r="H7559" s="5"/>
      <c r="I7559" s="5"/>
      <c r="J7559" s="5"/>
      <c r="K7559" s="5"/>
      <c r="L7559" s="5"/>
    </row>
    <row r="7560" spans="1:12" ht="12" customHeight="1" x14ac:dyDescent="0.25">
      <c r="A7560" s="6"/>
      <c r="B7560" s="1"/>
      <c r="C7560" s="5"/>
      <c r="D7560" s="5"/>
      <c r="E7560" s="5"/>
      <c r="F7560" s="5"/>
      <c r="G7560" s="5"/>
      <c r="H7560" s="5"/>
      <c r="I7560" s="5"/>
      <c r="J7560" s="5"/>
      <c r="K7560" s="5"/>
      <c r="L7560" s="5"/>
    </row>
    <row r="7561" spans="1:12" ht="12" customHeight="1" x14ac:dyDescent="0.25">
      <c r="A7561" s="6"/>
      <c r="B7561" s="1"/>
      <c r="C7561" s="5"/>
      <c r="D7561" s="5"/>
      <c r="E7561" s="5"/>
      <c r="F7561" s="5"/>
      <c r="G7561" s="5"/>
      <c r="H7561" s="5"/>
      <c r="I7561" s="5"/>
      <c r="J7561" s="5"/>
      <c r="K7561" s="5"/>
      <c r="L7561" s="5"/>
    </row>
    <row r="7562" spans="1:12" ht="12" customHeight="1" x14ac:dyDescent="0.25">
      <c r="A7562" s="6"/>
      <c r="B7562" s="1"/>
      <c r="C7562" s="5"/>
      <c r="D7562" s="5"/>
      <c r="E7562" s="5"/>
      <c r="F7562" s="5"/>
      <c r="G7562" s="5"/>
      <c r="H7562" s="5"/>
      <c r="I7562" s="5"/>
      <c r="J7562" s="5"/>
      <c r="K7562" s="5"/>
      <c r="L7562" s="5"/>
    </row>
    <row r="7563" spans="1:12" ht="12" customHeight="1" x14ac:dyDescent="0.25">
      <c r="A7563" s="6"/>
      <c r="B7563" s="1"/>
      <c r="C7563" s="5"/>
      <c r="D7563" s="5"/>
      <c r="E7563" s="5"/>
      <c r="F7563" s="5"/>
      <c r="G7563" s="5"/>
      <c r="H7563" s="5"/>
      <c r="I7563" s="5"/>
      <c r="J7563" s="5"/>
      <c r="K7563" s="5"/>
      <c r="L7563" s="5"/>
    </row>
    <row r="7564" spans="1:12" ht="12" customHeight="1" x14ac:dyDescent="0.25">
      <c r="A7564" s="6"/>
      <c r="B7564" s="1"/>
      <c r="C7564" s="5"/>
      <c r="D7564" s="5"/>
      <c r="E7564" s="5"/>
      <c r="F7564" s="5"/>
      <c r="G7564" s="5"/>
      <c r="H7564" s="5"/>
      <c r="I7564" s="5"/>
      <c r="J7564" s="5"/>
      <c r="K7564" s="5"/>
      <c r="L7564" s="5"/>
    </row>
    <row r="7565" spans="1:12" ht="12" customHeight="1" x14ac:dyDescent="0.25">
      <c r="A7565" s="6"/>
      <c r="B7565" s="1"/>
      <c r="C7565" s="5"/>
      <c r="D7565" s="5"/>
      <c r="E7565" s="5"/>
      <c r="F7565" s="5"/>
      <c r="G7565" s="5"/>
      <c r="H7565" s="5"/>
      <c r="I7565" s="5"/>
      <c r="J7565" s="5"/>
      <c r="K7565" s="5"/>
      <c r="L7565" s="5"/>
    </row>
    <row r="7566" spans="1:12" ht="12" customHeight="1" x14ac:dyDescent="0.25">
      <c r="A7566" s="6"/>
      <c r="B7566" s="1"/>
      <c r="C7566" s="5"/>
      <c r="D7566" s="5"/>
      <c r="E7566" s="5"/>
      <c r="F7566" s="5"/>
      <c r="G7566" s="5"/>
      <c r="H7566" s="5"/>
      <c r="I7566" s="5"/>
      <c r="J7566" s="5"/>
      <c r="K7566" s="5"/>
      <c r="L7566" s="5"/>
    </row>
    <row r="7567" spans="1:12" ht="12" customHeight="1" x14ac:dyDescent="0.25">
      <c r="A7567" s="6"/>
      <c r="B7567" s="1"/>
      <c r="C7567" s="5"/>
      <c r="D7567" s="5"/>
      <c r="E7567" s="5"/>
      <c r="F7567" s="5"/>
      <c r="G7567" s="5"/>
      <c r="H7567" s="5"/>
      <c r="I7567" s="5"/>
      <c r="J7567" s="5"/>
      <c r="K7567" s="5"/>
      <c r="L7567" s="5"/>
    </row>
    <row r="7568" spans="1:12" ht="12" customHeight="1" x14ac:dyDescent="0.25">
      <c r="A7568" s="6"/>
      <c r="B7568" s="1"/>
      <c r="C7568" s="5"/>
      <c r="D7568" s="5"/>
      <c r="E7568" s="5"/>
      <c r="F7568" s="5"/>
      <c r="G7568" s="5"/>
      <c r="H7568" s="5"/>
      <c r="I7568" s="5"/>
      <c r="J7568" s="5"/>
      <c r="K7568" s="5"/>
      <c r="L7568" s="5"/>
    </row>
    <row r="7569" spans="1:12" ht="12" customHeight="1" x14ac:dyDescent="0.25">
      <c r="A7569" s="6"/>
      <c r="B7569" s="1"/>
      <c r="C7569" s="5"/>
      <c r="D7569" s="5"/>
      <c r="E7569" s="5"/>
      <c r="F7569" s="5"/>
      <c r="G7569" s="5"/>
      <c r="H7569" s="5"/>
      <c r="I7569" s="5"/>
      <c r="J7569" s="5"/>
      <c r="K7569" s="5"/>
      <c r="L7569" s="5"/>
    </row>
    <row r="7570" spans="1:12" ht="12" customHeight="1" x14ac:dyDescent="0.25">
      <c r="A7570" s="6"/>
      <c r="B7570" s="1"/>
      <c r="C7570" s="5"/>
      <c r="D7570" s="5"/>
      <c r="E7570" s="5"/>
      <c r="F7570" s="5"/>
      <c r="G7570" s="5"/>
      <c r="H7570" s="5"/>
      <c r="I7570" s="5"/>
      <c r="J7570" s="5"/>
      <c r="K7570" s="5"/>
      <c r="L7570" s="5"/>
    </row>
    <row r="7571" spans="1:12" ht="12" customHeight="1" x14ac:dyDescent="0.25">
      <c r="A7571" s="6"/>
      <c r="B7571" s="1"/>
      <c r="C7571" s="5"/>
      <c r="D7571" s="5"/>
      <c r="E7571" s="5"/>
      <c r="F7571" s="5"/>
      <c r="G7571" s="5"/>
      <c r="H7571" s="5"/>
      <c r="I7571" s="5"/>
      <c r="J7571" s="5"/>
      <c r="K7571" s="5"/>
      <c r="L7571" s="5"/>
    </row>
    <row r="7572" spans="1:12" ht="12" customHeight="1" x14ac:dyDescent="0.25">
      <c r="A7572" s="6"/>
      <c r="B7572" s="1"/>
      <c r="C7572" s="5"/>
      <c r="D7572" s="5"/>
      <c r="E7572" s="5"/>
      <c r="F7572" s="5"/>
      <c r="G7572" s="5"/>
      <c r="H7572" s="5"/>
      <c r="I7572" s="5"/>
      <c r="J7572" s="5"/>
      <c r="K7572" s="5"/>
      <c r="L7572" s="5"/>
    </row>
    <row r="7573" spans="1:12" ht="12" customHeight="1" x14ac:dyDescent="0.25">
      <c r="A7573" s="6"/>
      <c r="B7573" s="1"/>
      <c r="C7573" s="5"/>
      <c r="D7573" s="5"/>
      <c r="E7573" s="5"/>
      <c r="F7573" s="5"/>
      <c r="G7573" s="5"/>
      <c r="H7573" s="5"/>
      <c r="I7573" s="5"/>
      <c r="J7573" s="5"/>
      <c r="K7573" s="5"/>
      <c r="L7573" s="5"/>
    </row>
    <row r="7574" spans="1:12" ht="12" customHeight="1" x14ac:dyDescent="0.25">
      <c r="A7574" s="6"/>
      <c r="B7574" s="1"/>
      <c r="C7574" s="5"/>
      <c r="D7574" s="5"/>
      <c r="E7574" s="5"/>
      <c r="F7574" s="5"/>
      <c r="G7574" s="5"/>
      <c r="H7574" s="5"/>
      <c r="I7574" s="5"/>
      <c r="J7574" s="5"/>
      <c r="K7574" s="5"/>
      <c r="L7574" s="5"/>
    </row>
    <row r="7575" spans="1:12" ht="12" customHeight="1" x14ac:dyDescent="0.25">
      <c r="A7575" s="6"/>
      <c r="B7575" s="1"/>
      <c r="C7575" s="5"/>
      <c r="D7575" s="5"/>
      <c r="E7575" s="5"/>
      <c r="F7575" s="5"/>
      <c r="G7575" s="5"/>
      <c r="H7575" s="5"/>
      <c r="I7575" s="5"/>
      <c r="J7575" s="5"/>
      <c r="K7575" s="5"/>
      <c r="L7575" s="5"/>
    </row>
    <row r="7576" spans="1:12" ht="12" customHeight="1" x14ac:dyDescent="0.25">
      <c r="A7576" s="6"/>
      <c r="B7576" s="1"/>
      <c r="C7576" s="5"/>
      <c r="D7576" s="5"/>
      <c r="E7576" s="5"/>
      <c r="F7576" s="5"/>
      <c r="G7576" s="5"/>
      <c r="H7576" s="5"/>
      <c r="I7576" s="5"/>
      <c r="J7576" s="5"/>
      <c r="K7576" s="5"/>
      <c r="L7576" s="5"/>
    </row>
    <row r="7577" spans="1:12" ht="12" customHeight="1" x14ac:dyDescent="0.25">
      <c r="A7577" s="6"/>
      <c r="B7577" s="1"/>
      <c r="C7577" s="5"/>
      <c r="D7577" s="5"/>
      <c r="E7577" s="5"/>
      <c r="F7577" s="5"/>
      <c r="G7577" s="5"/>
      <c r="H7577" s="5"/>
      <c r="I7577" s="5"/>
      <c r="J7577" s="5"/>
      <c r="K7577" s="5"/>
      <c r="L7577" s="5"/>
    </row>
    <row r="7578" spans="1:12" ht="12" customHeight="1" x14ac:dyDescent="0.25">
      <c r="A7578" s="6"/>
      <c r="B7578" s="1"/>
      <c r="C7578" s="5"/>
      <c r="D7578" s="5"/>
      <c r="E7578" s="5"/>
      <c r="F7578" s="5"/>
      <c r="G7578" s="5"/>
      <c r="H7578" s="5"/>
      <c r="I7578" s="5"/>
      <c r="J7578" s="5"/>
      <c r="K7578" s="5"/>
      <c r="L7578" s="5"/>
    </row>
    <row r="7579" spans="1:12" ht="12" customHeight="1" x14ac:dyDescent="0.25">
      <c r="A7579" s="6"/>
      <c r="B7579" s="1"/>
      <c r="C7579" s="5"/>
      <c r="D7579" s="5"/>
      <c r="E7579" s="5"/>
      <c r="F7579" s="5"/>
      <c r="G7579" s="5"/>
      <c r="H7579" s="5"/>
      <c r="I7579" s="5"/>
      <c r="J7579" s="5"/>
      <c r="K7579" s="5"/>
      <c r="L7579" s="5"/>
    </row>
    <row r="7580" spans="1:12" ht="12" customHeight="1" x14ac:dyDescent="0.25">
      <c r="A7580" s="6"/>
      <c r="B7580" s="1"/>
      <c r="C7580" s="5"/>
      <c r="D7580" s="5"/>
      <c r="E7580" s="5"/>
      <c r="F7580" s="5"/>
      <c r="G7580" s="5"/>
      <c r="H7580" s="5"/>
      <c r="I7580" s="5"/>
      <c r="J7580" s="5"/>
      <c r="K7580" s="5"/>
      <c r="L7580" s="5"/>
    </row>
    <row r="7581" spans="1:12" ht="12" customHeight="1" x14ac:dyDescent="0.25">
      <c r="A7581" s="6"/>
      <c r="B7581" s="1"/>
      <c r="C7581" s="5"/>
      <c r="D7581" s="5"/>
      <c r="E7581" s="5"/>
      <c r="F7581" s="5"/>
      <c r="G7581" s="5"/>
      <c r="H7581" s="5"/>
      <c r="I7581" s="5"/>
      <c r="J7581" s="5"/>
      <c r="K7581" s="5"/>
      <c r="L7581" s="5"/>
    </row>
    <row r="7582" spans="1:12" ht="12" customHeight="1" x14ac:dyDescent="0.25">
      <c r="A7582" s="6"/>
      <c r="B7582" s="1"/>
      <c r="C7582" s="5"/>
      <c r="D7582" s="5"/>
      <c r="E7582" s="5"/>
      <c r="F7582" s="5"/>
      <c r="G7582" s="5"/>
      <c r="H7582" s="5"/>
      <c r="I7582" s="5"/>
      <c r="J7582" s="5"/>
      <c r="K7582" s="5"/>
      <c r="L7582" s="5"/>
    </row>
    <row r="7583" spans="1:12" ht="12" customHeight="1" x14ac:dyDescent="0.25">
      <c r="A7583" s="6"/>
      <c r="B7583" s="1"/>
      <c r="C7583" s="5"/>
      <c r="D7583" s="5"/>
      <c r="E7583" s="5"/>
      <c r="F7583" s="5"/>
      <c r="G7583" s="5"/>
      <c r="H7583" s="5"/>
      <c r="I7583" s="5"/>
      <c r="J7583" s="5"/>
      <c r="K7583" s="5"/>
      <c r="L7583" s="5"/>
    </row>
    <row r="7584" spans="1:12" ht="12" customHeight="1" x14ac:dyDescent="0.25">
      <c r="A7584" s="6"/>
      <c r="B7584" s="1"/>
      <c r="C7584" s="5"/>
      <c r="D7584" s="5"/>
      <c r="E7584" s="5"/>
      <c r="F7584" s="5"/>
      <c r="G7584" s="5"/>
      <c r="H7584" s="5"/>
      <c r="I7584" s="5"/>
      <c r="J7584" s="5"/>
      <c r="K7584" s="5"/>
      <c r="L7584" s="5"/>
    </row>
    <row r="7585" spans="1:12" ht="12" customHeight="1" x14ac:dyDescent="0.25">
      <c r="A7585" s="6"/>
      <c r="B7585" s="1"/>
      <c r="C7585" s="5"/>
      <c r="D7585" s="5"/>
      <c r="E7585" s="5"/>
      <c r="F7585" s="5"/>
      <c r="G7585" s="5"/>
      <c r="H7585" s="5"/>
      <c r="I7585" s="5"/>
      <c r="J7585" s="5"/>
      <c r="K7585" s="5"/>
      <c r="L7585" s="5"/>
    </row>
    <row r="7586" spans="1:12" ht="12" customHeight="1" x14ac:dyDescent="0.25">
      <c r="A7586" s="6"/>
      <c r="B7586" s="1"/>
      <c r="C7586" s="5"/>
      <c r="D7586" s="5"/>
      <c r="E7586" s="5"/>
      <c r="F7586" s="5"/>
      <c r="G7586" s="5"/>
      <c r="H7586" s="5"/>
      <c r="I7586" s="5"/>
      <c r="J7586" s="5"/>
      <c r="K7586" s="5"/>
      <c r="L7586" s="5"/>
    </row>
    <row r="7587" spans="1:12" ht="12" customHeight="1" x14ac:dyDescent="0.25">
      <c r="A7587" s="6"/>
      <c r="B7587" s="1"/>
      <c r="C7587" s="5"/>
      <c r="D7587" s="5"/>
      <c r="E7587" s="5"/>
      <c r="F7587" s="5"/>
      <c r="G7587" s="5"/>
      <c r="H7587" s="5"/>
      <c r="I7587" s="5"/>
      <c r="J7587" s="5"/>
      <c r="K7587" s="5"/>
      <c r="L7587" s="5"/>
    </row>
    <row r="7588" spans="1:12" ht="12" customHeight="1" x14ac:dyDescent="0.25">
      <c r="A7588" s="6"/>
      <c r="B7588" s="1"/>
      <c r="C7588" s="5"/>
      <c r="D7588" s="5"/>
      <c r="E7588" s="5"/>
      <c r="F7588" s="5"/>
      <c r="G7588" s="5"/>
      <c r="H7588" s="5"/>
      <c r="I7588" s="5"/>
      <c r="J7588" s="5"/>
      <c r="K7588" s="5"/>
      <c r="L7588" s="5"/>
    </row>
    <row r="7589" spans="1:12" ht="12" customHeight="1" x14ac:dyDescent="0.25">
      <c r="A7589" s="6"/>
      <c r="B7589" s="1"/>
      <c r="C7589" s="5"/>
      <c r="D7589" s="5"/>
      <c r="E7589" s="5"/>
      <c r="F7589" s="5"/>
      <c r="G7589" s="5"/>
      <c r="H7589" s="5"/>
      <c r="I7589" s="5"/>
      <c r="J7589" s="5"/>
      <c r="K7589" s="5"/>
      <c r="L7589" s="5"/>
    </row>
    <row r="7590" spans="1:12" ht="12" customHeight="1" x14ac:dyDescent="0.25">
      <c r="A7590" s="6"/>
      <c r="B7590" s="1"/>
      <c r="C7590" s="5"/>
      <c r="D7590" s="5"/>
      <c r="E7590" s="5"/>
      <c r="F7590" s="5"/>
      <c r="G7590" s="5"/>
      <c r="H7590" s="5"/>
      <c r="I7590" s="5"/>
      <c r="J7590" s="5"/>
      <c r="K7590" s="5"/>
      <c r="L7590" s="5"/>
    </row>
    <row r="7591" spans="1:12" ht="12" customHeight="1" x14ac:dyDescent="0.25">
      <c r="A7591" s="6"/>
      <c r="B7591" s="1"/>
      <c r="C7591" s="5"/>
      <c r="D7591" s="5"/>
      <c r="E7591" s="5"/>
      <c r="F7591" s="5"/>
      <c r="G7591" s="5"/>
      <c r="H7591" s="5"/>
      <c r="I7591" s="5"/>
      <c r="J7591" s="5"/>
      <c r="K7591" s="5"/>
      <c r="L7591" s="5"/>
    </row>
    <row r="7592" spans="1:12" ht="12" customHeight="1" x14ac:dyDescent="0.25">
      <c r="A7592" s="6"/>
      <c r="B7592" s="1"/>
      <c r="C7592" s="5"/>
      <c r="D7592" s="5"/>
      <c r="E7592" s="5"/>
      <c r="F7592" s="5"/>
      <c r="G7592" s="5"/>
      <c r="H7592" s="5"/>
      <c r="I7592" s="5"/>
      <c r="J7592" s="5"/>
      <c r="K7592" s="5"/>
      <c r="L7592" s="5"/>
    </row>
    <row r="7593" spans="1:12" ht="12" customHeight="1" x14ac:dyDescent="0.25">
      <c r="A7593" s="6"/>
      <c r="B7593" s="1"/>
      <c r="C7593" s="5"/>
      <c r="D7593" s="5"/>
      <c r="E7593" s="5"/>
      <c r="F7593" s="5"/>
      <c r="G7593" s="5"/>
      <c r="H7593" s="5"/>
      <c r="I7593" s="5"/>
      <c r="J7593" s="5"/>
      <c r="K7593" s="5"/>
      <c r="L7593" s="5"/>
    </row>
    <row r="7594" spans="1:12" ht="12" customHeight="1" x14ac:dyDescent="0.25">
      <c r="A7594" s="6"/>
      <c r="B7594" s="1"/>
      <c r="C7594" s="5"/>
      <c r="D7594" s="5"/>
      <c r="E7594" s="5"/>
      <c r="F7594" s="5"/>
      <c r="G7594" s="5"/>
      <c r="H7594" s="5"/>
      <c r="I7594" s="5"/>
      <c r="J7594" s="5"/>
      <c r="K7594" s="5"/>
      <c r="L7594" s="5"/>
    </row>
    <row r="7595" spans="1:12" ht="12" customHeight="1" x14ac:dyDescent="0.25">
      <c r="A7595" s="6"/>
      <c r="B7595" s="1"/>
      <c r="C7595" s="5"/>
      <c r="D7595" s="5"/>
      <c r="E7595" s="5"/>
      <c r="F7595" s="5"/>
      <c r="G7595" s="5"/>
      <c r="H7595" s="5"/>
      <c r="I7595" s="5"/>
      <c r="J7595" s="5"/>
      <c r="K7595" s="5"/>
      <c r="L7595" s="5"/>
    </row>
    <row r="7596" spans="1:12" ht="12" customHeight="1" x14ac:dyDescent="0.25">
      <c r="A7596" s="6"/>
      <c r="B7596" s="1"/>
      <c r="C7596" s="5"/>
      <c r="D7596" s="5"/>
      <c r="E7596" s="5"/>
      <c r="F7596" s="5"/>
      <c r="G7596" s="5"/>
      <c r="H7596" s="5"/>
      <c r="I7596" s="5"/>
      <c r="J7596" s="5"/>
      <c r="K7596" s="5"/>
      <c r="L7596" s="5"/>
    </row>
    <row r="7597" spans="1:12" ht="12" customHeight="1" x14ac:dyDescent="0.25">
      <c r="A7597" s="6"/>
      <c r="B7597" s="1"/>
      <c r="C7597" s="5"/>
      <c r="D7597" s="5"/>
      <c r="E7597" s="5"/>
      <c r="F7597" s="5"/>
      <c r="G7597" s="5"/>
      <c r="H7597" s="5"/>
      <c r="I7597" s="5"/>
      <c r="J7597" s="5"/>
      <c r="K7597" s="5"/>
      <c r="L7597" s="5"/>
    </row>
    <row r="7598" spans="1:12" ht="12" customHeight="1" x14ac:dyDescent="0.25">
      <c r="A7598" s="6"/>
      <c r="B7598" s="1"/>
      <c r="C7598" s="5"/>
      <c r="D7598" s="5"/>
      <c r="E7598" s="5"/>
      <c r="F7598" s="5"/>
      <c r="G7598" s="5"/>
      <c r="H7598" s="5"/>
      <c r="I7598" s="5"/>
      <c r="J7598" s="5"/>
      <c r="K7598" s="5"/>
      <c r="L7598" s="5"/>
    </row>
    <row r="7599" spans="1:12" ht="12" customHeight="1" x14ac:dyDescent="0.25">
      <c r="A7599" s="6"/>
      <c r="B7599" s="1"/>
      <c r="C7599" s="5"/>
      <c r="D7599" s="5"/>
      <c r="E7599" s="5"/>
      <c r="F7599" s="5"/>
      <c r="G7599" s="5"/>
      <c r="H7599" s="5"/>
      <c r="I7599" s="5"/>
      <c r="J7599" s="5"/>
      <c r="K7599" s="5"/>
      <c r="L7599" s="5"/>
    </row>
    <row r="7600" spans="1:12" ht="12" customHeight="1" x14ac:dyDescent="0.25">
      <c r="A7600" s="6"/>
      <c r="B7600" s="1"/>
      <c r="C7600" s="5"/>
      <c r="D7600" s="5"/>
      <c r="E7600" s="5"/>
      <c r="F7600" s="5"/>
      <c r="G7600" s="5"/>
      <c r="H7600" s="5"/>
      <c r="I7600" s="5"/>
      <c r="J7600" s="5"/>
      <c r="K7600" s="5"/>
      <c r="L7600" s="5"/>
    </row>
    <row r="7601" spans="1:12" ht="12" customHeight="1" x14ac:dyDescent="0.25">
      <c r="A7601" s="6"/>
      <c r="B7601" s="1"/>
      <c r="C7601" s="5"/>
      <c r="D7601" s="5"/>
      <c r="E7601" s="5"/>
      <c r="F7601" s="5"/>
      <c r="G7601" s="5"/>
      <c r="H7601" s="5"/>
      <c r="I7601" s="5"/>
      <c r="J7601" s="5"/>
      <c r="K7601" s="5"/>
      <c r="L7601" s="5"/>
    </row>
    <row r="7602" spans="1:12" ht="12" customHeight="1" x14ac:dyDescent="0.25">
      <c r="A7602" s="6"/>
      <c r="B7602" s="1"/>
      <c r="C7602" s="5"/>
      <c r="D7602" s="5"/>
      <c r="E7602" s="5"/>
      <c r="F7602" s="5"/>
      <c r="G7602" s="5"/>
      <c r="H7602" s="5"/>
      <c r="I7602" s="5"/>
      <c r="J7602" s="5"/>
      <c r="K7602" s="5"/>
      <c r="L7602" s="5"/>
    </row>
    <row r="7603" spans="1:12" ht="12" customHeight="1" x14ac:dyDescent="0.25">
      <c r="A7603" s="6"/>
      <c r="B7603" s="1"/>
      <c r="C7603" s="5"/>
      <c r="D7603" s="5"/>
      <c r="E7603" s="5"/>
      <c r="F7603" s="5"/>
      <c r="G7603" s="5"/>
      <c r="H7603" s="5"/>
      <c r="I7603" s="5"/>
      <c r="J7603" s="5"/>
      <c r="K7603" s="5"/>
      <c r="L7603" s="5"/>
    </row>
    <row r="7604" spans="1:12" ht="12" customHeight="1" x14ac:dyDescent="0.25">
      <c r="A7604" s="6"/>
      <c r="B7604" s="1"/>
      <c r="C7604" s="5"/>
      <c r="D7604" s="5"/>
      <c r="E7604" s="5"/>
      <c r="F7604" s="5"/>
      <c r="G7604" s="5"/>
      <c r="H7604" s="5"/>
      <c r="I7604" s="5"/>
      <c r="J7604" s="5"/>
      <c r="K7604" s="5"/>
      <c r="L7604" s="5"/>
    </row>
    <row r="7605" spans="1:12" ht="12" customHeight="1" x14ac:dyDescent="0.25">
      <c r="A7605" s="6"/>
      <c r="B7605" s="1"/>
      <c r="C7605" s="5"/>
      <c r="D7605" s="5"/>
      <c r="E7605" s="5"/>
      <c r="F7605" s="5"/>
      <c r="G7605" s="5"/>
      <c r="H7605" s="5"/>
      <c r="I7605" s="5"/>
      <c r="J7605" s="5"/>
      <c r="K7605" s="5"/>
      <c r="L7605" s="5"/>
    </row>
    <row r="7606" spans="1:12" ht="12" customHeight="1" x14ac:dyDescent="0.25">
      <c r="A7606" s="6"/>
      <c r="B7606" s="1"/>
      <c r="C7606" s="5"/>
      <c r="D7606" s="5"/>
      <c r="E7606" s="5"/>
      <c r="F7606" s="5"/>
      <c r="G7606" s="5"/>
      <c r="H7606" s="5"/>
      <c r="I7606" s="5"/>
      <c r="J7606" s="5"/>
      <c r="K7606" s="5"/>
      <c r="L7606" s="5"/>
    </row>
    <row r="7607" spans="1:12" ht="12" customHeight="1" x14ac:dyDescent="0.25">
      <c r="A7607" s="6"/>
      <c r="B7607" s="1"/>
      <c r="C7607" s="5"/>
      <c r="D7607" s="5"/>
      <c r="E7607" s="5"/>
      <c r="F7607" s="5"/>
      <c r="G7607" s="5"/>
      <c r="H7607" s="5"/>
      <c r="I7607" s="5"/>
      <c r="J7607" s="5"/>
      <c r="K7607" s="5"/>
      <c r="L7607" s="5"/>
    </row>
    <row r="7608" spans="1:12" ht="12" customHeight="1" x14ac:dyDescent="0.25">
      <c r="A7608" s="6"/>
      <c r="B7608" s="1"/>
      <c r="C7608" s="5"/>
      <c r="D7608" s="5"/>
      <c r="E7608" s="5"/>
      <c r="F7608" s="5"/>
      <c r="G7608" s="5"/>
      <c r="H7608" s="5"/>
      <c r="I7608" s="5"/>
      <c r="J7608" s="5"/>
      <c r="K7608" s="5"/>
      <c r="L7608" s="5"/>
    </row>
    <row r="7609" spans="1:12" ht="12" customHeight="1" x14ac:dyDescent="0.25">
      <c r="A7609" s="6"/>
      <c r="B7609" s="1"/>
      <c r="C7609" s="5"/>
      <c r="D7609" s="5"/>
      <c r="E7609" s="5"/>
      <c r="F7609" s="5"/>
      <c r="G7609" s="5"/>
      <c r="H7609" s="5"/>
      <c r="I7609" s="5"/>
      <c r="J7609" s="5"/>
      <c r="K7609" s="5"/>
      <c r="L7609" s="5"/>
    </row>
    <row r="7610" spans="1:12" ht="12" customHeight="1" x14ac:dyDescent="0.25">
      <c r="A7610" s="6"/>
      <c r="B7610" s="1"/>
      <c r="C7610" s="5"/>
      <c r="D7610" s="5"/>
      <c r="E7610" s="5"/>
      <c r="F7610" s="5"/>
      <c r="G7610" s="5"/>
      <c r="H7610" s="5"/>
      <c r="I7610" s="5"/>
      <c r="J7610" s="5"/>
      <c r="K7610" s="5"/>
      <c r="L7610" s="5"/>
    </row>
    <row r="7611" spans="1:12" ht="12" customHeight="1" x14ac:dyDescent="0.25">
      <c r="A7611" s="6"/>
      <c r="B7611" s="1"/>
      <c r="C7611" s="5"/>
      <c r="D7611" s="5"/>
      <c r="E7611" s="5"/>
      <c r="F7611" s="5"/>
      <c r="G7611" s="5"/>
      <c r="H7611" s="5"/>
      <c r="I7611" s="5"/>
      <c r="J7611" s="5"/>
      <c r="K7611" s="5"/>
      <c r="L7611" s="5"/>
    </row>
    <row r="7612" spans="1:12" ht="12" customHeight="1" x14ac:dyDescent="0.25">
      <c r="A7612" s="6"/>
      <c r="B7612" s="1"/>
      <c r="C7612" s="5"/>
      <c r="D7612" s="5"/>
      <c r="E7612" s="5"/>
      <c r="F7612" s="5"/>
      <c r="G7612" s="5"/>
      <c r="H7612" s="5"/>
      <c r="I7612" s="5"/>
      <c r="J7612" s="5"/>
      <c r="K7612" s="5"/>
      <c r="L7612" s="5"/>
    </row>
    <row r="7613" spans="1:12" ht="12" customHeight="1" x14ac:dyDescent="0.25">
      <c r="A7613" s="6"/>
      <c r="B7613" s="1"/>
      <c r="C7613" s="5"/>
      <c r="D7613" s="5"/>
      <c r="E7613" s="5"/>
      <c r="F7613" s="5"/>
      <c r="G7613" s="5"/>
      <c r="H7613" s="5"/>
      <c r="I7613" s="5"/>
      <c r="J7613" s="5"/>
      <c r="K7613" s="5"/>
      <c r="L7613" s="5"/>
    </row>
    <row r="7614" spans="1:12" ht="12" customHeight="1" x14ac:dyDescent="0.25">
      <c r="A7614" s="6"/>
      <c r="B7614" s="1"/>
      <c r="C7614" s="5"/>
      <c r="D7614" s="5"/>
      <c r="E7614" s="5"/>
      <c r="F7614" s="5"/>
      <c r="G7614" s="5"/>
      <c r="H7614" s="5"/>
      <c r="I7614" s="5"/>
      <c r="J7614" s="5"/>
      <c r="K7614" s="5"/>
      <c r="L7614" s="5"/>
    </row>
    <row r="7615" spans="1:12" ht="12" customHeight="1" x14ac:dyDescent="0.25">
      <c r="A7615" s="6"/>
      <c r="B7615" s="1"/>
      <c r="C7615" s="5"/>
      <c r="D7615" s="5"/>
      <c r="E7615" s="5"/>
      <c r="F7615" s="5"/>
      <c r="G7615" s="5"/>
      <c r="H7615" s="5"/>
      <c r="I7615" s="5"/>
      <c r="J7615" s="5"/>
      <c r="K7615" s="5"/>
      <c r="L7615" s="5"/>
    </row>
    <row r="7616" spans="1:12" ht="12" customHeight="1" x14ac:dyDescent="0.25">
      <c r="A7616" s="6"/>
      <c r="B7616" s="1"/>
      <c r="C7616" s="5"/>
      <c r="D7616" s="5"/>
      <c r="E7616" s="5"/>
      <c r="F7616" s="5"/>
      <c r="G7616" s="5"/>
      <c r="H7616" s="5"/>
      <c r="I7616" s="5"/>
      <c r="J7616" s="5"/>
      <c r="K7616" s="5"/>
      <c r="L7616" s="5"/>
    </row>
    <row r="7617" spans="1:12" ht="12" customHeight="1" x14ac:dyDescent="0.25">
      <c r="A7617" s="6"/>
      <c r="B7617" s="1"/>
      <c r="C7617" s="5"/>
      <c r="D7617" s="5"/>
      <c r="E7617" s="5"/>
      <c r="F7617" s="5"/>
      <c r="G7617" s="5"/>
      <c r="H7617" s="5"/>
      <c r="I7617" s="5"/>
      <c r="J7617" s="5"/>
      <c r="K7617" s="5"/>
      <c r="L7617" s="5"/>
    </row>
    <row r="7618" spans="1:12" ht="12" customHeight="1" x14ac:dyDescent="0.25">
      <c r="A7618" s="6"/>
      <c r="B7618" s="1"/>
      <c r="C7618" s="5"/>
      <c r="D7618" s="5"/>
      <c r="E7618" s="5"/>
      <c r="F7618" s="5"/>
      <c r="G7618" s="5"/>
      <c r="H7618" s="5"/>
      <c r="I7618" s="5"/>
      <c r="J7618" s="5"/>
      <c r="K7618" s="5"/>
      <c r="L7618" s="5"/>
    </row>
    <row r="7619" spans="1:12" ht="12" customHeight="1" x14ac:dyDescent="0.25">
      <c r="A7619" s="6"/>
      <c r="B7619" s="1"/>
      <c r="C7619" s="5"/>
      <c r="D7619" s="5"/>
      <c r="E7619" s="5"/>
      <c r="F7619" s="5"/>
      <c r="G7619" s="5"/>
      <c r="H7619" s="5"/>
      <c r="I7619" s="5"/>
      <c r="J7619" s="5"/>
      <c r="K7619" s="5"/>
      <c r="L7619" s="5"/>
    </row>
    <row r="7620" spans="1:12" ht="12" customHeight="1" x14ac:dyDescent="0.25">
      <c r="A7620" s="6"/>
      <c r="B7620" s="1"/>
      <c r="C7620" s="5"/>
      <c r="D7620" s="5"/>
      <c r="E7620" s="5"/>
      <c r="F7620" s="5"/>
      <c r="G7620" s="5"/>
      <c r="H7620" s="5"/>
      <c r="I7620" s="5"/>
      <c r="J7620" s="5"/>
      <c r="K7620" s="5"/>
      <c r="L7620" s="5"/>
    </row>
    <row r="7621" spans="1:12" ht="12" customHeight="1" x14ac:dyDescent="0.25">
      <c r="A7621" s="6"/>
      <c r="B7621" s="1"/>
      <c r="C7621" s="5"/>
      <c r="D7621" s="5"/>
      <c r="E7621" s="5"/>
      <c r="F7621" s="5"/>
      <c r="G7621" s="5"/>
      <c r="H7621" s="5"/>
      <c r="I7621" s="5"/>
      <c r="J7621" s="5"/>
      <c r="K7621" s="5"/>
      <c r="L7621" s="5"/>
    </row>
    <row r="7622" spans="1:12" ht="12" customHeight="1" x14ac:dyDescent="0.25">
      <c r="A7622" s="6"/>
      <c r="B7622" s="1"/>
      <c r="C7622" s="5"/>
      <c r="D7622" s="5"/>
      <c r="E7622" s="5"/>
      <c r="F7622" s="5"/>
      <c r="G7622" s="5"/>
      <c r="H7622" s="5"/>
      <c r="I7622" s="5"/>
      <c r="J7622" s="5"/>
      <c r="K7622" s="5"/>
      <c r="L7622" s="5"/>
    </row>
    <row r="7623" spans="1:12" ht="12" customHeight="1" x14ac:dyDescent="0.25">
      <c r="A7623" s="6"/>
      <c r="B7623" s="1"/>
      <c r="C7623" s="5"/>
      <c r="D7623" s="5"/>
      <c r="E7623" s="5"/>
      <c r="F7623" s="5"/>
      <c r="G7623" s="5"/>
      <c r="H7623" s="5"/>
      <c r="I7623" s="5"/>
      <c r="J7623" s="5"/>
      <c r="K7623" s="5"/>
      <c r="L7623" s="5"/>
    </row>
    <row r="7624" spans="1:12" ht="12" customHeight="1" x14ac:dyDescent="0.25">
      <c r="A7624" s="6"/>
      <c r="B7624" s="1"/>
      <c r="C7624" s="5"/>
      <c r="D7624" s="5"/>
      <c r="E7624" s="5"/>
      <c r="F7624" s="5"/>
      <c r="G7624" s="5"/>
      <c r="H7624" s="5"/>
      <c r="I7624" s="5"/>
      <c r="J7624" s="5"/>
      <c r="K7624" s="5"/>
      <c r="L7624" s="5"/>
    </row>
    <row r="7625" spans="1:12" ht="12" customHeight="1" x14ac:dyDescent="0.25">
      <c r="A7625" s="6"/>
      <c r="B7625" s="1"/>
      <c r="C7625" s="5"/>
      <c r="D7625" s="5"/>
      <c r="E7625" s="5"/>
      <c r="F7625" s="5"/>
      <c r="G7625" s="5"/>
      <c r="H7625" s="5"/>
      <c r="I7625" s="5"/>
      <c r="J7625" s="5"/>
      <c r="K7625" s="5"/>
      <c r="L7625" s="5"/>
    </row>
    <row r="7626" spans="1:12" ht="12" customHeight="1" x14ac:dyDescent="0.25">
      <c r="A7626" s="6"/>
      <c r="B7626" s="1"/>
      <c r="C7626" s="5"/>
      <c r="D7626" s="5"/>
      <c r="E7626" s="5"/>
      <c r="F7626" s="5"/>
      <c r="G7626" s="5"/>
      <c r="H7626" s="5"/>
      <c r="I7626" s="5"/>
      <c r="J7626" s="5"/>
      <c r="K7626" s="5"/>
      <c r="L7626" s="5"/>
    </row>
    <row r="7627" spans="1:12" ht="12" customHeight="1" x14ac:dyDescent="0.25">
      <c r="A7627" s="6"/>
      <c r="B7627" s="1"/>
      <c r="C7627" s="5"/>
      <c r="D7627" s="5"/>
      <c r="E7627" s="5"/>
      <c r="F7627" s="5"/>
      <c r="G7627" s="5"/>
      <c r="H7627" s="5"/>
      <c r="I7627" s="5"/>
      <c r="J7627" s="5"/>
      <c r="K7627" s="5"/>
      <c r="L7627" s="5"/>
    </row>
    <row r="7628" spans="1:12" ht="12" customHeight="1" x14ac:dyDescent="0.25">
      <c r="A7628" s="6"/>
      <c r="B7628" s="1"/>
      <c r="C7628" s="5"/>
      <c r="D7628" s="5"/>
      <c r="E7628" s="5"/>
      <c r="F7628" s="5"/>
      <c r="G7628" s="5"/>
      <c r="H7628" s="5"/>
      <c r="I7628" s="5"/>
      <c r="J7628" s="5"/>
      <c r="K7628" s="5"/>
      <c r="L7628" s="5"/>
    </row>
    <row r="7629" spans="1:12" ht="12" customHeight="1" x14ac:dyDescent="0.25">
      <c r="A7629" s="6"/>
      <c r="B7629" s="1"/>
      <c r="C7629" s="5"/>
      <c r="D7629" s="5"/>
      <c r="E7629" s="5"/>
      <c r="F7629" s="5"/>
      <c r="G7629" s="5"/>
      <c r="H7629" s="5"/>
      <c r="I7629" s="5"/>
      <c r="J7629" s="5"/>
      <c r="K7629" s="5"/>
      <c r="L7629" s="5"/>
    </row>
    <row r="7630" spans="1:12" ht="12" customHeight="1" x14ac:dyDescent="0.25">
      <c r="A7630" s="6"/>
      <c r="B7630" s="1"/>
      <c r="C7630" s="5"/>
      <c r="D7630" s="5"/>
      <c r="E7630" s="5"/>
      <c r="F7630" s="5"/>
      <c r="G7630" s="5"/>
      <c r="H7630" s="5"/>
      <c r="I7630" s="5"/>
      <c r="J7630" s="5"/>
      <c r="K7630" s="5"/>
      <c r="L7630" s="5"/>
    </row>
    <row r="7631" spans="1:12" ht="12" customHeight="1" x14ac:dyDescent="0.25">
      <c r="A7631" s="6"/>
      <c r="B7631" s="1"/>
      <c r="C7631" s="5"/>
      <c r="D7631" s="5"/>
      <c r="E7631" s="5"/>
      <c r="F7631" s="5"/>
      <c r="G7631" s="5"/>
      <c r="H7631" s="5"/>
      <c r="I7631" s="5"/>
      <c r="J7631" s="5"/>
      <c r="K7631" s="5"/>
      <c r="L7631" s="5"/>
    </row>
    <row r="7632" spans="1:12" ht="12" customHeight="1" x14ac:dyDescent="0.25">
      <c r="A7632" s="6"/>
      <c r="B7632" s="1"/>
      <c r="C7632" s="5"/>
      <c r="D7632" s="5"/>
      <c r="E7632" s="5"/>
      <c r="F7632" s="5"/>
      <c r="G7632" s="5"/>
      <c r="H7632" s="5"/>
      <c r="I7632" s="5"/>
      <c r="J7632" s="5"/>
      <c r="K7632" s="5"/>
      <c r="L7632" s="5"/>
    </row>
    <row r="7633" spans="1:12" ht="12" customHeight="1" x14ac:dyDescent="0.25">
      <c r="A7633" s="6"/>
      <c r="B7633" s="1"/>
      <c r="C7633" s="5"/>
      <c r="D7633" s="5"/>
      <c r="E7633" s="5"/>
      <c r="F7633" s="5"/>
      <c r="G7633" s="5"/>
      <c r="H7633" s="5"/>
      <c r="I7633" s="5"/>
      <c r="J7633" s="5"/>
      <c r="K7633" s="5"/>
      <c r="L7633" s="5"/>
    </row>
    <row r="7634" spans="1:12" ht="12" customHeight="1" x14ac:dyDescent="0.25">
      <c r="A7634" s="6"/>
      <c r="B7634" s="1"/>
      <c r="C7634" s="5"/>
      <c r="D7634" s="5"/>
      <c r="E7634" s="5"/>
      <c r="F7634" s="5"/>
      <c r="G7634" s="5"/>
      <c r="H7634" s="5"/>
      <c r="I7634" s="5"/>
      <c r="J7634" s="5"/>
      <c r="K7634" s="5"/>
      <c r="L7634" s="5"/>
    </row>
    <row r="7635" spans="1:12" ht="12" customHeight="1" x14ac:dyDescent="0.25">
      <c r="A7635" s="6"/>
      <c r="B7635" s="1"/>
      <c r="C7635" s="5"/>
      <c r="D7635" s="5"/>
      <c r="E7635" s="5"/>
      <c r="F7635" s="5"/>
      <c r="G7635" s="5"/>
      <c r="H7635" s="5"/>
      <c r="I7635" s="5"/>
      <c r="J7635" s="5"/>
      <c r="K7635" s="5"/>
      <c r="L7635" s="5"/>
    </row>
    <row r="7636" spans="1:12" ht="12" customHeight="1" x14ac:dyDescent="0.25">
      <c r="A7636" s="6"/>
      <c r="B7636" s="1"/>
      <c r="C7636" s="5"/>
      <c r="D7636" s="5"/>
      <c r="E7636" s="5"/>
      <c r="F7636" s="5"/>
      <c r="G7636" s="5"/>
      <c r="H7636" s="5"/>
      <c r="I7636" s="5"/>
      <c r="J7636" s="5"/>
      <c r="K7636" s="5"/>
      <c r="L7636" s="5"/>
    </row>
    <row r="7637" spans="1:12" ht="12" customHeight="1" x14ac:dyDescent="0.25">
      <c r="A7637" s="6"/>
      <c r="B7637" s="1"/>
      <c r="C7637" s="5"/>
      <c r="D7637" s="5"/>
      <c r="E7637" s="5"/>
      <c r="F7637" s="5"/>
      <c r="G7637" s="5"/>
      <c r="H7637" s="5"/>
      <c r="I7637" s="5"/>
      <c r="J7637" s="5"/>
      <c r="K7637" s="5"/>
      <c r="L7637" s="5"/>
    </row>
    <row r="7638" spans="1:12" ht="12" customHeight="1" x14ac:dyDescent="0.25">
      <c r="A7638" s="6"/>
      <c r="B7638" s="1"/>
      <c r="C7638" s="5"/>
      <c r="D7638" s="5"/>
      <c r="E7638" s="5"/>
      <c r="F7638" s="5"/>
      <c r="G7638" s="5"/>
      <c r="H7638" s="5"/>
      <c r="I7638" s="5"/>
      <c r="J7638" s="5"/>
      <c r="K7638" s="5"/>
      <c r="L7638" s="5"/>
    </row>
    <row r="7639" spans="1:12" ht="12" customHeight="1" x14ac:dyDescent="0.25">
      <c r="A7639" s="6"/>
      <c r="B7639" s="1"/>
      <c r="C7639" s="5"/>
      <c r="D7639" s="5"/>
      <c r="E7639" s="5"/>
      <c r="F7639" s="5"/>
      <c r="G7639" s="5"/>
      <c r="H7639" s="5"/>
      <c r="I7639" s="5"/>
      <c r="J7639" s="5"/>
      <c r="K7639" s="5"/>
      <c r="L7639" s="5"/>
    </row>
    <row r="7640" spans="1:12" ht="12" customHeight="1" x14ac:dyDescent="0.25">
      <c r="A7640" s="6"/>
      <c r="B7640" s="1"/>
      <c r="C7640" s="5"/>
      <c r="D7640" s="5"/>
      <c r="E7640" s="5"/>
      <c r="F7640" s="5"/>
      <c r="G7640" s="5"/>
      <c r="H7640" s="5"/>
      <c r="I7640" s="5"/>
      <c r="J7640" s="5"/>
      <c r="K7640" s="5"/>
      <c r="L7640" s="5"/>
    </row>
    <row r="7641" spans="1:12" ht="12" customHeight="1" x14ac:dyDescent="0.25">
      <c r="A7641" s="6"/>
      <c r="B7641" s="1"/>
      <c r="C7641" s="5"/>
      <c r="D7641" s="5"/>
      <c r="E7641" s="5"/>
      <c r="F7641" s="5"/>
      <c r="G7641" s="5"/>
      <c r="H7641" s="5"/>
      <c r="I7641" s="5"/>
      <c r="J7641" s="5"/>
      <c r="K7641" s="5"/>
      <c r="L7641" s="5"/>
    </row>
    <row r="7642" spans="1:12" ht="12" customHeight="1" x14ac:dyDescent="0.25">
      <c r="A7642" s="6"/>
      <c r="B7642" s="1"/>
      <c r="C7642" s="5"/>
      <c r="D7642" s="5"/>
      <c r="E7642" s="5"/>
      <c r="F7642" s="5"/>
      <c r="G7642" s="5"/>
      <c r="H7642" s="5"/>
      <c r="I7642" s="5"/>
      <c r="J7642" s="5"/>
      <c r="K7642" s="5"/>
      <c r="L7642" s="5"/>
    </row>
    <row r="7643" spans="1:12" ht="12" customHeight="1" x14ac:dyDescent="0.25">
      <c r="A7643" s="6"/>
      <c r="B7643" s="1"/>
      <c r="C7643" s="5"/>
      <c r="D7643" s="5"/>
      <c r="E7643" s="5"/>
      <c r="F7643" s="5"/>
      <c r="G7643" s="5"/>
      <c r="H7643" s="5"/>
      <c r="I7643" s="5"/>
      <c r="J7643" s="5"/>
      <c r="K7643" s="5"/>
      <c r="L7643" s="5"/>
    </row>
    <row r="7644" spans="1:12" ht="12" customHeight="1" x14ac:dyDescent="0.25">
      <c r="A7644" s="6"/>
      <c r="B7644" s="1"/>
      <c r="C7644" s="5"/>
      <c r="D7644" s="5"/>
      <c r="E7644" s="5"/>
      <c r="F7644" s="5"/>
      <c r="G7644" s="5"/>
      <c r="H7644" s="5"/>
      <c r="I7644" s="5"/>
      <c r="J7644" s="5"/>
      <c r="K7644" s="5"/>
      <c r="L7644" s="5"/>
    </row>
    <row r="7645" spans="1:12" ht="12" customHeight="1" x14ac:dyDescent="0.25">
      <c r="A7645" s="6"/>
      <c r="B7645" s="1"/>
      <c r="C7645" s="5"/>
      <c r="D7645" s="5"/>
      <c r="E7645" s="5"/>
      <c r="F7645" s="5"/>
      <c r="G7645" s="5"/>
      <c r="H7645" s="5"/>
      <c r="I7645" s="5"/>
      <c r="J7645" s="5"/>
      <c r="K7645" s="5"/>
      <c r="L7645" s="5"/>
    </row>
    <row r="7646" spans="1:12" ht="12" customHeight="1" x14ac:dyDescent="0.25">
      <c r="A7646" s="6"/>
      <c r="B7646" s="1"/>
      <c r="C7646" s="5"/>
      <c r="D7646" s="5"/>
      <c r="E7646" s="5"/>
      <c r="F7646" s="5"/>
      <c r="G7646" s="5"/>
      <c r="H7646" s="5"/>
      <c r="I7646" s="5"/>
      <c r="J7646" s="5"/>
      <c r="K7646" s="5"/>
      <c r="L7646" s="5"/>
    </row>
    <row r="7647" spans="1:12" ht="12" customHeight="1" x14ac:dyDescent="0.25">
      <c r="A7647" s="6"/>
      <c r="B7647" s="1"/>
      <c r="C7647" s="5"/>
      <c r="D7647" s="5"/>
      <c r="E7647" s="5"/>
      <c r="F7647" s="5"/>
      <c r="G7647" s="5"/>
      <c r="H7647" s="5"/>
      <c r="I7647" s="5"/>
      <c r="J7647" s="5"/>
      <c r="K7647" s="5"/>
      <c r="L7647" s="5"/>
    </row>
    <row r="7648" spans="1:12" ht="12" customHeight="1" x14ac:dyDescent="0.25">
      <c r="A7648" s="6"/>
      <c r="B7648" s="1"/>
      <c r="C7648" s="5"/>
      <c r="D7648" s="5"/>
      <c r="E7648" s="5"/>
      <c r="F7648" s="5"/>
      <c r="G7648" s="5"/>
      <c r="H7648" s="5"/>
      <c r="I7648" s="5"/>
      <c r="J7648" s="5"/>
      <c r="K7648" s="5"/>
      <c r="L7648" s="5"/>
    </row>
    <row r="7649" spans="1:12" ht="12" customHeight="1" x14ac:dyDescent="0.25">
      <c r="A7649" s="6"/>
      <c r="B7649" s="1"/>
      <c r="C7649" s="5"/>
      <c r="D7649" s="5"/>
      <c r="E7649" s="5"/>
      <c r="F7649" s="5"/>
      <c r="G7649" s="5"/>
      <c r="H7649" s="5"/>
      <c r="I7649" s="5"/>
      <c r="J7649" s="5"/>
      <c r="K7649" s="5"/>
      <c r="L7649" s="5"/>
    </row>
    <row r="7650" spans="1:12" ht="12" customHeight="1" x14ac:dyDescent="0.25">
      <c r="A7650" s="6"/>
      <c r="B7650" s="1"/>
      <c r="C7650" s="5"/>
      <c r="D7650" s="5"/>
      <c r="E7650" s="5"/>
      <c r="F7650" s="5"/>
      <c r="G7650" s="5"/>
      <c r="H7650" s="5"/>
      <c r="I7650" s="5"/>
      <c r="J7650" s="5"/>
      <c r="K7650" s="5"/>
      <c r="L7650" s="5"/>
    </row>
    <row r="7651" spans="1:12" ht="12" customHeight="1" x14ac:dyDescent="0.25">
      <c r="A7651" s="6"/>
      <c r="B7651" s="1"/>
      <c r="C7651" s="5"/>
      <c r="D7651" s="5"/>
      <c r="E7651" s="5"/>
      <c r="F7651" s="5"/>
      <c r="G7651" s="5"/>
      <c r="H7651" s="5"/>
      <c r="I7651" s="5"/>
      <c r="J7651" s="5"/>
      <c r="K7651" s="5"/>
      <c r="L7651" s="5"/>
    </row>
    <row r="7652" spans="1:12" ht="12" customHeight="1" x14ac:dyDescent="0.25">
      <c r="A7652" s="6"/>
      <c r="B7652" s="1"/>
      <c r="C7652" s="5"/>
      <c r="D7652" s="5"/>
      <c r="E7652" s="5"/>
      <c r="F7652" s="5"/>
      <c r="G7652" s="5"/>
      <c r="H7652" s="5"/>
      <c r="I7652" s="5"/>
      <c r="J7652" s="5"/>
      <c r="K7652" s="5"/>
      <c r="L7652" s="5"/>
    </row>
    <row r="7653" spans="1:12" ht="12" customHeight="1" x14ac:dyDescent="0.25">
      <c r="A7653" s="6"/>
      <c r="B7653" s="1"/>
      <c r="C7653" s="5"/>
      <c r="D7653" s="5"/>
      <c r="E7653" s="5"/>
      <c r="F7653" s="5"/>
      <c r="G7653" s="5"/>
      <c r="H7653" s="5"/>
      <c r="I7653" s="5"/>
      <c r="J7653" s="5"/>
      <c r="K7653" s="5"/>
      <c r="L7653" s="5"/>
    </row>
    <row r="7654" spans="1:12" ht="12" customHeight="1" x14ac:dyDescent="0.25">
      <c r="A7654" s="6"/>
      <c r="B7654" s="1"/>
      <c r="C7654" s="5"/>
      <c r="D7654" s="5"/>
      <c r="E7654" s="5"/>
      <c r="F7654" s="5"/>
      <c r="G7654" s="5"/>
      <c r="H7654" s="5"/>
      <c r="I7654" s="5"/>
      <c r="J7654" s="5"/>
      <c r="K7654" s="5"/>
      <c r="L7654" s="5"/>
    </row>
    <row r="7655" spans="1:12" ht="12" customHeight="1" x14ac:dyDescent="0.25">
      <c r="A7655" s="6"/>
      <c r="B7655" s="1"/>
      <c r="C7655" s="5"/>
      <c r="D7655" s="5"/>
      <c r="E7655" s="5"/>
      <c r="F7655" s="5"/>
      <c r="G7655" s="5"/>
      <c r="H7655" s="5"/>
      <c r="I7655" s="5"/>
      <c r="J7655" s="5"/>
      <c r="K7655" s="5"/>
      <c r="L7655" s="5"/>
    </row>
    <row r="7656" spans="1:12" ht="12" customHeight="1" x14ac:dyDescent="0.25">
      <c r="A7656" s="6"/>
      <c r="B7656" s="1"/>
      <c r="C7656" s="5"/>
      <c r="D7656" s="5"/>
      <c r="E7656" s="5"/>
      <c r="F7656" s="5"/>
      <c r="G7656" s="5"/>
      <c r="H7656" s="5"/>
      <c r="I7656" s="5"/>
      <c r="J7656" s="5"/>
      <c r="K7656" s="5"/>
      <c r="L7656" s="5"/>
    </row>
    <row r="7657" spans="1:12" ht="12" customHeight="1" x14ac:dyDescent="0.25">
      <c r="A7657" s="6"/>
      <c r="B7657" s="1"/>
      <c r="C7657" s="5"/>
      <c r="D7657" s="5"/>
      <c r="E7657" s="5"/>
      <c r="F7657" s="5"/>
      <c r="G7657" s="5"/>
      <c r="H7657" s="5"/>
      <c r="I7657" s="5"/>
      <c r="J7657" s="5"/>
      <c r="K7657" s="5"/>
      <c r="L7657" s="5"/>
    </row>
    <row r="7658" spans="1:12" ht="12" customHeight="1" x14ac:dyDescent="0.25">
      <c r="A7658" s="6"/>
      <c r="B7658" s="1"/>
      <c r="C7658" s="5"/>
      <c r="D7658" s="5"/>
      <c r="E7658" s="5"/>
      <c r="F7658" s="5"/>
      <c r="G7658" s="5"/>
      <c r="H7658" s="5"/>
      <c r="I7658" s="5"/>
      <c r="J7658" s="5"/>
      <c r="K7658" s="5"/>
      <c r="L7658" s="5"/>
    </row>
    <row r="7659" spans="1:12" ht="12" customHeight="1" x14ac:dyDescent="0.25">
      <c r="A7659" s="6"/>
      <c r="B7659" s="1"/>
      <c r="C7659" s="5"/>
      <c r="D7659" s="5"/>
      <c r="E7659" s="5"/>
      <c r="F7659" s="5"/>
      <c r="G7659" s="5"/>
      <c r="H7659" s="5"/>
      <c r="I7659" s="5"/>
      <c r="J7659" s="5"/>
      <c r="K7659" s="5"/>
      <c r="L7659" s="5"/>
    </row>
    <row r="7660" spans="1:12" ht="12" customHeight="1" x14ac:dyDescent="0.25">
      <c r="A7660" s="6"/>
      <c r="B7660" s="1"/>
      <c r="C7660" s="5"/>
      <c r="D7660" s="5"/>
      <c r="E7660" s="5"/>
      <c r="F7660" s="5"/>
      <c r="G7660" s="5"/>
      <c r="H7660" s="5"/>
      <c r="I7660" s="5"/>
      <c r="J7660" s="5"/>
      <c r="K7660" s="5"/>
      <c r="L7660" s="5"/>
    </row>
    <row r="7661" spans="1:12" ht="12" customHeight="1" x14ac:dyDescent="0.25">
      <c r="A7661" s="6"/>
      <c r="B7661" s="1"/>
      <c r="C7661" s="5"/>
      <c r="D7661" s="5"/>
      <c r="E7661" s="5"/>
      <c r="F7661" s="5"/>
      <c r="G7661" s="5"/>
      <c r="H7661" s="5"/>
      <c r="I7661" s="5"/>
      <c r="J7661" s="5"/>
      <c r="K7661" s="5"/>
      <c r="L7661" s="5"/>
    </row>
    <row r="7662" spans="1:12" ht="12" customHeight="1" x14ac:dyDescent="0.25">
      <c r="A7662" s="6"/>
      <c r="B7662" s="1"/>
      <c r="C7662" s="5"/>
      <c r="D7662" s="5"/>
      <c r="E7662" s="5"/>
      <c r="F7662" s="5"/>
      <c r="G7662" s="5"/>
      <c r="H7662" s="5"/>
      <c r="I7662" s="5"/>
      <c r="J7662" s="5"/>
      <c r="K7662" s="5"/>
      <c r="L7662" s="5"/>
    </row>
    <row r="7663" spans="1:12" ht="12" customHeight="1" x14ac:dyDescent="0.25">
      <c r="A7663" s="6"/>
      <c r="B7663" s="1"/>
      <c r="C7663" s="5"/>
      <c r="D7663" s="5"/>
      <c r="E7663" s="5"/>
      <c r="F7663" s="5"/>
      <c r="G7663" s="5"/>
      <c r="H7663" s="5"/>
      <c r="I7663" s="5"/>
      <c r="J7663" s="5"/>
      <c r="K7663" s="5"/>
      <c r="L7663" s="5"/>
    </row>
    <row r="7664" spans="1:12" ht="12" customHeight="1" x14ac:dyDescent="0.25">
      <c r="A7664" s="6"/>
      <c r="B7664" s="1"/>
      <c r="C7664" s="5"/>
      <c r="D7664" s="5"/>
      <c r="E7664" s="5"/>
      <c r="F7664" s="5"/>
      <c r="G7664" s="5"/>
      <c r="H7664" s="5"/>
      <c r="I7664" s="5"/>
      <c r="J7664" s="5"/>
      <c r="K7664" s="5"/>
      <c r="L7664" s="5"/>
    </row>
    <row r="7665" spans="1:12" ht="12" customHeight="1" x14ac:dyDescent="0.25">
      <c r="A7665" s="6"/>
      <c r="B7665" s="1"/>
      <c r="C7665" s="5"/>
      <c r="D7665" s="5"/>
      <c r="E7665" s="5"/>
      <c r="F7665" s="5"/>
      <c r="G7665" s="5"/>
      <c r="H7665" s="5"/>
      <c r="I7665" s="5"/>
      <c r="J7665" s="5"/>
      <c r="K7665" s="5"/>
      <c r="L7665" s="5"/>
    </row>
    <row r="7666" spans="1:12" ht="12" customHeight="1" x14ac:dyDescent="0.25">
      <c r="A7666" s="6"/>
      <c r="B7666" s="1"/>
      <c r="C7666" s="5"/>
      <c r="D7666" s="5"/>
      <c r="E7666" s="5"/>
      <c r="F7666" s="5"/>
      <c r="G7666" s="5"/>
      <c r="H7666" s="5"/>
      <c r="I7666" s="5"/>
      <c r="J7666" s="5"/>
      <c r="K7666" s="5"/>
      <c r="L7666" s="5"/>
    </row>
    <row r="7667" spans="1:12" ht="12" customHeight="1" x14ac:dyDescent="0.25">
      <c r="A7667" s="6"/>
      <c r="B7667" s="1"/>
      <c r="C7667" s="5"/>
      <c r="D7667" s="5"/>
      <c r="E7667" s="5"/>
      <c r="F7667" s="5"/>
      <c r="G7667" s="5"/>
      <c r="H7667" s="5"/>
      <c r="I7667" s="5"/>
      <c r="J7667" s="5"/>
      <c r="K7667" s="5"/>
      <c r="L7667" s="5"/>
    </row>
    <row r="7668" spans="1:12" ht="12" customHeight="1" x14ac:dyDescent="0.25">
      <c r="A7668" s="6"/>
      <c r="B7668" s="1"/>
      <c r="C7668" s="5"/>
      <c r="D7668" s="5"/>
      <c r="E7668" s="5"/>
      <c r="F7668" s="5"/>
      <c r="G7668" s="5"/>
      <c r="H7668" s="5"/>
      <c r="I7668" s="5"/>
      <c r="J7668" s="5"/>
      <c r="K7668" s="5"/>
      <c r="L7668" s="5"/>
    </row>
    <row r="7669" spans="1:12" ht="12" customHeight="1" x14ac:dyDescent="0.25">
      <c r="A7669" s="6"/>
      <c r="B7669" s="1"/>
      <c r="C7669" s="5"/>
      <c r="D7669" s="5"/>
      <c r="E7669" s="5"/>
      <c r="F7669" s="5"/>
      <c r="G7669" s="5"/>
      <c r="H7669" s="5"/>
      <c r="I7669" s="5"/>
      <c r="J7669" s="5"/>
      <c r="K7669" s="5"/>
      <c r="L7669" s="5"/>
    </row>
    <row r="7670" spans="1:12" ht="12" customHeight="1" x14ac:dyDescent="0.25">
      <c r="A7670" s="6"/>
      <c r="B7670" s="1"/>
      <c r="C7670" s="5"/>
      <c r="D7670" s="5"/>
      <c r="E7670" s="5"/>
      <c r="F7670" s="5"/>
      <c r="G7670" s="5"/>
      <c r="H7670" s="5"/>
      <c r="I7670" s="5"/>
      <c r="J7670" s="5"/>
      <c r="K7670" s="5"/>
      <c r="L7670" s="5"/>
    </row>
    <row r="7671" spans="1:12" ht="12" customHeight="1" x14ac:dyDescent="0.25">
      <c r="A7671" s="6"/>
      <c r="B7671" s="1"/>
      <c r="C7671" s="5"/>
      <c r="D7671" s="5"/>
      <c r="E7671" s="5"/>
      <c r="F7671" s="5"/>
      <c r="G7671" s="5"/>
      <c r="H7671" s="5"/>
      <c r="I7671" s="5"/>
      <c r="J7671" s="5"/>
      <c r="K7671" s="5"/>
      <c r="L7671" s="5"/>
    </row>
    <row r="7672" spans="1:12" ht="12" customHeight="1" x14ac:dyDescent="0.25">
      <c r="A7672" s="6"/>
      <c r="B7672" s="1"/>
      <c r="C7672" s="5"/>
      <c r="D7672" s="5"/>
      <c r="E7672" s="5"/>
      <c r="F7672" s="5"/>
      <c r="G7672" s="5"/>
      <c r="H7672" s="5"/>
      <c r="I7672" s="5"/>
      <c r="J7672" s="5"/>
      <c r="K7672" s="5"/>
      <c r="L7672" s="5"/>
    </row>
    <row r="7673" spans="1:12" ht="12" customHeight="1" x14ac:dyDescent="0.25">
      <c r="A7673" s="6"/>
      <c r="B7673" s="1"/>
      <c r="C7673" s="5"/>
      <c r="D7673" s="5"/>
      <c r="E7673" s="5"/>
      <c r="F7673" s="5"/>
      <c r="G7673" s="5"/>
      <c r="H7673" s="5"/>
      <c r="I7673" s="5"/>
      <c r="J7673" s="5"/>
      <c r="K7673" s="5"/>
      <c r="L7673" s="5"/>
    </row>
    <row r="7674" spans="1:12" ht="12" customHeight="1" x14ac:dyDescent="0.25">
      <c r="A7674" s="6"/>
      <c r="B7674" s="1"/>
      <c r="C7674" s="5"/>
      <c r="D7674" s="5"/>
      <c r="E7674" s="5"/>
      <c r="F7674" s="5"/>
      <c r="G7674" s="5"/>
      <c r="H7674" s="5"/>
      <c r="I7674" s="5"/>
      <c r="J7674" s="5"/>
      <c r="K7674" s="5"/>
      <c r="L7674" s="5"/>
    </row>
    <row r="7675" spans="1:12" ht="12" customHeight="1" x14ac:dyDescent="0.25">
      <c r="A7675" s="6"/>
      <c r="B7675" s="1"/>
      <c r="C7675" s="5"/>
      <c r="D7675" s="5"/>
      <c r="E7675" s="5"/>
      <c r="F7675" s="5"/>
      <c r="G7675" s="5"/>
      <c r="H7675" s="5"/>
      <c r="I7675" s="5"/>
      <c r="J7675" s="5"/>
      <c r="K7675" s="5"/>
      <c r="L7675" s="5"/>
    </row>
    <row r="7676" spans="1:12" ht="12" customHeight="1" x14ac:dyDescent="0.25">
      <c r="A7676" s="6"/>
      <c r="B7676" s="1"/>
      <c r="C7676" s="5"/>
      <c r="D7676" s="5"/>
      <c r="E7676" s="5"/>
      <c r="F7676" s="5"/>
      <c r="G7676" s="5"/>
      <c r="H7676" s="5"/>
      <c r="I7676" s="5"/>
      <c r="J7676" s="5"/>
      <c r="K7676" s="5"/>
      <c r="L7676" s="5"/>
    </row>
    <row r="7677" spans="1:12" ht="12" customHeight="1" x14ac:dyDescent="0.25">
      <c r="A7677" s="6"/>
      <c r="B7677" s="1"/>
      <c r="C7677" s="5"/>
      <c r="D7677" s="5"/>
      <c r="E7677" s="5"/>
      <c r="F7677" s="5"/>
      <c r="G7677" s="5"/>
      <c r="H7677" s="5"/>
      <c r="I7677" s="5"/>
      <c r="J7677" s="5"/>
      <c r="K7677" s="5"/>
      <c r="L7677" s="5"/>
    </row>
    <row r="7678" spans="1:12" ht="12" customHeight="1" x14ac:dyDescent="0.25">
      <c r="A7678" s="6"/>
      <c r="B7678" s="1"/>
      <c r="C7678" s="5"/>
      <c r="D7678" s="5"/>
      <c r="E7678" s="5"/>
      <c r="F7678" s="5"/>
      <c r="G7678" s="5"/>
      <c r="H7678" s="5"/>
      <c r="I7678" s="5"/>
      <c r="J7678" s="5"/>
      <c r="K7678" s="5"/>
      <c r="L7678" s="5"/>
    </row>
    <row r="7679" spans="1:12" ht="12" customHeight="1" x14ac:dyDescent="0.25">
      <c r="A7679" s="6"/>
      <c r="B7679" s="1"/>
      <c r="C7679" s="5"/>
      <c r="D7679" s="5"/>
      <c r="E7679" s="5"/>
      <c r="F7679" s="5"/>
      <c r="G7679" s="5"/>
      <c r="H7679" s="5"/>
      <c r="I7679" s="5"/>
      <c r="J7679" s="5"/>
      <c r="K7679" s="5"/>
      <c r="L7679" s="5"/>
    </row>
    <row r="7680" spans="1:12" ht="12" customHeight="1" x14ac:dyDescent="0.25">
      <c r="A7680" s="6"/>
      <c r="B7680" s="1"/>
      <c r="C7680" s="5"/>
      <c r="D7680" s="5"/>
      <c r="E7680" s="5"/>
      <c r="F7680" s="5"/>
      <c r="G7680" s="5"/>
      <c r="H7680" s="5"/>
      <c r="I7680" s="5"/>
      <c r="J7680" s="5"/>
      <c r="K7680" s="5"/>
      <c r="L7680" s="5"/>
    </row>
    <row r="7681" spans="1:12" ht="12" customHeight="1" x14ac:dyDescent="0.25">
      <c r="A7681" s="6"/>
      <c r="B7681" s="1"/>
      <c r="C7681" s="5"/>
      <c r="D7681" s="5"/>
      <c r="E7681" s="5"/>
      <c r="F7681" s="5"/>
      <c r="G7681" s="5"/>
      <c r="H7681" s="5"/>
      <c r="I7681" s="5"/>
      <c r="J7681" s="5"/>
      <c r="K7681" s="5"/>
      <c r="L7681" s="5"/>
    </row>
    <row r="7682" spans="1:12" ht="12" customHeight="1" x14ac:dyDescent="0.25">
      <c r="A7682" s="6"/>
      <c r="B7682" s="1"/>
      <c r="C7682" s="5"/>
      <c r="D7682" s="5"/>
      <c r="E7682" s="5"/>
      <c r="F7682" s="5"/>
      <c r="G7682" s="5"/>
      <c r="H7682" s="5"/>
      <c r="I7682" s="5"/>
      <c r="J7682" s="5"/>
      <c r="K7682" s="5"/>
      <c r="L7682" s="5"/>
    </row>
    <row r="7683" spans="1:12" ht="12" customHeight="1" x14ac:dyDescent="0.25">
      <c r="A7683" s="6"/>
      <c r="B7683" s="1"/>
      <c r="C7683" s="5"/>
      <c r="D7683" s="5"/>
      <c r="E7683" s="5"/>
      <c r="F7683" s="5"/>
      <c r="G7683" s="5"/>
      <c r="H7683" s="5"/>
      <c r="I7683" s="5"/>
      <c r="J7683" s="5"/>
      <c r="K7683" s="5"/>
      <c r="L7683" s="5"/>
    </row>
    <row r="7684" spans="1:12" ht="12" customHeight="1" x14ac:dyDescent="0.25">
      <c r="A7684" s="6"/>
      <c r="B7684" s="1"/>
      <c r="C7684" s="5"/>
      <c r="D7684" s="5"/>
      <c r="E7684" s="5"/>
      <c r="F7684" s="5"/>
      <c r="G7684" s="5"/>
      <c r="H7684" s="5"/>
      <c r="I7684" s="5"/>
      <c r="J7684" s="5"/>
      <c r="K7684" s="5"/>
      <c r="L7684" s="5"/>
    </row>
    <row r="7685" spans="1:12" ht="12" customHeight="1" x14ac:dyDescent="0.25">
      <c r="A7685" s="6"/>
      <c r="B7685" s="1"/>
      <c r="C7685" s="5"/>
      <c r="D7685" s="5"/>
      <c r="E7685" s="5"/>
      <c r="F7685" s="5"/>
      <c r="G7685" s="5"/>
      <c r="H7685" s="5"/>
      <c r="I7685" s="5"/>
      <c r="J7685" s="5"/>
      <c r="K7685" s="5"/>
      <c r="L7685" s="5"/>
    </row>
    <row r="7686" spans="1:12" ht="12" customHeight="1" x14ac:dyDescent="0.25">
      <c r="A7686" s="6"/>
      <c r="B7686" s="1"/>
      <c r="C7686" s="5"/>
      <c r="D7686" s="5"/>
      <c r="E7686" s="5"/>
      <c r="F7686" s="5"/>
      <c r="G7686" s="5"/>
      <c r="H7686" s="5"/>
      <c r="I7686" s="5"/>
      <c r="J7686" s="5"/>
      <c r="K7686" s="5"/>
      <c r="L7686" s="5"/>
    </row>
    <row r="7687" spans="1:12" ht="12" customHeight="1" x14ac:dyDescent="0.25">
      <c r="A7687" s="6"/>
      <c r="B7687" s="1"/>
      <c r="C7687" s="5"/>
      <c r="D7687" s="5"/>
      <c r="E7687" s="5"/>
      <c r="F7687" s="5"/>
      <c r="G7687" s="5"/>
      <c r="H7687" s="5"/>
      <c r="I7687" s="5"/>
      <c r="J7687" s="5"/>
      <c r="K7687" s="5"/>
      <c r="L7687" s="5"/>
    </row>
    <row r="7688" spans="1:12" ht="12" customHeight="1" x14ac:dyDescent="0.25">
      <c r="A7688" s="6"/>
      <c r="B7688" s="1"/>
      <c r="C7688" s="5"/>
      <c r="D7688" s="5"/>
      <c r="E7688" s="5"/>
      <c r="F7688" s="5"/>
      <c r="G7688" s="5"/>
      <c r="H7688" s="5"/>
      <c r="I7688" s="5"/>
      <c r="J7688" s="5"/>
      <c r="K7688" s="5"/>
      <c r="L7688" s="5"/>
    </row>
    <row r="7689" spans="1:12" ht="12" customHeight="1" x14ac:dyDescent="0.25">
      <c r="A7689" s="6"/>
      <c r="B7689" s="1"/>
      <c r="C7689" s="5"/>
      <c r="D7689" s="5"/>
      <c r="E7689" s="5"/>
      <c r="F7689" s="5"/>
      <c r="G7689" s="5"/>
      <c r="H7689" s="5"/>
      <c r="I7689" s="5"/>
      <c r="J7689" s="5"/>
      <c r="K7689" s="5"/>
      <c r="L7689" s="5"/>
    </row>
    <row r="7690" spans="1:12" ht="12" customHeight="1" x14ac:dyDescent="0.25">
      <c r="A7690" s="6"/>
      <c r="B7690" s="1"/>
      <c r="C7690" s="5"/>
      <c r="D7690" s="5"/>
      <c r="E7690" s="5"/>
      <c r="F7690" s="5"/>
      <c r="G7690" s="5"/>
      <c r="H7690" s="5"/>
      <c r="I7690" s="5"/>
      <c r="J7690" s="5"/>
      <c r="K7690" s="5"/>
      <c r="L7690" s="5"/>
    </row>
    <row r="7691" spans="1:12" ht="12" customHeight="1" x14ac:dyDescent="0.25">
      <c r="A7691" s="6"/>
      <c r="B7691" s="1"/>
      <c r="C7691" s="5"/>
      <c r="D7691" s="5"/>
      <c r="E7691" s="5"/>
      <c r="F7691" s="5"/>
      <c r="G7691" s="5"/>
      <c r="H7691" s="5"/>
      <c r="I7691" s="5"/>
      <c r="J7691" s="5"/>
      <c r="K7691" s="5"/>
      <c r="L7691" s="5"/>
    </row>
    <row r="7692" spans="1:12" ht="12" customHeight="1" x14ac:dyDescent="0.25">
      <c r="A7692" s="6"/>
      <c r="B7692" s="1"/>
      <c r="C7692" s="5"/>
      <c r="D7692" s="5"/>
      <c r="E7692" s="5"/>
      <c r="F7692" s="5"/>
      <c r="G7692" s="5"/>
      <c r="H7692" s="5"/>
      <c r="I7692" s="5"/>
      <c r="J7692" s="5"/>
      <c r="K7692" s="5"/>
      <c r="L7692" s="5"/>
    </row>
    <row r="7693" spans="1:12" ht="12" customHeight="1" x14ac:dyDescent="0.25">
      <c r="A7693" s="6"/>
      <c r="B7693" s="1"/>
      <c r="C7693" s="5"/>
      <c r="D7693" s="5"/>
      <c r="E7693" s="5"/>
      <c r="F7693" s="5"/>
      <c r="G7693" s="5"/>
      <c r="H7693" s="5"/>
      <c r="I7693" s="5"/>
      <c r="J7693" s="5"/>
      <c r="K7693" s="5"/>
      <c r="L7693" s="5"/>
    </row>
    <row r="7694" spans="1:12" ht="12" customHeight="1" x14ac:dyDescent="0.25">
      <c r="A7694" s="6"/>
      <c r="B7694" s="1"/>
      <c r="C7694" s="5"/>
      <c r="D7694" s="5"/>
      <c r="E7694" s="5"/>
      <c r="F7694" s="5"/>
      <c r="G7694" s="5"/>
      <c r="H7694" s="5"/>
      <c r="I7694" s="5"/>
      <c r="J7694" s="5"/>
      <c r="K7694" s="5"/>
      <c r="L7694" s="5"/>
    </row>
    <row r="7695" spans="1:12" ht="12" customHeight="1" x14ac:dyDescent="0.25">
      <c r="A7695" s="6"/>
      <c r="B7695" s="1"/>
      <c r="C7695" s="5"/>
      <c r="D7695" s="5"/>
      <c r="E7695" s="5"/>
      <c r="F7695" s="5"/>
      <c r="G7695" s="5"/>
      <c r="H7695" s="5"/>
      <c r="I7695" s="5"/>
      <c r="J7695" s="5"/>
      <c r="K7695" s="5"/>
      <c r="L7695" s="5"/>
    </row>
    <row r="7696" spans="1:12" ht="12" customHeight="1" x14ac:dyDescent="0.25">
      <c r="A7696" s="6"/>
      <c r="B7696" s="1"/>
      <c r="C7696" s="5"/>
      <c r="D7696" s="5"/>
      <c r="E7696" s="5"/>
      <c r="F7696" s="5"/>
      <c r="G7696" s="5"/>
      <c r="H7696" s="5"/>
      <c r="I7696" s="5"/>
      <c r="J7696" s="5"/>
      <c r="K7696" s="5"/>
      <c r="L7696" s="5"/>
    </row>
    <row r="7697" spans="1:12" ht="12" customHeight="1" x14ac:dyDescent="0.25">
      <c r="A7697" s="6"/>
      <c r="B7697" s="1"/>
      <c r="C7697" s="5"/>
      <c r="D7697" s="5"/>
      <c r="E7697" s="5"/>
      <c r="F7697" s="5"/>
      <c r="G7697" s="5"/>
      <c r="H7697" s="5"/>
      <c r="I7697" s="5"/>
      <c r="J7697" s="5"/>
      <c r="K7697" s="5"/>
      <c r="L7697" s="5"/>
    </row>
    <row r="7698" spans="1:12" ht="12" customHeight="1" x14ac:dyDescent="0.25">
      <c r="A7698" s="6"/>
      <c r="B7698" s="1"/>
      <c r="C7698" s="5"/>
      <c r="D7698" s="5"/>
      <c r="E7698" s="5"/>
      <c r="F7698" s="5"/>
      <c r="G7698" s="5"/>
      <c r="H7698" s="5"/>
      <c r="I7698" s="5"/>
      <c r="J7698" s="5"/>
      <c r="K7698" s="5"/>
      <c r="L7698" s="5"/>
    </row>
    <row r="7699" spans="1:12" ht="12" customHeight="1" x14ac:dyDescent="0.25">
      <c r="A7699" s="6"/>
      <c r="B7699" s="1"/>
      <c r="C7699" s="5"/>
      <c r="D7699" s="5"/>
      <c r="E7699" s="5"/>
      <c r="F7699" s="5"/>
      <c r="G7699" s="5"/>
      <c r="H7699" s="5"/>
      <c r="I7699" s="5"/>
      <c r="J7699" s="5"/>
      <c r="K7699" s="5"/>
      <c r="L7699" s="5"/>
    </row>
    <row r="7700" spans="1:12" ht="12" customHeight="1" x14ac:dyDescent="0.25">
      <c r="A7700" s="6"/>
      <c r="B7700" s="1"/>
      <c r="C7700" s="5"/>
      <c r="D7700" s="5"/>
      <c r="E7700" s="5"/>
      <c r="F7700" s="5"/>
      <c r="G7700" s="5"/>
      <c r="H7700" s="5"/>
      <c r="I7700" s="5"/>
      <c r="J7700" s="5"/>
      <c r="K7700" s="5"/>
      <c r="L7700" s="5"/>
    </row>
    <row r="7701" spans="1:12" ht="12" customHeight="1" x14ac:dyDescent="0.25">
      <c r="A7701" s="6"/>
      <c r="B7701" s="1"/>
      <c r="C7701" s="5"/>
      <c r="D7701" s="5"/>
      <c r="E7701" s="5"/>
      <c r="F7701" s="5"/>
      <c r="G7701" s="5"/>
      <c r="H7701" s="5"/>
      <c r="I7701" s="5"/>
      <c r="J7701" s="5"/>
      <c r="K7701" s="5"/>
      <c r="L7701" s="5"/>
    </row>
    <row r="7702" spans="1:12" ht="12" customHeight="1" x14ac:dyDescent="0.25">
      <c r="A7702" s="6"/>
      <c r="B7702" s="1"/>
      <c r="C7702" s="5"/>
      <c r="D7702" s="5"/>
      <c r="E7702" s="5"/>
      <c r="F7702" s="5"/>
      <c r="G7702" s="5"/>
      <c r="H7702" s="5"/>
      <c r="I7702" s="5"/>
      <c r="J7702" s="5"/>
      <c r="K7702" s="5"/>
      <c r="L7702" s="5"/>
    </row>
    <row r="7703" spans="1:12" ht="12" customHeight="1" x14ac:dyDescent="0.25">
      <c r="A7703" s="6"/>
      <c r="B7703" s="1"/>
      <c r="C7703" s="5"/>
      <c r="D7703" s="5"/>
      <c r="E7703" s="5"/>
      <c r="F7703" s="5"/>
      <c r="G7703" s="5"/>
      <c r="H7703" s="5"/>
      <c r="I7703" s="5"/>
      <c r="J7703" s="5"/>
      <c r="K7703" s="5"/>
      <c r="L7703" s="5"/>
    </row>
    <row r="7704" spans="1:12" ht="12" customHeight="1" x14ac:dyDescent="0.25">
      <c r="A7704" s="6"/>
      <c r="B7704" s="1"/>
      <c r="C7704" s="5"/>
      <c r="D7704" s="5"/>
      <c r="E7704" s="5"/>
      <c r="F7704" s="5"/>
      <c r="G7704" s="5"/>
      <c r="H7704" s="5"/>
      <c r="I7704" s="5"/>
      <c r="J7704" s="5"/>
      <c r="K7704" s="5"/>
      <c r="L7704" s="5"/>
    </row>
    <row r="7705" spans="1:12" ht="12" customHeight="1" x14ac:dyDescent="0.25">
      <c r="A7705" s="6"/>
      <c r="B7705" s="1"/>
      <c r="C7705" s="5"/>
      <c r="D7705" s="5"/>
      <c r="E7705" s="5"/>
      <c r="F7705" s="5"/>
      <c r="G7705" s="5"/>
      <c r="H7705" s="5"/>
      <c r="I7705" s="5"/>
      <c r="J7705" s="5"/>
      <c r="K7705" s="5"/>
      <c r="L7705" s="5"/>
    </row>
    <row r="7706" spans="1:12" ht="12" customHeight="1" x14ac:dyDescent="0.25">
      <c r="A7706" s="6"/>
      <c r="B7706" s="1"/>
      <c r="C7706" s="5"/>
      <c r="D7706" s="5"/>
      <c r="E7706" s="5"/>
      <c r="F7706" s="5"/>
      <c r="G7706" s="5"/>
      <c r="H7706" s="5"/>
      <c r="I7706" s="5"/>
      <c r="J7706" s="5"/>
      <c r="K7706" s="5"/>
      <c r="L7706" s="5"/>
    </row>
    <row r="7707" spans="1:12" ht="12" customHeight="1" x14ac:dyDescent="0.25">
      <c r="A7707" s="6"/>
      <c r="B7707" s="1"/>
      <c r="C7707" s="5"/>
      <c r="D7707" s="5"/>
      <c r="E7707" s="5"/>
      <c r="F7707" s="5"/>
      <c r="G7707" s="5"/>
      <c r="H7707" s="5"/>
      <c r="I7707" s="5"/>
      <c r="J7707" s="5"/>
      <c r="K7707" s="5"/>
      <c r="L7707" s="5"/>
    </row>
    <row r="7708" spans="1:12" ht="12" customHeight="1" x14ac:dyDescent="0.25">
      <c r="A7708" s="6"/>
      <c r="B7708" s="1"/>
      <c r="C7708" s="5"/>
      <c r="D7708" s="5"/>
      <c r="E7708" s="5"/>
      <c r="F7708" s="5"/>
      <c r="G7708" s="5"/>
      <c r="H7708" s="5"/>
      <c r="I7708" s="5"/>
      <c r="J7708" s="5"/>
      <c r="K7708" s="5"/>
      <c r="L7708" s="5"/>
    </row>
    <row r="7709" spans="1:12" ht="12" customHeight="1" x14ac:dyDescent="0.25">
      <c r="A7709" s="6"/>
      <c r="B7709" s="1"/>
      <c r="C7709" s="5"/>
      <c r="D7709" s="5"/>
      <c r="E7709" s="5"/>
      <c r="F7709" s="5"/>
      <c r="G7709" s="5"/>
      <c r="H7709" s="5"/>
      <c r="I7709" s="5"/>
      <c r="J7709" s="5"/>
      <c r="K7709" s="5"/>
      <c r="L7709" s="5"/>
    </row>
    <row r="7710" spans="1:12" ht="12" customHeight="1" x14ac:dyDescent="0.25">
      <c r="A7710" s="6"/>
      <c r="B7710" s="1"/>
      <c r="C7710" s="5"/>
      <c r="D7710" s="5"/>
      <c r="E7710" s="5"/>
      <c r="F7710" s="5"/>
      <c r="G7710" s="5"/>
      <c r="H7710" s="5"/>
      <c r="I7710" s="5"/>
      <c r="J7710" s="5"/>
      <c r="K7710" s="5"/>
      <c r="L7710" s="5"/>
    </row>
    <row r="7711" spans="1:12" ht="12" customHeight="1" x14ac:dyDescent="0.25">
      <c r="A7711" s="6"/>
      <c r="B7711" s="1"/>
      <c r="C7711" s="5"/>
      <c r="D7711" s="5"/>
      <c r="E7711" s="5"/>
      <c r="F7711" s="5"/>
      <c r="G7711" s="5"/>
      <c r="H7711" s="5"/>
      <c r="I7711" s="5"/>
      <c r="J7711" s="5"/>
      <c r="K7711" s="5"/>
      <c r="L7711" s="5"/>
    </row>
    <row r="7712" spans="1:12" ht="12" customHeight="1" x14ac:dyDescent="0.25">
      <c r="A7712" s="6"/>
      <c r="B7712" s="1"/>
      <c r="C7712" s="5"/>
      <c r="D7712" s="5"/>
      <c r="E7712" s="5"/>
      <c r="F7712" s="5"/>
      <c r="G7712" s="5"/>
      <c r="H7712" s="5"/>
      <c r="I7712" s="5"/>
      <c r="J7712" s="5"/>
      <c r="K7712" s="5"/>
      <c r="L7712" s="5"/>
    </row>
    <row r="7713" spans="1:12" ht="12" customHeight="1" x14ac:dyDescent="0.25">
      <c r="A7713" s="6"/>
      <c r="B7713" s="1"/>
      <c r="C7713" s="5"/>
      <c r="D7713" s="5"/>
      <c r="E7713" s="5"/>
      <c r="F7713" s="5"/>
      <c r="G7713" s="5"/>
      <c r="H7713" s="5"/>
      <c r="I7713" s="5"/>
      <c r="J7713" s="5"/>
      <c r="K7713" s="5"/>
      <c r="L7713" s="5"/>
    </row>
    <row r="7714" spans="1:12" ht="12" customHeight="1" x14ac:dyDescent="0.25">
      <c r="A7714" s="6"/>
      <c r="B7714" s="1"/>
      <c r="C7714" s="5"/>
      <c r="D7714" s="5"/>
      <c r="E7714" s="5"/>
      <c r="F7714" s="5"/>
      <c r="G7714" s="5"/>
      <c r="H7714" s="5"/>
      <c r="I7714" s="5"/>
      <c r="J7714" s="5"/>
      <c r="K7714" s="5"/>
      <c r="L7714" s="5"/>
    </row>
    <row r="7715" spans="1:12" ht="12" customHeight="1" x14ac:dyDescent="0.25">
      <c r="A7715" s="6"/>
      <c r="B7715" s="1"/>
      <c r="C7715" s="5"/>
      <c r="D7715" s="5"/>
      <c r="E7715" s="5"/>
      <c r="F7715" s="5"/>
      <c r="G7715" s="5"/>
      <c r="H7715" s="5"/>
      <c r="I7715" s="5"/>
      <c r="J7715" s="5"/>
      <c r="K7715" s="5"/>
      <c r="L7715" s="5"/>
    </row>
    <row r="7716" spans="1:12" ht="12" customHeight="1" x14ac:dyDescent="0.25">
      <c r="A7716" s="6"/>
      <c r="B7716" s="1"/>
      <c r="C7716" s="5"/>
      <c r="D7716" s="5"/>
      <c r="E7716" s="5"/>
      <c r="F7716" s="5"/>
      <c r="G7716" s="5"/>
      <c r="H7716" s="5"/>
      <c r="I7716" s="5"/>
      <c r="J7716" s="5"/>
      <c r="K7716" s="5"/>
      <c r="L7716" s="5"/>
    </row>
    <row r="7717" spans="1:12" ht="12" customHeight="1" x14ac:dyDescent="0.25">
      <c r="A7717" s="6"/>
      <c r="B7717" s="1"/>
      <c r="C7717" s="5"/>
      <c r="D7717" s="5"/>
      <c r="E7717" s="5"/>
      <c r="F7717" s="5"/>
      <c r="G7717" s="5"/>
      <c r="H7717" s="5"/>
      <c r="I7717" s="5"/>
      <c r="J7717" s="5"/>
      <c r="K7717" s="5"/>
      <c r="L7717" s="5"/>
    </row>
    <row r="7718" spans="1:12" ht="12" customHeight="1" x14ac:dyDescent="0.25">
      <c r="A7718" s="6"/>
      <c r="B7718" s="1"/>
      <c r="C7718" s="5"/>
      <c r="D7718" s="5"/>
      <c r="E7718" s="5"/>
      <c r="F7718" s="5"/>
      <c r="G7718" s="5"/>
      <c r="H7718" s="5"/>
      <c r="I7718" s="5"/>
      <c r="J7718" s="5"/>
      <c r="K7718" s="5"/>
      <c r="L7718" s="5"/>
    </row>
    <row r="7719" spans="1:12" ht="12" customHeight="1" x14ac:dyDescent="0.25">
      <c r="A7719" s="6"/>
      <c r="B7719" s="1"/>
      <c r="C7719" s="5"/>
      <c r="D7719" s="5"/>
      <c r="E7719" s="5"/>
      <c r="F7719" s="5"/>
      <c r="G7719" s="5"/>
      <c r="H7719" s="5"/>
      <c r="I7719" s="5"/>
      <c r="J7719" s="5"/>
      <c r="K7719" s="5"/>
      <c r="L7719" s="5"/>
    </row>
    <row r="7720" spans="1:12" ht="12" customHeight="1" x14ac:dyDescent="0.25">
      <c r="A7720" s="6"/>
      <c r="B7720" s="1"/>
      <c r="C7720" s="5"/>
      <c r="D7720" s="5"/>
      <c r="E7720" s="5"/>
      <c r="F7720" s="5"/>
      <c r="G7720" s="5"/>
      <c r="H7720" s="5"/>
      <c r="I7720" s="5"/>
      <c r="J7720" s="5"/>
      <c r="K7720" s="5"/>
      <c r="L7720" s="5"/>
    </row>
    <row r="7721" spans="1:12" ht="12" customHeight="1" x14ac:dyDescent="0.25">
      <c r="A7721" s="6"/>
      <c r="B7721" s="1"/>
      <c r="C7721" s="5"/>
      <c r="D7721" s="5"/>
      <c r="E7721" s="5"/>
      <c r="F7721" s="5"/>
      <c r="G7721" s="5"/>
      <c r="H7721" s="5"/>
      <c r="I7721" s="5"/>
      <c r="J7721" s="5"/>
      <c r="K7721" s="5"/>
      <c r="L7721" s="5"/>
    </row>
    <row r="7722" spans="1:12" ht="12" customHeight="1" x14ac:dyDescent="0.25">
      <c r="A7722" s="6"/>
      <c r="B7722" s="1"/>
      <c r="C7722" s="5"/>
      <c r="D7722" s="5"/>
      <c r="E7722" s="5"/>
      <c r="F7722" s="5"/>
      <c r="G7722" s="5"/>
      <c r="H7722" s="5"/>
      <c r="I7722" s="5"/>
      <c r="J7722" s="5"/>
      <c r="K7722" s="5"/>
      <c r="L7722" s="5"/>
    </row>
    <row r="7723" spans="1:12" ht="12" customHeight="1" x14ac:dyDescent="0.25">
      <c r="A7723" s="6"/>
      <c r="B7723" s="1"/>
      <c r="C7723" s="5"/>
      <c r="D7723" s="5"/>
      <c r="E7723" s="5"/>
      <c r="F7723" s="5"/>
      <c r="G7723" s="5"/>
      <c r="H7723" s="5"/>
      <c r="I7723" s="5"/>
      <c r="J7723" s="5"/>
      <c r="K7723" s="5"/>
      <c r="L7723" s="5"/>
    </row>
    <row r="7724" spans="1:12" ht="12" customHeight="1" x14ac:dyDescent="0.25">
      <c r="A7724" s="6"/>
      <c r="B7724" s="1"/>
      <c r="C7724" s="5"/>
      <c r="D7724" s="5"/>
      <c r="E7724" s="5"/>
      <c r="F7724" s="5"/>
      <c r="G7724" s="5"/>
      <c r="H7724" s="5"/>
      <c r="I7724" s="5"/>
      <c r="J7724" s="5"/>
      <c r="K7724" s="5"/>
      <c r="L7724" s="5"/>
    </row>
    <row r="7725" spans="1:12" ht="12" customHeight="1" x14ac:dyDescent="0.25">
      <c r="A7725" s="6"/>
      <c r="B7725" s="1"/>
      <c r="C7725" s="5"/>
      <c r="D7725" s="5"/>
      <c r="E7725" s="5"/>
      <c r="F7725" s="5"/>
      <c r="G7725" s="5"/>
      <c r="H7725" s="5"/>
      <c r="I7725" s="5"/>
      <c r="J7725" s="5"/>
      <c r="K7725" s="5"/>
      <c r="L7725" s="5"/>
    </row>
    <row r="7726" spans="1:12" ht="12" customHeight="1" x14ac:dyDescent="0.25">
      <c r="A7726" s="6"/>
      <c r="B7726" s="1"/>
      <c r="C7726" s="5"/>
      <c r="D7726" s="5"/>
      <c r="E7726" s="5"/>
      <c r="F7726" s="5"/>
      <c r="G7726" s="5"/>
      <c r="H7726" s="5"/>
      <c r="I7726" s="5"/>
      <c r="J7726" s="5"/>
      <c r="K7726" s="5"/>
      <c r="L7726" s="5"/>
    </row>
    <row r="7727" spans="1:12" ht="12" customHeight="1" x14ac:dyDescent="0.25">
      <c r="A7727" s="6"/>
      <c r="B7727" s="1"/>
      <c r="C7727" s="5"/>
      <c r="D7727" s="5"/>
      <c r="E7727" s="5"/>
      <c r="F7727" s="5"/>
      <c r="G7727" s="5"/>
      <c r="H7727" s="5"/>
      <c r="I7727" s="5"/>
      <c r="J7727" s="5"/>
      <c r="K7727" s="5"/>
      <c r="L7727" s="5"/>
    </row>
    <row r="7728" spans="1:12" ht="12" customHeight="1" x14ac:dyDescent="0.25">
      <c r="A7728" s="6"/>
      <c r="B7728" s="1"/>
      <c r="C7728" s="5"/>
      <c r="D7728" s="5"/>
      <c r="E7728" s="5"/>
      <c r="F7728" s="5"/>
      <c r="G7728" s="5"/>
      <c r="H7728" s="5"/>
      <c r="I7728" s="5"/>
      <c r="J7728" s="5"/>
      <c r="K7728" s="5"/>
      <c r="L7728" s="5"/>
    </row>
    <row r="7729" spans="1:12" ht="12" customHeight="1" x14ac:dyDescent="0.25">
      <c r="A7729" s="6"/>
      <c r="B7729" s="1"/>
      <c r="C7729" s="5"/>
      <c r="D7729" s="5"/>
      <c r="E7729" s="5"/>
      <c r="F7729" s="5"/>
      <c r="G7729" s="5"/>
      <c r="H7729" s="5"/>
      <c r="I7729" s="5"/>
      <c r="J7729" s="5"/>
      <c r="K7729" s="5"/>
      <c r="L7729" s="5"/>
    </row>
    <row r="7730" spans="1:12" ht="12" customHeight="1" x14ac:dyDescent="0.25">
      <c r="A7730" s="6"/>
      <c r="B7730" s="1"/>
      <c r="C7730" s="5"/>
      <c r="D7730" s="5"/>
      <c r="E7730" s="5"/>
      <c r="F7730" s="5"/>
      <c r="G7730" s="5"/>
      <c r="H7730" s="5"/>
      <c r="I7730" s="5"/>
      <c r="J7730" s="5"/>
      <c r="K7730" s="5"/>
      <c r="L7730" s="5"/>
    </row>
    <row r="7731" spans="1:12" ht="12" customHeight="1" x14ac:dyDescent="0.25">
      <c r="A7731" s="6"/>
      <c r="B7731" s="1"/>
      <c r="C7731" s="5"/>
      <c r="D7731" s="5"/>
      <c r="E7731" s="5"/>
      <c r="F7731" s="5"/>
      <c r="G7731" s="5"/>
      <c r="H7731" s="5"/>
      <c r="I7731" s="5"/>
      <c r="J7731" s="5"/>
      <c r="K7731" s="5"/>
      <c r="L7731" s="5"/>
    </row>
    <row r="7732" spans="1:12" ht="12" customHeight="1" x14ac:dyDescent="0.25">
      <c r="A7732" s="6"/>
      <c r="B7732" s="1"/>
      <c r="C7732" s="5"/>
      <c r="D7732" s="5"/>
      <c r="E7732" s="5"/>
      <c r="F7732" s="5"/>
      <c r="G7732" s="5"/>
      <c r="H7732" s="5"/>
      <c r="I7732" s="5"/>
      <c r="J7732" s="5"/>
      <c r="K7732" s="5"/>
      <c r="L7732" s="5"/>
    </row>
    <row r="7733" spans="1:12" ht="12" customHeight="1" x14ac:dyDescent="0.25">
      <c r="A7733" s="6"/>
      <c r="B7733" s="1"/>
      <c r="C7733" s="5"/>
      <c r="D7733" s="5"/>
      <c r="E7733" s="5"/>
      <c r="F7733" s="5"/>
      <c r="G7733" s="5"/>
      <c r="H7733" s="5"/>
      <c r="I7733" s="5"/>
      <c r="J7733" s="5"/>
      <c r="K7733" s="5"/>
      <c r="L7733" s="5"/>
    </row>
    <row r="7734" spans="1:12" ht="12" customHeight="1" x14ac:dyDescent="0.25">
      <c r="A7734" s="6"/>
      <c r="B7734" s="1"/>
      <c r="C7734" s="5"/>
      <c r="D7734" s="5"/>
      <c r="E7734" s="5"/>
      <c r="F7734" s="5"/>
      <c r="G7734" s="5"/>
      <c r="H7734" s="5"/>
      <c r="I7734" s="5"/>
      <c r="J7734" s="5"/>
      <c r="K7734" s="5"/>
      <c r="L7734" s="5"/>
    </row>
    <row r="7735" spans="1:12" ht="12" customHeight="1" x14ac:dyDescent="0.25">
      <c r="A7735" s="6"/>
      <c r="B7735" s="1"/>
      <c r="C7735" s="5"/>
      <c r="D7735" s="5"/>
      <c r="E7735" s="5"/>
      <c r="F7735" s="5"/>
      <c r="G7735" s="5"/>
      <c r="H7735" s="5"/>
      <c r="I7735" s="5"/>
      <c r="J7735" s="5"/>
      <c r="K7735" s="5"/>
      <c r="L7735" s="5"/>
    </row>
    <row r="7736" spans="1:12" ht="12" customHeight="1" x14ac:dyDescent="0.25">
      <c r="A7736" s="6"/>
      <c r="B7736" s="1"/>
      <c r="C7736" s="5"/>
      <c r="D7736" s="5"/>
      <c r="E7736" s="5"/>
      <c r="F7736" s="5"/>
      <c r="G7736" s="5"/>
      <c r="H7736" s="5"/>
      <c r="I7736" s="5"/>
      <c r="J7736" s="5"/>
      <c r="K7736" s="5"/>
      <c r="L7736" s="5"/>
    </row>
    <row r="7737" spans="1:12" ht="12" customHeight="1" x14ac:dyDescent="0.25">
      <c r="A7737" s="6"/>
      <c r="B7737" s="1"/>
      <c r="C7737" s="5"/>
      <c r="D7737" s="5"/>
      <c r="E7737" s="5"/>
      <c r="F7737" s="5"/>
      <c r="G7737" s="5"/>
      <c r="H7737" s="5"/>
      <c r="I7737" s="5"/>
      <c r="J7737" s="5"/>
      <c r="K7737" s="5"/>
      <c r="L7737" s="5"/>
    </row>
    <row r="7738" spans="1:12" ht="12" customHeight="1" x14ac:dyDescent="0.25">
      <c r="A7738" s="6"/>
      <c r="B7738" s="1"/>
      <c r="C7738" s="5"/>
      <c r="D7738" s="5"/>
      <c r="E7738" s="5"/>
      <c r="F7738" s="5"/>
      <c r="G7738" s="5"/>
      <c r="H7738" s="5"/>
      <c r="I7738" s="5"/>
      <c r="J7738" s="5"/>
      <c r="K7738" s="5"/>
      <c r="L7738" s="5"/>
    </row>
    <row r="7739" spans="1:12" ht="12" customHeight="1" x14ac:dyDescent="0.25">
      <c r="A7739" s="6"/>
      <c r="B7739" s="1"/>
      <c r="C7739" s="5"/>
      <c r="D7739" s="5"/>
      <c r="E7739" s="5"/>
      <c r="F7739" s="5"/>
      <c r="G7739" s="5"/>
      <c r="H7739" s="5"/>
      <c r="I7739" s="5"/>
      <c r="J7739" s="5"/>
      <c r="K7739" s="5"/>
      <c r="L7739" s="5"/>
    </row>
    <row r="7740" spans="1:12" ht="12" customHeight="1" x14ac:dyDescent="0.25">
      <c r="A7740" s="6"/>
      <c r="B7740" s="1"/>
      <c r="C7740" s="5"/>
      <c r="D7740" s="5"/>
      <c r="E7740" s="5"/>
      <c r="F7740" s="5"/>
      <c r="G7740" s="5"/>
      <c r="H7740" s="5"/>
      <c r="I7740" s="5"/>
      <c r="J7740" s="5"/>
      <c r="K7740" s="5"/>
      <c r="L7740" s="5"/>
    </row>
    <row r="7741" spans="1:12" ht="12" customHeight="1" x14ac:dyDescent="0.25">
      <c r="A7741" s="6"/>
      <c r="B7741" s="1"/>
      <c r="C7741" s="5"/>
      <c r="D7741" s="5"/>
      <c r="E7741" s="5"/>
      <c r="F7741" s="5"/>
      <c r="G7741" s="5"/>
      <c r="H7741" s="5"/>
      <c r="I7741" s="5"/>
      <c r="J7741" s="5"/>
      <c r="K7741" s="5"/>
      <c r="L7741" s="5"/>
    </row>
    <row r="7742" spans="1:12" ht="12" customHeight="1" x14ac:dyDescent="0.25">
      <c r="A7742" s="6"/>
      <c r="B7742" s="1"/>
      <c r="C7742" s="5"/>
      <c r="D7742" s="5"/>
      <c r="E7742" s="5"/>
      <c r="F7742" s="5"/>
      <c r="G7742" s="5"/>
      <c r="H7742" s="5"/>
      <c r="I7742" s="5"/>
      <c r="J7742" s="5"/>
      <c r="K7742" s="5"/>
      <c r="L7742" s="5"/>
    </row>
    <row r="7743" spans="1:12" ht="12" customHeight="1" x14ac:dyDescent="0.25">
      <c r="A7743" s="6"/>
      <c r="B7743" s="1"/>
      <c r="C7743" s="5"/>
      <c r="D7743" s="5"/>
      <c r="E7743" s="5"/>
      <c r="F7743" s="5"/>
      <c r="G7743" s="5"/>
      <c r="H7743" s="5"/>
      <c r="I7743" s="5"/>
      <c r="J7743" s="5"/>
      <c r="K7743" s="5"/>
      <c r="L7743" s="5"/>
    </row>
    <row r="7744" spans="1:12" ht="12" customHeight="1" x14ac:dyDescent="0.25">
      <c r="A7744" s="6"/>
      <c r="B7744" s="1"/>
      <c r="C7744" s="5"/>
      <c r="D7744" s="5"/>
      <c r="E7744" s="5"/>
      <c r="F7744" s="5"/>
      <c r="G7744" s="5"/>
      <c r="H7744" s="5"/>
      <c r="I7744" s="5"/>
      <c r="J7744" s="5"/>
      <c r="K7744" s="5"/>
      <c r="L7744" s="5"/>
    </row>
    <row r="7745" spans="1:12" ht="12" customHeight="1" x14ac:dyDescent="0.25">
      <c r="A7745" s="6"/>
      <c r="B7745" s="1"/>
      <c r="C7745" s="5"/>
      <c r="D7745" s="5"/>
      <c r="E7745" s="5"/>
      <c r="F7745" s="5"/>
      <c r="G7745" s="5"/>
      <c r="H7745" s="5"/>
      <c r="I7745" s="5"/>
      <c r="J7745" s="5"/>
      <c r="K7745" s="5"/>
      <c r="L7745" s="5"/>
    </row>
    <row r="7746" spans="1:12" ht="12" customHeight="1" x14ac:dyDescent="0.25">
      <c r="A7746" s="6"/>
      <c r="B7746" s="1"/>
      <c r="C7746" s="5"/>
      <c r="D7746" s="5"/>
      <c r="E7746" s="5"/>
      <c r="F7746" s="5"/>
      <c r="G7746" s="5"/>
      <c r="H7746" s="5"/>
      <c r="I7746" s="5"/>
      <c r="J7746" s="5"/>
      <c r="K7746" s="5"/>
      <c r="L7746" s="5"/>
    </row>
    <row r="7747" spans="1:12" ht="12" customHeight="1" x14ac:dyDescent="0.25">
      <c r="A7747" s="6"/>
      <c r="B7747" s="1"/>
      <c r="C7747" s="5"/>
      <c r="D7747" s="5"/>
      <c r="E7747" s="5"/>
      <c r="F7747" s="5"/>
      <c r="G7747" s="5"/>
      <c r="H7747" s="5"/>
      <c r="I7747" s="5"/>
      <c r="J7747" s="5"/>
      <c r="K7747" s="5"/>
      <c r="L7747" s="5"/>
    </row>
    <row r="7748" spans="1:12" ht="12" customHeight="1" x14ac:dyDescent="0.25">
      <c r="A7748" s="6"/>
      <c r="B7748" s="1"/>
      <c r="C7748" s="5"/>
      <c r="D7748" s="5"/>
      <c r="E7748" s="5"/>
      <c r="F7748" s="5"/>
      <c r="G7748" s="5"/>
      <c r="H7748" s="5"/>
      <c r="I7748" s="5"/>
      <c r="J7748" s="5"/>
      <c r="K7748" s="5"/>
      <c r="L7748" s="5"/>
    </row>
    <row r="7749" spans="1:12" ht="12" customHeight="1" x14ac:dyDescent="0.25">
      <c r="A7749" s="6"/>
      <c r="B7749" s="1"/>
      <c r="C7749" s="5"/>
      <c r="D7749" s="5"/>
      <c r="E7749" s="5"/>
      <c r="F7749" s="5"/>
      <c r="G7749" s="5"/>
      <c r="H7749" s="5"/>
      <c r="I7749" s="5"/>
      <c r="J7749" s="5"/>
      <c r="K7749" s="5"/>
      <c r="L7749" s="5"/>
    </row>
    <row r="7750" spans="1:12" ht="12" customHeight="1" x14ac:dyDescent="0.25">
      <c r="A7750" s="6"/>
      <c r="B7750" s="1"/>
      <c r="C7750" s="5"/>
      <c r="D7750" s="5"/>
      <c r="E7750" s="5"/>
      <c r="F7750" s="5"/>
      <c r="G7750" s="5"/>
      <c r="H7750" s="5"/>
      <c r="I7750" s="5"/>
      <c r="J7750" s="5"/>
      <c r="K7750" s="5"/>
      <c r="L7750" s="5"/>
    </row>
    <row r="7751" spans="1:12" ht="12" customHeight="1" x14ac:dyDescent="0.25">
      <c r="A7751" s="6"/>
      <c r="B7751" s="1"/>
      <c r="C7751" s="5"/>
      <c r="D7751" s="5"/>
      <c r="E7751" s="5"/>
      <c r="F7751" s="5"/>
      <c r="G7751" s="5"/>
      <c r="H7751" s="5"/>
      <c r="I7751" s="5"/>
      <c r="J7751" s="5"/>
      <c r="K7751" s="5"/>
      <c r="L7751" s="5"/>
    </row>
    <row r="7752" spans="1:12" ht="12" customHeight="1" x14ac:dyDescent="0.25">
      <c r="A7752" s="6"/>
      <c r="B7752" s="1"/>
      <c r="C7752" s="5"/>
      <c r="D7752" s="5"/>
      <c r="E7752" s="5"/>
      <c r="F7752" s="5"/>
      <c r="G7752" s="5"/>
      <c r="H7752" s="5"/>
      <c r="I7752" s="5"/>
      <c r="J7752" s="5"/>
      <c r="K7752" s="5"/>
      <c r="L7752" s="5"/>
    </row>
    <row r="7753" spans="1:12" ht="12" customHeight="1" x14ac:dyDescent="0.25">
      <c r="A7753" s="6"/>
      <c r="B7753" s="1"/>
      <c r="C7753" s="5"/>
      <c r="D7753" s="5"/>
      <c r="E7753" s="5"/>
      <c r="F7753" s="5"/>
      <c r="G7753" s="5"/>
      <c r="H7753" s="5"/>
      <c r="I7753" s="5"/>
      <c r="J7753" s="5"/>
      <c r="K7753" s="5"/>
      <c r="L7753" s="5"/>
    </row>
    <row r="7754" spans="1:12" ht="12" customHeight="1" x14ac:dyDescent="0.25">
      <c r="A7754" s="6"/>
      <c r="B7754" s="1"/>
      <c r="C7754" s="5"/>
      <c r="D7754" s="5"/>
      <c r="E7754" s="5"/>
      <c r="F7754" s="5"/>
      <c r="G7754" s="5"/>
      <c r="H7754" s="5"/>
      <c r="I7754" s="5"/>
      <c r="J7754" s="5"/>
      <c r="K7754" s="5"/>
      <c r="L7754" s="5"/>
    </row>
    <row r="7755" spans="1:12" ht="12" customHeight="1" x14ac:dyDescent="0.25">
      <c r="A7755" s="6"/>
      <c r="B7755" s="1"/>
      <c r="C7755" s="5"/>
      <c r="D7755" s="5"/>
      <c r="E7755" s="5"/>
      <c r="F7755" s="5"/>
      <c r="G7755" s="5"/>
      <c r="H7755" s="5"/>
      <c r="I7755" s="5"/>
      <c r="J7755" s="5"/>
      <c r="K7755" s="5"/>
      <c r="L7755" s="5"/>
    </row>
    <row r="7756" spans="1:12" ht="12" customHeight="1" x14ac:dyDescent="0.25">
      <c r="A7756" s="6"/>
      <c r="B7756" s="1"/>
      <c r="C7756" s="5"/>
      <c r="D7756" s="5"/>
      <c r="E7756" s="5"/>
      <c r="F7756" s="5"/>
      <c r="G7756" s="5"/>
      <c r="H7756" s="5"/>
      <c r="I7756" s="5"/>
      <c r="J7756" s="5"/>
      <c r="K7756" s="5"/>
      <c r="L7756" s="5"/>
    </row>
    <row r="7757" spans="1:12" ht="12" customHeight="1" x14ac:dyDescent="0.25">
      <c r="A7757" s="6"/>
      <c r="B7757" s="1"/>
      <c r="C7757" s="5"/>
      <c r="D7757" s="5"/>
      <c r="E7757" s="5"/>
      <c r="F7757" s="5"/>
      <c r="G7757" s="5"/>
      <c r="H7757" s="5"/>
      <c r="I7757" s="5"/>
      <c r="J7757" s="5"/>
      <c r="K7757" s="5"/>
      <c r="L7757" s="5"/>
    </row>
    <row r="7758" spans="1:12" ht="12" customHeight="1" x14ac:dyDescent="0.25">
      <c r="A7758" s="6"/>
      <c r="B7758" s="1"/>
      <c r="C7758" s="5"/>
      <c r="D7758" s="5"/>
      <c r="E7758" s="5"/>
      <c r="F7758" s="5"/>
      <c r="G7758" s="5"/>
      <c r="H7758" s="5"/>
      <c r="I7758" s="5"/>
      <c r="J7758" s="5"/>
      <c r="K7758" s="5"/>
      <c r="L7758" s="5"/>
    </row>
    <row r="7759" spans="1:12" ht="12" customHeight="1" x14ac:dyDescent="0.25">
      <c r="A7759" s="6"/>
      <c r="B7759" s="1"/>
      <c r="C7759" s="5"/>
      <c r="D7759" s="5"/>
      <c r="E7759" s="5"/>
      <c r="F7759" s="5"/>
      <c r="G7759" s="5"/>
      <c r="H7759" s="5"/>
      <c r="I7759" s="5"/>
      <c r="J7759" s="5"/>
      <c r="K7759" s="5"/>
      <c r="L7759" s="5"/>
    </row>
    <row r="7760" spans="1:12" ht="12" customHeight="1" x14ac:dyDescent="0.25">
      <c r="A7760" s="6"/>
      <c r="B7760" s="1"/>
      <c r="C7760" s="5"/>
      <c r="D7760" s="5"/>
      <c r="E7760" s="5"/>
      <c r="F7760" s="5"/>
      <c r="G7760" s="5"/>
      <c r="H7760" s="5"/>
      <c r="I7760" s="5"/>
      <c r="J7760" s="5"/>
      <c r="K7760" s="5"/>
      <c r="L7760" s="5"/>
    </row>
    <row r="7761" spans="1:12" ht="12" customHeight="1" x14ac:dyDescent="0.25">
      <c r="A7761" s="6"/>
      <c r="B7761" s="1"/>
      <c r="C7761" s="5"/>
      <c r="D7761" s="5"/>
      <c r="E7761" s="5"/>
      <c r="F7761" s="5"/>
      <c r="G7761" s="5"/>
      <c r="H7761" s="5"/>
      <c r="I7761" s="5"/>
      <c r="J7761" s="5"/>
      <c r="K7761" s="5"/>
      <c r="L7761" s="5"/>
    </row>
    <row r="7762" spans="1:12" ht="12" customHeight="1" x14ac:dyDescent="0.25">
      <c r="A7762" s="6"/>
      <c r="B7762" s="1"/>
      <c r="C7762" s="5"/>
      <c r="D7762" s="5"/>
      <c r="E7762" s="5"/>
      <c r="F7762" s="5"/>
      <c r="G7762" s="5"/>
      <c r="H7762" s="5"/>
      <c r="I7762" s="5"/>
      <c r="J7762" s="5"/>
      <c r="K7762" s="5"/>
      <c r="L7762" s="5"/>
    </row>
    <row r="7763" spans="1:12" ht="12" customHeight="1" x14ac:dyDescent="0.25">
      <c r="A7763" s="6"/>
      <c r="B7763" s="1"/>
      <c r="C7763" s="5"/>
      <c r="D7763" s="5"/>
      <c r="E7763" s="5"/>
      <c r="F7763" s="5"/>
      <c r="G7763" s="5"/>
      <c r="H7763" s="5"/>
      <c r="I7763" s="5"/>
      <c r="J7763" s="5"/>
      <c r="K7763" s="5"/>
      <c r="L7763" s="5"/>
    </row>
    <row r="7764" spans="1:12" ht="12" customHeight="1" x14ac:dyDescent="0.25">
      <c r="A7764" s="6"/>
      <c r="B7764" s="1"/>
      <c r="C7764" s="5"/>
      <c r="D7764" s="5"/>
      <c r="E7764" s="5"/>
      <c r="F7764" s="5"/>
      <c r="G7764" s="5"/>
      <c r="H7764" s="5"/>
      <c r="I7764" s="5"/>
      <c r="J7764" s="5"/>
      <c r="K7764" s="5"/>
      <c r="L7764" s="5"/>
    </row>
    <row r="7765" spans="1:12" ht="12" customHeight="1" x14ac:dyDescent="0.25">
      <c r="A7765" s="6"/>
      <c r="B7765" s="1"/>
      <c r="C7765" s="5"/>
      <c r="D7765" s="5"/>
      <c r="E7765" s="5"/>
      <c r="F7765" s="5"/>
      <c r="G7765" s="5"/>
      <c r="H7765" s="5"/>
      <c r="I7765" s="5"/>
      <c r="J7765" s="5"/>
      <c r="K7765" s="5"/>
      <c r="L7765" s="5"/>
    </row>
    <row r="7766" spans="1:12" ht="12" customHeight="1" x14ac:dyDescent="0.25">
      <c r="A7766" s="6"/>
      <c r="B7766" s="1"/>
      <c r="C7766" s="5"/>
      <c r="D7766" s="5"/>
      <c r="E7766" s="5"/>
      <c r="F7766" s="5"/>
      <c r="G7766" s="5"/>
      <c r="H7766" s="5"/>
      <c r="I7766" s="5"/>
      <c r="J7766" s="5"/>
      <c r="K7766" s="5"/>
      <c r="L7766" s="5"/>
    </row>
    <row r="7767" spans="1:12" ht="12" customHeight="1" x14ac:dyDescent="0.25">
      <c r="A7767" s="6"/>
      <c r="B7767" s="1"/>
      <c r="C7767" s="5"/>
      <c r="D7767" s="5"/>
      <c r="E7767" s="5"/>
      <c r="F7767" s="5"/>
      <c r="G7767" s="5"/>
      <c r="H7767" s="5"/>
      <c r="I7767" s="5"/>
      <c r="J7767" s="5"/>
      <c r="K7767" s="5"/>
      <c r="L7767" s="5"/>
    </row>
    <row r="7768" spans="1:12" ht="12" customHeight="1" x14ac:dyDescent="0.25">
      <c r="A7768" s="6"/>
      <c r="B7768" s="1"/>
      <c r="C7768" s="5"/>
      <c r="D7768" s="5"/>
      <c r="E7768" s="5"/>
      <c r="F7768" s="5"/>
      <c r="G7768" s="5"/>
      <c r="H7768" s="5"/>
      <c r="I7768" s="5"/>
      <c r="J7768" s="5"/>
      <c r="K7768" s="5"/>
      <c r="L7768" s="5"/>
    </row>
    <row r="7769" spans="1:12" ht="12" customHeight="1" x14ac:dyDescent="0.25">
      <c r="A7769" s="6"/>
      <c r="B7769" s="1"/>
      <c r="C7769" s="5"/>
      <c r="D7769" s="5"/>
      <c r="E7769" s="5"/>
      <c r="F7769" s="5"/>
      <c r="G7769" s="5"/>
      <c r="H7769" s="5"/>
      <c r="I7769" s="5"/>
      <c r="J7769" s="5"/>
      <c r="K7769" s="5"/>
      <c r="L7769" s="5"/>
    </row>
    <row r="7770" spans="1:12" ht="12" customHeight="1" x14ac:dyDescent="0.25">
      <c r="A7770" s="6"/>
      <c r="B7770" s="1"/>
      <c r="C7770" s="5"/>
      <c r="D7770" s="5"/>
      <c r="E7770" s="5"/>
      <c r="F7770" s="5"/>
      <c r="G7770" s="5"/>
      <c r="H7770" s="5"/>
      <c r="I7770" s="5"/>
      <c r="J7770" s="5"/>
      <c r="K7770" s="5"/>
      <c r="L7770" s="5"/>
    </row>
    <row r="7771" spans="1:12" ht="12" customHeight="1" x14ac:dyDescent="0.25">
      <c r="A7771" s="6"/>
      <c r="B7771" s="1"/>
      <c r="C7771" s="5"/>
      <c r="D7771" s="5"/>
      <c r="E7771" s="5"/>
      <c r="F7771" s="5"/>
      <c r="G7771" s="5"/>
      <c r="H7771" s="5"/>
      <c r="I7771" s="5"/>
      <c r="J7771" s="5"/>
      <c r="K7771" s="5"/>
      <c r="L7771" s="5"/>
    </row>
    <row r="7772" spans="1:12" ht="12" customHeight="1" x14ac:dyDescent="0.25">
      <c r="A7772" s="6"/>
      <c r="B7772" s="1"/>
      <c r="C7772" s="5"/>
      <c r="D7772" s="5"/>
      <c r="E7772" s="5"/>
      <c r="F7772" s="5"/>
      <c r="G7772" s="5"/>
      <c r="H7772" s="5"/>
      <c r="I7772" s="5"/>
      <c r="J7772" s="5"/>
      <c r="K7772" s="5"/>
      <c r="L7772" s="5"/>
    </row>
    <row r="7773" spans="1:12" ht="12" customHeight="1" x14ac:dyDescent="0.25">
      <c r="A7773" s="6"/>
      <c r="B7773" s="1"/>
      <c r="C7773" s="5"/>
      <c r="D7773" s="5"/>
      <c r="E7773" s="5"/>
      <c r="F7773" s="5"/>
      <c r="G7773" s="5"/>
      <c r="H7773" s="5"/>
      <c r="I7773" s="5"/>
      <c r="J7773" s="5"/>
      <c r="K7773" s="5"/>
      <c r="L7773" s="5"/>
    </row>
    <row r="7774" spans="1:12" ht="12" customHeight="1" x14ac:dyDescent="0.25">
      <c r="A7774" s="6"/>
      <c r="B7774" s="1"/>
      <c r="C7774" s="5"/>
      <c r="D7774" s="5"/>
      <c r="E7774" s="5"/>
      <c r="F7774" s="5"/>
      <c r="G7774" s="5"/>
      <c r="H7774" s="5"/>
      <c r="I7774" s="5"/>
      <c r="J7774" s="5"/>
      <c r="K7774" s="5"/>
      <c r="L7774" s="5"/>
    </row>
    <row r="7775" spans="1:12" ht="12" customHeight="1" x14ac:dyDescent="0.25">
      <c r="A7775" s="6"/>
      <c r="B7775" s="1"/>
      <c r="C7775" s="5"/>
      <c r="D7775" s="5"/>
      <c r="E7775" s="5"/>
      <c r="F7775" s="5"/>
      <c r="G7775" s="5"/>
      <c r="H7775" s="5"/>
      <c r="I7775" s="5"/>
      <c r="J7775" s="5"/>
      <c r="K7775" s="5"/>
      <c r="L7775" s="5"/>
    </row>
    <row r="7776" spans="1:12" ht="12" customHeight="1" x14ac:dyDescent="0.25">
      <c r="A7776" s="6"/>
      <c r="B7776" s="1"/>
      <c r="C7776" s="5"/>
      <c r="D7776" s="5"/>
      <c r="E7776" s="5"/>
      <c r="F7776" s="5"/>
      <c r="G7776" s="5"/>
      <c r="H7776" s="5"/>
      <c r="I7776" s="5"/>
      <c r="J7776" s="5"/>
      <c r="K7776" s="5"/>
      <c r="L7776" s="5"/>
    </row>
    <row r="7777" spans="1:12" ht="12" customHeight="1" x14ac:dyDescent="0.25">
      <c r="A7777" s="6"/>
      <c r="B7777" s="1"/>
      <c r="C7777" s="5"/>
      <c r="D7777" s="5"/>
      <c r="E7777" s="5"/>
      <c r="F7777" s="5"/>
      <c r="G7777" s="5"/>
      <c r="H7777" s="5"/>
      <c r="I7777" s="5"/>
      <c r="J7777" s="5"/>
      <c r="K7777" s="5"/>
      <c r="L7777" s="5"/>
    </row>
    <row r="7778" spans="1:12" ht="12" customHeight="1" x14ac:dyDescent="0.25">
      <c r="A7778" s="6"/>
      <c r="B7778" s="1"/>
      <c r="C7778" s="5"/>
      <c r="D7778" s="5"/>
      <c r="E7778" s="5"/>
      <c r="F7778" s="5"/>
      <c r="G7778" s="5"/>
      <c r="H7778" s="5"/>
      <c r="I7778" s="5"/>
      <c r="J7778" s="5"/>
      <c r="K7778" s="5"/>
      <c r="L7778" s="5"/>
    </row>
    <row r="7779" spans="1:12" ht="12" customHeight="1" x14ac:dyDescent="0.25">
      <c r="A7779" s="6"/>
      <c r="B7779" s="1"/>
      <c r="C7779" s="5"/>
      <c r="D7779" s="5"/>
      <c r="E7779" s="5"/>
      <c r="F7779" s="5"/>
      <c r="G7779" s="5"/>
      <c r="H7779" s="5"/>
      <c r="I7779" s="5"/>
      <c r="J7779" s="5"/>
      <c r="K7779" s="5"/>
      <c r="L7779" s="5"/>
    </row>
    <row r="7780" spans="1:12" ht="12" customHeight="1" x14ac:dyDescent="0.25">
      <c r="A7780" s="6"/>
      <c r="B7780" s="1"/>
      <c r="C7780" s="5"/>
      <c r="D7780" s="5"/>
      <c r="E7780" s="5"/>
      <c r="F7780" s="5"/>
      <c r="G7780" s="5"/>
      <c r="H7780" s="5"/>
      <c r="I7780" s="5"/>
      <c r="J7780" s="5"/>
      <c r="K7780" s="5"/>
      <c r="L7780" s="5"/>
    </row>
    <row r="7781" spans="1:12" ht="12" customHeight="1" x14ac:dyDescent="0.25">
      <c r="A7781" s="6"/>
      <c r="B7781" s="1"/>
      <c r="C7781" s="5"/>
      <c r="D7781" s="5"/>
      <c r="E7781" s="5"/>
      <c r="F7781" s="5"/>
      <c r="G7781" s="5"/>
      <c r="H7781" s="5"/>
      <c r="I7781" s="5"/>
      <c r="J7781" s="5"/>
      <c r="K7781" s="5"/>
      <c r="L7781" s="5"/>
    </row>
    <row r="7782" spans="1:12" ht="12" customHeight="1" x14ac:dyDescent="0.25">
      <c r="A7782" s="6"/>
      <c r="B7782" s="1"/>
      <c r="C7782" s="5"/>
      <c r="D7782" s="5"/>
      <c r="E7782" s="5"/>
      <c r="F7782" s="5"/>
      <c r="G7782" s="5"/>
      <c r="H7782" s="5"/>
      <c r="I7782" s="5"/>
      <c r="J7782" s="5"/>
      <c r="K7782" s="5"/>
      <c r="L7782" s="5"/>
    </row>
    <row r="7783" spans="1:12" ht="12" customHeight="1" x14ac:dyDescent="0.25">
      <c r="A7783" s="6"/>
      <c r="B7783" s="1"/>
      <c r="C7783" s="5"/>
      <c r="D7783" s="5"/>
      <c r="E7783" s="5"/>
      <c r="F7783" s="5"/>
      <c r="G7783" s="5"/>
      <c r="H7783" s="5"/>
      <c r="I7783" s="5"/>
      <c r="J7783" s="5"/>
      <c r="K7783" s="5"/>
      <c r="L7783" s="5"/>
    </row>
    <row r="7784" spans="1:12" ht="12" customHeight="1" x14ac:dyDescent="0.25">
      <c r="A7784" s="6"/>
      <c r="B7784" s="1"/>
      <c r="C7784" s="5"/>
      <c r="D7784" s="5"/>
      <c r="E7784" s="5"/>
      <c r="F7784" s="5"/>
      <c r="G7784" s="5"/>
      <c r="H7784" s="5"/>
      <c r="I7784" s="5"/>
      <c r="J7784" s="5"/>
      <c r="K7784" s="5"/>
      <c r="L7784" s="5"/>
    </row>
    <row r="7785" spans="1:12" ht="12" customHeight="1" x14ac:dyDescent="0.25">
      <c r="A7785" s="6"/>
      <c r="B7785" s="1"/>
      <c r="C7785" s="5"/>
      <c r="D7785" s="5"/>
      <c r="E7785" s="5"/>
      <c r="F7785" s="5"/>
      <c r="G7785" s="5"/>
      <c r="H7785" s="5"/>
      <c r="I7785" s="5"/>
      <c r="J7785" s="5"/>
      <c r="K7785" s="5"/>
      <c r="L7785" s="5"/>
    </row>
    <row r="7786" spans="1:12" ht="12" customHeight="1" x14ac:dyDescent="0.25">
      <c r="A7786" s="6"/>
      <c r="B7786" s="1"/>
      <c r="C7786" s="5"/>
      <c r="D7786" s="5"/>
      <c r="E7786" s="5"/>
      <c r="F7786" s="5"/>
      <c r="G7786" s="5"/>
      <c r="H7786" s="5"/>
      <c r="I7786" s="5"/>
      <c r="J7786" s="5"/>
      <c r="K7786" s="5"/>
      <c r="L7786" s="5"/>
    </row>
    <row r="7787" spans="1:12" ht="12" customHeight="1" x14ac:dyDescent="0.25">
      <c r="A7787" s="6"/>
      <c r="B7787" s="1"/>
      <c r="C7787" s="5"/>
      <c r="D7787" s="5"/>
      <c r="E7787" s="5"/>
      <c r="F7787" s="5"/>
      <c r="G7787" s="5"/>
      <c r="H7787" s="5"/>
      <c r="I7787" s="5"/>
      <c r="J7787" s="5"/>
      <c r="K7787" s="5"/>
      <c r="L7787" s="5"/>
    </row>
    <row r="7788" spans="1:12" ht="12" customHeight="1" x14ac:dyDescent="0.25">
      <c r="A7788" s="6"/>
      <c r="B7788" s="1"/>
      <c r="C7788" s="5"/>
      <c r="D7788" s="5"/>
      <c r="E7788" s="5"/>
      <c r="F7788" s="5"/>
      <c r="G7788" s="5"/>
      <c r="H7788" s="5"/>
      <c r="I7788" s="5"/>
      <c r="J7788" s="5"/>
      <c r="K7788" s="5"/>
      <c r="L7788" s="5"/>
    </row>
    <row r="7789" spans="1:12" ht="12" customHeight="1" x14ac:dyDescent="0.25">
      <c r="A7789" s="6"/>
      <c r="B7789" s="1"/>
      <c r="C7789" s="5"/>
      <c r="D7789" s="5"/>
      <c r="E7789" s="5"/>
      <c r="F7789" s="5"/>
      <c r="G7789" s="5"/>
      <c r="H7789" s="5"/>
      <c r="I7789" s="5"/>
      <c r="J7789" s="5"/>
      <c r="K7789" s="5"/>
      <c r="L7789" s="5"/>
    </row>
    <row r="7790" spans="1:12" ht="12" customHeight="1" x14ac:dyDescent="0.25">
      <c r="A7790" s="6"/>
      <c r="B7790" s="1"/>
      <c r="C7790" s="5"/>
      <c r="D7790" s="5"/>
      <c r="E7790" s="5"/>
      <c r="F7790" s="5"/>
      <c r="G7790" s="5"/>
      <c r="H7790" s="5"/>
      <c r="I7790" s="5"/>
      <c r="J7790" s="5"/>
      <c r="K7790" s="5"/>
      <c r="L7790" s="5"/>
    </row>
    <row r="7791" spans="1:12" ht="12" customHeight="1" x14ac:dyDescent="0.25">
      <c r="A7791" s="6"/>
      <c r="B7791" s="1"/>
      <c r="C7791" s="5"/>
      <c r="D7791" s="5"/>
      <c r="E7791" s="5"/>
      <c r="F7791" s="5"/>
      <c r="G7791" s="5"/>
      <c r="H7791" s="5"/>
      <c r="I7791" s="5"/>
      <c r="J7791" s="5"/>
      <c r="K7791" s="5"/>
      <c r="L7791" s="5"/>
    </row>
    <row r="7792" spans="1:12" ht="12" customHeight="1" x14ac:dyDescent="0.25">
      <c r="A7792" s="6"/>
      <c r="B7792" s="1"/>
      <c r="C7792" s="5"/>
      <c r="D7792" s="5"/>
      <c r="E7792" s="5"/>
      <c r="F7792" s="5"/>
      <c r="G7792" s="5"/>
      <c r="H7792" s="5"/>
      <c r="I7792" s="5"/>
      <c r="J7792" s="5"/>
      <c r="K7792" s="5"/>
      <c r="L7792" s="5"/>
    </row>
    <row r="7793" spans="1:12" ht="12" customHeight="1" x14ac:dyDescent="0.25">
      <c r="A7793" s="6"/>
      <c r="B7793" s="1"/>
      <c r="C7793" s="5"/>
      <c r="D7793" s="5"/>
      <c r="E7793" s="5"/>
      <c r="F7793" s="5"/>
      <c r="G7793" s="5"/>
      <c r="H7793" s="5"/>
      <c r="I7793" s="5"/>
      <c r="J7793" s="5"/>
      <c r="K7793" s="5"/>
      <c r="L7793" s="5"/>
    </row>
    <row r="7794" spans="1:12" ht="12" customHeight="1" x14ac:dyDescent="0.25">
      <c r="A7794" s="6"/>
      <c r="B7794" s="1"/>
      <c r="C7794" s="5"/>
      <c r="D7794" s="5"/>
      <c r="E7794" s="5"/>
      <c r="F7794" s="5"/>
      <c r="G7794" s="5"/>
      <c r="H7794" s="5"/>
      <c r="I7794" s="5"/>
      <c r="J7794" s="5"/>
      <c r="K7794" s="5"/>
      <c r="L7794" s="5"/>
    </row>
    <row r="7795" spans="1:12" ht="12" customHeight="1" x14ac:dyDescent="0.25">
      <c r="A7795" s="6"/>
      <c r="B7795" s="1"/>
      <c r="C7795" s="5"/>
      <c r="D7795" s="5"/>
      <c r="E7795" s="5"/>
      <c r="F7795" s="5"/>
      <c r="G7795" s="5"/>
      <c r="H7795" s="5"/>
      <c r="I7795" s="5"/>
      <c r="J7795" s="5"/>
      <c r="K7795" s="5"/>
      <c r="L7795" s="5"/>
    </row>
    <row r="7796" spans="1:12" ht="12" customHeight="1" x14ac:dyDescent="0.25">
      <c r="A7796" s="6"/>
      <c r="B7796" s="1"/>
      <c r="C7796" s="5"/>
      <c r="D7796" s="5"/>
      <c r="E7796" s="5"/>
      <c r="F7796" s="5"/>
      <c r="G7796" s="5"/>
      <c r="H7796" s="5"/>
      <c r="I7796" s="5"/>
      <c r="J7796" s="5"/>
      <c r="K7796" s="5"/>
      <c r="L7796" s="5"/>
    </row>
    <row r="7797" spans="1:12" ht="12" customHeight="1" x14ac:dyDescent="0.25">
      <c r="A7797" s="6"/>
      <c r="B7797" s="1"/>
      <c r="C7797" s="5"/>
      <c r="D7797" s="5"/>
      <c r="E7797" s="5"/>
      <c r="F7797" s="5"/>
      <c r="G7797" s="5"/>
      <c r="H7797" s="5"/>
      <c r="I7797" s="5"/>
      <c r="J7797" s="5"/>
      <c r="K7797" s="5"/>
      <c r="L7797" s="5"/>
    </row>
    <row r="7798" spans="1:12" ht="12" customHeight="1" x14ac:dyDescent="0.25">
      <c r="A7798" s="6"/>
      <c r="B7798" s="1"/>
      <c r="C7798" s="5"/>
      <c r="D7798" s="5"/>
      <c r="E7798" s="5"/>
      <c r="F7798" s="5"/>
      <c r="G7798" s="5"/>
      <c r="H7798" s="5"/>
      <c r="I7798" s="5"/>
      <c r="J7798" s="5"/>
      <c r="K7798" s="5"/>
      <c r="L7798" s="5"/>
    </row>
    <row r="7799" spans="1:12" ht="12" customHeight="1" x14ac:dyDescent="0.25">
      <c r="A7799" s="6"/>
      <c r="B7799" s="1"/>
      <c r="C7799" s="5"/>
      <c r="D7799" s="5"/>
      <c r="E7799" s="5"/>
      <c r="F7799" s="5"/>
      <c r="G7799" s="5"/>
      <c r="H7799" s="5"/>
      <c r="I7799" s="5"/>
      <c r="J7799" s="5"/>
      <c r="K7799" s="5"/>
      <c r="L7799" s="5"/>
    </row>
    <row r="7800" spans="1:12" ht="12" customHeight="1" x14ac:dyDescent="0.25">
      <c r="A7800" s="6"/>
      <c r="B7800" s="1"/>
      <c r="C7800" s="5"/>
      <c r="D7800" s="5"/>
      <c r="E7800" s="5"/>
      <c r="F7800" s="5"/>
      <c r="G7800" s="5"/>
      <c r="H7800" s="5"/>
      <c r="I7800" s="5"/>
      <c r="J7800" s="5"/>
      <c r="K7800" s="5"/>
      <c r="L7800" s="5"/>
    </row>
    <row r="7801" spans="1:12" ht="12" customHeight="1" x14ac:dyDescent="0.25">
      <c r="A7801" s="6"/>
      <c r="B7801" s="1"/>
      <c r="C7801" s="5"/>
      <c r="D7801" s="5"/>
      <c r="E7801" s="5"/>
      <c r="F7801" s="5"/>
      <c r="G7801" s="5"/>
      <c r="H7801" s="5"/>
      <c r="I7801" s="5"/>
      <c r="J7801" s="5"/>
      <c r="K7801" s="5"/>
      <c r="L7801" s="5"/>
    </row>
    <row r="7802" spans="1:12" ht="12" customHeight="1" x14ac:dyDescent="0.25">
      <c r="A7802" s="6"/>
      <c r="B7802" s="1"/>
      <c r="C7802" s="5"/>
      <c r="D7802" s="5"/>
      <c r="E7802" s="5"/>
      <c r="F7802" s="5"/>
      <c r="G7802" s="5"/>
      <c r="H7802" s="5"/>
      <c r="I7802" s="5"/>
      <c r="J7802" s="5"/>
      <c r="K7802" s="5"/>
      <c r="L7802" s="5"/>
    </row>
    <row r="7803" spans="1:12" ht="12" customHeight="1" x14ac:dyDescent="0.25">
      <c r="A7803" s="6"/>
      <c r="B7803" s="1"/>
      <c r="C7803" s="5"/>
      <c r="D7803" s="5"/>
      <c r="E7803" s="5"/>
      <c r="F7803" s="5"/>
      <c r="G7803" s="5"/>
      <c r="H7803" s="5"/>
      <c r="I7803" s="5"/>
      <c r="J7803" s="5"/>
      <c r="K7803" s="5"/>
      <c r="L7803" s="5"/>
    </row>
    <row r="7804" spans="1:12" ht="12" customHeight="1" x14ac:dyDescent="0.25">
      <c r="A7804" s="6"/>
      <c r="B7804" s="1"/>
      <c r="C7804" s="5"/>
      <c r="D7804" s="5"/>
      <c r="E7804" s="5"/>
      <c r="F7804" s="5"/>
      <c r="G7804" s="5"/>
      <c r="H7804" s="5"/>
      <c r="I7804" s="5"/>
      <c r="J7804" s="5"/>
      <c r="K7804" s="5"/>
      <c r="L7804" s="5"/>
    </row>
    <row r="7805" spans="1:12" ht="12" customHeight="1" x14ac:dyDescent="0.25">
      <c r="A7805" s="6"/>
      <c r="B7805" s="1"/>
      <c r="C7805" s="5"/>
      <c r="D7805" s="5"/>
      <c r="E7805" s="5"/>
      <c r="F7805" s="5"/>
      <c r="G7805" s="5"/>
      <c r="H7805" s="5"/>
      <c r="I7805" s="5"/>
      <c r="J7805" s="5"/>
      <c r="K7805" s="5"/>
      <c r="L7805" s="5"/>
    </row>
    <row r="7806" spans="1:12" ht="12" customHeight="1" x14ac:dyDescent="0.25">
      <c r="A7806" s="6"/>
      <c r="B7806" s="1"/>
      <c r="C7806" s="5"/>
      <c r="D7806" s="5"/>
      <c r="E7806" s="5"/>
      <c r="F7806" s="5"/>
      <c r="G7806" s="5"/>
      <c r="H7806" s="5"/>
      <c r="I7806" s="5"/>
      <c r="J7806" s="5"/>
      <c r="K7806" s="5"/>
      <c r="L7806" s="5"/>
    </row>
    <row r="7807" spans="1:12" ht="12" customHeight="1" x14ac:dyDescent="0.25">
      <c r="A7807" s="6"/>
      <c r="B7807" s="1"/>
      <c r="C7807" s="5"/>
      <c r="D7807" s="5"/>
      <c r="E7807" s="5"/>
      <c r="F7807" s="5"/>
      <c r="G7807" s="5"/>
      <c r="H7807" s="5"/>
      <c r="I7807" s="5"/>
      <c r="J7807" s="5"/>
      <c r="K7807" s="5"/>
      <c r="L7807" s="5"/>
    </row>
    <row r="7808" spans="1:12" ht="12" customHeight="1" x14ac:dyDescent="0.25">
      <c r="A7808" s="6"/>
      <c r="B7808" s="1"/>
      <c r="C7808" s="5"/>
      <c r="D7808" s="5"/>
      <c r="E7808" s="5"/>
      <c r="F7808" s="5"/>
      <c r="G7808" s="5"/>
      <c r="H7808" s="5"/>
      <c r="I7808" s="5"/>
      <c r="J7808" s="5"/>
      <c r="K7808" s="5"/>
      <c r="L7808" s="5"/>
    </row>
    <row r="7809" spans="1:12" ht="12" customHeight="1" x14ac:dyDescent="0.25">
      <c r="A7809" s="6"/>
      <c r="B7809" s="1"/>
      <c r="C7809" s="5"/>
      <c r="D7809" s="5"/>
      <c r="E7809" s="5"/>
      <c r="F7809" s="5"/>
      <c r="G7809" s="5"/>
      <c r="H7809" s="5"/>
      <c r="I7809" s="5"/>
      <c r="J7809" s="5"/>
      <c r="K7809" s="5"/>
      <c r="L7809" s="5"/>
    </row>
    <row r="7810" spans="1:12" ht="12" customHeight="1" x14ac:dyDescent="0.25">
      <c r="A7810" s="6"/>
      <c r="B7810" s="1"/>
      <c r="C7810" s="5"/>
      <c r="D7810" s="5"/>
      <c r="E7810" s="5"/>
      <c r="F7810" s="5"/>
      <c r="G7810" s="5"/>
      <c r="H7810" s="5"/>
      <c r="I7810" s="5"/>
      <c r="J7810" s="5"/>
      <c r="K7810" s="5"/>
      <c r="L7810" s="5"/>
    </row>
    <row r="7811" spans="1:12" ht="12" customHeight="1" x14ac:dyDescent="0.25">
      <c r="A7811" s="6"/>
      <c r="B7811" s="1"/>
      <c r="C7811" s="5"/>
      <c r="D7811" s="5"/>
      <c r="E7811" s="5"/>
      <c r="F7811" s="5"/>
      <c r="G7811" s="5"/>
      <c r="H7811" s="5"/>
      <c r="I7811" s="5"/>
      <c r="J7811" s="5"/>
      <c r="K7811" s="5"/>
      <c r="L7811" s="5"/>
    </row>
    <row r="7812" spans="1:12" ht="12" customHeight="1" x14ac:dyDescent="0.25">
      <c r="A7812" s="6"/>
      <c r="B7812" s="1"/>
      <c r="C7812" s="5"/>
      <c r="D7812" s="5"/>
      <c r="E7812" s="5"/>
      <c r="F7812" s="5"/>
      <c r="G7812" s="5"/>
      <c r="H7812" s="5"/>
      <c r="I7812" s="5"/>
      <c r="J7812" s="5"/>
      <c r="K7812" s="5"/>
      <c r="L7812" s="5"/>
    </row>
    <row r="7813" spans="1:12" ht="12" customHeight="1" x14ac:dyDescent="0.25">
      <c r="A7813" s="6"/>
      <c r="B7813" s="1"/>
      <c r="C7813" s="5"/>
      <c r="D7813" s="5"/>
      <c r="E7813" s="5"/>
      <c r="F7813" s="5"/>
      <c r="G7813" s="5"/>
      <c r="H7813" s="5"/>
      <c r="I7813" s="5"/>
      <c r="J7813" s="5"/>
      <c r="K7813" s="5"/>
      <c r="L7813" s="5"/>
    </row>
    <row r="7814" spans="1:12" ht="12" customHeight="1" x14ac:dyDescent="0.25">
      <c r="A7814" s="6"/>
      <c r="B7814" s="1"/>
      <c r="C7814" s="5"/>
      <c r="D7814" s="5"/>
      <c r="E7814" s="5"/>
      <c r="F7814" s="5"/>
      <c r="G7814" s="5"/>
      <c r="H7814" s="5"/>
      <c r="I7814" s="5"/>
      <c r="J7814" s="5"/>
      <c r="K7814" s="5"/>
      <c r="L7814" s="5"/>
    </row>
    <row r="7815" spans="1:12" ht="12" customHeight="1" x14ac:dyDescent="0.25">
      <c r="A7815" s="6"/>
      <c r="B7815" s="1"/>
      <c r="C7815" s="5"/>
      <c r="D7815" s="5"/>
      <c r="E7815" s="5"/>
      <c r="F7815" s="5"/>
      <c r="G7815" s="5"/>
      <c r="H7815" s="5"/>
      <c r="I7815" s="5"/>
      <c r="J7815" s="5"/>
      <c r="K7815" s="5"/>
      <c r="L7815" s="5"/>
    </row>
    <row r="7816" spans="1:12" ht="12" customHeight="1" x14ac:dyDescent="0.25">
      <c r="A7816" s="6"/>
      <c r="B7816" s="1"/>
      <c r="C7816" s="5"/>
      <c r="D7816" s="5"/>
      <c r="E7816" s="5"/>
      <c r="F7816" s="5"/>
      <c r="G7816" s="5"/>
      <c r="H7816" s="5"/>
      <c r="I7816" s="5"/>
      <c r="J7816" s="5"/>
      <c r="K7816" s="5"/>
      <c r="L7816" s="5"/>
    </row>
    <row r="7817" spans="1:12" ht="12" customHeight="1" x14ac:dyDescent="0.25">
      <c r="A7817" s="6"/>
      <c r="B7817" s="1"/>
      <c r="C7817" s="5"/>
      <c r="D7817" s="5"/>
      <c r="E7817" s="5"/>
      <c r="F7817" s="5"/>
      <c r="G7817" s="5"/>
      <c r="H7817" s="5"/>
      <c r="I7817" s="5"/>
      <c r="J7817" s="5"/>
      <c r="K7817" s="5"/>
      <c r="L7817" s="5"/>
    </row>
    <row r="7818" spans="1:12" ht="12" customHeight="1" x14ac:dyDescent="0.25">
      <c r="A7818" s="6"/>
      <c r="B7818" s="1"/>
      <c r="C7818" s="5"/>
      <c r="D7818" s="5"/>
      <c r="E7818" s="5"/>
      <c r="F7818" s="5"/>
      <c r="G7818" s="5"/>
      <c r="H7818" s="5"/>
      <c r="I7818" s="5"/>
      <c r="J7818" s="5"/>
      <c r="K7818" s="5"/>
      <c r="L7818" s="5"/>
    </row>
    <row r="7819" spans="1:12" ht="12" customHeight="1" x14ac:dyDescent="0.25">
      <c r="A7819" s="6"/>
      <c r="B7819" s="1"/>
      <c r="C7819" s="5"/>
      <c r="D7819" s="5"/>
      <c r="E7819" s="5"/>
      <c r="F7819" s="5"/>
      <c r="G7819" s="5"/>
      <c r="H7819" s="5"/>
      <c r="I7819" s="5"/>
      <c r="J7819" s="5"/>
      <c r="K7819" s="5"/>
      <c r="L7819" s="5"/>
    </row>
    <row r="7820" spans="1:12" ht="12" customHeight="1" x14ac:dyDescent="0.25">
      <c r="A7820" s="6"/>
      <c r="B7820" s="1"/>
      <c r="C7820" s="5"/>
      <c r="D7820" s="5"/>
      <c r="E7820" s="5"/>
      <c r="F7820" s="5"/>
      <c r="G7820" s="5"/>
      <c r="H7820" s="5"/>
      <c r="I7820" s="5"/>
      <c r="J7820" s="5"/>
      <c r="K7820" s="5"/>
      <c r="L7820" s="5"/>
    </row>
    <row r="7821" spans="1:12" ht="12" customHeight="1" x14ac:dyDescent="0.25">
      <c r="A7821" s="6"/>
      <c r="B7821" s="1"/>
      <c r="C7821" s="5"/>
      <c r="D7821" s="5"/>
      <c r="E7821" s="5"/>
      <c r="F7821" s="5"/>
      <c r="G7821" s="5"/>
      <c r="H7821" s="5"/>
      <c r="I7821" s="5"/>
      <c r="J7821" s="5"/>
      <c r="K7821" s="5"/>
      <c r="L7821" s="5"/>
    </row>
    <row r="7822" spans="1:12" ht="12" customHeight="1" x14ac:dyDescent="0.25">
      <c r="A7822" s="6"/>
      <c r="B7822" s="1"/>
      <c r="C7822" s="5"/>
      <c r="D7822" s="5"/>
      <c r="E7822" s="5"/>
      <c r="F7822" s="5"/>
      <c r="G7822" s="5"/>
      <c r="H7822" s="5"/>
      <c r="I7822" s="5"/>
      <c r="J7822" s="5"/>
      <c r="K7822" s="5"/>
      <c r="L7822" s="5"/>
    </row>
    <row r="7823" spans="1:12" ht="12" customHeight="1" x14ac:dyDescent="0.25">
      <c r="A7823" s="6"/>
      <c r="B7823" s="1"/>
      <c r="C7823" s="5"/>
      <c r="D7823" s="5"/>
      <c r="E7823" s="5"/>
      <c r="F7823" s="5"/>
      <c r="G7823" s="5"/>
      <c r="H7823" s="5"/>
      <c r="I7823" s="5"/>
      <c r="J7823" s="5"/>
      <c r="K7823" s="5"/>
      <c r="L7823" s="5"/>
    </row>
    <row r="7824" spans="1:12" ht="12" customHeight="1" x14ac:dyDescent="0.25">
      <c r="A7824" s="6"/>
      <c r="B7824" s="1"/>
      <c r="C7824" s="5"/>
      <c r="D7824" s="5"/>
      <c r="E7824" s="5"/>
      <c r="F7824" s="5"/>
      <c r="G7824" s="5"/>
      <c r="H7824" s="5"/>
      <c r="I7824" s="5"/>
      <c r="J7824" s="5"/>
      <c r="K7824" s="5"/>
      <c r="L7824" s="5"/>
    </row>
    <row r="7825" spans="1:12" ht="12" customHeight="1" x14ac:dyDescent="0.25">
      <c r="A7825" s="6"/>
      <c r="B7825" s="1"/>
      <c r="C7825" s="5"/>
      <c r="D7825" s="5"/>
      <c r="E7825" s="5"/>
      <c r="F7825" s="5"/>
      <c r="G7825" s="5"/>
      <c r="H7825" s="5"/>
      <c r="I7825" s="5"/>
      <c r="J7825" s="5"/>
      <c r="K7825" s="5"/>
      <c r="L7825" s="5"/>
    </row>
    <row r="7826" spans="1:12" ht="12" customHeight="1" x14ac:dyDescent="0.25">
      <c r="A7826" s="6"/>
      <c r="B7826" s="1"/>
      <c r="C7826" s="5"/>
      <c r="D7826" s="5"/>
      <c r="E7826" s="5"/>
      <c r="F7826" s="5"/>
      <c r="G7826" s="5"/>
      <c r="H7826" s="5"/>
      <c r="I7826" s="5"/>
      <c r="J7826" s="5"/>
      <c r="K7826" s="5"/>
      <c r="L7826" s="5"/>
    </row>
    <row r="7827" spans="1:12" ht="12" customHeight="1" x14ac:dyDescent="0.25">
      <c r="A7827" s="6"/>
      <c r="B7827" s="1"/>
      <c r="C7827" s="5"/>
      <c r="D7827" s="5"/>
      <c r="E7827" s="5"/>
      <c r="F7827" s="5"/>
      <c r="G7827" s="5"/>
      <c r="H7827" s="5"/>
      <c r="I7827" s="5"/>
      <c r="J7827" s="5"/>
      <c r="K7827" s="5"/>
      <c r="L7827" s="5"/>
    </row>
    <row r="7828" spans="1:12" ht="12" customHeight="1" x14ac:dyDescent="0.25">
      <c r="A7828" s="6"/>
      <c r="B7828" s="1"/>
      <c r="C7828" s="5"/>
      <c r="D7828" s="5"/>
      <c r="E7828" s="5"/>
      <c r="F7828" s="5"/>
      <c r="G7828" s="5"/>
      <c r="H7828" s="5"/>
      <c r="I7828" s="5"/>
      <c r="J7828" s="5"/>
      <c r="K7828" s="5"/>
      <c r="L7828" s="5"/>
    </row>
    <row r="7829" spans="1:12" ht="12" customHeight="1" x14ac:dyDescent="0.25">
      <c r="A7829" s="6"/>
      <c r="B7829" s="1"/>
      <c r="C7829" s="5"/>
      <c r="D7829" s="5"/>
      <c r="E7829" s="5"/>
      <c r="F7829" s="5"/>
      <c r="G7829" s="5"/>
      <c r="H7829" s="5"/>
      <c r="I7829" s="5"/>
      <c r="J7829" s="5"/>
      <c r="K7829" s="5"/>
      <c r="L7829" s="5"/>
    </row>
    <row r="7830" spans="1:12" ht="12" customHeight="1" x14ac:dyDescent="0.25">
      <c r="A7830" s="6"/>
      <c r="B7830" s="1"/>
      <c r="C7830" s="5"/>
      <c r="D7830" s="5"/>
      <c r="E7830" s="5"/>
      <c r="F7830" s="5"/>
      <c r="G7830" s="5"/>
      <c r="H7830" s="5"/>
      <c r="I7830" s="5"/>
      <c r="J7830" s="5"/>
      <c r="K7830" s="5"/>
      <c r="L7830" s="5"/>
    </row>
    <row r="7831" spans="1:12" ht="12" customHeight="1" x14ac:dyDescent="0.25">
      <c r="A7831" s="6"/>
      <c r="B7831" s="1"/>
      <c r="C7831" s="5"/>
      <c r="D7831" s="5"/>
      <c r="E7831" s="5"/>
      <c r="F7831" s="5"/>
      <c r="G7831" s="5"/>
      <c r="H7831" s="5"/>
      <c r="I7831" s="5"/>
      <c r="J7831" s="5"/>
      <c r="K7831" s="5"/>
      <c r="L7831" s="5"/>
    </row>
    <row r="7832" spans="1:12" ht="12" customHeight="1" x14ac:dyDescent="0.25">
      <c r="A7832" s="6"/>
      <c r="B7832" s="1"/>
      <c r="C7832" s="5"/>
      <c r="D7832" s="5"/>
      <c r="E7832" s="5"/>
      <c r="F7832" s="5"/>
      <c r="G7832" s="5"/>
      <c r="H7832" s="5"/>
      <c r="I7832" s="5"/>
      <c r="J7832" s="5"/>
      <c r="K7832" s="5"/>
      <c r="L7832" s="5"/>
    </row>
    <row r="7833" spans="1:12" ht="12" customHeight="1" x14ac:dyDescent="0.25">
      <c r="A7833" s="6"/>
      <c r="B7833" s="1"/>
      <c r="C7833" s="5"/>
      <c r="D7833" s="5"/>
      <c r="E7833" s="5"/>
      <c r="F7833" s="5"/>
      <c r="G7833" s="5"/>
      <c r="H7833" s="5"/>
      <c r="I7833" s="5"/>
      <c r="J7833" s="5"/>
      <c r="K7833" s="5"/>
      <c r="L7833" s="5"/>
    </row>
    <row r="7834" spans="1:12" ht="12" customHeight="1" x14ac:dyDescent="0.25">
      <c r="A7834" s="6"/>
      <c r="B7834" s="1"/>
      <c r="C7834" s="5"/>
      <c r="D7834" s="5"/>
      <c r="E7834" s="5"/>
      <c r="F7834" s="5"/>
      <c r="G7834" s="5"/>
      <c r="H7834" s="5"/>
      <c r="I7834" s="5"/>
      <c r="J7834" s="5"/>
      <c r="K7834" s="5"/>
      <c r="L7834" s="5"/>
    </row>
    <row r="7835" spans="1:12" ht="12" customHeight="1" x14ac:dyDescent="0.25">
      <c r="A7835" s="6"/>
      <c r="B7835" s="1"/>
      <c r="C7835" s="5"/>
      <c r="D7835" s="5"/>
      <c r="E7835" s="5"/>
      <c r="F7835" s="5"/>
      <c r="G7835" s="5"/>
      <c r="H7835" s="5"/>
      <c r="I7835" s="5"/>
      <c r="J7835" s="5"/>
      <c r="K7835" s="5"/>
      <c r="L7835" s="5"/>
    </row>
    <row r="7836" spans="1:12" ht="12" customHeight="1" x14ac:dyDescent="0.25">
      <c r="A7836" s="6"/>
      <c r="B7836" s="1"/>
      <c r="C7836" s="5"/>
      <c r="D7836" s="5"/>
      <c r="E7836" s="5"/>
      <c r="F7836" s="5"/>
      <c r="G7836" s="5"/>
      <c r="H7836" s="5"/>
      <c r="I7836" s="5"/>
      <c r="J7836" s="5"/>
      <c r="K7836" s="5"/>
      <c r="L7836" s="5"/>
    </row>
    <row r="7837" spans="1:12" ht="12" customHeight="1" x14ac:dyDescent="0.25">
      <c r="A7837" s="6"/>
      <c r="B7837" s="1"/>
      <c r="C7837" s="5"/>
      <c r="D7837" s="5"/>
      <c r="E7837" s="5"/>
      <c r="F7837" s="5"/>
      <c r="G7837" s="5"/>
      <c r="H7837" s="5"/>
      <c r="I7837" s="5"/>
      <c r="J7837" s="5"/>
      <c r="K7837" s="5"/>
      <c r="L7837" s="5"/>
    </row>
    <row r="7838" spans="1:12" ht="12" customHeight="1" x14ac:dyDescent="0.25">
      <c r="A7838" s="6"/>
      <c r="B7838" s="1"/>
      <c r="C7838" s="5"/>
      <c r="D7838" s="5"/>
      <c r="E7838" s="5"/>
      <c r="F7838" s="5"/>
      <c r="G7838" s="5"/>
      <c r="H7838" s="5"/>
      <c r="I7838" s="5"/>
      <c r="J7838" s="5"/>
      <c r="K7838" s="5"/>
      <c r="L7838" s="5"/>
    </row>
    <row r="7839" spans="1:12" ht="12" customHeight="1" x14ac:dyDescent="0.25">
      <c r="A7839" s="6"/>
      <c r="B7839" s="1"/>
      <c r="C7839" s="5"/>
      <c r="D7839" s="5"/>
      <c r="E7839" s="5"/>
      <c r="F7839" s="5"/>
      <c r="G7839" s="5"/>
      <c r="H7839" s="5"/>
      <c r="I7839" s="5"/>
      <c r="J7839" s="5"/>
      <c r="K7839" s="5"/>
      <c r="L7839" s="5"/>
    </row>
    <row r="7840" spans="1:12" ht="12" customHeight="1" x14ac:dyDescent="0.25">
      <c r="A7840" s="6"/>
      <c r="B7840" s="1"/>
      <c r="C7840" s="5"/>
      <c r="D7840" s="5"/>
      <c r="E7840" s="5"/>
      <c r="F7840" s="5"/>
      <c r="G7840" s="5"/>
      <c r="H7840" s="5"/>
      <c r="I7840" s="5"/>
      <c r="J7840" s="5"/>
      <c r="K7840" s="5"/>
      <c r="L7840" s="5"/>
    </row>
    <row r="7841" spans="1:12" ht="12" customHeight="1" x14ac:dyDescent="0.25">
      <c r="A7841" s="6"/>
      <c r="B7841" s="1"/>
      <c r="C7841" s="5"/>
      <c r="D7841" s="5"/>
      <c r="E7841" s="5"/>
      <c r="F7841" s="5"/>
      <c r="G7841" s="5"/>
      <c r="H7841" s="5"/>
      <c r="I7841" s="5"/>
      <c r="J7841" s="5"/>
      <c r="K7841" s="5"/>
      <c r="L7841" s="5"/>
    </row>
    <row r="7842" spans="1:12" ht="12" customHeight="1" x14ac:dyDescent="0.25">
      <c r="A7842" s="6"/>
      <c r="B7842" s="1"/>
      <c r="C7842" s="5"/>
      <c r="D7842" s="5"/>
      <c r="E7842" s="5"/>
      <c r="F7842" s="5"/>
      <c r="G7842" s="5"/>
      <c r="H7842" s="5"/>
      <c r="I7842" s="5"/>
      <c r="J7842" s="5"/>
      <c r="K7842" s="5"/>
      <c r="L7842" s="5"/>
    </row>
    <row r="7843" spans="1:12" ht="12" customHeight="1" x14ac:dyDescent="0.25">
      <c r="A7843" s="6"/>
      <c r="B7843" s="1"/>
      <c r="C7843" s="5"/>
      <c r="D7843" s="5"/>
      <c r="E7843" s="5"/>
      <c r="F7843" s="5"/>
      <c r="G7843" s="5"/>
      <c r="H7843" s="5"/>
      <c r="I7843" s="5"/>
      <c r="J7843" s="5"/>
      <c r="K7843" s="5"/>
      <c r="L7843" s="5"/>
    </row>
    <row r="7844" spans="1:12" ht="12" customHeight="1" x14ac:dyDescent="0.25">
      <c r="A7844" s="6"/>
      <c r="B7844" s="1"/>
      <c r="C7844" s="5"/>
      <c r="D7844" s="5"/>
      <c r="E7844" s="5"/>
      <c r="F7844" s="5"/>
      <c r="G7844" s="5"/>
      <c r="H7844" s="5"/>
      <c r="I7844" s="5"/>
      <c r="J7844" s="5"/>
      <c r="K7844" s="5"/>
      <c r="L7844" s="5"/>
    </row>
    <row r="7845" spans="1:12" ht="12" customHeight="1" x14ac:dyDescent="0.25">
      <c r="A7845" s="6"/>
      <c r="B7845" s="1"/>
      <c r="C7845" s="5"/>
      <c r="D7845" s="5"/>
      <c r="E7845" s="5"/>
      <c r="F7845" s="5"/>
      <c r="G7845" s="5"/>
      <c r="H7845" s="5"/>
      <c r="I7845" s="5"/>
      <c r="J7845" s="5"/>
      <c r="K7845" s="5"/>
      <c r="L7845" s="5"/>
    </row>
    <row r="7846" spans="1:12" ht="12" customHeight="1" x14ac:dyDescent="0.25">
      <c r="A7846" s="6"/>
      <c r="B7846" s="1"/>
      <c r="C7846" s="5"/>
      <c r="D7846" s="5"/>
      <c r="E7846" s="5"/>
      <c r="F7846" s="5"/>
      <c r="G7846" s="5"/>
      <c r="H7846" s="5"/>
      <c r="I7846" s="5"/>
      <c r="J7846" s="5"/>
      <c r="K7846" s="5"/>
      <c r="L7846" s="5"/>
    </row>
    <row r="7847" spans="1:12" ht="12" customHeight="1" x14ac:dyDescent="0.25">
      <c r="A7847" s="6"/>
      <c r="B7847" s="1"/>
      <c r="C7847" s="5"/>
      <c r="D7847" s="5"/>
      <c r="E7847" s="5"/>
      <c r="F7847" s="5"/>
      <c r="G7847" s="5"/>
      <c r="H7847" s="5"/>
      <c r="I7847" s="5"/>
      <c r="J7847" s="5"/>
      <c r="K7847" s="5"/>
      <c r="L7847" s="5"/>
    </row>
    <row r="7848" spans="1:12" ht="12" customHeight="1" x14ac:dyDescent="0.25">
      <c r="A7848" s="6"/>
      <c r="B7848" s="1"/>
      <c r="C7848" s="5"/>
      <c r="D7848" s="5"/>
      <c r="E7848" s="5"/>
      <c r="F7848" s="5"/>
      <c r="G7848" s="5"/>
      <c r="H7848" s="5"/>
      <c r="I7848" s="5"/>
      <c r="J7848" s="5"/>
      <c r="K7848" s="5"/>
      <c r="L7848" s="5"/>
    </row>
    <row r="7849" spans="1:12" ht="12" customHeight="1" x14ac:dyDescent="0.25">
      <c r="A7849" s="6"/>
      <c r="B7849" s="1"/>
      <c r="C7849" s="5"/>
      <c r="D7849" s="5"/>
      <c r="E7849" s="5"/>
      <c r="F7849" s="5"/>
      <c r="G7849" s="5"/>
      <c r="H7849" s="5"/>
      <c r="I7849" s="5"/>
      <c r="J7849" s="5"/>
      <c r="K7849" s="5"/>
      <c r="L7849" s="5"/>
    </row>
    <row r="7850" spans="1:12" ht="12" customHeight="1" x14ac:dyDescent="0.25">
      <c r="A7850" s="6"/>
      <c r="B7850" s="1"/>
      <c r="C7850" s="5"/>
      <c r="D7850" s="5"/>
      <c r="E7850" s="5"/>
      <c r="F7850" s="5"/>
      <c r="G7850" s="5"/>
      <c r="H7850" s="5"/>
      <c r="I7850" s="5"/>
      <c r="J7850" s="5"/>
      <c r="K7850" s="5"/>
      <c r="L7850" s="5"/>
    </row>
    <row r="7851" spans="1:12" ht="12" customHeight="1" x14ac:dyDescent="0.25">
      <c r="A7851" s="6"/>
      <c r="B7851" s="1"/>
      <c r="C7851" s="5"/>
      <c r="D7851" s="5"/>
      <c r="E7851" s="5"/>
      <c r="F7851" s="5"/>
      <c r="G7851" s="5"/>
      <c r="H7851" s="5"/>
      <c r="I7851" s="5"/>
      <c r="J7851" s="5"/>
      <c r="K7851" s="5"/>
      <c r="L7851" s="5"/>
    </row>
    <row r="7852" spans="1:12" ht="12" customHeight="1" x14ac:dyDescent="0.25">
      <c r="A7852" s="6"/>
      <c r="B7852" s="1"/>
      <c r="C7852" s="5"/>
      <c r="D7852" s="5"/>
      <c r="E7852" s="5"/>
      <c r="F7852" s="5"/>
      <c r="G7852" s="5"/>
      <c r="H7852" s="5"/>
      <c r="I7852" s="5"/>
      <c r="J7852" s="5"/>
      <c r="K7852" s="5"/>
      <c r="L7852" s="5"/>
    </row>
    <row r="7853" spans="1:12" ht="12" customHeight="1" x14ac:dyDescent="0.25">
      <c r="A7853" s="6"/>
      <c r="B7853" s="1"/>
      <c r="C7853" s="5"/>
      <c r="D7853" s="5"/>
      <c r="E7853" s="5"/>
      <c r="F7853" s="5"/>
      <c r="G7853" s="5"/>
      <c r="H7853" s="5"/>
      <c r="I7853" s="5"/>
      <c r="J7853" s="5"/>
      <c r="K7853" s="5"/>
      <c r="L7853" s="5"/>
    </row>
    <row r="7854" spans="1:12" ht="12" customHeight="1" x14ac:dyDescent="0.25">
      <c r="A7854" s="6"/>
      <c r="B7854" s="1"/>
      <c r="C7854" s="5"/>
      <c r="D7854" s="5"/>
      <c r="E7854" s="5"/>
      <c r="F7854" s="5"/>
      <c r="G7854" s="5"/>
      <c r="H7854" s="5"/>
      <c r="I7854" s="5"/>
      <c r="J7854" s="5"/>
      <c r="K7854" s="5"/>
      <c r="L7854" s="5"/>
    </row>
    <row r="7855" spans="1:12" ht="12" customHeight="1" x14ac:dyDescent="0.25">
      <c r="A7855" s="6"/>
      <c r="B7855" s="1"/>
      <c r="C7855" s="5"/>
      <c r="D7855" s="5"/>
      <c r="E7855" s="5"/>
      <c r="F7855" s="5"/>
      <c r="G7855" s="5"/>
      <c r="H7855" s="5"/>
      <c r="I7855" s="5"/>
      <c r="J7855" s="5"/>
      <c r="K7855" s="5"/>
      <c r="L7855" s="5"/>
    </row>
    <row r="7856" spans="1:12" ht="12" customHeight="1" x14ac:dyDescent="0.25">
      <c r="A7856" s="6"/>
      <c r="B7856" s="1"/>
      <c r="C7856" s="5"/>
      <c r="D7856" s="5"/>
      <c r="E7856" s="5"/>
      <c r="F7856" s="5"/>
      <c r="G7856" s="5"/>
      <c r="H7856" s="5"/>
      <c r="I7856" s="5"/>
      <c r="J7856" s="5"/>
      <c r="K7856" s="5"/>
      <c r="L7856" s="5"/>
    </row>
    <row r="7857" spans="1:12" ht="12" customHeight="1" x14ac:dyDescent="0.25">
      <c r="A7857" s="6"/>
      <c r="B7857" s="1"/>
      <c r="C7857" s="5"/>
      <c r="D7857" s="5"/>
      <c r="E7857" s="5"/>
      <c r="F7857" s="5"/>
      <c r="G7857" s="5"/>
      <c r="H7857" s="5"/>
      <c r="I7857" s="5"/>
      <c r="J7857" s="5"/>
      <c r="K7857" s="5"/>
      <c r="L7857" s="5"/>
    </row>
    <row r="7858" spans="1:12" ht="12" customHeight="1" x14ac:dyDescent="0.25">
      <c r="A7858" s="6"/>
      <c r="B7858" s="1"/>
      <c r="C7858" s="5"/>
      <c r="D7858" s="5"/>
      <c r="E7858" s="5"/>
      <c r="F7858" s="5"/>
      <c r="G7858" s="5"/>
      <c r="H7858" s="5"/>
      <c r="I7858" s="5"/>
      <c r="J7858" s="5"/>
      <c r="K7858" s="5"/>
      <c r="L7858" s="5"/>
    </row>
    <row r="7859" spans="1:12" ht="12" customHeight="1" x14ac:dyDescent="0.25">
      <c r="A7859" s="6"/>
      <c r="B7859" s="1"/>
      <c r="C7859" s="5"/>
      <c r="D7859" s="5"/>
      <c r="E7859" s="5"/>
      <c r="F7859" s="5"/>
      <c r="G7859" s="5"/>
      <c r="H7859" s="5"/>
      <c r="I7859" s="5"/>
      <c r="J7859" s="5"/>
      <c r="K7859" s="5"/>
      <c r="L7859" s="5"/>
    </row>
    <row r="7860" spans="1:12" ht="12" customHeight="1" x14ac:dyDescent="0.25">
      <c r="A7860" s="6"/>
      <c r="B7860" s="1"/>
      <c r="C7860" s="5"/>
      <c r="D7860" s="5"/>
      <c r="E7860" s="5"/>
      <c r="F7860" s="5"/>
      <c r="G7860" s="5"/>
      <c r="H7860" s="5"/>
      <c r="I7860" s="5"/>
      <c r="J7860" s="5"/>
      <c r="K7860" s="5"/>
      <c r="L7860" s="5"/>
    </row>
    <row r="7861" spans="1:12" ht="12" customHeight="1" x14ac:dyDescent="0.25">
      <c r="A7861" s="6"/>
      <c r="B7861" s="1"/>
      <c r="C7861" s="5"/>
      <c r="D7861" s="5"/>
      <c r="E7861" s="5"/>
      <c r="F7861" s="5"/>
      <c r="G7861" s="5"/>
      <c r="H7861" s="5"/>
      <c r="I7861" s="5"/>
      <c r="J7861" s="5"/>
      <c r="K7861" s="5"/>
      <c r="L7861" s="5"/>
    </row>
    <row r="7862" spans="1:12" ht="12" customHeight="1" x14ac:dyDescent="0.25">
      <c r="A7862" s="6"/>
      <c r="B7862" s="1"/>
      <c r="C7862" s="5"/>
      <c r="D7862" s="5"/>
      <c r="E7862" s="5"/>
      <c r="F7862" s="5"/>
      <c r="G7862" s="5"/>
      <c r="H7862" s="5"/>
      <c r="I7862" s="5"/>
      <c r="J7862" s="5"/>
      <c r="K7862" s="5"/>
      <c r="L7862" s="5"/>
    </row>
    <row r="7863" spans="1:12" ht="12" customHeight="1" x14ac:dyDescent="0.25">
      <c r="A7863" s="6"/>
      <c r="B7863" s="1"/>
      <c r="C7863" s="5"/>
      <c r="D7863" s="5"/>
      <c r="E7863" s="5"/>
      <c r="F7863" s="5"/>
      <c r="G7863" s="5"/>
      <c r="H7863" s="5"/>
      <c r="I7863" s="5"/>
      <c r="J7863" s="5"/>
      <c r="K7863" s="5"/>
      <c r="L7863" s="5"/>
    </row>
    <row r="7864" spans="1:12" ht="12" customHeight="1" x14ac:dyDescent="0.25">
      <c r="A7864" s="6"/>
      <c r="B7864" s="1"/>
      <c r="C7864" s="5"/>
      <c r="D7864" s="5"/>
      <c r="E7864" s="5"/>
      <c r="F7864" s="5"/>
      <c r="G7864" s="5"/>
      <c r="H7864" s="5"/>
      <c r="I7864" s="5"/>
      <c r="J7864" s="5"/>
      <c r="K7864" s="5"/>
      <c r="L7864" s="5"/>
    </row>
    <row r="7865" spans="1:12" ht="12" customHeight="1" x14ac:dyDescent="0.25">
      <c r="A7865" s="6"/>
      <c r="B7865" s="1"/>
      <c r="C7865" s="5"/>
      <c r="D7865" s="5"/>
      <c r="E7865" s="5"/>
      <c r="F7865" s="5"/>
      <c r="G7865" s="5"/>
      <c r="H7865" s="5"/>
      <c r="I7865" s="5"/>
      <c r="J7865" s="5"/>
      <c r="K7865" s="5"/>
      <c r="L7865" s="5"/>
    </row>
    <row r="7866" spans="1:12" ht="12" customHeight="1" x14ac:dyDescent="0.25">
      <c r="A7866" s="6"/>
      <c r="B7866" s="1"/>
      <c r="C7866" s="5"/>
      <c r="D7866" s="5"/>
      <c r="E7866" s="5"/>
      <c r="F7866" s="5"/>
      <c r="G7866" s="5"/>
      <c r="H7866" s="5"/>
      <c r="I7866" s="5"/>
      <c r="J7866" s="5"/>
      <c r="K7866" s="5"/>
      <c r="L7866" s="5"/>
    </row>
    <row r="7867" spans="1:12" ht="12" customHeight="1" x14ac:dyDescent="0.25">
      <c r="A7867" s="6"/>
      <c r="B7867" s="1"/>
      <c r="C7867" s="5"/>
      <c r="D7867" s="5"/>
      <c r="E7867" s="5"/>
      <c r="F7867" s="5"/>
      <c r="G7867" s="5"/>
      <c r="H7867" s="5"/>
      <c r="I7867" s="5"/>
      <c r="J7867" s="5"/>
      <c r="K7867" s="5"/>
      <c r="L7867" s="5"/>
    </row>
    <row r="7868" spans="1:12" ht="12" customHeight="1" x14ac:dyDescent="0.25">
      <c r="A7868" s="6"/>
      <c r="B7868" s="1"/>
      <c r="C7868" s="5"/>
      <c r="D7868" s="5"/>
      <c r="E7868" s="5"/>
      <c r="F7868" s="5"/>
      <c r="G7868" s="5"/>
      <c r="H7868" s="5"/>
      <c r="I7868" s="5"/>
      <c r="J7868" s="5"/>
      <c r="K7868" s="5"/>
      <c r="L7868" s="5"/>
    </row>
    <row r="7869" spans="1:12" ht="12" customHeight="1" x14ac:dyDescent="0.25">
      <c r="A7869" s="6"/>
      <c r="B7869" s="1"/>
      <c r="C7869" s="5"/>
      <c r="D7869" s="5"/>
      <c r="E7869" s="5"/>
      <c r="F7869" s="5"/>
      <c r="G7869" s="5"/>
      <c r="H7869" s="5"/>
      <c r="I7869" s="5"/>
      <c r="J7869" s="5"/>
      <c r="K7869" s="5"/>
      <c r="L7869" s="5"/>
    </row>
    <row r="7870" spans="1:12" ht="12" customHeight="1" x14ac:dyDescent="0.25">
      <c r="A7870" s="6"/>
      <c r="B7870" s="1"/>
      <c r="C7870" s="5"/>
      <c r="D7870" s="5"/>
      <c r="E7870" s="5"/>
      <c r="F7870" s="5"/>
      <c r="G7870" s="5"/>
      <c r="H7870" s="5"/>
      <c r="I7870" s="5"/>
      <c r="J7870" s="5"/>
      <c r="K7870" s="5"/>
      <c r="L7870" s="5"/>
    </row>
    <row r="7871" spans="1:12" ht="12" customHeight="1" x14ac:dyDescent="0.25">
      <c r="A7871" s="6"/>
      <c r="B7871" s="1"/>
      <c r="C7871" s="5"/>
      <c r="D7871" s="5"/>
      <c r="E7871" s="5"/>
      <c r="F7871" s="5"/>
      <c r="G7871" s="5"/>
      <c r="H7871" s="5"/>
      <c r="I7871" s="5"/>
      <c r="J7871" s="5"/>
      <c r="K7871" s="5"/>
      <c r="L7871" s="5"/>
    </row>
    <row r="7872" spans="1:12" ht="12" customHeight="1" x14ac:dyDescent="0.25">
      <c r="A7872" s="6"/>
      <c r="B7872" s="1"/>
      <c r="C7872" s="5"/>
      <c r="D7872" s="5"/>
      <c r="E7872" s="5"/>
      <c r="F7872" s="5"/>
      <c r="G7872" s="5"/>
      <c r="H7872" s="5"/>
      <c r="I7872" s="5"/>
      <c r="J7872" s="5"/>
      <c r="K7872" s="5"/>
      <c r="L7872" s="5"/>
    </row>
    <row r="7873" spans="1:12" ht="12" customHeight="1" x14ac:dyDescent="0.25">
      <c r="A7873" s="6"/>
      <c r="B7873" s="1"/>
      <c r="C7873" s="5"/>
      <c r="D7873" s="5"/>
      <c r="E7873" s="5"/>
      <c r="F7873" s="5"/>
      <c r="G7873" s="5"/>
      <c r="H7873" s="5"/>
      <c r="I7873" s="5"/>
      <c r="J7873" s="5"/>
      <c r="K7873" s="5"/>
      <c r="L7873" s="5"/>
    </row>
    <row r="7874" spans="1:12" ht="12" customHeight="1" x14ac:dyDescent="0.25">
      <c r="A7874" s="6"/>
      <c r="B7874" s="1"/>
      <c r="C7874" s="5"/>
      <c r="D7874" s="5"/>
      <c r="E7874" s="5"/>
      <c r="F7874" s="5"/>
      <c r="G7874" s="5"/>
      <c r="H7874" s="5"/>
      <c r="I7874" s="5"/>
      <c r="J7874" s="5"/>
      <c r="K7874" s="5"/>
      <c r="L7874" s="5"/>
    </row>
    <row r="7875" spans="1:12" ht="12" customHeight="1" x14ac:dyDescent="0.25">
      <c r="A7875" s="6"/>
      <c r="B7875" s="1"/>
      <c r="C7875" s="5"/>
      <c r="D7875" s="5"/>
      <c r="E7875" s="5"/>
      <c r="F7875" s="5"/>
      <c r="G7875" s="5"/>
      <c r="H7875" s="5"/>
      <c r="I7875" s="5"/>
      <c r="J7875" s="5"/>
      <c r="K7875" s="5"/>
      <c r="L7875" s="5"/>
    </row>
    <row r="7876" spans="1:12" ht="12" customHeight="1" x14ac:dyDescent="0.25">
      <c r="A7876" s="6"/>
      <c r="B7876" s="1"/>
      <c r="C7876" s="5"/>
      <c r="D7876" s="5"/>
      <c r="E7876" s="5"/>
      <c r="F7876" s="5"/>
      <c r="G7876" s="5"/>
      <c r="H7876" s="5"/>
      <c r="I7876" s="5"/>
      <c r="J7876" s="5"/>
      <c r="K7876" s="5"/>
      <c r="L7876" s="5"/>
    </row>
    <row r="7877" spans="1:12" ht="12" customHeight="1" x14ac:dyDescent="0.25">
      <c r="A7877" s="6"/>
      <c r="B7877" s="1"/>
      <c r="C7877" s="5"/>
      <c r="D7877" s="5"/>
      <c r="E7877" s="5"/>
      <c r="F7877" s="5"/>
      <c r="G7877" s="5"/>
      <c r="H7877" s="5"/>
      <c r="I7877" s="5"/>
      <c r="J7877" s="5"/>
      <c r="K7877" s="5"/>
      <c r="L7877" s="5"/>
    </row>
    <row r="7878" spans="1:12" ht="12" customHeight="1" x14ac:dyDescent="0.25">
      <c r="A7878" s="6"/>
      <c r="B7878" s="1"/>
      <c r="C7878" s="5"/>
      <c r="D7878" s="5"/>
      <c r="E7878" s="5"/>
      <c r="F7878" s="5"/>
      <c r="G7878" s="5"/>
      <c r="H7878" s="5"/>
      <c r="I7878" s="5"/>
      <c r="J7878" s="5"/>
      <c r="K7878" s="5"/>
      <c r="L7878" s="5"/>
    </row>
    <row r="7879" spans="1:12" ht="12" customHeight="1" x14ac:dyDescent="0.25">
      <c r="A7879" s="6"/>
      <c r="B7879" s="1"/>
      <c r="C7879" s="5"/>
      <c r="D7879" s="5"/>
      <c r="E7879" s="5"/>
      <c r="F7879" s="5"/>
      <c r="G7879" s="5"/>
      <c r="H7879" s="5"/>
      <c r="I7879" s="5"/>
      <c r="J7879" s="5"/>
      <c r="K7879" s="5"/>
      <c r="L7879" s="5"/>
    </row>
    <row r="7880" spans="1:12" ht="12" customHeight="1" x14ac:dyDescent="0.25">
      <c r="A7880" s="6"/>
      <c r="B7880" s="1"/>
      <c r="C7880" s="5"/>
      <c r="D7880" s="5"/>
      <c r="E7880" s="5"/>
      <c r="F7880" s="5"/>
      <c r="G7880" s="5"/>
      <c r="H7880" s="5"/>
      <c r="I7880" s="5"/>
      <c r="J7880" s="5"/>
      <c r="K7880" s="5"/>
      <c r="L7880" s="5"/>
    </row>
    <row r="7881" spans="1:12" ht="12" customHeight="1" x14ac:dyDescent="0.25">
      <c r="A7881" s="6"/>
      <c r="B7881" s="1"/>
      <c r="C7881" s="5"/>
      <c r="D7881" s="5"/>
      <c r="E7881" s="5"/>
      <c r="F7881" s="5"/>
      <c r="G7881" s="5"/>
      <c r="H7881" s="5"/>
      <c r="I7881" s="5"/>
      <c r="J7881" s="5"/>
      <c r="K7881" s="5"/>
      <c r="L7881" s="5"/>
    </row>
    <row r="7882" spans="1:12" ht="12" customHeight="1" x14ac:dyDescent="0.25">
      <c r="A7882" s="6"/>
      <c r="B7882" s="1"/>
      <c r="C7882" s="5"/>
      <c r="D7882" s="5"/>
      <c r="E7882" s="5"/>
      <c r="F7882" s="5"/>
      <c r="G7882" s="5"/>
      <c r="H7882" s="5"/>
      <c r="I7882" s="5"/>
      <c r="J7882" s="5"/>
      <c r="K7882" s="5"/>
      <c r="L7882" s="5"/>
    </row>
    <row r="7883" spans="1:12" ht="12" customHeight="1" x14ac:dyDescent="0.25">
      <c r="A7883" s="6"/>
      <c r="B7883" s="1"/>
      <c r="C7883" s="5"/>
      <c r="D7883" s="5"/>
      <c r="E7883" s="5"/>
      <c r="F7883" s="5"/>
      <c r="G7883" s="5"/>
      <c r="H7883" s="5"/>
      <c r="I7883" s="5"/>
      <c r="J7883" s="5"/>
      <c r="K7883" s="5"/>
      <c r="L7883" s="5"/>
    </row>
    <row r="7884" spans="1:12" ht="12" customHeight="1" x14ac:dyDescent="0.25">
      <c r="A7884" s="6"/>
      <c r="B7884" s="1"/>
      <c r="C7884" s="5"/>
      <c r="D7884" s="5"/>
      <c r="E7884" s="5"/>
      <c r="F7884" s="5"/>
      <c r="G7884" s="5"/>
      <c r="H7884" s="5"/>
      <c r="I7884" s="5"/>
      <c r="J7884" s="5"/>
      <c r="K7884" s="5"/>
      <c r="L7884" s="5"/>
    </row>
    <row r="7885" spans="1:12" ht="12" customHeight="1" x14ac:dyDescent="0.25">
      <c r="A7885" s="6"/>
      <c r="B7885" s="1"/>
      <c r="C7885" s="5"/>
      <c r="D7885" s="5"/>
      <c r="E7885" s="5"/>
      <c r="F7885" s="5"/>
      <c r="G7885" s="5"/>
      <c r="H7885" s="5"/>
      <c r="I7885" s="5"/>
      <c r="J7885" s="5"/>
      <c r="K7885" s="5"/>
      <c r="L7885" s="5"/>
    </row>
    <row r="7886" spans="1:12" ht="12" customHeight="1" x14ac:dyDescent="0.25">
      <c r="A7886" s="6"/>
      <c r="B7886" s="1"/>
      <c r="C7886" s="5"/>
      <c r="D7886" s="5"/>
      <c r="E7886" s="5"/>
      <c r="F7886" s="5"/>
      <c r="G7886" s="5"/>
      <c r="H7886" s="5"/>
      <c r="I7886" s="5"/>
      <c r="J7886" s="5"/>
      <c r="K7886" s="5"/>
      <c r="L7886" s="5"/>
    </row>
    <row r="7887" spans="1:12" ht="12" customHeight="1" x14ac:dyDescent="0.25">
      <c r="A7887" s="6"/>
      <c r="B7887" s="1"/>
      <c r="C7887" s="5"/>
      <c r="D7887" s="5"/>
      <c r="E7887" s="5"/>
      <c r="F7887" s="5"/>
      <c r="G7887" s="5"/>
      <c r="H7887" s="5"/>
      <c r="I7887" s="5"/>
      <c r="J7887" s="5"/>
      <c r="K7887" s="5"/>
      <c r="L7887" s="5"/>
    </row>
    <row r="7888" spans="1:12" ht="12" customHeight="1" x14ac:dyDescent="0.25">
      <c r="A7888" s="6"/>
      <c r="B7888" s="1"/>
      <c r="C7888" s="5"/>
      <c r="D7888" s="5"/>
      <c r="E7888" s="5"/>
      <c r="F7888" s="5"/>
      <c r="G7888" s="5"/>
      <c r="H7888" s="5"/>
      <c r="I7888" s="5"/>
      <c r="J7888" s="5"/>
      <c r="K7888" s="5"/>
      <c r="L7888" s="5"/>
    </row>
    <row r="7889" spans="1:12" ht="12" customHeight="1" x14ac:dyDescent="0.25">
      <c r="A7889" s="6"/>
      <c r="B7889" s="1"/>
      <c r="C7889" s="5"/>
      <c r="D7889" s="5"/>
      <c r="E7889" s="5"/>
      <c r="F7889" s="5"/>
      <c r="G7889" s="5"/>
      <c r="H7889" s="5"/>
      <c r="I7889" s="5"/>
      <c r="J7889" s="5"/>
      <c r="K7889" s="5"/>
      <c r="L7889" s="5"/>
    </row>
    <row r="7890" spans="1:12" ht="12" customHeight="1" x14ac:dyDescent="0.25">
      <c r="A7890" s="6"/>
      <c r="B7890" s="1"/>
      <c r="C7890" s="5"/>
      <c r="D7890" s="5"/>
      <c r="E7890" s="5"/>
      <c r="F7890" s="5"/>
      <c r="G7890" s="5"/>
      <c r="H7890" s="5"/>
      <c r="I7890" s="5"/>
      <c r="J7890" s="5"/>
      <c r="K7890" s="5"/>
      <c r="L7890" s="5"/>
    </row>
    <row r="7891" spans="1:12" ht="12" customHeight="1" x14ac:dyDescent="0.25">
      <c r="A7891" s="6"/>
      <c r="B7891" s="1"/>
      <c r="C7891" s="5"/>
      <c r="D7891" s="5"/>
      <c r="E7891" s="5"/>
      <c r="F7891" s="5"/>
      <c r="G7891" s="5"/>
      <c r="H7891" s="5"/>
      <c r="I7891" s="5"/>
      <c r="J7891" s="5"/>
      <c r="K7891" s="5"/>
      <c r="L7891" s="5"/>
    </row>
    <row r="7892" spans="1:12" ht="12" customHeight="1" x14ac:dyDescent="0.25">
      <c r="A7892" s="6"/>
      <c r="B7892" s="1"/>
      <c r="C7892" s="5"/>
      <c r="D7892" s="5"/>
      <c r="E7892" s="5"/>
      <c r="F7892" s="5"/>
      <c r="G7892" s="5"/>
      <c r="H7892" s="5"/>
      <c r="I7892" s="5"/>
      <c r="J7892" s="5"/>
      <c r="K7892" s="5"/>
      <c r="L7892" s="5"/>
    </row>
    <row r="7893" spans="1:12" ht="12" customHeight="1" x14ac:dyDescent="0.25">
      <c r="A7893" s="6"/>
      <c r="B7893" s="1"/>
      <c r="C7893" s="5"/>
      <c r="D7893" s="5"/>
      <c r="E7893" s="5"/>
      <c r="F7893" s="5"/>
      <c r="G7893" s="5"/>
      <c r="H7893" s="5"/>
      <c r="I7893" s="5"/>
      <c r="J7893" s="5"/>
      <c r="K7893" s="5"/>
      <c r="L7893" s="5"/>
    </row>
    <row r="7894" spans="1:12" ht="12" customHeight="1" x14ac:dyDescent="0.25">
      <c r="A7894" s="6"/>
      <c r="B7894" s="1"/>
      <c r="C7894" s="5"/>
      <c r="D7894" s="5"/>
      <c r="E7894" s="5"/>
      <c r="F7894" s="5"/>
      <c r="G7894" s="5"/>
      <c r="H7894" s="5"/>
      <c r="I7894" s="5"/>
      <c r="J7894" s="5"/>
      <c r="K7894" s="5"/>
      <c r="L7894" s="5"/>
    </row>
    <row r="7895" spans="1:12" ht="12" customHeight="1" x14ac:dyDescent="0.25">
      <c r="A7895" s="6"/>
      <c r="B7895" s="1"/>
      <c r="C7895" s="5"/>
      <c r="D7895" s="5"/>
      <c r="E7895" s="5"/>
      <c r="F7895" s="5"/>
      <c r="G7895" s="5"/>
      <c r="H7895" s="5"/>
      <c r="I7895" s="5"/>
      <c r="J7895" s="5"/>
      <c r="K7895" s="5"/>
      <c r="L7895" s="5"/>
    </row>
    <row r="7896" spans="1:12" ht="12" customHeight="1" x14ac:dyDescent="0.25">
      <c r="A7896" s="6"/>
      <c r="B7896" s="1"/>
      <c r="C7896" s="5"/>
      <c r="D7896" s="5"/>
      <c r="E7896" s="5"/>
      <c r="F7896" s="5"/>
      <c r="G7896" s="5"/>
      <c r="H7896" s="5"/>
      <c r="I7896" s="5"/>
      <c r="J7896" s="5"/>
      <c r="K7896" s="5"/>
      <c r="L7896" s="5"/>
    </row>
    <row r="7897" spans="1:12" ht="12" customHeight="1" x14ac:dyDescent="0.25">
      <c r="A7897" s="6"/>
      <c r="B7897" s="1"/>
      <c r="C7897" s="5"/>
      <c r="D7897" s="5"/>
      <c r="E7897" s="5"/>
      <c r="F7897" s="5"/>
      <c r="G7897" s="5"/>
      <c r="H7897" s="5"/>
      <c r="I7897" s="5"/>
      <c r="J7897" s="5"/>
      <c r="K7897" s="5"/>
      <c r="L7897" s="5"/>
    </row>
    <row r="7898" spans="1:12" ht="12" customHeight="1" x14ac:dyDescent="0.25">
      <c r="A7898" s="6"/>
      <c r="B7898" s="1"/>
      <c r="C7898" s="5"/>
      <c r="D7898" s="5"/>
      <c r="E7898" s="5"/>
      <c r="F7898" s="5"/>
      <c r="G7898" s="5"/>
      <c r="H7898" s="5"/>
      <c r="I7898" s="5"/>
      <c r="J7898" s="5"/>
      <c r="K7898" s="5"/>
      <c r="L7898" s="5"/>
    </row>
    <row r="7899" spans="1:12" ht="12" customHeight="1" x14ac:dyDescent="0.25">
      <c r="A7899" s="6"/>
      <c r="B7899" s="1"/>
      <c r="C7899" s="5"/>
      <c r="D7899" s="5"/>
      <c r="E7899" s="5"/>
      <c r="F7899" s="5"/>
      <c r="G7899" s="5"/>
      <c r="H7899" s="5"/>
      <c r="I7899" s="5"/>
      <c r="J7899" s="5"/>
      <c r="K7899" s="5"/>
      <c r="L7899" s="5"/>
    </row>
    <row r="7900" spans="1:12" ht="12" customHeight="1" x14ac:dyDescent="0.25">
      <c r="A7900" s="6"/>
      <c r="B7900" s="1"/>
      <c r="C7900" s="5"/>
      <c r="D7900" s="5"/>
      <c r="E7900" s="5"/>
      <c r="F7900" s="5"/>
      <c r="G7900" s="5"/>
      <c r="H7900" s="5"/>
      <c r="I7900" s="5"/>
      <c r="J7900" s="5"/>
      <c r="K7900" s="5"/>
      <c r="L7900" s="5"/>
    </row>
    <row r="7901" spans="1:12" ht="12" customHeight="1" x14ac:dyDescent="0.25">
      <c r="A7901" s="6"/>
      <c r="B7901" s="1"/>
      <c r="C7901" s="5"/>
      <c r="D7901" s="5"/>
      <c r="E7901" s="5"/>
      <c r="F7901" s="5"/>
      <c r="G7901" s="5"/>
      <c r="H7901" s="5"/>
      <c r="I7901" s="5"/>
      <c r="J7901" s="5"/>
      <c r="K7901" s="5"/>
      <c r="L7901" s="5"/>
    </row>
    <row r="7902" spans="1:12" ht="12" customHeight="1" x14ac:dyDescent="0.25">
      <c r="A7902" s="6"/>
      <c r="B7902" s="1"/>
      <c r="C7902" s="5"/>
      <c r="D7902" s="5"/>
      <c r="E7902" s="5"/>
      <c r="F7902" s="5"/>
      <c r="G7902" s="5"/>
      <c r="H7902" s="5"/>
      <c r="I7902" s="5"/>
      <c r="J7902" s="5"/>
      <c r="K7902" s="5"/>
      <c r="L7902" s="5"/>
    </row>
    <row r="7903" spans="1:12" ht="12" customHeight="1" x14ac:dyDescent="0.25">
      <c r="A7903" s="6"/>
      <c r="B7903" s="1"/>
      <c r="C7903" s="5"/>
      <c r="D7903" s="5"/>
      <c r="E7903" s="5"/>
      <c r="F7903" s="5"/>
      <c r="G7903" s="5"/>
      <c r="H7903" s="5"/>
      <c r="I7903" s="5"/>
      <c r="J7903" s="5"/>
      <c r="K7903" s="5"/>
      <c r="L7903" s="5"/>
    </row>
    <row r="7904" spans="1:12" ht="12" customHeight="1" x14ac:dyDescent="0.25">
      <c r="A7904" s="6"/>
      <c r="B7904" s="1"/>
      <c r="C7904" s="5"/>
      <c r="D7904" s="5"/>
      <c r="E7904" s="5"/>
      <c r="F7904" s="5"/>
      <c r="G7904" s="5"/>
      <c r="H7904" s="5"/>
      <c r="I7904" s="5"/>
      <c r="J7904" s="5"/>
      <c r="K7904" s="5"/>
      <c r="L7904" s="5"/>
    </row>
    <row r="7905" spans="1:12" ht="12" customHeight="1" x14ac:dyDescent="0.25">
      <c r="A7905" s="6"/>
      <c r="B7905" s="1"/>
      <c r="C7905" s="5"/>
      <c r="D7905" s="5"/>
      <c r="E7905" s="5"/>
      <c r="F7905" s="5"/>
      <c r="G7905" s="5"/>
      <c r="H7905" s="5"/>
      <c r="I7905" s="5"/>
      <c r="J7905" s="5"/>
      <c r="K7905" s="5"/>
      <c r="L7905" s="5"/>
    </row>
    <row r="7906" spans="1:12" ht="12" customHeight="1" x14ac:dyDescent="0.25">
      <c r="A7906" s="6"/>
      <c r="B7906" s="1"/>
      <c r="C7906" s="5"/>
      <c r="D7906" s="5"/>
      <c r="E7906" s="5"/>
      <c r="F7906" s="5"/>
      <c r="G7906" s="5"/>
      <c r="H7906" s="5"/>
      <c r="I7906" s="5"/>
      <c r="J7906" s="5"/>
      <c r="K7906" s="5"/>
      <c r="L7906" s="5"/>
    </row>
    <row r="7907" spans="1:12" ht="12" customHeight="1" x14ac:dyDescent="0.25">
      <c r="A7907" s="6"/>
      <c r="B7907" s="1"/>
      <c r="C7907" s="5"/>
      <c r="D7907" s="5"/>
      <c r="E7907" s="5"/>
      <c r="F7907" s="5"/>
      <c r="G7907" s="5"/>
      <c r="H7907" s="5"/>
      <c r="I7907" s="5"/>
      <c r="J7907" s="5"/>
      <c r="K7907" s="5"/>
      <c r="L7907" s="5"/>
    </row>
    <row r="7908" spans="1:12" ht="12" customHeight="1" x14ac:dyDescent="0.25">
      <c r="A7908" s="6"/>
      <c r="B7908" s="1"/>
      <c r="C7908" s="5"/>
      <c r="D7908" s="5"/>
      <c r="E7908" s="5"/>
      <c r="F7908" s="5"/>
      <c r="G7908" s="5"/>
      <c r="H7908" s="5"/>
      <c r="I7908" s="5"/>
      <c r="J7908" s="5"/>
      <c r="K7908" s="5"/>
      <c r="L7908" s="5"/>
    </row>
    <row r="7909" spans="1:12" ht="12" customHeight="1" x14ac:dyDescent="0.25">
      <c r="A7909" s="6"/>
      <c r="B7909" s="1"/>
      <c r="C7909" s="5"/>
      <c r="D7909" s="5"/>
      <c r="E7909" s="5"/>
      <c r="F7909" s="5"/>
      <c r="G7909" s="5"/>
      <c r="H7909" s="5"/>
      <c r="I7909" s="5"/>
      <c r="J7909" s="5"/>
      <c r="K7909" s="5"/>
      <c r="L7909" s="5"/>
    </row>
    <row r="7910" spans="1:12" ht="12" customHeight="1" x14ac:dyDescent="0.25">
      <c r="A7910" s="6"/>
      <c r="B7910" s="1"/>
      <c r="C7910" s="5"/>
      <c r="D7910" s="5"/>
      <c r="E7910" s="5"/>
      <c r="F7910" s="5"/>
      <c r="G7910" s="5"/>
      <c r="H7910" s="5"/>
      <c r="I7910" s="5"/>
      <c r="J7910" s="5"/>
      <c r="K7910" s="5"/>
      <c r="L7910" s="5"/>
    </row>
    <row r="7911" spans="1:12" ht="12" customHeight="1" x14ac:dyDescent="0.25">
      <c r="A7911" s="6"/>
      <c r="B7911" s="1"/>
      <c r="C7911" s="5"/>
      <c r="D7911" s="5"/>
      <c r="E7911" s="5"/>
      <c r="F7911" s="5"/>
      <c r="G7911" s="5"/>
      <c r="H7911" s="5"/>
      <c r="I7911" s="5"/>
      <c r="J7911" s="5"/>
      <c r="K7911" s="5"/>
      <c r="L7911" s="5"/>
    </row>
    <row r="7912" spans="1:12" ht="12" customHeight="1" x14ac:dyDescent="0.25">
      <c r="A7912" s="6"/>
      <c r="B7912" s="1"/>
      <c r="C7912" s="5"/>
      <c r="D7912" s="5"/>
      <c r="E7912" s="5"/>
      <c r="F7912" s="5"/>
      <c r="G7912" s="5"/>
      <c r="H7912" s="5"/>
      <c r="I7912" s="5"/>
      <c r="J7912" s="5"/>
      <c r="K7912" s="5"/>
      <c r="L7912" s="5"/>
    </row>
    <row r="7913" spans="1:12" ht="12" customHeight="1" x14ac:dyDescent="0.25">
      <c r="A7913" s="6"/>
      <c r="B7913" s="1"/>
      <c r="C7913" s="5"/>
      <c r="D7913" s="5"/>
      <c r="E7913" s="5"/>
      <c r="F7913" s="5"/>
      <c r="G7913" s="5"/>
      <c r="H7913" s="5"/>
      <c r="I7913" s="5"/>
      <c r="J7913" s="5"/>
      <c r="K7913" s="5"/>
      <c r="L7913" s="5"/>
    </row>
    <row r="7914" spans="1:12" ht="12" customHeight="1" x14ac:dyDescent="0.25">
      <c r="A7914" s="6"/>
      <c r="B7914" s="1"/>
      <c r="C7914" s="5"/>
      <c r="D7914" s="5"/>
      <c r="E7914" s="5"/>
      <c r="F7914" s="5"/>
      <c r="G7914" s="5"/>
      <c r="H7914" s="5"/>
      <c r="I7914" s="5"/>
      <c r="J7914" s="5"/>
      <c r="K7914" s="5"/>
      <c r="L7914" s="5"/>
    </row>
    <row r="7915" spans="1:12" ht="12" customHeight="1" x14ac:dyDescent="0.25">
      <c r="A7915" s="6"/>
      <c r="B7915" s="1"/>
      <c r="C7915" s="5"/>
      <c r="D7915" s="5"/>
      <c r="E7915" s="5"/>
      <c r="F7915" s="5"/>
      <c r="G7915" s="5"/>
      <c r="H7915" s="5"/>
      <c r="I7915" s="5"/>
      <c r="J7915" s="5"/>
      <c r="K7915" s="5"/>
      <c r="L7915" s="5"/>
    </row>
    <row r="7916" spans="1:12" ht="12" customHeight="1" x14ac:dyDescent="0.25">
      <c r="A7916" s="6"/>
      <c r="B7916" s="1"/>
      <c r="C7916" s="5"/>
      <c r="D7916" s="5"/>
      <c r="E7916" s="5"/>
      <c r="F7916" s="5"/>
      <c r="G7916" s="5"/>
      <c r="H7916" s="5"/>
      <c r="I7916" s="5"/>
      <c r="J7916" s="5"/>
      <c r="K7916" s="5"/>
      <c r="L7916" s="5"/>
    </row>
    <row r="7917" spans="1:12" ht="12" customHeight="1" x14ac:dyDescent="0.25">
      <c r="A7917" s="6"/>
      <c r="B7917" s="1"/>
      <c r="C7917" s="5"/>
      <c r="D7917" s="5"/>
      <c r="E7917" s="5"/>
      <c r="F7917" s="5"/>
      <c r="G7917" s="5"/>
      <c r="H7917" s="5"/>
      <c r="I7917" s="5"/>
      <c r="J7917" s="5"/>
      <c r="K7917" s="5"/>
      <c r="L7917" s="5"/>
    </row>
    <row r="7918" spans="1:12" ht="12" customHeight="1" x14ac:dyDescent="0.25">
      <c r="A7918" s="6"/>
      <c r="B7918" s="1"/>
      <c r="C7918" s="5"/>
      <c r="D7918" s="5"/>
      <c r="E7918" s="5"/>
      <c r="F7918" s="5"/>
      <c r="G7918" s="5"/>
      <c r="H7918" s="5"/>
      <c r="I7918" s="5"/>
      <c r="J7918" s="5"/>
      <c r="K7918" s="5"/>
      <c r="L7918" s="5"/>
    </row>
    <row r="7919" spans="1:12" ht="12" customHeight="1" x14ac:dyDescent="0.25">
      <c r="A7919" s="6"/>
      <c r="B7919" s="1"/>
      <c r="C7919" s="5"/>
      <c r="D7919" s="5"/>
      <c r="E7919" s="5"/>
      <c r="F7919" s="5"/>
      <c r="G7919" s="5"/>
      <c r="H7919" s="5"/>
      <c r="I7919" s="5"/>
      <c r="J7919" s="5"/>
      <c r="K7919" s="5"/>
      <c r="L7919" s="5"/>
    </row>
    <row r="7920" spans="1:12" ht="12" customHeight="1" x14ac:dyDescent="0.25">
      <c r="A7920" s="6"/>
      <c r="B7920" s="1"/>
      <c r="C7920" s="5"/>
      <c r="D7920" s="5"/>
      <c r="E7920" s="5"/>
      <c r="F7920" s="5"/>
      <c r="G7920" s="5"/>
      <c r="H7920" s="5"/>
      <c r="I7920" s="5"/>
      <c r="J7920" s="5"/>
      <c r="K7920" s="5"/>
      <c r="L7920" s="5"/>
    </row>
    <row r="7921" spans="1:12" ht="12" customHeight="1" x14ac:dyDescent="0.25">
      <c r="A7921" s="6"/>
      <c r="B7921" s="1"/>
      <c r="C7921" s="5"/>
      <c r="D7921" s="5"/>
      <c r="E7921" s="5"/>
      <c r="F7921" s="5"/>
      <c r="G7921" s="5"/>
      <c r="H7921" s="5"/>
      <c r="I7921" s="5"/>
      <c r="J7921" s="5"/>
      <c r="K7921" s="5"/>
      <c r="L7921" s="5"/>
    </row>
    <row r="7922" spans="1:12" ht="12" customHeight="1" x14ac:dyDescent="0.25">
      <c r="A7922" s="6"/>
      <c r="B7922" s="1"/>
      <c r="C7922" s="5"/>
      <c r="D7922" s="5"/>
      <c r="E7922" s="5"/>
      <c r="F7922" s="5"/>
      <c r="G7922" s="5"/>
      <c r="H7922" s="5"/>
      <c r="I7922" s="5"/>
      <c r="J7922" s="5"/>
      <c r="K7922" s="5"/>
      <c r="L7922" s="5"/>
    </row>
    <row r="7923" spans="1:12" ht="12" customHeight="1" x14ac:dyDescent="0.25">
      <c r="A7923" s="6"/>
      <c r="B7923" s="1"/>
      <c r="C7923" s="5"/>
      <c r="D7923" s="5"/>
      <c r="E7923" s="5"/>
      <c r="F7923" s="5"/>
      <c r="G7923" s="5"/>
      <c r="H7923" s="5"/>
      <c r="I7923" s="5"/>
      <c r="J7923" s="5"/>
      <c r="K7923" s="5"/>
      <c r="L7923" s="5"/>
    </row>
    <row r="7924" spans="1:12" ht="12" customHeight="1" x14ac:dyDescent="0.25">
      <c r="A7924" s="6"/>
      <c r="B7924" s="1"/>
      <c r="C7924" s="5"/>
      <c r="D7924" s="5"/>
      <c r="E7924" s="5"/>
      <c r="F7924" s="5"/>
      <c r="G7924" s="5"/>
      <c r="H7924" s="5"/>
      <c r="I7924" s="5"/>
      <c r="J7924" s="5"/>
      <c r="K7924" s="5"/>
      <c r="L7924" s="5"/>
    </row>
    <row r="7925" spans="1:12" ht="12" customHeight="1" x14ac:dyDescent="0.25">
      <c r="A7925" s="6"/>
      <c r="B7925" s="1"/>
      <c r="C7925" s="5"/>
      <c r="D7925" s="5"/>
      <c r="E7925" s="5"/>
      <c r="F7925" s="5"/>
      <c r="G7925" s="5"/>
      <c r="H7925" s="5"/>
      <c r="I7925" s="5"/>
      <c r="J7925" s="5"/>
      <c r="K7925" s="5"/>
      <c r="L7925" s="5"/>
    </row>
    <row r="7926" spans="1:12" ht="12" customHeight="1" x14ac:dyDescent="0.25">
      <c r="A7926" s="6"/>
      <c r="B7926" s="1"/>
      <c r="C7926" s="5"/>
      <c r="D7926" s="5"/>
      <c r="E7926" s="5"/>
      <c r="F7926" s="5"/>
      <c r="G7926" s="5"/>
      <c r="H7926" s="5"/>
      <c r="I7926" s="5"/>
      <c r="J7926" s="5"/>
      <c r="K7926" s="5"/>
      <c r="L7926" s="5"/>
    </row>
    <row r="7927" spans="1:12" ht="12" customHeight="1" x14ac:dyDescent="0.25">
      <c r="A7927" s="6"/>
      <c r="B7927" s="1"/>
      <c r="C7927" s="5"/>
      <c r="D7927" s="5"/>
      <c r="E7927" s="5"/>
      <c r="F7927" s="5"/>
      <c r="G7927" s="5"/>
      <c r="H7927" s="5"/>
      <c r="I7927" s="5"/>
      <c r="J7927" s="5"/>
      <c r="K7927" s="5"/>
      <c r="L7927" s="5"/>
    </row>
    <row r="7928" spans="1:12" ht="12" customHeight="1" x14ac:dyDescent="0.25">
      <c r="A7928" s="6"/>
      <c r="B7928" s="1"/>
      <c r="C7928" s="5"/>
      <c r="D7928" s="5"/>
      <c r="E7928" s="5"/>
      <c r="F7928" s="5"/>
      <c r="G7928" s="5"/>
      <c r="H7928" s="5"/>
      <c r="I7928" s="5"/>
      <c r="J7928" s="5"/>
      <c r="K7928" s="5"/>
      <c r="L7928" s="5"/>
    </row>
    <row r="7929" spans="1:12" ht="12" customHeight="1" x14ac:dyDescent="0.25">
      <c r="A7929" s="6"/>
      <c r="B7929" s="1"/>
      <c r="C7929" s="5"/>
      <c r="D7929" s="5"/>
      <c r="E7929" s="5"/>
      <c r="F7929" s="5"/>
      <c r="G7929" s="5"/>
      <c r="H7929" s="5"/>
      <c r="I7929" s="5"/>
      <c r="J7929" s="5"/>
      <c r="K7929" s="5"/>
      <c r="L7929" s="5"/>
    </row>
    <row r="7930" spans="1:12" ht="12" customHeight="1" x14ac:dyDescent="0.25">
      <c r="A7930" s="6"/>
      <c r="B7930" s="1"/>
      <c r="C7930" s="5"/>
      <c r="D7930" s="5"/>
      <c r="E7930" s="5"/>
      <c r="F7930" s="5"/>
      <c r="G7930" s="5"/>
      <c r="H7930" s="5"/>
      <c r="I7930" s="5"/>
      <c r="J7930" s="5"/>
      <c r="K7930" s="5"/>
      <c r="L7930" s="5"/>
    </row>
    <row r="7931" spans="1:12" ht="12" customHeight="1" x14ac:dyDescent="0.25">
      <c r="A7931" s="6"/>
      <c r="B7931" s="1"/>
      <c r="C7931" s="5"/>
      <c r="D7931" s="5"/>
      <c r="E7931" s="5"/>
      <c r="F7931" s="5"/>
      <c r="G7931" s="5"/>
      <c r="H7931" s="5"/>
      <c r="I7931" s="5"/>
      <c r="J7931" s="5"/>
      <c r="K7931" s="5"/>
      <c r="L7931" s="5"/>
    </row>
    <row r="7932" spans="1:12" ht="12" customHeight="1" x14ac:dyDescent="0.25">
      <c r="A7932" s="6"/>
      <c r="B7932" s="1"/>
      <c r="C7932" s="5"/>
      <c r="D7932" s="5"/>
      <c r="E7932" s="5"/>
      <c r="F7932" s="5"/>
      <c r="G7932" s="5"/>
      <c r="H7932" s="5"/>
      <c r="I7932" s="5"/>
      <c r="J7932" s="5"/>
      <c r="K7932" s="5"/>
      <c r="L7932" s="5"/>
    </row>
    <row r="7933" spans="1:12" ht="12" customHeight="1" x14ac:dyDescent="0.25">
      <c r="A7933" s="6"/>
      <c r="B7933" s="1"/>
      <c r="C7933" s="5"/>
      <c r="D7933" s="5"/>
      <c r="E7933" s="5"/>
      <c r="F7933" s="5"/>
      <c r="G7933" s="5"/>
      <c r="H7933" s="5"/>
      <c r="I7933" s="5"/>
      <c r="J7933" s="5"/>
      <c r="K7933" s="5"/>
      <c r="L7933" s="5"/>
    </row>
    <row r="7934" spans="1:12" ht="12" customHeight="1" x14ac:dyDescent="0.25">
      <c r="A7934" s="6"/>
      <c r="B7934" s="1"/>
      <c r="C7934" s="5"/>
      <c r="D7934" s="5"/>
      <c r="E7934" s="5"/>
      <c r="F7934" s="5"/>
      <c r="G7934" s="5"/>
      <c r="H7934" s="5"/>
      <c r="I7934" s="5"/>
      <c r="J7934" s="5"/>
      <c r="K7934" s="5"/>
      <c r="L7934" s="5"/>
    </row>
    <row r="7935" spans="1:12" ht="12" customHeight="1" x14ac:dyDescent="0.25">
      <c r="A7935" s="6"/>
      <c r="B7935" s="1"/>
      <c r="C7935" s="5"/>
      <c r="D7935" s="5"/>
      <c r="E7935" s="5"/>
      <c r="F7935" s="5"/>
      <c r="G7935" s="5"/>
      <c r="H7935" s="5"/>
      <c r="I7935" s="5"/>
      <c r="J7935" s="5"/>
      <c r="K7935" s="5"/>
      <c r="L7935" s="5"/>
    </row>
    <row r="7936" spans="1:12" ht="12" customHeight="1" x14ac:dyDescent="0.25">
      <c r="A7936" s="6"/>
      <c r="B7936" s="1"/>
      <c r="C7936" s="5"/>
      <c r="D7936" s="5"/>
      <c r="E7936" s="5"/>
      <c r="F7936" s="5"/>
      <c r="G7936" s="5"/>
      <c r="H7936" s="5"/>
      <c r="I7936" s="5"/>
      <c r="J7936" s="5"/>
      <c r="K7936" s="5"/>
      <c r="L7936" s="5"/>
    </row>
    <row r="7937" spans="1:12" ht="12" customHeight="1" x14ac:dyDescent="0.25">
      <c r="A7937" s="6"/>
      <c r="B7937" s="1"/>
      <c r="C7937" s="5"/>
      <c r="D7937" s="5"/>
      <c r="E7937" s="5"/>
      <c r="F7937" s="5"/>
      <c r="G7937" s="5"/>
      <c r="H7937" s="5"/>
      <c r="I7937" s="5"/>
      <c r="J7937" s="5"/>
      <c r="K7937" s="5"/>
      <c r="L7937" s="5"/>
    </row>
    <row r="7938" spans="1:12" ht="12" customHeight="1" x14ac:dyDescent="0.25">
      <c r="A7938" s="6"/>
      <c r="B7938" s="1"/>
      <c r="C7938" s="5"/>
      <c r="D7938" s="5"/>
      <c r="E7938" s="5"/>
      <c r="F7938" s="5"/>
      <c r="G7938" s="5"/>
      <c r="H7938" s="5"/>
      <c r="I7938" s="5"/>
      <c r="J7938" s="5"/>
      <c r="K7938" s="5"/>
      <c r="L7938" s="5"/>
    </row>
    <row r="7939" spans="1:12" ht="12" customHeight="1" x14ac:dyDescent="0.25">
      <c r="A7939" s="6"/>
      <c r="B7939" s="1"/>
      <c r="C7939" s="5"/>
      <c r="D7939" s="5"/>
      <c r="E7939" s="5"/>
      <c r="F7939" s="5"/>
      <c r="G7939" s="5"/>
      <c r="H7939" s="5"/>
      <c r="I7939" s="5"/>
      <c r="J7939" s="5"/>
      <c r="K7939" s="5"/>
      <c r="L7939" s="5"/>
    </row>
    <row r="7940" spans="1:12" ht="12" customHeight="1" x14ac:dyDescent="0.25">
      <c r="A7940" s="6"/>
      <c r="B7940" s="1"/>
      <c r="C7940" s="5"/>
      <c r="D7940" s="5"/>
      <c r="E7940" s="5"/>
      <c r="F7940" s="5"/>
      <c r="G7940" s="5"/>
      <c r="H7940" s="5"/>
      <c r="I7940" s="5"/>
      <c r="J7940" s="5"/>
      <c r="K7940" s="5"/>
      <c r="L7940" s="5"/>
    </row>
    <row r="7941" spans="1:12" ht="12" customHeight="1" x14ac:dyDescent="0.25">
      <c r="A7941" s="6"/>
      <c r="B7941" s="1"/>
      <c r="C7941" s="5"/>
      <c r="D7941" s="5"/>
      <c r="E7941" s="5"/>
      <c r="F7941" s="5"/>
      <c r="G7941" s="5"/>
      <c r="H7941" s="5"/>
      <c r="I7941" s="5"/>
      <c r="J7941" s="5"/>
      <c r="K7941" s="5"/>
      <c r="L7941" s="5"/>
    </row>
    <row r="7942" spans="1:12" ht="12" customHeight="1" x14ac:dyDescent="0.25">
      <c r="A7942" s="6"/>
      <c r="B7942" s="1"/>
      <c r="C7942" s="5"/>
      <c r="D7942" s="5"/>
      <c r="E7942" s="5"/>
      <c r="F7942" s="5"/>
      <c r="G7942" s="5"/>
      <c r="H7942" s="5"/>
      <c r="I7942" s="5"/>
      <c r="J7942" s="5"/>
      <c r="K7942" s="5"/>
      <c r="L7942" s="5"/>
    </row>
    <row r="7943" spans="1:12" ht="12" customHeight="1" x14ac:dyDescent="0.25">
      <c r="A7943" s="6"/>
      <c r="B7943" s="1"/>
      <c r="C7943" s="5"/>
      <c r="D7943" s="5"/>
      <c r="E7943" s="5"/>
      <c r="F7943" s="5"/>
      <c r="G7943" s="5"/>
      <c r="H7943" s="5"/>
      <c r="I7943" s="5"/>
      <c r="J7943" s="5"/>
      <c r="K7943" s="5"/>
      <c r="L7943" s="5"/>
    </row>
    <row r="7944" spans="1:12" ht="12" customHeight="1" x14ac:dyDescent="0.25">
      <c r="A7944" s="6"/>
      <c r="B7944" s="1"/>
      <c r="C7944" s="5"/>
      <c r="D7944" s="5"/>
      <c r="E7944" s="5"/>
      <c r="F7944" s="5"/>
      <c r="G7944" s="5"/>
      <c r="H7944" s="5"/>
      <c r="I7944" s="5"/>
      <c r="J7944" s="5"/>
      <c r="K7944" s="5"/>
      <c r="L7944" s="5"/>
    </row>
    <row r="7945" spans="1:12" ht="12" customHeight="1" x14ac:dyDescent="0.25">
      <c r="A7945" s="6"/>
      <c r="B7945" s="1"/>
      <c r="C7945" s="5"/>
      <c r="D7945" s="5"/>
      <c r="E7945" s="5"/>
      <c r="F7945" s="5"/>
      <c r="G7945" s="5"/>
      <c r="H7945" s="5"/>
      <c r="I7945" s="5"/>
      <c r="J7945" s="5"/>
      <c r="K7945" s="5"/>
      <c r="L7945" s="5"/>
    </row>
    <row r="7946" spans="1:12" ht="12" customHeight="1" x14ac:dyDescent="0.25">
      <c r="A7946" s="6"/>
      <c r="B7946" s="1"/>
      <c r="C7946" s="5"/>
      <c r="D7946" s="5"/>
      <c r="E7946" s="5"/>
      <c r="F7946" s="5"/>
      <c r="G7946" s="5"/>
      <c r="H7946" s="5"/>
      <c r="I7946" s="5"/>
      <c r="J7946" s="5"/>
      <c r="K7946" s="5"/>
      <c r="L7946" s="5"/>
    </row>
    <row r="7947" spans="1:12" ht="12" customHeight="1" x14ac:dyDescent="0.25">
      <c r="A7947" s="6"/>
      <c r="B7947" s="1"/>
      <c r="C7947" s="5"/>
      <c r="D7947" s="5"/>
      <c r="E7947" s="5"/>
      <c r="F7947" s="5"/>
      <c r="G7947" s="5"/>
      <c r="H7947" s="5"/>
      <c r="I7947" s="5"/>
      <c r="J7947" s="5"/>
      <c r="K7947" s="5"/>
      <c r="L7947" s="5"/>
    </row>
    <row r="7948" spans="1:12" ht="12" customHeight="1" x14ac:dyDescent="0.25">
      <c r="A7948" s="6"/>
      <c r="B7948" s="1"/>
      <c r="C7948" s="5"/>
      <c r="D7948" s="5"/>
      <c r="E7948" s="5"/>
      <c r="F7948" s="5"/>
      <c r="G7948" s="5"/>
      <c r="H7948" s="5"/>
      <c r="I7948" s="5"/>
      <c r="J7948" s="5"/>
      <c r="K7948" s="5"/>
      <c r="L7948" s="5"/>
    </row>
    <row r="7949" spans="1:12" ht="12" customHeight="1" x14ac:dyDescent="0.25">
      <c r="A7949" s="6"/>
      <c r="B7949" s="1"/>
      <c r="C7949" s="5"/>
      <c r="D7949" s="5"/>
      <c r="E7949" s="5"/>
      <c r="F7949" s="5"/>
      <c r="G7949" s="5"/>
      <c r="H7949" s="5"/>
      <c r="I7949" s="5"/>
      <c r="J7949" s="5"/>
      <c r="K7949" s="5"/>
      <c r="L7949" s="5"/>
    </row>
    <row r="7950" spans="1:12" ht="12" customHeight="1" x14ac:dyDescent="0.25">
      <c r="A7950" s="6"/>
      <c r="B7950" s="1"/>
      <c r="C7950" s="5"/>
      <c r="D7950" s="5"/>
      <c r="E7950" s="5"/>
      <c r="F7950" s="5"/>
      <c r="G7950" s="5"/>
      <c r="H7950" s="5"/>
      <c r="I7950" s="5"/>
      <c r="J7950" s="5"/>
      <c r="K7950" s="5"/>
      <c r="L7950" s="5"/>
    </row>
    <row r="7951" spans="1:12" ht="12" customHeight="1" x14ac:dyDescent="0.25">
      <c r="A7951" s="6"/>
      <c r="B7951" s="1"/>
      <c r="C7951" s="5"/>
      <c r="D7951" s="5"/>
      <c r="E7951" s="5"/>
      <c r="F7951" s="5"/>
      <c r="G7951" s="5"/>
      <c r="H7951" s="5"/>
      <c r="I7951" s="5"/>
      <c r="J7951" s="5"/>
      <c r="K7951" s="5"/>
      <c r="L7951" s="5"/>
    </row>
    <row r="7952" spans="1:12" ht="12" customHeight="1" x14ac:dyDescent="0.25">
      <c r="A7952" s="6"/>
      <c r="B7952" s="1"/>
      <c r="C7952" s="5"/>
      <c r="D7952" s="5"/>
      <c r="E7952" s="5"/>
      <c r="F7952" s="5"/>
      <c r="G7952" s="5"/>
      <c r="H7952" s="5"/>
      <c r="I7952" s="5"/>
      <c r="J7952" s="5"/>
      <c r="K7952" s="5"/>
      <c r="L7952" s="5"/>
    </row>
    <row r="7953" spans="1:12" ht="12" customHeight="1" x14ac:dyDescent="0.25">
      <c r="A7953" s="6"/>
      <c r="B7953" s="1"/>
      <c r="C7953" s="5"/>
      <c r="D7953" s="5"/>
      <c r="E7953" s="5"/>
      <c r="F7953" s="5"/>
      <c r="G7953" s="5"/>
      <c r="H7953" s="5"/>
      <c r="I7953" s="5"/>
      <c r="J7953" s="5"/>
      <c r="K7953" s="5"/>
      <c r="L7953" s="5"/>
    </row>
    <row r="7954" spans="1:12" ht="12" customHeight="1" x14ac:dyDescent="0.25">
      <c r="A7954" s="6"/>
      <c r="B7954" s="1"/>
      <c r="C7954" s="5"/>
      <c r="D7954" s="5"/>
      <c r="E7954" s="5"/>
      <c r="F7954" s="5"/>
      <c r="G7954" s="5"/>
      <c r="H7954" s="5"/>
      <c r="I7954" s="5"/>
      <c r="J7954" s="5"/>
      <c r="K7954" s="5"/>
      <c r="L7954" s="5"/>
    </row>
    <row r="7955" spans="1:12" ht="12" customHeight="1" x14ac:dyDescent="0.25">
      <c r="A7955" s="6"/>
      <c r="B7955" s="1"/>
      <c r="C7955" s="5"/>
      <c r="D7955" s="5"/>
      <c r="E7955" s="5"/>
      <c r="F7955" s="5"/>
      <c r="G7955" s="5"/>
      <c r="H7955" s="5"/>
      <c r="I7955" s="5"/>
      <c r="J7955" s="5"/>
      <c r="K7955" s="5"/>
      <c r="L7955" s="5"/>
    </row>
    <row r="7956" spans="1:12" ht="12" customHeight="1" x14ac:dyDescent="0.25">
      <c r="A7956" s="6"/>
      <c r="B7956" s="1"/>
      <c r="C7956" s="5"/>
      <c r="D7956" s="5"/>
      <c r="E7956" s="5"/>
      <c r="F7956" s="5"/>
      <c r="G7956" s="5"/>
      <c r="H7956" s="5"/>
      <c r="I7956" s="5"/>
      <c r="J7956" s="5"/>
      <c r="K7956" s="5"/>
      <c r="L7956" s="5"/>
    </row>
    <row r="7957" spans="1:12" ht="12" customHeight="1" x14ac:dyDescent="0.25">
      <c r="A7957" s="6"/>
      <c r="B7957" s="1"/>
      <c r="C7957" s="5"/>
      <c r="D7957" s="5"/>
      <c r="E7957" s="5"/>
      <c r="F7957" s="5"/>
      <c r="G7957" s="5"/>
      <c r="H7957" s="5"/>
      <c r="I7957" s="5"/>
      <c r="J7957" s="5"/>
      <c r="K7957" s="5"/>
      <c r="L7957" s="5"/>
    </row>
    <row r="7958" spans="1:12" ht="12" customHeight="1" x14ac:dyDescent="0.25">
      <c r="A7958" s="6"/>
      <c r="B7958" s="1"/>
      <c r="C7958" s="5"/>
      <c r="D7958" s="5"/>
      <c r="E7958" s="5"/>
      <c r="F7958" s="5"/>
      <c r="G7958" s="5"/>
      <c r="H7958" s="5"/>
      <c r="I7958" s="5"/>
      <c r="J7958" s="5"/>
      <c r="K7958" s="5"/>
      <c r="L7958" s="5"/>
    </row>
    <row r="7959" spans="1:12" ht="12" customHeight="1" x14ac:dyDescent="0.25">
      <c r="A7959" s="6"/>
      <c r="B7959" s="1"/>
      <c r="C7959" s="5"/>
      <c r="D7959" s="5"/>
      <c r="E7959" s="5"/>
      <c r="F7959" s="5"/>
      <c r="G7959" s="5"/>
      <c r="H7959" s="5"/>
      <c r="I7959" s="5"/>
      <c r="J7959" s="5"/>
      <c r="K7959" s="5"/>
      <c r="L7959" s="5"/>
    </row>
    <row r="7960" spans="1:12" ht="12" customHeight="1" x14ac:dyDescent="0.25">
      <c r="A7960" s="6"/>
      <c r="B7960" s="1"/>
      <c r="C7960" s="5"/>
      <c r="D7960" s="5"/>
      <c r="E7960" s="5"/>
      <c r="F7960" s="5"/>
      <c r="G7960" s="5"/>
      <c r="H7960" s="5"/>
      <c r="I7960" s="5"/>
      <c r="J7960" s="5"/>
      <c r="K7960" s="5"/>
      <c r="L7960" s="5"/>
    </row>
    <row r="7961" spans="1:12" ht="12" customHeight="1" x14ac:dyDescent="0.25">
      <c r="A7961" s="6"/>
      <c r="B7961" s="1"/>
      <c r="C7961" s="5"/>
      <c r="D7961" s="5"/>
      <c r="E7961" s="5"/>
      <c r="F7961" s="5"/>
      <c r="G7961" s="5"/>
      <c r="H7961" s="5"/>
      <c r="I7961" s="5"/>
      <c r="J7961" s="5"/>
      <c r="K7961" s="5"/>
      <c r="L7961" s="5"/>
    </row>
    <row r="7962" spans="1:12" ht="12" customHeight="1" x14ac:dyDescent="0.25">
      <c r="A7962" s="6"/>
      <c r="B7962" s="1"/>
      <c r="C7962" s="5"/>
      <c r="D7962" s="5"/>
      <c r="E7962" s="5"/>
      <c r="F7962" s="5"/>
      <c r="G7962" s="5"/>
      <c r="H7962" s="5"/>
      <c r="I7962" s="5"/>
      <c r="J7962" s="5"/>
      <c r="K7962" s="5"/>
      <c r="L7962" s="5"/>
    </row>
    <row r="7963" spans="1:12" ht="12" customHeight="1" x14ac:dyDescent="0.25">
      <c r="A7963" s="6"/>
      <c r="B7963" s="1"/>
      <c r="C7963" s="5"/>
      <c r="D7963" s="5"/>
      <c r="E7963" s="5"/>
      <c r="F7963" s="5"/>
      <c r="G7963" s="5"/>
      <c r="H7963" s="5"/>
      <c r="I7963" s="5"/>
      <c r="J7963" s="5"/>
      <c r="K7963" s="5"/>
      <c r="L7963" s="5"/>
    </row>
    <row r="7964" spans="1:12" ht="12" customHeight="1" x14ac:dyDescent="0.25">
      <c r="A7964" s="6"/>
      <c r="B7964" s="1"/>
      <c r="C7964" s="5"/>
      <c r="D7964" s="5"/>
      <c r="E7964" s="5"/>
      <c r="F7964" s="5"/>
      <c r="G7964" s="5"/>
      <c r="H7964" s="5"/>
      <c r="I7964" s="5"/>
      <c r="J7964" s="5"/>
      <c r="K7964" s="5"/>
      <c r="L7964" s="5"/>
    </row>
    <row r="7965" spans="1:12" ht="12" customHeight="1" x14ac:dyDescent="0.25">
      <c r="A7965" s="6"/>
      <c r="B7965" s="1"/>
      <c r="C7965" s="5"/>
      <c r="D7965" s="5"/>
      <c r="E7965" s="5"/>
      <c r="F7965" s="5"/>
      <c r="G7965" s="5"/>
      <c r="H7965" s="5"/>
      <c r="I7965" s="5"/>
      <c r="J7965" s="5"/>
      <c r="K7965" s="5"/>
      <c r="L7965" s="5"/>
    </row>
    <row r="7966" spans="1:12" ht="12" customHeight="1" x14ac:dyDescent="0.25">
      <c r="A7966" s="6"/>
      <c r="B7966" s="1"/>
      <c r="C7966" s="5"/>
      <c r="D7966" s="5"/>
      <c r="E7966" s="5"/>
      <c r="F7966" s="5"/>
      <c r="G7966" s="5"/>
      <c r="H7966" s="5"/>
      <c r="I7966" s="5"/>
      <c r="J7966" s="5"/>
      <c r="K7966" s="5"/>
      <c r="L7966" s="5"/>
    </row>
    <row r="7967" spans="1:12" ht="12" customHeight="1" x14ac:dyDescent="0.25">
      <c r="A7967" s="6"/>
      <c r="B7967" s="1"/>
      <c r="C7967" s="5"/>
      <c r="D7967" s="5"/>
      <c r="E7967" s="5"/>
      <c r="F7967" s="5"/>
      <c r="G7967" s="5"/>
      <c r="H7967" s="5"/>
      <c r="I7967" s="5"/>
      <c r="J7967" s="5"/>
      <c r="K7967" s="5"/>
      <c r="L7967" s="5"/>
    </row>
    <row r="7968" spans="1:12" ht="12" customHeight="1" x14ac:dyDescent="0.25">
      <c r="A7968" s="6"/>
      <c r="B7968" s="1"/>
      <c r="C7968" s="5"/>
      <c r="D7968" s="5"/>
      <c r="E7968" s="5"/>
      <c r="F7968" s="5"/>
      <c r="G7968" s="5"/>
      <c r="H7968" s="5"/>
      <c r="I7968" s="5"/>
      <c r="J7968" s="5"/>
      <c r="K7968" s="5"/>
      <c r="L7968" s="5"/>
    </row>
    <row r="7969" spans="1:12" ht="12" customHeight="1" x14ac:dyDescent="0.25">
      <c r="A7969" s="6"/>
      <c r="B7969" s="1"/>
      <c r="C7969" s="5"/>
      <c r="D7969" s="5"/>
      <c r="E7969" s="5"/>
      <c r="F7969" s="5"/>
      <c r="G7969" s="5"/>
      <c r="H7969" s="5"/>
      <c r="I7969" s="5"/>
      <c r="J7969" s="5"/>
      <c r="K7969" s="5"/>
      <c r="L7969" s="5"/>
    </row>
    <row r="7970" spans="1:12" ht="12" customHeight="1" x14ac:dyDescent="0.25">
      <c r="A7970" s="6"/>
      <c r="B7970" s="1"/>
      <c r="C7970" s="5"/>
      <c r="D7970" s="5"/>
      <c r="E7970" s="5"/>
      <c r="F7970" s="5"/>
      <c r="G7970" s="5"/>
      <c r="H7970" s="5"/>
      <c r="I7970" s="5"/>
      <c r="J7970" s="5"/>
      <c r="K7970" s="5"/>
      <c r="L7970" s="5"/>
    </row>
    <row r="7971" spans="1:12" ht="12" customHeight="1" x14ac:dyDescent="0.25">
      <c r="A7971" s="6"/>
      <c r="B7971" s="1"/>
      <c r="C7971" s="5"/>
      <c r="D7971" s="5"/>
      <c r="E7971" s="5"/>
      <c r="F7971" s="5"/>
      <c r="G7971" s="5"/>
      <c r="H7971" s="5"/>
      <c r="I7971" s="5"/>
      <c r="J7971" s="5"/>
      <c r="K7971" s="5"/>
      <c r="L7971" s="5"/>
    </row>
    <row r="7972" spans="1:12" ht="12" customHeight="1" x14ac:dyDescent="0.25">
      <c r="A7972" s="6"/>
      <c r="B7972" s="1"/>
      <c r="C7972" s="5"/>
      <c r="D7972" s="5"/>
      <c r="E7972" s="5"/>
      <c r="F7972" s="5"/>
      <c r="G7972" s="5"/>
      <c r="H7972" s="5"/>
      <c r="I7972" s="5"/>
      <c r="J7972" s="5"/>
      <c r="K7972" s="5"/>
      <c r="L7972" s="5"/>
    </row>
    <row r="7973" spans="1:12" ht="12" customHeight="1" x14ac:dyDescent="0.25">
      <c r="A7973" s="6"/>
      <c r="B7973" s="1"/>
      <c r="C7973" s="5"/>
      <c r="D7973" s="5"/>
      <c r="E7973" s="5"/>
      <c r="F7973" s="5"/>
      <c r="G7973" s="5"/>
      <c r="H7973" s="5"/>
      <c r="I7973" s="5"/>
      <c r="J7973" s="5"/>
      <c r="K7973" s="5"/>
      <c r="L7973" s="5"/>
    </row>
    <row r="7974" spans="1:12" ht="12" customHeight="1" x14ac:dyDescent="0.25">
      <c r="A7974" s="6"/>
      <c r="B7974" s="1"/>
      <c r="C7974" s="5"/>
      <c r="D7974" s="5"/>
      <c r="E7974" s="5"/>
      <c r="F7974" s="5"/>
      <c r="G7974" s="5"/>
      <c r="H7974" s="5"/>
      <c r="I7974" s="5"/>
      <c r="J7974" s="5"/>
      <c r="K7974" s="5"/>
      <c r="L7974" s="5"/>
    </row>
    <row r="7975" spans="1:12" ht="12" customHeight="1" x14ac:dyDescent="0.25">
      <c r="A7975" s="6"/>
      <c r="B7975" s="1"/>
      <c r="C7975" s="5"/>
      <c r="D7975" s="5"/>
      <c r="E7975" s="5"/>
      <c r="F7975" s="5"/>
      <c r="G7975" s="5"/>
      <c r="H7975" s="5"/>
      <c r="I7975" s="5"/>
      <c r="J7975" s="5"/>
      <c r="K7975" s="5"/>
      <c r="L7975" s="5"/>
    </row>
    <row r="7976" spans="1:12" ht="12" customHeight="1" x14ac:dyDescent="0.25">
      <c r="A7976" s="6"/>
      <c r="B7976" s="1"/>
      <c r="C7976" s="5"/>
      <c r="D7976" s="5"/>
      <c r="E7976" s="5"/>
      <c r="F7976" s="5"/>
      <c r="G7976" s="5"/>
      <c r="H7976" s="5"/>
      <c r="I7976" s="5"/>
      <c r="J7976" s="5"/>
      <c r="K7976" s="5"/>
      <c r="L7976" s="5"/>
    </row>
    <row r="7977" spans="1:12" ht="12" customHeight="1" x14ac:dyDescent="0.25">
      <c r="A7977" s="6"/>
      <c r="B7977" s="1"/>
      <c r="C7977" s="5"/>
      <c r="D7977" s="5"/>
      <c r="E7977" s="5"/>
      <c r="F7977" s="5"/>
      <c r="G7977" s="5"/>
      <c r="H7977" s="5"/>
      <c r="I7977" s="5"/>
      <c r="J7977" s="5"/>
      <c r="K7977" s="5"/>
      <c r="L7977" s="5"/>
    </row>
    <row r="7978" spans="1:12" ht="12" customHeight="1" x14ac:dyDescent="0.25">
      <c r="A7978" s="6"/>
      <c r="B7978" s="1"/>
      <c r="C7978" s="5"/>
      <c r="D7978" s="5"/>
      <c r="E7978" s="5"/>
      <c r="F7978" s="5"/>
      <c r="G7978" s="5"/>
      <c r="H7978" s="5"/>
      <c r="I7978" s="5"/>
      <c r="J7978" s="5"/>
      <c r="K7978" s="5"/>
      <c r="L7978" s="5"/>
    </row>
    <row r="7979" spans="1:12" ht="12" customHeight="1" x14ac:dyDescent="0.25">
      <c r="A7979" s="6"/>
      <c r="B7979" s="1"/>
      <c r="C7979" s="5"/>
      <c r="D7979" s="5"/>
      <c r="E7979" s="5"/>
      <c r="F7979" s="5"/>
      <c r="G7979" s="5"/>
      <c r="H7979" s="5"/>
      <c r="I7979" s="5"/>
      <c r="J7979" s="5"/>
      <c r="K7979" s="5"/>
      <c r="L7979" s="5"/>
    </row>
    <row r="7980" spans="1:12" ht="12" customHeight="1" x14ac:dyDescent="0.25">
      <c r="A7980" s="6"/>
      <c r="B7980" s="1"/>
      <c r="C7980" s="5"/>
      <c r="D7980" s="5"/>
      <c r="E7980" s="5"/>
      <c r="F7980" s="5"/>
      <c r="G7980" s="5"/>
      <c r="H7980" s="5"/>
      <c r="I7980" s="5"/>
      <c r="J7980" s="5"/>
      <c r="K7980" s="5"/>
      <c r="L7980" s="5"/>
    </row>
    <row r="7981" spans="1:12" ht="12" customHeight="1" x14ac:dyDescent="0.25">
      <c r="A7981" s="6"/>
      <c r="B7981" s="1"/>
      <c r="C7981" s="5"/>
      <c r="D7981" s="5"/>
      <c r="E7981" s="5"/>
      <c r="F7981" s="5"/>
      <c r="G7981" s="5"/>
      <c r="H7981" s="5"/>
      <c r="I7981" s="5"/>
      <c r="J7981" s="5"/>
      <c r="K7981" s="5"/>
      <c r="L7981" s="5"/>
    </row>
    <row r="7982" spans="1:12" ht="12" customHeight="1" x14ac:dyDescent="0.25">
      <c r="A7982" s="6"/>
      <c r="B7982" s="1"/>
      <c r="C7982" s="5"/>
      <c r="D7982" s="5"/>
      <c r="E7982" s="5"/>
      <c r="F7982" s="5"/>
      <c r="G7982" s="5"/>
      <c r="H7982" s="5"/>
      <c r="I7982" s="5"/>
      <c r="J7982" s="5"/>
      <c r="K7982" s="5"/>
      <c r="L7982" s="5"/>
    </row>
    <row r="7983" spans="1:12" ht="12" customHeight="1" x14ac:dyDescent="0.25">
      <c r="A7983" s="6"/>
      <c r="B7983" s="1"/>
      <c r="C7983" s="5"/>
      <c r="D7983" s="5"/>
      <c r="E7983" s="5"/>
      <c r="F7983" s="5"/>
      <c r="G7983" s="5"/>
      <c r="H7983" s="5"/>
      <c r="I7983" s="5"/>
      <c r="J7983" s="5"/>
      <c r="K7983" s="5"/>
      <c r="L7983" s="5"/>
    </row>
    <row r="7984" spans="1:12" ht="12" customHeight="1" x14ac:dyDescent="0.25">
      <c r="A7984" s="6"/>
      <c r="B7984" s="1"/>
      <c r="C7984" s="5"/>
      <c r="D7984" s="5"/>
      <c r="E7984" s="5"/>
      <c r="F7984" s="5"/>
      <c r="G7984" s="5"/>
      <c r="H7984" s="5"/>
      <c r="I7984" s="5"/>
      <c r="J7984" s="5"/>
      <c r="K7984" s="5"/>
      <c r="L7984" s="5"/>
    </row>
    <row r="7985" spans="1:12" ht="12" customHeight="1" x14ac:dyDescent="0.25">
      <c r="A7985" s="6"/>
      <c r="B7985" s="1"/>
      <c r="C7985" s="5"/>
      <c r="D7985" s="5"/>
      <c r="E7985" s="5"/>
      <c r="F7985" s="5"/>
      <c r="G7985" s="5"/>
      <c r="H7985" s="5"/>
      <c r="I7985" s="5"/>
      <c r="J7985" s="5"/>
      <c r="K7985" s="5"/>
      <c r="L7985" s="5"/>
    </row>
    <row r="7986" spans="1:12" ht="12" customHeight="1" x14ac:dyDescent="0.25">
      <c r="A7986" s="6"/>
      <c r="B7986" s="1"/>
      <c r="C7986" s="5"/>
      <c r="D7986" s="5"/>
      <c r="E7986" s="5"/>
      <c r="F7986" s="5"/>
      <c r="G7986" s="5"/>
      <c r="H7986" s="5"/>
      <c r="I7986" s="5"/>
      <c r="J7986" s="5"/>
      <c r="K7986" s="5"/>
      <c r="L7986" s="5"/>
    </row>
    <row r="7987" spans="1:12" ht="12" customHeight="1" x14ac:dyDescent="0.25">
      <c r="A7987" s="6"/>
      <c r="B7987" s="1"/>
      <c r="C7987" s="5"/>
      <c r="D7987" s="5"/>
      <c r="E7987" s="5"/>
      <c r="F7987" s="5"/>
      <c r="G7987" s="5"/>
      <c r="H7987" s="5"/>
      <c r="I7987" s="5"/>
      <c r="J7987" s="5"/>
      <c r="K7987" s="5"/>
      <c r="L7987" s="5"/>
    </row>
    <row r="7988" spans="1:12" ht="12" customHeight="1" x14ac:dyDescent="0.25">
      <c r="A7988" s="6"/>
      <c r="B7988" s="1"/>
      <c r="C7988" s="5"/>
      <c r="D7988" s="5"/>
      <c r="E7988" s="5"/>
      <c r="F7988" s="5"/>
      <c r="G7988" s="5"/>
      <c r="H7988" s="5"/>
      <c r="I7988" s="5"/>
      <c r="J7988" s="5"/>
      <c r="K7988" s="5"/>
      <c r="L7988" s="5"/>
    </row>
    <row r="7989" spans="1:12" ht="12" customHeight="1" x14ac:dyDescent="0.25">
      <c r="A7989" s="6"/>
      <c r="B7989" s="1"/>
      <c r="C7989" s="5"/>
      <c r="D7989" s="5"/>
      <c r="E7989" s="5"/>
      <c r="F7989" s="5"/>
      <c r="G7989" s="5"/>
      <c r="H7989" s="5"/>
      <c r="I7989" s="5"/>
      <c r="J7989" s="5"/>
      <c r="K7989" s="5"/>
      <c r="L7989" s="5"/>
    </row>
    <row r="7990" spans="1:12" ht="12" customHeight="1" x14ac:dyDescent="0.25">
      <c r="A7990" s="6"/>
      <c r="B7990" s="1"/>
      <c r="C7990" s="5"/>
      <c r="D7990" s="5"/>
      <c r="E7990" s="5"/>
      <c r="F7990" s="5"/>
      <c r="G7990" s="5"/>
      <c r="H7990" s="5"/>
      <c r="I7990" s="5"/>
      <c r="J7990" s="5"/>
      <c r="K7990" s="5"/>
      <c r="L7990" s="5"/>
    </row>
    <row r="7991" spans="1:12" ht="12" customHeight="1" x14ac:dyDescent="0.25">
      <c r="A7991" s="6"/>
      <c r="B7991" s="1"/>
      <c r="C7991" s="5"/>
      <c r="D7991" s="5"/>
      <c r="E7991" s="5"/>
      <c r="F7991" s="5"/>
      <c r="G7991" s="5"/>
      <c r="H7991" s="5"/>
      <c r="I7991" s="5"/>
      <c r="J7991" s="5"/>
      <c r="K7991" s="5"/>
      <c r="L7991" s="5"/>
    </row>
    <row r="7992" spans="1:12" ht="12" customHeight="1" x14ac:dyDescent="0.25">
      <c r="A7992" s="6"/>
      <c r="B7992" s="1"/>
      <c r="C7992" s="5"/>
      <c r="D7992" s="5"/>
      <c r="E7992" s="5"/>
      <c r="F7992" s="5"/>
      <c r="G7992" s="5"/>
      <c r="H7992" s="5"/>
      <c r="I7992" s="5"/>
      <c r="J7992" s="5"/>
      <c r="K7992" s="5"/>
      <c r="L7992" s="5"/>
    </row>
    <row r="7993" spans="1:12" ht="12" customHeight="1" x14ac:dyDescent="0.25">
      <c r="A7993" s="6"/>
      <c r="B7993" s="1"/>
      <c r="C7993" s="5"/>
      <c r="D7993" s="5"/>
      <c r="E7993" s="5"/>
      <c r="F7993" s="5"/>
      <c r="G7993" s="5"/>
      <c r="H7993" s="5"/>
      <c r="I7993" s="5"/>
      <c r="J7993" s="5"/>
      <c r="K7993" s="5"/>
      <c r="L7993" s="5"/>
    </row>
    <row r="7994" spans="1:12" ht="12" customHeight="1" x14ac:dyDescent="0.25">
      <c r="A7994" s="6"/>
      <c r="B7994" s="1"/>
      <c r="C7994" s="5"/>
      <c r="D7994" s="5"/>
      <c r="E7994" s="5"/>
      <c r="F7994" s="5"/>
      <c r="G7994" s="5"/>
      <c r="H7994" s="5"/>
      <c r="I7994" s="5"/>
      <c r="J7994" s="5"/>
      <c r="K7994" s="5"/>
      <c r="L7994" s="5"/>
    </row>
    <row r="7995" spans="1:12" ht="12" customHeight="1" x14ac:dyDescent="0.25">
      <c r="A7995" s="6"/>
      <c r="B7995" s="1"/>
      <c r="C7995" s="5"/>
      <c r="D7995" s="5"/>
      <c r="E7995" s="5"/>
      <c r="F7995" s="5"/>
      <c r="G7995" s="5"/>
      <c r="H7995" s="5"/>
      <c r="I7995" s="5"/>
      <c r="J7995" s="5"/>
      <c r="K7995" s="5"/>
      <c r="L7995" s="5"/>
    </row>
    <row r="7996" spans="1:12" ht="12" customHeight="1" x14ac:dyDescent="0.25">
      <c r="A7996" s="6"/>
      <c r="B7996" s="1"/>
      <c r="C7996" s="5"/>
      <c r="D7996" s="5"/>
      <c r="E7996" s="5"/>
      <c r="F7996" s="5"/>
      <c r="G7996" s="5"/>
      <c r="H7996" s="5"/>
      <c r="I7996" s="5"/>
      <c r="J7996" s="5"/>
      <c r="K7996" s="5"/>
      <c r="L7996" s="5"/>
    </row>
    <row r="7997" spans="1:12" ht="12" customHeight="1" x14ac:dyDescent="0.25">
      <c r="A7997" s="6"/>
      <c r="B7997" s="1"/>
      <c r="C7997" s="5"/>
      <c r="D7997" s="5"/>
      <c r="E7997" s="5"/>
      <c r="F7997" s="5"/>
      <c r="G7997" s="5"/>
      <c r="H7997" s="5"/>
      <c r="I7997" s="5"/>
      <c r="J7997" s="5"/>
      <c r="K7997" s="5"/>
      <c r="L7997" s="5"/>
    </row>
    <row r="7998" spans="1:12" ht="12" customHeight="1" x14ac:dyDescent="0.25">
      <c r="A7998" s="6"/>
      <c r="B7998" s="1"/>
      <c r="C7998" s="5"/>
      <c r="D7998" s="5"/>
      <c r="E7998" s="5"/>
      <c r="F7998" s="5"/>
      <c r="G7998" s="5"/>
      <c r="H7998" s="5"/>
      <c r="I7998" s="5"/>
      <c r="J7998" s="5"/>
      <c r="K7998" s="5"/>
      <c r="L7998" s="5"/>
    </row>
    <row r="7999" spans="1:12" ht="12" customHeight="1" x14ac:dyDescent="0.25">
      <c r="A7999" s="6"/>
      <c r="B7999" s="1"/>
      <c r="C7999" s="5"/>
      <c r="D7999" s="5"/>
      <c r="E7999" s="5"/>
      <c r="F7999" s="5"/>
      <c r="G7999" s="5"/>
      <c r="H7999" s="5"/>
      <c r="I7999" s="5"/>
      <c r="J7999" s="5"/>
      <c r="K7999" s="5"/>
      <c r="L7999" s="5"/>
    </row>
    <row r="8000" spans="1:12" ht="12" customHeight="1" x14ac:dyDescent="0.25">
      <c r="A8000" s="6"/>
      <c r="B8000" s="1"/>
      <c r="C8000" s="5"/>
      <c r="D8000" s="5"/>
      <c r="E8000" s="5"/>
      <c r="F8000" s="5"/>
      <c r="G8000" s="5"/>
      <c r="H8000" s="5"/>
      <c r="I8000" s="5"/>
      <c r="J8000" s="5"/>
      <c r="K8000" s="5"/>
      <c r="L8000" s="5"/>
    </row>
    <row r="8001" spans="1:12" ht="12" customHeight="1" x14ac:dyDescent="0.25">
      <c r="A8001" s="6"/>
      <c r="B8001" s="1"/>
      <c r="C8001" s="5"/>
      <c r="D8001" s="5"/>
      <c r="E8001" s="5"/>
      <c r="F8001" s="5"/>
      <c r="G8001" s="5"/>
      <c r="H8001" s="5"/>
      <c r="I8001" s="5"/>
      <c r="J8001" s="5"/>
      <c r="K8001" s="5"/>
      <c r="L8001" s="5"/>
    </row>
    <row r="8002" spans="1:12" ht="12" customHeight="1" x14ac:dyDescent="0.25">
      <c r="A8002" s="6"/>
      <c r="B8002" s="1"/>
      <c r="C8002" s="5"/>
      <c r="D8002" s="5"/>
      <c r="E8002" s="5"/>
      <c r="F8002" s="5"/>
      <c r="G8002" s="5"/>
      <c r="H8002" s="5"/>
      <c r="I8002" s="5"/>
      <c r="J8002" s="5"/>
      <c r="K8002" s="5"/>
      <c r="L8002" s="5"/>
    </row>
    <row r="8003" spans="1:12" ht="12" customHeight="1" x14ac:dyDescent="0.25">
      <c r="A8003" s="6"/>
      <c r="B8003" s="1"/>
      <c r="C8003" s="5"/>
      <c r="D8003" s="5"/>
      <c r="E8003" s="5"/>
      <c r="F8003" s="5"/>
      <c r="G8003" s="5"/>
      <c r="H8003" s="5"/>
      <c r="I8003" s="5"/>
      <c r="J8003" s="5"/>
      <c r="K8003" s="5"/>
      <c r="L8003" s="5"/>
    </row>
    <row r="8004" spans="1:12" ht="12" customHeight="1" x14ac:dyDescent="0.25">
      <c r="A8004" s="6"/>
      <c r="B8004" s="1"/>
      <c r="C8004" s="5"/>
      <c r="D8004" s="5"/>
      <c r="E8004" s="5"/>
      <c r="F8004" s="5"/>
      <c r="G8004" s="5"/>
      <c r="H8004" s="5"/>
      <c r="I8004" s="5"/>
      <c r="J8004" s="5"/>
      <c r="K8004" s="5"/>
      <c r="L8004" s="5"/>
    </row>
    <row r="8005" spans="1:12" ht="12" customHeight="1" x14ac:dyDescent="0.25">
      <c r="A8005" s="6"/>
      <c r="B8005" s="1"/>
      <c r="C8005" s="5"/>
      <c r="D8005" s="5"/>
      <c r="E8005" s="5"/>
      <c r="F8005" s="5"/>
      <c r="G8005" s="5"/>
      <c r="H8005" s="5"/>
      <c r="I8005" s="5"/>
      <c r="J8005" s="5"/>
      <c r="K8005" s="5"/>
      <c r="L8005" s="5"/>
    </row>
    <row r="8006" spans="1:12" ht="12" customHeight="1" x14ac:dyDescent="0.25">
      <c r="A8006" s="6"/>
      <c r="B8006" s="1"/>
      <c r="C8006" s="5"/>
      <c r="D8006" s="5"/>
      <c r="E8006" s="5"/>
      <c r="F8006" s="5"/>
      <c r="G8006" s="5"/>
      <c r="H8006" s="5"/>
      <c r="I8006" s="5"/>
      <c r="J8006" s="5"/>
      <c r="K8006" s="5"/>
      <c r="L8006" s="5"/>
    </row>
    <row r="8007" spans="1:12" ht="12" customHeight="1" x14ac:dyDescent="0.25">
      <c r="A8007" s="6"/>
      <c r="B8007" s="1"/>
      <c r="C8007" s="5"/>
      <c r="D8007" s="5"/>
      <c r="E8007" s="5"/>
      <c r="F8007" s="5"/>
      <c r="G8007" s="5"/>
      <c r="H8007" s="5"/>
      <c r="I8007" s="5"/>
      <c r="J8007" s="5"/>
      <c r="K8007" s="5"/>
      <c r="L8007" s="5"/>
    </row>
    <row r="8008" spans="1:12" ht="12" customHeight="1" x14ac:dyDescent="0.25">
      <c r="A8008" s="6"/>
      <c r="B8008" s="1"/>
      <c r="C8008" s="5"/>
      <c r="D8008" s="5"/>
      <c r="E8008" s="5"/>
      <c r="F8008" s="5"/>
      <c r="G8008" s="5"/>
      <c r="H8008" s="5"/>
      <c r="I8008" s="5"/>
      <c r="J8008" s="5"/>
      <c r="K8008" s="5"/>
      <c r="L8008" s="5"/>
    </row>
    <row r="8009" spans="1:12" ht="12" customHeight="1" x14ac:dyDescent="0.25">
      <c r="A8009" s="6"/>
      <c r="B8009" s="1"/>
      <c r="C8009" s="5"/>
      <c r="D8009" s="5"/>
      <c r="E8009" s="5"/>
      <c r="F8009" s="5"/>
      <c r="G8009" s="5"/>
      <c r="H8009" s="5"/>
      <c r="I8009" s="5"/>
      <c r="J8009" s="5"/>
      <c r="K8009" s="5"/>
      <c r="L8009" s="5"/>
    </row>
    <row r="8010" spans="1:12" ht="12" customHeight="1" x14ac:dyDescent="0.25">
      <c r="A8010" s="6"/>
      <c r="B8010" s="1"/>
      <c r="C8010" s="5"/>
      <c r="D8010" s="5"/>
      <c r="E8010" s="5"/>
      <c r="F8010" s="5"/>
      <c r="G8010" s="5"/>
      <c r="H8010" s="5"/>
      <c r="I8010" s="5"/>
      <c r="J8010" s="5"/>
      <c r="K8010" s="5"/>
      <c r="L8010" s="5"/>
    </row>
    <row r="8011" spans="1:12" ht="12" customHeight="1" x14ac:dyDescent="0.25">
      <c r="A8011" s="6"/>
      <c r="B8011" s="1"/>
      <c r="C8011" s="5"/>
      <c r="D8011" s="5"/>
      <c r="E8011" s="5"/>
      <c r="F8011" s="5"/>
      <c r="G8011" s="5"/>
      <c r="H8011" s="5"/>
      <c r="I8011" s="5"/>
      <c r="J8011" s="5"/>
      <c r="K8011" s="5"/>
      <c r="L8011" s="5"/>
    </row>
    <row r="8012" spans="1:12" ht="12" customHeight="1" x14ac:dyDescent="0.25">
      <c r="A8012" s="6"/>
      <c r="B8012" s="1"/>
      <c r="C8012" s="5"/>
      <c r="D8012" s="5"/>
      <c r="E8012" s="5"/>
      <c r="F8012" s="5"/>
      <c r="G8012" s="5"/>
      <c r="H8012" s="5"/>
      <c r="I8012" s="5"/>
      <c r="J8012" s="5"/>
      <c r="K8012" s="5"/>
      <c r="L8012" s="5"/>
    </row>
    <row r="8013" spans="1:12" ht="12" customHeight="1" x14ac:dyDescent="0.25">
      <c r="A8013" s="6"/>
      <c r="B8013" s="1"/>
      <c r="C8013" s="5"/>
      <c r="D8013" s="5"/>
      <c r="E8013" s="5"/>
      <c r="F8013" s="5"/>
      <c r="G8013" s="5"/>
      <c r="H8013" s="5"/>
      <c r="I8013" s="5"/>
      <c r="J8013" s="5"/>
      <c r="K8013" s="5"/>
      <c r="L8013" s="5"/>
    </row>
    <row r="8014" spans="1:12" ht="12" customHeight="1" x14ac:dyDescent="0.25">
      <c r="A8014" s="6"/>
      <c r="B8014" s="1"/>
      <c r="C8014" s="5"/>
      <c r="D8014" s="5"/>
      <c r="E8014" s="5"/>
      <c r="F8014" s="5"/>
      <c r="G8014" s="5"/>
      <c r="H8014" s="5"/>
      <c r="I8014" s="5"/>
      <c r="J8014" s="5"/>
      <c r="K8014" s="5"/>
      <c r="L8014" s="5"/>
    </row>
    <row r="8015" spans="1:12" ht="12" customHeight="1" x14ac:dyDescent="0.25">
      <c r="A8015" s="6"/>
      <c r="B8015" s="1"/>
      <c r="C8015" s="5"/>
      <c r="D8015" s="5"/>
      <c r="E8015" s="5"/>
      <c r="F8015" s="5"/>
      <c r="G8015" s="5"/>
      <c r="H8015" s="5"/>
      <c r="I8015" s="5"/>
      <c r="J8015" s="5"/>
      <c r="K8015" s="5"/>
      <c r="L8015" s="5"/>
    </row>
    <row r="8016" spans="1:12" ht="12" customHeight="1" x14ac:dyDescent="0.25">
      <c r="A8016" s="6"/>
      <c r="B8016" s="1"/>
      <c r="C8016" s="5"/>
      <c r="D8016" s="5"/>
      <c r="E8016" s="5"/>
      <c r="F8016" s="5"/>
      <c r="G8016" s="5"/>
      <c r="H8016" s="5"/>
      <c r="I8016" s="5"/>
      <c r="J8016" s="5"/>
      <c r="K8016" s="5"/>
      <c r="L8016" s="5"/>
    </row>
    <row r="8017" spans="1:12" ht="12" customHeight="1" x14ac:dyDescent="0.25">
      <c r="A8017" s="6"/>
      <c r="B8017" s="1"/>
      <c r="C8017" s="5"/>
      <c r="D8017" s="5"/>
      <c r="E8017" s="5"/>
      <c r="F8017" s="5"/>
      <c r="G8017" s="5"/>
      <c r="H8017" s="5"/>
      <c r="I8017" s="5"/>
      <c r="J8017" s="5"/>
      <c r="K8017" s="5"/>
      <c r="L8017" s="5"/>
    </row>
    <row r="8018" spans="1:12" ht="12" customHeight="1" x14ac:dyDescent="0.25">
      <c r="A8018" s="6"/>
      <c r="B8018" s="1"/>
      <c r="C8018" s="5"/>
      <c r="D8018" s="5"/>
      <c r="E8018" s="5"/>
      <c r="F8018" s="5"/>
      <c r="G8018" s="5"/>
      <c r="H8018" s="5"/>
      <c r="I8018" s="5"/>
      <c r="J8018" s="5"/>
      <c r="K8018" s="5"/>
      <c r="L8018" s="5"/>
    </row>
    <row r="8019" spans="1:12" ht="12" customHeight="1" x14ac:dyDescent="0.25">
      <c r="A8019" s="6"/>
      <c r="B8019" s="1"/>
      <c r="C8019" s="5"/>
      <c r="D8019" s="5"/>
      <c r="E8019" s="5"/>
      <c r="F8019" s="5"/>
      <c r="G8019" s="5"/>
      <c r="H8019" s="5"/>
      <c r="I8019" s="5"/>
      <c r="J8019" s="5"/>
      <c r="K8019" s="5"/>
      <c r="L8019" s="5"/>
    </row>
    <row r="8020" spans="1:12" ht="12" customHeight="1" x14ac:dyDescent="0.25">
      <c r="A8020" s="6"/>
      <c r="B8020" s="1"/>
      <c r="C8020" s="5"/>
      <c r="D8020" s="5"/>
      <c r="E8020" s="5"/>
      <c r="F8020" s="5"/>
      <c r="G8020" s="5"/>
      <c r="H8020" s="5"/>
      <c r="I8020" s="5"/>
      <c r="J8020" s="5"/>
      <c r="K8020" s="5"/>
      <c r="L8020" s="5"/>
    </row>
    <row r="8021" spans="1:12" ht="12" customHeight="1" x14ac:dyDescent="0.25">
      <c r="A8021" s="6"/>
      <c r="B8021" s="1"/>
      <c r="C8021" s="5"/>
      <c r="D8021" s="5"/>
      <c r="E8021" s="5"/>
      <c r="F8021" s="5"/>
      <c r="G8021" s="5"/>
      <c r="H8021" s="5"/>
      <c r="I8021" s="5"/>
      <c r="J8021" s="5"/>
      <c r="K8021" s="5"/>
      <c r="L8021" s="5"/>
    </row>
    <row r="8022" spans="1:12" ht="12" customHeight="1" x14ac:dyDescent="0.25">
      <c r="A8022" s="6"/>
      <c r="B8022" s="1"/>
      <c r="C8022" s="5"/>
      <c r="D8022" s="5"/>
      <c r="E8022" s="5"/>
      <c r="F8022" s="5"/>
      <c r="G8022" s="5"/>
      <c r="H8022" s="5"/>
      <c r="I8022" s="5"/>
      <c r="J8022" s="5"/>
      <c r="K8022" s="5"/>
      <c r="L8022" s="5"/>
    </row>
    <row r="8023" spans="1:12" ht="12" customHeight="1" x14ac:dyDescent="0.25">
      <c r="A8023" s="6"/>
      <c r="B8023" s="1"/>
      <c r="C8023" s="5"/>
      <c r="D8023" s="5"/>
      <c r="E8023" s="5"/>
      <c r="F8023" s="5"/>
      <c r="G8023" s="5"/>
      <c r="H8023" s="5"/>
      <c r="I8023" s="5"/>
      <c r="J8023" s="5"/>
      <c r="K8023" s="5"/>
      <c r="L8023" s="5"/>
    </row>
    <row r="8024" spans="1:12" ht="12" customHeight="1" x14ac:dyDescent="0.25">
      <c r="A8024" s="6"/>
      <c r="B8024" s="1"/>
      <c r="C8024" s="5"/>
      <c r="D8024" s="5"/>
      <c r="E8024" s="5"/>
      <c r="F8024" s="5"/>
      <c r="G8024" s="5"/>
      <c r="H8024" s="5"/>
      <c r="I8024" s="5"/>
      <c r="J8024" s="5"/>
      <c r="K8024" s="5"/>
      <c r="L8024" s="5"/>
    </row>
    <row r="8025" spans="1:12" ht="12" customHeight="1" x14ac:dyDescent="0.25">
      <c r="A8025" s="6"/>
      <c r="B8025" s="1"/>
      <c r="C8025" s="5"/>
      <c r="D8025" s="5"/>
      <c r="E8025" s="5"/>
      <c r="F8025" s="5"/>
      <c r="G8025" s="5"/>
      <c r="H8025" s="5"/>
      <c r="I8025" s="5"/>
      <c r="J8025" s="5"/>
      <c r="K8025" s="5"/>
      <c r="L8025" s="5"/>
    </row>
    <row r="8026" spans="1:12" ht="12" customHeight="1" x14ac:dyDescent="0.25">
      <c r="A8026" s="6"/>
      <c r="B8026" s="1"/>
      <c r="C8026" s="5"/>
      <c r="D8026" s="5"/>
      <c r="E8026" s="5"/>
      <c r="F8026" s="5"/>
      <c r="G8026" s="5"/>
      <c r="H8026" s="5"/>
      <c r="I8026" s="5"/>
      <c r="J8026" s="5"/>
      <c r="K8026" s="5"/>
      <c r="L8026" s="5"/>
    </row>
    <row r="8027" spans="1:12" ht="12" customHeight="1" x14ac:dyDescent="0.25">
      <c r="A8027" s="6"/>
      <c r="B8027" s="1"/>
      <c r="C8027" s="5"/>
      <c r="D8027" s="5"/>
      <c r="E8027" s="5"/>
      <c r="F8027" s="5"/>
      <c r="G8027" s="5"/>
      <c r="H8027" s="5"/>
      <c r="I8027" s="5"/>
      <c r="J8027" s="5"/>
      <c r="K8027" s="5"/>
      <c r="L8027" s="5"/>
    </row>
    <row r="8028" spans="1:12" ht="12" customHeight="1" x14ac:dyDescent="0.25">
      <c r="A8028" s="6"/>
      <c r="B8028" s="1"/>
      <c r="C8028" s="5"/>
      <c r="D8028" s="5"/>
      <c r="E8028" s="5"/>
      <c r="F8028" s="5"/>
      <c r="G8028" s="5"/>
      <c r="H8028" s="5"/>
      <c r="I8028" s="5"/>
      <c r="J8028" s="5"/>
      <c r="K8028" s="5"/>
      <c r="L8028" s="5"/>
    </row>
    <row r="8029" spans="1:12" ht="12" customHeight="1" x14ac:dyDescent="0.25">
      <c r="A8029" s="6"/>
      <c r="B8029" s="1"/>
      <c r="C8029" s="5"/>
      <c r="D8029" s="5"/>
      <c r="E8029" s="5"/>
      <c r="F8029" s="5"/>
      <c r="G8029" s="5"/>
      <c r="H8029" s="5"/>
      <c r="I8029" s="5"/>
      <c r="J8029" s="5"/>
      <c r="K8029" s="5"/>
      <c r="L8029" s="5"/>
    </row>
    <row r="8030" spans="1:12" ht="12" customHeight="1" x14ac:dyDescent="0.25">
      <c r="A8030" s="6"/>
      <c r="B8030" s="1"/>
      <c r="C8030" s="5"/>
      <c r="D8030" s="5"/>
      <c r="E8030" s="5"/>
      <c r="F8030" s="5"/>
      <c r="G8030" s="5"/>
      <c r="H8030" s="5"/>
      <c r="I8030" s="5"/>
      <c r="J8030" s="5"/>
      <c r="K8030" s="5"/>
      <c r="L8030" s="5"/>
    </row>
    <row r="8031" spans="1:12" ht="12" customHeight="1" x14ac:dyDescent="0.25">
      <c r="A8031" s="6"/>
      <c r="B8031" s="1"/>
      <c r="C8031" s="5"/>
      <c r="D8031" s="5"/>
      <c r="E8031" s="5"/>
      <c r="F8031" s="5"/>
      <c r="G8031" s="5"/>
      <c r="H8031" s="5"/>
      <c r="I8031" s="5"/>
      <c r="J8031" s="5"/>
      <c r="K8031" s="5"/>
      <c r="L8031" s="5"/>
    </row>
    <row r="8032" spans="1:12" ht="12" customHeight="1" x14ac:dyDescent="0.25">
      <c r="A8032" s="6"/>
      <c r="B8032" s="1"/>
      <c r="C8032" s="5"/>
      <c r="D8032" s="5"/>
      <c r="E8032" s="5"/>
      <c r="F8032" s="5"/>
      <c r="G8032" s="5"/>
      <c r="H8032" s="5"/>
      <c r="I8032" s="5"/>
      <c r="J8032" s="5"/>
      <c r="K8032" s="5"/>
      <c r="L8032" s="5"/>
    </row>
    <row r="8033" spans="1:12" ht="12" customHeight="1" x14ac:dyDescent="0.25">
      <c r="A8033" s="6"/>
      <c r="B8033" s="1"/>
      <c r="C8033" s="5"/>
      <c r="D8033" s="5"/>
      <c r="E8033" s="5"/>
      <c r="F8033" s="5"/>
      <c r="G8033" s="5"/>
      <c r="H8033" s="5"/>
      <c r="I8033" s="5"/>
      <c r="J8033" s="5"/>
      <c r="K8033" s="5"/>
      <c r="L8033" s="5"/>
    </row>
    <row r="8034" spans="1:12" ht="12" customHeight="1" x14ac:dyDescent="0.25">
      <c r="A8034" s="6"/>
      <c r="B8034" s="1"/>
      <c r="C8034" s="5"/>
      <c r="D8034" s="5"/>
      <c r="E8034" s="5"/>
      <c r="F8034" s="5"/>
      <c r="G8034" s="5"/>
      <c r="H8034" s="5"/>
      <c r="I8034" s="5"/>
      <c r="J8034" s="5"/>
      <c r="K8034" s="5"/>
      <c r="L8034" s="5"/>
    </row>
    <row r="8035" spans="1:12" ht="12" customHeight="1" x14ac:dyDescent="0.25">
      <c r="A8035" s="6"/>
      <c r="B8035" s="1"/>
      <c r="C8035" s="5"/>
      <c r="D8035" s="5"/>
      <c r="E8035" s="5"/>
      <c r="F8035" s="5"/>
      <c r="G8035" s="5"/>
      <c r="H8035" s="5"/>
      <c r="I8035" s="5"/>
      <c r="J8035" s="5"/>
      <c r="K8035" s="5"/>
      <c r="L8035" s="5"/>
    </row>
    <row r="8036" spans="1:12" ht="12" customHeight="1" x14ac:dyDescent="0.25">
      <c r="A8036" s="6"/>
      <c r="B8036" s="1"/>
      <c r="C8036" s="5"/>
      <c r="D8036" s="5"/>
      <c r="E8036" s="5"/>
      <c r="F8036" s="5"/>
      <c r="G8036" s="5"/>
      <c r="H8036" s="5"/>
      <c r="I8036" s="5"/>
      <c r="J8036" s="5"/>
      <c r="K8036" s="5"/>
      <c r="L8036" s="5"/>
    </row>
    <row r="8037" spans="1:12" ht="12" customHeight="1" x14ac:dyDescent="0.25">
      <c r="A8037" s="6"/>
      <c r="B8037" s="1"/>
      <c r="C8037" s="5"/>
      <c r="D8037" s="5"/>
      <c r="E8037" s="5"/>
      <c r="F8037" s="5"/>
      <c r="G8037" s="5"/>
      <c r="H8037" s="5"/>
      <c r="I8037" s="5"/>
      <c r="J8037" s="5"/>
      <c r="K8037" s="5"/>
      <c r="L8037" s="5"/>
    </row>
    <row r="8038" spans="1:12" ht="12" customHeight="1" x14ac:dyDescent="0.25">
      <c r="A8038" s="6"/>
      <c r="B8038" s="1"/>
      <c r="C8038" s="5"/>
      <c r="D8038" s="5"/>
      <c r="E8038" s="5"/>
      <c r="F8038" s="5"/>
      <c r="G8038" s="5"/>
      <c r="H8038" s="5"/>
      <c r="I8038" s="5"/>
      <c r="J8038" s="5"/>
      <c r="K8038" s="5"/>
      <c r="L8038" s="5"/>
    </row>
    <row r="8039" spans="1:12" ht="12" customHeight="1" x14ac:dyDescent="0.25">
      <c r="A8039" s="6"/>
      <c r="B8039" s="1"/>
      <c r="C8039" s="5"/>
      <c r="D8039" s="5"/>
      <c r="E8039" s="5"/>
      <c r="F8039" s="5"/>
      <c r="G8039" s="5"/>
      <c r="H8039" s="5"/>
      <c r="I8039" s="5"/>
      <c r="J8039" s="5"/>
      <c r="K8039" s="5"/>
      <c r="L8039" s="5"/>
    </row>
    <row r="8040" spans="1:12" ht="12" customHeight="1" x14ac:dyDescent="0.25">
      <c r="A8040" s="6"/>
      <c r="B8040" s="1"/>
      <c r="C8040" s="5"/>
      <c r="D8040" s="5"/>
      <c r="E8040" s="5"/>
      <c r="F8040" s="5"/>
      <c r="G8040" s="5"/>
      <c r="H8040" s="5"/>
      <c r="I8040" s="5"/>
      <c r="J8040" s="5"/>
      <c r="K8040" s="5"/>
      <c r="L8040" s="5"/>
    </row>
    <row r="8041" spans="1:12" ht="12" customHeight="1" x14ac:dyDescent="0.25">
      <c r="A8041" s="6"/>
      <c r="B8041" s="1"/>
      <c r="C8041" s="5"/>
      <c r="D8041" s="5"/>
      <c r="E8041" s="5"/>
      <c r="F8041" s="5"/>
      <c r="G8041" s="5"/>
      <c r="H8041" s="5"/>
      <c r="I8041" s="5"/>
      <c r="J8041" s="5"/>
      <c r="K8041" s="5"/>
      <c r="L8041" s="5"/>
    </row>
    <row r="8042" spans="1:12" ht="12" customHeight="1" x14ac:dyDescent="0.25">
      <c r="A8042" s="6"/>
      <c r="B8042" s="1"/>
      <c r="C8042" s="5"/>
      <c r="D8042" s="5"/>
      <c r="E8042" s="5"/>
      <c r="F8042" s="5"/>
      <c r="G8042" s="5"/>
      <c r="H8042" s="5"/>
      <c r="I8042" s="5"/>
      <c r="J8042" s="5"/>
      <c r="K8042" s="5"/>
      <c r="L8042" s="5"/>
    </row>
    <row r="8043" spans="1:12" ht="12" customHeight="1" x14ac:dyDescent="0.25">
      <c r="A8043" s="6"/>
      <c r="B8043" s="1"/>
      <c r="C8043" s="5"/>
      <c r="D8043" s="5"/>
      <c r="E8043" s="5"/>
      <c r="F8043" s="5"/>
      <c r="G8043" s="5"/>
      <c r="H8043" s="5"/>
      <c r="I8043" s="5"/>
      <c r="J8043" s="5"/>
      <c r="K8043" s="5"/>
      <c r="L8043" s="5"/>
    </row>
    <row r="8044" spans="1:12" ht="12" customHeight="1" x14ac:dyDescent="0.25">
      <c r="A8044" s="6"/>
      <c r="B8044" s="1"/>
      <c r="C8044" s="5"/>
      <c r="D8044" s="5"/>
      <c r="E8044" s="5"/>
      <c r="F8044" s="5"/>
      <c r="G8044" s="5"/>
      <c r="H8044" s="5"/>
      <c r="I8044" s="5"/>
      <c r="J8044" s="5"/>
      <c r="K8044" s="5"/>
      <c r="L8044" s="5"/>
    </row>
    <row r="8045" spans="1:12" ht="12" customHeight="1" x14ac:dyDescent="0.25">
      <c r="A8045" s="6"/>
      <c r="B8045" s="1"/>
      <c r="C8045" s="5"/>
      <c r="D8045" s="5"/>
      <c r="E8045" s="5"/>
      <c r="F8045" s="5"/>
      <c r="G8045" s="5"/>
      <c r="H8045" s="5"/>
      <c r="I8045" s="5"/>
      <c r="J8045" s="5"/>
      <c r="K8045" s="5"/>
      <c r="L8045" s="5"/>
    </row>
    <row r="8046" spans="1:12" ht="12" customHeight="1" x14ac:dyDescent="0.25">
      <c r="A8046" s="6"/>
      <c r="B8046" s="1"/>
      <c r="C8046" s="5"/>
      <c r="D8046" s="5"/>
      <c r="E8046" s="5"/>
      <c r="F8046" s="5"/>
      <c r="G8046" s="5"/>
      <c r="H8046" s="5"/>
      <c r="I8046" s="5"/>
      <c r="J8046" s="5"/>
      <c r="K8046" s="5"/>
      <c r="L8046" s="5"/>
    </row>
    <row r="8047" spans="1:12" ht="12" customHeight="1" x14ac:dyDescent="0.25">
      <c r="A8047" s="6"/>
      <c r="B8047" s="1"/>
      <c r="C8047" s="5"/>
      <c r="D8047" s="5"/>
      <c r="E8047" s="5"/>
      <c r="F8047" s="5"/>
      <c r="G8047" s="5"/>
      <c r="H8047" s="5"/>
      <c r="I8047" s="5"/>
      <c r="J8047" s="5"/>
      <c r="K8047" s="5"/>
      <c r="L8047" s="5"/>
    </row>
    <row r="8048" spans="1:12" ht="12" customHeight="1" x14ac:dyDescent="0.25">
      <c r="A8048" s="6"/>
      <c r="B8048" s="1"/>
      <c r="C8048" s="5"/>
      <c r="D8048" s="5"/>
      <c r="E8048" s="5"/>
      <c r="F8048" s="5"/>
      <c r="G8048" s="5"/>
      <c r="H8048" s="5"/>
      <c r="I8048" s="5"/>
      <c r="J8048" s="5"/>
      <c r="K8048" s="5"/>
      <c r="L8048" s="5"/>
    </row>
    <row r="8049" spans="1:12" ht="12" customHeight="1" x14ac:dyDescent="0.25">
      <c r="A8049" s="6"/>
      <c r="B8049" s="1"/>
      <c r="C8049" s="5"/>
      <c r="D8049" s="5"/>
      <c r="E8049" s="5"/>
      <c r="F8049" s="5"/>
      <c r="G8049" s="5"/>
      <c r="H8049" s="5"/>
      <c r="I8049" s="5"/>
      <c r="J8049" s="5"/>
      <c r="K8049" s="5"/>
      <c r="L8049" s="5"/>
    </row>
    <row r="8050" spans="1:12" ht="12" customHeight="1" x14ac:dyDescent="0.25">
      <c r="A8050" s="6"/>
      <c r="B8050" s="1"/>
      <c r="C8050" s="5"/>
      <c r="D8050" s="5"/>
      <c r="E8050" s="5"/>
      <c r="F8050" s="5"/>
      <c r="G8050" s="5"/>
      <c r="H8050" s="5"/>
      <c r="I8050" s="5"/>
      <c r="J8050" s="5"/>
      <c r="K8050" s="5"/>
      <c r="L8050" s="5"/>
    </row>
    <row r="8051" spans="1:12" ht="12" customHeight="1" x14ac:dyDescent="0.25">
      <c r="A8051" s="6"/>
      <c r="B8051" s="1"/>
      <c r="C8051" s="5"/>
      <c r="D8051" s="5"/>
      <c r="E8051" s="5"/>
      <c r="F8051" s="5"/>
      <c r="G8051" s="5"/>
      <c r="H8051" s="5"/>
      <c r="I8051" s="5"/>
      <c r="J8051" s="5"/>
      <c r="K8051" s="5"/>
      <c r="L8051" s="5"/>
    </row>
    <row r="8052" spans="1:12" ht="12" customHeight="1" x14ac:dyDescent="0.25">
      <c r="A8052" s="6"/>
      <c r="B8052" s="1"/>
      <c r="C8052" s="5"/>
      <c r="D8052" s="5"/>
      <c r="E8052" s="5"/>
      <c r="F8052" s="5"/>
      <c r="G8052" s="5"/>
      <c r="H8052" s="5"/>
      <c r="I8052" s="5"/>
      <c r="J8052" s="5"/>
      <c r="K8052" s="5"/>
      <c r="L8052" s="5"/>
    </row>
    <row r="8053" spans="1:12" ht="12" customHeight="1" x14ac:dyDescent="0.25">
      <c r="A8053" s="6"/>
      <c r="B8053" s="1"/>
      <c r="C8053" s="5"/>
      <c r="D8053" s="5"/>
      <c r="E8053" s="5"/>
      <c r="F8053" s="5"/>
      <c r="G8053" s="5"/>
      <c r="H8053" s="5"/>
      <c r="I8053" s="5"/>
      <c r="J8053" s="5"/>
      <c r="K8053" s="5"/>
      <c r="L8053" s="5"/>
    </row>
    <row r="8054" spans="1:12" ht="12" customHeight="1" x14ac:dyDescent="0.25">
      <c r="A8054" s="6"/>
      <c r="B8054" s="1"/>
      <c r="C8054" s="5"/>
      <c r="D8054" s="5"/>
      <c r="E8054" s="5"/>
      <c r="F8054" s="5"/>
      <c r="G8054" s="5"/>
      <c r="H8054" s="5"/>
      <c r="I8054" s="5"/>
      <c r="J8054" s="5"/>
      <c r="K8054" s="5"/>
      <c r="L8054" s="5"/>
    </row>
    <row r="8055" spans="1:12" ht="12" customHeight="1" x14ac:dyDescent="0.25">
      <c r="A8055" s="6"/>
      <c r="B8055" s="1"/>
      <c r="C8055" s="5"/>
      <c r="D8055" s="5"/>
      <c r="E8055" s="5"/>
      <c r="F8055" s="5"/>
      <c r="G8055" s="5"/>
      <c r="H8055" s="5"/>
      <c r="I8055" s="5"/>
      <c r="J8055" s="5"/>
      <c r="K8055" s="5"/>
      <c r="L8055" s="5"/>
    </row>
    <row r="8056" spans="1:12" ht="12" customHeight="1" x14ac:dyDescent="0.25">
      <c r="A8056" s="6"/>
      <c r="B8056" s="1"/>
      <c r="C8056" s="5"/>
      <c r="D8056" s="5"/>
      <c r="E8056" s="5"/>
      <c r="F8056" s="5"/>
      <c r="G8056" s="5"/>
      <c r="H8056" s="5"/>
      <c r="I8056" s="5"/>
      <c r="J8056" s="5"/>
      <c r="K8056" s="5"/>
      <c r="L8056" s="5"/>
    </row>
    <row r="8057" spans="1:12" ht="12" customHeight="1" x14ac:dyDescent="0.25">
      <c r="A8057" s="6"/>
      <c r="B8057" s="1"/>
      <c r="C8057" s="5"/>
      <c r="D8057" s="5"/>
      <c r="E8057" s="5"/>
      <c r="F8057" s="5"/>
      <c r="G8057" s="5"/>
      <c r="H8057" s="5"/>
      <c r="I8057" s="5"/>
      <c r="J8057" s="5"/>
      <c r="K8057" s="5"/>
      <c r="L8057" s="5"/>
    </row>
    <row r="8058" spans="1:12" ht="12" customHeight="1" x14ac:dyDescent="0.25">
      <c r="A8058" s="6"/>
      <c r="B8058" s="1"/>
      <c r="C8058" s="5"/>
      <c r="D8058" s="5"/>
      <c r="E8058" s="5"/>
      <c r="F8058" s="5"/>
      <c r="G8058" s="5"/>
      <c r="H8058" s="5"/>
      <c r="I8058" s="5"/>
      <c r="J8058" s="5"/>
      <c r="K8058" s="5"/>
      <c r="L8058" s="5"/>
    </row>
    <row r="8059" spans="1:12" ht="12" customHeight="1" x14ac:dyDescent="0.25">
      <c r="A8059" s="6"/>
      <c r="B8059" s="1"/>
      <c r="C8059" s="5"/>
      <c r="D8059" s="5"/>
      <c r="E8059" s="5"/>
      <c r="F8059" s="5"/>
      <c r="G8059" s="5"/>
      <c r="H8059" s="5"/>
      <c r="I8059" s="5"/>
      <c r="J8059" s="5"/>
      <c r="K8059" s="5"/>
      <c r="L8059" s="5"/>
    </row>
    <row r="8060" spans="1:12" ht="12" customHeight="1" x14ac:dyDescent="0.25">
      <c r="A8060" s="6"/>
      <c r="B8060" s="1"/>
      <c r="C8060" s="5"/>
      <c r="D8060" s="5"/>
      <c r="E8060" s="5"/>
      <c r="F8060" s="5"/>
      <c r="G8060" s="5"/>
      <c r="H8060" s="5"/>
      <c r="I8060" s="5"/>
      <c r="J8060" s="5"/>
      <c r="K8060" s="5"/>
      <c r="L8060" s="5"/>
    </row>
    <row r="8061" spans="1:12" ht="12" customHeight="1" x14ac:dyDescent="0.25">
      <c r="A8061" s="6"/>
      <c r="B8061" s="1"/>
      <c r="C8061" s="5"/>
      <c r="D8061" s="5"/>
      <c r="E8061" s="5"/>
      <c r="F8061" s="5"/>
      <c r="G8061" s="5"/>
      <c r="H8061" s="5"/>
      <c r="I8061" s="5"/>
      <c r="J8061" s="5"/>
      <c r="K8061" s="5"/>
      <c r="L8061" s="5"/>
    </row>
    <row r="8062" spans="1:12" ht="12" customHeight="1" x14ac:dyDescent="0.25">
      <c r="A8062" s="6"/>
      <c r="B8062" s="1"/>
      <c r="C8062" s="5"/>
      <c r="D8062" s="5"/>
      <c r="E8062" s="5"/>
      <c r="F8062" s="5"/>
      <c r="G8062" s="5"/>
      <c r="H8062" s="5"/>
      <c r="I8062" s="5"/>
      <c r="J8062" s="5"/>
      <c r="K8062" s="5"/>
      <c r="L8062" s="5"/>
    </row>
    <row r="8063" spans="1:12" ht="12" customHeight="1" x14ac:dyDescent="0.25">
      <c r="A8063" s="6"/>
      <c r="B8063" s="1"/>
      <c r="C8063" s="5"/>
      <c r="D8063" s="5"/>
      <c r="E8063" s="5"/>
      <c r="F8063" s="5"/>
      <c r="G8063" s="5"/>
      <c r="H8063" s="5"/>
      <c r="I8063" s="5"/>
      <c r="J8063" s="5"/>
      <c r="K8063" s="5"/>
      <c r="L8063" s="5"/>
    </row>
    <row r="8064" spans="1:12" ht="12" customHeight="1" x14ac:dyDescent="0.25">
      <c r="A8064" s="6"/>
      <c r="B8064" s="1"/>
      <c r="C8064" s="5"/>
      <c r="D8064" s="5"/>
      <c r="E8064" s="5"/>
      <c r="F8064" s="5"/>
      <c r="G8064" s="5"/>
      <c r="H8064" s="5"/>
      <c r="I8064" s="5"/>
      <c r="J8064" s="5"/>
      <c r="K8064" s="5"/>
      <c r="L8064" s="5"/>
    </row>
    <row r="8065" spans="1:12" ht="12" customHeight="1" x14ac:dyDescent="0.25">
      <c r="A8065" s="6"/>
      <c r="B8065" s="1"/>
      <c r="C8065" s="5"/>
      <c r="D8065" s="5"/>
      <c r="E8065" s="5"/>
      <c r="F8065" s="5"/>
      <c r="G8065" s="5"/>
      <c r="H8065" s="5"/>
      <c r="I8065" s="5"/>
      <c r="J8065" s="5"/>
      <c r="K8065" s="5"/>
      <c r="L8065" s="5"/>
    </row>
    <row r="8066" spans="1:12" ht="12" customHeight="1" x14ac:dyDescent="0.25">
      <c r="A8066" s="6"/>
      <c r="B8066" s="1"/>
      <c r="C8066" s="5"/>
      <c r="D8066" s="5"/>
      <c r="E8066" s="5"/>
      <c r="F8066" s="5"/>
      <c r="G8066" s="5"/>
      <c r="H8066" s="5"/>
      <c r="I8066" s="5"/>
      <c r="J8066" s="5"/>
      <c r="K8066" s="5"/>
      <c r="L8066" s="5"/>
    </row>
    <row r="8067" spans="1:12" ht="12" customHeight="1" x14ac:dyDescent="0.25">
      <c r="A8067" s="6"/>
      <c r="B8067" s="1"/>
      <c r="C8067" s="5"/>
      <c r="D8067" s="5"/>
      <c r="E8067" s="5"/>
      <c r="F8067" s="5"/>
      <c r="G8067" s="5"/>
      <c r="H8067" s="5"/>
      <c r="I8067" s="5"/>
      <c r="J8067" s="5"/>
      <c r="K8067" s="5"/>
      <c r="L8067" s="5"/>
    </row>
    <row r="8068" spans="1:12" ht="12" customHeight="1" x14ac:dyDescent="0.25">
      <c r="A8068" s="6"/>
      <c r="B8068" s="1"/>
      <c r="C8068" s="5"/>
      <c r="D8068" s="5"/>
      <c r="E8068" s="5"/>
      <c r="F8068" s="5"/>
      <c r="G8068" s="5"/>
      <c r="H8068" s="5"/>
      <c r="I8068" s="5"/>
      <c r="J8068" s="5"/>
      <c r="K8068" s="5"/>
      <c r="L8068" s="5"/>
    </row>
    <row r="8069" spans="1:12" ht="12" customHeight="1" x14ac:dyDescent="0.25">
      <c r="A8069" s="6"/>
      <c r="B8069" s="1"/>
      <c r="C8069" s="5"/>
      <c r="D8069" s="5"/>
      <c r="E8069" s="5"/>
      <c r="F8069" s="5"/>
      <c r="G8069" s="5"/>
      <c r="H8069" s="5"/>
      <c r="I8069" s="5"/>
      <c r="J8069" s="5"/>
      <c r="K8069" s="5"/>
      <c r="L8069" s="5"/>
    </row>
    <row r="8070" spans="1:12" ht="12" customHeight="1" x14ac:dyDescent="0.25">
      <c r="A8070" s="6"/>
      <c r="B8070" s="1"/>
      <c r="C8070" s="5"/>
      <c r="D8070" s="5"/>
      <c r="E8070" s="5"/>
      <c r="F8070" s="5"/>
      <c r="G8070" s="5"/>
      <c r="H8070" s="5"/>
      <c r="I8070" s="5"/>
      <c r="J8070" s="5"/>
      <c r="K8070" s="5"/>
      <c r="L8070" s="5"/>
    </row>
    <row r="8071" spans="1:12" ht="12" customHeight="1" x14ac:dyDescent="0.25">
      <c r="A8071" s="6"/>
      <c r="B8071" s="1"/>
      <c r="C8071" s="5"/>
      <c r="D8071" s="5"/>
      <c r="E8071" s="5"/>
      <c r="F8071" s="5"/>
      <c r="G8071" s="5"/>
      <c r="H8071" s="5"/>
      <c r="I8071" s="5"/>
      <c r="J8071" s="5"/>
      <c r="K8071" s="5"/>
      <c r="L8071" s="5"/>
    </row>
    <row r="8072" spans="1:12" ht="12" customHeight="1" x14ac:dyDescent="0.25">
      <c r="A8072" s="6"/>
      <c r="B8072" s="1"/>
      <c r="C8072" s="5"/>
      <c r="D8072" s="5"/>
      <c r="E8072" s="5"/>
      <c r="F8072" s="5"/>
      <c r="G8072" s="5"/>
      <c r="H8072" s="5"/>
      <c r="I8072" s="5"/>
      <c r="J8072" s="5"/>
      <c r="K8072" s="5"/>
      <c r="L8072" s="5"/>
    </row>
    <row r="8073" spans="1:12" ht="12" customHeight="1" x14ac:dyDescent="0.25">
      <c r="A8073" s="6"/>
      <c r="B8073" s="1"/>
      <c r="C8073" s="5"/>
      <c r="D8073" s="5"/>
      <c r="E8073" s="5"/>
      <c r="F8073" s="5"/>
      <c r="G8073" s="5"/>
      <c r="H8073" s="5"/>
      <c r="I8073" s="5"/>
      <c r="J8073" s="5"/>
      <c r="K8073" s="5"/>
      <c r="L8073" s="5"/>
    </row>
    <row r="8074" spans="1:12" ht="12" customHeight="1" x14ac:dyDescent="0.25">
      <c r="A8074" s="6"/>
      <c r="B8074" s="1"/>
      <c r="C8074" s="5"/>
      <c r="D8074" s="5"/>
      <c r="E8074" s="5"/>
      <c r="F8074" s="5"/>
      <c r="G8074" s="5"/>
      <c r="H8074" s="5"/>
      <c r="I8074" s="5"/>
      <c r="J8074" s="5"/>
      <c r="K8074" s="5"/>
      <c r="L8074" s="5"/>
    </row>
    <row r="8075" spans="1:12" ht="12" customHeight="1" x14ac:dyDescent="0.25">
      <c r="A8075" s="6"/>
      <c r="B8075" s="1"/>
      <c r="C8075" s="5"/>
      <c r="D8075" s="5"/>
      <c r="E8075" s="5"/>
      <c r="F8075" s="5"/>
      <c r="G8075" s="5"/>
      <c r="H8075" s="5"/>
      <c r="I8075" s="5"/>
      <c r="J8075" s="5"/>
      <c r="K8075" s="5"/>
      <c r="L8075" s="5"/>
    </row>
    <row r="8076" spans="1:12" ht="12" customHeight="1" x14ac:dyDescent="0.25">
      <c r="A8076" s="6"/>
      <c r="B8076" s="1"/>
      <c r="C8076" s="5"/>
      <c r="D8076" s="5"/>
      <c r="E8076" s="5"/>
      <c r="F8076" s="5"/>
      <c r="G8076" s="5"/>
      <c r="H8076" s="5"/>
      <c r="I8076" s="5"/>
      <c r="J8076" s="5"/>
      <c r="K8076" s="5"/>
      <c r="L8076" s="5"/>
    </row>
    <row r="8077" spans="1:12" ht="12" customHeight="1" x14ac:dyDescent="0.25">
      <c r="A8077" s="6"/>
      <c r="B8077" s="1"/>
      <c r="C8077" s="5"/>
      <c r="D8077" s="5"/>
      <c r="E8077" s="5"/>
      <c r="F8077" s="5"/>
      <c r="G8077" s="5"/>
      <c r="H8077" s="5"/>
      <c r="I8077" s="5"/>
      <c r="J8077" s="5"/>
      <c r="K8077" s="5"/>
      <c r="L8077" s="5"/>
    </row>
    <row r="8078" spans="1:12" ht="12" customHeight="1" x14ac:dyDescent="0.25">
      <c r="A8078" s="6"/>
      <c r="B8078" s="1"/>
      <c r="C8078" s="5"/>
      <c r="D8078" s="5"/>
      <c r="E8078" s="5"/>
      <c r="F8078" s="5"/>
      <c r="G8078" s="5"/>
      <c r="H8078" s="5"/>
      <c r="I8078" s="5"/>
      <c r="J8078" s="5"/>
      <c r="K8078" s="5"/>
      <c r="L8078" s="5"/>
    </row>
    <row r="8079" spans="1:12" ht="12" customHeight="1" x14ac:dyDescent="0.25">
      <c r="A8079" s="6"/>
      <c r="B8079" s="1"/>
      <c r="C8079" s="5"/>
      <c r="D8079" s="5"/>
      <c r="E8079" s="5"/>
      <c r="F8079" s="5"/>
      <c r="G8079" s="5"/>
      <c r="H8079" s="5"/>
      <c r="I8079" s="5"/>
      <c r="J8079" s="5"/>
      <c r="K8079" s="5"/>
      <c r="L8079" s="5"/>
    </row>
    <row r="8080" spans="1:12" ht="12" customHeight="1" x14ac:dyDescent="0.25">
      <c r="A8080" s="6"/>
      <c r="B8080" s="1"/>
      <c r="C8080" s="5"/>
      <c r="D8080" s="5"/>
      <c r="E8080" s="5"/>
      <c r="F8080" s="5"/>
      <c r="G8080" s="5"/>
      <c r="H8080" s="5"/>
      <c r="I8080" s="5"/>
      <c r="J8080" s="5"/>
      <c r="K8080" s="5"/>
      <c r="L8080" s="5"/>
    </row>
    <row r="8081" spans="1:12" ht="12" customHeight="1" x14ac:dyDescent="0.25">
      <c r="A8081" s="6"/>
      <c r="B8081" s="1"/>
      <c r="C8081" s="5"/>
      <c r="D8081" s="5"/>
      <c r="E8081" s="5"/>
      <c r="F8081" s="5"/>
      <c r="G8081" s="5"/>
      <c r="H8081" s="5"/>
      <c r="I8081" s="5"/>
      <c r="J8081" s="5"/>
      <c r="K8081" s="5"/>
      <c r="L8081" s="5"/>
    </row>
    <row r="8082" spans="1:12" ht="12" customHeight="1" x14ac:dyDescent="0.25">
      <c r="A8082" s="6"/>
      <c r="B8082" s="1"/>
      <c r="C8082" s="5"/>
      <c r="D8082" s="5"/>
      <c r="E8082" s="5"/>
      <c r="F8082" s="5"/>
      <c r="G8082" s="5"/>
      <c r="H8082" s="5"/>
      <c r="I8082" s="5"/>
      <c r="J8082" s="5"/>
      <c r="K8082" s="5"/>
      <c r="L8082" s="5"/>
    </row>
    <row r="8083" spans="1:12" ht="12" customHeight="1" x14ac:dyDescent="0.25">
      <c r="A8083" s="6"/>
      <c r="B8083" s="1"/>
      <c r="C8083" s="5"/>
      <c r="D8083" s="5"/>
      <c r="E8083" s="5"/>
      <c r="F8083" s="5"/>
      <c r="G8083" s="5"/>
      <c r="H8083" s="5"/>
      <c r="I8083" s="5"/>
      <c r="J8083" s="5"/>
      <c r="K8083" s="5"/>
      <c r="L8083" s="5"/>
    </row>
    <row r="8084" spans="1:12" ht="12" customHeight="1" x14ac:dyDescent="0.25">
      <c r="A8084" s="6"/>
      <c r="B8084" s="1"/>
      <c r="C8084" s="5"/>
      <c r="D8084" s="5"/>
      <c r="E8084" s="5"/>
      <c r="F8084" s="5"/>
      <c r="G8084" s="5"/>
      <c r="H8084" s="5"/>
      <c r="I8084" s="5"/>
      <c r="J8084" s="5"/>
      <c r="K8084" s="5"/>
      <c r="L8084" s="5"/>
    </row>
    <row r="8085" spans="1:12" ht="12" customHeight="1" x14ac:dyDescent="0.25">
      <c r="A8085" s="6"/>
      <c r="B8085" s="1"/>
      <c r="C8085" s="5"/>
      <c r="D8085" s="5"/>
      <c r="E8085" s="5"/>
      <c r="F8085" s="5"/>
      <c r="G8085" s="5"/>
      <c r="H8085" s="5"/>
      <c r="I8085" s="5"/>
      <c r="J8085" s="5"/>
      <c r="K8085" s="5"/>
      <c r="L8085" s="5"/>
    </row>
    <row r="8086" spans="1:12" ht="12" customHeight="1" x14ac:dyDescent="0.25">
      <c r="A8086" s="6"/>
      <c r="B8086" s="1"/>
      <c r="C8086" s="5"/>
      <c r="D8086" s="5"/>
      <c r="E8086" s="5"/>
      <c r="F8086" s="5"/>
      <c r="G8086" s="5"/>
      <c r="H8086" s="5"/>
      <c r="I8086" s="5"/>
      <c r="J8086" s="5"/>
      <c r="K8086" s="5"/>
      <c r="L8086" s="5"/>
    </row>
    <row r="8087" spans="1:12" ht="12" customHeight="1" x14ac:dyDescent="0.25">
      <c r="A8087" s="6"/>
      <c r="B8087" s="1"/>
      <c r="C8087" s="5"/>
      <c r="D8087" s="5"/>
      <c r="E8087" s="5"/>
      <c r="F8087" s="5"/>
      <c r="G8087" s="5"/>
      <c r="H8087" s="5"/>
      <c r="I8087" s="5"/>
      <c r="J8087" s="5"/>
      <c r="K8087" s="5"/>
      <c r="L8087" s="5"/>
    </row>
    <row r="8088" spans="1:12" ht="12" customHeight="1" x14ac:dyDescent="0.25">
      <c r="A8088" s="6"/>
      <c r="B8088" s="1"/>
      <c r="C8088" s="5"/>
      <c r="D8088" s="5"/>
      <c r="E8088" s="5"/>
      <c r="F8088" s="5"/>
      <c r="G8088" s="5"/>
      <c r="H8088" s="5"/>
      <c r="I8088" s="5"/>
      <c r="J8088" s="5"/>
      <c r="K8088" s="5"/>
      <c r="L8088" s="5"/>
    </row>
    <row r="8089" spans="1:12" ht="12" customHeight="1" x14ac:dyDescent="0.25">
      <c r="A8089" s="6"/>
      <c r="B8089" s="1"/>
      <c r="C8089" s="5"/>
      <c r="D8089" s="5"/>
      <c r="E8089" s="5"/>
      <c r="F8089" s="5"/>
      <c r="G8089" s="5"/>
      <c r="H8089" s="5"/>
      <c r="I8089" s="5"/>
      <c r="J8089" s="5"/>
      <c r="K8089" s="5"/>
      <c r="L8089" s="5"/>
    </row>
    <row r="8090" spans="1:12" ht="12" customHeight="1" x14ac:dyDescent="0.25">
      <c r="A8090" s="6"/>
      <c r="B8090" s="1"/>
      <c r="C8090" s="5"/>
      <c r="D8090" s="5"/>
      <c r="E8090" s="5"/>
      <c r="F8090" s="5"/>
      <c r="G8090" s="5"/>
      <c r="H8090" s="5"/>
      <c r="I8090" s="5"/>
      <c r="J8090" s="5"/>
      <c r="K8090" s="5"/>
      <c r="L8090" s="5"/>
    </row>
    <row r="8091" spans="1:12" ht="12" customHeight="1" x14ac:dyDescent="0.25">
      <c r="A8091" s="6"/>
      <c r="B8091" s="1"/>
      <c r="C8091" s="5"/>
      <c r="D8091" s="5"/>
      <c r="E8091" s="5"/>
      <c r="F8091" s="5"/>
      <c r="G8091" s="5"/>
      <c r="H8091" s="5"/>
      <c r="I8091" s="5"/>
      <c r="J8091" s="5"/>
      <c r="K8091" s="5"/>
      <c r="L8091" s="5"/>
    </row>
    <row r="8092" spans="1:12" ht="12" customHeight="1" x14ac:dyDescent="0.25">
      <c r="A8092" s="6"/>
      <c r="B8092" s="1"/>
      <c r="C8092" s="5"/>
      <c r="D8092" s="5"/>
      <c r="E8092" s="5"/>
      <c r="F8092" s="5"/>
      <c r="G8092" s="5"/>
      <c r="H8092" s="5"/>
      <c r="I8092" s="5"/>
      <c r="J8092" s="5"/>
      <c r="K8092" s="5"/>
      <c r="L8092" s="5"/>
    </row>
    <row r="8093" spans="1:12" ht="12" customHeight="1" x14ac:dyDescent="0.25">
      <c r="A8093" s="6"/>
      <c r="B8093" s="1"/>
      <c r="C8093" s="5"/>
      <c r="D8093" s="5"/>
      <c r="E8093" s="5"/>
      <c r="F8093" s="5"/>
      <c r="G8093" s="5"/>
      <c r="H8093" s="5"/>
      <c r="I8093" s="5"/>
      <c r="J8093" s="5"/>
      <c r="K8093" s="5"/>
      <c r="L8093" s="5"/>
    </row>
    <row r="8094" spans="1:12" ht="12" customHeight="1" x14ac:dyDescent="0.25">
      <c r="A8094" s="6"/>
      <c r="B8094" s="1"/>
      <c r="C8094" s="5"/>
      <c r="D8094" s="5"/>
      <c r="E8094" s="5"/>
      <c r="F8094" s="5"/>
      <c r="G8094" s="5"/>
      <c r="H8094" s="5"/>
      <c r="I8094" s="5"/>
      <c r="J8094" s="5"/>
      <c r="K8094" s="5"/>
      <c r="L8094" s="5"/>
    </row>
    <row r="8095" spans="1:12" ht="12" customHeight="1" x14ac:dyDescent="0.25">
      <c r="A8095" s="6"/>
      <c r="B8095" s="1"/>
      <c r="C8095" s="5"/>
      <c r="D8095" s="5"/>
      <c r="E8095" s="5"/>
      <c r="F8095" s="5"/>
      <c r="G8095" s="5"/>
      <c r="H8095" s="5"/>
      <c r="I8095" s="5"/>
      <c r="J8095" s="5"/>
      <c r="K8095" s="5"/>
      <c r="L8095" s="5"/>
    </row>
    <row r="8096" spans="1:12" ht="12" customHeight="1" x14ac:dyDescent="0.25">
      <c r="A8096" s="6"/>
      <c r="B8096" s="1"/>
      <c r="C8096" s="5"/>
      <c r="D8096" s="5"/>
      <c r="E8096" s="5"/>
      <c r="F8096" s="5"/>
      <c r="G8096" s="5"/>
      <c r="H8096" s="5"/>
      <c r="I8096" s="5"/>
      <c r="J8096" s="5"/>
      <c r="K8096" s="5"/>
      <c r="L8096" s="5"/>
    </row>
    <row r="8097" spans="1:12" ht="12" customHeight="1" x14ac:dyDescent="0.25">
      <c r="A8097" s="6"/>
      <c r="B8097" s="1"/>
      <c r="C8097" s="5"/>
      <c r="D8097" s="5"/>
      <c r="E8097" s="5"/>
      <c r="F8097" s="5"/>
      <c r="G8097" s="5"/>
      <c r="H8097" s="5"/>
      <c r="I8097" s="5"/>
      <c r="J8097" s="5"/>
      <c r="K8097" s="5"/>
      <c r="L8097" s="5"/>
    </row>
    <row r="8098" spans="1:12" ht="12" customHeight="1" x14ac:dyDescent="0.25">
      <c r="A8098" s="6"/>
      <c r="B8098" s="1"/>
      <c r="C8098" s="5"/>
      <c r="D8098" s="5"/>
      <c r="E8098" s="5"/>
      <c r="F8098" s="5"/>
      <c r="G8098" s="5"/>
      <c r="H8098" s="5"/>
      <c r="I8098" s="5"/>
      <c r="J8098" s="5"/>
      <c r="K8098" s="5"/>
      <c r="L8098" s="5"/>
    </row>
    <row r="8099" spans="1:12" ht="12" customHeight="1" x14ac:dyDescent="0.25">
      <c r="A8099" s="6"/>
      <c r="B8099" s="1"/>
      <c r="C8099" s="5"/>
      <c r="D8099" s="5"/>
      <c r="E8099" s="5"/>
      <c r="F8099" s="5"/>
      <c r="G8099" s="5"/>
      <c r="H8099" s="5"/>
      <c r="I8099" s="5"/>
      <c r="J8099" s="5"/>
      <c r="K8099" s="5"/>
      <c r="L8099" s="5"/>
    </row>
    <row r="8100" spans="1:12" ht="12" customHeight="1" x14ac:dyDescent="0.25">
      <c r="A8100" s="6"/>
      <c r="B8100" s="1"/>
      <c r="C8100" s="5"/>
      <c r="D8100" s="5"/>
      <c r="E8100" s="5"/>
      <c r="F8100" s="5"/>
      <c r="G8100" s="5"/>
      <c r="H8100" s="5"/>
      <c r="I8100" s="5"/>
      <c r="J8100" s="5"/>
      <c r="K8100" s="5"/>
      <c r="L8100" s="5"/>
    </row>
    <row r="8101" spans="1:12" ht="12" customHeight="1" x14ac:dyDescent="0.25">
      <c r="A8101" s="6"/>
      <c r="B8101" s="1"/>
      <c r="C8101" s="5"/>
      <c r="D8101" s="5"/>
      <c r="E8101" s="5"/>
      <c r="F8101" s="5"/>
      <c r="G8101" s="5"/>
      <c r="H8101" s="5"/>
      <c r="I8101" s="5"/>
      <c r="J8101" s="5"/>
      <c r="K8101" s="5"/>
      <c r="L8101" s="5"/>
    </row>
    <row r="8102" spans="1:12" ht="12" customHeight="1" x14ac:dyDescent="0.25">
      <c r="A8102" s="6"/>
      <c r="B8102" s="1"/>
      <c r="C8102" s="5"/>
      <c r="D8102" s="5"/>
      <c r="E8102" s="5"/>
      <c r="F8102" s="5"/>
      <c r="G8102" s="5"/>
      <c r="H8102" s="5"/>
      <c r="I8102" s="5"/>
      <c r="J8102" s="5"/>
      <c r="K8102" s="5"/>
      <c r="L8102" s="5"/>
    </row>
    <row r="8103" spans="1:12" ht="12" customHeight="1" x14ac:dyDescent="0.25">
      <c r="A8103" s="6"/>
      <c r="B8103" s="1"/>
      <c r="C8103" s="5"/>
      <c r="D8103" s="5"/>
      <c r="E8103" s="5"/>
      <c r="F8103" s="5"/>
      <c r="G8103" s="5"/>
      <c r="H8103" s="5"/>
      <c r="I8103" s="5"/>
      <c r="J8103" s="5"/>
      <c r="K8103" s="5"/>
      <c r="L8103" s="5"/>
    </row>
    <row r="8104" spans="1:12" ht="12" customHeight="1" x14ac:dyDescent="0.25">
      <c r="A8104" s="6"/>
      <c r="B8104" s="1"/>
      <c r="C8104" s="5"/>
      <c r="D8104" s="5"/>
      <c r="E8104" s="5"/>
      <c r="F8104" s="5"/>
      <c r="G8104" s="5"/>
      <c r="H8104" s="5"/>
      <c r="I8104" s="5"/>
      <c r="J8104" s="5"/>
      <c r="K8104" s="5"/>
      <c r="L8104" s="5"/>
    </row>
    <row r="8105" spans="1:12" ht="12" customHeight="1" x14ac:dyDescent="0.25">
      <c r="A8105" s="6"/>
      <c r="B8105" s="1"/>
      <c r="C8105" s="5"/>
      <c r="D8105" s="5"/>
      <c r="E8105" s="5"/>
      <c r="F8105" s="5"/>
      <c r="G8105" s="5"/>
      <c r="H8105" s="5"/>
      <c r="I8105" s="5"/>
      <c r="J8105" s="5"/>
      <c r="K8105" s="5"/>
      <c r="L8105" s="5"/>
    </row>
    <row r="8106" spans="1:12" ht="12" customHeight="1" x14ac:dyDescent="0.25">
      <c r="A8106" s="6"/>
      <c r="B8106" s="1"/>
      <c r="C8106" s="5"/>
      <c r="D8106" s="5"/>
      <c r="E8106" s="5"/>
      <c r="F8106" s="5"/>
      <c r="G8106" s="5"/>
      <c r="H8106" s="5"/>
      <c r="I8106" s="5"/>
      <c r="J8106" s="5"/>
      <c r="K8106" s="5"/>
      <c r="L8106" s="5"/>
    </row>
    <row r="8107" spans="1:12" ht="12" customHeight="1" x14ac:dyDescent="0.25">
      <c r="A8107" s="6"/>
      <c r="B8107" s="1"/>
      <c r="C8107" s="5"/>
      <c r="D8107" s="5"/>
      <c r="E8107" s="5"/>
      <c r="F8107" s="5"/>
      <c r="G8107" s="5"/>
      <c r="H8107" s="5"/>
      <c r="I8107" s="5"/>
      <c r="J8107" s="5"/>
      <c r="K8107" s="5"/>
      <c r="L8107" s="5"/>
    </row>
    <row r="8108" spans="1:12" ht="12" customHeight="1" x14ac:dyDescent="0.25">
      <c r="A8108" s="6"/>
      <c r="B8108" s="1"/>
      <c r="C8108" s="5"/>
      <c r="D8108" s="5"/>
      <c r="E8108" s="5"/>
      <c r="F8108" s="5"/>
      <c r="G8108" s="5"/>
      <c r="H8108" s="5"/>
      <c r="I8108" s="5"/>
      <c r="J8108" s="5"/>
      <c r="K8108" s="5"/>
      <c r="L8108" s="5"/>
    </row>
    <row r="8109" spans="1:12" ht="12" customHeight="1" x14ac:dyDescent="0.25">
      <c r="A8109" s="6"/>
      <c r="B8109" s="1"/>
      <c r="C8109" s="5"/>
      <c r="D8109" s="5"/>
      <c r="E8109" s="5"/>
      <c r="F8109" s="5"/>
      <c r="G8109" s="5"/>
      <c r="H8109" s="5"/>
      <c r="I8109" s="5"/>
      <c r="J8109" s="5"/>
      <c r="K8109" s="5"/>
      <c r="L8109" s="5"/>
    </row>
    <row r="8110" spans="1:12" ht="12" customHeight="1" x14ac:dyDescent="0.25">
      <c r="A8110" s="6"/>
      <c r="B8110" s="1"/>
      <c r="C8110" s="5"/>
      <c r="D8110" s="5"/>
      <c r="E8110" s="5"/>
      <c r="F8110" s="5"/>
      <c r="G8110" s="5"/>
      <c r="H8110" s="5"/>
      <c r="I8110" s="5"/>
      <c r="J8110" s="5"/>
      <c r="K8110" s="5"/>
      <c r="L8110" s="5"/>
    </row>
    <row r="8111" spans="1:12" ht="12" customHeight="1" x14ac:dyDescent="0.25">
      <c r="A8111" s="6"/>
      <c r="B8111" s="1"/>
      <c r="C8111" s="5"/>
      <c r="D8111" s="5"/>
      <c r="E8111" s="5"/>
      <c r="F8111" s="5"/>
      <c r="G8111" s="5"/>
      <c r="H8111" s="5"/>
      <c r="I8111" s="5"/>
      <c r="J8111" s="5"/>
      <c r="K8111" s="5"/>
      <c r="L8111" s="5"/>
    </row>
    <row r="8112" spans="1:12" ht="12" customHeight="1" x14ac:dyDescent="0.25">
      <c r="A8112" s="6"/>
      <c r="B8112" s="1"/>
      <c r="C8112" s="5"/>
      <c r="D8112" s="5"/>
      <c r="E8112" s="5"/>
      <c r="F8112" s="5"/>
      <c r="G8112" s="5"/>
      <c r="H8112" s="5"/>
      <c r="I8112" s="5"/>
      <c r="J8112" s="5"/>
      <c r="K8112" s="5"/>
      <c r="L8112" s="5"/>
    </row>
    <row r="8113" spans="1:12" ht="12" customHeight="1" x14ac:dyDescent="0.25">
      <c r="A8113" s="6"/>
      <c r="B8113" s="1"/>
      <c r="C8113" s="5"/>
      <c r="D8113" s="5"/>
      <c r="E8113" s="5"/>
      <c r="F8113" s="5"/>
      <c r="G8113" s="5"/>
      <c r="H8113" s="5"/>
      <c r="I8113" s="5"/>
      <c r="J8113" s="5"/>
      <c r="K8113" s="5"/>
      <c r="L8113" s="5"/>
    </row>
    <row r="8114" spans="1:12" ht="12" customHeight="1" x14ac:dyDescent="0.25">
      <c r="A8114" s="6"/>
      <c r="B8114" s="1"/>
      <c r="C8114" s="5"/>
      <c r="D8114" s="5"/>
      <c r="E8114" s="5"/>
      <c r="F8114" s="5"/>
      <c r="G8114" s="5"/>
      <c r="H8114" s="5"/>
      <c r="I8114" s="5"/>
      <c r="J8114" s="5"/>
      <c r="K8114" s="5"/>
      <c r="L8114" s="5"/>
    </row>
    <row r="8115" spans="1:12" ht="12" customHeight="1" x14ac:dyDescent="0.25">
      <c r="A8115" s="6"/>
      <c r="B8115" s="1"/>
      <c r="C8115" s="5"/>
      <c r="D8115" s="5"/>
      <c r="E8115" s="5"/>
      <c r="F8115" s="5"/>
      <c r="G8115" s="5"/>
      <c r="H8115" s="5"/>
      <c r="I8115" s="5"/>
      <c r="J8115" s="5"/>
      <c r="K8115" s="5"/>
      <c r="L8115" s="5"/>
    </row>
    <row r="8116" spans="1:12" ht="12" customHeight="1" x14ac:dyDescent="0.25">
      <c r="A8116" s="6"/>
      <c r="B8116" s="1"/>
      <c r="C8116" s="5"/>
      <c r="D8116" s="5"/>
      <c r="E8116" s="5"/>
      <c r="F8116" s="5"/>
      <c r="G8116" s="5"/>
      <c r="H8116" s="5"/>
      <c r="I8116" s="5"/>
      <c r="J8116" s="5"/>
      <c r="K8116" s="5"/>
      <c r="L8116" s="5"/>
    </row>
    <row r="8117" spans="1:12" ht="12" customHeight="1" x14ac:dyDescent="0.25">
      <c r="A8117" s="6"/>
      <c r="B8117" s="1"/>
      <c r="C8117" s="5"/>
      <c r="D8117" s="5"/>
      <c r="E8117" s="5"/>
      <c r="F8117" s="5"/>
      <c r="G8117" s="5"/>
      <c r="H8117" s="5"/>
      <c r="I8117" s="5"/>
      <c r="J8117" s="5"/>
      <c r="K8117" s="5"/>
      <c r="L8117" s="5"/>
    </row>
    <row r="8118" spans="1:12" ht="12" customHeight="1" x14ac:dyDescent="0.25">
      <c r="A8118" s="6"/>
      <c r="B8118" s="1"/>
      <c r="C8118" s="5"/>
      <c r="D8118" s="5"/>
      <c r="E8118" s="5"/>
      <c r="F8118" s="5"/>
      <c r="G8118" s="5"/>
      <c r="H8118" s="5"/>
      <c r="I8118" s="5"/>
      <c r="J8118" s="5"/>
      <c r="K8118" s="5"/>
      <c r="L8118" s="5"/>
    </row>
    <row r="8119" spans="1:12" ht="12" customHeight="1" x14ac:dyDescent="0.25">
      <c r="A8119" s="6"/>
      <c r="B8119" s="1"/>
      <c r="C8119" s="5"/>
      <c r="D8119" s="5"/>
      <c r="E8119" s="5"/>
      <c r="F8119" s="5"/>
      <c r="G8119" s="5"/>
      <c r="H8119" s="5"/>
      <c r="I8119" s="5"/>
      <c r="J8119" s="5"/>
      <c r="K8119" s="5"/>
      <c r="L8119" s="5"/>
    </row>
    <row r="8120" spans="1:12" ht="12" customHeight="1" x14ac:dyDescent="0.25">
      <c r="A8120" s="6"/>
      <c r="B8120" s="1"/>
      <c r="C8120" s="5"/>
      <c r="D8120" s="5"/>
      <c r="E8120" s="5"/>
      <c r="F8120" s="5"/>
      <c r="G8120" s="5"/>
      <c r="H8120" s="5"/>
      <c r="I8120" s="5"/>
      <c r="J8120" s="5"/>
      <c r="K8120" s="5"/>
      <c r="L8120" s="5"/>
    </row>
    <row r="8121" spans="1:12" ht="12" customHeight="1" x14ac:dyDescent="0.25">
      <c r="A8121" s="6"/>
      <c r="B8121" s="1"/>
      <c r="C8121" s="5"/>
      <c r="D8121" s="5"/>
      <c r="E8121" s="5"/>
      <c r="F8121" s="5"/>
      <c r="G8121" s="5"/>
      <c r="H8121" s="5"/>
      <c r="I8121" s="5"/>
      <c r="J8121" s="5"/>
      <c r="K8121" s="5"/>
      <c r="L8121" s="5"/>
    </row>
    <row r="8122" spans="1:12" ht="12" customHeight="1" x14ac:dyDescent="0.25">
      <c r="A8122" s="6"/>
      <c r="B8122" s="1"/>
      <c r="C8122" s="5"/>
      <c r="D8122" s="5"/>
      <c r="E8122" s="5"/>
      <c r="F8122" s="5"/>
      <c r="G8122" s="5"/>
      <c r="H8122" s="5"/>
      <c r="I8122" s="5"/>
      <c r="J8122" s="5"/>
      <c r="K8122" s="5"/>
      <c r="L8122" s="5"/>
    </row>
    <row r="8123" spans="1:12" ht="12" customHeight="1" x14ac:dyDescent="0.25">
      <c r="A8123" s="6"/>
      <c r="B8123" s="1"/>
      <c r="C8123" s="5"/>
      <c r="D8123" s="5"/>
      <c r="E8123" s="5"/>
      <c r="F8123" s="5"/>
      <c r="G8123" s="5"/>
      <c r="H8123" s="5"/>
      <c r="I8123" s="5"/>
      <c r="J8123" s="5"/>
      <c r="K8123" s="5"/>
      <c r="L8123" s="5"/>
    </row>
    <row r="8124" spans="1:12" ht="12" customHeight="1" x14ac:dyDescent="0.25">
      <c r="A8124" s="6"/>
      <c r="B8124" s="1"/>
      <c r="C8124" s="5"/>
      <c r="D8124" s="5"/>
      <c r="E8124" s="5"/>
      <c r="F8124" s="5"/>
      <c r="G8124" s="5"/>
      <c r="H8124" s="5"/>
      <c r="I8124" s="5"/>
      <c r="J8124" s="5"/>
      <c r="K8124" s="5"/>
      <c r="L8124" s="5"/>
    </row>
    <row r="8125" spans="1:12" ht="12" customHeight="1" x14ac:dyDescent="0.25">
      <c r="A8125" s="6"/>
      <c r="B8125" s="1"/>
      <c r="C8125" s="5"/>
      <c r="D8125" s="5"/>
      <c r="E8125" s="5"/>
      <c r="F8125" s="5"/>
      <c r="G8125" s="5"/>
      <c r="H8125" s="5"/>
      <c r="I8125" s="5"/>
      <c r="J8125" s="5"/>
      <c r="K8125" s="5"/>
      <c r="L8125" s="5"/>
    </row>
    <row r="8126" spans="1:12" ht="12" customHeight="1" x14ac:dyDescent="0.25">
      <c r="A8126" s="6"/>
      <c r="B8126" s="1"/>
      <c r="C8126" s="5"/>
      <c r="D8126" s="5"/>
      <c r="E8126" s="5"/>
      <c r="F8126" s="5"/>
      <c r="G8126" s="5"/>
      <c r="H8126" s="5"/>
      <c r="I8126" s="5"/>
      <c r="J8126" s="5"/>
      <c r="K8126" s="5"/>
      <c r="L8126" s="5"/>
    </row>
    <row r="8127" spans="1:12" ht="12" customHeight="1" x14ac:dyDescent="0.25">
      <c r="A8127" s="6"/>
      <c r="B8127" s="1"/>
      <c r="C8127" s="5"/>
      <c r="D8127" s="5"/>
      <c r="E8127" s="5"/>
      <c r="F8127" s="5"/>
      <c r="G8127" s="5"/>
      <c r="H8127" s="5"/>
      <c r="I8127" s="5"/>
      <c r="J8127" s="5"/>
      <c r="K8127" s="5"/>
      <c r="L8127" s="5"/>
    </row>
    <row r="8128" spans="1:12" ht="12" customHeight="1" x14ac:dyDescent="0.25">
      <c r="A8128" s="6"/>
      <c r="B8128" s="1"/>
      <c r="C8128" s="5"/>
      <c r="D8128" s="5"/>
      <c r="E8128" s="5"/>
      <c r="F8128" s="5"/>
      <c r="G8128" s="5"/>
      <c r="H8128" s="5"/>
      <c r="I8128" s="5"/>
      <c r="J8128" s="5"/>
      <c r="K8128" s="5"/>
      <c r="L8128" s="5"/>
    </row>
    <row r="8129" spans="1:12" ht="12" customHeight="1" x14ac:dyDescent="0.25">
      <c r="A8129" s="6"/>
      <c r="B8129" s="1"/>
      <c r="C8129" s="5"/>
      <c r="D8129" s="5"/>
      <c r="E8129" s="5"/>
      <c r="F8129" s="5"/>
      <c r="G8129" s="5"/>
      <c r="H8129" s="5"/>
      <c r="I8129" s="5"/>
      <c r="J8129" s="5"/>
      <c r="K8129" s="5"/>
      <c r="L8129" s="5"/>
    </row>
    <row r="8130" spans="1:12" ht="12" customHeight="1" x14ac:dyDescent="0.25">
      <c r="A8130" s="6"/>
      <c r="B8130" s="1"/>
      <c r="C8130" s="5"/>
      <c r="D8130" s="5"/>
      <c r="E8130" s="5"/>
      <c r="F8130" s="5"/>
      <c r="G8130" s="5"/>
      <c r="H8130" s="5"/>
      <c r="I8130" s="5"/>
      <c r="J8130" s="5"/>
      <c r="K8130" s="5"/>
      <c r="L8130" s="5"/>
    </row>
    <row r="8131" spans="1:12" ht="12" customHeight="1" x14ac:dyDescent="0.25">
      <c r="A8131" s="6"/>
      <c r="B8131" s="1"/>
      <c r="C8131" s="5"/>
      <c r="D8131" s="5"/>
      <c r="E8131" s="5"/>
      <c r="F8131" s="5"/>
      <c r="G8131" s="5"/>
      <c r="H8131" s="5"/>
      <c r="I8131" s="5"/>
      <c r="J8131" s="5"/>
      <c r="K8131" s="5"/>
      <c r="L8131" s="5"/>
    </row>
    <row r="8132" spans="1:12" ht="12" customHeight="1" x14ac:dyDescent="0.25">
      <c r="A8132" s="6"/>
      <c r="B8132" s="1"/>
      <c r="C8132" s="5"/>
      <c r="D8132" s="5"/>
      <c r="E8132" s="5"/>
      <c r="F8132" s="5"/>
      <c r="G8132" s="5"/>
      <c r="H8132" s="5"/>
      <c r="I8132" s="5"/>
      <c r="J8132" s="5"/>
      <c r="K8132" s="5"/>
      <c r="L8132" s="5"/>
    </row>
    <row r="8133" spans="1:12" ht="12" customHeight="1" x14ac:dyDescent="0.25">
      <c r="A8133" s="6"/>
      <c r="B8133" s="1"/>
      <c r="C8133" s="5"/>
      <c r="D8133" s="5"/>
      <c r="E8133" s="5"/>
      <c r="F8133" s="5"/>
      <c r="G8133" s="5"/>
      <c r="H8133" s="5"/>
      <c r="I8133" s="5"/>
      <c r="J8133" s="5"/>
      <c r="K8133" s="5"/>
      <c r="L8133" s="5"/>
    </row>
    <row r="8134" spans="1:12" ht="12" customHeight="1" x14ac:dyDescent="0.25">
      <c r="A8134" s="6"/>
      <c r="B8134" s="1"/>
      <c r="C8134" s="5"/>
      <c r="D8134" s="5"/>
      <c r="E8134" s="5"/>
      <c r="F8134" s="5"/>
      <c r="G8134" s="5"/>
      <c r="H8134" s="5"/>
      <c r="I8134" s="5"/>
      <c r="J8134" s="5"/>
      <c r="K8134" s="5"/>
      <c r="L8134" s="5"/>
    </row>
    <row r="8135" spans="1:12" ht="12" customHeight="1" x14ac:dyDescent="0.25">
      <c r="A8135" s="6"/>
      <c r="B8135" s="1"/>
      <c r="C8135" s="5"/>
      <c r="D8135" s="5"/>
      <c r="E8135" s="5"/>
      <c r="F8135" s="5"/>
      <c r="G8135" s="5"/>
      <c r="H8135" s="5"/>
      <c r="I8135" s="5"/>
      <c r="J8135" s="5"/>
      <c r="K8135" s="5"/>
      <c r="L8135" s="5"/>
    </row>
    <row r="8136" spans="1:12" ht="12" customHeight="1" x14ac:dyDescent="0.25">
      <c r="A8136" s="6"/>
      <c r="B8136" s="1"/>
      <c r="C8136" s="5"/>
      <c r="D8136" s="5"/>
      <c r="E8136" s="5"/>
      <c r="F8136" s="5"/>
      <c r="G8136" s="5"/>
      <c r="H8136" s="5"/>
      <c r="I8136" s="5"/>
      <c r="J8136" s="5"/>
      <c r="K8136" s="5"/>
      <c r="L8136" s="5"/>
    </row>
    <row r="8137" spans="1:12" ht="12" customHeight="1" x14ac:dyDescent="0.25">
      <c r="A8137" s="6"/>
      <c r="B8137" s="1"/>
      <c r="C8137" s="5"/>
      <c r="D8137" s="5"/>
      <c r="E8137" s="5"/>
      <c r="F8137" s="5"/>
      <c r="G8137" s="5"/>
      <c r="H8137" s="5"/>
      <c r="I8137" s="5"/>
      <c r="J8137" s="5"/>
      <c r="K8137" s="5"/>
      <c r="L8137" s="5"/>
    </row>
    <row r="8138" spans="1:12" ht="12" customHeight="1" x14ac:dyDescent="0.25">
      <c r="A8138" s="6"/>
      <c r="B8138" s="1"/>
      <c r="C8138" s="5"/>
      <c r="D8138" s="5"/>
      <c r="E8138" s="5"/>
      <c r="F8138" s="5"/>
      <c r="G8138" s="5"/>
      <c r="H8138" s="5"/>
      <c r="I8138" s="5"/>
      <c r="J8138" s="5"/>
      <c r="K8138" s="5"/>
      <c r="L8138" s="5"/>
    </row>
    <row r="8139" spans="1:12" ht="12" customHeight="1" x14ac:dyDescent="0.25">
      <c r="A8139" s="6"/>
      <c r="B8139" s="1"/>
      <c r="C8139" s="5"/>
      <c r="D8139" s="5"/>
      <c r="E8139" s="5"/>
      <c r="F8139" s="5"/>
      <c r="G8139" s="5"/>
      <c r="H8139" s="5"/>
      <c r="I8139" s="5"/>
      <c r="J8139" s="5"/>
      <c r="K8139" s="5"/>
      <c r="L8139" s="5"/>
    </row>
    <row r="8140" spans="1:12" ht="12" customHeight="1" x14ac:dyDescent="0.25">
      <c r="A8140" s="6"/>
      <c r="B8140" s="1"/>
      <c r="C8140" s="5"/>
      <c r="D8140" s="5"/>
      <c r="E8140" s="5"/>
      <c r="F8140" s="5"/>
      <c r="G8140" s="5"/>
      <c r="H8140" s="5"/>
      <c r="I8140" s="5"/>
      <c r="J8140" s="5"/>
      <c r="K8140" s="5"/>
      <c r="L8140" s="5"/>
    </row>
    <row r="8141" spans="1:12" ht="12" customHeight="1" x14ac:dyDescent="0.25">
      <c r="A8141" s="6"/>
      <c r="B8141" s="1"/>
      <c r="C8141" s="5"/>
      <c r="D8141" s="5"/>
      <c r="E8141" s="5"/>
      <c r="F8141" s="5"/>
      <c r="G8141" s="5"/>
      <c r="H8141" s="5"/>
      <c r="I8141" s="5"/>
      <c r="J8141" s="5"/>
      <c r="K8141" s="5"/>
      <c r="L8141" s="5"/>
    </row>
    <row r="8142" spans="1:12" ht="12" customHeight="1" x14ac:dyDescent="0.25">
      <c r="A8142" s="6"/>
      <c r="B8142" s="1"/>
      <c r="C8142" s="5"/>
      <c r="D8142" s="5"/>
      <c r="E8142" s="5"/>
      <c r="F8142" s="5"/>
      <c r="G8142" s="5"/>
      <c r="H8142" s="5"/>
      <c r="I8142" s="5"/>
      <c r="J8142" s="5"/>
      <c r="K8142" s="5"/>
      <c r="L8142" s="5"/>
    </row>
    <row r="8143" spans="1:12" ht="12" customHeight="1" x14ac:dyDescent="0.25">
      <c r="A8143" s="6"/>
      <c r="B8143" s="1"/>
      <c r="C8143" s="5"/>
      <c r="D8143" s="5"/>
      <c r="E8143" s="5"/>
      <c r="F8143" s="5"/>
      <c r="G8143" s="5"/>
      <c r="H8143" s="5"/>
      <c r="I8143" s="5"/>
      <c r="J8143" s="5"/>
      <c r="K8143" s="5"/>
      <c r="L8143" s="5"/>
    </row>
    <row r="8144" spans="1:12" ht="12" customHeight="1" x14ac:dyDescent="0.25">
      <c r="A8144" s="6"/>
      <c r="B8144" s="1"/>
      <c r="C8144" s="5"/>
      <c r="D8144" s="5"/>
      <c r="E8144" s="5"/>
      <c r="F8144" s="5"/>
      <c r="G8144" s="5"/>
      <c r="H8144" s="5"/>
      <c r="I8144" s="5"/>
      <c r="J8144" s="5"/>
      <c r="K8144" s="5"/>
      <c r="L8144" s="5"/>
    </row>
    <row r="8145" spans="1:12" ht="12" customHeight="1" x14ac:dyDescent="0.25">
      <c r="A8145" s="6"/>
      <c r="B8145" s="1"/>
      <c r="C8145" s="5"/>
      <c r="D8145" s="5"/>
      <c r="E8145" s="5"/>
      <c r="F8145" s="5"/>
      <c r="G8145" s="5"/>
      <c r="H8145" s="5"/>
      <c r="I8145" s="5"/>
      <c r="J8145" s="5"/>
      <c r="K8145" s="5"/>
      <c r="L8145" s="5"/>
    </row>
    <row r="8146" spans="1:12" ht="12" customHeight="1" x14ac:dyDescent="0.25">
      <c r="A8146" s="6"/>
      <c r="B8146" s="1"/>
      <c r="C8146" s="5"/>
      <c r="D8146" s="5"/>
      <c r="E8146" s="5"/>
      <c r="F8146" s="5"/>
      <c r="G8146" s="5"/>
      <c r="H8146" s="5"/>
      <c r="I8146" s="5"/>
      <c r="J8146" s="5"/>
      <c r="K8146" s="5"/>
      <c r="L8146" s="5"/>
    </row>
    <row r="8147" spans="1:12" ht="12" customHeight="1" x14ac:dyDescent="0.25">
      <c r="A8147" s="6"/>
      <c r="B8147" s="1"/>
      <c r="C8147" s="5"/>
      <c r="D8147" s="5"/>
      <c r="E8147" s="5"/>
      <c r="F8147" s="5"/>
      <c r="G8147" s="5"/>
      <c r="H8147" s="5"/>
      <c r="I8147" s="5"/>
      <c r="J8147" s="5"/>
      <c r="K8147" s="5"/>
      <c r="L8147" s="5"/>
    </row>
    <row r="8148" spans="1:12" ht="12" customHeight="1" x14ac:dyDescent="0.25">
      <c r="A8148" s="6"/>
      <c r="B8148" s="1"/>
      <c r="C8148" s="5"/>
      <c r="D8148" s="5"/>
      <c r="E8148" s="5"/>
      <c r="F8148" s="5"/>
      <c r="G8148" s="5"/>
      <c r="H8148" s="5"/>
      <c r="I8148" s="5"/>
      <c r="J8148" s="5"/>
      <c r="K8148" s="5"/>
      <c r="L8148" s="5"/>
    </row>
    <row r="8149" spans="1:12" ht="12" customHeight="1" x14ac:dyDescent="0.25">
      <c r="A8149" s="6"/>
      <c r="B8149" s="1"/>
      <c r="C8149" s="5"/>
      <c r="D8149" s="5"/>
      <c r="E8149" s="5"/>
      <c r="F8149" s="5"/>
      <c r="G8149" s="5"/>
      <c r="H8149" s="5"/>
      <c r="I8149" s="5"/>
      <c r="J8149" s="5"/>
      <c r="K8149" s="5"/>
      <c r="L8149" s="5"/>
    </row>
    <row r="8150" spans="1:12" ht="12" customHeight="1" x14ac:dyDescent="0.25">
      <c r="A8150" s="6"/>
      <c r="B8150" s="1"/>
      <c r="C8150" s="5"/>
      <c r="D8150" s="5"/>
      <c r="E8150" s="5"/>
      <c r="F8150" s="5"/>
      <c r="G8150" s="5"/>
      <c r="H8150" s="5"/>
      <c r="I8150" s="5"/>
      <c r="J8150" s="5"/>
      <c r="K8150" s="5"/>
      <c r="L8150" s="5"/>
    </row>
    <row r="8151" spans="1:12" ht="12" customHeight="1" x14ac:dyDescent="0.25">
      <c r="A8151" s="6"/>
      <c r="B8151" s="1"/>
      <c r="C8151" s="5"/>
      <c r="D8151" s="5"/>
      <c r="E8151" s="5"/>
      <c r="F8151" s="5"/>
      <c r="G8151" s="5"/>
      <c r="H8151" s="5"/>
      <c r="I8151" s="5"/>
      <c r="J8151" s="5"/>
      <c r="K8151" s="5"/>
      <c r="L8151" s="5"/>
    </row>
    <row r="8152" spans="1:12" ht="12" customHeight="1" x14ac:dyDescent="0.25">
      <c r="A8152" s="6"/>
      <c r="B8152" s="1"/>
      <c r="C8152" s="5"/>
      <c r="D8152" s="5"/>
      <c r="E8152" s="5"/>
      <c r="F8152" s="5"/>
      <c r="G8152" s="5"/>
      <c r="H8152" s="5"/>
      <c r="I8152" s="5"/>
      <c r="J8152" s="5"/>
      <c r="K8152" s="5"/>
      <c r="L8152" s="5"/>
    </row>
    <row r="8153" spans="1:12" ht="12" customHeight="1" x14ac:dyDescent="0.25">
      <c r="A8153" s="6"/>
      <c r="B8153" s="1"/>
      <c r="C8153" s="5"/>
      <c r="D8153" s="5"/>
      <c r="E8153" s="5"/>
      <c r="F8153" s="5"/>
      <c r="G8153" s="5"/>
      <c r="H8153" s="5"/>
      <c r="I8153" s="5"/>
      <c r="J8153" s="5"/>
      <c r="K8153" s="5"/>
      <c r="L8153" s="5"/>
    </row>
    <row r="8154" spans="1:12" ht="12" customHeight="1" x14ac:dyDescent="0.25">
      <c r="A8154" s="6"/>
      <c r="B8154" s="1"/>
      <c r="C8154" s="5"/>
      <c r="D8154" s="5"/>
      <c r="E8154" s="5"/>
      <c r="F8154" s="5"/>
      <c r="G8154" s="5"/>
      <c r="H8154" s="5"/>
      <c r="I8154" s="5"/>
      <c r="J8154" s="5"/>
      <c r="K8154" s="5"/>
      <c r="L8154" s="5"/>
    </row>
    <row r="8155" spans="1:12" ht="12" customHeight="1" x14ac:dyDescent="0.25">
      <c r="A8155" s="6"/>
      <c r="B8155" s="1"/>
      <c r="C8155" s="5"/>
      <c r="D8155" s="5"/>
      <c r="E8155" s="5"/>
      <c r="F8155" s="5"/>
      <c r="G8155" s="5"/>
      <c r="H8155" s="5"/>
      <c r="I8155" s="5"/>
      <c r="J8155" s="5"/>
      <c r="K8155" s="5"/>
      <c r="L8155" s="5"/>
    </row>
    <row r="8156" spans="1:12" ht="12" customHeight="1" x14ac:dyDescent="0.25">
      <c r="A8156" s="6"/>
      <c r="B8156" s="1"/>
      <c r="C8156" s="5"/>
      <c r="D8156" s="5"/>
      <c r="E8156" s="5"/>
      <c r="F8156" s="5"/>
      <c r="G8156" s="5"/>
      <c r="H8156" s="5"/>
      <c r="I8156" s="5"/>
      <c r="J8156" s="5"/>
      <c r="K8156" s="5"/>
      <c r="L8156" s="5"/>
    </row>
    <row r="8157" spans="1:12" ht="12" customHeight="1" x14ac:dyDescent="0.25">
      <c r="A8157" s="6"/>
      <c r="B8157" s="1"/>
      <c r="C8157" s="5"/>
      <c r="D8157" s="5"/>
      <c r="E8157" s="5"/>
      <c r="F8157" s="5"/>
      <c r="G8157" s="5"/>
      <c r="H8157" s="5"/>
      <c r="I8157" s="5"/>
      <c r="J8157" s="5"/>
      <c r="K8157" s="5"/>
      <c r="L8157" s="5"/>
    </row>
    <row r="8158" spans="1:12" ht="12" customHeight="1" x14ac:dyDescent="0.25">
      <c r="A8158" s="6"/>
      <c r="B8158" s="1"/>
      <c r="C8158" s="5"/>
      <c r="D8158" s="5"/>
      <c r="E8158" s="5"/>
      <c r="F8158" s="5"/>
      <c r="G8158" s="5"/>
      <c r="H8158" s="5"/>
      <c r="I8158" s="5"/>
      <c r="J8158" s="5"/>
      <c r="K8158" s="5"/>
      <c r="L8158" s="5"/>
    </row>
    <row r="8159" spans="1:12" ht="12" customHeight="1" x14ac:dyDescent="0.25">
      <c r="A8159" s="6"/>
      <c r="B8159" s="1"/>
      <c r="C8159" s="5"/>
      <c r="D8159" s="5"/>
      <c r="E8159" s="5"/>
      <c r="F8159" s="5"/>
      <c r="G8159" s="5"/>
      <c r="H8159" s="5"/>
      <c r="I8159" s="5"/>
      <c r="J8159" s="5"/>
      <c r="K8159" s="5"/>
      <c r="L8159" s="5"/>
    </row>
    <row r="8160" spans="1:12" ht="12" customHeight="1" x14ac:dyDescent="0.25">
      <c r="A8160" s="6"/>
      <c r="B8160" s="1"/>
      <c r="C8160" s="5"/>
      <c r="D8160" s="5"/>
      <c r="E8160" s="5"/>
      <c r="F8160" s="5"/>
      <c r="G8160" s="5"/>
      <c r="H8160" s="5"/>
      <c r="I8160" s="5"/>
      <c r="J8160" s="5"/>
      <c r="K8160" s="5"/>
      <c r="L8160" s="5"/>
    </row>
    <row r="8161" spans="1:12" ht="12" customHeight="1" x14ac:dyDescent="0.25">
      <c r="A8161" s="6"/>
      <c r="B8161" s="1"/>
      <c r="C8161" s="5"/>
      <c r="D8161" s="5"/>
      <c r="E8161" s="5"/>
      <c r="F8161" s="5"/>
      <c r="G8161" s="5"/>
      <c r="H8161" s="5"/>
      <c r="I8161" s="5"/>
      <c r="J8161" s="5"/>
      <c r="K8161" s="5"/>
      <c r="L8161" s="5"/>
    </row>
    <row r="8162" spans="1:12" ht="12" customHeight="1" x14ac:dyDescent="0.25">
      <c r="A8162" s="6"/>
      <c r="B8162" s="1"/>
      <c r="C8162" s="5"/>
      <c r="D8162" s="5"/>
      <c r="E8162" s="5"/>
      <c r="F8162" s="5"/>
      <c r="G8162" s="5"/>
      <c r="H8162" s="5"/>
      <c r="I8162" s="5"/>
      <c r="J8162" s="5"/>
      <c r="K8162" s="5"/>
      <c r="L8162" s="5"/>
    </row>
    <row r="8163" spans="1:12" ht="12" customHeight="1" x14ac:dyDescent="0.25">
      <c r="A8163" s="6"/>
      <c r="B8163" s="1"/>
      <c r="C8163" s="5"/>
      <c r="D8163" s="5"/>
      <c r="E8163" s="5"/>
      <c r="F8163" s="5"/>
      <c r="G8163" s="5"/>
      <c r="H8163" s="5"/>
      <c r="I8163" s="5"/>
      <c r="J8163" s="5"/>
      <c r="K8163" s="5"/>
      <c r="L8163" s="5"/>
    </row>
    <row r="8164" spans="1:12" ht="12" customHeight="1" x14ac:dyDescent="0.25">
      <c r="A8164" s="6"/>
      <c r="B8164" s="1"/>
      <c r="C8164" s="5"/>
      <c r="D8164" s="5"/>
      <c r="E8164" s="5"/>
      <c r="F8164" s="5"/>
      <c r="G8164" s="5"/>
      <c r="H8164" s="5"/>
      <c r="I8164" s="5"/>
      <c r="J8164" s="5"/>
      <c r="K8164" s="5"/>
      <c r="L8164" s="5"/>
    </row>
    <row r="8165" spans="1:12" ht="12" customHeight="1" x14ac:dyDescent="0.25">
      <c r="A8165" s="6"/>
      <c r="B8165" s="1"/>
      <c r="C8165" s="5"/>
      <c r="D8165" s="5"/>
      <c r="E8165" s="5"/>
      <c r="F8165" s="5"/>
      <c r="G8165" s="5"/>
      <c r="H8165" s="5"/>
      <c r="I8165" s="5"/>
      <c r="J8165" s="5"/>
      <c r="K8165" s="5"/>
      <c r="L8165" s="5"/>
    </row>
    <row r="8166" spans="1:12" ht="12" customHeight="1" x14ac:dyDescent="0.25">
      <c r="A8166" s="6"/>
      <c r="B8166" s="1"/>
      <c r="C8166" s="5"/>
      <c r="D8166" s="5"/>
      <c r="E8166" s="5"/>
      <c r="F8166" s="5"/>
      <c r="G8166" s="5"/>
      <c r="H8166" s="5"/>
      <c r="I8166" s="5"/>
      <c r="J8166" s="5"/>
      <c r="K8166" s="5"/>
      <c r="L8166" s="5"/>
    </row>
    <row r="8167" spans="1:12" ht="12" customHeight="1" x14ac:dyDescent="0.25">
      <c r="A8167" s="6"/>
      <c r="B8167" s="1"/>
      <c r="C8167" s="5"/>
      <c r="D8167" s="5"/>
      <c r="E8167" s="5"/>
      <c r="F8167" s="5"/>
      <c r="G8167" s="5"/>
      <c r="H8167" s="5"/>
      <c r="I8167" s="5"/>
      <c r="J8167" s="5"/>
      <c r="K8167" s="5"/>
      <c r="L8167" s="5"/>
    </row>
    <row r="8168" spans="1:12" ht="12" customHeight="1" x14ac:dyDescent="0.25">
      <c r="A8168" s="6"/>
      <c r="B8168" s="1"/>
      <c r="C8168" s="5"/>
      <c r="D8168" s="5"/>
      <c r="E8168" s="5"/>
      <c r="F8168" s="5"/>
      <c r="G8168" s="5"/>
      <c r="H8168" s="5"/>
      <c r="I8168" s="5"/>
      <c r="J8168" s="5"/>
      <c r="K8168" s="5"/>
      <c r="L8168" s="5"/>
    </row>
    <row r="8169" spans="1:12" ht="12" customHeight="1" x14ac:dyDescent="0.25">
      <c r="A8169" s="6"/>
      <c r="B8169" s="1"/>
      <c r="C8169" s="5"/>
      <c r="D8169" s="5"/>
      <c r="E8169" s="5"/>
      <c r="F8169" s="5"/>
      <c r="G8169" s="5"/>
      <c r="H8169" s="5"/>
      <c r="I8169" s="5"/>
      <c r="J8169" s="5"/>
      <c r="K8169" s="5"/>
      <c r="L8169" s="5"/>
    </row>
    <row r="8170" spans="1:12" ht="12" customHeight="1" x14ac:dyDescent="0.25">
      <c r="A8170" s="6"/>
      <c r="B8170" s="1"/>
      <c r="C8170" s="5"/>
      <c r="D8170" s="5"/>
      <c r="E8170" s="5"/>
      <c r="F8170" s="5"/>
      <c r="G8170" s="5"/>
      <c r="H8170" s="5"/>
      <c r="I8170" s="5"/>
      <c r="J8170" s="5"/>
      <c r="K8170" s="5"/>
      <c r="L8170" s="5"/>
    </row>
    <row r="8171" spans="1:12" ht="12" customHeight="1" x14ac:dyDescent="0.25">
      <c r="A8171" s="6"/>
      <c r="B8171" s="1"/>
      <c r="C8171" s="5"/>
      <c r="D8171" s="5"/>
      <c r="E8171" s="5"/>
      <c r="F8171" s="5"/>
      <c r="G8171" s="5"/>
      <c r="H8171" s="5"/>
      <c r="I8171" s="5"/>
      <c r="J8171" s="5"/>
      <c r="K8171" s="5"/>
      <c r="L8171" s="5"/>
    </row>
    <row r="8172" spans="1:12" ht="12" customHeight="1" x14ac:dyDescent="0.25">
      <c r="A8172" s="6"/>
      <c r="B8172" s="1"/>
      <c r="C8172" s="5"/>
      <c r="D8172" s="5"/>
      <c r="E8172" s="5"/>
      <c r="F8172" s="5"/>
      <c r="G8172" s="5"/>
      <c r="H8172" s="5"/>
      <c r="I8172" s="5"/>
      <c r="J8172" s="5"/>
      <c r="K8172" s="5"/>
      <c r="L8172" s="5"/>
    </row>
    <row r="8173" spans="1:12" ht="12" customHeight="1" x14ac:dyDescent="0.25">
      <c r="A8173" s="6"/>
      <c r="B8173" s="1"/>
      <c r="C8173" s="5"/>
      <c r="D8173" s="5"/>
      <c r="E8173" s="5"/>
      <c r="F8173" s="5"/>
      <c r="G8173" s="5"/>
      <c r="H8173" s="5"/>
      <c r="I8173" s="5"/>
      <c r="J8173" s="5"/>
      <c r="K8173" s="5"/>
      <c r="L8173" s="5"/>
    </row>
    <row r="8174" spans="1:12" ht="12" customHeight="1" x14ac:dyDescent="0.25">
      <c r="A8174" s="6"/>
      <c r="B8174" s="1"/>
      <c r="C8174" s="5"/>
      <c r="D8174" s="5"/>
      <c r="E8174" s="5"/>
      <c r="F8174" s="5"/>
      <c r="G8174" s="5"/>
      <c r="H8174" s="5"/>
      <c r="I8174" s="5"/>
      <c r="J8174" s="5"/>
      <c r="K8174" s="5"/>
      <c r="L8174" s="5"/>
    </row>
    <row r="8175" spans="1:12" ht="12" customHeight="1" x14ac:dyDescent="0.25">
      <c r="A8175" s="6"/>
      <c r="B8175" s="1"/>
      <c r="C8175" s="5"/>
      <c r="D8175" s="5"/>
      <c r="E8175" s="5"/>
      <c r="F8175" s="5"/>
      <c r="G8175" s="5"/>
      <c r="H8175" s="5"/>
      <c r="I8175" s="5"/>
      <c r="J8175" s="5"/>
      <c r="K8175" s="5"/>
      <c r="L8175" s="5"/>
    </row>
    <row r="8176" spans="1:12" ht="12" customHeight="1" x14ac:dyDescent="0.25">
      <c r="A8176" s="6"/>
      <c r="B8176" s="1"/>
      <c r="C8176" s="5"/>
      <c r="D8176" s="5"/>
      <c r="E8176" s="5"/>
      <c r="F8176" s="5"/>
      <c r="G8176" s="5"/>
      <c r="H8176" s="5"/>
      <c r="I8176" s="5"/>
      <c r="J8176" s="5"/>
      <c r="K8176" s="5"/>
      <c r="L8176" s="5"/>
    </row>
    <row r="8177" spans="1:12" ht="12" customHeight="1" x14ac:dyDescent="0.25">
      <c r="A8177" s="6"/>
      <c r="B8177" s="1"/>
      <c r="C8177" s="5"/>
      <c r="D8177" s="5"/>
      <c r="E8177" s="5"/>
      <c r="F8177" s="5"/>
      <c r="G8177" s="5"/>
      <c r="H8177" s="5"/>
      <c r="I8177" s="5"/>
      <c r="J8177" s="5"/>
      <c r="K8177" s="5"/>
      <c r="L8177" s="5"/>
    </row>
    <row r="8178" spans="1:12" ht="12" customHeight="1" x14ac:dyDescent="0.25">
      <c r="A8178" s="6"/>
      <c r="B8178" s="1"/>
      <c r="C8178" s="5"/>
      <c r="D8178" s="5"/>
      <c r="E8178" s="5"/>
      <c r="F8178" s="5"/>
      <c r="G8178" s="5"/>
      <c r="H8178" s="5"/>
      <c r="I8178" s="5"/>
      <c r="J8178" s="5"/>
      <c r="K8178" s="5"/>
      <c r="L8178" s="5"/>
    </row>
    <row r="8179" spans="1:12" ht="12" customHeight="1" x14ac:dyDescent="0.25">
      <c r="A8179" s="6"/>
      <c r="B8179" s="1"/>
      <c r="C8179" s="5"/>
      <c r="D8179" s="5"/>
      <c r="E8179" s="5"/>
      <c r="F8179" s="5"/>
      <c r="G8179" s="5"/>
      <c r="H8179" s="5"/>
      <c r="I8179" s="5"/>
      <c r="J8179" s="5"/>
      <c r="K8179" s="5"/>
      <c r="L8179" s="5"/>
    </row>
    <row r="8180" spans="1:12" ht="12" customHeight="1" x14ac:dyDescent="0.25">
      <c r="A8180" s="6"/>
      <c r="B8180" s="1"/>
      <c r="C8180" s="5"/>
      <c r="D8180" s="5"/>
      <c r="E8180" s="5"/>
      <c r="F8180" s="5"/>
      <c r="G8180" s="5"/>
      <c r="H8180" s="5"/>
      <c r="I8180" s="5"/>
      <c r="J8180" s="5"/>
      <c r="K8180" s="5"/>
      <c r="L8180" s="5"/>
    </row>
    <row r="8181" spans="1:12" ht="12" customHeight="1" x14ac:dyDescent="0.25">
      <c r="A8181" s="6"/>
      <c r="B8181" s="1"/>
      <c r="C8181" s="5"/>
      <c r="D8181" s="5"/>
      <c r="E8181" s="5"/>
      <c r="F8181" s="5"/>
      <c r="G8181" s="5"/>
      <c r="H8181" s="5"/>
      <c r="I8181" s="5"/>
      <c r="J8181" s="5"/>
      <c r="K8181" s="5"/>
      <c r="L8181" s="5"/>
    </row>
    <row r="8182" spans="1:12" ht="12" customHeight="1" x14ac:dyDescent="0.25">
      <c r="A8182" s="6"/>
      <c r="B8182" s="1"/>
      <c r="C8182" s="5"/>
      <c r="D8182" s="5"/>
      <c r="E8182" s="5"/>
      <c r="F8182" s="5"/>
      <c r="G8182" s="5"/>
      <c r="H8182" s="5"/>
      <c r="I8182" s="5"/>
      <c r="J8182" s="5"/>
      <c r="K8182" s="5"/>
      <c r="L8182" s="5"/>
    </row>
    <row r="8183" spans="1:12" ht="12" customHeight="1" x14ac:dyDescent="0.25">
      <c r="A8183" s="6"/>
      <c r="B8183" s="1"/>
      <c r="C8183" s="5"/>
      <c r="D8183" s="5"/>
      <c r="E8183" s="5"/>
      <c r="F8183" s="5"/>
      <c r="G8183" s="5"/>
      <c r="H8183" s="5"/>
      <c r="I8183" s="5"/>
      <c r="J8183" s="5"/>
      <c r="K8183" s="5"/>
      <c r="L8183" s="5"/>
    </row>
    <row r="8184" spans="1:12" ht="12" customHeight="1" x14ac:dyDescent="0.25">
      <c r="A8184" s="6"/>
      <c r="B8184" s="1"/>
      <c r="C8184" s="5"/>
      <c r="D8184" s="5"/>
      <c r="E8184" s="5"/>
      <c r="F8184" s="5"/>
      <c r="G8184" s="5"/>
      <c r="H8184" s="5"/>
      <c r="I8184" s="5"/>
      <c r="J8184" s="5"/>
      <c r="K8184" s="5"/>
      <c r="L8184" s="5"/>
    </row>
    <row r="8185" spans="1:12" ht="12" customHeight="1" x14ac:dyDescent="0.25">
      <c r="A8185" s="6"/>
      <c r="B8185" s="1"/>
      <c r="C8185" s="5"/>
      <c r="D8185" s="5"/>
      <c r="E8185" s="5"/>
      <c r="F8185" s="5"/>
      <c r="G8185" s="5"/>
      <c r="H8185" s="5"/>
      <c r="I8185" s="5"/>
      <c r="J8185" s="5"/>
      <c r="K8185" s="5"/>
      <c r="L8185" s="5"/>
    </row>
    <row r="8186" spans="1:12" ht="12" customHeight="1" x14ac:dyDescent="0.25">
      <c r="A8186" s="6"/>
      <c r="B8186" s="1"/>
      <c r="C8186" s="5"/>
      <c r="D8186" s="5"/>
      <c r="E8186" s="5"/>
      <c r="F8186" s="5"/>
      <c r="G8186" s="5"/>
      <c r="H8186" s="5"/>
      <c r="I8186" s="5"/>
      <c r="J8186" s="5"/>
      <c r="K8186" s="5"/>
      <c r="L8186" s="5"/>
    </row>
    <row r="8187" spans="1:12" ht="12" customHeight="1" x14ac:dyDescent="0.25">
      <c r="A8187" s="6"/>
      <c r="B8187" s="1"/>
      <c r="C8187" s="5"/>
      <c r="D8187" s="5"/>
      <c r="E8187" s="5"/>
      <c r="F8187" s="5"/>
      <c r="G8187" s="5"/>
      <c r="H8187" s="5"/>
      <c r="I8187" s="5"/>
      <c r="J8187" s="5"/>
      <c r="K8187" s="5"/>
      <c r="L8187" s="5"/>
    </row>
    <row r="8188" spans="1:12" ht="12" customHeight="1" x14ac:dyDescent="0.25">
      <c r="A8188" s="6"/>
      <c r="B8188" s="1"/>
      <c r="C8188" s="5"/>
      <c r="D8188" s="5"/>
      <c r="E8188" s="5"/>
      <c r="F8188" s="5"/>
      <c r="G8188" s="5"/>
      <c r="H8188" s="5"/>
      <c r="I8188" s="5"/>
      <c r="J8188" s="5"/>
      <c r="K8188" s="5"/>
      <c r="L8188" s="5"/>
    </row>
    <row r="8189" spans="1:12" ht="12" customHeight="1" x14ac:dyDescent="0.25">
      <c r="A8189" s="6"/>
      <c r="B8189" s="1"/>
      <c r="C8189" s="5"/>
      <c r="D8189" s="5"/>
      <c r="E8189" s="5"/>
      <c r="F8189" s="5"/>
      <c r="G8189" s="5"/>
      <c r="H8189" s="5"/>
      <c r="I8189" s="5"/>
      <c r="J8189" s="5"/>
      <c r="K8189" s="5"/>
      <c r="L8189" s="5"/>
    </row>
    <row r="8190" spans="1:12" ht="12" customHeight="1" x14ac:dyDescent="0.25">
      <c r="A8190" s="6"/>
      <c r="B8190" s="1"/>
      <c r="C8190" s="5"/>
      <c r="D8190" s="5"/>
      <c r="E8190" s="5"/>
      <c r="F8190" s="5"/>
      <c r="G8190" s="5"/>
      <c r="H8190" s="5"/>
      <c r="I8190" s="5"/>
      <c r="J8190" s="5"/>
      <c r="K8190" s="5"/>
      <c r="L8190" s="5"/>
    </row>
    <row r="8191" spans="1:12" ht="12" customHeight="1" x14ac:dyDescent="0.25">
      <c r="A8191" s="6"/>
      <c r="B8191" s="1"/>
      <c r="C8191" s="5"/>
      <c r="D8191" s="5"/>
      <c r="E8191" s="5"/>
      <c r="F8191" s="5"/>
      <c r="G8191" s="5"/>
      <c r="H8191" s="5"/>
      <c r="I8191" s="5"/>
      <c r="J8191" s="5"/>
      <c r="K8191" s="5"/>
      <c r="L8191" s="5"/>
    </row>
    <row r="8192" spans="1:12" ht="12" customHeight="1" x14ac:dyDescent="0.25">
      <c r="A8192" s="6"/>
      <c r="B8192" s="1"/>
      <c r="C8192" s="5"/>
      <c r="D8192" s="5"/>
      <c r="E8192" s="5"/>
      <c r="F8192" s="5"/>
      <c r="G8192" s="5"/>
      <c r="H8192" s="5"/>
      <c r="I8192" s="5"/>
      <c r="J8192" s="5"/>
      <c r="K8192" s="5"/>
      <c r="L8192" s="5"/>
    </row>
    <row r="8193" spans="1:12" ht="12" customHeight="1" x14ac:dyDescent="0.25">
      <c r="A8193" s="6"/>
      <c r="B8193" s="1"/>
      <c r="C8193" s="5"/>
      <c r="D8193" s="5"/>
      <c r="E8193" s="5"/>
      <c r="F8193" s="5"/>
      <c r="G8193" s="5"/>
      <c r="H8193" s="5"/>
      <c r="I8193" s="5"/>
      <c r="J8193" s="5"/>
      <c r="K8193" s="5"/>
      <c r="L8193" s="5"/>
    </row>
    <row r="8194" spans="1:12" ht="12" customHeight="1" x14ac:dyDescent="0.25">
      <c r="A8194" s="6"/>
      <c r="B8194" s="1"/>
      <c r="C8194" s="5"/>
      <c r="D8194" s="5"/>
      <c r="E8194" s="5"/>
      <c r="F8194" s="5"/>
      <c r="G8194" s="5"/>
      <c r="H8194" s="5"/>
      <c r="I8194" s="5"/>
      <c r="J8194" s="5"/>
      <c r="K8194" s="5"/>
      <c r="L8194" s="5"/>
    </row>
    <row r="8195" spans="1:12" ht="12" customHeight="1" x14ac:dyDescent="0.25">
      <c r="A8195" s="6"/>
      <c r="B8195" s="1"/>
      <c r="C8195" s="5"/>
      <c r="D8195" s="5"/>
      <c r="E8195" s="5"/>
      <c r="F8195" s="5"/>
      <c r="G8195" s="5"/>
      <c r="H8195" s="5"/>
      <c r="I8195" s="5"/>
      <c r="J8195" s="5"/>
      <c r="K8195" s="5"/>
      <c r="L8195" s="5"/>
    </row>
    <row r="8196" spans="1:12" ht="12" customHeight="1" x14ac:dyDescent="0.25">
      <c r="A8196" s="6"/>
      <c r="B8196" s="1"/>
      <c r="C8196" s="5"/>
      <c r="D8196" s="5"/>
      <c r="E8196" s="5"/>
      <c r="F8196" s="5"/>
      <c r="G8196" s="5"/>
      <c r="H8196" s="5"/>
      <c r="I8196" s="5"/>
      <c r="J8196" s="5"/>
      <c r="K8196" s="5"/>
      <c r="L8196" s="5"/>
    </row>
    <row r="8197" spans="1:12" ht="12" customHeight="1" x14ac:dyDescent="0.25">
      <c r="A8197" s="6"/>
      <c r="B8197" s="1"/>
      <c r="C8197" s="5"/>
      <c r="D8197" s="5"/>
      <c r="E8197" s="5"/>
      <c r="F8197" s="5"/>
      <c r="G8197" s="5"/>
      <c r="H8197" s="5"/>
      <c r="I8197" s="5"/>
      <c r="J8197" s="5"/>
      <c r="K8197" s="5"/>
      <c r="L8197" s="5"/>
    </row>
    <row r="8198" spans="1:12" ht="12" customHeight="1" x14ac:dyDescent="0.25">
      <c r="A8198" s="6"/>
      <c r="B8198" s="1"/>
      <c r="C8198" s="5"/>
      <c r="D8198" s="5"/>
      <c r="E8198" s="5"/>
      <c r="F8198" s="5"/>
      <c r="G8198" s="5"/>
      <c r="H8198" s="5"/>
      <c r="I8198" s="5"/>
      <c r="J8198" s="5"/>
      <c r="K8198" s="5"/>
      <c r="L8198" s="5"/>
    </row>
    <row r="8199" spans="1:12" ht="12" customHeight="1" x14ac:dyDescent="0.25">
      <c r="A8199" s="6"/>
      <c r="B8199" s="1"/>
      <c r="C8199" s="5"/>
      <c r="D8199" s="5"/>
      <c r="E8199" s="5"/>
      <c r="F8199" s="5"/>
      <c r="G8199" s="5"/>
      <c r="H8199" s="5"/>
      <c r="I8199" s="5"/>
      <c r="J8199" s="5"/>
      <c r="K8199" s="5"/>
      <c r="L8199" s="5"/>
    </row>
    <row r="8200" spans="1:12" ht="12" customHeight="1" x14ac:dyDescent="0.25">
      <c r="A8200" s="6"/>
      <c r="B8200" s="1"/>
      <c r="C8200" s="5"/>
      <c r="D8200" s="5"/>
      <c r="E8200" s="5"/>
      <c r="F8200" s="5"/>
      <c r="G8200" s="5"/>
      <c r="H8200" s="5"/>
      <c r="I8200" s="5"/>
      <c r="J8200" s="5"/>
      <c r="K8200" s="5"/>
      <c r="L8200" s="5"/>
    </row>
    <row r="8201" spans="1:12" ht="12" customHeight="1" x14ac:dyDescent="0.25">
      <c r="A8201" s="6"/>
      <c r="B8201" s="1"/>
      <c r="C8201" s="5"/>
      <c r="D8201" s="5"/>
      <c r="E8201" s="5"/>
      <c r="F8201" s="5"/>
      <c r="G8201" s="5"/>
      <c r="H8201" s="5"/>
      <c r="I8201" s="5"/>
      <c r="J8201" s="5"/>
      <c r="K8201" s="5"/>
      <c r="L8201" s="5"/>
    </row>
    <row r="8202" spans="1:12" ht="12" customHeight="1" x14ac:dyDescent="0.25">
      <c r="A8202" s="6"/>
      <c r="B8202" s="1"/>
      <c r="C8202" s="5"/>
      <c r="D8202" s="5"/>
      <c r="E8202" s="5"/>
      <c r="F8202" s="5"/>
      <c r="G8202" s="5"/>
      <c r="H8202" s="5"/>
      <c r="I8202" s="5"/>
      <c r="J8202" s="5"/>
      <c r="K8202" s="5"/>
      <c r="L8202" s="5"/>
    </row>
    <row r="8203" spans="1:12" ht="12" customHeight="1" x14ac:dyDescent="0.25">
      <c r="A8203" s="6"/>
      <c r="B8203" s="1"/>
      <c r="C8203" s="5"/>
      <c r="D8203" s="5"/>
      <c r="E8203" s="5"/>
      <c r="F8203" s="5"/>
      <c r="G8203" s="5"/>
      <c r="H8203" s="5"/>
      <c r="I8203" s="5"/>
      <c r="J8203" s="5"/>
      <c r="K8203" s="5"/>
      <c r="L8203" s="5"/>
    </row>
    <row r="8204" spans="1:12" ht="12" customHeight="1" x14ac:dyDescent="0.25">
      <c r="A8204" s="6"/>
      <c r="B8204" s="1"/>
      <c r="C8204" s="5"/>
      <c r="D8204" s="5"/>
      <c r="E8204" s="5"/>
      <c r="F8204" s="5"/>
      <c r="G8204" s="5"/>
      <c r="H8204" s="5"/>
      <c r="I8204" s="5"/>
      <c r="J8204" s="5"/>
      <c r="K8204" s="5"/>
      <c r="L8204" s="5"/>
    </row>
    <row r="8205" spans="1:12" ht="12" customHeight="1" x14ac:dyDescent="0.25">
      <c r="A8205" s="6"/>
      <c r="B8205" s="1"/>
      <c r="C8205" s="5"/>
      <c r="D8205" s="5"/>
      <c r="E8205" s="5"/>
      <c r="F8205" s="5"/>
      <c r="G8205" s="5"/>
      <c r="H8205" s="5"/>
      <c r="I8205" s="5"/>
      <c r="J8205" s="5"/>
      <c r="K8205" s="5"/>
      <c r="L8205" s="5"/>
    </row>
    <row r="8206" spans="1:12" ht="12" customHeight="1" x14ac:dyDescent="0.25">
      <c r="A8206" s="6"/>
      <c r="B8206" s="1"/>
      <c r="C8206" s="5"/>
      <c r="D8206" s="5"/>
      <c r="E8206" s="5"/>
      <c r="F8206" s="5"/>
      <c r="G8206" s="5"/>
      <c r="H8206" s="5"/>
      <c r="I8206" s="5"/>
      <c r="J8206" s="5"/>
      <c r="K8206" s="5"/>
      <c r="L8206" s="5"/>
    </row>
    <row r="8207" spans="1:12" ht="12" customHeight="1" x14ac:dyDescent="0.25">
      <c r="A8207" s="6"/>
      <c r="B8207" s="1"/>
      <c r="C8207" s="5"/>
      <c r="D8207" s="5"/>
      <c r="E8207" s="5"/>
      <c r="F8207" s="5"/>
      <c r="G8207" s="5"/>
      <c r="H8207" s="5"/>
      <c r="I8207" s="5"/>
      <c r="J8207" s="5"/>
      <c r="K8207" s="5"/>
      <c r="L8207" s="5"/>
    </row>
    <row r="8208" spans="1:12" ht="12" customHeight="1" x14ac:dyDescent="0.25">
      <c r="A8208" s="6"/>
      <c r="B8208" s="1"/>
      <c r="C8208" s="5"/>
      <c r="D8208" s="5"/>
      <c r="E8208" s="5"/>
      <c r="F8208" s="5"/>
      <c r="G8208" s="5"/>
      <c r="H8208" s="5"/>
      <c r="I8208" s="5"/>
      <c r="J8208" s="5"/>
      <c r="K8208" s="5"/>
      <c r="L8208" s="5"/>
    </row>
    <row r="8209" spans="1:12" ht="12" customHeight="1" x14ac:dyDescent="0.25">
      <c r="A8209" s="6"/>
      <c r="B8209" s="1"/>
      <c r="C8209" s="5"/>
      <c r="D8209" s="5"/>
      <c r="E8209" s="5"/>
      <c r="F8209" s="5"/>
      <c r="G8209" s="5"/>
      <c r="H8209" s="5"/>
      <c r="I8209" s="5"/>
      <c r="J8209" s="5"/>
      <c r="K8209" s="5"/>
      <c r="L8209" s="5"/>
    </row>
    <row r="8210" spans="1:12" ht="12" customHeight="1" x14ac:dyDescent="0.25">
      <c r="A8210" s="6"/>
      <c r="B8210" s="1"/>
      <c r="C8210" s="5"/>
      <c r="D8210" s="5"/>
      <c r="E8210" s="5"/>
      <c r="F8210" s="5"/>
      <c r="G8210" s="5"/>
      <c r="H8210" s="5"/>
      <c r="I8210" s="5"/>
      <c r="J8210" s="5"/>
      <c r="K8210" s="5"/>
      <c r="L8210" s="5"/>
    </row>
    <row r="8211" spans="1:12" ht="12" customHeight="1" x14ac:dyDescent="0.25">
      <c r="A8211" s="6"/>
      <c r="B8211" s="1"/>
      <c r="C8211" s="5"/>
      <c r="D8211" s="5"/>
      <c r="E8211" s="5"/>
      <c r="F8211" s="5"/>
      <c r="G8211" s="5"/>
      <c r="H8211" s="5"/>
      <c r="I8211" s="5"/>
      <c r="J8211" s="5"/>
      <c r="K8211" s="5"/>
      <c r="L8211" s="5"/>
    </row>
    <row r="8212" spans="1:12" ht="12" customHeight="1" x14ac:dyDescent="0.25">
      <c r="A8212" s="6"/>
      <c r="B8212" s="1"/>
      <c r="C8212" s="5"/>
      <c r="D8212" s="5"/>
      <c r="E8212" s="5"/>
      <c r="F8212" s="5"/>
      <c r="G8212" s="5"/>
      <c r="H8212" s="5"/>
      <c r="I8212" s="5"/>
      <c r="J8212" s="5"/>
      <c r="K8212" s="5"/>
      <c r="L8212" s="5"/>
    </row>
    <row r="8213" spans="1:12" ht="12" customHeight="1" x14ac:dyDescent="0.25">
      <c r="A8213" s="6"/>
      <c r="B8213" s="1"/>
      <c r="C8213" s="5"/>
      <c r="D8213" s="5"/>
      <c r="E8213" s="5"/>
      <c r="F8213" s="5"/>
      <c r="G8213" s="5"/>
      <c r="H8213" s="5"/>
      <c r="I8213" s="5"/>
      <c r="J8213" s="5"/>
      <c r="K8213" s="5"/>
      <c r="L8213" s="5"/>
    </row>
    <row r="8214" spans="1:12" ht="12" customHeight="1" x14ac:dyDescent="0.25">
      <c r="A8214" s="6"/>
      <c r="B8214" s="1"/>
      <c r="C8214" s="5"/>
      <c r="D8214" s="5"/>
      <c r="E8214" s="5"/>
      <c r="F8214" s="5"/>
      <c r="G8214" s="5"/>
      <c r="H8214" s="5"/>
      <c r="I8214" s="5"/>
      <c r="J8214" s="5"/>
      <c r="K8214" s="5"/>
      <c r="L8214" s="5"/>
    </row>
    <row r="8215" spans="1:12" ht="12" customHeight="1" x14ac:dyDescent="0.25">
      <c r="A8215" s="6"/>
      <c r="B8215" s="1"/>
      <c r="C8215" s="5"/>
      <c r="D8215" s="5"/>
      <c r="E8215" s="5"/>
      <c r="F8215" s="5"/>
      <c r="G8215" s="5"/>
      <c r="H8215" s="5"/>
      <c r="I8215" s="5"/>
      <c r="J8215" s="5"/>
      <c r="K8215" s="5"/>
      <c r="L8215" s="5"/>
    </row>
    <row r="8216" spans="1:12" ht="12" customHeight="1" x14ac:dyDescent="0.25">
      <c r="A8216" s="6"/>
      <c r="B8216" s="1"/>
      <c r="C8216" s="5"/>
      <c r="D8216" s="5"/>
      <c r="E8216" s="5"/>
      <c r="F8216" s="5"/>
      <c r="G8216" s="5"/>
      <c r="H8216" s="5"/>
      <c r="I8216" s="5"/>
      <c r="J8216" s="5"/>
      <c r="K8216" s="5"/>
      <c r="L8216" s="5"/>
    </row>
    <row r="8217" spans="1:12" ht="12" customHeight="1" x14ac:dyDescent="0.25">
      <c r="A8217" s="6"/>
      <c r="B8217" s="1"/>
      <c r="C8217" s="5"/>
      <c r="D8217" s="5"/>
      <c r="E8217" s="5"/>
      <c r="F8217" s="5"/>
      <c r="G8217" s="5"/>
      <c r="H8217" s="5"/>
      <c r="I8217" s="5"/>
      <c r="J8217" s="5"/>
      <c r="K8217" s="5"/>
      <c r="L8217" s="5"/>
    </row>
    <row r="8218" spans="1:12" ht="12" customHeight="1" x14ac:dyDescent="0.25">
      <c r="A8218" s="6"/>
      <c r="B8218" s="1"/>
      <c r="C8218" s="5"/>
      <c r="D8218" s="5"/>
      <c r="E8218" s="5"/>
      <c r="F8218" s="5"/>
      <c r="G8218" s="5"/>
      <c r="H8218" s="5"/>
      <c r="I8218" s="5"/>
      <c r="J8218" s="5"/>
      <c r="K8218" s="5"/>
      <c r="L8218" s="5"/>
    </row>
    <row r="8219" spans="1:12" ht="12" customHeight="1" x14ac:dyDescent="0.25">
      <c r="A8219" s="6"/>
      <c r="B8219" s="1"/>
      <c r="C8219" s="5"/>
      <c r="D8219" s="5"/>
      <c r="E8219" s="5"/>
      <c r="F8219" s="5"/>
      <c r="G8219" s="5"/>
      <c r="H8219" s="5"/>
      <c r="I8219" s="5"/>
      <c r="J8219" s="5"/>
      <c r="K8219" s="5"/>
      <c r="L8219" s="5"/>
    </row>
    <row r="8220" spans="1:12" ht="12" customHeight="1" x14ac:dyDescent="0.25">
      <c r="A8220" s="6"/>
      <c r="B8220" s="1"/>
      <c r="C8220" s="5"/>
      <c r="D8220" s="5"/>
      <c r="E8220" s="5"/>
      <c r="F8220" s="5"/>
      <c r="G8220" s="5"/>
      <c r="H8220" s="5"/>
      <c r="I8220" s="5"/>
      <c r="J8220" s="5"/>
      <c r="K8220" s="5"/>
      <c r="L8220" s="5"/>
    </row>
    <row r="8221" spans="1:12" ht="12" customHeight="1" x14ac:dyDescent="0.25">
      <c r="A8221" s="6"/>
      <c r="B8221" s="1"/>
      <c r="C8221" s="5"/>
      <c r="D8221" s="5"/>
      <c r="E8221" s="5"/>
      <c r="F8221" s="5"/>
      <c r="G8221" s="5"/>
      <c r="H8221" s="5"/>
      <c r="I8221" s="5"/>
      <c r="J8221" s="5"/>
      <c r="K8221" s="5"/>
      <c r="L8221" s="5"/>
    </row>
    <row r="8222" spans="1:12" ht="12" customHeight="1" x14ac:dyDescent="0.25">
      <c r="A8222" s="6"/>
      <c r="B8222" s="1"/>
      <c r="C8222" s="5"/>
      <c r="D8222" s="5"/>
      <c r="E8222" s="5"/>
      <c r="F8222" s="5"/>
      <c r="G8222" s="5"/>
      <c r="H8222" s="5"/>
      <c r="I8222" s="5"/>
      <c r="J8222" s="5"/>
      <c r="K8222" s="5"/>
      <c r="L8222" s="5"/>
    </row>
    <row r="8223" spans="1:12" ht="12" customHeight="1" x14ac:dyDescent="0.25">
      <c r="A8223" s="6"/>
      <c r="B8223" s="1"/>
      <c r="C8223" s="5"/>
      <c r="D8223" s="5"/>
      <c r="E8223" s="5"/>
      <c r="F8223" s="5"/>
      <c r="G8223" s="5"/>
      <c r="H8223" s="5"/>
      <c r="I8223" s="5"/>
      <c r="J8223" s="5"/>
      <c r="K8223" s="5"/>
      <c r="L8223" s="5"/>
    </row>
    <row r="8224" spans="1:12" ht="12" customHeight="1" x14ac:dyDescent="0.25">
      <c r="A8224" s="6"/>
      <c r="B8224" s="1"/>
      <c r="C8224" s="5"/>
      <c r="D8224" s="5"/>
      <c r="E8224" s="5"/>
      <c r="F8224" s="5"/>
      <c r="G8224" s="5"/>
      <c r="H8224" s="5"/>
      <c r="I8224" s="5"/>
      <c r="J8224" s="5"/>
      <c r="K8224" s="5"/>
      <c r="L8224" s="5"/>
    </row>
    <row r="8225" spans="1:12" ht="12" customHeight="1" x14ac:dyDescent="0.25">
      <c r="A8225" s="6"/>
      <c r="B8225" s="1"/>
      <c r="C8225" s="5"/>
      <c r="D8225" s="5"/>
      <c r="E8225" s="5"/>
      <c r="F8225" s="5"/>
      <c r="G8225" s="5"/>
      <c r="H8225" s="5"/>
      <c r="I8225" s="5"/>
      <c r="J8225" s="5"/>
      <c r="K8225" s="5"/>
      <c r="L8225" s="5"/>
    </row>
    <row r="8226" spans="1:12" ht="12" customHeight="1" x14ac:dyDescent="0.25">
      <c r="A8226" s="6"/>
      <c r="B8226" s="1"/>
      <c r="C8226" s="5"/>
      <c r="D8226" s="5"/>
      <c r="E8226" s="5"/>
      <c r="F8226" s="5"/>
      <c r="G8226" s="5"/>
      <c r="H8226" s="5"/>
      <c r="I8226" s="5"/>
      <c r="J8226" s="5"/>
      <c r="K8226" s="5"/>
      <c r="L8226" s="5"/>
    </row>
    <row r="8227" spans="1:12" ht="12" customHeight="1" x14ac:dyDescent="0.25">
      <c r="A8227" s="6"/>
      <c r="B8227" s="1"/>
      <c r="C8227" s="5"/>
      <c r="D8227" s="5"/>
      <c r="E8227" s="5"/>
      <c r="F8227" s="5"/>
      <c r="G8227" s="5"/>
      <c r="H8227" s="5"/>
      <c r="I8227" s="5"/>
      <c r="J8227" s="5"/>
      <c r="K8227" s="5"/>
      <c r="L8227" s="5"/>
    </row>
    <row r="8228" spans="1:12" ht="12" customHeight="1" x14ac:dyDescent="0.25">
      <c r="A8228" s="6"/>
      <c r="B8228" s="1"/>
      <c r="C8228" s="5"/>
      <c r="D8228" s="5"/>
      <c r="E8228" s="5"/>
      <c r="F8228" s="5"/>
      <c r="G8228" s="5"/>
      <c r="H8228" s="5"/>
      <c r="I8228" s="5"/>
      <c r="J8228" s="5"/>
      <c r="K8228" s="5"/>
      <c r="L8228" s="5"/>
    </row>
    <row r="8229" spans="1:12" ht="12" customHeight="1" x14ac:dyDescent="0.25">
      <c r="A8229" s="6"/>
      <c r="B8229" s="1"/>
      <c r="C8229" s="5"/>
      <c r="D8229" s="5"/>
      <c r="E8229" s="5"/>
      <c r="F8229" s="5"/>
      <c r="G8229" s="5"/>
      <c r="H8229" s="5"/>
      <c r="I8229" s="5"/>
      <c r="J8229" s="5"/>
      <c r="K8229" s="5"/>
      <c r="L8229" s="5"/>
    </row>
    <row r="8230" spans="1:12" ht="12" customHeight="1" x14ac:dyDescent="0.25">
      <c r="A8230" s="6"/>
      <c r="B8230" s="1"/>
      <c r="C8230" s="5"/>
      <c r="D8230" s="5"/>
      <c r="E8230" s="5"/>
      <c r="F8230" s="5"/>
      <c r="G8230" s="5"/>
      <c r="H8230" s="5"/>
      <c r="I8230" s="5"/>
      <c r="J8230" s="5"/>
      <c r="K8230" s="5"/>
      <c r="L8230" s="5"/>
    </row>
    <row r="8231" spans="1:12" ht="12" customHeight="1" x14ac:dyDescent="0.25">
      <c r="A8231" s="6"/>
      <c r="B8231" s="1"/>
      <c r="C8231" s="5"/>
      <c r="D8231" s="5"/>
      <c r="E8231" s="5"/>
      <c r="F8231" s="5"/>
      <c r="G8231" s="5"/>
      <c r="H8231" s="5"/>
      <c r="I8231" s="5"/>
      <c r="J8231" s="5"/>
      <c r="K8231" s="5"/>
      <c r="L8231" s="5"/>
    </row>
    <row r="8232" spans="1:12" ht="12" customHeight="1" x14ac:dyDescent="0.25">
      <c r="A8232" s="6"/>
      <c r="B8232" s="1"/>
      <c r="C8232" s="5"/>
      <c r="D8232" s="5"/>
      <c r="E8232" s="5"/>
      <c r="F8232" s="5"/>
      <c r="G8232" s="5"/>
      <c r="H8232" s="5"/>
      <c r="I8232" s="5"/>
      <c r="J8232" s="5"/>
      <c r="K8232" s="5"/>
      <c r="L8232" s="5"/>
    </row>
    <row r="8233" spans="1:12" ht="12" customHeight="1" x14ac:dyDescent="0.25">
      <c r="A8233" s="6"/>
      <c r="B8233" s="1"/>
      <c r="C8233" s="5"/>
      <c r="D8233" s="5"/>
      <c r="E8233" s="5"/>
      <c r="F8233" s="5"/>
      <c r="G8233" s="5"/>
      <c r="H8233" s="5"/>
      <c r="I8233" s="5"/>
      <c r="J8233" s="5"/>
      <c r="K8233" s="5"/>
      <c r="L8233" s="5"/>
    </row>
    <row r="8234" spans="1:12" ht="12" customHeight="1" x14ac:dyDescent="0.25">
      <c r="A8234" s="6"/>
      <c r="B8234" s="1"/>
      <c r="C8234" s="5"/>
      <c r="D8234" s="5"/>
      <c r="E8234" s="5"/>
      <c r="F8234" s="5"/>
      <c r="G8234" s="5"/>
      <c r="H8234" s="5"/>
      <c r="I8234" s="5"/>
      <c r="J8234" s="5"/>
      <c r="K8234" s="5"/>
      <c r="L8234" s="5"/>
    </row>
    <row r="8235" spans="1:12" ht="12" customHeight="1" x14ac:dyDescent="0.25">
      <c r="A8235" s="6"/>
      <c r="B8235" s="1"/>
      <c r="C8235" s="5"/>
      <c r="D8235" s="5"/>
      <c r="E8235" s="5"/>
      <c r="F8235" s="5"/>
      <c r="G8235" s="5"/>
      <c r="H8235" s="5"/>
      <c r="I8235" s="5"/>
      <c r="J8235" s="5"/>
      <c r="K8235" s="5"/>
      <c r="L8235" s="5"/>
    </row>
    <row r="8236" spans="1:12" ht="12" customHeight="1" x14ac:dyDescent="0.25">
      <c r="A8236" s="6"/>
      <c r="B8236" s="1"/>
      <c r="C8236" s="5"/>
      <c r="D8236" s="5"/>
      <c r="E8236" s="5"/>
      <c r="F8236" s="5"/>
      <c r="G8236" s="5"/>
      <c r="H8236" s="5"/>
      <c r="I8236" s="5"/>
      <c r="J8236" s="5"/>
      <c r="K8236" s="5"/>
      <c r="L8236" s="5"/>
    </row>
    <row r="8237" spans="1:12" ht="12" customHeight="1" x14ac:dyDescent="0.25">
      <c r="A8237" s="6"/>
      <c r="B8237" s="1"/>
      <c r="C8237" s="5"/>
      <c r="D8237" s="5"/>
      <c r="E8237" s="5"/>
      <c r="F8237" s="5"/>
      <c r="G8237" s="5"/>
      <c r="H8237" s="5"/>
      <c r="I8237" s="5"/>
      <c r="J8237" s="5"/>
      <c r="K8237" s="5"/>
      <c r="L8237" s="5"/>
    </row>
    <row r="8238" spans="1:12" ht="12" customHeight="1" x14ac:dyDescent="0.25">
      <c r="A8238" s="6"/>
      <c r="B8238" s="1"/>
      <c r="C8238" s="5"/>
      <c r="D8238" s="5"/>
      <c r="E8238" s="5"/>
      <c r="F8238" s="5"/>
      <c r="G8238" s="5"/>
      <c r="H8238" s="5"/>
      <c r="I8238" s="5"/>
      <c r="J8238" s="5"/>
      <c r="K8238" s="5"/>
      <c r="L8238" s="5"/>
    </row>
    <row r="8239" spans="1:12" ht="12" customHeight="1" x14ac:dyDescent="0.25">
      <c r="A8239" s="6"/>
      <c r="B8239" s="1"/>
      <c r="C8239" s="5"/>
      <c r="D8239" s="5"/>
      <c r="E8239" s="5"/>
      <c r="F8239" s="5"/>
      <c r="G8239" s="5"/>
      <c r="H8239" s="5"/>
      <c r="I8239" s="5"/>
      <c r="J8239" s="5"/>
      <c r="K8239" s="5"/>
      <c r="L8239" s="5"/>
    </row>
    <row r="8240" spans="1:12" ht="12" customHeight="1" x14ac:dyDescent="0.25">
      <c r="A8240" s="6"/>
      <c r="B8240" s="1"/>
      <c r="C8240" s="5"/>
      <c r="D8240" s="5"/>
      <c r="E8240" s="5"/>
      <c r="F8240" s="5"/>
      <c r="G8240" s="5"/>
      <c r="H8240" s="5"/>
      <c r="I8240" s="5"/>
      <c r="J8240" s="5"/>
      <c r="K8240" s="5"/>
      <c r="L8240" s="5"/>
    </row>
    <row r="8241" spans="1:12" ht="12" customHeight="1" x14ac:dyDescent="0.25">
      <c r="A8241" s="6"/>
      <c r="B8241" s="1"/>
      <c r="C8241" s="5"/>
      <c r="D8241" s="5"/>
      <c r="E8241" s="5"/>
      <c r="F8241" s="5"/>
      <c r="G8241" s="5"/>
      <c r="H8241" s="5"/>
      <c r="I8241" s="5"/>
      <c r="J8241" s="5"/>
      <c r="K8241" s="5"/>
      <c r="L8241" s="5"/>
    </row>
    <row r="8242" spans="1:12" ht="12" customHeight="1" x14ac:dyDescent="0.25">
      <c r="A8242" s="6"/>
      <c r="B8242" s="1"/>
      <c r="C8242" s="5"/>
      <c r="D8242" s="5"/>
      <c r="E8242" s="5"/>
      <c r="F8242" s="5"/>
      <c r="G8242" s="5"/>
      <c r="H8242" s="5"/>
      <c r="I8242" s="5"/>
      <c r="J8242" s="5"/>
      <c r="K8242" s="5"/>
      <c r="L8242" s="5"/>
    </row>
    <row r="8243" spans="1:12" ht="12" customHeight="1" x14ac:dyDescent="0.25">
      <c r="A8243" s="6"/>
      <c r="B8243" s="1"/>
      <c r="C8243" s="5"/>
      <c r="D8243" s="5"/>
      <c r="E8243" s="5"/>
      <c r="F8243" s="5"/>
      <c r="G8243" s="5"/>
      <c r="H8243" s="5"/>
      <c r="I8243" s="5"/>
      <c r="J8243" s="5"/>
      <c r="K8243" s="5"/>
      <c r="L8243" s="5"/>
    </row>
    <row r="8244" spans="1:12" ht="12" customHeight="1" x14ac:dyDescent="0.25">
      <c r="A8244" s="6"/>
      <c r="B8244" s="1"/>
      <c r="C8244" s="5"/>
      <c r="D8244" s="5"/>
      <c r="E8244" s="5"/>
      <c r="F8244" s="5"/>
      <c r="G8244" s="5"/>
      <c r="H8244" s="5"/>
      <c r="I8244" s="5"/>
      <c r="J8244" s="5"/>
      <c r="K8244" s="5"/>
      <c r="L8244" s="5"/>
    </row>
    <row r="8245" spans="1:12" ht="12" customHeight="1" x14ac:dyDescent="0.25">
      <c r="A8245" s="6"/>
      <c r="B8245" s="1"/>
      <c r="C8245" s="5"/>
      <c r="D8245" s="5"/>
      <c r="E8245" s="5"/>
      <c r="F8245" s="5"/>
      <c r="G8245" s="5"/>
      <c r="H8245" s="5"/>
      <c r="I8245" s="5"/>
      <c r="J8245" s="5"/>
      <c r="K8245" s="5"/>
      <c r="L8245" s="5"/>
    </row>
    <row r="8246" spans="1:12" ht="12" customHeight="1" x14ac:dyDescent="0.25">
      <c r="A8246" s="6"/>
      <c r="B8246" s="1"/>
      <c r="C8246" s="5"/>
      <c r="D8246" s="5"/>
      <c r="E8246" s="5"/>
      <c r="F8246" s="5"/>
      <c r="G8246" s="5"/>
      <c r="H8246" s="5"/>
      <c r="I8246" s="5"/>
      <c r="J8246" s="5"/>
      <c r="K8246" s="5"/>
      <c r="L8246" s="5"/>
    </row>
    <row r="8247" spans="1:12" ht="12" customHeight="1" x14ac:dyDescent="0.25">
      <c r="A8247" s="6"/>
      <c r="B8247" s="1"/>
      <c r="C8247" s="5"/>
      <c r="D8247" s="5"/>
      <c r="E8247" s="5"/>
      <c r="F8247" s="5"/>
      <c r="G8247" s="5"/>
      <c r="H8247" s="5"/>
      <c r="I8247" s="5"/>
      <c r="J8247" s="5"/>
      <c r="K8247" s="5"/>
      <c r="L8247" s="5"/>
    </row>
    <row r="8248" spans="1:12" ht="12" customHeight="1" x14ac:dyDescent="0.25">
      <c r="A8248" s="6"/>
      <c r="B8248" s="1"/>
      <c r="C8248" s="5"/>
      <c r="D8248" s="5"/>
      <c r="E8248" s="5"/>
      <c r="F8248" s="5"/>
      <c r="G8248" s="5"/>
      <c r="H8248" s="5"/>
      <c r="I8248" s="5"/>
      <c r="J8248" s="5"/>
      <c r="K8248" s="5"/>
      <c r="L8248" s="5"/>
    </row>
    <row r="8249" spans="1:12" ht="12" customHeight="1" x14ac:dyDescent="0.25">
      <c r="A8249" s="6"/>
      <c r="B8249" s="1"/>
      <c r="C8249" s="5"/>
      <c r="D8249" s="5"/>
      <c r="E8249" s="5"/>
      <c r="F8249" s="5"/>
      <c r="G8249" s="5"/>
      <c r="H8249" s="5"/>
      <c r="I8249" s="5"/>
      <c r="J8249" s="5"/>
      <c r="K8249" s="5"/>
      <c r="L8249" s="5"/>
    </row>
    <row r="8250" spans="1:12" ht="12" customHeight="1" x14ac:dyDescent="0.25">
      <c r="A8250" s="6"/>
      <c r="B8250" s="1"/>
      <c r="C8250" s="5"/>
      <c r="D8250" s="5"/>
      <c r="E8250" s="5"/>
      <c r="F8250" s="5"/>
      <c r="G8250" s="5"/>
      <c r="H8250" s="5"/>
      <c r="I8250" s="5"/>
      <c r="J8250" s="5"/>
      <c r="K8250" s="5"/>
      <c r="L8250" s="5"/>
    </row>
    <row r="8251" spans="1:12" ht="12" customHeight="1" x14ac:dyDescent="0.25">
      <c r="A8251" s="6"/>
      <c r="B8251" s="1"/>
      <c r="C8251" s="5"/>
      <c r="D8251" s="5"/>
      <c r="E8251" s="5"/>
      <c r="F8251" s="5"/>
      <c r="G8251" s="5"/>
      <c r="H8251" s="5"/>
      <c r="I8251" s="5"/>
      <c r="J8251" s="5"/>
      <c r="K8251" s="5"/>
      <c r="L8251" s="5"/>
    </row>
    <row r="8252" spans="1:12" ht="12" customHeight="1" x14ac:dyDescent="0.25">
      <c r="A8252" s="6"/>
      <c r="B8252" s="1"/>
      <c r="C8252" s="5"/>
      <c r="D8252" s="5"/>
      <c r="E8252" s="5"/>
      <c r="F8252" s="5"/>
      <c r="G8252" s="5"/>
      <c r="H8252" s="5"/>
      <c r="I8252" s="5"/>
      <c r="J8252" s="5"/>
      <c r="K8252" s="5"/>
      <c r="L8252" s="5"/>
    </row>
    <row r="8253" spans="1:12" ht="12" customHeight="1" x14ac:dyDescent="0.25">
      <c r="A8253" s="6"/>
      <c r="B8253" s="1"/>
      <c r="C8253" s="5"/>
      <c r="D8253" s="5"/>
      <c r="E8253" s="5"/>
      <c r="F8253" s="5"/>
      <c r="G8253" s="5"/>
      <c r="H8253" s="5"/>
      <c r="I8253" s="5"/>
      <c r="J8253" s="5"/>
      <c r="K8253" s="5"/>
      <c r="L8253" s="5"/>
    </row>
    <row r="8254" spans="1:12" ht="12" customHeight="1" x14ac:dyDescent="0.25">
      <c r="A8254" s="6"/>
      <c r="B8254" s="1"/>
      <c r="C8254" s="5"/>
      <c r="D8254" s="5"/>
      <c r="E8254" s="5"/>
      <c r="F8254" s="5"/>
      <c r="G8254" s="5"/>
      <c r="H8254" s="5"/>
      <c r="I8254" s="5"/>
      <c r="J8254" s="5"/>
      <c r="K8254" s="5"/>
      <c r="L8254" s="5"/>
    </row>
    <row r="8255" spans="1:12" ht="12" customHeight="1" x14ac:dyDescent="0.25">
      <c r="A8255" s="6"/>
      <c r="B8255" s="1"/>
      <c r="C8255" s="5"/>
      <c r="D8255" s="5"/>
      <c r="E8255" s="5"/>
      <c r="F8255" s="5"/>
      <c r="G8255" s="5"/>
      <c r="H8255" s="5"/>
      <c r="I8255" s="5"/>
      <c r="J8255" s="5"/>
      <c r="K8255" s="5"/>
      <c r="L8255" s="5"/>
    </row>
    <row r="8256" spans="1:12" ht="12" customHeight="1" x14ac:dyDescent="0.25">
      <c r="A8256" s="6"/>
      <c r="B8256" s="1"/>
      <c r="C8256" s="5"/>
      <c r="D8256" s="5"/>
      <c r="E8256" s="5"/>
      <c r="F8256" s="5"/>
      <c r="G8256" s="5"/>
      <c r="H8256" s="5"/>
      <c r="I8256" s="5"/>
      <c r="J8256" s="5"/>
      <c r="K8256" s="5"/>
      <c r="L8256" s="5"/>
    </row>
    <row r="8257" spans="1:12" ht="12" customHeight="1" x14ac:dyDescent="0.25">
      <c r="A8257" s="6"/>
      <c r="B8257" s="1"/>
      <c r="C8257" s="5"/>
      <c r="D8257" s="5"/>
      <c r="E8257" s="5"/>
      <c r="F8257" s="5"/>
      <c r="G8257" s="5"/>
      <c r="H8257" s="5"/>
      <c r="I8257" s="5"/>
      <c r="J8257" s="5"/>
      <c r="K8257" s="5"/>
      <c r="L8257" s="5"/>
    </row>
    <row r="8258" spans="1:12" ht="12" customHeight="1" x14ac:dyDescent="0.25">
      <c r="A8258" s="6"/>
      <c r="B8258" s="1"/>
      <c r="C8258" s="5"/>
      <c r="D8258" s="5"/>
      <c r="E8258" s="5"/>
      <c r="F8258" s="5"/>
      <c r="G8258" s="5"/>
      <c r="H8258" s="5"/>
      <c r="I8258" s="5"/>
      <c r="J8258" s="5"/>
      <c r="K8258" s="5"/>
      <c r="L8258" s="5"/>
    </row>
    <row r="8259" spans="1:12" ht="12" customHeight="1" x14ac:dyDescent="0.25">
      <c r="A8259" s="6"/>
      <c r="B8259" s="1"/>
      <c r="C8259" s="5"/>
      <c r="D8259" s="5"/>
      <c r="E8259" s="5"/>
      <c r="F8259" s="5"/>
      <c r="G8259" s="5"/>
      <c r="H8259" s="5"/>
      <c r="I8259" s="5"/>
      <c r="J8259" s="5"/>
      <c r="K8259" s="5"/>
      <c r="L8259" s="5"/>
    </row>
    <row r="8260" spans="1:12" ht="12" customHeight="1" x14ac:dyDescent="0.25">
      <c r="A8260" s="6"/>
      <c r="B8260" s="1"/>
      <c r="C8260" s="5"/>
      <c r="D8260" s="5"/>
      <c r="E8260" s="5"/>
      <c r="F8260" s="5"/>
      <c r="G8260" s="5"/>
      <c r="H8260" s="5"/>
      <c r="I8260" s="5"/>
      <c r="J8260" s="5"/>
      <c r="K8260" s="5"/>
      <c r="L8260" s="5"/>
    </row>
    <row r="8261" spans="1:12" ht="12" customHeight="1" x14ac:dyDescent="0.25">
      <c r="A8261" s="6"/>
      <c r="B8261" s="1"/>
      <c r="C8261" s="5"/>
      <c r="D8261" s="5"/>
      <c r="E8261" s="5"/>
      <c r="F8261" s="5"/>
      <c r="G8261" s="5"/>
      <c r="H8261" s="5"/>
      <c r="I8261" s="5"/>
      <c r="J8261" s="5"/>
      <c r="K8261" s="5"/>
      <c r="L8261" s="5"/>
    </row>
    <row r="8262" spans="1:12" ht="12" customHeight="1" x14ac:dyDescent="0.25">
      <c r="A8262" s="6"/>
      <c r="B8262" s="1"/>
      <c r="C8262" s="5"/>
      <c r="D8262" s="5"/>
      <c r="E8262" s="5"/>
      <c r="F8262" s="5"/>
      <c r="G8262" s="5"/>
      <c r="H8262" s="5"/>
      <c r="I8262" s="5"/>
      <c r="J8262" s="5"/>
      <c r="K8262" s="5"/>
      <c r="L8262" s="5"/>
    </row>
    <row r="8263" spans="1:12" ht="12" customHeight="1" x14ac:dyDescent="0.25">
      <c r="A8263" s="6"/>
      <c r="B8263" s="1"/>
      <c r="C8263" s="5"/>
      <c r="D8263" s="5"/>
      <c r="E8263" s="5"/>
      <c r="F8263" s="5"/>
      <c r="G8263" s="5"/>
      <c r="H8263" s="5"/>
      <c r="I8263" s="5"/>
      <c r="J8263" s="5"/>
      <c r="K8263" s="5"/>
      <c r="L8263" s="5"/>
    </row>
    <row r="8264" spans="1:12" ht="12" customHeight="1" x14ac:dyDescent="0.25">
      <c r="A8264" s="6"/>
      <c r="B8264" s="1"/>
      <c r="C8264" s="5"/>
      <c r="D8264" s="5"/>
      <c r="E8264" s="5"/>
      <c r="F8264" s="5"/>
      <c r="G8264" s="5"/>
      <c r="H8264" s="5"/>
      <c r="I8264" s="5"/>
      <c r="J8264" s="5"/>
      <c r="K8264" s="5"/>
      <c r="L8264" s="5"/>
    </row>
    <row r="8265" spans="1:12" ht="12" customHeight="1" x14ac:dyDescent="0.25">
      <c r="A8265" s="6"/>
      <c r="B8265" s="1"/>
      <c r="C8265" s="5"/>
      <c r="D8265" s="5"/>
      <c r="E8265" s="5"/>
      <c r="F8265" s="5"/>
      <c r="G8265" s="5"/>
      <c r="H8265" s="5"/>
      <c r="I8265" s="5"/>
      <c r="J8265" s="5"/>
      <c r="K8265" s="5"/>
      <c r="L8265" s="5"/>
    </row>
    <row r="8266" spans="1:12" ht="12" customHeight="1" x14ac:dyDescent="0.25">
      <c r="A8266" s="6"/>
      <c r="B8266" s="1"/>
      <c r="C8266" s="5"/>
      <c r="D8266" s="5"/>
      <c r="E8266" s="5"/>
      <c r="F8266" s="5"/>
      <c r="G8266" s="5"/>
      <c r="H8266" s="5"/>
      <c r="I8266" s="5"/>
      <c r="J8266" s="5"/>
      <c r="K8266" s="5"/>
      <c r="L8266" s="5"/>
    </row>
    <row r="8267" spans="1:12" ht="12" customHeight="1" x14ac:dyDescent="0.25">
      <c r="A8267" s="6"/>
      <c r="B8267" s="1"/>
      <c r="C8267" s="5"/>
      <c r="D8267" s="5"/>
      <c r="E8267" s="5"/>
      <c r="F8267" s="5"/>
      <c r="G8267" s="5"/>
      <c r="H8267" s="5"/>
      <c r="I8267" s="5"/>
      <c r="J8267" s="5"/>
      <c r="K8267" s="5"/>
      <c r="L8267" s="5"/>
    </row>
    <row r="8268" spans="1:12" ht="12" customHeight="1" x14ac:dyDescent="0.25">
      <c r="A8268" s="6"/>
      <c r="B8268" s="1"/>
      <c r="C8268" s="5"/>
      <c r="D8268" s="5"/>
      <c r="E8268" s="5"/>
      <c r="F8268" s="5"/>
      <c r="G8268" s="5"/>
      <c r="H8268" s="5"/>
      <c r="I8268" s="5"/>
      <c r="J8268" s="5"/>
      <c r="K8268" s="5"/>
      <c r="L8268" s="5"/>
    </row>
    <row r="8269" spans="1:12" ht="12" customHeight="1" x14ac:dyDescent="0.25">
      <c r="A8269" s="6"/>
      <c r="B8269" s="1"/>
      <c r="C8269" s="5"/>
      <c r="D8269" s="5"/>
      <c r="E8269" s="5"/>
      <c r="F8269" s="5"/>
      <c r="G8269" s="5"/>
      <c r="H8269" s="5"/>
      <c r="I8269" s="5"/>
      <c r="J8269" s="5"/>
      <c r="K8269" s="5"/>
      <c r="L8269" s="5"/>
    </row>
    <row r="8270" spans="1:12" ht="12" customHeight="1" x14ac:dyDescent="0.25">
      <c r="A8270" s="6"/>
      <c r="B8270" s="1"/>
      <c r="C8270" s="5"/>
      <c r="D8270" s="5"/>
      <c r="E8270" s="5"/>
      <c r="F8270" s="5"/>
      <c r="G8270" s="5"/>
      <c r="H8270" s="5"/>
      <c r="I8270" s="5"/>
      <c r="J8270" s="5"/>
      <c r="K8270" s="5"/>
      <c r="L8270" s="5"/>
    </row>
    <row r="8271" spans="1:12" ht="12" customHeight="1" x14ac:dyDescent="0.25">
      <c r="A8271" s="6"/>
      <c r="B8271" s="1"/>
      <c r="C8271" s="5"/>
      <c r="D8271" s="5"/>
      <c r="E8271" s="5"/>
      <c r="F8271" s="5"/>
      <c r="G8271" s="5"/>
      <c r="H8271" s="5"/>
      <c r="I8271" s="5"/>
      <c r="J8271" s="5"/>
      <c r="K8271" s="5"/>
      <c r="L8271" s="5"/>
    </row>
    <row r="8272" spans="1:12" ht="12" customHeight="1" x14ac:dyDescent="0.25">
      <c r="A8272" s="6"/>
      <c r="B8272" s="1"/>
      <c r="C8272" s="5"/>
      <c r="D8272" s="5"/>
      <c r="E8272" s="5"/>
      <c r="F8272" s="5"/>
      <c r="G8272" s="5"/>
      <c r="H8272" s="5"/>
      <c r="I8272" s="5"/>
      <c r="J8272" s="5"/>
      <c r="K8272" s="5"/>
      <c r="L8272" s="5"/>
    </row>
    <row r="8273" spans="1:12" ht="12" customHeight="1" x14ac:dyDescent="0.25">
      <c r="A8273" s="6"/>
      <c r="B8273" s="1"/>
      <c r="C8273" s="5"/>
      <c r="D8273" s="5"/>
      <c r="E8273" s="5"/>
      <c r="F8273" s="5"/>
      <c r="G8273" s="5"/>
      <c r="H8273" s="5"/>
      <c r="I8273" s="5"/>
      <c r="J8273" s="5"/>
      <c r="K8273" s="5"/>
      <c r="L8273" s="5"/>
    </row>
    <row r="8274" spans="1:12" ht="12" customHeight="1" x14ac:dyDescent="0.25">
      <c r="A8274" s="6"/>
      <c r="B8274" s="1"/>
      <c r="C8274" s="5"/>
      <c r="D8274" s="5"/>
      <c r="E8274" s="5"/>
      <c r="F8274" s="5"/>
      <c r="G8274" s="5"/>
      <c r="H8274" s="5"/>
      <c r="I8274" s="5"/>
      <c r="J8274" s="5"/>
      <c r="K8274" s="5"/>
      <c r="L8274" s="5"/>
    </row>
    <row r="8275" spans="1:12" ht="12" customHeight="1" x14ac:dyDescent="0.25">
      <c r="A8275" s="6"/>
      <c r="B8275" s="1"/>
      <c r="C8275" s="5"/>
      <c r="D8275" s="5"/>
      <c r="E8275" s="5"/>
      <c r="F8275" s="5"/>
      <c r="G8275" s="5"/>
      <c r="H8275" s="5"/>
      <c r="I8275" s="5"/>
      <c r="J8275" s="5"/>
      <c r="K8275" s="5"/>
      <c r="L8275" s="5"/>
    </row>
    <row r="8276" spans="1:12" ht="12" customHeight="1" x14ac:dyDescent="0.25">
      <c r="A8276" s="6"/>
      <c r="B8276" s="1"/>
      <c r="C8276" s="5"/>
      <c r="D8276" s="5"/>
      <c r="E8276" s="5"/>
      <c r="F8276" s="5"/>
      <c r="G8276" s="5"/>
      <c r="H8276" s="5"/>
      <c r="I8276" s="5"/>
      <c r="J8276" s="5"/>
      <c r="K8276" s="5"/>
      <c r="L8276" s="5"/>
    </row>
    <row r="8277" spans="1:12" ht="12" customHeight="1" x14ac:dyDescent="0.25">
      <c r="A8277" s="6"/>
      <c r="B8277" s="1"/>
      <c r="C8277" s="5"/>
      <c r="D8277" s="5"/>
      <c r="E8277" s="5"/>
      <c r="F8277" s="5"/>
      <c r="G8277" s="5"/>
      <c r="H8277" s="5"/>
      <c r="I8277" s="5"/>
      <c r="J8277" s="5"/>
      <c r="K8277" s="5"/>
      <c r="L8277" s="5"/>
    </row>
    <row r="8278" spans="1:12" ht="12" customHeight="1" x14ac:dyDescent="0.25">
      <c r="A8278" s="6"/>
      <c r="B8278" s="1"/>
      <c r="C8278" s="5"/>
      <c r="D8278" s="5"/>
      <c r="E8278" s="5"/>
      <c r="F8278" s="5"/>
      <c r="G8278" s="5"/>
      <c r="H8278" s="5"/>
      <c r="I8278" s="5"/>
      <c r="J8278" s="5"/>
      <c r="K8278" s="5"/>
      <c r="L8278" s="5"/>
    </row>
    <row r="8279" spans="1:12" ht="12" customHeight="1" x14ac:dyDescent="0.25">
      <c r="A8279" s="6"/>
      <c r="B8279" s="1"/>
      <c r="C8279" s="5"/>
      <c r="D8279" s="5"/>
      <c r="E8279" s="5"/>
      <c r="F8279" s="5"/>
      <c r="G8279" s="5"/>
      <c r="H8279" s="5"/>
      <c r="I8279" s="5"/>
      <c r="J8279" s="5"/>
      <c r="K8279" s="5"/>
      <c r="L8279" s="5"/>
    </row>
    <row r="8280" spans="1:12" ht="12" customHeight="1" x14ac:dyDescent="0.25">
      <c r="A8280" s="6"/>
      <c r="B8280" s="1"/>
      <c r="C8280" s="5"/>
      <c r="D8280" s="5"/>
      <c r="E8280" s="5"/>
      <c r="F8280" s="5"/>
      <c r="G8280" s="5"/>
      <c r="H8280" s="5"/>
      <c r="I8280" s="5"/>
      <c r="J8280" s="5"/>
      <c r="K8280" s="5"/>
      <c r="L8280" s="5"/>
    </row>
    <row r="8281" spans="1:12" ht="12" customHeight="1" x14ac:dyDescent="0.25">
      <c r="A8281" s="6"/>
      <c r="B8281" s="1"/>
      <c r="C8281" s="5"/>
      <c r="D8281" s="5"/>
      <c r="E8281" s="5"/>
      <c r="F8281" s="5"/>
      <c r="G8281" s="5"/>
      <c r="H8281" s="5"/>
      <c r="I8281" s="5"/>
      <c r="J8281" s="5"/>
      <c r="K8281" s="5"/>
      <c r="L8281" s="5"/>
    </row>
    <row r="8282" spans="1:12" ht="12" customHeight="1" x14ac:dyDescent="0.25">
      <c r="A8282" s="6"/>
      <c r="B8282" s="1"/>
      <c r="C8282" s="5"/>
      <c r="D8282" s="5"/>
      <c r="E8282" s="5"/>
      <c r="F8282" s="5"/>
      <c r="G8282" s="5"/>
      <c r="H8282" s="5"/>
      <c r="I8282" s="5"/>
      <c r="J8282" s="5"/>
      <c r="K8282" s="5"/>
      <c r="L8282" s="5"/>
    </row>
    <row r="8283" spans="1:12" ht="12" customHeight="1" x14ac:dyDescent="0.25">
      <c r="A8283" s="6"/>
      <c r="B8283" s="1"/>
      <c r="C8283" s="5"/>
      <c r="D8283" s="5"/>
      <c r="E8283" s="5"/>
      <c r="F8283" s="5"/>
      <c r="G8283" s="5"/>
      <c r="H8283" s="5"/>
      <c r="I8283" s="5"/>
      <c r="J8283" s="5"/>
      <c r="K8283" s="5"/>
      <c r="L8283" s="5"/>
    </row>
    <row r="8284" spans="1:12" ht="12" customHeight="1" x14ac:dyDescent="0.25">
      <c r="A8284" s="6"/>
      <c r="B8284" s="1"/>
      <c r="C8284" s="5"/>
      <c r="D8284" s="5"/>
      <c r="E8284" s="5"/>
      <c r="F8284" s="5"/>
      <c r="G8284" s="5"/>
      <c r="H8284" s="5"/>
      <c r="I8284" s="5"/>
      <c r="J8284" s="5"/>
      <c r="K8284" s="5"/>
      <c r="L8284" s="5"/>
    </row>
    <row r="8285" spans="1:12" ht="12" customHeight="1" x14ac:dyDescent="0.25">
      <c r="A8285" s="6"/>
      <c r="B8285" s="1"/>
      <c r="C8285" s="5"/>
      <c r="D8285" s="5"/>
      <c r="E8285" s="5"/>
      <c r="F8285" s="5"/>
      <c r="G8285" s="5"/>
      <c r="H8285" s="5"/>
      <c r="I8285" s="5"/>
      <c r="J8285" s="5"/>
      <c r="K8285" s="5"/>
      <c r="L8285" s="5"/>
    </row>
    <row r="8286" spans="1:12" ht="12" customHeight="1" x14ac:dyDescent="0.25">
      <c r="A8286" s="6"/>
      <c r="B8286" s="1"/>
      <c r="C8286" s="5"/>
      <c r="D8286" s="5"/>
      <c r="E8286" s="5"/>
      <c r="F8286" s="5"/>
      <c r="G8286" s="5"/>
      <c r="H8286" s="5"/>
      <c r="I8286" s="5"/>
      <c r="J8286" s="5"/>
      <c r="K8286" s="5"/>
      <c r="L8286" s="5"/>
    </row>
    <row r="8287" spans="1:12" ht="12" customHeight="1" x14ac:dyDescent="0.25">
      <c r="A8287" s="6"/>
      <c r="B8287" s="1"/>
      <c r="C8287" s="5"/>
      <c r="D8287" s="5"/>
      <c r="E8287" s="5"/>
      <c r="F8287" s="5"/>
      <c r="G8287" s="5"/>
      <c r="H8287" s="5"/>
      <c r="I8287" s="5"/>
      <c r="J8287" s="5"/>
      <c r="K8287" s="5"/>
      <c r="L8287" s="5"/>
    </row>
    <row r="8288" spans="1:12" ht="12" customHeight="1" x14ac:dyDescent="0.25">
      <c r="A8288" s="6"/>
      <c r="B8288" s="1"/>
      <c r="C8288" s="5"/>
      <c r="D8288" s="5"/>
      <c r="E8288" s="5"/>
      <c r="F8288" s="5"/>
      <c r="G8288" s="5"/>
      <c r="H8288" s="5"/>
      <c r="I8288" s="5"/>
      <c r="J8288" s="5"/>
      <c r="K8288" s="5"/>
      <c r="L8288" s="5"/>
    </row>
    <row r="8289" spans="1:12" ht="12" customHeight="1" x14ac:dyDescent="0.25">
      <c r="A8289" s="6"/>
      <c r="B8289" s="1"/>
      <c r="C8289" s="5"/>
      <c r="D8289" s="5"/>
      <c r="E8289" s="5"/>
      <c r="F8289" s="5"/>
      <c r="G8289" s="5"/>
      <c r="H8289" s="5"/>
      <c r="I8289" s="5"/>
      <c r="J8289" s="5"/>
      <c r="K8289" s="5"/>
      <c r="L8289" s="5"/>
    </row>
    <row r="8290" spans="1:12" ht="12" customHeight="1" x14ac:dyDescent="0.25">
      <c r="A8290" s="6"/>
      <c r="B8290" s="1"/>
      <c r="C8290" s="5"/>
      <c r="D8290" s="5"/>
      <c r="E8290" s="5"/>
      <c r="F8290" s="5"/>
      <c r="G8290" s="5"/>
      <c r="H8290" s="5"/>
      <c r="I8290" s="5"/>
      <c r="J8290" s="5"/>
      <c r="K8290" s="5"/>
      <c r="L8290" s="5"/>
    </row>
    <row r="8291" spans="1:12" ht="12" customHeight="1" x14ac:dyDescent="0.25">
      <c r="A8291" s="6"/>
      <c r="B8291" s="1"/>
      <c r="C8291" s="5"/>
      <c r="D8291" s="5"/>
      <c r="E8291" s="5"/>
      <c r="F8291" s="5"/>
      <c r="G8291" s="5"/>
      <c r="H8291" s="5"/>
      <c r="I8291" s="5"/>
      <c r="J8291" s="5"/>
      <c r="K8291" s="5"/>
      <c r="L8291" s="5"/>
    </row>
    <row r="8292" spans="1:12" ht="12" customHeight="1" x14ac:dyDescent="0.25">
      <c r="A8292" s="6"/>
      <c r="B8292" s="1"/>
      <c r="C8292" s="5"/>
      <c r="D8292" s="5"/>
      <c r="E8292" s="5"/>
      <c r="F8292" s="5"/>
      <c r="G8292" s="5"/>
      <c r="H8292" s="5"/>
      <c r="I8292" s="5"/>
      <c r="J8292" s="5"/>
      <c r="K8292" s="5"/>
      <c r="L8292" s="5"/>
    </row>
    <row r="8293" spans="1:12" ht="12" customHeight="1" x14ac:dyDescent="0.25">
      <c r="A8293" s="6"/>
      <c r="B8293" s="1"/>
      <c r="C8293" s="5"/>
      <c r="D8293" s="5"/>
      <c r="E8293" s="5"/>
      <c r="F8293" s="5"/>
      <c r="G8293" s="5"/>
      <c r="H8293" s="5"/>
      <c r="I8293" s="5"/>
      <c r="J8293" s="5"/>
      <c r="K8293" s="5"/>
      <c r="L8293" s="5"/>
    </row>
    <row r="8294" spans="1:12" ht="12" customHeight="1" x14ac:dyDescent="0.25">
      <c r="A8294" s="6"/>
      <c r="B8294" s="1"/>
      <c r="C8294" s="5"/>
      <c r="D8294" s="5"/>
      <c r="E8294" s="5"/>
      <c r="F8294" s="5"/>
      <c r="G8294" s="5"/>
      <c r="H8294" s="5"/>
      <c r="I8294" s="5"/>
      <c r="J8294" s="5"/>
      <c r="K8294" s="5"/>
      <c r="L8294" s="5"/>
    </row>
    <row r="8295" spans="1:12" ht="12" customHeight="1" x14ac:dyDescent="0.25">
      <c r="A8295" s="6"/>
      <c r="B8295" s="1"/>
      <c r="C8295" s="5"/>
      <c r="D8295" s="5"/>
      <c r="E8295" s="5"/>
      <c r="F8295" s="5"/>
      <c r="G8295" s="5"/>
      <c r="H8295" s="5"/>
      <c r="I8295" s="5"/>
      <c r="J8295" s="5"/>
      <c r="K8295" s="5"/>
      <c r="L8295" s="5"/>
    </row>
    <row r="8296" spans="1:12" ht="12" customHeight="1" x14ac:dyDescent="0.25">
      <c r="A8296" s="6"/>
      <c r="B8296" s="1"/>
      <c r="C8296" s="5"/>
      <c r="D8296" s="5"/>
      <c r="E8296" s="5"/>
      <c r="F8296" s="5"/>
      <c r="G8296" s="5"/>
      <c r="H8296" s="5"/>
      <c r="I8296" s="5"/>
      <c r="J8296" s="5"/>
      <c r="K8296" s="5"/>
      <c r="L8296" s="5"/>
    </row>
    <row r="8297" spans="1:12" ht="12" customHeight="1" x14ac:dyDescent="0.25">
      <c r="A8297" s="6"/>
      <c r="B8297" s="1"/>
      <c r="C8297" s="5"/>
      <c r="D8297" s="5"/>
      <c r="E8297" s="5"/>
      <c r="F8297" s="5"/>
      <c r="G8297" s="5"/>
      <c r="H8297" s="5"/>
      <c r="I8297" s="5"/>
      <c r="J8297" s="5"/>
      <c r="K8297" s="5"/>
      <c r="L8297" s="5"/>
    </row>
    <row r="8298" spans="1:12" ht="12" customHeight="1" x14ac:dyDescent="0.25">
      <c r="A8298" s="6"/>
      <c r="B8298" s="1"/>
      <c r="C8298" s="5"/>
      <c r="D8298" s="5"/>
      <c r="E8298" s="5"/>
      <c r="F8298" s="5"/>
      <c r="G8298" s="5"/>
      <c r="H8298" s="5"/>
      <c r="I8298" s="5"/>
      <c r="J8298" s="5"/>
      <c r="K8298" s="5"/>
      <c r="L8298" s="5"/>
    </row>
    <row r="8299" spans="1:12" ht="12" customHeight="1" x14ac:dyDescent="0.25">
      <c r="A8299" s="6"/>
      <c r="B8299" s="1"/>
      <c r="C8299" s="5"/>
      <c r="D8299" s="5"/>
      <c r="E8299" s="5"/>
      <c r="F8299" s="5"/>
      <c r="G8299" s="5"/>
      <c r="H8299" s="5"/>
      <c r="I8299" s="5"/>
      <c r="J8299" s="5"/>
      <c r="K8299" s="5"/>
      <c r="L8299" s="5"/>
    </row>
    <row r="8300" spans="1:12" ht="12" customHeight="1" x14ac:dyDescent="0.25">
      <c r="A8300" s="6"/>
      <c r="B8300" s="1"/>
      <c r="C8300" s="5"/>
      <c r="D8300" s="5"/>
      <c r="E8300" s="5"/>
      <c r="F8300" s="5"/>
      <c r="G8300" s="5"/>
      <c r="H8300" s="5"/>
      <c r="I8300" s="5"/>
      <c r="J8300" s="5"/>
      <c r="K8300" s="5"/>
      <c r="L8300" s="5"/>
    </row>
    <row r="8301" spans="1:12" ht="12" customHeight="1" x14ac:dyDescent="0.25">
      <c r="A8301" s="6"/>
      <c r="B8301" s="1"/>
      <c r="C8301" s="5"/>
      <c r="D8301" s="5"/>
      <c r="E8301" s="5"/>
      <c r="F8301" s="5"/>
      <c r="G8301" s="5"/>
      <c r="H8301" s="5"/>
      <c r="I8301" s="5"/>
      <c r="J8301" s="5"/>
      <c r="K8301" s="5"/>
      <c r="L8301" s="5"/>
    </row>
    <row r="8302" spans="1:12" ht="12" customHeight="1" x14ac:dyDescent="0.25">
      <c r="A8302" s="6"/>
      <c r="B8302" s="1"/>
      <c r="C8302" s="5"/>
      <c r="D8302" s="5"/>
      <c r="E8302" s="5"/>
      <c r="F8302" s="5"/>
      <c r="G8302" s="5"/>
      <c r="H8302" s="5"/>
      <c r="I8302" s="5"/>
      <c r="J8302" s="5"/>
      <c r="K8302" s="5"/>
      <c r="L8302" s="5"/>
    </row>
    <row r="8303" spans="1:12" ht="12" customHeight="1" x14ac:dyDescent="0.25">
      <c r="A8303" s="6"/>
      <c r="B8303" s="1"/>
      <c r="C8303" s="5"/>
      <c r="D8303" s="5"/>
      <c r="E8303" s="5"/>
      <c r="F8303" s="5"/>
      <c r="G8303" s="5"/>
      <c r="H8303" s="5"/>
      <c r="I8303" s="5"/>
      <c r="J8303" s="5"/>
      <c r="K8303" s="5"/>
      <c r="L8303" s="5"/>
    </row>
    <row r="8304" spans="1:12" ht="12" customHeight="1" x14ac:dyDescent="0.25">
      <c r="A8304" s="6"/>
      <c r="B8304" s="1"/>
      <c r="C8304" s="5"/>
      <c r="D8304" s="5"/>
      <c r="E8304" s="5"/>
      <c r="F8304" s="5"/>
      <c r="G8304" s="5"/>
      <c r="H8304" s="5"/>
      <c r="I8304" s="5"/>
      <c r="J8304" s="5"/>
      <c r="K8304" s="5"/>
      <c r="L8304" s="5"/>
    </row>
    <row r="8305" spans="1:12" ht="12" customHeight="1" x14ac:dyDescent="0.25">
      <c r="A8305" s="6"/>
      <c r="B8305" s="1"/>
      <c r="C8305" s="5"/>
      <c r="D8305" s="5"/>
      <c r="E8305" s="5"/>
      <c r="F8305" s="5"/>
      <c r="G8305" s="5"/>
      <c r="H8305" s="5"/>
      <c r="I8305" s="5"/>
      <c r="J8305" s="5"/>
      <c r="K8305" s="5"/>
      <c r="L8305" s="5"/>
    </row>
    <row r="8306" spans="1:12" ht="12" customHeight="1" x14ac:dyDescent="0.25">
      <c r="A8306" s="6"/>
      <c r="B8306" s="1"/>
      <c r="C8306" s="5"/>
      <c r="D8306" s="5"/>
      <c r="E8306" s="5"/>
      <c r="F8306" s="5"/>
      <c r="G8306" s="5"/>
      <c r="H8306" s="5"/>
      <c r="I8306" s="5"/>
      <c r="J8306" s="5"/>
      <c r="K8306" s="5"/>
      <c r="L8306" s="5"/>
    </row>
    <row r="8307" spans="1:12" ht="12" customHeight="1" x14ac:dyDescent="0.25">
      <c r="A8307" s="6"/>
      <c r="B8307" s="1"/>
      <c r="C8307" s="5"/>
      <c r="D8307" s="5"/>
      <c r="E8307" s="5"/>
      <c r="F8307" s="5"/>
      <c r="G8307" s="5"/>
      <c r="H8307" s="5"/>
      <c r="I8307" s="5"/>
      <c r="J8307" s="5"/>
      <c r="K8307" s="5"/>
      <c r="L8307" s="5"/>
    </row>
    <row r="8308" spans="1:12" ht="12" customHeight="1" x14ac:dyDescent="0.25">
      <c r="A8308" s="6"/>
      <c r="B8308" s="1"/>
      <c r="C8308" s="5"/>
      <c r="D8308" s="5"/>
      <c r="E8308" s="5"/>
      <c r="F8308" s="5"/>
      <c r="G8308" s="5"/>
      <c r="H8308" s="5"/>
      <c r="I8308" s="5"/>
      <c r="J8308" s="5"/>
      <c r="K8308" s="5"/>
      <c r="L8308" s="5"/>
    </row>
    <row r="8309" spans="1:12" ht="12" customHeight="1" x14ac:dyDescent="0.25">
      <c r="A8309" s="6"/>
      <c r="B8309" s="1"/>
      <c r="C8309" s="5"/>
      <c r="D8309" s="5"/>
      <c r="E8309" s="5"/>
      <c r="F8309" s="5"/>
      <c r="G8309" s="5"/>
      <c r="H8309" s="5"/>
      <c r="I8309" s="5"/>
      <c r="J8309" s="5"/>
      <c r="K8309" s="5"/>
      <c r="L8309" s="5"/>
    </row>
    <row r="8310" spans="1:12" ht="12" customHeight="1" x14ac:dyDescent="0.25">
      <c r="A8310" s="6"/>
      <c r="B8310" s="1"/>
      <c r="C8310" s="5"/>
      <c r="D8310" s="5"/>
      <c r="E8310" s="5"/>
      <c r="F8310" s="5"/>
      <c r="G8310" s="5"/>
      <c r="H8310" s="5"/>
      <c r="I8310" s="5"/>
      <c r="J8310" s="5"/>
      <c r="K8310" s="5"/>
      <c r="L8310" s="5"/>
    </row>
    <row r="8311" spans="1:12" ht="12" customHeight="1" x14ac:dyDescent="0.25">
      <c r="A8311" s="6"/>
      <c r="B8311" s="1"/>
      <c r="C8311" s="5"/>
      <c r="D8311" s="5"/>
      <c r="E8311" s="5"/>
      <c r="F8311" s="5"/>
      <c r="G8311" s="5"/>
      <c r="H8311" s="5"/>
      <c r="I8311" s="5"/>
      <c r="J8311" s="5"/>
      <c r="K8311" s="5"/>
      <c r="L8311" s="5"/>
    </row>
    <row r="8312" spans="1:12" ht="12" customHeight="1" x14ac:dyDescent="0.25">
      <c r="A8312" s="6"/>
      <c r="B8312" s="1"/>
      <c r="C8312" s="5"/>
      <c r="D8312" s="5"/>
      <c r="E8312" s="5"/>
      <c r="F8312" s="5"/>
      <c r="G8312" s="5"/>
      <c r="H8312" s="5"/>
      <c r="I8312" s="5"/>
      <c r="J8312" s="5"/>
      <c r="K8312" s="5"/>
      <c r="L8312" s="5"/>
    </row>
    <row r="8313" spans="1:12" ht="12" customHeight="1" x14ac:dyDescent="0.25">
      <c r="A8313" s="6"/>
      <c r="B8313" s="1"/>
      <c r="C8313" s="5"/>
      <c r="D8313" s="5"/>
      <c r="E8313" s="5"/>
      <c r="F8313" s="5"/>
      <c r="G8313" s="5"/>
      <c r="H8313" s="5"/>
      <c r="I8313" s="5"/>
      <c r="J8313" s="5"/>
      <c r="K8313" s="5"/>
      <c r="L8313" s="5"/>
    </row>
    <row r="8314" spans="1:12" ht="12" customHeight="1" x14ac:dyDescent="0.25">
      <c r="A8314" s="6"/>
      <c r="B8314" s="1"/>
      <c r="C8314" s="5"/>
      <c r="D8314" s="5"/>
      <c r="E8314" s="5"/>
      <c r="F8314" s="5"/>
      <c r="G8314" s="5"/>
      <c r="H8314" s="5"/>
      <c r="I8314" s="5"/>
      <c r="J8314" s="5"/>
      <c r="K8314" s="5"/>
      <c r="L8314" s="5"/>
    </row>
    <row r="8315" spans="1:12" ht="12" customHeight="1" x14ac:dyDescent="0.25">
      <c r="A8315" s="6"/>
      <c r="B8315" s="1"/>
      <c r="C8315" s="5"/>
      <c r="D8315" s="5"/>
      <c r="E8315" s="5"/>
      <c r="F8315" s="5"/>
      <c r="G8315" s="5"/>
      <c r="H8315" s="5"/>
      <c r="I8315" s="5"/>
      <c r="J8315" s="5"/>
      <c r="K8315" s="5"/>
      <c r="L8315" s="5"/>
    </row>
    <row r="8316" spans="1:12" ht="12" customHeight="1" x14ac:dyDescent="0.25">
      <c r="A8316" s="6"/>
      <c r="B8316" s="1"/>
      <c r="C8316" s="5"/>
      <c r="D8316" s="5"/>
      <c r="E8316" s="5"/>
      <c r="F8316" s="5"/>
      <c r="G8316" s="5"/>
      <c r="H8316" s="5"/>
      <c r="I8316" s="5"/>
      <c r="J8316" s="5"/>
      <c r="K8316" s="5"/>
      <c r="L8316" s="5"/>
    </row>
    <row r="8317" spans="1:12" ht="12" customHeight="1" x14ac:dyDescent="0.25">
      <c r="A8317" s="6"/>
      <c r="B8317" s="1"/>
      <c r="C8317" s="5"/>
      <c r="D8317" s="5"/>
      <c r="E8317" s="5"/>
      <c r="F8317" s="5"/>
      <c r="G8317" s="5"/>
      <c r="H8317" s="5"/>
      <c r="I8317" s="5"/>
      <c r="J8317" s="5"/>
      <c r="K8317" s="5"/>
      <c r="L8317" s="5"/>
    </row>
    <row r="8318" spans="1:12" ht="12" customHeight="1" x14ac:dyDescent="0.25">
      <c r="A8318" s="6"/>
      <c r="B8318" s="1"/>
      <c r="C8318" s="5"/>
      <c r="D8318" s="5"/>
      <c r="E8318" s="5"/>
      <c r="F8318" s="5"/>
      <c r="G8318" s="5"/>
      <c r="H8318" s="5"/>
      <c r="I8318" s="5"/>
      <c r="J8318" s="5"/>
      <c r="K8318" s="5"/>
      <c r="L8318" s="5"/>
    </row>
    <row r="8319" spans="1:12" ht="12" customHeight="1" x14ac:dyDescent="0.25">
      <c r="A8319" s="6"/>
      <c r="B8319" s="1"/>
      <c r="C8319" s="5"/>
      <c r="D8319" s="5"/>
      <c r="E8319" s="5"/>
      <c r="F8319" s="5"/>
      <c r="G8319" s="5"/>
      <c r="H8319" s="5"/>
      <c r="I8319" s="5"/>
      <c r="J8319" s="5"/>
      <c r="K8319" s="5"/>
      <c r="L8319" s="5"/>
    </row>
    <row r="8320" spans="1:12" ht="12" customHeight="1" x14ac:dyDescent="0.25">
      <c r="A8320" s="6"/>
      <c r="B8320" s="1"/>
      <c r="C8320" s="5"/>
      <c r="D8320" s="5"/>
      <c r="E8320" s="5"/>
      <c r="F8320" s="5"/>
      <c r="G8320" s="5"/>
      <c r="H8320" s="5"/>
      <c r="I8320" s="5"/>
      <c r="J8320" s="5"/>
      <c r="K8320" s="5"/>
      <c r="L8320" s="5"/>
    </row>
    <row r="8321" spans="1:12" ht="12" customHeight="1" x14ac:dyDescent="0.25">
      <c r="A8321" s="6"/>
      <c r="B8321" s="1"/>
      <c r="C8321" s="5"/>
      <c r="D8321" s="5"/>
      <c r="E8321" s="5"/>
      <c r="F8321" s="5"/>
      <c r="G8321" s="5"/>
      <c r="H8321" s="5"/>
      <c r="I8321" s="5"/>
      <c r="J8321" s="5"/>
      <c r="K8321" s="5"/>
      <c r="L8321" s="5"/>
    </row>
    <row r="8322" spans="1:12" ht="12" customHeight="1" x14ac:dyDescent="0.25">
      <c r="A8322" s="6"/>
      <c r="B8322" s="1"/>
      <c r="C8322" s="5"/>
      <c r="D8322" s="5"/>
      <c r="E8322" s="5"/>
      <c r="F8322" s="5"/>
      <c r="G8322" s="5"/>
      <c r="H8322" s="5"/>
      <c r="I8322" s="5"/>
      <c r="J8322" s="5"/>
      <c r="K8322" s="5"/>
      <c r="L8322" s="5"/>
    </row>
    <row r="8323" spans="1:12" ht="12" customHeight="1" x14ac:dyDescent="0.25">
      <c r="A8323" s="6"/>
      <c r="B8323" s="1"/>
      <c r="C8323" s="5"/>
      <c r="D8323" s="5"/>
      <c r="E8323" s="5"/>
      <c r="F8323" s="5"/>
      <c r="G8323" s="5"/>
      <c r="H8323" s="5"/>
      <c r="I8323" s="5"/>
      <c r="J8323" s="5"/>
      <c r="K8323" s="5"/>
      <c r="L8323" s="5"/>
    </row>
    <row r="8324" spans="1:12" ht="12" customHeight="1" x14ac:dyDescent="0.25">
      <c r="A8324" s="6"/>
      <c r="B8324" s="1"/>
      <c r="C8324" s="5"/>
      <c r="D8324" s="5"/>
      <c r="E8324" s="5"/>
      <c r="F8324" s="5"/>
      <c r="G8324" s="5"/>
      <c r="H8324" s="5"/>
      <c r="I8324" s="5"/>
      <c r="J8324" s="5"/>
      <c r="K8324" s="5"/>
      <c r="L8324" s="5"/>
    </row>
    <row r="8325" spans="1:12" ht="12" customHeight="1" x14ac:dyDescent="0.25">
      <c r="A8325" s="6"/>
      <c r="B8325" s="1"/>
      <c r="C8325" s="5"/>
      <c r="D8325" s="5"/>
      <c r="E8325" s="5"/>
      <c r="F8325" s="5"/>
      <c r="G8325" s="5"/>
      <c r="H8325" s="5"/>
      <c r="I8325" s="5"/>
      <c r="J8325" s="5"/>
      <c r="K8325" s="5"/>
      <c r="L8325" s="5"/>
    </row>
    <row r="8326" spans="1:12" ht="12" customHeight="1" x14ac:dyDescent="0.25">
      <c r="A8326" s="6"/>
      <c r="B8326" s="1"/>
      <c r="C8326" s="5"/>
      <c r="D8326" s="5"/>
      <c r="E8326" s="5"/>
      <c r="F8326" s="5"/>
      <c r="G8326" s="5"/>
      <c r="H8326" s="5"/>
      <c r="I8326" s="5"/>
      <c r="J8326" s="5"/>
      <c r="K8326" s="5"/>
      <c r="L8326" s="5"/>
    </row>
    <row r="8327" spans="1:12" ht="12" customHeight="1" x14ac:dyDescent="0.25">
      <c r="A8327" s="6"/>
      <c r="B8327" s="1"/>
      <c r="C8327" s="5"/>
      <c r="D8327" s="5"/>
      <c r="E8327" s="5"/>
      <c r="F8327" s="5"/>
      <c r="G8327" s="5"/>
      <c r="H8327" s="5"/>
      <c r="I8327" s="5"/>
      <c r="J8327" s="5"/>
      <c r="K8327" s="5"/>
      <c r="L8327" s="5"/>
    </row>
    <row r="8328" spans="1:12" ht="12" customHeight="1" x14ac:dyDescent="0.25">
      <c r="A8328" s="6"/>
      <c r="B8328" s="1"/>
      <c r="C8328" s="5"/>
      <c r="D8328" s="5"/>
      <c r="E8328" s="5"/>
      <c r="F8328" s="5"/>
      <c r="G8328" s="5"/>
      <c r="H8328" s="5"/>
      <c r="I8328" s="5"/>
      <c r="J8328" s="5"/>
      <c r="K8328" s="5"/>
      <c r="L8328" s="5"/>
    </row>
    <row r="8329" spans="1:12" ht="12" customHeight="1" x14ac:dyDescent="0.25">
      <c r="A8329" s="6"/>
      <c r="B8329" s="1"/>
      <c r="C8329" s="5"/>
      <c r="D8329" s="5"/>
      <c r="E8329" s="5"/>
      <c r="F8329" s="5"/>
      <c r="G8329" s="5"/>
      <c r="H8329" s="5"/>
      <c r="I8329" s="5"/>
      <c r="J8329" s="5"/>
      <c r="K8329" s="5"/>
      <c r="L8329" s="5"/>
    </row>
    <row r="8330" spans="1:12" ht="12" customHeight="1" x14ac:dyDescent="0.25">
      <c r="A8330" s="6"/>
      <c r="B8330" s="1"/>
      <c r="C8330" s="5"/>
      <c r="D8330" s="5"/>
      <c r="E8330" s="5"/>
      <c r="F8330" s="5"/>
      <c r="G8330" s="5"/>
      <c r="H8330" s="5"/>
      <c r="I8330" s="5"/>
      <c r="J8330" s="5"/>
      <c r="K8330" s="5"/>
      <c r="L8330" s="5"/>
    </row>
    <row r="8331" spans="1:12" ht="12" customHeight="1" x14ac:dyDescent="0.25">
      <c r="A8331" s="6"/>
      <c r="B8331" s="1"/>
      <c r="C8331" s="5"/>
      <c r="D8331" s="5"/>
      <c r="E8331" s="5"/>
      <c r="F8331" s="5"/>
      <c r="G8331" s="5"/>
      <c r="H8331" s="5"/>
      <c r="I8331" s="5"/>
      <c r="J8331" s="5"/>
      <c r="K8331" s="5"/>
      <c r="L8331" s="5"/>
    </row>
    <row r="8332" spans="1:12" ht="12" customHeight="1" x14ac:dyDescent="0.25">
      <c r="A8332" s="6"/>
      <c r="B8332" s="1"/>
      <c r="C8332" s="5"/>
      <c r="D8332" s="5"/>
      <c r="E8332" s="5"/>
      <c r="F8332" s="5"/>
      <c r="G8332" s="5"/>
      <c r="H8332" s="5"/>
      <c r="I8332" s="5"/>
      <c r="J8332" s="5"/>
      <c r="K8332" s="5"/>
      <c r="L8332" s="5"/>
    </row>
    <row r="8333" spans="1:12" ht="12" customHeight="1" x14ac:dyDescent="0.25">
      <c r="A8333" s="6"/>
      <c r="B8333" s="1"/>
      <c r="C8333" s="5"/>
      <c r="D8333" s="5"/>
      <c r="E8333" s="5"/>
      <c r="F8333" s="5"/>
      <c r="G8333" s="5"/>
      <c r="H8333" s="5"/>
      <c r="I8333" s="5"/>
      <c r="J8333" s="5"/>
      <c r="K8333" s="5"/>
      <c r="L8333" s="5"/>
    </row>
    <row r="8334" spans="1:12" ht="12" customHeight="1" x14ac:dyDescent="0.25">
      <c r="A8334" s="6"/>
      <c r="B8334" s="1"/>
      <c r="C8334" s="5"/>
      <c r="D8334" s="5"/>
      <c r="E8334" s="5"/>
      <c r="F8334" s="5"/>
      <c r="G8334" s="5"/>
      <c r="H8334" s="5"/>
      <c r="I8334" s="5"/>
      <c r="J8334" s="5"/>
      <c r="K8334" s="5"/>
      <c r="L8334" s="5"/>
    </row>
    <row r="8335" spans="1:12" ht="12" customHeight="1" x14ac:dyDescent="0.25">
      <c r="A8335" s="6"/>
      <c r="B8335" s="1"/>
      <c r="C8335" s="5"/>
      <c r="D8335" s="5"/>
      <c r="E8335" s="5"/>
      <c r="F8335" s="5"/>
      <c r="G8335" s="5"/>
      <c r="H8335" s="5"/>
      <c r="I8335" s="5"/>
      <c r="J8335" s="5"/>
      <c r="K8335" s="5"/>
      <c r="L8335" s="5"/>
    </row>
    <row r="8336" spans="1:12" ht="12" customHeight="1" x14ac:dyDescent="0.25">
      <c r="A8336" s="6"/>
      <c r="B8336" s="1"/>
      <c r="C8336" s="5"/>
      <c r="D8336" s="5"/>
      <c r="E8336" s="5"/>
      <c r="F8336" s="5"/>
      <c r="G8336" s="5"/>
      <c r="H8336" s="5"/>
      <c r="I8336" s="5"/>
      <c r="J8336" s="5"/>
      <c r="K8336" s="5"/>
      <c r="L8336" s="5"/>
    </row>
    <row r="8337" spans="1:12" ht="12" customHeight="1" x14ac:dyDescent="0.25">
      <c r="A8337" s="6"/>
      <c r="B8337" s="1"/>
      <c r="C8337" s="5"/>
      <c r="D8337" s="5"/>
      <c r="E8337" s="5"/>
      <c r="F8337" s="5"/>
      <c r="G8337" s="5"/>
      <c r="H8337" s="5"/>
      <c r="I8337" s="5"/>
      <c r="J8337" s="5"/>
      <c r="K8337" s="5"/>
      <c r="L8337" s="5"/>
    </row>
    <row r="8338" spans="1:12" ht="12" customHeight="1" x14ac:dyDescent="0.25">
      <c r="A8338" s="6"/>
      <c r="B8338" s="1"/>
      <c r="C8338" s="5"/>
      <c r="D8338" s="5"/>
      <c r="E8338" s="5"/>
      <c r="F8338" s="5"/>
      <c r="G8338" s="5"/>
      <c r="H8338" s="5"/>
      <c r="I8338" s="5"/>
      <c r="J8338" s="5"/>
      <c r="K8338" s="5"/>
      <c r="L8338" s="5"/>
    </row>
    <row r="8339" spans="1:12" ht="12" customHeight="1" x14ac:dyDescent="0.25">
      <c r="A8339" s="6"/>
      <c r="B8339" s="1"/>
      <c r="C8339" s="5"/>
      <c r="D8339" s="5"/>
      <c r="E8339" s="5"/>
      <c r="F8339" s="5"/>
      <c r="G8339" s="5"/>
      <c r="H8339" s="5"/>
      <c r="I8339" s="5"/>
      <c r="J8339" s="5"/>
      <c r="K8339" s="5"/>
      <c r="L8339" s="5"/>
    </row>
    <row r="8340" spans="1:12" ht="12" customHeight="1" x14ac:dyDescent="0.25">
      <c r="A8340" s="6"/>
      <c r="B8340" s="1"/>
      <c r="C8340" s="5"/>
      <c r="D8340" s="5"/>
      <c r="E8340" s="5"/>
      <c r="F8340" s="5"/>
      <c r="G8340" s="5"/>
      <c r="H8340" s="5"/>
      <c r="I8340" s="5"/>
      <c r="J8340" s="5"/>
      <c r="K8340" s="5"/>
      <c r="L8340" s="5"/>
    </row>
    <row r="8341" spans="1:12" ht="12" customHeight="1" x14ac:dyDescent="0.25">
      <c r="A8341" s="6"/>
      <c r="B8341" s="1"/>
      <c r="C8341" s="5"/>
      <c r="D8341" s="5"/>
      <c r="E8341" s="5"/>
      <c r="F8341" s="5"/>
      <c r="G8341" s="5"/>
      <c r="H8341" s="5"/>
      <c r="I8341" s="5"/>
      <c r="J8341" s="5"/>
      <c r="K8341" s="5"/>
      <c r="L8341" s="5"/>
    </row>
    <row r="8342" spans="1:12" ht="12" customHeight="1" x14ac:dyDescent="0.25">
      <c r="A8342" s="6"/>
      <c r="B8342" s="1"/>
      <c r="C8342" s="5"/>
      <c r="D8342" s="5"/>
      <c r="E8342" s="5"/>
      <c r="F8342" s="5"/>
      <c r="G8342" s="5"/>
      <c r="H8342" s="5"/>
      <c r="I8342" s="5"/>
      <c r="J8342" s="5"/>
      <c r="K8342" s="5"/>
      <c r="L8342" s="5"/>
    </row>
    <row r="8343" spans="1:12" ht="12" customHeight="1" x14ac:dyDescent="0.25">
      <c r="A8343" s="6"/>
      <c r="B8343" s="1"/>
      <c r="C8343" s="5"/>
      <c r="D8343" s="5"/>
      <c r="E8343" s="5"/>
      <c r="F8343" s="5"/>
      <c r="G8343" s="5"/>
      <c r="H8343" s="5"/>
      <c r="I8343" s="5"/>
      <c r="J8343" s="5"/>
      <c r="K8343" s="5"/>
      <c r="L8343" s="5"/>
    </row>
    <row r="8344" spans="1:12" ht="12" customHeight="1" x14ac:dyDescent="0.25">
      <c r="A8344" s="6"/>
      <c r="B8344" s="1"/>
      <c r="C8344" s="5"/>
      <c r="D8344" s="5"/>
      <c r="E8344" s="5"/>
      <c r="F8344" s="5"/>
      <c r="G8344" s="5"/>
      <c r="H8344" s="5"/>
      <c r="I8344" s="5"/>
      <c r="J8344" s="5"/>
      <c r="K8344" s="5"/>
      <c r="L8344" s="5"/>
    </row>
    <row r="8345" spans="1:12" ht="12" customHeight="1" x14ac:dyDescent="0.25">
      <c r="A8345" s="6"/>
      <c r="B8345" s="1"/>
      <c r="C8345" s="5"/>
      <c r="D8345" s="5"/>
      <c r="E8345" s="5"/>
      <c r="F8345" s="5"/>
      <c r="G8345" s="5"/>
      <c r="H8345" s="5"/>
      <c r="I8345" s="5"/>
      <c r="J8345" s="5"/>
      <c r="K8345" s="5"/>
      <c r="L8345" s="5"/>
    </row>
    <row r="8346" spans="1:12" ht="12" customHeight="1" x14ac:dyDescent="0.25">
      <c r="A8346" s="6"/>
      <c r="B8346" s="1"/>
      <c r="C8346" s="5"/>
      <c r="D8346" s="5"/>
      <c r="E8346" s="5"/>
      <c r="F8346" s="5"/>
      <c r="G8346" s="5"/>
      <c r="H8346" s="5"/>
      <c r="I8346" s="5"/>
      <c r="J8346" s="5"/>
      <c r="K8346" s="5"/>
      <c r="L8346" s="5"/>
    </row>
    <row r="8347" spans="1:12" ht="12" customHeight="1" x14ac:dyDescent="0.25">
      <c r="A8347" s="6"/>
      <c r="B8347" s="1"/>
      <c r="C8347" s="5"/>
      <c r="D8347" s="5"/>
      <c r="E8347" s="5"/>
      <c r="F8347" s="5"/>
      <c r="G8347" s="5"/>
      <c r="H8347" s="5"/>
      <c r="I8347" s="5"/>
      <c r="J8347" s="5"/>
      <c r="K8347" s="5"/>
      <c r="L8347" s="5"/>
    </row>
    <row r="8348" spans="1:12" ht="12" customHeight="1" x14ac:dyDescent="0.25">
      <c r="A8348" s="6"/>
      <c r="B8348" s="1"/>
      <c r="C8348" s="5"/>
      <c r="D8348" s="5"/>
      <c r="E8348" s="5"/>
      <c r="F8348" s="5"/>
      <c r="G8348" s="5"/>
      <c r="H8348" s="5"/>
      <c r="I8348" s="5"/>
      <c r="J8348" s="5"/>
      <c r="K8348" s="5"/>
      <c r="L8348" s="5"/>
    </row>
    <row r="8349" spans="1:12" ht="12" customHeight="1" x14ac:dyDescent="0.25">
      <c r="A8349" s="6"/>
      <c r="B8349" s="1"/>
      <c r="C8349" s="5"/>
      <c r="D8349" s="5"/>
      <c r="E8349" s="5"/>
      <c r="F8349" s="5"/>
      <c r="G8349" s="5"/>
      <c r="H8349" s="5"/>
      <c r="I8349" s="5"/>
      <c r="J8349" s="5"/>
      <c r="K8349" s="5"/>
      <c r="L8349" s="5"/>
    </row>
    <row r="8350" spans="1:12" ht="12" customHeight="1" x14ac:dyDescent="0.25">
      <c r="A8350" s="6"/>
      <c r="B8350" s="1"/>
      <c r="C8350" s="5"/>
      <c r="D8350" s="5"/>
      <c r="E8350" s="5"/>
      <c r="F8350" s="5"/>
      <c r="G8350" s="5"/>
      <c r="H8350" s="5"/>
      <c r="I8350" s="5"/>
      <c r="J8350" s="5"/>
      <c r="K8350" s="5"/>
      <c r="L8350" s="5"/>
    </row>
    <row r="8351" spans="1:12" ht="12" customHeight="1" x14ac:dyDescent="0.25">
      <c r="A8351" s="6"/>
      <c r="B8351" s="1"/>
      <c r="C8351" s="5"/>
      <c r="D8351" s="5"/>
      <c r="E8351" s="5"/>
      <c r="F8351" s="5"/>
      <c r="G8351" s="5"/>
      <c r="H8351" s="5"/>
      <c r="I8351" s="5"/>
      <c r="J8351" s="5"/>
      <c r="K8351" s="5"/>
      <c r="L8351" s="5"/>
    </row>
    <row r="8352" spans="1:12" ht="12" customHeight="1" x14ac:dyDescent="0.25">
      <c r="A8352" s="6"/>
      <c r="B8352" s="1"/>
      <c r="C8352" s="5"/>
      <c r="D8352" s="5"/>
      <c r="E8352" s="5"/>
      <c r="F8352" s="5"/>
      <c r="G8352" s="5"/>
      <c r="H8352" s="5"/>
      <c r="I8352" s="5"/>
      <c r="J8352" s="5"/>
      <c r="K8352" s="5"/>
      <c r="L8352" s="5"/>
    </row>
    <row r="8353" spans="1:12" ht="12" customHeight="1" x14ac:dyDescent="0.25">
      <c r="A8353" s="6"/>
      <c r="B8353" s="1"/>
      <c r="C8353" s="5"/>
      <c r="D8353" s="5"/>
      <c r="E8353" s="5"/>
      <c r="F8353" s="5"/>
      <c r="G8353" s="5"/>
      <c r="H8353" s="5"/>
      <c r="I8353" s="5"/>
      <c r="J8353" s="5"/>
      <c r="K8353" s="5"/>
      <c r="L8353" s="5"/>
    </row>
    <row r="8354" spans="1:12" ht="12" customHeight="1" x14ac:dyDescent="0.25">
      <c r="A8354" s="6"/>
      <c r="B8354" s="1"/>
      <c r="C8354" s="5"/>
      <c r="D8354" s="5"/>
      <c r="E8354" s="5"/>
      <c r="F8354" s="5"/>
      <c r="G8354" s="5"/>
      <c r="H8354" s="5"/>
      <c r="I8354" s="5"/>
      <c r="J8354" s="5"/>
      <c r="K8354" s="5"/>
      <c r="L8354" s="5"/>
    </row>
    <row r="8355" spans="1:12" ht="12" customHeight="1" x14ac:dyDescent="0.25">
      <c r="A8355" s="6"/>
      <c r="B8355" s="1"/>
      <c r="C8355" s="5"/>
      <c r="D8355" s="5"/>
      <c r="E8355" s="5"/>
      <c r="F8355" s="5"/>
      <c r="G8355" s="5"/>
      <c r="H8355" s="5"/>
      <c r="I8355" s="5"/>
      <c r="J8355" s="5"/>
      <c r="K8355" s="5"/>
      <c r="L8355" s="5"/>
    </row>
    <row r="8356" spans="1:12" ht="12" customHeight="1" x14ac:dyDescent="0.25">
      <c r="A8356" s="6"/>
      <c r="B8356" s="1"/>
      <c r="C8356" s="5"/>
      <c r="D8356" s="5"/>
      <c r="E8356" s="5"/>
      <c r="F8356" s="5"/>
      <c r="G8356" s="5"/>
      <c r="H8356" s="5"/>
      <c r="I8356" s="5"/>
      <c r="J8356" s="5"/>
      <c r="K8356" s="5"/>
      <c r="L8356" s="5"/>
    </row>
    <row r="8357" spans="1:12" ht="12" customHeight="1" x14ac:dyDescent="0.25">
      <c r="A8357" s="6"/>
      <c r="B8357" s="1"/>
      <c r="C8357" s="5"/>
      <c r="D8357" s="5"/>
      <c r="E8357" s="5"/>
      <c r="F8357" s="5"/>
      <c r="G8357" s="5"/>
      <c r="H8357" s="5"/>
      <c r="I8357" s="5"/>
      <c r="J8357" s="5"/>
      <c r="K8357" s="5"/>
      <c r="L8357" s="5"/>
    </row>
    <row r="8358" spans="1:12" ht="12" customHeight="1" x14ac:dyDescent="0.25">
      <c r="A8358" s="6"/>
      <c r="B8358" s="1"/>
      <c r="C8358" s="5"/>
      <c r="D8358" s="5"/>
      <c r="E8358" s="5"/>
      <c r="F8358" s="5"/>
      <c r="G8358" s="5"/>
      <c r="H8358" s="5"/>
      <c r="I8358" s="5"/>
      <c r="J8358" s="5"/>
      <c r="K8358" s="5"/>
      <c r="L8358" s="5"/>
    </row>
    <row r="8359" spans="1:12" ht="12" customHeight="1" x14ac:dyDescent="0.25">
      <c r="A8359" s="6"/>
      <c r="B8359" s="1"/>
      <c r="C8359" s="5"/>
      <c r="D8359" s="5"/>
      <c r="E8359" s="5"/>
      <c r="F8359" s="5"/>
      <c r="G8359" s="5"/>
      <c r="H8359" s="5"/>
      <c r="I8359" s="5"/>
      <c r="J8359" s="5"/>
      <c r="K8359" s="5"/>
      <c r="L8359" s="5"/>
    </row>
    <row r="8360" spans="1:12" ht="12" customHeight="1" x14ac:dyDescent="0.25">
      <c r="A8360" s="6"/>
      <c r="B8360" s="1"/>
      <c r="C8360" s="5"/>
      <c r="D8360" s="5"/>
      <c r="E8360" s="5"/>
      <c r="F8360" s="5"/>
      <c r="G8360" s="5"/>
      <c r="H8360" s="5"/>
      <c r="I8360" s="5"/>
      <c r="J8360" s="5"/>
      <c r="K8360" s="5"/>
      <c r="L8360" s="5"/>
    </row>
    <row r="8361" spans="1:12" ht="12" customHeight="1" x14ac:dyDescent="0.25">
      <c r="A8361" s="6"/>
      <c r="B8361" s="1"/>
      <c r="C8361" s="5"/>
      <c r="D8361" s="5"/>
      <c r="E8361" s="5"/>
      <c r="F8361" s="5"/>
      <c r="G8361" s="5"/>
      <c r="H8361" s="5"/>
      <c r="I8361" s="5"/>
      <c r="J8361" s="5"/>
      <c r="K8361" s="5"/>
      <c r="L8361" s="5"/>
    </row>
    <row r="8362" spans="1:12" ht="12" customHeight="1" x14ac:dyDescent="0.25">
      <c r="A8362" s="6"/>
      <c r="B8362" s="1"/>
      <c r="C8362" s="5"/>
      <c r="D8362" s="5"/>
      <c r="E8362" s="5"/>
      <c r="F8362" s="5"/>
      <c r="G8362" s="5"/>
      <c r="H8362" s="5"/>
      <c r="I8362" s="5"/>
      <c r="J8362" s="5"/>
      <c r="K8362" s="5"/>
      <c r="L8362" s="5"/>
    </row>
    <row r="8363" spans="1:12" ht="12" customHeight="1" x14ac:dyDescent="0.25">
      <c r="A8363" s="6"/>
      <c r="B8363" s="1"/>
      <c r="C8363" s="5"/>
      <c r="D8363" s="5"/>
      <c r="E8363" s="5"/>
      <c r="F8363" s="5"/>
      <c r="G8363" s="5"/>
      <c r="H8363" s="5"/>
      <c r="I8363" s="5"/>
      <c r="J8363" s="5"/>
      <c r="K8363" s="5"/>
      <c r="L8363" s="5"/>
    </row>
    <row r="8364" spans="1:12" ht="12" customHeight="1" x14ac:dyDescent="0.25">
      <c r="A8364" s="6"/>
      <c r="B8364" s="1"/>
      <c r="C8364" s="5"/>
      <c r="D8364" s="5"/>
      <c r="E8364" s="5"/>
      <c r="F8364" s="5"/>
      <c r="G8364" s="5"/>
      <c r="H8364" s="5"/>
      <c r="I8364" s="5"/>
      <c r="J8364" s="5"/>
      <c r="K8364" s="5"/>
      <c r="L8364" s="5"/>
    </row>
    <row r="8365" spans="1:12" ht="12" customHeight="1" x14ac:dyDescent="0.25">
      <c r="A8365" s="6"/>
      <c r="B8365" s="1"/>
      <c r="C8365" s="5"/>
      <c r="D8365" s="5"/>
      <c r="E8365" s="5"/>
      <c r="F8365" s="5"/>
      <c r="G8365" s="5"/>
      <c r="H8365" s="5"/>
      <c r="I8365" s="5"/>
      <c r="J8365" s="5"/>
      <c r="K8365" s="5"/>
      <c r="L8365" s="5"/>
    </row>
    <row r="8366" spans="1:12" ht="12" customHeight="1" x14ac:dyDescent="0.25">
      <c r="A8366" s="6"/>
      <c r="B8366" s="1"/>
      <c r="C8366" s="5"/>
      <c r="D8366" s="5"/>
      <c r="E8366" s="5"/>
      <c r="F8366" s="5"/>
      <c r="G8366" s="5"/>
      <c r="H8366" s="5"/>
      <c r="I8366" s="5"/>
      <c r="J8366" s="5"/>
      <c r="K8366" s="5"/>
      <c r="L8366" s="5"/>
    </row>
    <row r="8367" spans="1:12" ht="12" customHeight="1" x14ac:dyDescent="0.25">
      <c r="A8367" s="6"/>
      <c r="B8367" s="1"/>
      <c r="C8367" s="5"/>
      <c r="D8367" s="5"/>
      <c r="E8367" s="5"/>
      <c r="F8367" s="5"/>
      <c r="G8367" s="5"/>
      <c r="H8367" s="5"/>
      <c r="I8367" s="5"/>
      <c r="J8367" s="5"/>
      <c r="K8367" s="5"/>
      <c r="L8367" s="5"/>
    </row>
    <row r="8368" spans="1:12" ht="12" customHeight="1" x14ac:dyDescent="0.25">
      <c r="A8368" s="6"/>
      <c r="B8368" s="1"/>
      <c r="C8368" s="5"/>
      <c r="D8368" s="5"/>
      <c r="E8368" s="5"/>
      <c r="F8368" s="5"/>
      <c r="G8368" s="5"/>
      <c r="H8368" s="5"/>
      <c r="I8368" s="5"/>
      <c r="J8368" s="5"/>
      <c r="K8368" s="5"/>
      <c r="L8368" s="5"/>
    </row>
    <row r="8369" spans="1:12" ht="12" customHeight="1" x14ac:dyDescent="0.25">
      <c r="A8369" s="6"/>
      <c r="B8369" s="1"/>
      <c r="C8369" s="5"/>
      <c r="D8369" s="5"/>
      <c r="E8369" s="5"/>
      <c r="F8369" s="5"/>
      <c r="G8369" s="5"/>
      <c r="H8369" s="5"/>
      <c r="I8369" s="5"/>
      <c r="J8369" s="5"/>
      <c r="K8369" s="5"/>
      <c r="L8369" s="5"/>
    </row>
    <row r="8370" spans="1:12" ht="12" customHeight="1" x14ac:dyDescent="0.25">
      <c r="A8370" s="6"/>
      <c r="B8370" s="1"/>
      <c r="C8370" s="5"/>
      <c r="D8370" s="5"/>
      <c r="E8370" s="5"/>
      <c r="F8370" s="5"/>
      <c r="G8370" s="5"/>
      <c r="H8370" s="5"/>
      <c r="I8370" s="5"/>
      <c r="J8370" s="5"/>
      <c r="K8370" s="5"/>
      <c r="L8370" s="5"/>
    </row>
    <row r="8371" spans="1:12" ht="12" customHeight="1" x14ac:dyDescent="0.25">
      <c r="A8371" s="6"/>
      <c r="B8371" s="1"/>
      <c r="C8371" s="5"/>
      <c r="D8371" s="5"/>
      <c r="E8371" s="5"/>
      <c r="F8371" s="5"/>
      <c r="G8371" s="5"/>
      <c r="H8371" s="5"/>
      <c r="I8371" s="5"/>
      <c r="J8371" s="5"/>
      <c r="K8371" s="5"/>
      <c r="L8371" s="5"/>
    </row>
    <row r="8372" spans="1:12" ht="12" customHeight="1" x14ac:dyDescent="0.25">
      <c r="A8372" s="6"/>
      <c r="B8372" s="1"/>
      <c r="C8372" s="5"/>
      <c r="D8372" s="5"/>
      <c r="E8372" s="5"/>
      <c r="F8372" s="5"/>
      <c r="G8372" s="5"/>
      <c r="H8372" s="5"/>
      <c r="I8372" s="5"/>
      <c r="J8372" s="5"/>
      <c r="K8372" s="5"/>
      <c r="L8372" s="5"/>
    </row>
    <row r="8373" spans="1:12" ht="12" customHeight="1" x14ac:dyDescent="0.25">
      <c r="A8373" s="6"/>
      <c r="B8373" s="1"/>
      <c r="C8373" s="5"/>
      <c r="D8373" s="5"/>
      <c r="E8373" s="5"/>
      <c r="F8373" s="5"/>
      <c r="G8373" s="5"/>
      <c r="H8373" s="5"/>
      <c r="I8373" s="5"/>
      <c r="J8373" s="5"/>
      <c r="K8373" s="5"/>
      <c r="L8373" s="5"/>
    </row>
    <row r="8374" spans="1:12" ht="12" customHeight="1" x14ac:dyDescent="0.25">
      <c r="A8374" s="6"/>
      <c r="B8374" s="1"/>
      <c r="C8374" s="5"/>
      <c r="D8374" s="5"/>
      <c r="E8374" s="5"/>
      <c r="F8374" s="5"/>
      <c r="G8374" s="5"/>
      <c r="H8374" s="5"/>
      <c r="I8374" s="5"/>
      <c r="J8374" s="5"/>
      <c r="K8374" s="5"/>
      <c r="L8374" s="5"/>
    </row>
    <row r="8375" spans="1:12" ht="12" customHeight="1" x14ac:dyDescent="0.25">
      <c r="A8375" s="6"/>
      <c r="B8375" s="1"/>
      <c r="C8375" s="5"/>
      <c r="D8375" s="5"/>
      <c r="E8375" s="5"/>
      <c r="F8375" s="5"/>
      <c r="G8375" s="5"/>
      <c r="H8375" s="5"/>
      <c r="I8375" s="5"/>
      <c r="J8375" s="5"/>
      <c r="K8375" s="5"/>
      <c r="L8375" s="5"/>
    </row>
    <row r="8376" spans="1:12" ht="12" customHeight="1" x14ac:dyDescent="0.25">
      <c r="A8376" s="6"/>
      <c r="B8376" s="1"/>
      <c r="C8376" s="5"/>
      <c r="D8376" s="5"/>
      <c r="E8376" s="5"/>
      <c r="F8376" s="5"/>
      <c r="G8376" s="5"/>
      <c r="H8376" s="5"/>
      <c r="I8376" s="5"/>
      <c r="J8376" s="5"/>
      <c r="K8376" s="5"/>
      <c r="L8376" s="5"/>
    </row>
    <row r="8377" spans="1:12" ht="12" customHeight="1" x14ac:dyDescent="0.25">
      <c r="A8377" s="6"/>
      <c r="B8377" s="1"/>
      <c r="C8377" s="5"/>
      <c r="D8377" s="5"/>
      <c r="E8377" s="5"/>
      <c r="F8377" s="5"/>
      <c r="G8377" s="5"/>
      <c r="H8377" s="5"/>
      <c r="I8377" s="5"/>
      <c r="J8377" s="5"/>
      <c r="K8377" s="5"/>
      <c r="L8377" s="5"/>
    </row>
    <row r="8378" spans="1:12" ht="12" customHeight="1" x14ac:dyDescent="0.25">
      <c r="A8378" s="6"/>
      <c r="B8378" s="1"/>
      <c r="C8378" s="5"/>
      <c r="D8378" s="5"/>
      <c r="E8378" s="5"/>
      <c r="F8378" s="5"/>
      <c r="G8378" s="5"/>
      <c r="H8378" s="5"/>
      <c r="I8378" s="5"/>
      <c r="J8378" s="5"/>
      <c r="K8378" s="5"/>
      <c r="L8378" s="5"/>
    </row>
    <row r="8379" spans="1:12" ht="12" customHeight="1" x14ac:dyDescent="0.25">
      <c r="A8379" s="6"/>
      <c r="B8379" s="1"/>
      <c r="C8379" s="5"/>
      <c r="D8379" s="5"/>
      <c r="E8379" s="5"/>
      <c r="F8379" s="5"/>
      <c r="G8379" s="5"/>
      <c r="H8379" s="5"/>
      <c r="I8379" s="5"/>
      <c r="J8379" s="5"/>
      <c r="K8379" s="5"/>
      <c r="L8379" s="5"/>
    </row>
    <row r="8380" spans="1:12" ht="12" customHeight="1" x14ac:dyDescent="0.25">
      <c r="A8380" s="6"/>
      <c r="B8380" s="1"/>
      <c r="C8380" s="5"/>
      <c r="D8380" s="5"/>
      <c r="E8380" s="5"/>
      <c r="F8380" s="5"/>
      <c r="G8380" s="5"/>
      <c r="H8380" s="5"/>
      <c r="I8380" s="5"/>
      <c r="J8380" s="5"/>
      <c r="K8380" s="5"/>
      <c r="L8380" s="5"/>
    </row>
    <row r="8381" spans="1:12" ht="12" customHeight="1" x14ac:dyDescent="0.25">
      <c r="A8381" s="6"/>
      <c r="B8381" s="1"/>
      <c r="C8381" s="5"/>
      <c r="D8381" s="5"/>
      <c r="E8381" s="5"/>
      <c r="F8381" s="5"/>
      <c r="G8381" s="5"/>
      <c r="H8381" s="5"/>
      <c r="I8381" s="5"/>
      <c r="J8381" s="5"/>
      <c r="K8381" s="5"/>
      <c r="L8381" s="5"/>
    </row>
    <row r="8382" spans="1:12" ht="12" customHeight="1" x14ac:dyDescent="0.25">
      <c r="A8382" s="6"/>
      <c r="B8382" s="1"/>
      <c r="C8382" s="5"/>
      <c r="D8382" s="5"/>
      <c r="E8382" s="5"/>
      <c r="F8382" s="5"/>
      <c r="G8382" s="5"/>
      <c r="H8382" s="5"/>
      <c r="I8382" s="5"/>
      <c r="J8382" s="5"/>
      <c r="K8382" s="5"/>
      <c r="L8382" s="5"/>
    </row>
    <row r="8383" spans="1:12" ht="12" customHeight="1" x14ac:dyDescent="0.25">
      <c r="A8383" s="6"/>
      <c r="B8383" s="1"/>
      <c r="C8383" s="5"/>
      <c r="D8383" s="5"/>
      <c r="E8383" s="5"/>
      <c r="F8383" s="5"/>
      <c r="G8383" s="5"/>
      <c r="H8383" s="5"/>
      <c r="I8383" s="5"/>
      <c r="J8383" s="5"/>
      <c r="K8383" s="5"/>
      <c r="L8383" s="5"/>
    </row>
    <row r="8384" spans="1:12" ht="12" customHeight="1" x14ac:dyDescent="0.25">
      <c r="A8384" s="6"/>
      <c r="B8384" s="1"/>
      <c r="C8384" s="5"/>
      <c r="D8384" s="5"/>
      <c r="E8384" s="5"/>
      <c r="F8384" s="5"/>
      <c r="G8384" s="5"/>
      <c r="H8384" s="5"/>
      <c r="I8384" s="5"/>
      <c r="J8384" s="5"/>
      <c r="K8384" s="5"/>
      <c r="L8384" s="5"/>
    </row>
    <row r="8385" spans="1:12" ht="12" customHeight="1" x14ac:dyDescent="0.25">
      <c r="A8385" s="6"/>
      <c r="B8385" s="1"/>
      <c r="C8385" s="5"/>
      <c r="D8385" s="5"/>
      <c r="E8385" s="5"/>
      <c r="F8385" s="5"/>
      <c r="G8385" s="5"/>
      <c r="H8385" s="5"/>
      <c r="I8385" s="5"/>
      <c r="J8385" s="5"/>
      <c r="K8385" s="5"/>
      <c r="L8385" s="5"/>
    </row>
    <row r="8386" spans="1:12" ht="12" customHeight="1" x14ac:dyDescent="0.25">
      <c r="A8386" s="6"/>
      <c r="B8386" s="1"/>
      <c r="C8386" s="5"/>
      <c r="D8386" s="5"/>
      <c r="E8386" s="5"/>
      <c r="F8386" s="5"/>
      <c r="G8386" s="5"/>
      <c r="H8386" s="5"/>
      <c r="I8386" s="5"/>
      <c r="J8386" s="5"/>
      <c r="K8386" s="5"/>
      <c r="L8386" s="5"/>
    </row>
    <row r="8387" spans="1:12" ht="12" customHeight="1" x14ac:dyDescent="0.25">
      <c r="A8387" s="6"/>
      <c r="B8387" s="1"/>
      <c r="C8387" s="5"/>
      <c r="D8387" s="5"/>
      <c r="E8387" s="5"/>
      <c r="F8387" s="5"/>
      <c r="G8387" s="5"/>
      <c r="H8387" s="5"/>
      <c r="I8387" s="5"/>
      <c r="J8387" s="5"/>
      <c r="K8387" s="5"/>
      <c r="L8387" s="5"/>
    </row>
    <row r="8388" spans="1:12" ht="12" customHeight="1" x14ac:dyDescent="0.25">
      <c r="A8388" s="6"/>
      <c r="B8388" s="1"/>
      <c r="C8388" s="5"/>
      <c r="D8388" s="5"/>
      <c r="E8388" s="5"/>
      <c r="F8388" s="5"/>
      <c r="G8388" s="5"/>
      <c r="H8388" s="5"/>
      <c r="I8388" s="5"/>
      <c r="J8388" s="5"/>
      <c r="K8388" s="5"/>
      <c r="L8388" s="5"/>
    </row>
    <row r="8389" spans="1:12" ht="12" customHeight="1" x14ac:dyDescent="0.25">
      <c r="A8389" s="6"/>
      <c r="B8389" s="1"/>
      <c r="C8389" s="5"/>
      <c r="D8389" s="5"/>
      <c r="E8389" s="5"/>
      <c r="F8389" s="5"/>
      <c r="G8389" s="5"/>
      <c r="H8389" s="5"/>
      <c r="I8389" s="5"/>
      <c r="J8389" s="5"/>
      <c r="K8389" s="5"/>
      <c r="L8389" s="5"/>
    </row>
    <row r="8390" spans="1:12" ht="12" customHeight="1" x14ac:dyDescent="0.25">
      <c r="A8390" s="6"/>
      <c r="B8390" s="1"/>
      <c r="C8390" s="5"/>
      <c r="D8390" s="5"/>
      <c r="E8390" s="5"/>
      <c r="F8390" s="5"/>
      <c r="G8390" s="5"/>
      <c r="H8390" s="5"/>
      <c r="I8390" s="5"/>
      <c r="J8390" s="5"/>
      <c r="K8390" s="5"/>
      <c r="L8390" s="5"/>
    </row>
    <row r="8391" spans="1:12" ht="12" customHeight="1" x14ac:dyDescent="0.25">
      <c r="A8391" s="6"/>
      <c r="B8391" s="1"/>
      <c r="C8391" s="5"/>
      <c r="D8391" s="5"/>
      <c r="E8391" s="5"/>
      <c r="F8391" s="5"/>
      <c r="G8391" s="5"/>
      <c r="H8391" s="5"/>
      <c r="I8391" s="5"/>
      <c r="J8391" s="5"/>
      <c r="K8391" s="5"/>
      <c r="L8391" s="5"/>
    </row>
    <row r="8392" spans="1:12" ht="12" customHeight="1" x14ac:dyDescent="0.25">
      <c r="A8392" s="6"/>
      <c r="B8392" s="1"/>
      <c r="C8392" s="5"/>
      <c r="D8392" s="5"/>
      <c r="E8392" s="5"/>
      <c r="F8392" s="5"/>
      <c r="G8392" s="5"/>
      <c r="H8392" s="5"/>
      <c r="I8392" s="5"/>
      <c r="J8392" s="5"/>
      <c r="K8392" s="5"/>
      <c r="L8392" s="5"/>
    </row>
    <row r="8393" spans="1:12" ht="12" customHeight="1" x14ac:dyDescent="0.25">
      <c r="A8393" s="6"/>
      <c r="B8393" s="1"/>
      <c r="C8393" s="5"/>
      <c r="D8393" s="5"/>
      <c r="E8393" s="5"/>
      <c r="F8393" s="5"/>
      <c r="G8393" s="5"/>
      <c r="H8393" s="5"/>
      <c r="I8393" s="5"/>
      <c r="J8393" s="5"/>
      <c r="K8393" s="5"/>
      <c r="L8393" s="5"/>
    </row>
    <row r="8394" spans="1:12" ht="12" customHeight="1" x14ac:dyDescent="0.25">
      <c r="A8394" s="6"/>
      <c r="B8394" s="1"/>
      <c r="C8394" s="5"/>
      <c r="D8394" s="5"/>
      <c r="E8394" s="5"/>
      <c r="F8394" s="5"/>
      <c r="G8394" s="5"/>
      <c r="H8394" s="5"/>
      <c r="I8394" s="5"/>
      <c r="J8394" s="5"/>
      <c r="K8394" s="5"/>
      <c r="L8394" s="5"/>
    </row>
    <row r="8395" spans="1:12" ht="12" customHeight="1" x14ac:dyDescent="0.25">
      <c r="A8395" s="6"/>
      <c r="B8395" s="1"/>
      <c r="C8395" s="5"/>
      <c r="D8395" s="5"/>
      <c r="E8395" s="5"/>
      <c r="F8395" s="5"/>
      <c r="G8395" s="5"/>
      <c r="H8395" s="5"/>
      <c r="I8395" s="5"/>
      <c r="J8395" s="5"/>
      <c r="K8395" s="5"/>
      <c r="L8395" s="5"/>
    </row>
    <row r="8396" spans="1:12" ht="12" customHeight="1" x14ac:dyDescent="0.25">
      <c r="A8396" s="6"/>
      <c r="B8396" s="1"/>
      <c r="C8396" s="5"/>
      <c r="D8396" s="5"/>
      <c r="E8396" s="5"/>
      <c r="F8396" s="5"/>
      <c r="G8396" s="5"/>
      <c r="H8396" s="5"/>
      <c r="I8396" s="5"/>
      <c r="J8396" s="5"/>
      <c r="K8396" s="5"/>
      <c r="L8396" s="5"/>
    </row>
    <row r="8397" spans="1:12" ht="12" customHeight="1" x14ac:dyDescent="0.25">
      <c r="A8397" s="6"/>
      <c r="B8397" s="1"/>
      <c r="C8397" s="5"/>
      <c r="D8397" s="5"/>
      <c r="E8397" s="5"/>
      <c r="F8397" s="5"/>
      <c r="G8397" s="5"/>
      <c r="H8397" s="5"/>
      <c r="I8397" s="5"/>
      <c r="J8397" s="5"/>
      <c r="K8397" s="5"/>
      <c r="L8397" s="5"/>
    </row>
    <row r="8398" spans="1:12" ht="12" customHeight="1" x14ac:dyDescent="0.25">
      <c r="A8398" s="6"/>
      <c r="B8398" s="1"/>
      <c r="C8398" s="5"/>
      <c r="D8398" s="5"/>
      <c r="E8398" s="5"/>
      <c r="F8398" s="5"/>
      <c r="G8398" s="5"/>
      <c r="H8398" s="5"/>
      <c r="I8398" s="5"/>
      <c r="J8398" s="5"/>
      <c r="K8398" s="5"/>
      <c r="L8398" s="5"/>
    </row>
    <row r="8399" spans="1:12" ht="12" customHeight="1" x14ac:dyDescent="0.25">
      <c r="A8399" s="6"/>
      <c r="B8399" s="1"/>
      <c r="C8399" s="5"/>
      <c r="D8399" s="5"/>
      <c r="E8399" s="5"/>
      <c r="F8399" s="5"/>
      <c r="G8399" s="5"/>
      <c r="H8399" s="5"/>
      <c r="I8399" s="5"/>
      <c r="J8399" s="5"/>
      <c r="K8399" s="5"/>
      <c r="L8399" s="5"/>
    </row>
    <row r="8400" spans="1:12" ht="12" customHeight="1" x14ac:dyDescent="0.25">
      <c r="A8400" s="6"/>
      <c r="B8400" s="1"/>
      <c r="C8400" s="5"/>
      <c r="D8400" s="5"/>
      <c r="E8400" s="5"/>
      <c r="F8400" s="5"/>
      <c r="G8400" s="5"/>
      <c r="H8400" s="5"/>
      <c r="I8400" s="5"/>
      <c r="J8400" s="5"/>
      <c r="K8400" s="5"/>
      <c r="L8400" s="5"/>
    </row>
    <row r="8401" spans="1:12" ht="12" customHeight="1" x14ac:dyDescent="0.25">
      <c r="A8401" s="6"/>
      <c r="B8401" s="1"/>
      <c r="C8401" s="5"/>
      <c r="D8401" s="5"/>
      <c r="E8401" s="5"/>
      <c r="F8401" s="5"/>
      <c r="G8401" s="5"/>
      <c r="H8401" s="5"/>
      <c r="I8401" s="5"/>
      <c r="J8401" s="5"/>
      <c r="K8401" s="5"/>
      <c r="L8401" s="5"/>
    </row>
    <row r="8402" spans="1:12" ht="12" customHeight="1" x14ac:dyDescent="0.25">
      <c r="A8402" s="6"/>
      <c r="B8402" s="1"/>
      <c r="C8402" s="5"/>
      <c r="D8402" s="5"/>
      <c r="E8402" s="5"/>
      <c r="F8402" s="5"/>
      <c r="G8402" s="5"/>
      <c r="H8402" s="5"/>
      <c r="I8402" s="5"/>
      <c r="J8402" s="5"/>
      <c r="K8402" s="5"/>
      <c r="L8402" s="5"/>
    </row>
    <row r="8403" spans="1:12" ht="12" customHeight="1" x14ac:dyDescent="0.25">
      <c r="A8403" s="6"/>
      <c r="B8403" s="1"/>
      <c r="C8403" s="5"/>
      <c r="D8403" s="5"/>
      <c r="E8403" s="5"/>
      <c r="F8403" s="5"/>
      <c r="G8403" s="5"/>
      <c r="H8403" s="5"/>
      <c r="I8403" s="5"/>
      <c r="J8403" s="5"/>
      <c r="K8403" s="5"/>
      <c r="L8403" s="5"/>
    </row>
    <row r="8404" spans="1:12" ht="12" customHeight="1" x14ac:dyDescent="0.25">
      <c r="A8404" s="6"/>
      <c r="B8404" s="1"/>
      <c r="C8404" s="5"/>
      <c r="D8404" s="5"/>
      <c r="E8404" s="5"/>
      <c r="F8404" s="5"/>
      <c r="G8404" s="5"/>
      <c r="H8404" s="5"/>
      <c r="I8404" s="5"/>
      <c r="J8404" s="5"/>
      <c r="K8404" s="5"/>
      <c r="L8404" s="5"/>
    </row>
    <row r="8405" spans="1:12" ht="12" customHeight="1" x14ac:dyDescent="0.25">
      <c r="A8405" s="6"/>
      <c r="B8405" s="1"/>
      <c r="C8405" s="5"/>
      <c r="D8405" s="5"/>
      <c r="E8405" s="5"/>
      <c r="F8405" s="5"/>
      <c r="G8405" s="5"/>
      <c r="H8405" s="5"/>
      <c r="I8405" s="5"/>
      <c r="J8405" s="5"/>
      <c r="K8405" s="5"/>
      <c r="L8405" s="5"/>
    </row>
    <row r="8406" spans="1:12" ht="12" customHeight="1" x14ac:dyDescent="0.25">
      <c r="A8406" s="6"/>
      <c r="B8406" s="1"/>
      <c r="C8406" s="5"/>
      <c r="D8406" s="5"/>
      <c r="E8406" s="5"/>
      <c r="F8406" s="5"/>
      <c r="G8406" s="5"/>
      <c r="H8406" s="5"/>
      <c r="I8406" s="5"/>
      <c r="J8406" s="5"/>
      <c r="K8406" s="5"/>
      <c r="L8406" s="5"/>
    </row>
    <row r="8407" spans="1:12" ht="12" customHeight="1" x14ac:dyDescent="0.25">
      <c r="A8407" s="6"/>
      <c r="B8407" s="1"/>
      <c r="C8407" s="5"/>
      <c r="D8407" s="5"/>
      <c r="E8407" s="5"/>
      <c r="F8407" s="5"/>
      <c r="G8407" s="5"/>
      <c r="H8407" s="5"/>
      <c r="I8407" s="5"/>
      <c r="J8407" s="5"/>
      <c r="K8407" s="5"/>
      <c r="L8407" s="5"/>
    </row>
    <row r="8408" spans="1:12" ht="12" customHeight="1" x14ac:dyDescent="0.25">
      <c r="A8408" s="6"/>
      <c r="B8408" s="1"/>
      <c r="C8408" s="5"/>
      <c r="D8408" s="5"/>
      <c r="E8408" s="5"/>
      <c r="F8408" s="5"/>
      <c r="G8408" s="5"/>
      <c r="H8408" s="5"/>
      <c r="I8408" s="5"/>
      <c r="J8408" s="5"/>
      <c r="K8408" s="5"/>
      <c r="L8408" s="5"/>
    </row>
    <row r="8409" spans="1:12" ht="12" customHeight="1" x14ac:dyDescent="0.25">
      <c r="A8409" s="6"/>
      <c r="B8409" s="1"/>
      <c r="C8409" s="5"/>
      <c r="D8409" s="5"/>
      <c r="E8409" s="5"/>
      <c r="F8409" s="5"/>
      <c r="G8409" s="5"/>
      <c r="H8409" s="5"/>
      <c r="I8409" s="5"/>
      <c r="J8409" s="5"/>
      <c r="K8409" s="5"/>
      <c r="L8409" s="5"/>
    </row>
    <row r="8410" spans="1:12" ht="12" customHeight="1" x14ac:dyDescent="0.25">
      <c r="A8410" s="6"/>
      <c r="B8410" s="1"/>
      <c r="C8410" s="5"/>
      <c r="D8410" s="5"/>
      <c r="E8410" s="5"/>
      <c r="F8410" s="5"/>
      <c r="G8410" s="5"/>
      <c r="H8410" s="5"/>
      <c r="I8410" s="5"/>
      <c r="J8410" s="5"/>
      <c r="K8410" s="5"/>
      <c r="L8410" s="5"/>
    </row>
    <row r="8411" spans="1:12" ht="12" customHeight="1" x14ac:dyDescent="0.25">
      <c r="A8411" s="6"/>
      <c r="B8411" s="1"/>
      <c r="C8411" s="5"/>
      <c r="D8411" s="5"/>
      <c r="E8411" s="5"/>
      <c r="F8411" s="5"/>
      <c r="G8411" s="5"/>
      <c r="H8411" s="5"/>
      <c r="I8411" s="5"/>
      <c r="J8411" s="5"/>
      <c r="K8411" s="5"/>
      <c r="L8411" s="5"/>
    </row>
    <row r="8412" spans="1:12" ht="12" customHeight="1" x14ac:dyDescent="0.25">
      <c r="A8412" s="6"/>
      <c r="B8412" s="1"/>
      <c r="C8412" s="5"/>
      <c r="D8412" s="5"/>
      <c r="E8412" s="5"/>
      <c r="F8412" s="5"/>
      <c r="G8412" s="5"/>
      <c r="H8412" s="5"/>
      <c r="I8412" s="5"/>
      <c r="J8412" s="5"/>
      <c r="K8412" s="5"/>
      <c r="L8412" s="5"/>
    </row>
    <row r="8413" spans="1:12" ht="12" customHeight="1" x14ac:dyDescent="0.25">
      <c r="A8413" s="6"/>
      <c r="B8413" s="1"/>
      <c r="C8413" s="5"/>
      <c r="D8413" s="5"/>
      <c r="E8413" s="5"/>
      <c r="F8413" s="5"/>
      <c r="G8413" s="5"/>
      <c r="H8413" s="5"/>
      <c r="I8413" s="5"/>
      <c r="J8413" s="5"/>
      <c r="K8413" s="5"/>
      <c r="L8413" s="5"/>
    </row>
    <row r="8414" spans="1:12" ht="12" customHeight="1" x14ac:dyDescent="0.25">
      <c r="A8414" s="6"/>
      <c r="B8414" s="1"/>
      <c r="C8414" s="5"/>
      <c r="D8414" s="5"/>
      <c r="E8414" s="5"/>
      <c r="F8414" s="5"/>
      <c r="G8414" s="5"/>
      <c r="H8414" s="5"/>
      <c r="I8414" s="5"/>
      <c r="J8414" s="5"/>
      <c r="K8414" s="5"/>
      <c r="L8414" s="5"/>
    </row>
    <row r="8415" spans="1:12" ht="12" customHeight="1" x14ac:dyDescent="0.25">
      <c r="A8415" s="6"/>
      <c r="B8415" s="1"/>
      <c r="C8415" s="5"/>
      <c r="D8415" s="5"/>
      <c r="E8415" s="5"/>
      <c r="F8415" s="5"/>
      <c r="G8415" s="5"/>
      <c r="H8415" s="5"/>
      <c r="I8415" s="5"/>
      <c r="J8415" s="5"/>
      <c r="K8415" s="5"/>
      <c r="L8415" s="5"/>
    </row>
    <row r="8416" spans="1:12" ht="12" customHeight="1" x14ac:dyDescent="0.25">
      <c r="A8416" s="6"/>
      <c r="B8416" s="1"/>
      <c r="C8416" s="5"/>
      <c r="D8416" s="5"/>
      <c r="E8416" s="5"/>
      <c r="F8416" s="5"/>
      <c r="G8416" s="5"/>
      <c r="H8416" s="5"/>
      <c r="I8416" s="5"/>
      <c r="J8416" s="5"/>
      <c r="K8416" s="5"/>
      <c r="L8416" s="5"/>
    </row>
    <row r="8417" spans="1:12" ht="12" customHeight="1" x14ac:dyDescent="0.25">
      <c r="A8417" s="6"/>
      <c r="B8417" s="1"/>
      <c r="C8417" s="5"/>
      <c r="D8417" s="5"/>
      <c r="E8417" s="5"/>
      <c r="F8417" s="5"/>
      <c r="G8417" s="5"/>
      <c r="H8417" s="5"/>
      <c r="I8417" s="5"/>
      <c r="J8417" s="5"/>
      <c r="K8417" s="5"/>
      <c r="L8417" s="5"/>
    </row>
    <row r="8418" spans="1:12" ht="12" customHeight="1" x14ac:dyDescent="0.25">
      <c r="A8418" s="6"/>
      <c r="B8418" s="1"/>
      <c r="C8418" s="5"/>
      <c r="D8418" s="5"/>
      <c r="E8418" s="5"/>
      <c r="F8418" s="5"/>
      <c r="G8418" s="5"/>
      <c r="H8418" s="5"/>
      <c r="I8418" s="5"/>
      <c r="J8418" s="5"/>
      <c r="K8418" s="5"/>
      <c r="L8418" s="5"/>
    </row>
    <row r="8419" spans="1:12" ht="12" customHeight="1" x14ac:dyDescent="0.25">
      <c r="A8419" s="6"/>
      <c r="B8419" s="1"/>
      <c r="C8419" s="5"/>
      <c r="D8419" s="5"/>
      <c r="E8419" s="5"/>
      <c r="F8419" s="5"/>
      <c r="G8419" s="5"/>
      <c r="H8419" s="5"/>
      <c r="I8419" s="5"/>
      <c r="J8419" s="5"/>
      <c r="K8419" s="5"/>
      <c r="L8419" s="5"/>
    </row>
    <row r="8420" spans="1:12" ht="12" customHeight="1" x14ac:dyDescent="0.25">
      <c r="A8420" s="6"/>
      <c r="B8420" s="1"/>
      <c r="C8420" s="5"/>
      <c r="D8420" s="5"/>
      <c r="E8420" s="5"/>
      <c r="F8420" s="5"/>
      <c r="G8420" s="5"/>
      <c r="H8420" s="5"/>
      <c r="I8420" s="5"/>
      <c r="J8420" s="5"/>
      <c r="K8420" s="5"/>
      <c r="L8420" s="5"/>
    </row>
    <row r="8421" spans="1:12" ht="12" customHeight="1" x14ac:dyDescent="0.25">
      <c r="A8421" s="6"/>
      <c r="B8421" s="1"/>
      <c r="C8421" s="5"/>
      <c r="D8421" s="5"/>
      <c r="E8421" s="5"/>
      <c r="F8421" s="5"/>
      <c r="G8421" s="5"/>
      <c r="H8421" s="5"/>
      <c r="I8421" s="5"/>
      <c r="J8421" s="5"/>
      <c r="K8421" s="5"/>
      <c r="L8421" s="5"/>
    </row>
    <row r="8422" spans="1:12" ht="12" customHeight="1" x14ac:dyDescent="0.25">
      <c r="A8422" s="6"/>
      <c r="B8422" s="1"/>
      <c r="C8422" s="5"/>
      <c r="D8422" s="5"/>
      <c r="E8422" s="5"/>
      <c r="F8422" s="5"/>
      <c r="G8422" s="5"/>
      <c r="H8422" s="5"/>
      <c r="I8422" s="5"/>
      <c r="J8422" s="5"/>
      <c r="K8422" s="5"/>
      <c r="L8422" s="5"/>
    </row>
    <row r="8423" spans="1:12" ht="12" customHeight="1" x14ac:dyDescent="0.25">
      <c r="A8423" s="6"/>
      <c r="B8423" s="1"/>
      <c r="C8423" s="5"/>
      <c r="D8423" s="5"/>
      <c r="E8423" s="5"/>
      <c r="F8423" s="5"/>
      <c r="G8423" s="5"/>
      <c r="H8423" s="5"/>
      <c r="I8423" s="5"/>
      <c r="J8423" s="5"/>
      <c r="K8423" s="5"/>
      <c r="L8423" s="5"/>
    </row>
    <row r="8424" spans="1:12" ht="12" customHeight="1" x14ac:dyDescent="0.25">
      <c r="A8424" s="6"/>
      <c r="B8424" s="1"/>
      <c r="C8424" s="5"/>
      <c r="D8424" s="5"/>
      <c r="E8424" s="5"/>
      <c r="F8424" s="5"/>
      <c r="G8424" s="5"/>
      <c r="H8424" s="5"/>
      <c r="I8424" s="5"/>
      <c r="J8424" s="5"/>
      <c r="K8424" s="5"/>
      <c r="L8424" s="5"/>
    </row>
    <row r="8425" spans="1:12" ht="12" customHeight="1" x14ac:dyDescent="0.25">
      <c r="A8425" s="6"/>
      <c r="B8425" s="1"/>
      <c r="C8425" s="5"/>
      <c r="D8425" s="5"/>
      <c r="E8425" s="5"/>
      <c r="F8425" s="5"/>
      <c r="G8425" s="5"/>
      <c r="H8425" s="5"/>
      <c r="I8425" s="5"/>
      <c r="J8425" s="5"/>
      <c r="K8425" s="5"/>
      <c r="L8425" s="5"/>
    </row>
    <row r="8426" spans="1:12" ht="12" customHeight="1" x14ac:dyDescent="0.25">
      <c r="A8426" s="6"/>
      <c r="B8426" s="1"/>
      <c r="C8426" s="5"/>
      <c r="D8426" s="5"/>
      <c r="E8426" s="5"/>
      <c r="F8426" s="5"/>
      <c r="G8426" s="5"/>
      <c r="H8426" s="5"/>
      <c r="I8426" s="5"/>
      <c r="J8426" s="5"/>
      <c r="K8426" s="5"/>
      <c r="L8426" s="5"/>
    </row>
    <row r="8427" spans="1:12" ht="12" customHeight="1" x14ac:dyDescent="0.25">
      <c r="A8427" s="6"/>
      <c r="B8427" s="1"/>
      <c r="C8427" s="5"/>
      <c r="D8427" s="5"/>
      <c r="E8427" s="5"/>
      <c r="F8427" s="5"/>
      <c r="G8427" s="5"/>
      <c r="H8427" s="5"/>
      <c r="I8427" s="5"/>
      <c r="J8427" s="5"/>
      <c r="K8427" s="5"/>
      <c r="L8427" s="5"/>
    </row>
    <row r="8428" spans="1:12" ht="12" customHeight="1" x14ac:dyDescent="0.25">
      <c r="A8428" s="6"/>
      <c r="B8428" s="1"/>
      <c r="C8428" s="5"/>
      <c r="D8428" s="5"/>
      <c r="E8428" s="5"/>
      <c r="F8428" s="5"/>
      <c r="G8428" s="5"/>
      <c r="H8428" s="5"/>
      <c r="I8428" s="5"/>
      <c r="J8428" s="5"/>
      <c r="K8428" s="5"/>
      <c r="L8428" s="5"/>
    </row>
    <row r="8429" spans="1:12" ht="12" customHeight="1" x14ac:dyDescent="0.25">
      <c r="A8429" s="6"/>
      <c r="B8429" s="1"/>
      <c r="C8429" s="5"/>
      <c r="D8429" s="5"/>
      <c r="E8429" s="5"/>
      <c r="F8429" s="5"/>
      <c r="G8429" s="5"/>
      <c r="H8429" s="5"/>
      <c r="I8429" s="5"/>
      <c r="J8429" s="5"/>
      <c r="K8429" s="5"/>
      <c r="L8429" s="5"/>
    </row>
    <row r="8430" spans="1:12" ht="12" customHeight="1" x14ac:dyDescent="0.25">
      <c r="A8430" s="6"/>
      <c r="B8430" s="1"/>
      <c r="C8430" s="5"/>
      <c r="D8430" s="5"/>
      <c r="E8430" s="5"/>
      <c r="F8430" s="5"/>
      <c r="G8430" s="5"/>
      <c r="H8430" s="5"/>
      <c r="I8430" s="5"/>
      <c r="J8430" s="5"/>
      <c r="K8430" s="5"/>
      <c r="L8430" s="5"/>
    </row>
    <row r="8431" spans="1:12" ht="12" customHeight="1" x14ac:dyDescent="0.25">
      <c r="A8431" s="6"/>
      <c r="B8431" s="1"/>
      <c r="C8431" s="5"/>
      <c r="D8431" s="5"/>
      <c r="E8431" s="5"/>
      <c r="F8431" s="5"/>
      <c r="G8431" s="5"/>
      <c r="H8431" s="5"/>
      <c r="I8431" s="5"/>
      <c r="J8431" s="5"/>
      <c r="K8431" s="5"/>
      <c r="L8431" s="5"/>
    </row>
    <row r="8432" spans="1:12" ht="12" customHeight="1" x14ac:dyDescent="0.25">
      <c r="A8432" s="6"/>
      <c r="B8432" s="1"/>
      <c r="C8432" s="5"/>
      <c r="D8432" s="5"/>
      <c r="E8432" s="5"/>
      <c r="F8432" s="5"/>
      <c r="G8432" s="5"/>
      <c r="H8432" s="5"/>
      <c r="I8432" s="5"/>
      <c r="J8432" s="5"/>
      <c r="K8432" s="5"/>
      <c r="L8432" s="5"/>
    </row>
    <row r="8433" spans="1:12" ht="12" customHeight="1" x14ac:dyDescent="0.25">
      <c r="A8433" s="6"/>
      <c r="B8433" s="1"/>
      <c r="C8433" s="5"/>
      <c r="D8433" s="5"/>
      <c r="E8433" s="5"/>
      <c r="F8433" s="5"/>
      <c r="G8433" s="5"/>
      <c r="H8433" s="5"/>
      <c r="I8433" s="5"/>
      <c r="J8433" s="5"/>
      <c r="K8433" s="5"/>
      <c r="L8433" s="5"/>
    </row>
    <row r="8434" spans="1:12" ht="12" customHeight="1" x14ac:dyDescent="0.25">
      <c r="A8434" s="6"/>
      <c r="B8434" s="1"/>
      <c r="C8434" s="5"/>
      <c r="D8434" s="5"/>
      <c r="E8434" s="5"/>
      <c r="F8434" s="5"/>
      <c r="G8434" s="5"/>
      <c r="H8434" s="5"/>
      <c r="I8434" s="5"/>
      <c r="J8434" s="5"/>
      <c r="K8434" s="5"/>
      <c r="L8434" s="5"/>
    </row>
    <row r="8435" spans="1:12" ht="12" customHeight="1" x14ac:dyDescent="0.25">
      <c r="A8435" s="6"/>
      <c r="B8435" s="1"/>
      <c r="C8435" s="5"/>
      <c r="D8435" s="5"/>
      <c r="E8435" s="5"/>
      <c r="F8435" s="5"/>
      <c r="G8435" s="5"/>
      <c r="H8435" s="5"/>
      <c r="I8435" s="5"/>
      <c r="J8435" s="5"/>
      <c r="K8435" s="5"/>
      <c r="L8435" s="5"/>
    </row>
    <row r="8436" spans="1:12" ht="12" customHeight="1" x14ac:dyDescent="0.25">
      <c r="A8436" s="6"/>
      <c r="B8436" s="1"/>
      <c r="C8436" s="5"/>
      <c r="D8436" s="5"/>
      <c r="E8436" s="5"/>
      <c r="F8436" s="5"/>
      <c r="G8436" s="5"/>
      <c r="H8436" s="5"/>
      <c r="I8436" s="5"/>
      <c r="J8436" s="5"/>
      <c r="K8436" s="5"/>
      <c r="L8436" s="5"/>
    </row>
    <row r="8437" spans="1:12" ht="12" customHeight="1" x14ac:dyDescent="0.25">
      <c r="A8437" s="6"/>
      <c r="B8437" s="1"/>
      <c r="C8437" s="5"/>
      <c r="D8437" s="5"/>
      <c r="E8437" s="5"/>
      <c r="F8437" s="5"/>
      <c r="G8437" s="5"/>
      <c r="H8437" s="5"/>
      <c r="I8437" s="5"/>
      <c r="J8437" s="5"/>
      <c r="K8437" s="5"/>
      <c r="L8437" s="5"/>
    </row>
    <row r="8438" spans="1:12" ht="12" customHeight="1" x14ac:dyDescent="0.25">
      <c r="A8438" s="6"/>
      <c r="B8438" s="1"/>
      <c r="C8438" s="5"/>
      <c r="D8438" s="5"/>
      <c r="E8438" s="5"/>
      <c r="F8438" s="5"/>
      <c r="G8438" s="5"/>
      <c r="H8438" s="5"/>
      <c r="I8438" s="5"/>
      <c r="J8438" s="5"/>
      <c r="K8438" s="5"/>
      <c r="L8438" s="5"/>
    </row>
    <row r="8439" spans="1:12" ht="12" customHeight="1" x14ac:dyDescent="0.25">
      <c r="A8439" s="6"/>
      <c r="B8439" s="1"/>
      <c r="C8439" s="5"/>
      <c r="D8439" s="5"/>
      <c r="E8439" s="5"/>
      <c r="F8439" s="5"/>
      <c r="G8439" s="5"/>
      <c r="H8439" s="5"/>
      <c r="I8439" s="5"/>
      <c r="J8439" s="5"/>
      <c r="K8439" s="5"/>
      <c r="L8439" s="5"/>
    </row>
    <row r="8440" spans="1:12" ht="12" customHeight="1" x14ac:dyDescent="0.25">
      <c r="A8440" s="6"/>
      <c r="B8440" s="1"/>
      <c r="C8440" s="5"/>
      <c r="D8440" s="5"/>
      <c r="E8440" s="5"/>
      <c r="F8440" s="5"/>
      <c r="G8440" s="5"/>
      <c r="H8440" s="5"/>
      <c r="I8440" s="5"/>
      <c r="J8440" s="5"/>
      <c r="K8440" s="5"/>
      <c r="L8440" s="5"/>
    </row>
    <row r="8441" spans="1:12" ht="12" customHeight="1" x14ac:dyDescent="0.25">
      <c r="A8441" s="6"/>
      <c r="B8441" s="1"/>
      <c r="C8441" s="5"/>
      <c r="D8441" s="5"/>
      <c r="E8441" s="5"/>
      <c r="F8441" s="5"/>
      <c r="G8441" s="5"/>
      <c r="H8441" s="5"/>
      <c r="I8441" s="5"/>
      <c r="J8441" s="5"/>
      <c r="K8441" s="5"/>
      <c r="L8441" s="5"/>
    </row>
    <row r="8442" spans="1:12" ht="12" customHeight="1" x14ac:dyDescent="0.25">
      <c r="A8442" s="6"/>
      <c r="B8442" s="1"/>
      <c r="C8442" s="5"/>
      <c r="D8442" s="5"/>
      <c r="E8442" s="5"/>
      <c r="F8442" s="5"/>
      <c r="G8442" s="5"/>
      <c r="H8442" s="5"/>
      <c r="I8442" s="5"/>
      <c r="J8442" s="5"/>
      <c r="K8442" s="5"/>
      <c r="L8442" s="5"/>
    </row>
    <row r="8443" spans="1:12" ht="12" customHeight="1" x14ac:dyDescent="0.25">
      <c r="A8443" s="6"/>
      <c r="B8443" s="1"/>
      <c r="C8443" s="5"/>
      <c r="D8443" s="5"/>
      <c r="E8443" s="5"/>
      <c r="F8443" s="5"/>
      <c r="G8443" s="5"/>
      <c r="H8443" s="5"/>
      <c r="I8443" s="5"/>
      <c r="J8443" s="5"/>
      <c r="K8443" s="5"/>
      <c r="L8443" s="5"/>
    </row>
    <row r="8444" spans="1:12" ht="12" customHeight="1" x14ac:dyDescent="0.25">
      <c r="A8444" s="6"/>
      <c r="B8444" s="1"/>
      <c r="C8444" s="5"/>
      <c r="D8444" s="5"/>
      <c r="E8444" s="5"/>
      <c r="F8444" s="5"/>
      <c r="G8444" s="5"/>
      <c r="H8444" s="5"/>
      <c r="I8444" s="5"/>
      <c r="J8444" s="5"/>
      <c r="K8444" s="5"/>
      <c r="L8444" s="5"/>
    </row>
    <row r="8445" spans="1:12" ht="12" customHeight="1" x14ac:dyDescent="0.25">
      <c r="A8445" s="6"/>
      <c r="B8445" s="1"/>
      <c r="C8445" s="5"/>
      <c r="D8445" s="5"/>
      <c r="E8445" s="5"/>
      <c r="F8445" s="5"/>
      <c r="G8445" s="5"/>
      <c r="H8445" s="5"/>
      <c r="I8445" s="5"/>
      <c r="J8445" s="5"/>
      <c r="K8445" s="5"/>
      <c r="L8445" s="5"/>
    </row>
    <row r="8446" spans="1:12" ht="12" customHeight="1" x14ac:dyDescent="0.25">
      <c r="A8446" s="6"/>
      <c r="B8446" s="1"/>
      <c r="C8446" s="5"/>
      <c r="D8446" s="5"/>
      <c r="E8446" s="5"/>
      <c r="F8446" s="5"/>
      <c r="G8446" s="5"/>
      <c r="H8446" s="5"/>
      <c r="I8446" s="5"/>
      <c r="J8446" s="5"/>
      <c r="K8446" s="5"/>
      <c r="L8446" s="5"/>
    </row>
    <row r="8447" spans="1:12" ht="12" customHeight="1" x14ac:dyDescent="0.25">
      <c r="A8447" s="6"/>
      <c r="B8447" s="1"/>
      <c r="C8447" s="5"/>
      <c r="D8447" s="5"/>
      <c r="E8447" s="5"/>
      <c r="F8447" s="5"/>
      <c r="G8447" s="5"/>
      <c r="H8447" s="5"/>
      <c r="I8447" s="5"/>
      <c r="J8447" s="5"/>
      <c r="K8447" s="5"/>
      <c r="L8447" s="5"/>
    </row>
    <row r="8448" spans="1:12" ht="12" customHeight="1" x14ac:dyDescent="0.25">
      <c r="A8448" s="6"/>
      <c r="B8448" s="1"/>
      <c r="C8448" s="5"/>
      <c r="D8448" s="5"/>
      <c r="E8448" s="5"/>
      <c r="F8448" s="5"/>
      <c r="G8448" s="5"/>
      <c r="H8448" s="5"/>
      <c r="I8448" s="5"/>
      <c r="J8448" s="5"/>
      <c r="K8448" s="5"/>
      <c r="L8448" s="5"/>
    </row>
    <row r="8449" spans="1:12" ht="12" customHeight="1" x14ac:dyDescent="0.25">
      <c r="A8449" s="6"/>
      <c r="B8449" s="1"/>
      <c r="C8449" s="5"/>
      <c r="D8449" s="5"/>
      <c r="E8449" s="5"/>
      <c r="F8449" s="5"/>
      <c r="G8449" s="5"/>
      <c r="H8449" s="5"/>
      <c r="I8449" s="5"/>
      <c r="J8449" s="5"/>
      <c r="K8449" s="5"/>
      <c r="L8449" s="5"/>
    </row>
    <row r="8450" spans="1:12" ht="12" customHeight="1" x14ac:dyDescent="0.25">
      <c r="A8450" s="6"/>
      <c r="B8450" s="1"/>
      <c r="C8450" s="5"/>
      <c r="D8450" s="5"/>
      <c r="E8450" s="5"/>
      <c r="F8450" s="5"/>
      <c r="G8450" s="5"/>
      <c r="H8450" s="5"/>
      <c r="I8450" s="5"/>
      <c r="J8450" s="5"/>
      <c r="K8450" s="5"/>
      <c r="L8450" s="5"/>
    </row>
    <row r="8451" spans="1:12" ht="12" customHeight="1" x14ac:dyDescent="0.25">
      <c r="A8451" s="6"/>
      <c r="B8451" s="1"/>
      <c r="C8451" s="5"/>
      <c r="D8451" s="5"/>
      <c r="E8451" s="5"/>
      <c r="F8451" s="5"/>
      <c r="G8451" s="5"/>
      <c r="H8451" s="5"/>
      <c r="I8451" s="5"/>
      <c r="J8451" s="5"/>
      <c r="K8451" s="5"/>
      <c r="L8451" s="5"/>
    </row>
    <row r="8452" spans="1:12" ht="12" customHeight="1" x14ac:dyDescent="0.25">
      <c r="A8452" s="6"/>
      <c r="B8452" s="1"/>
      <c r="C8452" s="5"/>
      <c r="D8452" s="5"/>
      <c r="E8452" s="5"/>
      <c r="F8452" s="5"/>
      <c r="G8452" s="5"/>
      <c r="H8452" s="5"/>
      <c r="I8452" s="5"/>
      <c r="J8452" s="5"/>
      <c r="K8452" s="5"/>
      <c r="L8452" s="5"/>
    </row>
    <row r="8453" spans="1:12" ht="12" customHeight="1" x14ac:dyDescent="0.25">
      <c r="A8453" s="6"/>
      <c r="B8453" s="1"/>
      <c r="C8453" s="5"/>
      <c r="D8453" s="5"/>
      <c r="E8453" s="5"/>
      <c r="F8453" s="5"/>
      <c r="G8453" s="5"/>
      <c r="H8453" s="5"/>
      <c r="I8453" s="5"/>
      <c r="J8453" s="5"/>
      <c r="K8453" s="5"/>
      <c r="L8453" s="5"/>
    </row>
    <row r="8454" spans="1:12" ht="12" customHeight="1" x14ac:dyDescent="0.25">
      <c r="A8454" s="6"/>
      <c r="B8454" s="1"/>
      <c r="C8454" s="5"/>
      <c r="D8454" s="5"/>
      <c r="E8454" s="5"/>
      <c r="F8454" s="5"/>
      <c r="G8454" s="5"/>
      <c r="H8454" s="5"/>
      <c r="I8454" s="5"/>
      <c r="J8454" s="5"/>
      <c r="K8454" s="5"/>
      <c r="L8454" s="5"/>
    </row>
    <row r="8455" spans="1:12" ht="12" customHeight="1" x14ac:dyDescent="0.25">
      <c r="A8455" s="6"/>
      <c r="B8455" s="1"/>
      <c r="C8455" s="5"/>
      <c r="D8455" s="5"/>
      <c r="E8455" s="5"/>
      <c r="F8455" s="5"/>
      <c r="G8455" s="5"/>
      <c r="H8455" s="5"/>
      <c r="I8455" s="5"/>
      <c r="J8455" s="5"/>
      <c r="K8455" s="5"/>
      <c r="L8455" s="5"/>
    </row>
    <row r="8456" spans="1:12" ht="12" customHeight="1" x14ac:dyDescent="0.25">
      <c r="A8456" s="6"/>
      <c r="B8456" s="1"/>
      <c r="C8456" s="5"/>
      <c r="D8456" s="5"/>
      <c r="E8456" s="5"/>
      <c r="F8456" s="5"/>
      <c r="G8456" s="5"/>
      <c r="H8456" s="5"/>
      <c r="I8456" s="5"/>
      <c r="J8456" s="5"/>
      <c r="K8456" s="5"/>
      <c r="L8456" s="5"/>
    </row>
    <row r="8457" spans="1:12" ht="12" customHeight="1" x14ac:dyDescent="0.25">
      <c r="A8457" s="6"/>
      <c r="B8457" s="1"/>
      <c r="C8457" s="5"/>
      <c r="D8457" s="5"/>
      <c r="E8457" s="5"/>
      <c r="F8457" s="5"/>
      <c r="G8457" s="5"/>
      <c r="H8457" s="5"/>
      <c r="I8457" s="5"/>
      <c r="J8457" s="5"/>
      <c r="K8457" s="5"/>
      <c r="L8457" s="5"/>
    </row>
    <row r="8458" spans="1:12" ht="12" customHeight="1" x14ac:dyDescent="0.25">
      <c r="A8458" s="6"/>
      <c r="B8458" s="1"/>
      <c r="C8458" s="5"/>
      <c r="D8458" s="5"/>
      <c r="E8458" s="5"/>
      <c r="F8458" s="5"/>
      <c r="G8458" s="5"/>
      <c r="H8458" s="5"/>
      <c r="I8458" s="5"/>
      <c r="J8458" s="5"/>
      <c r="K8458" s="5"/>
      <c r="L8458" s="5"/>
    </row>
    <row r="8459" spans="1:12" ht="12" customHeight="1" x14ac:dyDescent="0.25">
      <c r="A8459" s="6"/>
      <c r="B8459" s="1"/>
      <c r="C8459" s="5"/>
      <c r="D8459" s="5"/>
      <c r="E8459" s="5"/>
      <c r="F8459" s="5"/>
      <c r="G8459" s="5"/>
      <c r="H8459" s="5"/>
      <c r="I8459" s="5"/>
      <c r="J8459" s="5"/>
      <c r="K8459" s="5"/>
      <c r="L8459" s="5"/>
    </row>
    <row r="8460" spans="1:12" ht="12" customHeight="1" x14ac:dyDescent="0.25">
      <c r="A8460" s="6"/>
      <c r="B8460" s="1"/>
      <c r="C8460" s="5"/>
      <c r="D8460" s="5"/>
      <c r="E8460" s="5"/>
      <c r="F8460" s="5"/>
      <c r="G8460" s="5"/>
      <c r="H8460" s="5"/>
      <c r="I8460" s="5"/>
      <c r="J8460" s="5"/>
      <c r="K8460" s="5"/>
      <c r="L8460" s="5"/>
    </row>
    <row r="8461" spans="1:12" ht="12" customHeight="1" x14ac:dyDescent="0.25">
      <c r="A8461" s="6"/>
      <c r="B8461" s="1"/>
      <c r="C8461" s="5"/>
      <c r="D8461" s="5"/>
      <c r="E8461" s="5"/>
      <c r="F8461" s="5"/>
      <c r="G8461" s="5"/>
      <c r="H8461" s="5"/>
      <c r="I8461" s="5"/>
      <c r="J8461" s="5"/>
      <c r="K8461" s="5"/>
      <c r="L8461" s="5"/>
    </row>
    <row r="8462" spans="1:12" ht="12" customHeight="1" x14ac:dyDescent="0.25">
      <c r="A8462" s="6"/>
      <c r="B8462" s="1"/>
      <c r="C8462" s="5"/>
      <c r="D8462" s="5"/>
      <c r="E8462" s="5"/>
      <c r="F8462" s="5"/>
      <c r="G8462" s="5"/>
      <c r="H8462" s="5"/>
      <c r="I8462" s="5"/>
      <c r="J8462" s="5"/>
      <c r="K8462" s="5"/>
      <c r="L8462" s="5"/>
    </row>
    <row r="8463" spans="1:12" ht="12" customHeight="1" x14ac:dyDescent="0.25">
      <c r="A8463" s="6"/>
      <c r="B8463" s="1"/>
      <c r="C8463" s="5"/>
      <c r="D8463" s="5"/>
      <c r="E8463" s="5"/>
      <c r="F8463" s="5"/>
      <c r="G8463" s="5"/>
      <c r="H8463" s="5"/>
      <c r="I8463" s="5"/>
      <c r="J8463" s="5"/>
      <c r="K8463" s="5"/>
      <c r="L8463" s="5"/>
    </row>
    <row r="8464" spans="1:12" ht="12" customHeight="1" x14ac:dyDescent="0.25">
      <c r="A8464" s="6"/>
      <c r="B8464" s="1"/>
      <c r="C8464" s="5"/>
      <c r="D8464" s="5"/>
      <c r="E8464" s="5"/>
      <c r="F8464" s="5"/>
      <c r="G8464" s="5"/>
      <c r="H8464" s="5"/>
      <c r="I8464" s="5"/>
      <c r="J8464" s="5"/>
      <c r="K8464" s="5"/>
      <c r="L8464" s="5"/>
    </row>
    <row r="8465" spans="1:12" ht="12" customHeight="1" x14ac:dyDescent="0.25">
      <c r="A8465" s="6"/>
      <c r="B8465" s="1"/>
      <c r="C8465" s="5"/>
      <c r="D8465" s="5"/>
      <c r="E8465" s="5"/>
      <c r="F8465" s="5"/>
      <c r="G8465" s="5"/>
      <c r="H8465" s="5"/>
      <c r="I8465" s="5"/>
      <c r="J8465" s="5"/>
      <c r="K8465" s="5"/>
      <c r="L8465" s="5"/>
    </row>
    <row r="8466" spans="1:12" ht="12" customHeight="1" x14ac:dyDescent="0.25">
      <c r="A8466" s="6"/>
      <c r="B8466" s="1"/>
      <c r="C8466" s="5"/>
      <c r="D8466" s="5"/>
      <c r="E8466" s="5"/>
      <c r="F8466" s="5"/>
      <c r="G8466" s="5"/>
      <c r="H8466" s="5"/>
      <c r="I8466" s="5"/>
      <c r="J8466" s="5"/>
      <c r="K8466" s="5"/>
      <c r="L8466" s="5"/>
    </row>
    <row r="8467" spans="1:12" ht="12" customHeight="1" x14ac:dyDescent="0.25">
      <c r="A8467" s="6"/>
      <c r="B8467" s="1"/>
      <c r="C8467" s="5"/>
      <c r="D8467" s="5"/>
      <c r="E8467" s="5"/>
      <c r="F8467" s="5"/>
      <c r="G8467" s="5"/>
      <c r="H8467" s="5"/>
      <c r="I8467" s="5"/>
      <c r="J8467" s="5"/>
      <c r="K8467" s="5"/>
      <c r="L8467" s="5"/>
    </row>
    <row r="8468" spans="1:12" ht="12" customHeight="1" x14ac:dyDescent="0.25">
      <c r="A8468" s="6"/>
      <c r="B8468" s="1"/>
      <c r="C8468" s="5"/>
      <c r="D8468" s="5"/>
      <c r="E8468" s="5"/>
      <c r="F8468" s="5"/>
      <c r="G8468" s="5"/>
      <c r="H8468" s="5"/>
      <c r="I8468" s="5"/>
      <c r="J8468" s="5"/>
      <c r="K8468" s="5"/>
      <c r="L8468" s="5"/>
    </row>
    <row r="8469" spans="1:12" ht="12" customHeight="1" x14ac:dyDescent="0.25">
      <c r="A8469" s="6"/>
      <c r="B8469" s="1"/>
      <c r="C8469" s="5"/>
      <c r="D8469" s="5"/>
      <c r="E8469" s="5"/>
      <c r="F8469" s="5"/>
      <c r="G8469" s="5"/>
      <c r="H8469" s="5"/>
      <c r="I8469" s="5"/>
      <c r="J8469" s="5"/>
      <c r="K8469" s="5"/>
      <c r="L8469" s="5"/>
    </row>
    <row r="8470" spans="1:12" ht="12" customHeight="1" x14ac:dyDescent="0.25">
      <c r="A8470" s="6"/>
      <c r="B8470" s="1"/>
      <c r="C8470" s="5"/>
      <c r="D8470" s="5"/>
      <c r="E8470" s="5"/>
      <c r="F8470" s="5"/>
      <c r="G8470" s="5"/>
      <c r="H8470" s="5"/>
      <c r="I8470" s="5"/>
      <c r="J8470" s="5"/>
      <c r="K8470" s="5"/>
      <c r="L8470" s="5"/>
    </row>
    <row r="8471" spans="1:12" ht="12" customHeight="1" x14ac:dyDescent="0.25">
      <c r="A8471" s="6"/>
      <c r="B8471" s="1"/>
      <c r="C8471" s="5"/>
      <c r="D8471" s="5"/>
      <c r="E8471" s="5"/>
      <c r="F8471" s="5"/>
      <c r="G8471" s="5"/>
      <c r="H8471" s="5"/>
      <c r="I8471" s="5"/>
      <c r="J8471" s="5"/>
      <c r="K8471" s="5"/>
      <c r="L8471" s="5"/>
    </row>
    <row r="8472" spans="1:12" ht="12" customHeight="1" x14ac:dyDescent="0.25">
      <c r="A8472" s="6"/>
      <c r="B8472" s="1"/>
      <c r="C8472" s="5"/>
      <c r="D8472" s="5"/>
      <c r="E8472" s="5"/>
      <c r="F8472" s="5"/>
      <c r="G8472" s="5"/>
      <c r="H8472" s="5"/>
      <c r="I8472" s="5"/>
      <c r="J8472" s="5"/>
      <c r="K8472" s="5"/>
      <c r="L8472" s="5"/>
    </row>
    <row r="8473" spans="1:12" ht="12" customHeight="1" x14ac:dyDescent="0.25">
      <c r="A8473" s="6"/>
      <c r="B8473" s="1"/>
      <c r="C8473" s="5"/>
      <c r="D8473" s="5"/>
      <c r="E8473" s="5"/>
      <c r="F8473" s="5"/>
      <c r="G8473" s="5"/>
      <c r="H8473" s="5"/>
      <c r="I8473" s="5"/>
      <c r="J8473" s="5"/>
      <c r="K8473" s="5"/>
      <c r="L8473" s="5"/>
    </row>
    <row r="8474" spans="1:12" ht="12" customHeight="1" x14ac:dyDescent="0.25">
      <c r="A8474" s="6"/>
      <c r="B8474" s="1"/>
      <c r="C8474" s="5"/>
      <c r="D8474" s="5"/>
      <c r="E8474" s="5"/>
      <c r="F8474" s="5"/>
      <c r="G8474" s="5"/>
      <c r="H8474" s="5"/>
      <c r="I8474" s="5"/>
      <c r="J8474" s="5"/>
      <c r="K8474" s="5"/>
      <c r="L8474" s="5"/>
    </row>
    <row r="8475" spans="1:12" ht="12" customHeight="1" x14ac:dyDescent="0.25">
      <c r="A8475" s="6"/>
      <c r="B8475" s="1"/>
      <c r="C8475" s="5"/>
      <c r="D8475" s="5"/>
      <c r="E8475" s="5"/>
      <c r="F8475" s="5"/>
      <c r="G8475" s="5"/>
      <c r="H8475" s="5"/>
      <c r="I8475" s="5"/>
      <c r="J8475" s="5"/>
      <c r="K8475" s="5"/>
      <c r="L8475" s="5"/>
    </row>
    <row r="8476" spans="1:12" ht="12" customHeight="1" x14ac:dyDescent="0.25">
      <c r="A8476" s="6"/>
      <c r="B8476" s="1"/>
      <c r="C8476" s="5"/>
      <c r="D8476" s="5"/>
      <c r="E8476" s="5"/>
      <c r="F8476" s="5"/>
      <c r="G8476" s="5"/>
      <c r="H8476" s="5"/>
      <c r="I8476" s="5"/>
      <c r="J8476" s="5"/>
      <c r="K8476" s="5"/>
      <c r="L8476" s="5"/>
    </row>
    <row r="8477" spans="1:12" ht="12" customHeight="1" x14ac:dyDescent="0.25">
      <c r="A8477" s="6"/>
      <c r="B8477" s="1"/>
      <c r="C8477" s="5"/>
      <c r="D8477" s="5"/>
      <c r="E8477" s="5"/>
      <c r="F8477" s="5"/>
      <c r="G8477" s="5"/>
      <c r="H8477" s="5"/>
      <c r="I8477" s="5"/>
      <c r="J8477" s="5"/>
      <c r="K8477" s="5"/>
      <c r="L8477" s="5"/>
    </row>
    <row r="8478" spans="1:12" ht="12" customHeight="1" x14ac:dyDescent="0.25">
      <c r="A8478" s="6"/>
      <c r="B8478" s="1"/>
      <c r="C8478" s="5"/>
      <c r="D8478" s="5"/>
      <c r="E8478" s="5"/>
      <c r="F8478" s="5"/>
      <c r="G8478" s="5"/>
      <c r="H8478" s="5"/>
      <c r="I8478" s="5"/>
      <c r="J8478" s="5"/>
      <c r="K8478" s="5"/>
      <c r="L8478" s="5"/>
    </row>
    <row r="8479" spans="1:12" ht="12" customHeight="1" x14ac:dyDescent="0.25">
      <c r="A8479" s="6"/>
      <c r="B8479" s="1"/>
      <c r="C8479" s="5"/>
      <c r="D8479" s="5"/>
      <c r="E8479" s="5"/>
      <c r="F8479" s="5"/>
      <c r="G8479" s="5"/>
      <c r="H8479" s="5"/>
      <c r="I8479" s="5"/>
      <c r="J8479" s="5"/>
      <c r="K8479" s="5"/>
      <c r="L8479" s="5"/>
    </row>
    <row r="8480" spans="1:12" ht="12" customHeight="1" x14ac:dyDescent="0.25">
      <c r="A8480" s="6"/>
      <c r="B8480" s="1"/>
      <c r="C8480" s="5"/>
      <c r="D8480" s="5"/>
      <c r="E8480" s="5"/>
      <c r="F8480" s="5"/>
      <c r="G8480" s="5"/>
      <c r="H8480" s="5"/>
      <c r="I8480" s="5"/>
      <c r="J8480" s="5"/>
      <c r="K8480" s="5"/>
      <c r="L8480" s="5"/>
    </row>
    <row r="8481" spans="1:12" ht="12" customHeight="1" x14ac:dyDescent="0.25">
      <c r="A8481" s="6"/>
      <c r="B8481" s="1"/>
      <c r="C8481" s="5"/>
      <c r="D8481" s="5"/>
      <c r="E8481" s="5"/>
      <c r="F8481" s="5"/>
      <c r="G8481" s="5"/>
      <c r="H8481" s="5"/>
      <c r="I8481" s="5"/>
      <c r="J8481" s="5"/>
      <c r="K8481" s="5"/>
      <c r="L8481" s="5"/>
    </row>
    <row r="8482" spans="1:12" ht="12" customHeight="1" x14ac:dyDescent="0.25">
      <c r="A8482" s="6"/>
      <c r="B8482" s="1"/>
      <c r="C8482" s="5"/>
      <c r="D8482" s="5"/>
      <c r="E8482" s="5"/>
      <c r="F8482" s="5"/>
      <c r="G8482" s="5"/>
      <c r="H8482" s="5"/>
      <c r="I8482" s="5"/>
      <c r="J8482" s="5"/>
      <c r="K8482" s="5"/>
      <c r="L8482" s="5"/>
    </row>
    <row r="8483" spans="1:12" ht="12" customHeight="1" x14ac:dyDescent="0.25">
      <c r="A8483" s="6"/>
      <c r="B8483" s="1"/>
      <c r="C8483" s="5"/>
      <c r="D8483" s="5"/>
      <c r="E8483" s="5"/>
      <c r="F8483" s="5"/>
      <c r="G8483" s="5"/>
      <c r="H8483" s="5"/>
      <c r="I8483" s="5"/>
      <c r="J8483" s="5"/>
      <c r="K8483" s="5"/>
      <c r="L8483" s="5"/>
    </row>
    <row r="8484" spans="1:12" ht="12" customHeight="1" x14ac:dyDescent="0.25">
      <c r="A8484" s="6"/>
      <c r="B8484" s="1"/>
      <c r="C8484" s="5"/>
      <c r="D8484" s="5"/>
      <c r="E8484" s="5"/>
      <c r="F8484" s="5"/>
      <c r="G8484" s="5"/>
      <c r="H8484" s="5"/>
      <c r="I8484" s="5"/>
      <c r="J8484" s="5"/>
      <c r="K8484" s="5"/>
      <c r="L8484" s="5"/>
    </row>
    <row r="8485" spans="1:12" ht="12" customHeight="1" x14ac:dyDescent="0.25">
      <c r="A8485" s="6"/>
      <c r="B8485" s="1"/>
      <c r="C8485" s="5"/>
      <c r="D8485" s="5"/>
      <c r="E8485" s="5"/>
      <c r="F8485" s="5"/>
      <c r="G8485" s="5"/>
      <c r="H8485" s="5"/>
      <c r="I8485" s="5"/>
      <c r="J8485" s="5"/>
      <c r="K8485" s="5"/>
      <c r="L8485" s="5"/>
    </row>
    <row r="8486" spans="1:12" ht="12" customHeight="1" x14ac:dyDescent="0.25">
      <c r="A8486" s="6"/>
      <c r="B8486" s="1"/>
      <c r="C8486" s="5"/>
      <c r="D8486" s="5"/>
      <c r="E8486" s="5"/>
      <c r="F8486" s="5"/>
      <c r="G8486" s="5"/>
      <c r="H8486" s="5"/>
      <c r="I8486" s="5"/>
      <c r="J8486" s="5"/>
      <c r="K8486" s="5"/>
      <c r="L8486" s="5"/>
    </row>
    <row r="8487" spans="1:12" ht="12" customHeight="1" x14ac:dyDescent="0.25">
      <c r="A8487" s="6"/>
      <c r="B8487" s="1"/>
      <c r="C8487" s="5"/>
      <c r="D8487" s="5"/>
      <c r="E8487" s="5"/>
      <c r="F8487" s="5"/>
      <c r="G8487" s="5"/>
      <c r="H8487" s="5"/>
      <c r="I8487" s="5"/>
      <c r="J8487" s="5"/>
      <c r="K8487" s="5"/>
      <c r="L8487" s="5"/>
    </row>
    <row r="8488" spans="1:12" ht="12" customHeight="1" x14ac:dyDescent="0.25">
      <c r="A8488" s="6"/>
      <c r="B8488" s="1"/>
      <c r="C8488" s="5"/>
      <c r="D8488" s="5"/>
      <c r="E8488" s="5"/>
      <c r="F8488" s="5"/>
      <c r="G8488" s="5"/>
      <c r="H8488" s="5"/>
      <c r="I8488" s="5"/>
      <c r="J8488" s="5"/>
      <c r="K8488" s="5"/>
      <c r="L8488" s="5"/>
    </row>
    <row r="8489" spans="1:12" ht="12" customHeight="1" x14ac:dyDescent="0.25">
      <c r="A8489" s="6"/>
      <c r="B8489" s="1"/>
      <c r="C8489" s="5"/>
      <c r="D8489" s="5"/>
      <c r="E8489" s="5"/>
      <c r="F8489" s="5"/>
      <c r="G8489" s="5"/>
      <c r="H8489" s="5"/>
      <c r="I8489" s="5"/>
      <c r="J8489" s="5"/>
      <c r="K8489" s="5"/>
      <c r="L8489" s="5"/>
    </row>
    <row r="8490" spans="1:12" ht="12" customHeight="1" x14ac:dyDescent="0.25">
      <c r="A8490" s="6"/>
      <c r="B8490" s="1"/>
      <c r="C8490" s="5"/>
      <c r="D8490" s="5"/>
      <c r="E8490" s="5"/>
      <c r="F8490" s="5"/>
      <c r="G8490" s="5"/>
      <c r="H8490" s="5"/>
      <c r="I8490" s="5"/>
      <c r="J8490" s="5"/>
      <c r="K8490" s="5"/>
      <c r="L8490" s="5"/>
    </row>
    <row r="8491" spans="1:12" ht="12" customHeight="1" x14ac:dyDescent="0.25">
      <c r="A8491" s="6"/>
      <c r="B8491" s="1"/>
      <c r="C8491" s="5"/>
      <c r="D8491" s="5"/>
      <c r="E8491" s="5"/>
      <c r="F8491" s="5"/>
      <c r="G8491" s="5"/>
      <c r="H8491" s="5"/>
      <c r="I8491" s="5"/>
      <c r="J8491" s="5"/>
      <c r="K8491" s="5"/>
      <c r="L8491" s="5"/>
    </row>
    <row r="8492" spans="1:12" ht="12" customHeight="1" x14ac:dyDescent="0.25">
      <c r="A8492" s="6"/>
      <c r="B8492" s="1"/>
      <c r="C8492" s="5"/>
      <c r="D8492" s="5"/>
      <c r="E8492" s="5"/>
      <c r="F8492" s="5"/>
      <c r="G8492" s="5"/>
      <c r="H8492" s="5"/>
      <c r="I8492" s="5"/>
      <c r="J8492" s="5"/>
      <c r="K8492" s="5"/>
      <c r="L8492" s="5"/>
    </row>
    <row r="8493" spans="1:12" ht="12" customHeight="1" x14ac:dyDescent="0.25">
      <c r="A8493" s="6"/>
      <c r="B8493" s="1"/>
      <c r="C8493" s="5"/>
      <c r="D8493" s="5"/>
      <c r="E8493" s="5"/>
      <c r="F8493" s="5"/>
      <c r="G8493" s="5"/>
      <c r="H8493" s="5"/>
      <c r="I8493" s="5"/>
      <c r="J8493" s="5"/>
      <c r="K8493" s="5"/>
      <c r="L8493" s="5"/>
    </row>
    <row r="8494" spans="1:12" ht="12" customHeight="1" x14ac:dyDescent="0.25">
      <c r="A8494" s="6"/>
      <c r="B8494" s="1"/>
      <c r="C8494" s="5"/>
      <c r="D8494" s="5"/>
      <c r="E8494" s="5"/>
      <c r="F8494" s="5"/>
      <c r="G8494" s="5"/>
      <c r="H8494" s="5"/>
      <c r="I8494" s="5"/>
      <c r="J8494" s="5"/>
      <c r="K8494" s="5"/>
      <c r="L8494" s="5"/>
    </row>
    <row r="8495" spans="1:12" ht="12" customHeight="1" x14ac:dyDescent="0.25">
      <c r="A8495" s="6"/>
      <c r="B8495" s="1"/>
      <c r="C8495" s="5"/>
      <c r="D8495" s="5"/>
      <c r="E8495" s="5"/>
      <c r="F8495" s="5"/>
      <c r="G8495" s="5"/>
      <c r="H8495" s="5"/>
      <c r="I8495" s="5"/>
      <c r="J8495" s="5"/>
      <c r="K8495" s="5"/>
      <c r="L8495" s="5"/>
    </row>
    <row r="8496" spans="1:12" ht="12" customHeight="1" x14ac:dyDescent="0.25">
      <c r="A8496" s="6"/>
      <c r="B8496" s="1"/>
      <c r="C8496" s="5"/>
      <c r="D8496" s="5"/>
      <c r="E8496" s="5"/>
      <c r="F8496" s="5"/>
      <c r="G8496" s="5"/>
      <c r="H8496" s="5"/>
      <c r="I8496" s="5"/>
      <c r="J8496" s="5"/>
      <c r="K8496" s="5"/>
      <c r="L8496" s="5"/>
    </row>
    <row r="8497" spans="1:12" ht="12" customHeight="1" x14ac:dyDescent="0.25">
      <c r="A8497" s="6"/>
      <c r="B8497" s="1"/>
      <c r="C8497" s="5"/>
      <c r="D8497" s="5"/>
      <c r="E8497" s="5"/>
      <c r="F8497" s="5"/>
      <c r="G8497" s="5"/>
      <c r="H8497" s="5"/>
      <c r="I8497" s="5"/>
      <c r="J8497" s="5"/>
      <c r="K8497" s="5"/>
      <c r="L8497" s="5"/>
    </row>
    <row r="8498" spans="1:12" ht="12" customHeight="1" x14ac:dyDescent="0.25">
      <c r="A8498" s="6"/>
      <c r="B8498" s="1"/>
      <c r="C8498" s="5"/>
      <c r="D8498" s="5"/>
      <c r="E8498" s="5"/>
      <c r="F8498" s="5"/>
      <c r="G8498" s="5"/>
      <c r="H8498" s="5"/>
      <c r="I8498" s="5"/>
      <c r="J8498" s="5"/>
      <c r="K8498" s="5"/>
      <c r="L8498" s="5"/>
    </row>
    <row r="8499" spans="1:12" ht="12" customHeight="1" x14ac:dyDescent="0.25">
      <c r="A8499" s="6"/>
      <c r="B8499" s="1"/>
      <c r="C8499" s="5"/>
      <c r="D8499" s="5"/>
      <c r="E8499" s="5"/>
      <c r="F8499" s="5"/>
      <c r="G8499" s="5"/>
      <c r="H8499" s="5"/>
      <c r="I8499" s="5"/>
      <c r="J8499" s="5"/>
      <c r="K8499" s="5"/>
      <c r="L8499" s="5"/>
    </row>
    <row r="8500" spans="1:12" ht="12" customHeight="1" x14ac:dyDescent="0.25">
      <c r="A8500" s="6"/>
      <c r="B8500" s="1"/>
      <c r="C8500" s="5"/>
      <c r="D8500" s="5"/>
      <c r="E8500" s="5"/>
      <c r="F8500" s="5"/>
      <c r="G8500" s="5"/>
      <c r="H8500" s="5"/>
      <c r="I8500" s="5"/>
      <c r="J8500" s="5"/>
      <c r="K8500" s="5"/>
      <c r="L8500" s="5"/>
    </row>
    <row r="8501" spans="1:12" ht="12" customHeight="1" x14ac:dyDescent="0.25">
      <c r="A8501" s="6"/>
      <c r="B8501" s="1"/>
      <c r="C8501" s="5"/>
      <c r="D8501" s="5"/>
      <c r="E8501" s="5"/>
      <c r="F8501" s="5"/>
      <c r="G8501" s="5"/>
      <c r="H8501" s="5"/>
      <c r="I8501" s="5"/>
      <c r="J8501" s="5"/>
      <c r="K8501" s="5"/>
      <c r="L8501" s="5"/>
    </row>
    <row r="8502" spans="1:12" ht="12" customHeight="1" x14ac:dyDescent="0.25">
      <c r="A8502" s="6"/>
      <c r="B8502" s="1"/>
      <c r="C8502" s="5"/>
      <c r="D8502" s="5"/>
      <c r="E8502" s="5"/>
      <c r="F8502" s="5"/>
      <c r="G8502" s="5"/>
      <c r="H8502" s="5"/>
      <c r="I8502" s="5"/>
      <c r="J8502" s="5"/>
      <c r="K8502" s="5"/>
      <c r="L8502" s="5"/>
    </row>
    <row r="8503" spans="1:12" ht="12" customHeight="1" x14ac:dyDescent="0.25">
      <c r="A8503" s="6"/>
      <c r="B8503" s="1"/>
      <c r="C8503" s="5"/>
      <c r="D8503" s="5"/>
      <c r="E8503" s="5"/>
      <c r="F8503" s="5"/>
      <c r="G8503" s="5"/>
      <c r="H8503" s="5"/>
      <c r="I8503" s="5"/>
      <c r="J8503" s="5"/>
      <c r="K8503" s="5"/>
      <c r="L8503" s="5"/>
    </row>
    <row r="8504" spans="1:12" ht="12" customHeight="1" x14ac:dyDescent="0.25">
      <c r="A8504" s="6"/>
      <c r="B8504" s="1"/>
      <c r="C8504" s="5"/>
      <c r="D8504" s="5"/>
      <c r="E8504" s="5"/>
      <c r="F8504" s="5"/>
      <c r="G8504" s="5"/>
      <c r="H8504" s="5"/>
      <c r="I8504" s="5"/>
      <c r="J8504" s="5"/>
      <c r="K8504" s="5"/>
      <c r="L8504" s="5"/>
    </row>
    <row r="8505" spans="1:12" ht="12" customHeight="1" x14ac:dyDescent="0.25">
      <c r="A8505" s="6"/>
      <c r="B8505" s="1"/>
      <c r="C8505" s="5"/>
      <c r="D8505" s="5"/>
      <c r="E8505" s="5"/>
      <c r="F8505" s="5"/>
      <c r="G8505" s="5"/>
      <c r="H8505" s="5"/>
      <c r="I8505" s="5"/>
      <c r="J8505" s="5"/>
      <c r="K8505" s="5"/>
      <c r="L8505" s="5"/>
    </row>
    <row r="8506" spans="1:12" ht="12" customHeight="1" x14ac:dyDescent="0.25">
      <c r="A8506" s="6"/>
      <c r="B8506" s="1"/>
      <c r="C8506" s="5"/>
      <c r="D8506" s="5"/>
      <c r="E8506" s="5"/>
      <c r="F8506" s="5"/>
      <c r="G8506" s="5"/>
      <c r="H8506" s="5"/>
      <c r="I8506" s="5"/>
      <c r="J8506" s="5"/>
      <c r="K8506" s="5"/>
      <c r="L8506" s="5"/>
    </row>
    <row r="8507" spans="1:12" ht="12" customHeight="1" x14ac:dyDescent="0.25">
      <c r="A8507" s="6"/>
      <c r="B8507" s="1"/>
      <c r="C8507" s="5"/>
      <c r="D8507" s="5"/>
      <c r="E8507" s="5"/>
      <c r="F8507" s="5"/>
      <c r="G8507" s="5"/>
      <c r="H8507" s="5"/>
      <c r="I8507" s="5"/>
      <c r="J8507" s="5"/>
      <c r="K8507" s="5"/>
      <c r="L8507" s="5"/>
    </row>
    <row r="8508" spans="1:12" ht="12" customHeight="1" x14ac:dyDescent="0.25">
      <c r="A8508" s="6"/>
      <c r="B8508" s="1"/>
      <c r="C8508" s="5"/>
      <c r="D8508" s="5"/>
      <c r="E8508" s="5"/>
      <c r="F8508" s="5"/>
      <c r="G8508" s="5"/>
      <c r="H8508" s="5"/>
      <c r="I8508" s="5"/>
      <c r="J8508" s="5"/>
      <c r="K8508" s="5"/>
      <c r="L8508" s="5"/>
    </row>
    <row r="8509" spans="1:12" ht="12" customHeight="1" x14ac:dyDescent="0.25">
      <c r="A8509" s="6"/>
      <c r="B8509" s="1"/>
      <c r="C8509" s="5"/>
      <c r="D8509" s="5"/>
      <c r="E8509" s="5"/>
      <c r="F8509" s="5"/>
      <c r="G8509" s="5"/>
      <c r="H8509" s="5"/>
      <c r="I8509" s="5"/>
      <c r="J8509" s="5"/>
      <c r="K8509" s="5"/>
      <c r="L8509" s="5"/>
    </row>
    <row r="8510" spans="1:12" ht="12" customHeight="1" x14ac:dyDescent="0.25">
      <c r="A8510" s="6"/>
      <c r="B8510" s="1"/>
      <c r="C8510" s="5"/>
      <c r="D8510" s="5"/>
      <c r="E8510" s="5"/>
      <c r="F8510" s="5"/>
      <c r="G8510" s="5"/>
      <c r="H8510" s="5"/>
      <c r="I8510" s="5"/>
      <c r="J8510" s="5"/>
      <c r="K8510" s="5"/>
      <c r="L8510" s="5"/>
    </row>
    <row r="8511" spans="1:12" ht="12" customHeight="1" x14ac:dyDescent="0.25">
      <c r="A8511" s="6"/>
      <c r="B8511" s="1"/>
      <c r="C8511" s="5"/>
      <c r="D8511" s="5"/>
      <c r="E8511" s="5"/>
      <c r="F8511" s="5"/>
      <c r="G8511" s="5"/>
      <c r="H8511" s="5"/>
      <c r="I8511" s="5"/>
      <c r="J8511" s="5"/>
      <c r="K8511" s="5"/>
      <c r="L8511" s="5"/>
    </row>
    <row r="8512" spans="1:12" ht="12" customHeight="1" x14ac:dyDescent="0.25">
      <c r="A8512" s="6"/>
      <c r="B8512" s="1"/>
      <c r="C8512" s="5"/>
      <c r="D8512" s="5"/>
      <c r="E8512" s="5"/>
      <c r="F8512" s="5"/>
      <c r="G8512" s="5"/>
      <c r="H8512" s="5"/>
      <c r="I8512" s="5"/>
      <c r="J8512" s="5"/>
      <c r="K8512" s="5"/>
      <c r="L8512" s="5"/>
    </row>
    <row r="8513" spans="1:12" ht="12" customHeight="1" x14ac:dyDescent="0.25">
      <c r="A8513" s="6"/>
      <c r="B8513" s="1"/>
      <c r="C8513" s="5"/>
      <c r="D8513" s="5"/>
      <c r="E8513" s="5"/>
      <c r="F8513" s="5"/>
      <c r="G8513" s="5"/>
      <c r="H8513" s="5"/>
      <c r="I8513" s="5"/>
      <c r="J8513" s="5"/>
      <c r="K8513" s="5"/>
      <c r="L8513" s="5"/>
    </row>
    <row r="8514" spans="1:12" ht="12" customHeight="1" x14ac:dyDescent="0.25">
      <c r="A8514" s="6"/>
      <c r="B8514" s="1"/>
      <c r="C8514" s="5"/>
      <c r="D8514" s="5"/>
      <c r="E8514" s="5"/>
      <c r="F8514" s="5"/>
      <c r="G8514" s="5"/>
      <c r="H8514" s="5"/>
      <c r="I8514" s="5"/>
      <c r="J8514" s="5"/>
      <c r="K8514" s="5"/>
      <c r="L8514" s="5"/>
    </row>
    <row r="8515" spans="1:12" ht="12" customHeight="1" x14ac:dyDescent="0.25">
      <c r="A8515" s="6"/>
      <c r="B8515" s="1"/>
      <c r="C8515" s="5"/>
      <c r="D8515" s="5"/>
      <c r="E8515" s="5"/>
      <c r="F8515" s="5"/>
      <c r="G8515" s="5"/>
      <c r="H8515" s="5"/>
      <c r="I8515" s="5"/>
      <c r="J8515" s="5"/>
      <c r="K8515" s="5"/>
      <c r="L8515" s="5"/>
    </row>
    <row r="8516" spans="1:12" ht="12" customHeight="1" x14ac:dyDescent="0.25">
      <c r="A8516" s="6"/>
      <c r="B8516" s="1"/>
      <c r="C8516" s="5"/>
      <c r="D8516" s="5"/>
      <c r="E8516" s="5"/>
      <c r="F8516" s="5"/>
      <c r="G8516" s="5"/>
      <c r="H8516" s="5"/>
      <c r="I8516" s="5"/>
      <c r="J8516" s="5"/>
      <c r="K8516" s="5"/>
      <c r="L8516" s="5"/>
    </row>
    <row r="8517" spans="1:12" ht="12" customHeight="1" x14ac:dyDescent="0.25">
      <c r="A8517" s="6"/>
      <c r="B8517" s="1"/>
      <c r="C8517" s="5"/>
      <c r="D8517" s="5"/>
      <c r="E8517" s="5"/>
      <c r="F8517" s="5"/>
      <c r="G8517" s="5"/>
      <c r="H8517" s="5"/>
      <c r="I8517" s="5"/>
      <c r="J8517" s="5"/>
      <c r="K8517" s="5"/>
      <c r="L8517" s="5"/>
    </row>
    <row r="8518" spans="1:12" ht="12" customHeight="1" x14ac:dyDescent="0.25">
      <c r="A8518" s="6"/>
      <c r="B8518" s="1"/>
      <c r="C8518" s="5"/>
      <c r="D8518" s="5"/>
      <c r="E8518" s="5"/>
      <c r="F8518" s="5"/>
      <c r="G8518" s="5"/>
      <c r="H8518" s="5"/>
      <c r="I8518" s="5"/>
      <c r="J8518" s="5"/>
      <c r="K8518" s="5"/>
      <c r="L8518" s="5"/>
    </row>
    <row r="8519" spans="1:12" ht="12" customHeight="1" x14ac:dyDescent="0.25">
      <c r="A8519" s="6"/>
      <c r="B8519" s="1"/>
      <c r="C8519" s="5"/>
      <c r="D8519" s="5"/>
      <c r="E8519" s="5"/>
      <c r="F8519" s="5"/>
      <c r="G8519" s="5"/>
      <c r="H8519" s="5"/>
      <c r="I8519" s="5"/>
      <c r="J8519" s="5"/>
      <c r="K8519" s="5"/>
      <c r="L8519" s="5"/>
    </row>
    <row r="8520" spans="1:12" ht="12" customHeight="1" x14ac:dyDescent="0.25">
      <c r="A8520" s="6"/>
      <c r="B8520" s="1"/>
      <c r="C8520" s="5"/>
      <c r="D8520" s="5"/>
      <c r="E8520" s="5"/>
      <c r="F8520" s="5"/>
      <c r="G8520" s="5"/>
      <c r="H8520" s="5"/>
      <c r="I8520" s="5"/>
      <c r="J8520" s="5"/>
      <c r="K8520" s="5"/>
      <c r="L8520" s="5"/>
    </row>
    <row r="8521" spans="1:12" ht="12" customHeight="1" x14ac:dyDescent="0.25">
      <c r="A8521" s="6"/>
      <c r="B8521" s="1"/>
      <c r="C8521" s="5"/>
      <c r="D8521" s="5"/>
      <c r="E8521" s="5"/>
      <c r="F8521" s="5"/>
      <c r="G8521" s="5"/>
      <c r="H8521" s="5"/>
      <c r="I8521" s="5"/>
      <c r="J8521" s="5"/>
      <c r="K8521" s="5"/>
      <c r="L8521" s="5"/>
    </row>
    <row r="8522" spans="1:12" ht="12" customHeight="1" x14ac:dyDescent="0.25">
      <c r="A8522" s="6"/>
      <c r="B8522" s="1"/>
      <c r="C8522" s="5"/>
      <c r="D8522" s="5"/>
      <c r="E8522" s="5"/>
      <c r="F8522" s="5"/>
      <c r="G8522" s="5"/>
      <c r="H8522" s="5"/>
      <c r="I8522" s="5"/>
      <c r="J8522" s="5"/>
      <c r="K8522" s="5"/>
      <c r="L8522" s="5"/>
    </row>
    <row r="8523" spans="1:12" ht="12" customHeight="1" x14ac:dyDescent="0.25">
      <c r="A8523" s="6"/>
      <c r="B8523" s="1"/>
      <c r="C8523" s="5"/>
      <c r="D8523" s="5"/>
      <c r="E8523" s="5"/>
      <c r="F8523" s="5"/>
      <c r="G8523" s="5"/>
      <c r="H8523" s="5"/>
      <c r="I8523" s="5"/>
      <c r="J8523" s="5"/>
      <c r="K8523" s="5"/>
      <c r="L8523" s="5"/>
    </row>
    <row r="8524" spans="1:12" ht="12" customHeight="1" x14ac:dyDescent="0.25">
      <c r="A8524" s="6"/>
      <c r="B8524" s="1"/>
      <c r="C8524" s="5"/>
      <c r="D8524" s="5"/>
      <c r="E8524" s="5"/>
      <c r="F8524" s="5"/>
      <c r="G8524" s="5"/>
      <c r="H8524" s="5"/>
      <c r="I8524" s="5"/>
      <c r="J8524" s="5"/>
      <c r="K8524" s="5"/>
      <c r="L8524" s="5"/>
    </row>
    <row r="8525" spans="1:12" ht="12" customHeight="1" x14ac:dyDescent="0.25">
      <c r="A8525" s="6"/>
      <c r="B8525" s="1"/>
      <c r="C8525" s="5"/>
      <c r="D8525" s="5"/>
      <c r="E8525" s="5"/>
      <c r="F8525" s="5"/>
      <c r="G8525" s="5"/>
      <c r="H8525" s="5"/>
      <c r="I8525" s="5"/>
      <c r="J8525" s="5"/>
      <c r="K8525" s="5"/>
      <c r="L8525" s="5"/>
    </row>
    <row r="8526" spans="1:12" ht="12" customHeight="1" x14ac:dyDescent="0.25">
      <c r="A8526" s="6"/>
      <c r="B8526" s="1"/>
      <c r="C8526" s="5"/>
      <c r="D8526" s="5"/>
      <c r="E8526" s="5"/>
      <c r="F8526" s="5"/>
      <c r="G8526" s="5"/>
      <c r="H8526" s="5"/>
      <c r="I8526" s="5"/>
      <c r="J8526" s="5"/>
      <c r="K8526" s="5"/>
      <c r="L8526" s="5"/>
    </row>
    <row r="8527" spans="1:12" ht="12" customHeight="1" x14ac:dyDescent="0.25">
      <c r="A8527" s="6"/>
      <c r="B8527" s="1"/>
      <c r="C8527" s="5"/>
      <c r="D8527" s="5"/>
      <c r="E8527" s="5"/>
      <c r="F8527" s="5"/>
      <c r="G8527" s="5"/>
      <c r="H8527" s="5"/>
      <c r="I8527" s="5"/>
      <c r="J8527" s="5"/>
      <c r="K8527" s="5"/>
      <c r="L8527" s="5"/>
    </row>
    <row r="8528" spans="1:12" ht="12" customHeight="1" x14ac:dyDescent="0.25">
      <c r="A8528" s="6"/>
      <c r="B8528" s="1"/>
      <c r="C8528" s="5"/>
      <c r="D8528" s="5"/>
      <c r="E8528" s="5"/>
      <c r="F8528" s="5"/>
      <c r="G8528" s="5"/>
      <c r="H8528" s="5"/>
      <c r="I8528" s="5"/>
      <c r="J8528" s="5"/>
      <c r="K8528" s="5"/>
      <c r="L8528" s="5"/>
    </row>
    <row r="8529" spans="1:12" ht="12" customHeight="1" x14ac:dyDescent="0.25">
      <c r="A8529" s="6"/>
      <c r="B8529" s="1"/>
      <c r="C8529" s="5"/>
      <c r="D8529" s="5"/>
      <c r="E8529" s="5"/>
      <c r="F8529" s="5"/>
      <c r="G8529" s="5"/>
      <c r="H8529" s="5"/>
      <c r="I8529" s="5"/>
      <c r="J8529" s="5"/>
      <c r="K8529" s="5"/>
      <c r="L8529" s="5"/>
    </row>
    <row r="8530" spans="1:12" ht="12" customHeight="1" x14ac:dyDescent="0.25">
      <c r="A8530" s="6"/>
      <c r="B8530" s="1"/>
      <c r="C8530" s="5"/>
      <c r="D8530" s="5"/>
      <c r="E8530" s="5"/>
      <c r="F8530" s="5"/>
      <c r="G8530" s="5"/>
      <c r="H8530" s="5"/>
      <c r="I8530" s="5"/>
      <c r="J8530" s="5"/>
      <c r="K8530" s="5"/>
      <c r="L8530" s="5"/>
    </row>
    <row r="8531" spans="1:12" ht="12" customHeight="1" x14ac:dyDescent="0.25">
      <c r="A8531" s="6"/>
      <c r="B8531" s="1"/>
      <c r="C8531" s="5"/>
      <c r="D8531" s="5"/>
      <c r="E8531" s="5"/>
      <c r="F8531" s="5"/>
      <c r="G8531" s="5"/>
      <c r="H8531" s="5"/>
      <c r="I8531" s="5"/>
      <c r="J8531" s="5"/>
      <c r="K8531" s="5"/>
      <c r="L8531" s="5"/>
    </row>
    <row r="8532" spans="1:12" ht="12" customHeight="1" x14ac:dyDescent="0.25">
      <c r="A8532" s="6"/>
      <c r="B8532" s="1"/>
      <c r="C8532" s="5"/>
      <c r="D8532" s="5"/>
      <c r="E8532" s="5"/>
      <c r="F8532" s="5"/>
      <c r="G8532" s="5"/>
      <c r="H8532" s="5"/>
      <c r="I8532" s="5"/>
      <c r="J8532" s="5"/>
      <c r="K8532" s="5"/>
      <c r="L8532" s="5"/>
    </row>
    <row r="8533" spans="1:12" ht="12" customHeight="1" x14ac:dyDescent="0.25">
      <c r="A8533" s="6"/>
      <c r="B8533" s="1"/>
      <c r="C8533" s="5"/>
      <c r="D8533" s="5"/>
      <c r="E8533" s="5"/>
      <c r="F8533" s="5"/>
      <c r="G8533" s="5"/>
      <c r="H8533" s="5"/>
      <c r="I8533" s="5"/>
      <c r="J8533" s="5"/>
      <c r="K8533" s="5"/>
      <c r="L8533" s="5"/>
    </row>
    <row r="8534" spans="1:12" ht="12" customHeight="1" x14ac:dyDescent="0.25">
      <c r="A8534" s="6"/>
      <c r="B8534" s="1"/>
      <c r="C8534" s="5"/>
      <c r="D8534" s="5"/>
      <c r="E8534" s="5"/>
      <c r="F8534" s="5"/>
      <c r="G8534" s="5"/>
      <c r="H8534" s="5"/>
      <c r="I8534" s="5"/>
      <c r="J8534" s="5"/>
      <c r="K8534" s="5"/>
      <c r="L8534" s="5"/>
    </row>
    <row r="8535" spans="1:12" ht="12" customHeight="1" x14ac:dyDescent="0.25">
      <c r="A8535" s="6"/>
      <c r="B8535" s="1"/>
      <c r="C8535" s="5"/>
      <c r="D8535" s="5"/>
      <c r="E8535" s="5"/>
      <c r="F8535" s="5"/>
      <c r="G8535" s="5"/>
      <c r="H8535" s="5"/>
      <c r="I8535" s="5"/>
      <c r="J8535" s="5"/>
      <c r="K8535" s="5"/>
      <c r="L8535" s="5"/>
    </row>
    <row r="8536" spans="1:12" ht="12" customHeight="1" x14ac:dyDescent="0.25">
      <c r="A8536" s="6"/>
      <c r="B8536" s="1"/>
      <c r="C8536" s="5"/>
      <c r="D8536" s="5"/>
      <c r="E8536" s="5"/>
      <c r="F8536" s="5"/>
      <c r="G8536" s="5"/>
      <c r="H8536" s="5"/>
      <c r="I8536" s="5"/>
      <c r="J8536" s="5"/>
      <c r="K8536" s="5"/>
      <c r="L8536" s="5"/>
    </row>
    <row r="8537" spans="1:12" ht="12" customHeight="1" x14ac:dyDescent="0.25">
      <c r="A8537" s="6"/>
      <c r="B8537" s="1"/>
      <c r="C8537" s="5"/>
      <c r="D8537" s="5"/>
      <c r="E8537" s="5"/>
      <c r="F8537" s="5"/>
      <c r="G8537" s="5"/>
      <c r="H8537" s="5"/>
      <c r="I8537" s="5"/>
      <c r="J8537" s="5"/>
      <c r="K8537" s="5"/>
      <c r="L8537" s="5"/>
    </row>
    <row r="8538" spans="1:12" ht="12" customHeight="1" x14ac:dyDescent="0.25">
      <c r="A8538" s="6"/>
      <c r="B8538" s="1"/>
      <c r="C8538" s="5"/>
      <c r="D8538" s="5"/>
      <c r="E8538" s="5"/>
      <c r="F8538" s="5"/>
      <c r="G8538" s="5"/>
      <c r="H8538" s="5"/>
      <c r="I8538" s="5"/>
      <c r="J8538" s="5"/>
      <c r="K8538" s="5"/>
      <c r="L8538" s="5"/>
    </row>
    <row r="8539" spans="1:12" ht="12" customHeight="1" x14ac:dyDescent="0.25">
      <c r="A8539" s="6"/>
      <c r="B8539" s="1"/>
      <c r="C8539" s="5"/>
      <c r="D8539" s="5"/>
      <c r="E8539" s="5"/>
      <c r="F8539" s="5"/>
      <c r="G8539" s="5"/>
      <c r="H8539" s="5"/>
      <c r="I8539" s="5"/>
      <c r="J8539" s="5"/>
      <c r="K8539" s="5"/>
      <c r="L8539" s="5"/>
    </row>
    <row r="8540" spans="1:12" ht="12" customHeight="1" x14ac:dyDescent="0.25">
      <c r="A8540" s="6"/>
      <c r="B8540" s="1"/>
      <c r="C8540" s="5"/>
      <c r="D8540" s="5"/>
      <c r="E8540" s="5"/>
      <c r="F8540" s="5"/>
      <c r="G8540" s="5"/>
      <c r="H8540" s="5"/>
      <c r="I8540" s="5"/>
      <c r="J8540" s="5"/>
      <c r="K8540" s="5"/>
      <c r="L8540" s="5"/>
    </row>
    <row r="8541" spans="1:12" ht="12" customHeight="1" x14ac:dyDescent="0.25">
      <c r="A8541" s="6"/>
      <c r="B8541" s="1"/>
      <c r="C8541" s="5"/>
      <c r="D8541" s="5"/>
      <c r="E8541" s="5"/>
      <c r="F8541" s="5"/>
      <c r="G8541" s="5"/>
      <c r="H8541" s="5"/>
      <c r="I8541" s="5"/>
      <c r="J8541" s="5"/>
      <c r="K8541" s="5"/>
      <c r="L8541" s="5"/>
    </row>
    <row r="8542" spans="1:12" ht="12" customHeight="1" x14ac:dyDescent="0.25">
      <c r="A8542" s="6"/>
      <c r="B8542" s="1"/>
      <c r="C8542" s="5"/>
      <c r="D8542" s="5"/>
      <c r="E8542" s="5"/>
      <c r="F8542" s="5"/>
      <c r="G8542" s="5"/>
      <c r="H8542" s="5"/>
      <c r="I8542" s="5"/>
      <c r="J8542" s="5"/>
      <c r="K8542" s="5"/>
      <c r="L8542" s="5"/>
    </row>
    <row r="8543" spans="1:12" ht="12" customHeight="1" x14ac:dyDescent="0.25">
      <c r="A8543" s="6"/>
      <c r="B8543" s="1"/>
      <c r="C8543" s="5"/>
      <c r="D8543" s="5"/>
      <c r="E8543" s="5"/>
      <c r="F8543" s="5"/>
      <c r="G8543" s="5"/>
      <c r="H8543" s="5"/>
      <c r="I8543" s="5"/>
      <c r="J8543" s="5"/>
      <c r="K8543" s="5"/>
      <c r="L8543" s="5"/>
    </row>
    <row r="8544" spans="1:12" ht="12" customHeight="1" x14ac:dyDescent="0.25">
      <c r="A8544" s="6"/>
      <c r="B8544" s="1"/>
      <c r="C8544" s="5"/>
      <c r="D8544" s="5"/>
      <c r="E8544" s="5"/>
      <c r="F8544" s="5"/>
      <c r="G8544" s="5"/>
      <c r="H8544" s="5"/>
      <c r="I8544" s="5"/>
      <c r="J8544" s="5"/>
      <c r="K8544" s="5"/>
      <c r="L8544" s="5"/>
    </row>
    <row r="8545" spans="1:12" ht="12" customHeight="1" x14ac:dyDescent="0.25">
      <c r="A8545" s="6"/>
      <c r="B8545" s="1"/>
      <c r="C8545" s="5"/>
      <c r="D8545" s="5"/>
      <c r="E8545" s="5"/>
      <c r="F8545" s="5"/>
      <c r="G8545" s="5"/>
      <c r="H8545" s="5"/>
      <c r="I8545" s="5"/>
      <c r="J8545" s="5"/>
      <c r="K8545" s="5"/>
      <c r="L8545" s="5"/>
    </row>
    <row r="8546" spans="1:12" ht="12" customHeight="1" x14ac:dyDescent="0.25">
      <c r="A8546" s="6"/>
      <c r="B8546" s="1"/>
      <c r="C8546" s="5"/>
      <c r="D8546" s="5"/>
      <c r="E8546" s="5"/>
      <c r="F8546" s="5"/>
      <c r="G8546" s="5"/>
      <c r="H8546" s="5"/>
      <c r="I8546" s="5"/>
      <c r="J8546" s="5"/>
      <c r="K8546" s="5"/>
      <c r="L8546" s="5"/>
    </row>
    <row r="8547" spans="1:12" ht="12" customHeight="1" x14ac:dyDescent="0.25">
      <c r="A8547" s="6"/>
      <c r="B8547" s="1"/>
      <c r="C8547" s="5"/>
      <c r="D8547" s="5"/>
      <c r="E8547" s="5"/>
      <c r="F8547" s="5"/>
      <c r="G8547" s="5"/>
      <c r="H8547" s="5"/>
      <c r="I8547" s="5"/>
      <c r="J8547" s="5"/>
      <c r="K8547" s="5"/>
      <c r="L8547" s="5"/>
    </row>
    <row r="8548" spans="1:12" ht="12" customHeight="1" x14ac:dyDescent="0.25">
      <c r="A8548" s="6"/>
      <c r="B8548" s="1"/>
      <c r="C8548" s="5"/>
      <c r="D8548" s="5"/>
      <c r="E8548" s="5"/>
      <c r="F8548" s="5"/>
      <c r="G8548" s="5"/>
      <c r="H8548" s="5"/>
      <c r="I8548" s="5"/>
      <c r="J8548" s="5"/>
      <c r="K8548" s="5"/>
      <c r="L8548" s="5"/>
    </row>
    <row r="8549" spans="1:12" ht="12" customHeight="1" x14ac:dyDescent="0.25">
      <c r="A8549" s="6"/>
      <c r="B8549" s="1"/>
      <c r="C8549" s="5"/>
      <c r="D8549" s="5"/>
      <c r="E8549" s="5"/>
      <c r="F8549" s="5"/>
      <c r="G8549" s="5"/>
      <c r="H8549" s="5"/>
      <c r="I8549" s="5"/>
      <c r="J8549" s="5"/>
      <c r="K8549" s="5"/>
      <c r="L8549" s="5"/>
    </row>
    <row r="8550" spans="1:12" ht="12" customHeight="1" x14ac:dyDescent="0.25">
      <c r="A8550" s="6"/>
      <c r="B8550" s="1"/>
      <c r="C8550" s="5"/>
      <c r="D8550" s="5"/>
      <c r="E8550" s="5"/>
      <c r="F8550" s="5"/>
      <c r="G8550" s="5"/>
      <c r="H8550" s="5"/>
      <c r="I8550" s="5"/>
      <c r="J8550" s="5"/>
      <c r="K8550" s="5"/>
      <c r="L8550" s="5"/>
    </row>
    <row r="8551" spans="1:12" ht="12" customHeight="1" x14ac:dyDescent="0.25">
      <c r="A8551" s="6"/>
      <c r="B8551" s="1"/>
      <c r="C8551" s="5"/>
      <c r="D8551" s="5"/>
      <c r="E8551" s="5"/>
      <c r="F8551" s="5"/>
      <c r="G8551" s="5"/>
      <c r="H8551" s="5"/>
      <c r="I8551" s="5"/>
      <c r="J8551" s="5"/>
      <c r="K8551" s="5"/>
      <c r="L8551" s="5"/>
    </row>
    <row r="8552" spans="1:12" ht="12" customHeight="1" x14ac:dyDescent="0.25">
      <c r="A8552" s="6"/>
      <c r="B8552" s="1"/>
      <c r="C8552" s="5"/>
      <c r="D8552" s="5"/>
      <c r="E8552" s="5"/>
      <c r="F8552" s="5"/>
      <c r="G8552" s="5"/>
      <c r="H8552" s="5"/>
      <c r="I8552" s="5"/>
      <c r="J8552" s="5"/>
      <c r="K8552" s="5"/>
      <c r="L8552" s="5"/>
    </row>
    <row r="8553" spans="1:12" ht="12" customHeight="1" x14ac:dyDescent="0.25">
      <c r="A8553" s="6"/>
      <c r="B8553" s="1"/>
      <c r="C8553" s="5"/>
      <c r="D8553" s="5"/>
      <c r="E8553" s="5"/>
      <c r="F8553" s="5"/>
      <c r="G8553" s="5"/>
      <c r="H8553" s="5"/>
      <c r="I8553" s="5"/>
      <c r="J8553" s="5"/>
      <c r="K8553" s="5"/>
      <c r="L8553" s="5"/>
    </row>
    <row r="8554" spans="1:12" ht="12" customHeight="1" x14ac:dyDescent="0.25">
      <c r="A8554" s="6"/>
      <c r="B8554" s="1"/>
      <c r="C8554" s="5"/>
      <c r="D8554" s="5"/>
      <c r="E8554" s="5"/>
      <c r="F8554" s="5"/>
      <c r="G8554" s="5"/>
      <c r="H8554" s="5"/>
      <c r="I8554" s="5"/>
      <c r="J8554" s="5"/>
      <c r="K8554" s="5"/>
      <c r="L8554" s="5"/>
    </row>
    <row r="8555" spans="1:12" ht="12" customHeight="1" x14ac:dyDescent="0.25">
      <c r="A8555" s="6"/>
      <c r="B8555" s="1"/>
      <c r="C8555" s="5"/>
      <c r="D8555" s="5"/>
      <c r="E8555" s="5"/>
      <c r="F8555" s="5"/>
      <c r="G8555" s="5"/>
      <c r="H8555" s="5"/>
      <c r="I8555" s="5"/>
      <c r="J8555" s="5"/>
      <c r="K8555" s="5"/>
      <c r="L8555" s="5"/>
    </row>
    <row r="8556" spans="1:12" ht="12" customHeight="1" x14ac:dyDescent="0.25">
      <c r="A8556" s="6"/>
      <c r="B8556" s="1"/>
      <c r="C8556" s="5"/>
      <c r="D8556" s="5"/>
      <c r="E8556" s="5"/>
      <c r="F8556" s="5"/>
      <c r="G8556" s="5"/>
      <c r="H8556" s="5"/>
      <c r="I8556" s="5"/>
      <c r="J8556" s="5"/>
      <c r="K8556" s="5"/>
      <c r="L8556" s="5"/>
    </row>
    <row r="8557" spans="1:12" ht="12" customHeight="1" x14ac:dyDescent="0.25">
      <c r="A8557" s="6"/>
      <c r="B8557" s="1"/>
      <c r="C8557" s="5"/>
      <c r="D8557" s="5"/>
      <c r="E8557" s="5"/>
      <c r="F8557" s="5"/>
      <c r="G8557" s="5"/>
      <c r="H8557" s="5"/>
      <c r="I8557" s="5"/>
      <c r="J8557" s="5"/>
      <c r="K8557" s="5"/>
      <c r="L8557" s="5"/>
    </row>
    <row r="8558" spans="1:12" ht="12" customHeight="1" x14ac:dyDescent="0.25">
      <c r="A8558" s="6"/>
      <c r="B8558" s="1"/>
      <c r="C8558" s="5"/>
      <c r="D8558" s="5"/>
      <c r="E8558" s="5"/>
      <c r="F8558" s="5"/>
      <c r="G8558" s="5"/>
      <c r="H8558" s="5"/>
      <c r="I8558" s="5"/>
      <c r="J8558" s="5"/>
      <c r="K8558" s="5"/>
      <c r="L8558" s="5"/>
    </row>
    <row r="8559" spans="1:12" ht="12" customHeight="1" x14ac:dyDescent="0.25">
      <c r="A8559" s="6"/>
      <c r="B8559" s="1"/>
      <c r="C8559" s="5"/>
      <c r="D8559" s="5"/>
      <c r="E8559" s="5"/>
      <c r="F8559" s="5"/>
      <c r="G8559" s="5"/>
      <c r="H8559" s="5"/>
      <c r="I8559" s="5"/>
      <c r="J8559" s="5"/>
      <c r="K8559" s="5"/>
      <c r="L8559" s="5"/>
    </row>
    <row r="8560" spans="1:12" ht="12" customHeight="1" x14ac:dyDescent="0.25">
      <c r="A8560" s="6"/>
      <c r="B8560" s="1"/>
      <c r="C8560" s="5"/>
      <c r="D8560" s="5"/>
      <c r="E8560" s="5"/>
      <c r="F8560" s="5"/>
      <c r="G8560" s="5"/>
      <c r="H8560" s="5"/>
      <c r="I8560" s="5"/>
      <c r="J8560" s="5"/>
      <c r="K8560" s="5"/>
      <c r="L8560" s="5"/>
    </row>
    <row r="8561" spans="1:12" ht="12" customHeight="1" x14ac:dyDescent="0.25">
      <c r="A8561" s="6"/>
      <c r="B8561" s="1"/>
      <c r="C8561" s="5"/>
      <c r="D8561" s="5"/>
      <c r="E8561" s="5"/>
      <c r="F8561" s="5"/>
      <c r="G8561" s="5"/>
      <c r="H8561" s="5"/>
      <c r="I8561" s="5"/>
      <c r="J8561" s="5"/>
      <c r="K8561" s="5"/>
      <c r="L8561" s="5"/>
    </row>
    <row r="8562" spans="1:12" ht="12" customHeight="1" x14ac:dyDescent="0.25">
      <c r="A8562" s="6"/>
      <c r="B8562" s="1"/>
      <c r="C8562" s="5"/>
      <c r="D8562" s="5"/>
      <c r="E8562" s="5"/>
      <c r="F8562" s="5"/>
      <c r="G8562" s="5"/>
      <c r="H8562" s="5"/>
      <c r="I8562" s="5"/>
      <c r="J8562" s="5"/>
      <c r="K8562" s="5"/>
      <c r="L8562" s="5"/>
    </row>
    <row r="8563" spans="1:12" ht="12" customHeight="1" x14ac:dyDescent="0.25">
      <c r="A8563" s="6"/>
      <c r="B8563" s="1"/>
      <c r="C8563" s="5"/>
      <c r="D8563" s="5"/>
      <c r="E8563" s="5"/>
      <c r="F8563" s="5"/>
      <c r="G8563" s="5"/>
      <c r="H8563" s="5"/>
      <c r="I8563" s="5"/>
      <c r="J8563" s="5"/>
      <c r="K8563" s="5"/>
      <c r="L8563" s="5"/>
    </row>
    <row r="8564" spans="1:12" ht="12" customHeight="1" x14ac:dyDescent="0.25">
      <c r="A8564" s="6"/>
      <c r="B8564" s="1"/>
      <c r="C8564" s="5"/>
      <c r="D8564" s="5"/>
      <c r="E8564" s="5"/>
      <c r="F8564" s="5"/>
      <c r="G8564" s="5"/>
      <c r="H8564" s="5"/>
      <c r="I8564" s="5"/>
      <c r="J8564" s="5"/>
      <c r="K8564" s="5"/>
      <c r="L8564" s="5"/>
    </row>
    <row r="8565" spans="1:12" ht="12" customHeight="1" x14ac:dyDescent="0.25">
      <c r="A8565" s="6"/>
      <c r="B8565" s="1"/>
      <c r="C8565" s="5"/>
      <c r="D8565" s="5"/>
      <c r="E8565" s="5"/>
      <c r="F8565" s="5"/>
      <c r="G8565" s="5"/>
      <c r="H8565" s="5"/>
      <c r="I8565" s="5"/>
      <c r="J8565" s="5"/>
      <c r="K8565" s="5"/>
      <c r="L8565" s="5"/>
    </row>
    <row r="8566" spans="1:12" ht="12" customHeight="1" x14ac:dyDescent="0.25">
      <c r="A8566" s="6"/>
      <c r="B8566" s="1"/>
      <c r="C8566" s="5"/>
      <c r="D8566" s="5"/>
      <c r="E8566" s="5"/>
      <c r="F8566" s="5"/>
      <c r="G8566" s="5"/>
      <c r="H8566" s="5"/>
      <c r="I8566" s="5"/>
      <c r="J8566" s="5"/>
      <c r="K8566" s="5"/>
      <c r="L8566" s="5"/>
    </row>
    <row r="8567" spans="1:12" ht="12" customHeight="1" x14ac:dyDescent="0.25">
      <c r="A8567" s="6"/>
      <c r="B8567" s="1"/>
      <c r="C8567" s="5"/>
      <c r="D8567" s="5"/>
      <c r="E8567" s="5"/>
      <c r="F8567" s="5"/>
      <c r="G8567" s="5"/>
      <c r="H8567" s="5"/>
      <c r="I8567" s="5"/>
      <c r="J8567" s="5"/>
      <c r="K8567" s="5"/>
      <c r="L8567" s="5"/>
    </row>
    <row r="8568" spans="1:12" ht="12" customHeight="1" x14ac:dyDescent="0.25">
      <c r="A8568" s="6"/>
      <c r="B8568" s="1"/>
      <c r="C8568" s="5"/>
      <c r="D8568" s="5"/>
      <c r="E8568" s="5"/>
      <c r="F8568" s="5"/>
      <c r="G8568" s="5"/>
      <c r="H8568" s="5"/>
      <c r="I8568" s="5"/>
      <c r="J8568" s="5"/>
      <c r="K8568" s="5"/>
      <c r="L8568" s="5"/>
    </row>
    <row r="8569" spans="1:12" ht="12" customHeight="1" x14ac:dyDescent="0.25">
      <c r="A8569" s="6"/>
      <c r="B8569" s="1"/>
      <c r="C8569" s="5"/>
      <c r="D8569" s="5"/>
      <c r="E8569" s="5"/>
      <c r="F8569" s="5"/>
      <c r="G8569" s="5"/>
      <c r="H8569" s="5"/>
      <c r="I8569" s="5"/>
      <c r="J8569" s="5"/>
      <c r="K8569" s="5"/>
      <c r="L8569" s="5"/>
    </row>
    <row r="8570" spans="1:12" ht="12" customHeight="1" x14ac:dyDescent="0.25">
      <c r="A8570" s="6"/>
      <c r="B8570" s="1"/>
      <c r="C8570" s="5"/>
      <c r="D8570" s="5"/>
      <c r="E8570" s="5"/>
      <c r="F8570" s="5"/>
      <c r="G8570" s="5"/>
      <c r="H8570" s="5"/>
      <c r="I8570" s="5"/>
      <c r="J8570" s="5"/>
      <c r="K8570" s="5"/>
      <c r="L8570" s="5"/>
    </row>
    <row r="8571" spans="1:12" ht="12" customHeight="1" x14ac:dyDescent="0.25">
      <c r="A8571" s="6"/>
      <c r="B8571" s="1"/>
      <c r="C8571" s="5"/>
      <c r="D8571" s="5"/>
      <c r="E8571" s="5"/>
      <c r="F8571" s="5"/>
      <c r="G8571" s="5"/>
      <c r="H8571" s="5"/>
      <c r="I8571" s="5"/>
      <c r="J8571" s="5"/>
      <c r="K8571" s="5"/>
      <c r="L8571" s="5"/>
    </row>
    <row r="8572" spans="1:12" ht="12" customHeight="1" x14ac:dyDescent="0.25">
      <c r="A8572" s="6"/>
      <c r="B8572" s="1"/>
      <c r="C8572" s="5"/>
      <c r="D8572" s="5"/>
      <c r="E8572" s="5"/>
      <c r="F8572" s="5"/>
      <c r="G8572" s="5"/>
      <c r="H8572" s="5"/>
      <c r="I8572" s="5"/>
      <c r="J8572" s="5"/>
      <c r="K8572" s="5"/>
      <c r="L8572" s="5"/>
    </row>
    <row r="8573" spans="1:12" ht="12" customHeight="1" x14ac:dyDescent="0.25">
      <c r="A8573" s="6"/>
      <c r="B8573" s="1"/>
      <c r="C8573" s="5"/>
      <c r="D8573" s="5"/>
      <c r="E8573" s="5"/>
      <c r="F8573" s="5"/>
      <c r="G8573" s="5"/>
      <c r="H8573" s="5"/>
      <c r="I8573" s="5"/>
      <c r="J8573" s="5"/>
      <c r="K8573" s="5"/>
      <c r="L8573" s="5"/>
    </row>
    <row r="8574" spans="1:12" ht="12" customHeight="1" x14ac:dyDescent="0.25">
      <c r="A8574" s="6"/>
      <c r="B8574" s="1"/>
      <c r="C8574" s="5"/>
      <c r="D8574" s="5"/>
      <c r="E8574" s="5"/>
      <c r="F8574" s="5"/>
      <c r="G8574" s="5"/>
      <c r="H8574" s="5"/>
      <c r="I8574" s="5"/>
      <c r="J8574" s="5"/>
      <c r="K8574" s="5"/>
      <c r="L8574" s="5"/>
    </row>
    <row r="8575" spans="1:12" ht="12" customHeight="1" x14ac:dyDescent="0.25">
      <c r="A8575" s="6"/>
      <c r="B8575" s="1"/>
      <c r="C8575" s="5"/>
      <c r="D8575" s="5"/>
      <c r="E8575" s="5"/>
      <c r="F8575" s="5"/>
      <c r="G8575" s="5"/>
      <c r="H8575" s="5"/>
      <c r="I8575" s="5"/>
      <c r="J8575" s="5"/>
      <c r="K8575" s="5"/>
      <c r="L8575" s="5"/>
    </row>
    <row r="8576" spans="1:12" ht="12" customHeight="1" x14ac:dyDescent="0.25">
      <c r="A8576" s="6"/>
      <c r="B8576" s="1"/>
      <c r="C8576" s="5"/>
      <c r="D8576" s="5"/>
      <c r="E8576" s="5"/>
      <c r="F8576" s="5"/>
      <c r="G8576" s="5"/>
      <c r="H8576" s="5"/>
      <c r="I8576" s="5"/>
      <c r="J8576" s="5"/>
      <c r="K8576" s="5"/>
      <c r="L8576" s="5"/>
    </row>
    <row r="8577" spans="1:12" ht="12" customHeight="1" x14ac:dyDescent="0.25">
      <c r="A8577" s="6"/>
      <c r="B8577" s="1"/>
      <c r="C8577" s="5"/>
      <c r="D8577" s="5"/>
      <c r="E8577" s="5"/>
      <c r="F8577" s="5"/>
      <c r="G8577" s="5"/>
      <c r="H8577" s="5"/>
      <c r="I8577" s="5"/>
      <c r="J8577" s="5"/>
      <c r="K8577" s="5"/>
      <c r="L8577" s="5"/>
    </row>
    <row r="8578" spans="1:12" ht="12" customHeight="1" x14ac:dyDescent="0.25">
      <c r="A8578" s="6"/>
      <c r="B8578" s="1"/>
      <c r="C8578" s="5"/>
      <c r="D8578" s="5"/>
      <c r="E8578" s="5"/>
      <c r="F8578" s="5"/>
      <c r="G8578" s="5"/>
      <c r="H8578" s="5"/>
      <c r="I8578" s="5"/>
      <c r="J8578" s="5"/>
      <c r="K8578" s="5"/>
      <c r="L8578" s="5"/>
    </row>
    <row r="8579" spans="1:12" ht="12" customHeight="1" x14ac:dyDescent="0.25">
      <c r="A8579" s="6"/>
      <c r="B8579" s="1"/>
      <c r="C8579" s="5"/>
      <c r="D8579" s="5"/>
      <c r="E8579" s="5"/>
      <c r="F8579" s="5"/>
      <c r="G8579" s="5"/>
      <c r="H8579" s="5"/>
      <c r="I8579" s="5"/>
      <c r="J8579" s="5"/>
      <c r="K8579" s="5"/>
      <c r="L8579" s="5"/>
    </row>
    <row r="8580" spans="1:12" ht="12" customHeight="1" x14ac:dyDescent="0.25">
      <c r="A8580" s="6"/>
      <c r="B8580" s="1"/>
      <c r="C8580" s="5"/>
      <c r="D8580" s="5"/>
      <c r="E8580" s="5"/>
      <c r="F8580" s="5"/>
      <c r="G8580" s="5"/>
      <c r="H8580" s="5"/>
      <c r="I8580" s="5"/>
      <c r="J8580" s="5"/>
      <c r="K8580" s="5"/>
      <c r="L8580" s="5"/>
    </row>
    <row r="8581" spans="1:12" ht="12" customHeight="1" x14ac:dyDescent="0.25">
      <c r="A8581" s="6"/>
      <c r="B8581" s="1"/>
      <c r="C8581" s="5"/>
      <c r="D8581" s="5"/>
      <c r="E8581" s="5"/>
      <c r="F8581" s="5"/>
      <c r="G8581" s="5"/>
      <c r="H8581" s="5"/>
      <c r="I8581" s="5"/>
      <c r="J8581" s="5"/>
      <c r="K8581" s="5"/>
      <c r="L8581" s="5"/>
    </row>
    <row r="8582" spans="1:12" ht="12" customHeight="1" x14ac:dyDescent="0.25">
      <c r="A8582" s="6"/>
      <c r="B8582" s="1"/>
      <c r="C8582" s="5"/>
      <c r="D8582" s="5"/>
      <c r="E8582" s="5"/>
      <c r="F8582" s="5"/>
      <c r="G8582" s="5"/>
      <c r="H8582" s="5"/>
      <c r="I8582" s="5"/>
      <c r="J8582" s="5"/>
      <c r="K8582" s="5"/>
      <c r="L8582" s="5"/>
    </row>
    <row r="8583" spans="1:12" ht="12" customHeight="1" x14ac:dyDescent="0.25">
      <c r="A8583" s="6"/>
      <c r="B8583" s="1"/>
      <c r="C8583" s="5"/>
      <c r="D8583" s="5"/>
      <c r="E8583" s="5"/>
      <c r="F8583" s="5"/>
      <c r="G8583" s="5"/>
      <c r="H8583" s="5"/>
      <c r="I8583" s="5"/>
      <c r="J8583" s="5"/>
      <c r="K8583" s="5"/>
      <c r="L8583" s="5"/>
    </row>
    <row r="8584" spans="1:12" ht="12" customHeight="1" x14ac:dyDescent="0.25">
      <c r="A8584" s="6"/>
      <c r="B8584" s="1"/>
      <c r="C8584" s="5"/>
      <c r="D8584" s="5"/>
      <c r="E8584" s="5"/>
      <c r="F8584" s="5"/>
      <c r="G8584" s="5"/>
      <c r="H8584" s="5"/>
      <c r="I8584" s="5"/>
      <c r="J8584" s="5"/>
      <c r="K8584" s="5"/>
      <c r="L8584" s="5"/>
    </row>
    <row r="8585" spans="1:12" ht="12" customHeight="1" x14ac:dyDescent="0.25">
      <c r="A8585" s="6"/>
      <c r="B8585" s="1"/>
      <c r="C8585" s="5"/>
      <c r="D8585" s="5"/>
      <c r="E8585" s="5"/>
      <c r="F8585" s="5"/>
      <c r="G8585" s="5"/>
      <c r="H8585" s="5"/>
      <c r="I8585" s="5"/>
      <c r="J8585" s="5"/>
      <c r="K8585" s="5"/>
      <c r="L8585" s="5"/>
    </row>
    <row r="8586" spans="1:12" ht="12" customHeight="1" x14ac:dyDescent="0.25">
      <c r="A8586" s="6"/>
      <c r="B8586" s="1"/>
      <c r="C8586" s="5"/>
      <c r="D8586" s="5"/>
      <c r="E8586" s="5"/>
      <c r="F8586" s="5"/>
      <c r="G8586" s="5"/>
      <c r="H8586" s="5"/>
      <c r="I8586" s="5"/>
      <c r="J8586" s="5"/>
      <c r="K8586" s="5"/>
      <c r="L8586" s="5"/>
    </row>
    <row r="8587" spans="1:12" ht="12" customHeight="1" x14ac:dyDescent="0.25">
      <c r="A8587" s="6"/>
      <c r="B8587" s="1"/>
      <c r="C8587" s="5"/>
      <c r="D8587" s="5"/>
      <c r="E8587" s="5"/>
      <c r="F8587" s="5"/>
      <c r="G8587" s="5"/>
      <c r="H8587" s="5"/>
      <c r="I8587" s="5"/>
      <c r="J8587" s="5"/>
      <c r="K8587" s="5"/>
      <c r="L8587" s="5"/>
    </row>
    <row r="8588" spans="1:12" ht="12" customHeight="1" x14ac:dyDescent="0.25">
      <c r="A8588" s="6"/>
      <c r="B8588" s="1"/>
      <c r="C8588" s="5"/>
      <c r="D8588" s="5"/>
      <c r="E8588" s="5"/>
      <c r="F8588" s="5"/>
      <c r="G8588" s="5"/>
      <c r="H8588" s="5"/>
      <c r="I8588" s="5"/>
      <c r="J8588" s="5"/>
      <c r="K8588" s="5"/>
      <c r="L8588" s="5"/>
    </row>
    <row r="8589" spans="1:12" ht="12" customHeight="1" x14ac:dyDescent="0.25">
      <c r="A8589" s="6"/>
      <c r="B8589" s="1"/>
      <c r="C8589" s="5"/>
      <c r="D8589" s="5"/>
      <c r="E8589" s="5"/>
      <c r="F8589" s="5"/>
      <c r="G8589" s="5"/>
      <c r="H8589" s="5"/>
      <c r="I8589" s="5"/>
      <c r="J8589" s="5"/>
      <c r="K8589" s="5"/>
      <c r="L8589" s="5"/>
    </row>
    <row r="8590" spans="1:12" ht="12" customHeight="1" x14ac:dyDescent="0.25">
      <c r="A8590" s="6"/>
      <c r="B8590" s="1"/>
      <c r="C8590" s="5"/>
      <c r="D8590" s="5"/>
      <c r="E8590" s="5"/>
      <c r="F8590" s="5"/>
      <c r="G8590" s="5"/>
      <c r="H8590" s="5"/>
      <c r="I8590" s="5"/>
      <c r="J8590" s="5"/>
      <c r="K8590" s="5"/>
      <c r="L8590" s="5"/>
    </row>
    <row r="8591" spans="1:12" ht="12" customHeight="1" x14ac:dyDescent="0.25">
      <c r="A8591" s="6"/>
      <c r="B8591" s="1"/>
      <c r="C8591" s="5"/>
      <c r="D8591" s="5"/>
      <c r="E8591" s="5"/>
      <c r="F8591" s="5"/>
      <c r="G8591" s="5"/>
      <c r="H8591" s="5"/>
      <c r="I8591" s="5"/>
      <c r="J8591" s="5"/>
      <c r="K8591" s="5"/>
      <c r="L8591" s="5"/>
    </row>
    <row r="8592" spans="1:12" ht="12" customHeight="1" x14ac:dyDescent="0.25">
      <c r="A8592" s="6"/>
      <c r="B8592" s="1"/>
      <c r="C8592" s="5"/>
      <c r="D8592" s="5"/>
      <c r="E8592" s="5"/>
      <c r="F8592" s="5"/>
      <c r="G8592" s="5"/>
      <c r="H8592" s="5"/>
      <c r="I8592" s="5"/>
      <c r="J8592" s="5"/>
      <c r="K8592" s="5"/>
      <c r="L8592" s="5"/>
    </row>
    <row r="8593" spans="1:12" ht="12" customHeight="1" x14ac:dyDescent="0.25">
      <c r="A8593" s="6"/>
      <c r="B8593" s="1"/>
      <c r="C8593" s="5"/>
      <c r="D8593" s="5"/>
      <c r="E8593" s="5"/>
      <c r="F8593" s="5"/>
      <c r="G8593" s="5"/>
      <c r="H8593" s="5"/>
      <c r="I8593" s="5"/>
      <c r="J8593" s="5"/>
      <c r="K8593" s="5"/>
      <c r="L8593" s="5"/>
    </row>
    <row r="8594" spans="1:12" ht="12" customHeight="1" x14ac:dyDescent="0.25">
      <c r="A8594" s="6"/>
      <c r="B8594" s="1"/>
      <c r="C8594" s="5"/>
      <c r="D8594" s="5"/>
      <c r="E8594" s="5"/>
      <c r="F8594" s="5"/>
      <c r="G8594" s="5"/>
      <c r="H8594" s="5"/>
      <c r="I8594" s="5"/>
      <c r="J8594" s="5"/>
      <c r="K8594" s="5"/>
      <c r="L8594" s="5"/>
    </row>
    <row r="8595" spans="1:12" ht="12" customHeight="1" x14ac:dyDescent="0.25">
      <c r="A8595" s="6"/>
      <c r="B8595" s="1"/>
      <c r="C8595" s="5"/>
      <c r="D8595" s="5"/>
      <c r="E8595" s="5"/>
      <c r="F8595" s="5"/>
      <c r="G8595" s="5"/>
      <c r="H8595" s="5"/>
      <c r="I8595" s="5"/>
      <c r="J8595" s="5"/>
      <c r="K8595" s="5"/>
      <c r="L8595" s="5"/>
    </row>
    <row r="8596" spans="1:12" ht="12" customHeight="1" x14ac:dyDescent="0.25">
      <c r="A8596" s="6"/>
      <c r="B8596" s="1"/>
      <c r="C8596" s="5"/>
      <c r="D8596" s="5"/>
      <c r="E8596" s="5"/>
      <c r="F8596" s="5"/>
      <c r="G8596" s="5"/>
      <c r="H8596" s="5"/>
      <c r="I8596" s="5"/>
      <c r="J8596" s="5"/>
      <c r="K8596" s="5"/>
      <c r="L8596" s="5"/>
    </row>
    <row r="8597" spans="1:12" ht="12" customHeight="1" x14ac:dyDescent="0.25">
      <c r="A8597" s="6"/>
      <c r="B8597" s="1"/>
      <c r="C8597" s="5"/>
      <c r="D8597" s="5"/>
      <c r="E8597" s="5"/>
      <c r="F8597" s="5"/>
      <c r="G8597" s="5"/>
      <c r="H8597" s="5"/>
      <c r="I8597" s="5"/>
      <c r="J8597" s="5"/>
      <c r="K8597" s="5"/>
      <c r="L8597" s="5"/>
    </row>
    <row r="8598" spans="1:12" ht="12" customHeight="1" x14ac:dyDescent="0.25">
      <c r="A8598" s="6"/>
      <c r="B8598" s="1"/>
      <c r="C8598" s="5"/>
      <c r="D8598" s="5"/>
      <c r="E8598" s="5"/>
      <c r="F8598" s="5"/>
      <c r="G8598" s="5"/>
      <c r="H8598" s="5"/>
      <c r="I8598" s="5"/>
      <c r="J8598" s="5"/>
      <c r="K8598" s="5"/>
      <c r="L8598" s="5"/>
    </row>
    <row r="8599" spans="1:12" ht="12" customHeight="1" x14ac:dyDescent="0.25">
      <c r="A8599" s="6"/>
      <c r="B8599" s="1"/>
      <c r="C8599" s="5"/>
      <c r="D8599" s="5"/>
      <c r="E8599" s="5"/>
      <c r="F8599" s="5"/>
      <c r="G8599" s="5"/>
      <c r="H8599" s="5"/>
      <c r="I8599" s="5"/>
      <c r="J8599" s="5"/>
      <c r="K8599" s="5"/>
      <c r="L8599" s="5"/>
    </row>
    <row r="8600" spans="1:12" ht="12" customHeight="1" x14ac:dyDescent="0.25">
      <c r="A8600" s="6"/>
      <c r="B8600" s="1"/>
      <c r="C8600" s="5"/>
      <c r="D8600" s="5"/>
      <c r="E8600" s="5"/>
      <c r="F8600" s="5"/>
      <c r="G8600" s="5"/>
      <c r="H8600" s="5"/>
      <c r="I8600" s="5"/>
      <c r="J8600" s="5"/>
      <c r="K8600" s="5"/>
      <c r="L8600" s="5"/>
    </row>
    <row r="8601" spans="1:12" ht="12" customHeight="1" x14ac:dyDescent="0.25">
      <c r="A8601" s="6"/>
      <c r="B8601" s="1"/>
      <c r="C8601" s="5"/>
      <c r="D8601" s="5"/>
      <c r="E8601" s="5"/>
      <c r="F8601" s="5"/>
      <c r="G8601" s="5"/>
      <c r="H8601" s="5"/>
      <c r="I8601" s="5"/>
      <c r="J8601" s="5"/>
      <c r="K8601" s="5"/>
      <c r="L8601" s="5"/>
    </row>
    <row r="8602" spans="1:12" ht="12" customHeight="1" x14ac:dyDescent="0.25">
      <c r="A8602" s="6"/>
      <c r="B8602" s="1"/>
      <c r="C8602" s="5"/>
      <c r="D8602" s="5"/>
      <c r="E8602" s="5"/>
      <c r="F8602" s="5"/>
      <c r="G8602" s="5"/>
      <c r="H8602" s="5"/>
      <c r="I8602" s="5"/>
      <c r="J8602" s="5"/>
      <c r="K8602" s="5"/>
      <c r="L8602" s="5"/>
    </row>
    <row r="8603" spans="1:12" ht="12" customHeight="1" x14ac:dyDescent="0.25">
      <c r="A8603" s="6"/>
      <c r="B8603" s="1"/>
      <c r="C8603" s="5"/>
      <c r="D8603" s="5"/>
      <c r="E8603" s="5"/>
      <c r="F8603" s="5"/>
      <c r="G8603" s="5"/>
      <c r="H8603" s="5"/>
      <c r="I8603" s="5"/>
      <c r="J8603" s="5"/>
      <c r="K8603" s="5"/>
      <c r="L8603" s="5"/>
    </row>
    <row r="8604" spans="1:12" ht="12" customHeight="1" x14ac:dyDescent="0.25">
      <c r="A8604" s="6"/>
      <c r="B8604" s="1"/>
      <c r="C8604" s="5"/>
      <c r="D8604" s="5"/>
      <c r="E8604" s="5"/>
      <c r="F8604" s="5"/>
      <c r="G8604" s="5"/>
      <c r="H8604" s="5"/>
      <c r="I8604" s="5"/>
      <c r="J8604" s="5"/>
      <c r="K8604" s="5"/>
      <c r="L8604" s="5"/>
    </row>
    <row r="8605" spans="1:12" ht="12" customHeight="1" x14ac:dyDescent="0.25">
      <c r="A8605" s="6"/>
      <c r="B8605" s="1"/>
      <c r="C8605" s="5"/>
      <c r="D8605" s="5"/>
      <c r="E8605" s="5"/>
      <c r="F8605" s="5"/>
      <c r="G8605" s="5"/>
      <c r="H8605" s="5"/>
      <c r="I8605" s="5"/>
      <c r="J8605" s="5"/>
      <c r="K8605" s="5"/>
      <c r="L8605" s="5"/>
    </row>
    <row r="8606" spans="1:12" ht="12" customHeight="1" x14ac:dyDescent="0.25">
      <c r="A8606" s="6"/>
      <c r="B8606" s="1"/>
      <c r="C8606" s="5"/>
      <c r="D8606" s="5"/>
      <c r="E8606" s="5"/>
      <c r="F8606" s="5"/>
      <c r="G8606" s="5"/>
      <c r="H8606" s="5"/>
      <c r="I8606" s="5"/>
      <c r="J8606" s="5"/>
      <c r="K8606" s="5"/>
      <c r="L8606" s="5"/>
    </row>
    <row r="8607" spans="1:12" ht="12" customHeight="1" x14ac:dyDescent="0.25">
      <c r="A8607" s="6"/>
      <c r="B8607" s="1"/>
      <c r="C8607" s="5"/>
      <c r="D8607" s="5"/>
      <c r="E8607" s="5"/>
      <c r="F8607" s="5"/>
      <c r="G8607" s="5"/>
      <c r="H8607" s="5"/>
      <c r="I8607" s="5"/>
      <c r="J8607" s="5"/>
      <c r="K8607" s="5"/>
      <c r="L8607" s="5"/>
    </row>
    <row r="8608" spans="1:12" ht="12" customHeight="1" x14ac:dyDescent="0.25">
      <c r="A8608" s="6"/>
      <c r="B8608" s="1"/>
      <c r="C8608" s="5"/>
      <c r="D8608" s="5"/>
      <c r="E8608" s="5"/>
      <c r="F8608" s="5"/>
      <c r="G8608" s="5"/>
      <c r="H8608" s="5"/>
      <c r="I8608" s="5"/>
      <c r="J8608" s="5"/>
      <c r="K8608" s="5"/>
      <c r="L8608" s="5"/>
    </row>
    <row r="8609" spans="1:12" ht="12" customHeight="1" x14ac:dyDescent="0.25">
      <c r="A8609" s="6"/>
      <c r="B8609" s="1"/>
      <c r="C8609" s="5"/>
      <c r="D8609" s="5"/>
      <c r="E8609" s="5"/>
      <c r="F8609" s="5"/>
      <c r="G8609" s="5"/>
      <c r="H8609" s="5"/>
      <c r="I8609" s="5"/>
      <c r="J8609" s="5"/>
      <c r="K8609" s="5"/>
      <c r="L8609" s="5"/>
    </row>
    <row r="8610" spans="1:12" ht="12" customHeight="1" x14ac:dyDescent="0.25">
      <c r="A8610" s="6"/>
      <c r="B8610" s="1"/>
      <c r="C8610" s="5"/>
      <c r="D8610" s="5"/>
      <c r="E8610" s="5"/>
      <c r="F8610" s="5"/>
      <c r="G8610" s="5"/>
      <c r="H8610" s="5"/>
      <c r="I8610" s="5"/>
      <c r="J8610" s="5"/>
      <c r="K8610" s="5"/>
      <c r="L8610" s="5"/>
    </row>
    <row r="8611" spans="1:12" ht="12" customHeight="1" x14ac:dyDescent="0.25">
      <c r="A8611" s="6"/>
      <c r="B8611" s="1"/>
      <c r="C8611" s="5"/>
      <c r="D8611" s="5"/>
      <c r="E8611" s="5"/>
      <c r="F8611" s="5"/>
      <c r="G8611" s="5"/>
      <c r="H8611" s="5"/>
      <c r="I8611" s="5"/>
      <c r="J8611" s="5"/>
      <c r="K8611" s="5"/>
      <c r="L8611" s="5"/>
    </row>
    <row r="8612" spans="1:12" ht="12" customHeight="1" x14ac:dyDescent="0.25">
      <c r="A8612" s="6"/>
      <c r="B8612" s="1"/>
      <c r="C8612" s="5"/>
      <c r="D8612" s="5"/>
      <c r="E8612" s="5"/>
      <c r="F8612" s="5"/>
      <c r="G8612" s="5"/>
      <c r="H8612" s="5"/>
      <c r="I8612" s="5"/>
      <c r="J8612" s="5"/>
      <c r="K8612" s="5"/>
      <c r="L8612" s="5"/>
    </row>
    <row r="8613" spans="1:12" ht="12" customHeight="1" x14ac:dyDescent="0.25">
      <c r="A8613" s="6"/>
      <c r="B8613" s="1"/>
      <c r="C8613" s="5"/>
      <c r="D8613" s="5"/>
      <c r="E8613" s="5"/>
      <c r="F8613" s="5"/>
      <c r="G8613" s="5"/>
      <c r="H8613" s="5"/>
      <c r="I8613" s="5"/>
      <c r="J8613" s="5"/>
      <c r="K8613" s="5"/>
      <c r="L8613" s="5"/>
    </row>
    <row r="8614" spans="1:12" ht="12" customHeight="1" x14ac:dyDescent="0.25">
      <c r="A8614" s="6"/>
      <c r="B8614" s="1"/>
      <c r="C8614" s="5"/>
      <c r="D8614" s="5"/>
      <c r="E8614" s="5"/>
      <c r="F8614" s="5"/>
      <c r="G8614" s="5"/>
      <c r="H8614" s="5"/>
      <c r="I8614" s="5"/>
      <c r="J8614" s="5"/>
      <c r="K8614" s="5"/>
      <c r="L8614" s="5"/>
    </row>
    <row r="8615" spans="1:12" ht="12" customHeight="1" x14ac:dyDescent="0.25">
      <c r="A8615" s="6"/>
      <c r="B8615" s="1"/>
      <c r="C8615" s="5"/>
      <c r="D8615" s="5"/>
      <c r="E8615" s="5"/>
      <c r="F8615" s="5"/>
      <c r="G8615" s="5"/>
      <c r="H8615" s="5"/>
      <c r="I8615" s="5"/>
      <c r="J8615" s="5"/>
      <c r="K8615" s="5"/>
      <c r="L8615" s="5"/>
    </row>
    <row r="8616" spans="1:12" ht="12" customHeight="1" x14ac:dyDescent="0.25">
      <c r="A8616" s="6"/>
      <c r="B8616" s="1"/>
      <c r="C8616" s="5"/>
      <c r="D8616" s="5"/>
      <c r="E8616" s="5"/>
      <c r="F8616" s="5"/>
      <c r="G8616" s="5"/>
      <c r="H8616" s="5"/>
      <c r="I8616" s="5"/>
      <c r="J8616" s="5"/>
      <c r="K8616" s="5"/>
      <c r="L8616" s="5"/>
    </row>
    <row r="8617" spans="1:12" ht="12" customHeight="1" x14ac:dyDescent="0.25">
      <c r="A8617" s="6"/>
      <c r="B8617" s="1"/>
      <c r="C8617" s="5"/>
      <c r="D8617" s="5"/>
      <c r="E8617" s="5"/>
      <c r="F8617" s="5"/>
      <c r="G8617" s="5"/>
      <c r="H8617" s="5"/>
      <c r="I8617" s="5"/>
      <c r="J8617" s="5"/>
      <c r="K8617" s="5"/>
      <c r="L8617" s="5"/>
    </row>
    <row r="8618" spans="1:12" ht="12" customHeight="1" x14ac:dyDescent="0.25">
      <c r="A8618" s="6"/>
      <c r="B8618" s="1"/>
      <c r="C8618" s="5"/>
      <c r="D8618" s="5"/>
      <c r="E8618" s="5"/>
      <c r="F8618" s="5"/>
      <c r="G8618" s="5"/>
      <c r="H8618" s="5"/>
      <c r="I8618" s="5"/>
      <c r="J8618" s="5"/>
      <c r="K8618" s="5"/>
      <c r="L8618" s="5"/>
    </row>
    <row r="8619" spans="1:12" ht="12" customHeight="1" x14ac:dyDescent="0.25">
      <c r="A8619" s="6"/>
      <c r="B8619" s="1"/>
      <c r="C8619" s="5"/>
      <c r="D8619" s="5"/>
      <c r="E8619" s="5"/>
      <c r="F8619" s="5"/>
      <c r="G8619" s="5"/>
      <c r="H8619" s="5"/>
      <c r="I8619" s="5"/>
      <c r="J8619" s="5"/>
      <c r="K8619" s="5"/>
      <c r="L8619" s="5"/>
    </row>
    <row r="8620" spans="1:12" ht="12" customHeight="1" x14ac:dyDescent="0.25">
      <c r="A8620" s="6"/>
      <c r="B8620" s="1"/>
      <c r="C8620" s="5"/>
      <c r="D8620" s="5"/>
      <c r="E8620" s="5"/>
      <c r="F8620" s="5"/>
      <c r="G8620" s="5"/>
      <c r="H8620" s="5"/>
      <c r="I8620" s="5"/>
      <c r="J8620" s="5"/>
      <c r="K8620" s="5"/>
      <c r="L8620" s="5"/>
    </row>
    <row r="8621" spans="1:12" ht="12" customHeight="1" x14ac:dyDescent="0.25">
      <c r="A8621" s="6"/>
      <c r="B8621" s="1"/>
      <c r="C8621" s="5"/>
      <c r="D8621" s="5"/>
      <c r="E8621" s="5"/>
      <c r="F8621" s="5"/>
      <c r="G8621" s="5"/>
      <c r="H8621" s="5"/>
      <c r="I8621" s="5"/>
      <c r="J8621" s="5"/>
      <c r="K8621" s="5"/>
      <c r="L8621" s="5"/>
    </row>
    <row r="8622" spans="1:12" ht="12" customHeight="1" x14ac:dyDescent="0.25">
      <c r="A8622" s="6"/>
      <c r="B8622" s="1"/>
      <c r="C8622" s="5"/>
      <c r="D8622" s="5"/>
      <c r="E8622" s="5"/>
      <c r="F8622" s="5"/>
      <c r="G8622" s="5"/>
      <c r="H8622" s="5"/>
      <c r="I8622" s="5"/>
      <c r="J8622" s="5"/>
      <c r="K8622" s="5"/>
      <c r="L8622" s="5"/>
    </row>
    <row r="8623" spans="1:12" ht="12" customHeight="1" x14ac:dyDescent="0.25">
      <c r="A8623" s="6"/>
      <c r="B8623" s="1"/>
      <c r="C8623" s="5"/>
      <c r="D8623" s="5"/>
      <c r="E8623" s="5"/>
      <c r="F8623" s="5"/>
      <c r="G8623" s="5"/>
      <c r="H8623" s="5"/>
      <c r="I8623" s="5"/>
      <c r="J8623" s="5"/>
      <c r="K8623" s="5"/>
      <c r="L8623" s="5"/>
    </row>
    <row r="8624" spans="1:12" ht="12" customHeight="1" x14ac:dyDescent="0.25">
      <c r="A8624" s="6"/>
      <c r="B8624" s="1"/>
      <c r="C8624" s="5"/>
      <c r="D8624" s="5"/>
      <c r="E8624" s="5"/>
      <c r="F8624" s="5"/>
      <c r="G8624" s="5"/>
      <c r="H8624" s="5"/>
      <c r="I8624" s="5"/>
      <c r="J8624" s="5"/>
      <c r="K8624" s="5"/>
      <c r="L8624" s="5"/>
    </row>
    <row r="8625" spans="1:12" ht="12" customHeight="1" x14ac:dyDescent="0.25">
      <c r="A8625" s="6"/>
      <c r="B8625" s="1"/>
      <c r="C8625" s="5"/>
      <c r="D8625" s="5"/>
      <c r="E8625" s="5"/>
      <c r="F8625" s="5"/>
      <c r="G8625" s="5"/>
      <c r="H8625" s="5"/>
      <c r="I8625" s="5"/>
      <c r="J8625" s="5"/>
      <c r="K8625" s="5"/>
      <c r="L8625" s="5"/>
    </row>
    <row r="8626" spans="1:12" ht="12" customHeight="1" x14ac:dyDescent="0.25">
      <c r="A8626" s="6"/>
      <c r="B8626" s="1"/>
      <c r="C8626" s="5"/>
      <c r="D8626" s="5"/>
      <c r="E8626" s="5"/>
      <c r="F8626" s="5"/>
      <c r="G8626" s="5"/>
      <c r="H8626" s="5"/>
      <c r="I8626" s="5"/>
      <c r="J8626" s="5"/>
      <c r="K8626" s="5"/>
      <c r="L8626" s="5"/>
    </row>
    <row r="8627" spans="1:12" ht="12" customHeight="1" x14ac:dyDescent="0.25">
      <c r="A8627" s="6"/>
      <c r="B8627" s="1"/>
      <c r="C8627" s="5"/>
      <c r="D8627" s="5"/>
      <c r="E8627" s="5"/>
      <c r="F8627" s="5"/>
      <c r="G8627" s="5"/>
      <c r="H8627" s="5"/>
      <c r="I8627" s="5"/>
      <c r="J8627" s="5"/>
      <c r="K8627" s="5"/>
      <c r="L8627" s="5"/>
    </row>
    <row r="8628" spans="1:12" ht="12" customHeight="1" x14ac:dyDescent="0.25">
      <c r="A8628" s="6"/>
      <c r="B8628" s="1"/>
      <c r="C8628" s="5"/>
      <c r="D8628" s="5"/>
      <c r="E8628" s="5"/>
      <c r="F8628" s="5"/>
      <c r="G8628" s="5"/>
      <c r="H8628" s="5"/>
      <c r="I8628" s="5"/>
      <c r="J8628" s="5"/>
      <c r="K8628" s="5"/>
      <c r="L8628" s="5"/>
    </row>
    <row r="8629" spans="1:12" ht="12" customHeight="1" x14ac:dyDescent="0.25">
      <c r="A8629" s="6"/>
      <c r="B8629" s="1"/>
      <c r="C8629" s="5"/>
      <c r="D8629" s="5"/>
      <c r="E8629" s="5"/>
      <c r="F8629" s="5"/>
      <c r="G8629" s="5"/>
      <c r="H8629" s="5"/>
      <c r="I8629" s="5"/>
      <c r="J8629" s="5"/>
      <c r="K8629" s="5"/>
      <c r="L8629" s="5"/>
    </row>
    <row r="8630" spans="1:12" ht="12" customHeight="1" x14ac:dyDescent="0.25">
      <c r="A8630" s="6"/>
      <c r="B8630" s="1"/>
      <c r="C8630" s="5"/>
      <c r="D8630" s="5"/>
      <c r="E8630" s="5"/>
      <c r="F8630" s="5"/>
      <c r="G8630" s="5"/>
      <c r="H8630" s="5"/>
      <c r="I8630" s="5"/>
      <c r="J8630" s="5"/>
      <c r="K8630" s="5"/>
      <c r="L8630" s="5"/>
    </row>
    <row r="8631" spans="1:12" ht="12" customHeight="1" x14ac:dyDescent="0.25">
      <c r="A8631" s="6"/>
      <c r="B8631" s="1"/>
      <c r="C8631" s="5"/>
      <c r="D8631" s="5"/>
      <c r="E8631" s="5"/>
      <c r="F8631" s="5"/>
      <c r="G8631" s="5"/>
      <c r="H8631" s="5"/>
      <c r="I8631" s="5"/>
      <c r="J8631" s="5"/>
      <c r="K8631" s="5"/>
      <c r="L8631" s="5"/>
    </row>
    <row r="8632" spans="1:12" ht="12" customHeight="1" x14ac:dyDescent="0.25">
      <c r="A8632" s="6"/>
      <c r="B8632" s="1"/>
      <c r="C8632" s="5"/>
      <c r="D8632" s="5"/>
      <c r="E8632" s="5"/>
      <c r="F8632" s="5"/>
      <c r="G8632" s="5"/>
      <c r="H8632" s="5"/>
      <c r="I8632" s="5"/>
      <c r="J8632" s="5"/>
      <c r="K8632" s="5"/>
      <c r="L8632" s="5"/>
    </row>
    <row r="8633" spans="1:12" ht="12" customHeight="1" x14ac:dyDescent="0.25">
      <c r="A8633" s="6"/>
      <c r="B8633" s="1"/>
      <c r="C8633" s="5"/>
      <c r="D8633" s="5"/>
      <c r="E8633" s="5"/>
      <c r="F8633" s="5"/>
      <c r="G8633" s="5"/>
      <c r="H8633" s="5"/>
      <c r="I8633" s="5"/>
      <c r="J8633" s="5"/>
      <c r="K8633" s="5"/>
      <c r="L8633" s="5"/>
    </row>
    <row r="8634" spans="1:12" ht="12" customHeight="1" x14ac:dyDescent="0.25">
      <c r="A8634" s="6"/>
      <c r="B8634" s="1"/>
      <c r="C8634" s="5"/>
      <c r="D8634" s="5"/>
      <c r="E8634" s="5"/>
      <c r="F8634" s="5"/>
      <c r="G8634" s="5"/>
      <c r="H8634" s="5"/>
      <c r="I8634" s="5"/>
      <c r="J8634" s="5"/>
      <c r="K8634" s="5"/>
      <c r="L8634" s="5"/>
    </row>
    <row r="8635" spans="1:12" ht="12" customHeight="1" x14ac:dyDescent="0.25">
      <c r="A8635" s="6"/>
      <c r="B8635" s="1"/>
      <c r="C8635" s="5"/>
      <c r="D8635" s="5"/>
      <c r="E8635" s="5"/>
      <c r="F8635" s="5"/>
      <c r="G8635" s="5"/>
      <c r="H8635" s="5"/>
      <c r="I8635" s="5"/>
      <c r="J8635" s="5"/>
      <c r="K8635" s="5"/>
      <c r="L8635" s="5"/>
    </row>
    <row r="8636" spans="1:12" ht="12" customHeight="1" x14ac:dyDescent="0.25">
      <c r="A8636" s="6"/>
      <c r="B8636" s="1"/>
      <c r="C8636" s="5"/>
      <c r="D8636" s="5"/>
      <c r="E8636" s="5"/>
      <c r="F8636" s="5"/>
      <c r="G8636" s="5"/>
      <c r="H8636" s="5"/>
      <c r="I8636" s="5"/>
      <c r="J8636" s="5"/>
      <c r="K8636" s="5"/>
      <c r="L8636" s="5"/>
    </row>
    <row r="8637" spans="1:12" ht="12" customHeight="1" x14ac:dyDescent="0.25">
      <c r="A8637" s="6"/>
      <c r="B8637" s="1"/>
      <c r="C8637" s="5"/>
      <c r="D8637" s="5"/>
      <c r="E8637" s="5"/>
      <c r="F8637" s="5"/>
      <c r="G8637" s="5"/>
      <c r="H8637" s="5"/>
      <c r="I8637" s="5"/>
      <c r="J8637" s="5"/>
      <c r="K8637" s="5"/>
      <c r="L8637" s="5"/>
    </row>
    <row r="8638" spans="1:12" ht="12" customHeight="1" x14ac:dyDescent="0.25">
      <c r="A8638" s="6"/>
      <c r="B8638" s="1"/>
      <c r="C8638" s="5"/>
      <c r="D8638" s="5"/>
      <c r="E8638" s="5"/>
      <c r="F8638" s="5"/>
      <c r="G8638" s="5"/>
      <c r="H8638" s="5"/>
      <c r="I8638" s="5"/>
      <c r="J8638" s="5"/>
      <c r="K8638" s="5"/>
      <c r="L8638" s="5"/>
    </row>
    <row r="8639" spans="1:12" ht="12" customHeight="1" x14ac:dyDescent="0.25">
      <c r="A8639" s="6"/>
      <c r="B8639" s="1"/>
      <c r="C8639" s="5"/>
      <c r="D8639" s="5"/>
      <c r="E8639" s="5"/>
      <c r="F8639" s="5"/>
      <c r="G8639" s="5"/>
      <c r="H8639" s="5"/>
      <c r="I8639" s="5"/>
      <c r="J8639" s="5"/>
      <c r="K8639" s="5"/>
      <c r="L8639" s="5"/>
    </row>
    <row r="8640" spans="1:12" ht="12" customHeight="1" x14ac:dyDescent="0.25">
      <c r="A8640" s="6"/>
      <c r="B8640" s="1"/>
      <c r="C8640" s="5"/>
      <c r="D8640" s="5"/>
      <c r="E8640" s="5"/>
      <c r="F8640" s="5"/>
      <c r="G8640" s="5"/>
      <c r="H8640" s="5"/>
      <c r="I8640" s="5"/>
      <c r="J8640" s="5"/>
      <c r="K8640" s="5"/>
      <c r="L8640" s="5"/>
    </row>
    <row r="8641" spans="1:12" ht="12" customHeight="1" x14ac:dyDescent="0.25">
      <c r="A8641" s="6"/>
      <c r="B8641" s="1"/>
      <c r="C8641" s="5"/>
      <c r="D8641" s="5"/>
      <c r="E8641" s="5"/>
      <c r="F8641" s="5"/>
      <c r="G8641" s="5"/>
      <c r="H8641" s="5"/>
      <c r="I8641" s="5"/>
      <c r="J8641" s="5"/>
      <c r="K8641" s="5"/>
      <c r="L8641" s="5"/>
    </row>
    <row r="8642" spans="1:12" ht="12" customHeight="1" x14ac:dyDescent="0.25">
      <c r="A8642" s="6"/>
      <c r="B8642" s="1"/>
      <c r="C8642" s="5"/>
      <c r="D8642" s="5"/>
      <c r="E8642" s="5"/>
      <c r="F8642" s="5"/>
      <c r="G8642" s="5"/>
      <c r="H8642" s="5"/>
      <c r="I8642" s="5"/>
      <c r="J8642" s="5"/>
      <c r="K8642" s="5"/>
      <c r="L8642" s="5"/>
    </row>
    <row r="8643" spans="1:12" ht="12" customHeight="1" x14ac:dyDescent="0.25">
      <c r="A8643" s="6"/>
      <c r="B8643" s="1"/>
      <c r="C8643" s="5"/>
      <c r="D8643" s="5"/>
      <c r="E8643" s="5"/>
      <c r="F8643" s="5"/>
      <c r="G8643" s="5"/>
      <c r="H8643" s="5"/>
      <c r="I8643" s="5"/>
      <c r="J8643" s="5"/>
      <c r="K8643" s="5"/>
      <c r="L8643" s="5"/>
    </row>
    <row r="8644" spans="1:12" ht="12" customHeight="1" x14ac:dyDescent="0.25">
      <c r="A8644" s="6"/>
      <c r="B8644" s="1"/>
      <c r="C8644" s="5"/>
      <c r="D8644" s="5"/>
      <c r="E8644" s="5"/>
      <c r="F8644" s="5"/>
      <c r="G8644" s="5"/>
      <c r="H8644" s="5"/>
      <c r="I8644" s="5"/>
      <c r="J8644" s="5"/>
      <c r="K8644" s="5"/>
      <c r="L8644" s="5"/>
    </row>
    <row r="8645" spans="1:12" ht="12" customHeight="1" x14ac:dyDescent="0.25">
      <c r="A8645" s="6"/>
      <c r="B8645" s="1"/>
      <c r="C8645" s="5"/>
      <c r="D8645" s="5"/>
      <c r="E8645" s="5"/>
      <c r="F8645" s="5"/>
      <c r="G8645" s="5"/>
      <c r="H8645" s="5"/>
      <c r="I8645" s="5"/>
      <c r="J8645" s="5"/>
      <c r="K8645" s="5"/>
      <c r="L8645" s="5"/>
    </row>
    <row r="8646" spans="1:12" ht="12" customHeight="1" x14ac:dyDescent="0.25">
      <c r="A8646" s="6"/>
      <c r="B8646" s="1"/>
      <c r="C8646" s="5"/>
      <c r="D8646" s="5"/>
      <c r="E8646" s="5"/>
      <c r="F8646" s="5"/>
      <c r="G8646" s="5"/>
      <c r="H8646" s="5"/>
      <c r="I8646" s="5"/>
      <c r="J8646" s="5"/>
      <c r="K8646" s="5"/>
      <c r="L8646" s="5"/>
    </row>
    <row r="8647" spans="1:12" ht="12" customHeight="1" x14ac:dyDescent="0.25">
      <c r="A8647" s="6"/>
      <c r="B8647" s="1"/>
      <c r="C8647" s="5"/>
      <c r="D8647" s="5"/>
      <c r="E8647" s="5"/>
      <c r="F8647" s="5"/>
      <c r="G8647" s="5"/>
      <c r="H8647" s="5"/>
      <c r="I8647" s="5"/>
      <c r="J8647" s="5"/>
      <c r="K8647" s="5"/>
      <c r="L8647" s="5"/>
    </row>
    <row r="8648" spans="1:12" ht="12" customHeight="1" x14ac:dyDescent="0.25">
      <c r="A8648" s="6"/>
      <c r="B8648" s="1"/>
      <c r="C8648" s="5"/>
      <c r="D8648" s="5"/>
      <c r="E8648" s="5"/>
      <c r="F8648" s="5"/>
      <c r="G8648" s="5"/>
      <c r="H8648" s="5"/>
      <c r="I8648" s="5"/>
      <c r="J8648" s="5"/>
      <c r="K8648" s="5"/>
      <c r="L8648" s="5"/>
    </row>
    <row r="8649" spans="1:12" ht="12" customHeight="1" x14ac:dyDescent="0.25">
      <c r="A8649" s="6"/>
      <c r="B8649" s="1"/>
      <c r="C8649" s="5"/>
      <c r="D8649" s="5"/>
      <c r="E8649" s="5"/>
      <c r="F8649" s="5"/>
      <c r="G8649" s="5"/>
      <c r="H8649" s="5"/>
      <c r="I8649" s="5"/>
      <c r="J8649" s="5"/>
      <c r="K8649" s="5"/>
      <c r="L8649" s="5"/>
    </row>
    <row r="8650" spans="1:12" ht="12" customHeight="1" x14ac:dyDescent="0.25">
      <c r="A8650" s="6"/>
      <c r="B8650" s="1"/>
      <c r="C8650" s="5"/>
      <c r="D8650" s="5"/>
      <c r="E8650" s="5"/>
      <c r="F8650" s="5"/>
      <c r="G8650" s="5"/>
      <c r="H8650" s="5"/>
      <c r="I8650" s="5"/>
      <c r="J8650" s="5"/>
      <c r="K8650" s="5"/>
      <c r="L8650" s="5"/>
    </row>
    <row r="8651" spans="1:12" ht="12" customHeight="1" x14ac:dyDescent="0.25">
      <c r="A8651" s="6"/>
      <c r="B8651" s="1"/>
      <c r="C8651" s="5"/>
      <c r="D8651" s="5"/>
      <c r="E8651" s="5"/>
      <c r="F8651" s="5"/>
      <c r="G8651" s="5"/>
      <c r="H8651" s="5"/>
      <c r="I8651" s="5"/>
      <c r="J8651" s="5"/>
      <c r="K8651" s="5"/>
      <c r="L8651" s="5"/>
    </row>
    <row r="8652" spans="1:12" ht="12" customHeight="1" x14ac:dyDescent="0.25">
      <c r="A8652" s="6"/>
      <c r="B8652" s="1"/>
      <c r="C8652" s="5"/>
      <c r="D8652" s="5"/>
      <c r="E8652" s="5"/>
      <c r="F8652" s="5"/>
      <c r="G8652" s="5"/>
      <c r="H8652" s="5"/>
      <c r="I8652" s="5"/>
      <c r="J8652" s="5"/>
      <c r="K8652" s="5"/>
      <c r="L8652" s="5"/>
    </row>
    <row r="8653" spans="1:12" ht="12" customHeight="1" x14ac:dyDescent="0.25">
      <c r="A8653" s="6"/>
      <c r="B8653" s="1"/>
      <c r="C8653" s="5"/>
      <c r="D8653" s="5"/>
      <c r="E8653" s="5"/>
      <c r="F8653" s="5"/>
      <c r="G8653" s="5"/>
      <c r="H8653" s="5"/>
      <c r="I8653" s="5"/>
      <c r="J8653" s="5"/>
      <c r="K8653" s="5"/>
      <c r="L8653" s="5"/>
    </row>
    <row r="8654" spans="1:12" ht="12" customHeight="1" x14ac:dyDescent="0.25">
      <c r="A8654" s="6"/>
      <c r="B8654" s="1"/>
      <c r="C8654" s="5"/>
      <c r="D8654" s="5"/>
      <c r="E8654" s="5"/>
      <c r="F8654" s="5"/>
      <c r="G8654" s="5"/>
      <c r="H8654" s="5"/>
      <c r="I8654" s="5"/>
      <c r="J8654" s="5"/>
      <c r="K8654" s="5"/>
      <c r="L8654" s="5"/>
    </row>
    <row r="8655" spans="1:12" ht="12" customHeight="1" x14ac:dyDescent="0.25">
      <c r="A8655" s="6"/>
      <c r="B8655" s="1"/>
      <c r="C8655" s="5"/>
      <c r="D8655" s="5"/>
      <c r="E8655" s="5"/>
      <c r="F8655" s="5"/>
      <c r="G8655" s="5"/>
      <c r="H8655" s="5"/>
      <c r="I8655" s="5"/>
      <c r="J8655" s="5"/>
      <c r="K8655" s="5"/>
      <c r="L8655" s="5"/>
    </row>
    <row r="8656" spans="1:12" ht="12" customHeight="1" x14ac:dyDescent="0.25">
      <c r="A8656" s="6"/>
      <c r="B8656" s="1"/>
      <c r="C8656" s="5"/>
      <c r="D8656" s="5"/>
      <c r="E8656" s="5"/>
      <c r="F8656" s="5"/>
      <c r="G8656" s="5"/>
      <c r="H8656" s="5"/>
      <c r="I8656" s="5"/>
      <c r="J8656" s="5"/>
      <c r="K8656" s="5"/>
      <c r="L8656" s="5"/>
    </row>
    <row r="8657" spans="1:12" ht="12" customHeight="1" x14ac:dyDescent="0.25">
      <c r="A8657" s="6"/>
      <c r="B8657" s="1"/>
      <c r="C8657" s="5"/>
      <c r="D8657" s="5"/>
      <c r="E8657" s="5"/>
      <c r="F8657" s="5"/>
      <c r="G8657" s="5"/>
      <c r="H8657" s="5"/>
      <c r="I8657" s="5"/>
      <c r="J8657" s="5"/>
      <c r="K8657" s="5"/>
      <c r="L8657" s="5"/>
    </row>
    <row r="8658" spans="1:12" ht="12" customHeight="1" x14ac:dyDescent="0.25">
      <c r="A8658" s="6"/>
      <c r="B8658" s="1"/>
      <c r="C8658" s="5"/>
      <c r="D8658" s="5"/>
      <c r="E8658" s="5"/>
      <c r="F8658" s="5"/>
      <c r="G8658" s="5"/>
      <c r="H8658" s="5"/>
      <c r="I8658" s="5"/>
      <c r="J8658" s="5"/>
      <c r="K8658" s="5"/>
      <c r="L8658" s="5"/>
    </row>
    <row r="8659" spans="1:12" ht="12" customHeight="1" x14ac:dyDescent="0.25">
      <c r="A8659" s="6"/>
      <c r="B8659" s="1"/>
      <c r="C8659" s="5"/>
      <c r="D8659" s="5"/>
      <c r="E8659" s="5"/>
      <c r="F8659" s="5"/>
      <c r="G8659" s="5"/>
      <c r="H8659" s="5"/>
      <c r="I8659" s="5"/>
      <c r="J8659" s="5"/>
      <c r="K8659" s="5"/>
      <c r="L8659" s="5"/>
    </row>
    <row r="8660" spans="1:12" ht="12" customHeight="1" x14ac:dyDescent="0.25">
      <c r="A8660" s="6"/>
      <c r="B8660" s="1"/>
      <c r="C8660" s="5"/>
      <c r="D8660" s="5"/>
      <c r="E8660" s="5"/>
      <c r="F8660" s="5"/>
      <c r="G8660" s="5"/>
      <c r="H8660" s="5"/>
      <c r="I8660" s="5"/>
      <c r="J8660" s="5"/>
      <c r="K8660" s="5"/>
      <c r="L8660" s="5"/>
    </row>
    <row r="8661" spans="1:12" ht="12" customHeight="1" x14ac:dyDescent="0.25">
      <c r="A8661" s="6"/>
      <c r="B8661" s="1"/>
      <c r="C8661" s="5"/>
      <c r="D8661" s="5"/>
      <c r="E8661" s="5"/>
      <c r="F8661" s="5"/>
      <c r="G8661" s="5"/>
      <c r="H8661" s="5"/>
      <c r="I8661" s="5"/>
      <c r="J8661" s="5"/>
      <c r="K8661" s="5"/>
      <c r="L8661" s="5"/>
    </row>
    <row r="8662" spans="1:12" ht="12" customHeight="1" x14ac:dyDescent="0.25">
      <c r="A8662" s="6"/>
      <c r="B8662" s="1"/>
      <c r="C8662" s="5"/>
      <c r="D8662" s="5"/>
      <c r="E8662" s="5"/>
      <c r="F8662" s="5"/>
      <c r="G8662" s="5"/>
      <c r="H8662" s="5"/>
      <c r="I8662" s="5"/>
      <c r="J8662" s="5"/>
      <c r="K8662" s="5"/>
      <c r="L8662" s="5"/>
    </row>
    <row r="8663" spans="1:12" ht="12" customHeight="1" x14ac:dyDescent="0.25">
      <c r="A8663" s="6"/>
      <c r="B8663" s="1"/>
      <c r="C8663" s="5"/>
      <c r="D8663" s="5"/>
      <c r="E8663" s="5"/>
      <c r="F8663" s="5"/>
      <c r="G8663" s="5"/>
      <c r="H8663" s="5"/>
      <c r="I8663" s="5"/>
      <c r="J8663" s="5"/>
      <c r="K8663" s="5"/>
      <c r="L8663" s="5"/>
    </row>
    <row r="8664" spans="1:12" ht="12" customHeight="1" x14ac:dyDescent="0.25">
      <c r="A8664" s="6"/>
      <c r="B8664" s="1"/>
      <c r="C8664" s="5"/>
      <c r="D8664" s="5"/>
      <c r="E8664" s="5"/>
      <c r="F8664" s="5"/>
      <c r="G8664" s="5"/>
      <c r="H8664" s="5"/>
      <c r="I8664" s="5"/>
      <c r="J8664" s="5"/>
      <c r="K8664" s="5"/>
      <c r="L8664" s="5"/>
    </row>
    <row r="8665" spans="1:12" ht="12" customHeight="1" x14ac:dyDescent="0.25">
      <c r="A8665" s="6"/>
      <c r="B8665" s="1"/>
      <c r="C8665" s="5"/>
      <c r="D8665" s="5"/>
      <c r="E8665" s="5"/>
      <c r="F8665" s="5"/>
      <c r="G8665" s="5"/>
      <c r="H8665" s="5"/>
      <c r="I8665" s="5"/>
      <c r="J8665" s="5"/>
      <c r="K8665" s="5"/>
      <c r="L8665" s="5"/>
    </row>
    <row r="8666" spans="1:12" ht="12" customHeight="1" x14ac:dyDescent="0.25">
      <c r="A8666" s="6"/>
      <c r="B8666" s="1"/>
      <c r="C8666" s="5"/>
      <c r="D8666" s="5"/>
      <c r="E8666" s="5"/>
      <c r="F8666" s="5"/>
      <c r="G8666" s="5"/>
      <c r="H8666" s="5"/>
      <c r="I8666" s="5"/>
      <c r="J8666" s="5"/>
      <c r="K8666" s="5"/>
      <c r="L8666" s="5"/>
    </row>
    <row r="8667" spans="1:12" ht="12" customHeight="1" x14ac:dyDescent="0.25">
      <c r="A8667" s="6"/>
      <c r="B8667" s="1"/>
      <c r="C8667" s="5"/>
      <c r="D8667" s="5"/>
      <c r="E8667" s="5"/>
      <c r="F8667" s="5"/>
      <c r="G8667" s="5"/>
      <c r="H8667" s="5"/>
      <c r="I8667" s="5"/>
      <c r="J8667" s="5"/>
      <c r="K8667" s="5"/>
      <c r="L8667" s="5"/>
    </row>
    <row r="8668" spans="1:12" ht="12" customHeight="1" x14ac:dyDescent="0.25">
      <c r="A8668" s="6"/>
      <c r="B8668" s="1"/>
      <c r="C8668" s="5"/>
      <c r="D8668" s="5"/>
      <c r="E8668" s="5"/>
      <c r="F8668" s="5"/>
      <c r="G8668" s="5"/>
      <c r="H8668" s="5"/>
      <c r="I8668" s="5"/>
      <c r="J8668" s="5"/>
      <c r="K8668" s="5"/>
      <c r="L8668" s="5"/>
    </row>
    <row r="8669" spans="1:12" ht="12" customHeight="1" x14ac:dyDescent="0.25">
      <c r="A8669" s="6"/>
      <c r="B8669" s="1"/>
      <c r="C8669" s="5"/>
      <c r="D8669" s="5"/>
      <c r="E8669" s="5"/>
      <c r="F8669" s="5"/>
      <c r="G8669" s="5"/>
      <c r="H8669" s="5"/>
      <c r="I8669" s="5"/>
      <c r="J8669" s="5"/>
      <c r="K8669" s="5"/>
      <c r="L8669" s="5"/>
    </row>
    <row r="8670" spans="1:12" ht="12" customHeight="1" x14ac:dyDescent="0.25">
      <c r="A8670" s="6"/>
      <c r="B8670" s="1"/>
      <c r="C8670" s="5"/>
      <c r="D8670" s="5"/>
      <c r="E8670" s="5"/>
      <c r="F8670" s="5"/>
      <c r="G8670" s="5"/>
      <c r="H8670" s="5"/>
      <c r="I8670" s="5"/>
      <c r="J8670" s="5"/>
      <c r="K8670" s="5"/>
      <c r="L8670" s="5"/>
    </row>
    <row r="8671" spans="1:12" ht="12" customHeight="1" x14ac:dyDescent="0.25">
      <c r="A8671" s="6"/>
      <c r="B8671" s="1"/>
      <c r="C8671" s="5"/>
      <c r="D8671" s="5"/>
      <c r="E8671" s="5"/>
      <c r="F8671" s="5"/>
      <c r="G8671" s="5"/>
      <c r="H8671" s="5"/>
      <c r="I8671" s="5"/>
      <c r="J8671" s="5"/>
      <c r="K8671" s="5"/>
      <c r="L8671" s="5"/>
    </row>
    <row r="8672" spans="1:12" ht="12" customHeight="1" x14ac:dyDescent="0.25">
      <c r="A8672" s="6"/>
      <c r="B8672" s="1"/>
      <c r="C8672" s="5"/>
      <c r="D8672" s="5"/>
      <c r="E8672" s="5"/>
      <c r="F8672" s="5"/>
      <c r="G8672" s="5"/>
      <c r="H8672" s="5"/>
      <c r="I8672" s="5"/>
      <c r="J8672" s="5"/>
      <c r="K8672" s="5"/>
      <c r="L8672" s="5"/>
    </row>
    <row r="8673" spans="1:12" ht="12" customHeight="1" x14ac:dyDescent="0.25">
      <c r="A8673" s="6"/>
      <c r="B8673" s="1"/>
      <c r="C8673" s="5"/>
      <c r="D8673" s="5"/>
      <c r="E8673" s="5"/>
      <c r="F8673" s="5"/>
      <c r="G8673" s="5"/>
      <c r="H8673" s="5"/>
      <c r="I8673" s="5"/>
      <c r="J8673" s="5"/>
      <c r="K8673" s="5"/>
      <c r="L8673" s="5"/>
    </row>
    <row r="8674" spans="1:12" ht="12" customHeight="1" x14ac:dyDescent="0.25">
      <c r="A8674" s="6"/>
      <c r="B8674" s="1"/>
      <c r="C8674" s="5"/>
      <c r="D8674" s="5"/>
      <c r="E8674" s="5"/>
      <c r="F8674" s="5"/>
      <c r="G8674" s="5"/>
      <c r="H8674" s="5"/>
      <c r="I8674" s="5"/>
      <c r="J8674" s="5"/>
      <c r="K8674" s="5"/>
      <c r="L8674" s="5"/>
    </row>
    <row r="8675" spans="1:12" ht="12" customHeight="1" x14ac:dyDescent="0.25">
      <c r="A8675" s="6"/>
      <c r="B8675" s="1"/>
      <c r="C8675" s="5"/>
      <c r="D8675" s="5"/>
      <c r="E8675" s="5"/>
      <c r="F8675" s="5"/>
      <c r="G8675" s="5"/>
      <c r="H8675" s="5"/>
      <c r="I8675" s="5"/>
      <c r="J8675" s="5"/>
      <c r="K8675" s="5"/>
      <c r="L8675" s="5"/>
    </row>
    <row r="8676" spans="1:12" ht="12" customHeight="1" x14ac:dyDescent="0.25">
      <c r="A8676" s="6"/>
      <c r="B8676" s="1"/>
      <c r="C8676" s="5"/>
      <c r="D8676" s="5"/>
      <c r="E8676" s="5"/>
      <c r="F8676" s="5"/>
      <c r="G8676" s="5"/>
      <c r="H8676" s="5"/>
      <c r="I8676" s="5"/>
      <c r="J8676" s="5"/>
      <c r="K8676" s="5"/>
      <c r="L8676" s="5"/>
    </row>
    <row r="8677" spans="1:12" ht="12" customHeight="1" x14ac:dyDescent="0.25">
      <c r="A8677" s="6"/>
      <c r="B8677" s="1"/>
      <c r="C8677" s="5"/>
      <c r="D8677" s="5"/>
      <c r="E8677" s="5"/>
      <c r="F8677" s="5"/>
      <c r="G8677" s="5"/>
      <c r="H8677" s="5"/>
      <c r="I8677" s="5"/>
      <c r="J8677" s="5"/>
      <c r="K8677" s="5"/>
      <c r="L8677" s="5"/>
    </row>
    <row r="8678" spans="1:12" ht="12" customHeight="1" x14ac:dyDescent="0.25">
      <c r="A8678" s="6"/>
      <c r="B8678" s="1"/>
      <c r="C8678" s="5"/>
      <c r="D8678" s="5"/>
      <c r="E8678" s="5"/>
      <c r="F8678" s="5"/>
      <c r="G8678" s="5"/>
      <c r="H8678" s="5"/>
      <c r="I8678" s="5"/>
      <c r="J8678" s="5"/>
      <c r="K8678" s="5"/>
      <c r="L8678" s="5"/>
    </row>
    <row r="8679" spans="1:12" ht="12" customHeight="1" x14ac:dyDescent="0.25">
      <c r="A8679" s="6"/>
      <c r="B8679" s="1"/>
      <c r="C8679" s="5"/>
      <c r="D8679" s="5"/>
      <c r="E8679" s="5"/>
      <c r="F8679" s="5"/>
      <c r="G8679" s="5"/>
      <c r="H8679" s="5"/>
      <c r="I8679" s="5"/>
      <c r="J8679" s="5"/>
      <c r="K8679" s="5"/>
      <c r="L8679" s="5"/>
    </row>
    <row r="8680" spans="1:12" ht="12" customHeight="1" x14ac:dyDescent="0.25">
      <c r="A8680" s="6"/>
      <c r="B8680" s="1"/>
      <c r="C8680" s="5"/>
      <c r="D8680" s="5"/>
      <c r="E8680" s="5"/>
      <c r="F8680" s="5"/>
      <c r="G8680" s="5"/>
      <c r="H8680" s="5"/>
      <c r="I8680" s="5"/>
      <c r="J8680" s="5"/>
      <c r="K8680" s="5"/>
      <c r="L8680" s="5"/>
    </row>
    <row r="8681" spans="1:12" ht="12" customHeight="1" x14ac:dyDescent="0.25">
      <c r="A8681" s="6"/>
      <c r="B8681" s="1"/>
      <c r="C8681" s="5"/>
      <c r="D8681" s="5"/>
      <c r="E8681" s="5"/>
      <c r="F8681" s="5"/>
      <c r="G8681" s="5"/>
      <c r="H8681" s="5"/>
      <c r="I8681" s="5"/>
      <c r="J8681" s="5"/>
      <c r="K8681" s="5"/>
      <c r="L8681" s="5"/>
    </row>
    <row r="8682" spans="1:12" ht="12" customHeight="1" x14ac:dyDescent="0.25">
      <c r="A8682" s="6"/>
      <c r="B8682" s="1"/>
      <c r="C8682" s="5"/>
      <c r="D8682" s="5"/>
      <c r="E8682" s="5"/>
      <c r="F8682" s="5"/>
      <c r="G8682" s="5"/>
      <c r="H8682" s="5"/>
      <c r="I8682" s="5"/>
      <c r="J8682" s="5"/>
      <c r="K8682" s="5"/>
      <c r="L8682" s="5"/>
    </row>
    <row r="8683" spans="1:12" ht="12" customHeight="1" x14ac:dyDescent="0.25">
      <c r="A8683" s="6"/>
      <c r="B8683" s="1"/>
      <c r="C8683" s="5"/>
      <c r="D8683" s="5"/>
      <c r="E8683" s="5"/>
      <c r="F8683" s="5"/>
      <c r="G8683" s="5"/>
      <c r="H8683" s="5"/>
      <c r="I8683" s="5"/>
      <c r="J8683" s="5"/>
      <c r="K8683" s="5"/>
      <c r="L8683" s="5"/>
    </row>
    <row r="8684" spans="1:12" ht="12" customHeight="1" x14ac:dyDescent="0.25">
      <c r="A8684" s="6"/>
      <c r="B8684" s="1"/>
      <c r="C8684" s="5"/>
      <c r="D8684" s="5"/>
      <c r="E8684" s="5"/>
      <c r="F8684" s="5"/>
      <c r="G8684" s="5"/>
      <c r="H8684" s="5"/>
      <c r="I8684" s="5"/>
      <c r="J8684" s="5"/>
      <c r="K8684" s="5"/>
      <c r="L8684" s="5"/>
    </row>
    <row r="8685" spans="1:12" ht="12" customHeight="1" x14ac:dyDescent="0.25">
      <c r="A8685" s="6"/>
      <c r="B8685" s="1"/>
      <c r="C8685" s="5"/>
      <c r="D8685" s="5"/>
      <c r="E8685" s="5"/>
      <c r="F8685" s="5"/>
      <c r="G8685" s="5"/>
      <c r="H8685" s="5"/>
      <c r="I8685" s="5"/>
      <c r="J8685" s="5"/>
      <c r="K8685" s="5"/>
      <c r="L8685" s="5"/>
    </row>
    <row r="8686" spans="1:12" ht="12" customHeight="1" x14ac:dyDescent="0.25">
      <c r="A8686" s="6"/>
      <c r="B8686" s="1"/>
      <c r="C8686" s="5"/>
      <c r="D8686" s="5"/>
      <c r="E8686" s="5"/>
      <c r="F8686" s="5"/>
      <c r="G8686" s="5"/>
      <c r="H8686" s="5"/>
      <c r="I8686" s="5"/>
      <c r="J8686" s="5"/>
      <c r="K8686" s="5"/>
      <c r="L8686" s="5"/>
    </row>
    <row r="8687" spans="1:12" ht="12" customHeight="1" x14ac:dyDescent="0.25">
      <c r="A8687" s="6"/>
      <c r="B8687" s="1"/>
      <c r="C8687" s="5"/>
      <c r="D8687" s="5"/>
      <c r="E8687" s="5"/>
      <c r="F8687" s="5"/>
      <c r="G8687" s="5"/>
      <c r="H8687" s="5"/>
      <c r="I8687" s="5"/>
      <c r="J8687" s="5"/>
      <c r="K8687" s="5"/>
      <c r="L8687" s="5"/>
    </row>
    <row r="8688" spans="1:12" ht="12" customHeight="1" x14ac:dyDescent="0.25">
      <c r="A8688" s="6"/>
      <c r="B8688" s="1"/>
      <c r="C8688" s="5"/>
      <c r="D8688" s="5"/>
      <c r="E8688" s="5"/>
      <c r="F8688" s="5"/>
      <c r="G8688" s="5"/>
      <c r="H8688" s="5"/>
      <c r="I8688" s="5"/>
      <c r="J8688" s="5"/>
      <c r="K8688" s="5"/>
      <c r="L8688" s="5"/>
    </row>
    <row r="8689" spans="1:12" ht="12" customHeight="1" x14ac:dyDescent="0.25">
      <c r="A8689" s="6"/>
      <c r="B8689" s="1"/>
      <c r="C8689" s="5"/>
      <c r="D8689" s="5"/>
      <c r="E8689" s="5"/>
      <c r="F8689" s="5"/>
      <c r="G8689" s="5"/>
      <c r="H8689" s="5"/>
      <c r="I8689" s="5"/>
      <c r="J8689" s="5"/>
      <c r="K8689" s="5"/>
      <c r="L8689" s="5"/>
    </row>
    <row r="8690" spans="1:12" ht="12" customHeight="1" x14ac:dyDescent="0.25">
      <c r="A8690" s="6"/>
      <c r="B8690" s="1"/>
      <c r="C8690" s="5"/>
      <c r="D8690" s="5"/>
      <c r="E8690" s="5"/>
      <c r="F8690" s="5"/>
      <c r="G8690" s="5"/>
      <c r="H8690" s="5"/>
      <c r="I8690" s="5"/>
      <c r="J8690" s="5"/>
      <c r="K8690" s="5"/>
      <c r="L8690" s="5"/>
    </row>
    <row r="8691" spans="1:12" ht="12" customHeight="1" x14ac:dyDescent="0.25">
      <c r="A8691" s="6"/>
      <c r="B8691" s="1"/>
      <c r="C8691" s="5"/>
      <c r="D8691" s="5"/>
      <c r="E8691" s="5"/>
      <c r="F8691" s="5"/>
      <c r="G8691" s="5"/>
      <c r="H8691" s="5"/>
      <c r="I8691" s="5"/>
      <c r="J8691" s="5"/>
      <c r="K8691" s="5"/>
      <c r="L8691" s="5"/>
    </row>
    <row r="8692" spans="1:12" ht="12" customHeight="1" x14ac:dyDescent="0.25">
      <c r="A8692" s="6"/>
      <c r="B8692" s="1"/>
      <c r="C8692" s="5"/>
      <c r="D8692" s="5"/>
      <c r="E8692" s="5"/>
      <c r="F8692" s="5"/>
      <c r="G8692" s="5"/>
      <c r="H8692" s="5"/>
      <c r="I8692" s="5"/>
      <c r="J8692" s="5"/>
      <c r="K8692" s="5"/>
      <c r="L8692" s="5"/>
    </row>
    <row r="8693" spans="1:12" ht="12" customHeight="1" x14ac:dyDescent="0.25">
      <c r="A8693" s="6"/>
      <c r="B8693" s="1"/>
      <c r="C8693" s="5"/>
      <c r="D8693" s="5"/>
      <c r="E8693" s="5"/>
      <c r="F8693" s="5"/>
      <c r="G8693" s="5"/>
      <c r="H8693" s="5"/>
      <c r="I8693" s="5"/>
      <c r="J8693" s="5"/>
      <c r="K8693" s="5"/>
      <c r="L8693" s="5"/>
    </row>
    <row r="8694" spans="1:12" ht="12" customHeight="1" x14ac:dyDescent="0.25">
      <c r="A8694" s="6"/>
      <c r="B8694" s="1"/>
      <c r="C8694" s="5"/>
      <c r="D8694" s="5"/>
      <c r="E8694" s="5"/>
      <c r="F8694" s="5"/>
      <c r="G8694" s="5"/>
      <c r="H8694" s="5"/>
      <c r="I8694" s="5"/>
      <c r="J8694" s="5"/>
      <c r="K8694" s="5"/>
      <c r="L8694" s="5"/>
    </row>
    <row r="8695" spans="1:12" ht="12" customHeight="1" x14ac:dyDescent="0.25">
      <c r="A8695" s="6"/>
      <c r="B8695" s="1"/>
      <c r="C8695" s="5"/>
      <c r="D8695" s="5"/>
      <c r="E8695" s="5"/>
      <c r="F8695" s="5"/>
      <c r="G8695" s="5"/>
      <c r="H8695" s="5"/>
      <c r="I8695" s="5"/>
      <c r="J8695" s="5"/>
      <c r="K8695" s="5"/>
      <c r="L8695" s="5"/>
    </row>
    <row r="8696" spans="1:12" ht="12" customHeight="1" x14ac:dyDescent="0.25">
      <c r="A8696" s="6"/>
      <c r="B8696" s="1"/>
      <c r="C8696" s="5"/>
      <c r="D8696" s="5"/>
      <c r="E8696" s="5"/>
      <c r="F8696" s="5"/>
      <c r="G8696" s="5"/>
      <c r="H8696" s="5"/>
      <c r="I8696" s="5"/>
      <c r="J8696" s="5"/>
      <c r="K8696" s="5"/>
      <c r="L8696" s="5"/>
    </row>
    <row r="8697" spans="1:12" ht="12" customHeight="1" x14ac:dyDescent="0.25">
      <c r="A8697" s="6"/>
      <c r="B8697" s="1"/>
      <c r="C8697" s="5"/>
      <c r="D8697" s="5"/>
      <c r="E8697" s="5"/>
      <c r="F8697" s="5"/>
      <c r="G8697" s="5"/>
      <c r="H8697" s="5"/>
      <c r="I8697" s="5"/>
      <c r="J8697" s="5"/>
      <c r="K8697" s="5"/>
      <c r="L8697" s="5"/>
    </row>
    <row r="8698" spans="1:12" ht="12" customHeight="1" x14ac:dyDescent="0.25">
      <c r="A8698" s="6"/>
      <c r="B8698" s="1"/>
      <c r="C8698" s="5"/>
      <c r="D8698" s="5"/>
      <c r="E8698" s="5"/>
      <c r="F8698" s="5"/>
      <c r="G8698" s="5"/>
      <c r="H8698" s="5"/>
      <c r="I8698" s="5"/>
      <c r="J8698" s="5"/>
      <c r="K8698" s="5"/>
      <c r="L8698" s="5"/>
    </row>
    <row r="8699" spans="1:12" ht="12" customHeight="1" x14ac:dyDescent="0.25">
      <c r="A8699" s="6"/>
      <c r="B8699" s="1"/>
      <c r="C8699" s="5"/>
      <c r="D8699" s="5"/>
      <c r="E8699" s="5"/>
      <c r="F8699" s="5"/>
      <c r="G8699" s="5"/>
      <c r="H8699" s="5"/>
      <c r="I8699" s="5"/>
      <c r="J8699" s="5"/>
      <c r="K8699" s="5"/>
      <c r="L8699" s="5"/>
    </row>
    <row r="8700" spans="1:12" ht="12" customHeight="1" x14ac:dyDescent="0.25">
      <c r="A8700" s="6"/>
      <c r="B8700" s="1"/>
      <c r="C8700" s="5"/>
      <c r="D8700" s="5"/>
      <c r="E8700" s="5"/>
      <c r="F8700" s="5"/>
      <c r="G8700" s="5"/>
      <c r="H8700" s="5"/>
      <c r="I8700" s="5"/>
      <c r="J8700" s="5"/>
      <c r="K8700" s="5"/>
      <c r="L8700" s="5"/>
    </row>
    <row r="8701" spans="1:12" ht="12" customHeight="1" x14ac:dyDescent="0.25">
      <c r="A8701" s="6"/>
      <c r="B8701" s="1"/>
      <c r="C8701" s="5"/>
      <c r="D8701" s="5"/>
      <c r="E8701" s="5"/>
      <c r="F8701" s="5"/>
      <c r="G8701" s="5"/>
      <c r="H8701" s="5"/>
      <c r="I8701" s="5"/>
      <c r="J8701" s="5"/>
      <c r="K8701" s="5"/>
      <c r="L8701" s="5"/>
    </row>
    <row r="8702" spans="1:12" ht="12" customHeight="1" x14ac:dyDescent="0.25">
      <c r="A8702" s="6"/>
      <c r="B8702" s="1"/>
      <c r="C8702" s="5"/>
      <c r="D8702" s="5"/>
      <c r="E8702" s="5"/>
      <c r="F8702" s="5"/>
      <c r="G8702" s="5"/>
      <c r="H8702" s="5"/>
      <c r="I8702" s="5"/>
      <c r="J8702" s="5"/>
      <c r="K8702" s="5"/>
      <c r="L8702" s="5"/>
    </row>
    <row r="8703" spans="1:12" ht="12" customHeight="1" x14ac:dyDescent="0.25">
      <c r="A8703" s="6"/>
      <c r="B8703" s="1"/>
      <c r="C8703" s="5"/>
      <c r="D8703" s="5"/>
      <c r="E8703" s="5"/>
      <c r="F8703" s="5"/>
      <c r="G8703" s="5"/>
      <c r="H8703" s="5"/>
      <c r="I8703" s="5"/>
      <c r="J8703" s="5"/>
      <c r="K8703" s="5"/>
      <c r="L8703" s="5"/>
    </row>
    <row r="8704" spans="1:12" ht="12" customHeight="1" x14ac:dyDescent="0.25">
      <c r="A8704" s="6"/>
      <c r="B8704" s="1"/>
      <c r="C8704" s="5"/>
      <c r="D8704" s="5"/>
      <c r="E8704" s="5"/>
      <c r="F8704" s="5"/>
      <c r="G8704" s="5"/>
      <c r="H8704" s="5"/>
      <c r="I8704" s="5"/>
      <c r="J8704" s="5"/>
      <c r="K8704" s="5"/>
      <c r="L8704" s="5"/>
    </row>
    <row r="8705" spans="1:12" ht="12" customHeight="1" x14ac:dyDescent="0.25">
      <c r="A8705" s="6"/>
      <c r="B8705" s="1"/>
      <c r="C8705" s="5"/>
      <c r="D8705" s="5"/>
      <c r="E8705" s="5"/>
      <c r="F8705" s="5"/>
      <c r="G8705" s="5"/>
      <c r="H8705" s="5"/>
      <c r="I8705" s="5"/>
      <c r="J8705" s="5"/>
      <c r="K8705" s="5"/>
      <c r="L8705" s="5"/>
    </row>
    <row r="8706" spans="1:12" ht="12" customHeight="1" x14ac:dyDescent="0.25">
      <c r="A8706" s="6"/>
      <c r="B8706" s="1"/>
      <c r="C8706" s="5"/>
      <c r="D8706" s="5"/>
      <c r="E8706" s="5"/>
      <c r="F8706" s="5"/>
      <c r="G8706" s="5"/>
      <c r="H8706" s="5"/>
      <c r="I8706" s="5"/>
      <c r="J8706" s="5"/>
      <c r="K8706" s="5"/>
      <c r="L8706" s="5"/>
    </row>
    <row r="8707" spans="1:12" ht="12" customHeight="1" x14ac:dyDescent="0.25">
      <c r="A8707" s="6"/>
      <c r="B8707" s="1"/>
      <c r="C8707" s="5"/>
      <c r="D8707" s="5"/>
      <c r="E8707" s="5"/>
      <c r="F8707" s="5"/>
      <c r="G8707" s="5"/>
      <c r="H8707" s="5"/>
      <c r="I8707" s="5"/>
      <c r="J8707" s="5"/>
      <c r="K8707" s="5"/>
      <c r="L8707" s="5"/>
    </row>
    <row r="8708" spans="1:12" ht="12" customHeight="1" x14ac:dyDescent="0.25">
      <c r="A8708" s="6"/>
      <c r="B8708" s="1"/>
      <c r="C8708" s="5"/>
      <c r="D8708" s="5"/>
      <c r="E8708" s="5"/>
      <c r="F8708" s="5"/>
      <c r="G8708" s="5"/>
      <c r="H8708" s="5"/>
      <c r="I8708" s="5"/>
      <c r="J8708" s="5"/>
      <c r="K8708" s="5"/>
      <c r="L8708" s="5"/>
    </row>
    <row r="8709" spans="1:12" ht="12" customHeight="1" x14ac:dyDescent="0.25">
      <c r="A8709" s="6"/>
      <c r="B8709" s="1"/>
      <c r="C8709" s="5"/>
      <c r="D8709" s="5"/>
      <c r="E8709" s="5"/>
      <c r="F8709" s="5"/>
      <c r="G8709" s="5"/>
      <c r="H8709" s="5"/>
      <c r="I8709" s="5"/>
      <c r="J8709" s="5"/>
      <c r="K8709" s="5"/>
      <c r="L8709" s="5"/>
    </row>
    <row r="8710" spans="1:12" ht="12" customHeight="1" x14ac:dyDescent="0.25">
      <c r="A8710" s="6"/>
      <c r="B8710" s="1"/>
      <c r="C8710" s="5"/>
      <c r="D8710" s="5"/>
      <c r="E8710" s="5"/>
      <c r="F8710" s="5"/>
      <c r="G8710" s="5"/>
      <c r="H8710" s="5"/>
      <c r="I8710" s="5"/>
      <c r="J8710" s="5"/>
      <c r="K8710" s="5"/>
      <c r="L8710" s="5"/>
    </row>
    <row r="8711" spans="1:12" ht="12" customHeight="1" x14ac:dyDescent="0.25">
      <c r="A8711" s="6"/>
      <c r="B8711" s="1"/>
      <c r="C8711" s="5"/>
      <c r="D8711" s="5"/>
      <c r="E8711" s="5"/>
      <c r="F8711" s="5"/>
      <c r="G8711" s="5"/>
      <c r="H8711" s="5"/>
      <c r="I8711" s="5"/>
      <c r="J8711" s="5"/>
      <c r="K8711" s="5"/>
      <c r="L8711" s="5"/>
    </row>
    <row r="8712" spans="1:12" ht="12" customHeight="1" x14ac:dyDescent="0.25">
      <c r="A8712" s="6"/>
      <c r="B8712" s="1"/>
      <c r="C8712" s="5"/>
      <c r="D8712" s="5"/>
      <c r="E8712" s="5"/>
      <c r="F8712" s="5"/>
      <c r="G8712" s="5"/>
      <c r="H8712" s="5"/>
      <c r="I8712" s="5"/>
      <c r="J8712" s="5"/>
      <c r="K8712" s="5"/>
      <c r="L8712" s="5"/>
    </row>
    <row r="8713" spans="1:12" ht="12" customHeight="1" x14ac:dyDescent="0.25">
      <c r="A8713" s="6"/>
      <c r="B8713" s="1"/>
      <c r="C8713" s="5"/>
      <c r="D8713" s="5"/>
      <c r="E8713" s="5"/>
      <c r="F8713" s="5"/>
      <c r="G8713" s="5"/>
      <c r="H8713" s="5"/>
      <c r="I8713" s="5"/>
      <c r="J8713" s="5"/>
      <c r="K8713" s="5"/>
      <c r="L8713" s="5"/>
    </row>
    <row r="8714" spans="1:12" ht="12" customHeight="1" x14ac:dyDescent="0.25">
      <c r="A8714" s="6"/>
      <c r="B8714" s="1"/>
      <c r="C8714" s="5"/>
      <c r="D8714" s="5"/>
      <c r="E8714" s="5"/>
      <c r="F8714" s="5"/>
      <c r="G8714" s="5"/>
      <c r="H8714" s="5"/>
      <c r="I8714" s="5"/>
      <c r="J8714" s="5"/>
      <c r="K8714" s="5"/>
      <c r="L8714" s="5"/>
    </row>
    <row r="8715" spans="1:12" ht="12" customHeight="1" x14ac:dyDescent="0.25">
      <c r="A8715" s="6"/>
      <c r="B8715" s="1"/>
      <c r="C8715" s="5"/>
      <c r="D8715" s="5"/>
      <c r="E8715" s="5"/>
      <c r="F8715" s="5"/>
      <c r="G8715" s="5"/>
      <c r="H8715" s="5"/>
      <c r="I8715" s="5"/>
      <c r="J8715" s="5"/>
      <c r="K8715" s="5"/>
      <c r="L8715" s="5"/>
    </row>
    <row r="8716" spans="1:12" ht="12" customHeight="1" x14ac:dyDescent="0.25">
      <c r="A8716" s="6"/>
      <c r="B8716" s="1"/>
      <c r="C8716" s="5"/>
      <c r="D8716" s="5"/>
      <c r="E8716" s="5"/>
      <c r="F8716" s="5"/>
      <c r="G8716" s="5"/>
      <c r="H8716" s="5"/>
      <c r="I8716" s="5"/>
      <c r="J8716" s="5"/>
      <c r="K8716" s="5"/>
      <c r="L8716" s="5"/>
    </row>
    <row r="8717" spans="1:12" ht="12" customHeight="1" x14ac:dyDescent="0.25">
      <c r="A8717" s="6"/>
      <c r="B8717" s="1"/>
      <c r="C8717" s="5"/>
      <c r="D8717" s="5"/>
      <c r="E8717" s="5"/>
      <c r="F8717" s="5"/>
      <c r="G8717" s="5"/>
      <c r="H8717" s="5"/>
      <c r="I8717" s="5"/>
      <c r="J8717" s="5"/>
      <c r="K8717" s="5"/>
      <c r="L8717" s="5"/>
    </row>
    <row r="8718" spans="1:12" ht="12" customHeight="1" x14ac:dyDescent="0.25">
      <c r="A8718" s="6"/>
      <c r="B8718" s="1"/>
      <c r="C8718" s="5"/>
      <c r="D8718" s="5"/>
      <c r="E8718" s="5"/>
      <c r="F8718" s="5"/>
      <c r="G8718" s="5"/>
      <c r="H8718" s="5"/>
      <c r="I8718" s="5"/>
      <c r="J8718" s="5"/>
      <c r="K8718" s="5"/>
      <c r="L8718" s="5"/>
    </row>
    <row r="8719" spans="1:12" ht="12" customHeight="1" x14ac:dyDescent="0.25">
      <c r="A8719" s="6"/>
      <c r="B8719" s="1"/>
      <c r="C8719" s="5"/>
      <c r="D8719" s="5"/>
      <c r="E8719" s="5"/>
      <c r="F8719" s="5"/>
      <c r="G8719" s="5"/>
      <c r="H8719" s="5"/>
      <c r="I8719" s="5"/>
      <c r="J8719" s="5"/>
      <c r="K8719" s="5"/>
      <c r="L8719" s="5"/>
    </row>
    <row r="8720" spans="1:12" ht="12" customHeight="1" x14ac:dyDescent="0.25">
      <c r="A8720" s="6"/>
      <c r="B8720" s="1"/>
      <c r="C8720" s="5"/>
      <c r="D8720" s="5"/>
      <c r="E8720" s="5"/>
      <c r="F8720" s="5"/>
      <c r="G8720" s="5"/>
      <c r="H8720" s="5"/>
      <c r="I8720" s="5"/>
      <c r="J8720" s="5"/>
      <c r="K8720" s="5"/>
      <c r="L8720" s="5"/>
    </row>
    <row r="8721" spans="1:12" ht="12" customHeight="1" x14ac:dyDescent="0.25">
      <c r="A8721" s="6"/>
      <c r="B8721" s="1"/>
      <c r="C8721" s="5"/>
      <c r="D8721" s="5"/>
      <c r="E8721" s="5"/>
      <c r="F8721" s="5"/>
      <c r="G8721" s="5"/>
      <c r="H8721" s="5"/>
      <c r="I8721" s="5"/>
      <c r="J8721" s="5"/>
      <c r="K8721" s="5"/>
      <c r="L8721" s="5"/>
    </row>
    <row r="8722" spans="1:12" ht="12" customHeight="1" x14ac:dyDescent="0.25">
      <c r="A8722" s="6"/>
      <c r="B8722" s="1"/>
      <c r="C8722" s="5"/>
      <c r="D8722" s="5"/>
      <c r="E8722" s="5"/>
      <c r="F8722" s="5"/>
      <c r="G8722" s="5"/>
      <c r="H8722" s="5"/>
      <c r="I8722" s="5"/>
      <c r="J8722" s="5"/>
      <c r="K8722" s="5"/>
      <c r="L8722" s="5"/>
    </row>
    <row r="8723" spans="1:12" ht="12" customHeight="1" x14ac:dyDescent="0.25">
      <c r="A8723" s="6"/>
      <c r="B8723" s="1"/>
      <c r="C8723" s="5"/>
      <c r="D8723" s="5"/>
      <c r="E8723" s="5"/>
      <c r="F8723" s="5"/>
      <c r="G8723" s="5"/>
      <c r="H8723" s="5"/>
      <c r="I8723" s="5"/>
      <c r="J8723" s="5"/>
      <c r="K8723" s="5"/>
      <c r="L8723" s="5"/>
    </row>
    <row r="8724" spans="1:12" ht="12" customHeight="1" x14ac:dyDescent="0.25">
      <c r="A8724" s="6"/>
      <c r="B8724" s="1"/>
      <c r="C8724" s="5"/>
      <c r="D8724" s="5"/>
      <c r="E8724" s="5"/>
      <c r="F8724" s="5"/>
      <c r="G8724" s="5"/>
      <c r="H8724" s="5"/>
      <c r="I8724" s="5"/>
      <c r="J8724" s="5"/>
      <c r="K8724" s="5"/>
      <c r="L8724" s="5"/>
    </row>
    <row r="8725" spans="1:12" ht="12" customHeight="1" x14ac:dyDescent="0.25">
      <c r="A8725" s="6"/>
      <c r="B8725" s="1"/>
      <c r="C8725" s="5"/>
      <c r="D8725" s="5"/>
      <c r="E8725" s="5"/>
      <c r="F8725" s="5"/>
      <c r="G8725" s="5"/>
      <c r="H8725" s="5"/>
      <c r="I8725" s="5"/>
      <c r="J8725" s="5"/>
      <c r="K8725" s="5"/>
      <c r="L8725" s="5"/>
    </row>
    <row r="8726" spans="1:12" ht="12" customHeight="1" x14ac:dyDescent="0.25">
      <c r="A8726" s="6"/>
      <c r="B8726" s="1"/>
      <c r="C8726" s="5"/>
      <c r="D8726" s="5"/>
      <c r="E8726" s="5"/>
      <c r="F8726" s="5"/>
      <c r="G8726" s="5"/>
      <c r="H8726" s="5"/>
      <c r="I8726" s="5"/>
      <c r="J8726" s="5"/>
      <c r="K8726" s="5"/>
      <c r="L8726" s="5"/>
    </row>
    <row r="8727" spans="1:12" ht="12" customHeight="1" x14ac:dyDescent="0.25">
      <c r="A8727" s="6"/>
      <c r="B8727" s="1"/>
      <c r="C8727" s="5"/>
      <c r="D8727" s="5"/>
      <c r="E8727" s="5"/>
      <c r="F8727" s="5"/>
      <c r="G8727" s="5"/>
      <c r="H8727" s="5"/>
      <c r="I8727" s="5"/>
      <c r="J8727" s="5"/>
      <c r="K8727" s="5"/>
      <c r="L8727" s="5"/>
    </row>
    <row r="8728" spans="1:12" ht="12" customHeight="1" x14ac:dyDescent="0.25">
      <c r="A8728" s="6"/>
      <c r="B8728" s="1"/>
      <c r="C8728" s="5"/>
      <c r="D8728" s="5"/>
      <c r="E8728" s="5"/>
      <c r="F8728" s="5"/>
      <c r="G8728" s="5"/>
      <c r="H8728" s="5"/>
      <c r="I8728" s="5"/>
      <c r="J8728" s="5"/>
      <c r="K8728" s="5"/>
      <c r="L8728" s="5"/>
    </row>
    <row r="8729" spans="1:12" ht="12" customHeight="1" x14ac:dyDescent="0.25">
      <c r="A8729" s="6"/>
      <c r="B8729" s="1"/>
      <c r="C8729" s="5"/>
      <c r="D8729" s="5"/>
      <c r="E8729" s="5"/>
      <c r="F8729" s="5"/>
      <c r="G8729" s="5"/>
      <c r="H8729" s="5"/>
      <c r="I8729" s="5"/>
      <c r="J8729" s="5"/>
      <c r="K8729" s="5"/>
      <c r="L8729" s="5"/>
    </row>
    <row r="8730" spans="1:12" ht="12" customHeight="1" x14ac:dyDescent="0.25">
      <c r="A8730" s="6"/>
      <c r="B8730" s="1"/>
      <c r="C8730" s="5"/>
      <c r="D8730" s="5"/>
      <c r="E8730" s="5"/>
      <c r="F8730" s="5"/>
      <c r="G8730" s="5"/>
      <c r="H8730" s="5"/>
      <c r="I8730" s="5"/>
      <c r="J8730" s="5"/>
      <c r="K8730" s="5"/>
      <c r="L8730" s="5"/>
    </row>
    <row r="8731" spans="1:12" ht="12" customHeight="1" x14ac:dyDescent="0.25">
      <c r="A8731" s="6"/>
      <c r="B8731" s="1"/>
      <c r="C8731" s="5"/>
      <c r="D8731" s="5"/>
      <c r="E8731" s="5"/>
      <c r="F8731" s="5"/>
      <c r="G8731" s="5"/>
      <c r="H8731" s="5"/>
      <c r="I8731" s="5"/>
      <c r="J8731" s="5"/>
      <c r="K8731" s="5"/>
      <c r="L8731" s="5"/>
    </row>
    <row r="8732" spans="1:12" ht="12" customHeight="1" x14ac:dyDescent="0.25">
      <c r="A8732" s="6"/>
      <c r="B8732" s="1"/>
      <c r="C8732" s="5"/>
      <c r="D8732" s="5"/>
      <c r="E8732" s="5"/>
      <c r="F8732" s="5"/>
      <c r="G8732" s="5"/>
      <c r="H8732" s="5"/>
      <c r="I8732" s="5"/>
      <c r="J8732" s="5"/>
      <c r="K8732" s="5"/>
      <c r="L8732" s="5"/>
    </row>
    <row r="8733" spans="1:12" ht="12" customHeight="1" x14ac:dyDescent="0.25">
      <c r="A8733" s="6"/>
      <c r="B8733" s="1"/>
      <c r="C8733" s="5"/>
      <c r="D8733" s="5"/>
      <c r="E8733" s="5"/>
      <c r="F8733" s="5"/>
      <c r="G8733" s="5"/>
      <c r="H8733" s="5"/>
      <c r="I8733" s="5"/>
      <c r="J8733" s="5"/>
      <c r="K8733" s="5"/>
      <c r="L8733" s="5"/>
    </row>
    <row r="8734" spans="1:12" ht="12" customHeight="1" x14ac:dyDescent="0.25">
      <c r="A8734" s="6"/>
      <c r="B8734" s="1"/>
      <c r="C8734" s="5"/>
      <c r="D8734" s="5"/>
      <c r="E8734" s="5"/>
      <c r="F8734" s="5"/>
      <c r="G8734" s="5"/>
      <c r="H8734" s="5"/>
      <c r="I8734" s="5"/>
      <c r="J8734" s="5"/>
      <c r="K8734" s="5"/>
      <c r="L8734" s="5"/>
    </row>
    <row r="8735" spans="1:12" ht="12" customHeight="1" x14ac:dyDescent="0.25">
      <c r="A8735" s="6"/>
      <c r="B8735" s="1"/>
      <c r="C8735" s="5"/>
      <c r="D8735" s="5"/>
      <c r="E8735" s="5"/>
      <c r="F8735" s="5"/>
      <c r="G8735" s="5"/>
      <c r="H8735" s="5"/>
      <c r="I8735" s="5"/>
      <c r="J8735" s="5"/>
      <c r="K8735" s="5"/>
      <c r="L8735" s="5"/>
    </row>
    <row r="8736" spans="1:12" ht="12" customHeight="1" x14ac:dyDescent="0.25">
      <c r="A8736" s="6"/>
      <c r="B8736" s="1"/>
      <c r="C8736" s="5"/>
      <c r="D8736" s="5"/>
      <c r="E8736" s="5"/>
      <c r="F8736" s="5"/>
      <c r="G8736" s="5"/>
      <c r="H8736" s="5"/>
      <c r="I8736" s="5"/>
      <c r="J8736" s="5"/>
      <c r="K8736" s="5"/>
      <c r="L8736" s="5"/>
    </row>
    <row r="8737" spans="1:12" ht="12" customHeight="1" x14ac:dyDescent="0.25">
      <c r="A8737" s="6"/>
      <c r="B8737" s="1"/>
      <c r="C8737" s="5"/>
      <c r="D8737" s="5"/>
      <c r="E8737" s="5"/>
      <c r="F8737" s="5"/>
      <c r="G8737" s="5"/>
      <c r="H8737" s="5"/>
      <c r="I8737" s="5"/>
      <c r="J8737" s="5"/>
      <c r="K8737" s="5"/>
      <c r="L8737" s="5"/>
    </row>
    <row r="8738" spans="1:12" ht="12" customHeight="1" x14ac:dyDescent="0.25">
      <c r="A8738" s="6"/>
      <c r="B8738" s="1"/>
      <c r="C8738" s="5"/>
      <c r="D8738" s="5"/>
      <c r="E8738" s="5"/>
      <c r="F8738" s="5"/>
      <c r="G8738" s="5"/>
      <c r="H8738" s="5"/>
      <c r="I8738" s="5"/>
      <c r="J8738" s="5"/>
      <c r="K8738" s="5"/>
      <c r="L8738" s="5"/>
    </row>
    <row r="8739" spans="1:12" ht="12" customHeight="1" x14ac:dyDescent="0.25">
      <c r="A8739" s="6"/>
      <c r="B8739" s="1"/>
      <c r="C8739" s="5"/>
      <c r="D8739" s="5"/>
      <c r="E8739" s="5"/>
      <c r="F8739" s="5"/>
      <c r="G8739" s="5"/>
      <c r="H8739" s="5"/>
      <c r="I8739" s="5"/>
      <c r="J8739" s="5"/>
      <c r="K8739" s="5"/>
      <c r="L8739" s="5"/>
    </row>
    <row r="8740" spans="1:12" ht="12" customHeight="1" x14ac:dyDescent="0.25">
      <c r="A8740" s="6"/>
      <c r="B8740" s="1"/>
      <c r="C8740" s="5"/>
      <c r="D8740" s="5"/>
      <c r="E8740" s="5"/>
      <c r="F8740" s="5"/>
      <c r="G8740" s="5"/>
      <c r="H8740" s="5"/>
      <c r="I8740" s="5"/>
      <c r="J8740" s="5"/>
      <c r="K8740" s="5"/>
      <c r="L8740" s="5"/>
    </row>
    <row r="8741" spans="1:12" ht="12" customHeight="1" x14ac:dyDescent="0.25">
      <c r="A8741" s="6"/>
      <c r="B8741" s="1"/>
      <c r="C8741" s="5"/>
      <c r="D8741" s="5"/>
      <c r="E8741" s="5"/>
      <c r="F8741" s="5"/>
      <c r="G8741" s="5"/>
      <c r="H8741" s="5"/>
      <c r="I8741" s="5"/>
      <c r="J8741" s="5"/>
      <c r="K8741" s="5"/>
      <c r="L8741" s="5"/>
    </row>
    <row r="8742" spans="1:12" ht="12" customHeight="1" x14ac:dyDescent="0.25">
      <c r="A8742" s="6"/>
      <c r="B8742" s="1"/>
      <c r="C8742" s="5"/>
      <c r="D8742" s="5"/>
      <c r="E8742" s="5"/>
      <c r="F8742" s="5"/>
      <c r="G8742" s="5"/>
      <c r="H8742" s="5"/>
      <c r="I8742" s="5"/>
      <c r="J8742" s="5"/>
      <c r="K8742" s="5"/>
      <c r="L8742" s="5"/>
    </row>
    <row r="8743" spans="1:12" ht="12" customHeight="1" x14ac:dyDescent="0.25">
      <c r="A8743" s="6"/>
      <c r="B8743" s="1"/>
      <c r="C8743" s="5"/>
      <c r="D8743" s="5"/>
      <c r="E8743" s="5"/>
      <c r="F8743" s="5"/>
      <c r="G8743" s="5"/>
      <c r="H8743" s="5"/>
      <c r="I8743" s="5"/>
      <c r="J8743" s="5"/>
      <c r="K8743" s="5"/>
      <c r="L8743" s="5"/>
    </row>
    <row r="8744" spans="1:12" ht="12" customHeight="1" x14ac:dyDescent="0.25">
      <c r="A8744" s="6"/>
      <c r="B8744" s="1"/>
      <c r="C8744" s="5"/>
      <c r="D8744" s="5"/>
      <c r="E8744" s="5"/>
      <c r="F8744" s="5"/>
      <c r="G8744" s="5"/>
      <c r="H8744" s="5"/>
      <c r="I8744" s="5"/>
      <c r="J8744" s="5"/>
      <c r="K8744" s="5"/>
      <c r="L8744" s="5"/>
    </row>
    <row r="8745" spans="1:12" ht="12" customHeight="1" x14ac:dyDescent="0.25">
      <c r="A8745" s="6"/>
      <c r="B8745" s="1"/>
      <c r="C8745" s="5"/>
      <c r="D8745" s="5"/>
      <c r="E8745" s="5"/>
      <c r="F8745" s="5"/>
      <c r="G8745" s="5"/>
      <c r="H8745" s="5"/>
      <c r="I8745" s="5"/>
      <c r="J8745" s="5"/>
      <c r="K8745" s="5"/>
      <c r="L8745" s="5"/>
    </row>
    <row r="8746" spans="1:12" ht="12" customHeight="1" x14ac:dyDescent="0.25">
      <c r="A8746" s="6"/>
      <c r="B8746" s="1"/>
      <c r="C8746" s="5"/>
      <c r="D8746" s="5"/>
      <c r="E8746" s="5"/>
      <c r="F8746" s="5"/>
      <c r="G8746" s="5"/>
      <c r="H8746" s="5"/>
      <c r="I8746" s="5"/>
      <c r="J8746" s="5"/>
      <c r="K8746" s="5"/>
      <c r="L8746" s="5"/>
    </row>
    <row r="8747" spans="1:12" ht="12" customHeight="1" x14ac:dyDescent="0.25">
      <c r="A8747" s="6"/>
      <c r="B8747" s="1"/>
      <c r="C8747" s="5"/>
      <c r="D8747" s="5"/>
      <c r="E8747" s="5"/>
      <c r="F8747" s="5"/>
      <c r="G8747" s="5"/>
      <c r="H8747" s="5"/>
      <c r="I8747" s="5"/>
      <c r="J8747" s="5"/>
      <c r="K8747" s="5"/>
      <c r="L8747" s="5"/>
    </row>
    <row r="8748" spans="1:12" ht="12" customHeight="1" x14ac:dyDescent="0.25">
      <c r="A8748" s="6"/>
      <c r="B8748" s="1"/>
      <c r="C8748" s="5"/>
      <c r="D8748" s="5"/>
      <c r="E8748" s="5"/>
      <c r="F8748" s="5"/>
      <c r="G8748" s="5"/>
      <c r="H8748" s="5"/>
      <c r="I8748" s="5"/>
      <c r="J8748" s="5"/>
      <c r="K8748" s="5"/>
      <c r="L8748" s="5"/>
    </row>
    <row r="8749" spans="1:12" ht="12" customHeight="1" x14ac:dyDescent="0.25">
      <c r="A8749" s="6"/>
      <c r="B8749" s="1"/>
      <c r="C8749" s="5"/>
      <c r="D8749" s="5"/>
      <c r="E8749" s="5"/>
      <c r="F8749" s="5"/>
      <c r="G8749" s="5"/>
      <c r="H8749" s="5"/>
      <c r="I8749" s="5"/>
      <c r="J8749" s="5"/>
      <c r="K8749" s="5"/>
      <c r="L8749" s="5"/>
    </row>
    <row r="8750" spans="1:12" ht="12" customHeight="1" x14ac:dyDescent="0.25">
      <c r="A8750" s="6"/>
      <c r="B8750" s="1"/>
      <c r="C8750" s="5"/>
      <c r="D8750" s="5"/>
      <c r="E8750" s="5"/>
      <c r="F8750" s="5"/>
      <c r="G8750" s="5"/>
      <c r="H8750" s="5"/>
      <c r="I8750" s="5"/>
      <c r="J8750" s="5"/>
      <c r="K8750" s="5"/>
      <c r="L8750" s="5"/>
    </row>
    <row r="8751" spans="1:12" ht="12" customHeight="1" x14ac:dyDescent="0.25">
      <c r="A8751" s="6"/>
      <c r="B8751" s="1"/>
      <c r="C8751" s="5"/>
      <c r="D8751" s="5"/>
      <c r="E8751" s="5"/>
      <c r="F8751" s="5"/>
      <c r="G8751" s="5"/>
      <c r="H8751" s="5"/>
      <c r="I8751" s="5"/>
      <c r="J8751" s="5"/>
      <c r="K8751" s="5"/>
      <c r="L8751" s="5"/>
    </row>
    <row r="8752" spans="1:12" ht="12" customHeight="1" x14ac:dyDescent="0.25">
      <c r="A8752" s="6"/>
      <c r="B8752" s="1"/>
      <c r="C8752" s="5"/>
      <c r="D8752" s="5"/>
      <c r="E8752" s="5"/>
      <c r="F8752" s="5"/>
      <c r="G8752" s="5"/>
      <c r="H8752" s="5"/>
      <c r="I8752" s="5"/>
      <c r="J8752" s="5"/>
      <c r="K8752" s="5"/>
      <c r="L8752" s="5"/>
    </row>
    <row r="8753" spans="1:12" ht="12" customHeight="1" x14ac:dyDescent="0.25">
      <c r="A8753" s="6"/>
      <c r="B8753" s="1"/>
      <c r="C8753" s="5"/>
      <c r="D8753" s="5"/>
      <c r="E8753" s="5"/>
      <c r="F8753" s="5"/>
      <c r="G8753" s="5"/>
      <c r="H8753" s="5"/>
      <c r="I8753" s="5"/>
      <c r="J8753" s="5"/>
      <c r="K8753" s="5"/>
      <c r="L8753" s="5"/>
    </row>
    <row r="8754" spans="1:12" ht="12" customHeight="1" x14ac:dyDescent="0.25">
      <c r="A8754" s="6"/>
      <c r="B8754" s="1"/>
      <c r="C8754" s="5"/>
      <c r="D8754" s="5"/>
      <c r="E8754" s="5"/>
      <c r="F8754" s="5"/>
      <c r="G8754" s="5"/>
      <c r="H8754" s="5"/>
      <c r="I8754" s="5"/>
      <c r="J8754" s="5"/>
      <c r="K8754" s="5"/>
      <c r="L8754" s="5"/>
    </row>
    <row r="8755" spans="1:12" ht="12" customHeight="1" x14ac:dyDescent="0.25">
      <c r="A8755" s="6"/>
      <c r="B8755" s="1"/>
      <c r="C8755" s="5"/>
      <c r="D8755" s="5"/>
      <c r="E8755" s="5"/>
      <c r="F8755" s="5"/>
      <c r="G8755" s="5"/>
      <c r="H8755" s="5"/>
      <c r="I8755" s="5"/>
      <c r="J8755" s="5"/>
      <c r="K8755" s="5"/>
      <c r="L8755" s="5"/>
    </row>
    <row r="8756" spans="1:12" ht="12" customHeight="1" x14ac:dyDescent="0.25">
      <c r="A8756" s="6"/>
      <c r="B8756" s="1"/>
      <c r="C8756" s="5"/>
      <c r="D8756" s="5"/>
      <c r="E8756" s="5"/>
      <c r="F8756" s="5"/>
      <c r="G8756" s="5"/>
      <c r="H8756" s="5"/>
      <c r="I8756" s="5"/>
      <c r="J8756" s="5"/>
      <c r="K8756" s="5"/>
      <c r="L8756" s="5"/>
    </row>
    <row r="8757" spans="1:12" ht="12" customHeight="1" x14ac:dyDescent="0.25">
      <c r="A8757" s="6"/>
      <c r="B8757" s="1"/>
      <c r="C8757" s="5"/>
      <c r="D8757" s="5"/>
      <c r="E8757" s="5"/>
      <c r="F8757" s="5"/>
      <c r="G8757" s="5"/>
      <c r="H8757" s="5"/>
      <c r="I8757" s="5"/>
      <c r="J8757" s="5"/>
      <c r="K8757" s="5"/>
      <c r="L8757" s="5"/>
    </row>
    <row r="8758" spans="1:12" ht="12" customHeight="1" x14ac:dyDescent="0.25">
      <c r="A8758" s="6"/>
      <c r="B8758" s="1"/>
      <c r="C8758" s="5"/>
      <c r="D8758" s="5"/>
      <c r="E8758" s="5"/>
      <c r="F8758" s="5"/>
      <c r="G8758" s="5"/>
      <c r="H8758" s="5"/>
      <c r="I8758" s="5"/>
      <c r="J8758" s="5"/>
      <c r="K8758" s="5"/>
      <c r="L8758" s="5"/>
    </row>
    <row r="8759" spans="1:12" ht="12" customHeight="1" x14ac:dyDescent="0.25">
      <c r="A8759" s="6"/>
      <c r="B8759" s="1"/>
      <c r="C8759" s="5"/>
      <c r="D8759" s="5"/>
      <c r="E8759" s="5"/>
      <c r="F8759" s="5"/>
      <c r="G8759" s="5"/>
      <c r="H8759" s="5"/>
      <c r="I8759" s="5"/>
      <c r="J8759" s="5"/>
      <c r="K8759" s="5"/>
      <c r="L8759" s="5"/>
    </row>
    <row r="8760" spans="1:12" ht="12" customHeight="1" x14ac:dyDescent="0.25">
      <c r="A8760" s="6"/>
      <c r="B8760" s="1"/>
      <c r="C8760" s="5"/>
      <c r="D8760" s="5"/>
      <c r="E8760" s="5"/>
      <c r="F8760" s="5"/>
      <c r="G8760" s="5"/>
      <c r="H8760" s="5"/>
      <c r="I8760" s="5"/>
      <c r="J8760" s="5"/>
      <c r="K8760" s="5"/>
      <c r="L8760" s="5"/>
    </row>
    <row r="8761" spans="1:12" ht="12" customHeight="1" x14ac:dyDescent="0.25">
      <c r="A8761" s="6"/>
      <c r="B8761" s="1"/>
      <c r="C8761" s="5"/>
      <c r="D8761" s="5"/>
      <c r="E8761" s="5"/>
      <c r="F8761" s="5"/>
      <c r="G8761" s="5"/>
      <c r="H8761" s="5"/>
      <c r="I8761" s="5"/>
      <c r="J8761" s="5"/>
      <c r="K8761" s="5"/>
      <c r="L8761" s="5"/>
    </row>
    <row r="8762" spans="1:12" ht="12" customHeight="1" x14ac:dyDescent="0.25">
      <c r="A8762" s="6"/>
      <c r="B8762" s="1"/>
      <c r="C8762" s="5"/>
      <c r="D8762" s="5"/>
      <c r="E8762" s="5"/>
      <c r="F8762" s="5"/>
      <c r="G8762" s="5"/>
      <c r="H8762" s="5"/>
      <c r="I8762" s="5"/>
      <c r="J8762" s="5"/>
      <c r="K8762" s="5"/>
      <c r="L8762" s="5"/>
    </row>
    <row r="8763" spans="1:12" ht="12" customHeight="1" x14ac:dyDescent="0.25">
      <c r="A8763" s="6"/>
      <c r="B8763" s="1"/>
      <c r="C8763" s="5"/>
      <c r="D8763" s="5"/>
      <c r="E8763" s="5"/>
      <c r="F8763" s="5"/>
      <c r="G8763" s="5"/>
      <c r="H8763" s="5"/>
      <c r="I8763" s="5"/>
      <c r="J8763" s="5"/>
      <c r="K8763" s="5"/>
      <c r="L8763" s="5"/>
    </row>
    <row r="8764" spans="1:12" ht="12" customHeight="1" x14ac:dyDescent="0.25">
      <c r="A8764" s="6"/>
      <c r="B8764" s="1"/>
      <c r="C8764" s="5"/>
      <c r="D8764" s="5"/>
      <c r="E8764" s="5"/>
      <c r="F8764" s="5"/>
      <c r="G8764" s="5"/>
      <c r="H8764" s="5"/>
      <c r="I8764" s="5"/>
      <c r="J8764" s="5"/>
      <c r="K8764" s="5"/>
      <c r="L8764" s="5"/>
    </row>
    <row r="8765" spans="1:12" ht="12" customHeight="1" x14ac:dyDescent="0.25">
      <c r="A8765" s="6"/>
      <c r="B8765" s="1"/>
      <c r="C8765" s="5"/>
      <c r="D8765" s="5"/>
      <c r="E8765" s="5"/>
      <c r="F8765" s="5"/>
      <c r="G8765" s="5"/>
      <c r="H8765" s="5"/>
      <c r="I8765" s="5"/>
      <c r="J8765" s="5"/>
      <c r="K8765" s="5"/>
      <c r="L8765" s="5"/>
    </row>
    <row r="8766" spans="1:12" ht="12" customHeight="1" x14ac:dyDescent="0.25">
      <c r="A8766" s="6"/>
      <c r="B8766" s="1"/>
      <c r="C8766" s="5"/>
      <c r="D8766" s="5"/>
      <c r="E8766" s="5"/>
      <c r="F8766" s="5"/>
      <c r="G8766" s="5"/>
      <c r="H8766" s="5"/>
      <c r="I8766" s="5"/>
      <c r="J8766" s="5"/>
      <c r="K8766" s="5"/>
      <c r="L8766" s="5"/>
    </row>
    <row r="8767" spans="1:12" ht="12" customHeight="1" x14ac:dyDescent="0.25">
      <c r="A8767" s="6"/>
      <c r="B8767" s="1"/>
      <c r="C8767" s="5"/>
      <c r="D8767" s="5"/>
      <c r="E8767" s="5"/>
      <c r="F8767" s="5"/>
      <c r="G8767" s="5"/>
      <c r="H8767" s="5"/>
      <c r="I8767" s="5"/>
      <c r="J8767" s="5"/>
      <c r="K8767" s="5"/>
      <c r="L8767" s="5"/>
    </row>
    <row r="8768" spans="1:12" ht="12" customHeight="1" x14ac:dyDescent="0.25">
      <c r="A8768" s="6"/>
      <c r="B8768" s="1"/>
      <c r="C8768" s="5"/>
      <c r="D8768" s="5"/>
      <c r="E8768" s="5"/>
      <c r="F8768" s="5"/>
      <c r="G8768" s="5"/>
      <c r="H8768" s="5"/>
      <c r="I8768" s="5"/>
      <c r="J8768" s="5"/>
      <c r="K8768" s="5"/>
      <c r="L8768" s="5"/>
    </row>
    <row r="8769" spans="1:12" ht="12" customHeight="1" x14ac:dyDescent="0.25">
      <c r="A8769" s="6"/>
      <c r="B8769" s="1"/>
      <c r="C8769" s="5"/>
      <c r="D8769" s="5"/>
      <c r="E8769" s="5"/>
      <c r="F8769" s="5"/>
      <c r="G8769" s="5"/>
      <c r="H8769" s="5"/>
      <c r="I8769" s="5"/>
      <c r="J8769" s="5"/>
      <c r="K8769" s="5"/>
      <c r="L8769" s="5"/>
    </row>
    <row r="8770" spans="1:12" ht="12" customHeight="1" x14ac:dyDescent="0.25">
      <c r="A8770" s="6"/>
      <c r="B8770" s="1"/>
      <c r="C8770" s="5"/>
      <c r="D8770" s="5"/>
      <c r="E8770" s="5"/>
      <c r="F8770" s="5"/>
      <c r="G8770" s="5"/>
      <c r="H8770" s="5"/>
      <c r="I8770" s="5"/>
      <c r="J8770" s="5"/>
      <c r="K8770" s="5"/>
      <c r="L8770" s="5"/>
    </row>
    <row r="8771" spans="1:12" ht="12" customHeight="1" x14ac:dyDescent="0.25">
      <c r="A8771" s="6"/>
      <c r="B8771" s="1"/>
      <c r="C8771" s="5"/>
      <c r="D8771" s="5"/>
      <c r="E8771" s="5"/>
      <c r="F8771" s="5"/>
      <c r="G8771" s="5"/>
      <c r="H8771" s="5"/>
      <c r="I8771" s="5"/>
      <c r="J8771" s="5"/>
      <c r="K8771" s="5"/>
      <c r="L8771" s="5"/>
    </row>
    <row r="8772" spans="1:12" ht="12" customHeight="1" x14ac:dyDescent="0.25">
      <c r="A8772" s="6"/>
      <c r="B8772" s="1"/>
      <c r="C8772" s="5"/>
      <c r="D8772" s="5"/>
      <c r="E8772" s="5"/>
      <c r="F8772" s="5"/>
      <c r="G8772" s="5"/>
      <c r="H8772" s="5"/>
      <c r="I8772" s="5"/>
      <c r="J8772" s="5"/>
      <c r="K8772" s="5"/>
      <c r="L8772" s="5"/>
    </row>
    <row r="8773" spans="1:12" ht="12" customHeight="1" x14ac:dyDescent="0.25">
      <c r="A8773" s="6"/>
      <c r="B8773" s="1"/>
      <c r="C8773" s="5"/>
      <c r="D8773" s="5"/>
      <c r="E8773" s="5"/>
      <c r="F8773" s="5"/>
      <c r="G8773" s="5"/>
      <c r="H8773" s="5"/>
      <c r="I8773" s="5"/>
      <c r="J8773" s="5"/>
      <c r="K8773" s="5"/>
      <c r="L8773" s="5"/>
    </row>
    <row r="8774" spans="1:12" ht="12" customHeight="1" x14ac:dyDescent="0.25">
      <c r="A8774" s="6"/>
      <c r="B8774" s="1"/>
      <c r="C8774" s="5"/>
      <c r="D8774" s="5"/>
      <c r="E8774" s="5"/>
      <c r="F8774" s="5"/>
      <c r="G8774" s="5"/>
      <c r="H8774" s="5"/>
      <c r="I8774" s="5"/>
      <c r="J8774" s="5"/>
      <c r="K8774" s="5"/>
      <c r="L8774" s="5"/>
    </row>
    <row r="8775" spans="1:12" ht="12" customHeight="1" x14ac:dyDescent="0.25">
      <c r="A8775" s="6"/>
      <c r="B8775" s="1"/>
      <c r="C8775" s="5"/>
      <c r="D8775" s="5"/>
      <c r="E8775" s="5"/>
      <c r="F8775" s="5"/>
      <c r="G8775" s="5"/>
      <c r="H8775" s="5"/>
      <c r="I8775" s="5"/>
      <c r="J8775" s="5"/>
      <c r="K8775" s="5"/>
      <c r="L8775" s="5"/>
    </row>
    <row r="8776" spans="1:12" ht="12" customHeight="1" x14ac:dyDescent="0.25">
      <c r="A8776" s="6"/>
      <c r="B8776" s="1"/>
      <c r="C8776" s="5"/>
      <c r="D8776" s="5"/>
      <c r="E8776" s="5"/>
      <c r="F8776" s="5"/>
      <c r="G8776" s="5"/>
      <c r="H8776" s="5"/>
      <c r="I8776" s="5"/>
      <c r="J8776" s="5"/>
      <c r="K8776" s="5"/>
      <c r="L8776" s="5"/>
    </row>
    <row r="8777" spans="1:12" ht="12" customHeight="1" x14ac:dyDescent="0.25">
      <c r="A8777" s="6"/>
      <c r="B8777" s="1"/>
      <c r="C8777" s="5"/>
      <c r="D8777" s="5"/>
      <c r="E8777" s="5"/>
      <c r="F8777" s="5"/>
      <c r="G8777" s="5"/>
      <c r="H8777" s="5"/>
      <c r="I8777" s="5"/>
      <c r="J8777" s="5"/>
      <c r="K8777" s="5"/>
      <c r="L8777" s="5"/>
    </row>
    <row r="8778" spans="1:12" ht="12" customHeight="1" x14ac:dyDescent="0.25">
      <c r="A8778" s="6"/>
      <c r="B8778" s="1"/>
      <c r="C8778" s="5"/>
      <c r="D8778" s="5"/>
      <c r="E8778" s="5"/>
      <c r="F8778" s="5"/>
      <c r="G8778" s="5"/>
      <c r="H8778" s="5"/>
      <c r="I8778" s="5"/>
      <c r="J8778" s="5"/>
      <c r="K8778" s="5"/>
      <c r="L8778" s="5"/>
    </row>
    <row r="8779" spans="1:12" ht="12" customHeight="1" x14ac:dyDescent="0.25">
      <c r="A8779" s="6"/>
      <c r="B8779" s="1"/>
      <c r="C8779" s="5"/>
      <c r="D8779" s="5"/>
      <c r="E8779" s="5"/>
      <c r="F8779" s="5"/>
      <c r="G8779" s="5"/>
      <c r="H8779" s="5"/>
      <c r="I8779" s="5"/>
      <c r="J8779" s="5"/>
      <c r="K8779" s="5"/>
      <c r="L8779" s="5"/>
    </row>
    <row r="8780" spans="1:12" ht="12" customHeight="1" x14ac:dyDescent="0.25">
      <c r="A8780" s="6"/>
      <c r="B8780" s="1"/>
      <c r="C8780" s="5"/>
      <c r="D8780" s="5"/>
      <c r="E8780" s="5"/>
      <c r="F8780" s="5"/>
      <c r="G8780" s="5"/>
      <c r="H8780" s="5"/>
      <c r="I8780" s="5"/>
      <c r="J8780" s="5"/>
      <c r="K8780" s="5"/>
      <c r="L8780" s="5"/>
    </row>
    <row r="8781" spans="1:12" ht="12" customHeight="1" x14ac:dyDescent="0.25">
      <c r="A8781" s="6"/>
      <c r="B8781" s="1"/>
      <c r="C8781" s="5"/>
      <c r="D8781" s="5"/>
      <c r="E8781" s="5"/>
      <c r="F8781" s="5"/>
      <c r="G8781" s="5"/>
      <c r="H8781" s="5"/>
      <c r="I8781" s="5"/>
      <c r="J8781" s="5"/>
      <c r="K8781" s="5"/>
      <c r="L8781" s="5"/>
    </row>
    <row r="8782" spans="1:12" ht="12" customHeight="1" x14ac:dyDescent="0.25">
      <c r="A8782" s="6"/>
      <c r="B8782" s="1"/>
      <c r="C8782" s="5"/>
      <c r="D8782" s="5"/>
      <c r="E8782" s="5"/>
      <c r="F8782" s="5"/>
      <c r="G8782" s="5"/>
      <c r="H8782" s="5"/>
      <c r="I8782" s="5"/>
      <c r="J8782" s="5"/>
      <c r="K8782" s="5"/>
      <c r="L8782" s="5"/>
    </row>
    <row r="8783" spans="1:12" ht="12" customHeight="1" x14ac:dyDescent="0.25">
      <c r="A8783" s="6"/>
      <c r="B8783" s="1"/>
      <c r="C8783" s="5"/>
      <c r="D8783" s="5"/>
      <c r="E8783" s="5"/>
      <c r="F8783" s="5"/>
      <c r="G8783" s="5"/>
      <c r="H8783" s="5"/>
      <c r="I8783" s="5"/>
      <c r="J8783" s="5"/>
      <c r="K8783" s="5"/>
      <c r="L8783" s="5"/>
    </row>
    <row r="8784" spans="1:12" ht="12" customHeight="1" x14ac:dyDescent="0.25">
      <c r="A8784" s="6"/>
      <c r="B8784" s="1"/>
      <c r="C8784" s="5"/>
      <c r="D8784" s="5"/>
      <c r="E8784" s="5"/>
      <c r="F8784" s="5"/>
      <c r="G8784" s="5"/>
      <c r="H8784" s="5"/>
      <c r="I8784" s="5"/>
      <c r="J8784" s="5"/>
      <c r="K8784" s="5"/>
      <c r="L8784" s="5"/>
    </row>
    <row r="8785" spans="1:12" ht="12" customHeight="1" x14ac:dyDescent="0.25">
      <c r="A8785" s="6"/>
      <c r="B8785" s="1"/>
      <c r="C8785" s="5"/>
      <c r="D8785" s="5"/>
      <c r="E8785" s="5"/>
      <c r="F8785" s="5"/>
      <c r="G8785" s="5"/>
      <c r="H8785" s="5"/>
      <c r="I8785" s="5"/>
      <c r="J8785" s="5"/>
      <c r="K8785" s="5"/>
      <c r="L8785" s="5"/>
    </row>
    <row r="8786" spans="1:12" ht="12" customHeight="1" x14ac:dyDescent="0.25">
      <c r="A8786" s="6"/>
      <c r="B8786" s="1"/>
      <c r="C8786" s="5"/>
      <c r="D8786" s="5"/>
      <c r="E8786" s="5"/>
      <c r="F8786" s="5"/>
      <c r="G8786" s="5"/>
      <c r="H8786" s="5"/>
      <c r="I8786" s="5"/>
      <c r="J8786" s="5"/>
      <c r="K8786" s="5"/>
      <c r="L8786" s="5"/>
    </row>
    <row r="8787" spans="1:12" ht="12" customHeight="1" x14ac:dyDescent="0.25">
      <c r="A8787" s="6"/>
      <c r="B8787" s="1"/>
      <c r="C8787" s="5"/>
      <c r="D8787" s="5"/>
      <c r="E8787" s="5"/>
      <c r="F8787" s="5"/>
      <c r="G8787" s="5"/>
      <c r="H8787" s="5"/>
      <c r="I8787" s="5"/>
      <c r="J8787" s="5"/>
      <c r="K8787" s="5"/>
      <c r="L8787" s="5"/>
    </row>
    <row r="8788" spans="1:12" ht="12" customHeight="1" x14ac:dyDescent="0.25">
      <c r="A8788" s="6"/>
      <c r="B8788" s="1"/>
      <c r="C8788" s="5"/>
      <c r="D8788" s="5"/>
      <c r="E8788" s="5"/>
      <c r="F8788" s="5"/>
      <c r="G8788" s="5"/>
      <c r="H8788" s="5"/>
      <c r="I8788" s="5"/>
      <c r="J8788" s="5"/>
      <c r="K8788" s="5"/>
      <c r="L8788" s="5"/>
    </row>
    <row r="8789" spans="1:12" ht="12" customHeight="1" x14ac:dyDescent="0.25">
      <c r="A8789" s="6"/>
      <c r="B8789" s="1"/>
      <c r="C8789" s="5"/>
      <c r="D8789" s="5"/>
      <c r="E8789" s="5"/>
      <c r="F8789" s="5"/>
      <c r="G8789" s="5"/>
      <c r="H8789" s="5"/>
      <c r="I8789" s="5"/>
      <c r="J8789" s="5"/>
      <c r="K8789" s="5"/>
      <c r="L8789" s="5"/>
    </row>
    <row r="8790" spans="1:12" ht="12" customHeight="1" x14ac:dyDescent="0.25">
      <c r="A8790" s="6"/>
      <c r="B8790" s="1"/>
      <c r="C8790" s="5"/>
      <c r="D8790" s="5"/>
      <c r="E8790" s="5"/>
      <c r="F8790" s="5"/>
      <c r="G8790" s="5"/>
      <c r="H8790" s="5"/>
      <c r="I8790" s="5"/>
      <c r="J8790" s="5"/>
      <c r="K8790" s="5"/>
      <c r="L8790" s="5"/>
    </row>
    <row r="8791" spans="1:12" ht="12" customHeight="1" x14ac:dyDescent="0.25">
      <c r="A8791" s="6"/>
      <c r="B8791" s="1"/>
      <c r="C8791" s="5"/>
      <c r="D8791" s="5"/>
      <c r="E8791" s="5"/>
      <c r="F8791" s="5"/>
      <c r="G8791" s="5"/>
      <c r="H8791" s="5"/>
      <c r="I8791" s="5"/>
      <c r="J8791" s="5"/>
      <c r="K8791" s="5"/>
      <c r="L8791" s="5"/>
    </row>
    <row r="8792" spans="1:12" ht="12" customHeight="1" x14ac:dyDescent="0.25">
      <c r="A8792" s="6"/>
      <c r="B8792" s="1"/>
      <c r="C8792" s="5"/>
      <c r="D8792" s="5"/>
      <c r="E8792" s="5"/>
      <c r="F8792" s="5"/>
      <c r="G8792" s="5"/>
      <c r="H8792" s="5"/>
      <c r="I8792" s="5"/>
      <c r="J8792" s="5"/>
      <c r="K8792" s="5"/>
      <c r="L8792" s="5"/>
    </row>
    <row r="8793" spans="1:12" ht="12" customHeight="1" x14ac:dyDescent="0.25">
      <c r="A8793" s="6"/>
      <c r="B8793" s="1"/>
      <c r="C8793" s="5"/>
      <c r="D8793" s="5"/>
      <c r="E8793" s="5"/>
      <c r="F8793" s="5"/>
      <c r="G8793" s="5"/>
      <c r="H8793" s="5"/>
      <c r="I8793" s="5"/>
      <c r="J8793" s="5"/>
      <c r="K8793" s="5"/>
      <c r="L8793" s="5"/>
    </row>
    <row r="8794" spans="1:12" ht="12" customHeight="1" x14ac:dyDescent="0.25">
      <c r="A8794" s="6"/>
      <c r="B8794" s="1"/>
      <c r="C8794" s="5"/>
      <c r="D8794" s="5"/>
      <c r="E8794" s="5"/>
      <c r="F8794" s="5"/>
      <c r="G8794" s="5"/>
      <c r="H8794" s="5"/>
      <c r="I8794" s="5"/>
      <c r="J8794" s="5"/>
      <c r="K8794" s="5"/>
      <c r="L8794" s="5"/>
    </row>
    <row r="8795" spans="1:12" ht="12" customHeight="1" x14ac:dyDescent="0.25">
      <c r="A8795" s="6"/>
      <c r="B8795" s="1"/>
      <c r="C8795" s="5"/>
      <c r="D8795" s="5"/>
      <c r="E8795" s="5"/>
      <c r="F8795" s="5"/>
      <c r="G8795" s="5"/>
      <c r="H8795" s="5"/>
      <c r="I8795" s="5"/>
      <c r="J8795" s="5"/>
      <c r="K8795" s="5"/>
      <c r="L8795" s="5"/>
    </row>
    <row r="8796" spans="1:12" ht="12" customHeight="1" x14ac:dyDescent="0.25">
      <c r="A8796" s="6"/>
      <c r="B8796" s="1"/>
      <c r="C8796" s="5"/>
      <c r="D8796" s="5"/>
      <c r="E8796" s="5"/>
      <c r="F8796" s="5"/>
      <c r="G8796" s="5"/>
      <c r="H8796" s="5"/>
      <c r="I8796" s="5"/>
      <c r="J8796" s="5"/>
      <c r="K8796" s="5"/>
      <c r="L8796" s="5"/>
    </row>
    <row r="8797" spans="1:12" ht="12" customHeight="1" x14ac:dyDescent="0.25">
      <c r="A8797" s="6"/>
      <c r="B8797" s="1"/>
      <c r="C8797" s="5"/>
      <c r="D8797" s="5"/>
      <c r="E8797" s="5"/>
      <c r="F8797" s="5"/>
      <c r="G8797" s="5"/>
      <c r="H8797" s="5"/>
      <c r="I8797" s="5"/>
      <c r="J8797" s="5"/>
      <c r="K8797" s="5"/>
      <c r="L8797" s="5"/>
    </row>
    <row r="8798" spans="1:12" ht="12" customHeight="1" x14ac:dyDescent="0.25">
      <c r="A8798" s="6"/>
      <c r="B8798" s="1"/>
      <c r="C8798" s="5"/>
      <c r="D8798" s="5"/>
      <c r="E8798" s="5"/>
      <c r="F8798" s="5"/>
      <c r="G8798" s="5"/>
      <c r="H8798" s="5"/>
      <c r="I8798" s="5"/>
      <c r="J8798" s="5"/>
      <c r="K8798" s="5"/>
      <c r="L8798" s="5"/>
    </row>
    <row r="8799" spans="1:12" ht="12" customHeight="1" x14ac:dyDescent="0.25">
      <c r="A8799" s="6"/>
      <c r="B8799" s="1"/>
      <c r="C8799" s="5"/>
      <c r="D8799" s="5"/>
      <c r="E8799" s="5"/>
      <c r="F8799" s="5"/>
      <c r="G8799" s="5"/>
      <c r="H8799" s="5"/>
      <c r="I8799" s="5"/>
      <c r="J8799" s="5"/>
      <c r="K8799" s="5"/>
      <c r="L8799" s="5"/>
    </row>
    <row r="8800" spans="1:12" ht="12" customHeight="1" x14ac:dyDescent="0.25">
      <c r="A8800" s="6"/>
      <c r="B8800" s="1"/>
      <c r="C8800" s="5"/>
      <c r="D8800" s="5"/>
      <c r="E8800" s="5"/>
      <c r="F8800" s="5"/>
      <c r="G8800" s="5"/>
      <c r="H8800" s="5"/>
      <c r="I8800" s="5"/>
      <c r="J8800" s="5"/>
      <c r="K8800" s="5"/>
      <c r="L8800" s="5"/>
    </row>
    <row r="8801" spans="1:12" ht="12" customHeight="1" x14ac:dyDescent="0.25">
      <c r="A8801" s="6"/>
      <c r="B8801" s="1"/>
      <c r="C8801" s="5"/>
      <c r="D8801" s="5"/>
      <c r="E8801" s="5"/>
      <c r="F8801" s="5"/>
      <c r="G8801" s="5"/>
      <c r="H8801" s="5"/>
      <c r="I8801" s="5"/>
      <c r="J8801" s="5"/>
      <c r="K8801" s="5"/>
      <c r="L8801" s="5"/>
    </row>
    <row r="8802" spans="1:12" ht="12" customHeight="1" x14ac:dyDescent="0.25">
      <c r="A8802" s="6"/>
      <c r="B8802" s="1"/>
      <c r="C8802" s="5"/>
      <c r="D8802" s="5"/>
      <c r="E8802" s="5"/>
      <c r="F8802" s="5"/>
      <c r="G8802" s="5"/>
      <c r="H8802" s="5"/>
      <c r="I8802" s="5"/>
      <c r="J8802" s="5"/>
      <c r="K8802" s="5"/>
      <c r="L8802" s="5"/>
    </row>
    <row r="8803" spans="1:12" ht="12" customHeight="1" x14ac:dyDescent="0.25">
      <c r="A8803" s="6"/>
      <c r="B8803" s="1"/>
      <c r="C8803" s="5"/>
      <c r="D8803" s="5"/>
      <c r="E8803" s="5"/>
      <c r="F8803" s="5"/>
      <c r="G8803" s="5"/>
      <c r="H8803" s="5"/>
      <c r="I8803" s="5"/>
      <c r="J8803" s="5"/>
      <c r="K8803" s="5"/>
      <c r="L8803" s="5"/>
    </row>
    <row r="8804" spans="1:12" ht="12" customHeight="1" x14ac:dyDescent="0.25">
      <c r="A8804" s="6"/>
      <c r="B8804" s="1"/>
      <c r="C8804" s="5"/>
      <c r="D8804" s="5"/>
      <c r="E8804" s="5"/>
      <c r="F8804" s="5"/>
      <c r="G8804" s="5"/>
      <c r="H8804" s="5"/>
      <c r="I8804" s="5"/>
      <c r="J8804" s="5"/>
      <c r="K8804" s="5"/>
      <c r="L8804" s="5"/>
    </row>
    <row r="8805" spans="1:12" ht="12" customHeight="1" x14ac:dyDescent="0.25">
      <c r="A8805" s="6"/>
      <c r="B8805" s="1"/>
      <c r="C8805" s="5"/>
      <c r="D8805" s="5"/>
      <c r="E8805" s="5"/>
      <c r="F8805" s="5"/>
      <c r="G8805" s="5"/>
      <c r="H8805" s="5"/>
      <c r="I8805" s="5"/>
      <c r="J8805" s="5"/>
      <c r="K8805" s="5"/>
      <c r="L8805" s="5"/>
    </row>
    <row r="8806" spans="1:12" ht="12" customHeight="1" x14ac:dyDescent="0.25">
      <c r="A8806" s="6"/>
      <c r="B8806" s="1"/>
      <c r="C8806" s="5"/>
      <c r="D8806" s="5"/>
      <c r="E8806" s="5"/>
      <c r="F8806" s="5"/>
      <c r="G8806" s="5"/>
      <c r="H8806" s="5"/>
      <c r="I8806" s="5"/>
      <c r="J8806" s="5"/>
      <c r="K8806" s="5"/>
      <c r="L8806" s="5"/>
    </row>
    <row r="8807" spans="1:12" ht="12" customHeight="1" x14ac:dyDescent="0.25">
      <c r="A8807" s="6"/>
      <c r="B8807" s="1"/>
      <c r="C8807" s="5"/>
      <c r="D8807" s="5"/>
      <c r="E8807" s="5"/>
      <c r="F8807" s="5"/>
      <c r="G8807" s="5"/>
      <c r="H8807" s="5"/>
      <c r="I8807" s="5"/>
      <c r="J8807" s="5"/>
      <c r="K8807" s="5"/>
      <c r="L8807" s="5"/>
    </row>
    <row r="8808" spans="1:12" ht="12" customHeight="1" x14ac:dyDescent="0.25">
      <c r="A8808" s="6"/>
      <c r="B8808" s="1"/>
      <c r="C8808" s="5"/>
      <c r="D8808" s="5"/>
      <c r="E8808" s="5"/>
      <c r="F8808" s="5"/>
      <c r="G8808" s="5"/>
      <c r="H8808" s="5"/>
      <c r="I8808" s="5"/>
      <c r="J8808" s="5"/>
      <c r="K8808" s="5"/>
      <c r="L8808" s="5"/>
    </row>
    <row r="8809" spans="1:12" ht="12" customHeight="1" x14ac:dyDescent="0.25">
      <c r="A8809" s="6"/>
      <c r="B8809" s="1"/>
      <c r="C8809" s="5"/>
      <c r="D8809" s="5"/>
      <c r="E8809" s="5"/>
      <c r="F8809" s="5"/>
      <c r="G8809" s="5"/>
      <c r="H8809" s="5"/>
      <c r="I8809" s="5"/>
      <c r="J8809" s="5"/>
      <c r="K8809" s="5"/>
      <c r="L8809" s="5"/>
    </row>
    <row r="8810" spans="1:12" ht="12" customHeight="1" x14ac:dyDescent="0.25">
      <c r="A8810" s="6"/>
      <c r="B8810" s="1"/>
      <c r="C8810" s="5"/>
      <c r="D8810" s="5"/>
      <c r="E8810" s="5"/>
      <c r="F8810" s="5"/>
      <c r="G8810" s="5"/>
      <c r="H8810" s="5"/>
      <c r="I8810" s="5"/>
      <c r="J8810" s="5"/>
      <c r="K8810" s="5"/>
      <c r="L8810" s="5"/>
    </row>
    <row r="8811" spans="1:12" ht="12" customHeight="1" x14ac:dyDescent="0.25">
      <c r="A8811" s="6"/>
      <c r="B8811" s="1"/>
      <c r="C8811" s="5"/>
      <c r="D8811" s="5"/>
      <c r="E8811" s="5"/>
      <c r="F8811" s="5"/>
      <c r="G8811" s="5"/>
      <c r="H8811" s="5"/>
      <c r="I8811" s="5"/>
      <c r="J8811" s="5"/>
      <c r="K8811" s="5"/>
      <c r="L8811" s="5"/>
    </row>
    <row r="8812" spans="1:12" ht="12" customHeight="1" x14ac:dyDescent="0.25">
      <c r="A8812" s="6"/>
      <c r="B8812" s="1"/>
      <c r="C8812" s="5"/>
      <c r="D8812" s="5"/>
      <c r="E8812" s="5"/>
      <c r="F8812" s="5"/>
      <c r="G8812" s="5"/>
      <c r="H8812" s="5"/>
      <c r="I8812" s="5"/>
      <c r="J8812" s="5"/>
      <c r="K8812" s="5"/>
      <c r="L8812" s="5"/>
    </row>
    <row r="8813" spans="1:12" ht="12" customHeight="1" x14ac:dyDescent="0.25">
      <c r="A8813" s="6"/>
      <c r="B8813" s="1"/>
      <c r="C8813" s="5"/>
      <c r="D8813" s="5"/>
      <c r="E8813" s="5"/>
      <c r="F8813" s="5"/>
      <c r="G8813" s="5"/>
      <c r="H8813" s="5"/>
      <c r="I8813" s="5"/>
      <c r="J8813" s="5"/>
      <c r="K8813" s="5"/>
      <c r="L8813" s="5"/>
    </row>
    <row r="8814" spans="1:12" ht="12" customHeight="1" x14ac:dyDescent="0.25">
      <c r="A8814" s="6"/>
      <c r="B8814" s="1"/>
      <c r="C8814" s="5"/>
      <c r="D8814" s="5"/>
      <c r="E8814" s="5"/>
      <c r="F8814" s="5"/>
      <c r="G8814" s="5"/>
      <c r="H8814" s="5"/>
      <c r="I8814" s="5"/>
      <c r="J8814" s="5"/>
      <c r="K8814" s="5"/>
      <c r="L8814" s="5"/>
    </row>
    <row r="8815" spans="1:12" ht="12" customHeight="1" x14ac:dyDescent="0.25">
      <c r="A8815" s="6"/>
      <c r="B8815" s="1"/>
      <c r="C8815" s="5"/>
      <c r="D8815" s="5"/>
      <c r="E8815" s="5"/>
      <c r="F8815" s="5"/>
      <c r="G8815" s="5"/>
      <c r="H8815" s="5"/>
      <c r="I8815" s="5"/>
      <c r="J8815" s="5"/>
      <c r="K8815" s="5"/>
      <c r="L8815" s="5"/>
    </row>
    <row r="8816" spans="1:12" ht="12" customHeight="1" x14ac:dyDescent="0.25">
      <c r="A8816" s="6"/>
      <c r="B8816" s="1"/>
      <c r="C8816" s="5"/>
      <c r="D8816" s="5"/>
      <c r="E8816" s="5"/>
      <c r="F8816" s="5"/>
      <c r="G8816" s="5"/>
      <c r="H8816" s="5"/>
      <c r="I8816" s="5"/>
      <c r="J8816" s="5"/>
      <c r="K8816" s="5"/>
      <c r="L8816" s="5"/>
    </row>
    <row r="8817" spans="1:12" ht="12" customHeight="1" x14ac:dyDescent="0.25">
      <c r="A8817" s="6"/>
      <c r="B8817" s="1"/>
      <c r="C8817" s="5"/>
      <c r="D8817" s="5"/>
      <c r="E8817" s="5"/>
      <c r="F8817" s="5"/>
      <c r="G8817" s="5"/>
      <c r="H8817" s="5"/>
      <c r="I8817" s="5"/>
      <c r="J8817" s="5"/>
      <c r="K8817" s="5"/>
      <c r="L8817" s="5"/>
    </row>
    <row r="8818" spans="1:12" ht="12" customHeight="1" x14ac:dyDescent="0.25">
      <c r="A8818" s="6"/>
      <c r="B8818" s="1"/>
      <c r="C8818" s="5"/>
      <c r="D8818" s="5"/>
      <c r="E8818" s="5"/>
      <c r="F8818" s="5"/>
      <c r="G8818" s="5"/>
      <c r="H8818" s="5"/>
      <c r="I8818" s="5"/>
      <c r="J8818" s="5"/>
      <c r="K8818" s="5"/>
      <c r="L8818" s="5"/>
    </row>
    <row r="8819" spans="1:12" ht="12" customHeight="1" x14ac:dyDescent="0.25">
      <c r="A8819" s="6"/>
      <c r="B8819" s="1"/>
      <c r="C8819" s="5"/>
      <c r="D8819" s="5"/>
      <c r="E8819" s="5"/>
      <c r="F8819" s="5"/>
      <c r="G8819" s="5"/>
      <c r="H8819" s="5"/>
      <c r="I8819" s="5"/>
      <c r="J8819" s="5"/>
      <c r="K8819" s="5"/>
      <c r="L8819" s="5"/>
    </row>
    <row r="8820" spans="1:12" ht="12" customHeight="1" x14ac:dyDescent="0.25">
      <c r="A8820" s="6"/>
      <c r="B8820" s="1"/>
      <c r="C8820" s="5"/>
      <c r="D8820" s="5"/>
      <c r="E8820" s="5"/>
      <c r="F8820" s="5"/>
      <c r="G8820" s="5"/>
      <c r="H8820" s="5"/>
      <c r="I8820" s="5"/>
      <c r="J8820" s="5"/>
      <c r="K8820" s="5"/>
      <c r="L8820" s="5"/>
    </row>
    <row r="8821" spans="1:12" ht="12" customHeight="1" x14ac:dyDescent="0.25">
      <c r="A8821" s="6"/>
      <c r="B8821" s="1"/>
      <c r="C8821" s="5"/>
      <c r="D8821" s="5"/>
      <c r="E8821" s="5"/>
      <c r="F8821" s="5"/>
      <c r="G8821" s="5"/>
      <c r="H8821" s="5"/>
      <c r="I8821" s="5"/>
      <c r="J8821" s="5"/>
      <c r="K8821" s="5"/>
      <c r="L8821" s="5"/>
    </row>
    <row r="8822" spans="1:12" ht="12" customHeight="1" x14ac:dyDescent="0.25">
      <c r="A8822" s="6"/>
      <c r="B8822" s="1"/>
      <c r="C8822" s="5"/>
      <c r="D8822" s="5"/>
      <c r="E8822" s="5"/>
      <c r="F8822" s="5"/>
      <c r="G8822" s="5"/>
      <c r="H8822" s="5"/>
      <c r="I8822" s="5"/>
      <c r="J8822" s="5"/>
      <c r="K8822" s="5"/>
      <c r="L8822" s="5"/>
    </row>
    <row r="8823" spans="1:12" ht="12" customHeight="1" x14ac:dyDescent="0.25">
      <c r="A8823" s="6"/>
      <c r="B8823" s="1"/>
      <c r="C8823" s="5"/>
      <c r="D8823" s="5"/>
      <c r="E8823" s="5"/>
      <c r="F8823" s="5"/>
      <c r="G8823" s="5"/>
      <c r="H8823" s="5"/>
      <c r="I8823" s="5"/>
      <c r="J8823" s="5"/>
      <c r="K8823" s="5"/>
      <c r="L8823" s="5"/>
    </row>
    <row r="8824" spans="1:12" ht="12" customHeight="1" x14ac:dyDescent="0.25">
      <c r="A8824" s="6"/>
      <c r="B8824" s="1"/>
      <c r="C8824" s="5"/>
      <c r="D8824" s="5"/>
      <c r="E8824" s="5"/>
      <c r="F8824" s="5"/>
      <c r="G8824" s="5"/>
      <c r="H8824" s="5"/>
      <c r="I8824" s="5"/>
      <c r="J8824" s="5"/>
      <c r="K8824" s="5"/>
      <c r="L8824" s="5"/>
    </row>
    <row r="8825" spans="1:12" ht="12" customHeight="1" x14ac:dyDescent="0.25">
      <c r="A8825" s="6"/>
      <c r="B8825" s="1"/>
      <c r="C8825" s="5"/>
      <c r="D8825" s="5"/>
      <c r="E8825" s="5"/>
      <c r="F8825" s="5"/>
      <c r="G8825" s="5"/>
      <c r="H8825" s="5"/>
      <c r="I8825" s="5"/>
      <c r="J8825" s="5"/>
      <c r="K8825" s="5"/>
      <c r="L8825" s="5"/>
    </row>
    <row r="8826" spans="1:12" ht="12" customHeight="1" x14ac:dyDescent="0.25">
      <c r="A8826" s="6"/>
      <c r="B8826" s="1"/>
      <c r="C8826" s="5"/>
      <c r="D8826" s="5"/>
      <c r="E8826" s="5"/>
      <c r="F8826" s="5"/>
      <c r="G8826" s="5"/>
      <c r="H8826" s="5"/>
      <c r="I8826" s="5"/>
      <c r="J8826" s="5"/>
      <c r="K8826" s="5"/>
      <c r="L8826" s="5"/>
    </row>
    <row r="8827" spans="1:12" ht="12" customHeight="1" x14ac:dyDescent="0.25">
      <c r="A8827" s="6"/>
      <c r="B8827" s="1"/>
      <c r="C8827" s="5"/>
      <c r="D8827" s="5"/>
      <c r="E8827" s="5"/>
      <c r="F8827" s="5"/>
      <c r="G8827" s="5"/>
      <c r="H8827" s="5"/>
      <c r="I8827" s="5"/>
      <c r="J8827" s="5"/>
      <c r="K8827" s="5"/>
      <c r="L8827" s="5"/>
    </row>
    <row r="8828" spans="1:12" ht="12" customHeight="1" x14ac:dyDescent="0.25">
      <c r="A8828" s="6"/>
      <c r="B8828" s="1"/>
      <c r="C8828" s="5"/>
      <c r="D8828" s="5"/>
      <c r="E8828" s="5"/>
      <c r="F8828" s="5"/>
      <c r="G8828" s="5"/>
      <c r="H8828" s="5"/>
      <c r="I8828" s="5"/>
      <c r="J8828" s="5"/>
      <c r="K8828" s="5"/>
      <c r="L8828" s="5"/>
    </row>
    <row r="8829" spans="1:12" ht="12" customHeight="1" x14ac:dyDescent="0.25">
      <c r="A8829" s="6"/>
      <c r="B8829" s="1"/>
      <c r="C8829" s="5"/>
      <c r="D8829" s="5"/>
      <c r="E8829" s="5"/>
      <c r="F8829" s="5"/>
      <c r="G8829" s="5"/>
      <c r="H8829" s="5"/>
      <c r="I8829" s="5"/>
      <c r="J8829" s="5"/>
      <c r="K8829" s="5"/>
      <c r="L8829" s="5"/>
    </row>
    <row r="8830" spans="1:12" ht="12" customHeight="1" x14ac:dyDescent="0.25">
      <c r="A8830" s="6"/>
      <c r="B8830" s="1"/>
      <c r="C8830" s="5"/>
      <c r="D8830" s="5"/>
      <c r="E8830" s="5"/>
      <c r="F8830" s="5"/>
      <c r="G8830" s="5"/>
      <c r="H8830" s="5"/>
      <c r="I8830" s="5"/>
      <c r="J8830" s="5"/>
      <c r="K8830" s="5"/>
      <c r="L8830" s="5"/>
    </row>
    <row r="8831" spans="1:12" ht="12" customHeight="1" x14ac:dyDescent="0.25">
      <c r="A8831" s="6"/>
      <c r="B8831" s="1"/>
      <c r="C8831" s="5"/>
      <c r="D8831" s="5"/>
      <c r="E8831" s="5"/>
      <c r="F8831" s="5"/>
      <c r="G8831" s="5"/>
      <c r="H8831" s="5"/>
      <c r="I8831" s="5"/>
      <c r="J8831" s="5"/>
      <c r="K8831" s="5"/>
      <c r="L8831" s="5"/>
    </row>
    <row r="8832" spans="1:12" ht="12" customHeight="1" x14ac:dyDescent="0.25">
      <c r="A8832" s="6"/>
      <c r="B8832" s="1"/>
      <c r="C8832" s="5"/>
      <c r="D8832" s="5"/>
      <c r="E8832" s="5"/>
      <c r="F8832" s="5"/>
      <c r="G8832" s="5"/>
      <c r="H8832" s="5"/>
      <c r="I8832" s="5"/>
      <c r="J8832" s="5"/>
      <c r="K8832" s="5"/>
      <c r="L8832" s="5"/>
    </row>
    <row r="8833" spans="1:12" ht="12" customHeight="1" x14ac:dyDescent="0.25">
      <c r="A8833" s="6"/>
      <c r="B8833" s="1"/>
      <c r="C8833" s="5"/>
      <c r="D8833" s="5"/>
      <c r="E8833" s="5"/>
      <c r="F8833" s="5"/>
      <c r="G8833" s="5"/>
      <c r="H8833" s="5"/>
      <c r="I8833" s="5"/>
      <c r="J8833" s="5"/>
      <c r="K8833" s="5"/>
      <c r="L8833" s="5"/>
    </row>
    <row r="8834" spans="1:12" ht="12" customHeight="1" x14ac:dyDescent="0.25">
      <c r="A8834" s="6"/>
      <c r="B8834" s="1"/>
      <c r="C8834" s="5"/>
      <c r="D8834" s="5"/>
      <c r="E8834" s="5"/>
      <c r="F8834" s="5"/>
      <c r="G8834" s="5"/>
      <c r="H8834" s="5"/>
      <c r="I8834" s="5"/>
      <c r="J8834" s="5"/>
      <c r="K8834" s="5"/>
      <c r="L8834" s="5"/>
    </row>
    <row r="8835" spans="1:12" ht="12" customHeight="1" x14ac:dyDescent="0.25">
      <c r="A8835" s="6"/>
      <c r="B8835" s="1"/>
      <c r="C8835" s="5"/>
      <c r="D8835" s="5"/>
      <c r="E8835" s="5"/>
      <c r="F8835" s="5"/>
      <c r="G8835" s="5"/>
      <c r="H8835" s="5"/>
      <c r="I8835" s="5"/>
      <c r="J8835" s="5"/>
      <c r="K8835" s="5"/>
      <c r="L8835" s="5"/>
    </row>
    <row r="8836" spans="1:12" ht="12" customHeight="1" x14ac:dyDescent="0.25">
      <c r="A8836" s="6"/>
      <c r="B8836" s="1"/>
      <c r="C8836" s="5"/>
      <c r="D8836" s="5"/>
      <c r="E8836" s="5"/>
      <c r="F8836" s="5"/>
      <c r="G8836" s="5"/>
      <c r="H8836" s="5"/>
      <c r="I8836" s="5"/>
      <c r="J8836" s="5"/>
      <c r="K8836" s="5"/>
      <c r="L8836" s="5"/>
    </row>
    <row r="8837" spans="1:12" ht="12" customHeight="1" x14ac:dyDescent="0.25">
      <c r="A8837" s="6"/>
      <c r="B8837" s="1"/>
      <c r="C8837" s="5"/>
      <c r="D8837" s="5"/>
      <c r="E8837" s="5"/>
      <c r="F8837" s="5"/>
      <c r="G8837" s="5"/>
      <c r="H8837" s="5"/>
      <c r="I8837" s="5"/>
      <c r="J8837" s="5"/>
      <c r="K8837" s="5"/>
      <c r="L8837" s="5"/>
    </row>
    <row r="8838" spans="1:12" ht="12" customHeight="1" x14ac:dyDescent="0.25">
      <c r="A8838" s="6"/>
      <c r="B8838" s="1"/>
      <c r="C8838" s="5"/>
      <c r="D8838" s="5"/>
      <c r="E8838" s="5"/>
      <c r="F8838" s="5"/>
      <c r="G8838" s="5"/>
      <c r="H8838" s="5"/>
      <c r="I8838" s="5"/>
      <c r="J8838" s="5"/>
      <c r="K8838" s="5"/>
      <c r="L8838" s="5"/>
    </row>
    <row r="8839" spans="1:12" ht="12" customHeight="1" x14ac:dyDescent="0.25">
      <c r="A8839" s="6"/>
      <c r="B8839" s="1"/>
      <c r="C8839" s="5"/>
      <c r="D8839" s="5"/>
      <c r="E8839" s="5"/>
      <c r="F8839" s="5"/>
      <c r="G8839" s="5"/>
      <c r="H8839" s="5"/>
      <c r="I8839" s="5"/>
      <c r="J8839" s="5"/>
      <c r="K8839" s="5"/>
      <c r="L8839" s="5"/>
    </row>
    <row r="8840" spans="1:12" ht="12" customHeight="1" x14ac:dyDescent="0.25">
      <c r="A8840" s="6"/>
      <c r="B8840" s="1"/>
      <c r="C8840" s="5"/>
      <c r="D8840" s="5"/>
      <c r="E8840" s="5"/>
      <c r="F8840" s="5"/>
      <c r="G8840" s="5"/>
      <c r="H8840" s="5"/>
      <c r="I8840" s="5"/>
      <c r="J8840" s="5"/>
      <c r="K8840" s="5"/>
      <c r="L8840" s="5"/>
    </row>
    <row r="8841" spans="1:12" ht="12" customHeight="1" x14ac:dyDescent="0.25">
      <c r="A8841" s="6"/>
      <c r="B8841" s="1"/>
      <c r="C8841" s="5"/>
      <c r="D8841" s="5"/>
      <c r="E8841" s="5"/>
      <c r="F8841" s="5"/>
      <c r="G8841" s="5"/>
      <c r="H8841" s="5"/>
      <c r="I8841" s="5"/>
      <c r="J8841" s="5"/>
      <c r="K8841" s="5"/>
      <c r="L8841" s="5"/>
    </row>
    <row r="8842" spans="1:12" ht="12" customHeight="1" x14ac:dyDescent="0.25">
      <c r="A8842" s="6"/>
      <c r="B8842" s="1"/>
      <c r="C8842" s="5"/>
      <c r="D8842" s="5"/>
      <c r="E8842" s="5"/>
      <c r="F8842" s="5"/>
      <c r="G8842" s="5"/>
      <c r="H8842" s="5"/>
      <c r="I8842" s="5"/>
      <c r="J8842" s="5"/>
      <c r="K8842" s="5"/>
      <c r="L8842" s="5"/>
    </row>
    <row r="8843" spans="1:12" ht="12" customHeight="1" x14ac:dyDescent="0.25">
      <c r="A8843" s="6"/>
      <c r="B8843" s="1"/>
      <c r="C8843" s="5"/>
      <c r="D8843" s="5"/>
      <c r="E8843" s="5"/>
      <c r="F8843" s="5"/>
      <c r="G8843" s="5"/>
      <c r="H8843" s="5"/>
      <c r="I8843" s="5"/>
      <c r="J8843" s="5"/>
      <c r="K8843" s="5"/>
      <c r="L8843" s="5"/>
    </row>
    <row r="8844" spans="1:12" ht="12" customHeight="1" x14ac:dyDescent="0.25">
      <c r="A8844" s="6"/>
      <c r="B8844" s="1"/>
      <c r="C8844" s="5"/>
      <c r="D8844" s="5"/>
      <c r="E8844" s="5"/>
      <c r="F8844" s="5"/>
      <c r="G8844" s="5"/>
      <c r="H8844" s="5"/>
      <c r="I8844" s="5"/>
      <c r="J8844" s="5"/>
      <c r="K8844" s="5"/>
      <c r="L8844" s="5"/>
    </row>
    <row r="8845" spans="1:12" ht="12" customHeight="1" x14ac:dyDescent="0.25">
      <c r="A8845" s="6"/>
      <c r="B8845" s="1"/>
      <c r="C8845" s="5"/>
      <c r="D8845" s="5"/>
      <c r="E8845" s="5"/>
      <c r="F8845" s="5"/>
      <c r="G8845" s="5"/>
      <c r="H8845" s="5"/>
      <c r="I8845" s="5"/>
      <c r="J8845" s="5"/>
      <c r="K8845" s="5"/>
      <c r="L8845" s="5"/>
    </row>
    <row r="8846" spans="1:12" ht="12" customHeight="1" x14ac:dyDescent="0.25">
      <c r="A8846" s="6"/>
      <c r="B8846" s="1"/>
      <c r="C8846" s="5"/>
      <c r="D8846" s="5"/>
      <c r="E8846" s="5"/>
      <c r="F8846" s="5"/>
      <c r="G8846" s="5"/>
      <c r="H8846" s="5"/>
      <c r="I8846" s="5"/>
      <c r="J8846" s="5"/>
      <c r="K8846" s="5"/>
      <c r="L8846" s="5"/>
    </row>
    <row r="8847" spans="1:12" ht="12" customHeight="1" x14ac:dyDescent="0.25">
      <c r="A8847" s="6"/>
      <c r="B8847" s="1"/>
      <c r="C8847" s="5"/>
      <c r="D8847" s="5"/>
      <c r="E8847" s="5"/>
      <c r="F8847" s="5"/>
      <c r="G8847" s="5"/>
      <c r="H8847" s="5"/>
      <c r="I8847" s="5"/>
      <c r="J8847" s="5"/>
      <c r="K8847" s="5"/>
      <c r="L8847" s="5"/>
    </row>
    <row r="8848" spans="1:12" ht="12" customHeight="1" x14ac:dyDescent="0.25">
      <c r="A8848" s="6"/>
      <c r="B8848" s="1"/>
      <c r="C8848" s="5"/>
      <c r="D8848" s="5"/>
      <c r="E8848" s="5"/>
      <c r="F8848" s="5"/>
      <c r="G8848" s="5"/>
      <c r="H8848" s="5"/>
      <c r="I8848" s="5"/>
      <c r="J8848" s="5"/>
      <c r="K8848" s="5"/>
      <c r="L8848" s="5"/>
    </row>
    <row r="8849" spans="1:12" ht="12" customHeight="1" x14ac:dyDescent="0.25">
      <c r="A8849" s="6"/>
      <c r="B8849" s="1"/>
      <c r="C8849" s="5"/>
      <c r="D8849" s="5"/>
      <c r="E8849" s="5"/>
      <c r="F8849" s="5"/>
      <c r="G8849" s="5"/>
      <c r="H8849" s="5"/>
      <c r="I8849" s="5"/>
      <c r="J8849" s="5"/>
      <c r="K8849" s="5"/>
      <c r="L8849" s="5"/>
    </row>
    <row r="8850" spans="1:12" ht="12" customHeight="1" x14ac:dyDescent="0.25">
      <c r="A8850" s="6"/>
      <c r="B8850" s="1"/>
      <c r="C8850" s="5"/>
      <c r="D8850" s="5"/>
      <c r="E8850" s="5"/>
      <c r="F8850" s="5"/>
      <c r="G8850" s="5"/>
      <c r="H8850" s="5"/>
      <c r="I8850" s="5"/>
      <c r="J8850" s="5"/>
      <c r="K8850" s="5"/>
      <c r="L8850" s="5"/>
    </row>
    <row r="8851" spans="1:12" ht="12" customHeight="1" x14ac:dyDescent="0.25">
      <c r="A8851" s="6"/>
      <c r="B8851" s="1"/>
      <c r="C8851" s="5"/>
      <c r="D8851" s="5"/>
      <c r="E8851" s="5"/>
      <c r="F8851" s="5"/>
      <c r="G8851" s="5"/>
      <c r="H8851" s="5"/>
      <c r="I8851" s="5"/>
      <c r="J8851" s="5"/>
      <c r="K8851" s="5"/>
      <c r="L8851" s="5"/>
    </row>
    <row r="8852" spans="1:12" ht="12" customHeight="1" x14ac:dyDescent="0.25">
      <c r="A8852" s="6"/>
      <c r="B8852" s="1"/>
      <c r="C8852" s="5"/>
      <c r="D8852" s="5"/>
      <c r="E8852" s="5"/>
      <c r="F8852" s="5"/>
      <c r="G8852" s="5"/>
      <c r="H8852" s="5"/>
      <c r="I8852" s="5"/>
      <c r="J8852" s="5"/>
      <c r="K8852" s="5"/>
      <c r="L8852" s="5"/>
    </row>
    <row r="8853" spans="1:12" ht="12" customHeight="1" x14ac:dyDescent="0.25">
      <c r="A8853" s="6"/>
      <c r="B8853" s="1"/>
      <c r="C8853" s="5"/>
      <c r="D8853" s="5"/>
      <c r="E8853" s="5"/>
      <c r="F8853" s="5"/>
      <c r="G8853" s="5"/>
      <c r="H8853" s="5"/>
      <c r="I8853" s="5"/>
      <c r="J8853" s="5"/>
      <c r="K8853" s="5"/>
      <c r="L8853" s="5"/>
    </row>
    <row r="8854" spans="1:12" ht="12" customHeight="1" x14ac:dyDescent="0.25">
      <c r="A8854" s="6"/>
      <c r="B8854" s="1"/>
      <c r="C8854" s="5"/>
      <c r="D8854" s="5"/>
      <c r="E8854" s="5"/>
      <c r="F8854" s="5"/>
      <c r="G8854" s="5"/>
      <c r="H8854" s="5"/>
      <c r="I8854" s="5"/>
      <c r="J8854" s="5"/>
      <c r="K8854" s="5"/>
      <c r="L8854" s="5"/>
    </row>
    <row r="8855" spans="1:12" ht="12" customHeight="1" x14ac:dyDescent="0.25">
      <c r="A8855" s="6"/>
      <c r="B8855" s="1"/>
      <c r="C8855" s="5"/>
      <c r="D8855" s="5"/>
      <c r="E8855" s="5"/>
      <c r="F8855" s="5"/>
      <c r="G8855" s="5"/>
      <c r="H8855" s="5"/>
      <c r="I8855" s="5"/>
      <c r="J8855" s="5"/>
      <c r="K8855" s="5"/>
      <c r="L8855" s="5"/>
    </row>
    <row r="8856" spans="1:12" ht="12" customHeight="1" x14ac:dyDescent="0.25">
      <c r="A8856" s="6"/>
      <c r="B8856" s="1"/>
      <c r="C8856" s="5"/>
      <c r="D8856" s="5"/>
      <c r="E8856" s="5"/>
      <c r="F8856" s="5"/>
      <c r="G8856" s="5"/>
      <c r="H8856" s="5"/>
      <c r="I8856" s="5"/>
      <c r="J8856" s="5"/>
      <c r="K8856" s="5"/>
      <c r="L8856" s="5"/>
    </row>
    <row r="8857" spans="1:12" ht="12" customHeight="1" x14ac:dyDescent="0.25">
      <c r="A8857" s="6"/>
      <c r="B8857" s="1"/>
      <c r="C8857" s="5"/>
      <c r="D8857" s="5"/>
      <c r="E8857" s="5"/>
      <c r="F8857" s="5"/>
      <c r="G8857" s="5"/>
      <c r="H8857" s="5"/>
      <c r="I8857" s="5"/>
      <c r="J8857" s="5"/>
      <c r="K8857" s="5"/>
      <c r="L8857" s="5"/>
    </row>
    <row r="8858" spans="1:12" ht="12" customHeight="1" x14ac:dyDescent="0.25">
      <c r="A8858" s="6"/>
      <c r="B8858" s="1"/>
      <c r="C8858" s="5"/>
      <c r="D8858" s="5"/>
      <c r="E8858" s="5"/>
      <c r="F8858" s="5"/>
      <c r="G8858" s="5"/>
      <c r="H8858" s="5"/>
      <c r="I8858" s="5"/>
      <c r="J8858" s="5"/>
      <c r="K8858" s="5"/>
      <c r="L8858" s="5"/>
    </row>
    <row r="8859" spans="1:12" ht="12" customHeight="1" x14ac:dyDescent="0.25">
      <c r="A8859" s="6"/>
      <c r="B8859" s="1"/>
      <c r="C8859" s="5"/>
      <c r="D8859" s="5"/>
      <c r="E8859" s="5"/>
      <c r="F8859" s="5"/>
      <c r="G8859" s="5"/>
      <c r="H8859" s="5"/>
      <c r="I8859" s="5"/>
      <c r="J8859" s="5"/>
      <c r="K8859" s="5"/>
      <c r="L8859" s="5"/>
    </row>
    <row r="8860" spans="1:12" ht="12" customHeight="1" x14ac:dyDescent="0.25">
      <c r="A8860" s="6"/>
      <c r="B8860" s="1"/>
      <c r="C8860" s="5"/>
      <c r="D8860" s="5"/>
      <c r="E8860" s="5"/>
      <c r="F8860" s="5"/>
      <c r="G8860" s="5"/>
      <c r="H8860" s="5"/>
      <c r="I8860" s="5"/>
      <c r="J8860" s="5"/>
      <c r="K8860" s="5"/>
      <c r="L8860" s="5"/>
    </row>
    <row r="8861" spans="1:12" ht="12" customHeight="1" x14ac:dyDescent="0.25">
      <c r="A8861" s="6"/>
      <c r="B8861" s="1"/>
      <c r="C8861" s="5"/>
      <c r="D8861" s="5"/>
      <c r="E8861" s="5"/>
      <c r="F8861" s="5"/>
      <c r="G8861" s="5"/>
      <c r="H8861" s="5"/>
      <c r="I8861" s="5"/>
      <c r="J8861" s="5"/>
      <c r="K8861" s="5"/>
      <c r="L8861" s="5"/>
    </row>
    <row r="8862" spans="1:12" ht="12" customHeight="1" x14ac:dyDescent="0.25">
      <c r="A8862" s="6"/>
      <c r="B8862" s="1"/>
      <c r="C8862" s="5"/>
      <c r="D8862" s="5"/>
      <c r="E8862" s="5"/>
      <c r="F8862" s="5"/>
      <c r="G8862" s="5"/>
      <c r="H8862" s="5"/>
      <c r="I8862" s="5"/>
      <c r="J8862" s="5"/>
      <c r="K8862" s="5"/>
      <c r="L8862" s="5"/>
    </row>
    <row r="8863" spans="1:12" ht="12" customHeight="1" x14ac:dyDescent="0.25">
      <c r="A8863" s="6"/>
      <c r="B8863" s="1"/>
      <c r="C8863" s="5"/>
      <c r="D8863" s="5"/>
      <c r="E8863" s="5"/>
      <c r="F8863" s="5"/>
      <c r="G8863" s="5"/>
      <c r="H8863" s="5"/>
      <c r="I8863" s="5"/>
      <c r="J8863" s="5"/>
      <c r="K8863" s="5"/>
      <c r="L8863" s="5"/>
    </row>
    <row r="8864" spans="1:12" ht="12" customHeight="1" x14ac:dyDescent="0.25">
      <c r="A8864" s="6"/>
      <c r="B8864" s="1"/>
      <c r="C8864" s="5"/>
      <c r="D8864" s="5"/>
      <c r="E8864" s="5"/>
      <c r="F8864" s="5"/>
      <c r="G8864" s="5"/>
      <c r="H8864" s="5"/>
      <c r="I8864" s="5"/>
      <c r="J8864" s="5"/>
      <c r="K8864" s="5"/>
      <c r="L8864" s="5"/>
    </row>
    <row r="8865" spans="1:12" ht="12" customHeight="1" x14ac:dyDescent="0.25">
      <c r="A8865" s="6"/>
      <c r="B8865" s="1"/>
      <c r="C8865" s="5"/>
      <c r="D8865" s="5"/>
      <c r="E8865" s="5"/>
      <c r="F8865" s="5"/>
      <c r="G8865" s="5"/>
      <c r="H8865" s="5"/>
      <c r="I8865" s="5"/>
      <c r="J8865" s="5"/>
      <c r="K8865" s="5"/>
      <c r="L8865" s="5"/>
    </row>
    <row r="8866" spans="1:12" ht="12" customHeight="1" x14ac:dyDescent="0.25">
      <c r="A8866" s="6"/>
      <c r="B8866" s="1"/>
      <c r="C8866" s="5"/>
      <c r="D8866" s="5"/>
      <c r="E8866" s="5"/>
      <c r="F8866" s="5"/>
      <c r="G8866" s="5"/>
      <c r="H8866" s="5"/>
      <c r="I8866" s="5"/>
      <c r="J8866" s="5"/>
      <c r="K8866" s="5"/>
      <c r="L8866" s="5"/>
    </row>
    <row r="8867" spans="1:12" ht="12" customHeight="1" x14ac:dyDescent="0.25">
      <c r="A8867" s="6"/>
      <c r="B8867" s="1"/>
      <c r="C8867" s="5"/>
      <c r="D8867" s="5"/>
      <c r="E8867" s="5"/>
      <c r="F8867" s="5"/>
      <c r="G8867" s="5"/>
      <c r="H8867" s="5"/>
      <c r="I8867" s="5"/>
      <c r="J8867" s="5"/>
      <c r="K8867" s="5"/>
      <c r="L8867" s="5"/>
    </row>
    <row r="8868" spans="1:12" ht="12" customHeight="1" x14ac:dyDescent="0.25">
      <c r="A8868" s="6"/>
      <c r="B8868" s="1"/>
      <c r="C8868" s="5"/>
      <c r="D8868" s="5"/>
      <c r="E8868" s="5"/>
      <c r="F8868" s="5"/>
      <c r="G8868" s="5"/>
      <c r="H8868" s="5"/>
      <c r="I8868" s="5"/>
      <c r="J8868" s="5"/>
      <c r="K8868" s="5"/>
      <c r="L8868" s="5"/>
    </row>
    <row r="8869" spans="1:12" ht="12" customHeight="1" x14ac:dyDescent="0.25">
      <c r="A8869" s="6"/>
      <c r="B8869" s="1"/>
      <c r="C8869" s="5"/>
      <c r="D8869" s="5"/>
      <c r="E8869" s="5"/>
      <c r="F8869" s="5"/>
      <c r="G8869" s="5"/>
      <c r="H8869" s="5"/>
      <c r="I8869" s="5"/>
      <c r="J8869" s="5"/>
      <c r="K8869" s="5"/>
      <c r="L8869" s="5"/>
    </row>
    <row r="8870" spans="1:12" ht="12" customHeight="1" x14ac:dyDescent="0.25">
      <c r="A8870" s="6"/>
      <c r="B8870" s="1"/>
      <c r="C8870" s="5"/>
      <c r="D8870" s="5"/>
      <c r="E8870" s="5"/>
      <c r="F8870" s="5"/>
      <c r="G8870" s="5"/>
      <c r="H8870" s="5"/>
      <c r="I8870" s="5"/>
      <c r="J8870" s="5"/>
      <c r="K8870" s="5"/>
      <c r="L8870" s="5"/>
    </row>
    <row r="8871" spans="1:12" ht="12" customHeight="1" x14ac:dyDescent="0.25">
      <c r="A8871" s="6"/>
      <c r="B8871" s="1"/>
      <c r="C8871" s="5"/>
      <c r="D8871" s="5"/>
      <c r="E8871" s="5"/>
      <c r="F8871" s="5"/>
      <c r="G8871" s="5"/>
      <c r="H8871" s="5"/>
      <c r="I8871" s="5"/>
      <c r="J8871" s="5"/>
      <c r="K8871" s="5"/>
      <c r="L8871" s="5"/>
    </row>
    <row r="8872" spans="1:12" ht="12" customHeight="1" x14ac:dyDescent="0.25">
      <c r="A8872" s="6"/>
      <c r="B8872" s="1"/>
      <c r="C8872" s="5"/>
      <c r="D8872" s="5"/>
      <c r="E8872" s="5"/>
      <c r="F8872" s="5"/>
      <c r="G8872" s="5"/>
      <c r="H8872" s="5"/>
      <c r="I8872" s="5"/>
      <c r="J8872" s="5"/>
      <c r="K8872" s="5"/>
      <c r="L8872" s="5"/>
    </row>
    <row r="8873" spans="1:12" ht="12" customHeight="1" x14ac:dyDescent="0.25">
      <c r="A8873" s="6"/>
      <c r="B8873" s="1"/>
      <c r="C8873" s="5"/>
      <c r="D8873" s="5"/>
      <c r="E8873" s="5"/>
      <c r="F8873" s="5"/>
      <c r="G8873" s="5"/>
      <c r="H8873" s="5"/>
      <c r="I8873" s="5"/>
      <c r="J8873" s="5"/>
      <c r="K8873" s="5"/>
      <c r="L8873" s="5"/>
    </row>
    <row r="8874" spans="1:12" ht="12" customHeight="1" x14ac:dyDescent="0.25">
      <c r="A8874" s="6"/>
      <c r="B8874" s="1"/>
      <c r="C8874" s="5"/>
      <c r="D8874" s="5"/>
      <c r="E8874" s="5"/>
      <c r="F8874" s="5"/>
      <c r="G8874" s="5"/>
      <c r="H8874" s="5"/>
      <c r="I8874" s="5"/>
      <c r="J8874" s="5"/>
      <c r="K8874" s="5"/>
      <c r="L8874" s="5"/>
    </row>
    <row r="8875" spans="1:12" ht="12" customHeight="1" x14ac:dyDescent="0.25">
      <c r="A8875" s="6"/>
      <c r="B8875" s="1"/>
      <c r="C8875" s="5"/>
      <c r="D8875" s="5"/>
      <c r="E8875" s="5"/>
      <c r="F8875" s="5"/>
      <c r="G8875" s="5"/>
      <c r="H8875" s="5"/>
      <c r="I8875" s="5"/>
      <c r="J8875" s="5"/>
      <c r="K8875" s="5"/>
      <c r="L8875" s="5"/>
    </row>
    <row r="8876" spans="1:12" ht="12" customHeight="1" x14ac:dyDescent="0.25">
      <c r="A8876" s="6"/>
      <c r="B8876" s="1"/>
      <c r="C8876" s="5"/>
      <c r="D8876" s="5"/>
      <c r="E8876" s="5"/>
      <c r="F8876" s="5"/>
      <c r="G8876" s="5"/>
      <c r="H8876" s="5"/>
      <c r="I8876" s="5"/>
      <c r="J8876" s="5"/>
      <c r="K8876" s="5"/>
      <c r="L8876" s="5"/>
    </row>
    <row r="8877" spans="1:12" ht="12" customHeight="1" x14ac:dyDescent="0.25">
      <c r="A8877" s="6"/>
      <c r="B8877" s="1"/>
      <c r="C8877" s="5"/>
      <c r="D8877" s="5"/>
      <c r="E8877" s="5"/>
      <c r="F8877" s="5"/>
      <c r="G8877" s="5"/>
      <c r="H8877" s="5"/>
      <c r="I8877" s="5"/>
      <c r="J8877" s="5"/>
      <c r="K8877" s="5"/>
      <c r="L8877" s="5"/>
    </row>
    <row r="8878" spans="1:12" ht="12" customHeight="1" x14ac:dyDescent="0.25">
      <c r="A8878" s="6"/>
      <c r="B8878" s="1"/>
      <c r="C8878" s="5"/>
      <c r="D8878" s="5"/>
      <c r="E8878" s="5"/>
      <c r="F8878" s="5"/>
      <c r="G8878" s="5"/>
      <c r="H8878" s="5"/>
      <c r="I8878" s="5"/>
      <c r="J8878" s="5"/>
      <c r="K8878" s="5"/>
      <c r="L8878" s="5"/>
    </row>
    <row r="8879" spans="1:12" ht="12" customHeight="1" x14ac:dyDescent="0.25">
      <c r="A8879" s="6"/>
      <c r="B8879" s="1"/>
      <c r="C8879" s="5"/>
      <c r="D8879" s="5"/>
      <c r="E8879" s="5"/>
      <c r="F8879" s="5"/>
      <c r="G8879" s="5"/>
      <c r="H8879" s="5"/>
      <c r="I8879" s="5"/>
      <c r="J8879" s="5"/>
      <c r="K8879" s="5"/>
      <c r="L8879" s="5"/>
    </row>
    <row r="8880" spans="1:12" ht="12" customHeight="1" x14ac:dyDescent="0.25">
      <c r="A8880" s="6"/>
      <c r="B8880" s="1"/>
      <c r="C8880" s="5"/>
      <c r="D8880" s="5"/>
      <c r="E8880" s="5"/>
      <c r="F8880" s="5"/>
      <c r="G8880" s="5"/>
      <c r="H8880" s="5"/>
      <c r="I8880" s="5"/>
      <c r="J8880" s="5"/>
      <c r="K8880" s="5"/>
      <c r="L8880" s="5"/>
    </row>
    <row r="8881" spans="1:12" ht="12" customHeight="1" x14ac:dyDescent="0.25">
      <c r="A8881" s="6"/>
      <c r="B8881" s="1"/>
      <c r="C8881" s="5"/>
      <c r="D8881" s="5"/>
      <c r="E8881" s="5"/>
      <c r="F8881" s="5"/>
      <c r="G8881" s="5"/>
      <c r="H8881" s="5"/>
      <c r="I8881" s="5"/>
      <c r="J8881" s="5"/>
      <c r="K8881" s="5"/>
      <c r="L8881" s="5"/>
    </row>
    <row r="8882" spans="1:12" ht="12" customHeight="1" x14ac:dyDescent="0.25">
      <c r="A8882" s="6"/>
      <c r="B8882" s="1"/>
      <c r="C8882" s="5"/>
      <c r="D8882" s="5"/>
      <c r="E8882" s="5"/>
      <c r="F8882" s="5"/>
      <c r="G8882" s="5"/>
      <c r="H8882" s="5"/>
      <c r="I8882" s="5"/>
      <c r="J8882" s="5"/>
      <c r="K8882" s="5"/>
      <c r="L8882" s="5"/>
    </row>
    <row r="8883" spans="1:12" ht="12" customHeight="1" x14ac:dyDescent="0.25">
      <c r="A8883" s="6"/>
      <c r="B8883" s="1"/>
      <c r="C8883" s="5"/>
      <c r="D8883" s="5"/>
      <c r="E8883" s="5"/>
      <c r="F8883" s="5"/>
      <c r="G8883" s="5"/>
      <c r="H8883" s="5"/>
      <c r="I8883" s="5"/>
      <c r="J8883" s="5"/>
      <c r="K8883" s="5"/>
      <c r="L8883" s="5"/>
    </row>
    <row r="8884" spans="1:12" ht="12" customHeight="1" x14ac:dyDescent="0.25">
      <c r="A8884" s="6"/>
      <c r="B8884" s="1"/>
      <c r="C8884" s="5"/>
      <c r="D8884" s="5"/>
      <c r="E8884" s="5"/>
      <c r="F8884" s="5"/>
      <c r="G8884" s="5"/>
      <c r="H8884" s="5"/>
      <c r="I8884" s="5"/>
      <c r="J8884" s="5"/>
      <c r="K8884" s="5"/>
      <c r="L8884" s="5"/>
    </row>
    <row r="8885" spans="1:12" ht="12" customHeight="1" x14ac:dyDescent="0.25">
      <c r="A8885" s="6"/>
      <c r="B8885" s="1"/>
      <c r="C8885" s="5"/>
      <c r="D8885" s="5"/>
      <c r="E8885" s="5"/>
      <c r="F8885" s="5"/>
      <c r="G8885" s="5"/>
      <c r="H8885" s="5"/>
      <c r="I8885" s="5"/>
      <c r="J8885" s="5"/>
      <c r="K8885" s="5"/>
      <c r="L8885" s="5"/>
    </row>
    <row r="8886" spans="1:12" ht="12" customHeight="1" x14ac:dyDescent="0.25">
      <c r="A8886" s="6"/>
      <c r="B8886" s="1"/>
      <c r="C8886" s="5"/>
      <c r="D8886" s="5"/>
      <c r="E8886" s="5"/>
      <c r="F8886" s="5"/>
      <c r="G8886" s="5"/>
      <c r="H8886" s="5"/>
      <c r="I8886" s="5"/>
      <c r="J8886" s="5"/>
      <c r="K8886" s="5"/>
      <c r="L8886" s="5"/>
    </row>
    <row r="8887" spans="1:12" ht="12" customHeight="1" x14ac:dyDescent="0.25">
      <c r="A8887" s="6"/>
      <c r="B8887" s="1"/>
      <c r="C8887" s="5"/>
      <c r="D8887" s="5"/>
      <c r="E8887" s="5"/>
      <c r="F8887" s="5"/>
      <c r="G8887" s="5"/>
      <c r="H8887" s="5"/>
      <c r="I8887" s="5"/>
      <c r="J8887" s="5"/>
      <c r="K8887" s="5"/>
      <c r="L8887" s="5"/>
    </row>
    <row r="8888" spans="1:12" ht="12" customHeight="1" x14ac:dyDescent="0.25">
      <c r="A8888" s="6"/>
      <c r="B8888" s="1"/>
      <c r="C8888" s="5"/>
      <c r="D8888" s="5"/>
      <c r="E8888" s="5"/>
      <c r="F8888" s="5"/>
      <c r="G8888" s="5"/>
      <c r="H8888" s="5"/>
      <c r="I8888" s="5"/>
      <c r="J8888" s="5"/>
      <c r="K8888" s="5"/>
      <c r="L8888" s="5"/>
    </row>
    <row r="8889" spans="1:12" ht="12" customHeight="1" x14ac:dyDescent="0.25">
      <c r="A8889" s="6"/>
      <c r="B8889" s="1"/>
      <c r="C8889" s="5"/>
      <c r="D8889" s="5"/>
      <c r="E8889" s="5"/>
      <c r="F8889" s="5"/>
      <c r="G8889" s="5"/>
      <c r="H8889" s="5"/>
      <c r="I8889" s="5"/>
      <c r="J8889" s="5"/>
      <c r="K8889" s="5"/>
      <c r="L8889" s="5"/>
    </row>
    <row r="8890" spans="1:12" ht="12" customHeight="1" x14ac:dyDescent="0.25">
      <c r="A8890" s="6"/>
      <c r="B8890" s="1"/>
      <c r="C8890" s="5"/>
      <c r="D8890" s="5"/>
      <c r="E8890" s="5"/>
      <c r="F8890" s="5"/>
      <c r="G8890" s="5"/>
      <c r="H8890" s="5"/>
      <c r="I8890" s="5"/>
      <c r="J8890" s="5"/>
      <c r="K8890" s="5"/>
      <c r="L8890" s="5"/>
    </row>
    <row r="8891" spans="1:12" ht="12" customHeight="1" x14ac:dyDescent="0.25">
      <c r="A8891" s="6"/>
      <c r="B8891" s="1"/>
      <c r="C8891" s="5"/>
      <c r="D8891" s="5"/>
      <c r="E8891" s="5"/>
      <c r="F8891" s="5"/>
      <c r="G8891" s="5"/>
      <c r="H8891" s="5"/>
      <c r="I8891" s="5"/>
      <c r="J8891" s="5"/>
      <c r="K8891" s="5"/>
      <c r="L8891" s="5"/>
    </row>
    <row r="8892" spans="1:12" ht="12" customHeight="1" x14ac:dyDescent="0.25">
      <c r="A8892" s="6"/>
      <c r="B8892" s="1"/>
      <c r="C8892" s="5"/>
      <c r="D8892" s="5"/>
      <c r="E8892" s="5"/>
      <c r="F8892" s="5"/>
      <c r="G8892" s="5"/>
      <c r="H8892" s="5"/>
      <c r="I8892" s="5"/>
      <c r="J8892" s="5"/>
      <c r="K8892" s="5"/>
      <c r="L8892" s="5"/>
    </row>
    <row r="8893" spans="1:12" ht="12" customHeight="1" x14ac:dyDescent="0.25">
      <c r="A8893" s="6"/>
      <c r="B8893" s="1"/>
      <c r="C8893" s="5"/>
      <c r="D8893" s="5"/>
      <c r="E8893" s="5"/>
      <c r="F8893" s="5"/>
      <c r="G8893" s="5"/>
      <c r="H8893" s="5"/>
      <c r="I8893" s="5"/>
      <c r="J8893" s="5"/>
      <c r="K8893" s="5"/>
      <c r="L8893" s="5"/>
    </row>
    <row r="8894" spans="1:12" ht="12" customHeight="1" x14ac:dyDescent="0.25">
      <c r="A8894" s="6"/>
      <c r="B8894" s="1"/>
      <c r="C8894" s="5"/>
      <c r="D8894" s="5"/>
      <c r="E8894" s="5"/>
      <c r="F8894" s="5"/>
      <c r="G8894" s="5"/>
      <c r="H8894" s="5"/>
      <c r="I8894" s="5"/>
      <c r="J8894" s="5"/>
      <c r="K8894" s="5"/>
      <c r="L8894" s="5"/>
    </row>
    <row r="8895" spans="1:12" ht="12" customHeight="1" x14ac:dyDescent="0.25">
      <c r="A8895" s="6"/>
      <c r="B8895" s="1"/>
      <c r="C8895" s="5"/>
      <c r="D8895" s="5"/>
      <c r="E8895" s="5"/>
      <c r="F8895" s="5"/>
      <c r="G8895" s="5"/>
      <c r="H8895" s="5"/>
      <c r="I8895" s="5"/>
      <c r="J8895" s="5"/>
      <c r="K8895" s="5"/>
      <c r="L8895" s="5"/>
    </row>
    <row r="8896" spans="1:12" ht="12" customHeight="1" x14ac:dyDescent="0.25">
      <c r="A8896" s="6"/>
      <c r="B8896" s="1"/>
      <c r="C8896" s="5"/>
      <c r="D8896" s="5"/>
      <c r="E8896" s="5"/>
      <c r="F8896" s="5"/>
      <c r="G8896" s="5"/>
      <c r="H8896" s="5"/>
      <c r="I8896" s="5"/>
      <c r="J8896" s="5"/>
      <c r="K8896" s="5"/>
      <c r="L8896" s="5"/>
    </row>
    <row r="8897" spans="1:12" ht="12" customHeight="1" x14ac:dyDescent="0.25">
      <c r="A8897" s="6"/>
      <c r="B8897" s="1"/>
      <c r="C8897" s="5"/>
      <c r="D8897" s="5"/>
      <c r="E8897" s="5"/>
      <c r="F8897" s="5"/>
      <c r="G8897" s="5"/>
      <c r="H8897" s="5"/>
      <c r="I8897" s="5"/>
      <c r="J8897" s="5"/>
      <c r="K8897" s="5"/>
      <c r="L8897" s="5"/>
    </row>
    <row r="8898" spans="1:12" ht="12" customHeight="1" x14ac:dyDescent="0.25">
      <c r="A8898" s="6"/>
      <c r="B8898" s="1"/>
      <c r="C8898" s="5"/>
      <c r="D8898" s="5"/>
      <c r="E8898" s="5"/>
      <c r="F8898" s="5"/>
      <c r="G8898" s="5"/>
      <c r="H8898" s="5"/>
      <c r="I8898" s="5"/>
      <c r="J8898" s="5"/>
      <c r="K8898" s="5"/>
      <c r="L8898" s="5"/>
    </row>
    <row r="8899" spans="1:12" ht="12" customHeight="1" x14ac:dyDescent="0.25">
      <c r="A8899" s="6"/>
      <c r="B8899" s="1"/>
      <c r="C8899" s="5"/>
      <c r="D8899" s="5"/>
      <c r="E8899" s="5"/>
      <c r="F8899" s="5"/>
      <c r="G8899" s="5"/>
      <c r="H8899" s="5"/>
      <c r="I8899" s="5"/>
      <c r="J8899" s="5"/>
      <c r="K8899" s="5"/>
      <c r="L8899" s="5"/>
    </row>
    <row r="8900" spans="1:12" ht="12" customHeight="1" x14ac:dyDescent="0.25">
      <c r="A8900" s="6"/>
      <c r="B8900" s="1"/>
      <c r="C8900" s="5"/>
      <c r="D8900" s="5"/>
      <c r="E8900" s="5"/>
      <c r="F8900" s="5"/>
      <c r="G8900" s="5"/>
      <c r="H8900" s="5"/>
      <c r="I8900" s="5"/>
      <c r="J8900" s="5"/>
      <c r="K8900" s="5"/>
      <c r="L8900" s="5"/>
    </row>
    <row r="8901" spans="1:12" ht="12" customHeight="1" x14ac:dyDescent="0.25">
      <c r="A8901" s="6"/>
      <c r="B8901" s="1"/>
      <c r="C8901" s="5"/>
      <c r="D8901" s="5"/>
      <c r="E8901" s="5"/>
      <c r="F8901" s="5"/>
      <c r="G8901" s="5"/>
      <c r="H8901" s="5"/>
      <c r="I8901" s="5"/>
      <c r="J8901" s="5"/>
      <c r="K8901" s="5"/>
      <c r="L8901" s="5"/>
    </row>
    <row r="8902" spans="1:12" ht="12" customHeight="1" x14ac:dyDescent="0.25">
      <c r="A8902" s="6"/>
      <c r="B8902" s="1"/>
      <c r="C8902" s="5"/>
      <c r="D8902" s="5"/>
      <c r="E8902" s="5"/>
      <c r="F8902" s="5"/>
      <c r="G8902" s="5"/>
      <c r="H8902" s="5"/>
      <c r="I8902" s="5"/>
      <c r="J8902" s="5"/>
      <c r="K8902" s="5"/>
      <c r="L8902" s="5"/>
    </row>
    <row r="8903" spans="1:12" ht="12" customHeight="1" x14ac:dyDescent="0.25">
      <c r="A8903" s="6"/>
      <c r="B8903" s="1"/>
      <c r="C8903" s="5"/>
      <c r="D8903" s="5"/>
      <c r="E8903" s="5"/>
      <c r="F8903" s="5"/>
      <c r="G8903" s="5"/>
      <c r="H8903" s="5"/>
      <c r="I8903" s="5"/>
      <c r="J8903" s="5"/>
      <c r="K8903" s="5"/>
      <c r="L8903" s="5"/>
    </row>
    <row r="8904" spans="1:12" ht="12" customHeight="1" x14ac:dyDescent="0.25">
      <c r="A8904" s="6"/>
      <c r="B8904" s="1"/>
      <c r="C8904" s="5"/>
      <c r="D8904" s="5"/>
      <c r="E8904" s="5"/>
      <c r="F8904" s="5"/>
      <c r="G8904" s="5"/>
      <c r="H8904" s="5"/>
      <c r="I8904" s="5"/>
      <c r="J8904" s="5"/>
      <c r="K8904" s="5"/>
      <c r="L8904" s="5"/>
    </row>
    <row r="8905" spans="1:12" ht="12" customHeight="1" x14ac:dyDescent="0.25">
      <c r="A8905" s="6"/>
      <c r="B8905" s="1"/>
      <c r="C8905" s="5"/>
      <c r="D8905" s="5"/>
      <c r="E8905" s="5"/>
      <c r="F8905" s="5"/>
      <c r="G8905" s="5"/>
      <c r="H8905" s="5"/>
      <c r="I8905" s="5"/>
      <c r="J8905" s="5"/>
      <c r="K8905" s="5"/>
      <c r="L8905" s="5"/>
    </row>
    <row r="8906" spans="1:12" ht="12" customHeight="1" x14ac:dyDescent="0.25">
      <c r="A8906" s="6"/>
      <c r="B8906" s="1"/>
      <c r="C8906" s="5"/>
      <c r="D8906" s="5"/>
      <c r="E8906" s="5"/>
      <c r="F8906" s="5"/>
      <c r="G8906" s="5"/>
      <c r="H8906" s="5"/>
      <c r="I8906" s="5"/>
      <c r="J8906" s="5"/>
      <c r="K8906" s="5"/>
      <c r="L8906" s="5"/>
    </row>
    <row r="8907" spans="1:12" ht="12" customHeight="1" x14ac:dyDescent="0.25">
      <c r="A8907" s="6"/>
      <c r="B8907" s="1"/>
      <c r="C8907" s="5"/>
      <c r="D8907" s="5"/>
      <c r="E8907" s="5"/>
      <c r="F8907" s="5"/>
      <c r="G8907" s="5"/>
      <c r="H8907" s="5"/>
      <c r="I8907" s="5"/>
      <c r="J8907" s="5"/>
      <c r="K8907" s="5"/>
      <c r="L8907" s="5"/>
    </row>
    <row r="8908" spans="1:12" ht="12" customHeight="1" x14ac:dyDescent="0.25">
      <c r="A8908" s="6"/>
      <c r="B8908" s="1"/>
      <c r="C8908" s="5"/>
      <c r="D8908" s="5"/>
      <c r="E8908" s="5"/>
      <c r="F8908" s="5"/>
      <c r="G8908" s="5"/>
      <c r="H8908" s="5"/>
      <c r="I8908" s="5"/>
      <c r="J8908" s="5"/>
      <c r="K8908" s="5"/>
      <c r="L8908" s="5"/>
    </row>
    <row r="8909" spans="1:12" ht="12" customHeight="1" x14ac:dyDescent="0.25">
      <c r="A8909" s="6"/>
      <c r="B8909" s="1"/>
      <c r="C8909" s="5"/>
      <c r="D8909" s="5"/>
      <c r="E8909" s="5"/>
      <c r="F8909" s="5"/>
      <c r="G8909" s="5"/>
      <c r="H8909" s="5"/>
      <c r="I8909" s="5"/>
      <c r="J8909" s="5"/>
      <c r="K8909" s="5"/>
      <c r="L8909" s="5"/>
    </row>
    <row r="8910" spans="1:12" ht="12" customHeight="1" x14ac:dyDescent="0.25">
      <c r="A8910" s="6"/>
      <c r="B8910" s="1"/>
      <c r="C8910" s="5"/>
      <c r="D8910" s="5"/>
      <c r="E8910" s="5"/>
      <c r="F8910" s="5"/>
      <c r="G8910" s="5"/>
      <c r="H8910" s="5"/>
      <c r="I8910" s="5"/>
      <c r="J8910" s="5"/>
      <c r="K8910" s="5"/>
      <c r="L8910" s="5"/>
    </row>
    <row r="8911" spans="1:12" ht="12" customHeight="1" x14ac:dyDescent="0.25">
      <c r="A8911" s="6"/>
      <c r="B8911" s="1"/>
      <c r="C8911" s="5"/>
      <c r="D8911" s="5"/>
      <c r="E8911" s="5"/>
      <c r="F8911" s="5"/>
      <c r="G8911" s="5"/>
      <c r="H8911" s="5"/>
      <c r="I8911" s="5"/>
      <c r="J8911" s="5"/>
      <c r="K8911" s="5"/>
      <c r="L8911" s="5"/>
    </row>
    <row r="8912" spans="1:12" ht="12" customHeight="1" x14ac:dyDescent="0.25">
      <c r="A8912" s="6"/>
      <c r="B8912" s="1"/>
      <c r="C8912" s="5"/>
      <c r="D8912" s="5"/>
      <c r="E8912" s="5"/>
      <c r="F8912" s="5"/>
      <c r="G8912" s="5"/>
      <c r="H8912" s="5"/>
      <c r="I8912" s="5"/>
      <c r="J8912" s="5"/>
      <c r="K8912" s="5"/>
      <c r="L8912" s="5"/>
    </row>
    <row r="8913" spans="1:12" ht="12" customHeight="1" x14ac:dyDescent="0.25">
      <c r="A8913" s="6"/>
      <c r="B8913" s="1"/>
      <c r="C8913" s="5"/>
      <c r="D8913" s="5"/>
      <c r="E8913" s="5"/>
      <c r="F8913" s="5"/>
      <c r="G8913" s="5"/>
      <c r="H8913" s="5"/>
      <c r="I8913" s="5"/>
      <c r="J8913" s="5"/>
      <c r="K8913" s="5"/>
      <c r="L8913" s="5"/>
    </row>
    <row r="8914" spans="1:12" ht="12" customHeight="1" x14ac:dyDescent="0.25">
      <c r="A8914" s="6"/>
      <c r="B8914" s="1"/>
      <c r="C8914" s="5"/>
      <c r="D8914" s="5"/>
      <c r="E8914" s="5"/>
      <c r="F8914" s="5"/>
      <c r="G8914" s="5"/>
      <c r="H8914" s="5"/>
      <c r="I8914" s="5"/>
      <c r="J8914" s="5"/>
      <c r="K8914" s="5"/>
      <c r="L8914" s="5"/>
    </row>
    <row r="8915" spans="1:12" ht="12" customHeight="1" x14ac:dyDescent="0.25">
      <c r="A8915" s="6"/>
      <c r="B8915" s="1"/>
      <c r="C8915" s="5"/>
      <c r="D8915" s="5"/>
      <c r="E8915" s="5"/>
      <c r="F8915" s="5"/>
      <c r="G8915" s="5"/>
      <c r="H8915" s="5"/>
      <c r="I8915" s="5"/>
      <c r="J8915" s="5"/>
      <c r="K8915" s="5"/>
      <c r="L8915" s="5"/>
    </row>
    <row r="8916" spans="1:12" ht="12" customHeight="1" x14ac:dyDescent="0.25">
      <c r="A8916" s="6"/>
      <c r="B8916" s="1"/>
      <c r="C8916" s="5"/>
      <c r="D8916" s="5"/>
      <c r="E8916" s="5"/>
      <c r="F8916" s="5"/>
      <c r="G8916" s="5"/>
      <c r="H8916" s="5"/>
      <c r="I8916" s="5"/>
      <c r="J8916" s="5"/>
      <c r="K8916" s="5"/>
      <c r="L8916" s="5"/>
    </row>
    <row r="8917" spans="1:12" ht="12" customHeight="1" x14ac:dyDescent="0.25">
      <c r="A8917" s="6"/>
      <c r="B8917" s="1"/>
      <c r="C8917" s="5"/>
      <c r="D8917" s="5"/>
      <c r="E8917" s="5"/>
      <c r="F8917" s="5"/>
      <c r="G8917" s="5"/>
      <c r="H8917" s="5"/>
      <c r="I8917" s="5"/>
      <c r="J8917" s="5"/>
      <c r="K8917" s="5"/>
      <c r="L8917" s="5"/>
    </row>
    <row r="8918" spans="1:12" ht="12" customHeight="1" x14ac:dyDescent="0.25">
      <c r="A8918" s="6"/>
      <c r="B8918" s="1"/>
      <c r="C8918" s="5"/>
      <c r="D8918" s="5"/>
      <c r="E8918" s="5"/>
      <c r="F8918" s="5"/>
      <c r="G8918" s="5"/>
      <c r="H8918" s="5"/>
      <c r="I8918" s="5"/>
      <c r="J8918" s="5"/>
      <c r="K8918" s="5"/>
      <c r="L8918" s="5"/>
    </row>
    <row r="8919" spans="1:12" ht="12" customHeight="1" x14ac:dyDescent="0.25">
      <c r="A8919" s="6"/>
      <c r="B8919" s="1"/>
      <c r="C8919" s="5"/>
      <c r="D8919" s="5"/>
      <c r="E8919" s="5"/>
      <c r="F8919" s="5"/>
      <c r="G8919" s="5"/>
      <c r="H8919" s="5"/>
      <c r="I8919" s="5"/>
      <c r="J8919" s="5"/>
      <c r="K8919" s="5"/>
      <c r="L8919" s="5"/>
    </row>
    <row r="8920" spans="1:12" ht="12" customHeight="1" x14ac:dyDescent="0.25">
      <c r="A8920" s="6"/>
      <c r="B8920" s="1"/>
      <c r="C8920" s="5"/>
      <c r="D8920" s="5"/>
      <c r="E8920" s="5"/>
      <c r="F8920" s="5"/>
      <c r="G8920" s="5"/>
      <c r="H8920" s="5"/>
      <c r="I8920" s="5"/>
      <c r="J8920" s="5"/>
      <c r="K8920" s="5"/>
      <c r="L8920" s="5"/>
    </row>
    <row r="8921" spans="1:12" ht="12" customHeight="1" x14ac:dyDescent="0.25">
      <c r="A8921" s="6"/>
      <c r="B8921" s="1"/>
      <c r="C8921" s="5"/>
      <c r="D8921" s="5"/>
      <c r="E8921" s="5"/>
      <c r="F8921" s="5"/>
      <c r="G8921" s="5"/>
      <c r="H8921" s="5"/>
      <c r="I8921" s="5"/>
      <c r="J8921" s="5"/>
      <c r="K8921" s="5"/>
      <c r="L8921" s="5"/>
    </row>
    <row r="8922" spans="1:12" ht="12" customHeight="1" x14ac:dyDescent="0.25">
      <c r="A8922" s="6"/>
      <c r="B8922" s="1"/>
      <c r="C8922" s="5"/>
      <c r="D8922" s="5"/>
      <c r="E8922" s="5"/>
      <c r="F8922" s="5"/>
      <c r="G8922" s="5"/>
      <c r="H8922" s="5"/>
      <c r="I8922" s="5"/>
      <c r="J8922" s="5"/>
      <c r="K8922" s="5"/>
      <c r="L8922" s="5"/>
    </row>
    <row r="8923" spans="1:12" ht="12" customHeight="1" x14ac:dyDescent="0.25">
      <c r="A8923" s="6"/>
      <c r="B8923" s="1"/>
      <c r="C8923" s="5"/>
      <c r="D8923" s="5"/>
      <c r="E8923" s="5"/>
      <c r="F8923" s="5"/>
      <c r="G8923" s="5"/>
      <c r="H8923" s="5"/>
      <c r="I8923" s="5"/>
      <c r="J8923" s="5"/>
      <c r="K8923" s="5"/>
      <c r="L8923" s="5"/>
    </row>
    <row r="8924" spans="1:12" ht="12" customHeight="1" x14ac:dyDescent="0.25">
      <c r="A8924" s="6"/>
      <c r="B8924" s="1"/>
      <c r="C8924" s="5"/>
      <c r="D8924" s="5"/>
      <c r="E8924" s="5"/>
      <c r="F8924" s="5"/>
      <c r="G8924" s="5"/>
      <c r="H8924" s="5"/>
      <c r="I8924" s="5"/>
      <c r="J8924" s="5"/>
      <c r="K8924" s="5"/>
      <c r="L8924" s="5"/>
    </row>
    <row r="8925" spans="1:12" ht="12" customHeight="1" x14ac:dyDescent="0.25">
      <c r="A8925" s="6"/>
      <c r="B8925" s="1"/>
      <c r="C8925" s="5"/>
      <c r="D8925" s="5"/>
      <c r="E8925" s="5"/>
      <c r="F8925" s="5"/>
      <c r="G8925" s="5"/>
      <c r="H8925" s="5"/>
      <c r="I8925" s="5"/>
      <c r="J8925" s="5"/>
      <c r="K8925" s="5"/>
      <c r="L8925" s="5"/>
    </row>
    <row r="8926" spans="1:12" ht="12" customHeight="1" x14ac:dyDescent="0.25">
      <c r="A8926" s="6"/>
      <c r="B8926" s="1"/>
      <c r="C8926" s="5"/>
      <c r="D8926" s="5"/>
      <c r="E8926" s="5"/>
      <c r="F8926" s="5"/>
      <c r="G8926" s="5"/>
      <c r="H8926" s="5"/>
      <c r="I8926" s="5"/>
      <c r="J8926" s="5"/>
      <c r="K8926" s="5"/>
      <c r="L8926" s="5"/>
    </row>
    <row r="8927" spans="1:12" ht="12" customHeight="1" x14ac:dyDescent="0.25">
      <c r="A8927" s="6"/>
      <c r="B8927" s="1"/>
      <c r="C8927" s="5"/>
      <c r="D8927" s="5"/>
      <c r="E8927" s="5"/>
      <c r="F8927" s="5"/>
      <c r="G8927" s="5"/>
      <c r="H8927" s="5"/>
      <c r="I8927" s="5"/>
      <c r="J8927" s="5"/>
      <c r="K8927" s="5"/>
      <c r="L8927" s="5"/>
    </row>
    <row r="8928" spans="1:12" ht="12" customHeight="1" x14ac:dyDescent="0.25">
      <c r="A8928" s="6"/>
      <c r="B8928" s="1"/>
      <c r="C8928" s="5"/>
      <c r="D8928" s="5"/>
      <c r="E8928" s="5"/>
      <c r="F8928" s="5"/>
      <c r="G8928" s="5"/>
      <c r="H8928" s="5"/>
      <c r="I8928" s="5"/>
      <c r="J8928" s="5"/>
      <c r="K8928" s="5"/>
      <c r="L8928" s="5"/>
    </row>
    <row r="8929" spans="1:12" ht="12" customHeight="1" x14ac:dyDescent="0.25">
      <c r="A8929" s="6"/>
      <c r="B8929" s="1"/>
      <c r="C8929" s="5"/>
      <c r="D8929" s="5"/>
      <c r="E8929" s="5"/>
      <c r="F8929" s="5"/>
      <c r="G8929" s="5"/>
      <c r="H8929" s="5"/>
      <c r="I8929" s="5"/>
      <c r="J8929" s="5"/>
      <c r="K8929" s="5"/>
      <c r="L8929" s="5"/>
    </row>
    <row r="8930" spans="1:12" ht="12" customHeight="1" x14ac:dyDescent="0.25">
      <c r="A8930" s="6"/>
      <c r="B8930" s="1"/>
      <c r="C8930" s="5"/>
      <c r="D8930" s="5"/>
      <c r="E8930" s="5"/>
      <c r="F8930" s="5"/>
      <c r="G8930" s="5"/>
      <c r="H8930" s="5"/>
      <c r="I8930" s="5"/>
      <c r="J8930" s="5"/>
      <c r="K8930" s="5"/>
      <c r="L8930" s="5"/>
    </row>
    <row r="8931" spans="1:12" ht="12" customHeight="1" x14ac:dyDescent="0.25">
      <c r="A8931" s="6"/>
      <c r="B8931" s="1"/>
      <c r="C8931" s="5"/>
      <c r="D8931" s="5"/>
      <c r="E8931" s="5"/>
      <c r="F8931" s="5"/>
      <c r="G8931" s="5"/>
      <c r="H8931" s="5"/>
      <c r="I8931" s="5"/>
      <c r="J8931" s="5"/>
      <c r="K8931" s="5"/>
      <c r="L8931" s="5"/>
    </row>
    <row r="8932" spans="1:12" ht="12" customHeight="1" x14ac:dyDescent="0.25">
      <c r="A8932" s="6"/>
      <c r="B8932" s="1"/>
      <c r="C8932" s="5"/>
      <c r="D8932" s="5"/>
      <c r="E8932" s="5"/>
      <c r="F8932" s="5"/>
      <c r="G8932" s="5"/>
      <c r="H8932" s="5"/>
      <c r="I8932" s="5"/>
      <c r="J8932" s="5"/>
      <c r="K8932" s="5"/>
      <c r="L8932" s="5"/>
    </row>
    <row r="8933" spans="1:12" ht="12" customHeight="1" x14ac:dyDescent="0.25">
      <c r="A8933" s="6"/>
      <c r="B8933" s="1"/>
      <c r="C8933" s="5"/>
      <c r="D8933" s="5"/>
      <c r="E8933" s="5"/>
      <c r="F8933" s="5"/>
      <c r="G8933" s="5"/>
      <c r="H8933" s="5"/>
      <c r="I8933" s="5"/>
      <c r="J8933" s="5"/>
      <c r="K8933" s="5"/>
      <c r="L8933" s="5"/>
    </row>
    <row r="8934" spans="1:12" ht="12" customHeight="1" x14ac:dyDescent="0.25">
      <c r="A8934" s="6"/>
      <c r="B8934" s="1"/>
      <c r="C8934" s="5"/>
      <c r="D8934" s="5"/>
      <c r="E8934" s="5"/>
      <c r="F8934" s="5"/>
      <c r="G8934" s="5"/>
      <c r="H8934" s="5"/>
      <c r="I8934" s="5"/>
      <c r="J8934" s="5"/>
      <c r="K8934" s="5"/>
      <c r="L8934" s="5"/>
    </row>
    <row r="8935" spans="1:12" ht="12" customHeight="1" x14ac:dyDescent="0.25">
      <c r="A8935" s="6"/>
      <c r="B8935" s="1"/>
      <c r="C8935" s="5"/>
      <c r="D8935" s="5"/>
      <c r="E8935" s="5"/>
      <c r="F8935" s="5"/>
      <c r="G8935" s="5"/>
      <c r="H8935" s="5"/>
      <c r="I8935" s="5"/>
      <c r="J8935" s="5"/>
      <c r="K8935" s="5"/>
      <c r="L8935" s="5"/>
    </row>
    <row r="8936" spans="1:12" ht="12" customHeight="1" x14ac:dyDescent="0.25">
      <c r="A8936" s="6"/>
      <c r="B8936" s="1"/>
      <c r="C8936" s="5"/>
      <c r="D8936" s="5"/>
      <c r="E8936" s="5"/>
      <c r="F8936" s="5"/>
      <c r="G8936" s="5"/>
      <c r="H8936" s="5"/>
      <c r="I8936" s="5"/>
      <c r="J8936" s="5"/>
      <c r="K8936" s="5"/>
      <c r="L8936" s="5"/>
    </row>
    <row r="8937" spans="1:12" ht="12" customHeight="1" x14ac:dyDescent="0.25">
      <c r="A8937" s="6"/>
      <c r="B8937" s="1"/>
      <c r="C8937" s="5"/>
      <c r="D8937" s="5"/>
      <c r="E8937" s="5"/>
      <c r="F8937" s="5"/>
      <c r="G8937" s="5"/>
      <c r="H8937" s="5"/>
      <c r="I8937" s="5"/>
      <c r="J8937" s="5"/>
      <c r="K8937" s="5"/>
      <c r="L8937" s="5"/>
    </row>
    <row r="8938" spans="1:12" ht="12" customHeight="1" x14ac:dyDescent="0.25">
      <c r="A8938" s="6"/>
      <c r="B8938" s="1"/>
      <c r="C8938" s="5"/>
      <c r="D8938" s="5"/>
      <c r="E8938" s="5"/>
      <c r="F8938" s="5"/>
      <c r="G8938" s="5"/>
      <c r="H8938" s="5"/>
      <c r="I8938" s="5"/>
      <c r="J8938" s="5"/>
      <c r="K8938" s="5"/>
      <c r="L8938" s="5"/>
    </row>
    <row r="8939" spans="1:12" ht="12" customHeight="1" x14ac:dyDescent="0.25">
      <c r="A8939" s="6"/>
      <c r="B8939" s="1"/>
      <c r="C8939" s="5"/>
      <c r="D8939" s="5"/>
      <c r="E8939" s="5"/>
      <c r="F8939" s="5"/>
      <c r="G8939" s="5"/>
      <c r="H8939" s="5"/>
      <c r="I8939" s="5"/>
      <c r="J8939" s="5"/>
      <c r="K8939" s="5"/>
      <c r="L8939" s="5"/>
    </row>
    <row r="8940" spans="1:12" ht="12" customHeight="1" x14ac:dyDescent="0.25">
      <c r="A8940" s="6"/>
      <c r="B8940" s="1"/>
      <c r="C8940" s="5"/>
      <c r="D8940" s="5"/>
      <c r="E8940" s="5"/>
      <c r="F8940" s="5"/>
      <c r="G8940" s="5"/>
      <c r="H8940" s="5"/>
      <c r="I8940" s="5"/>
      <c r="J8940" s="5"/>
      <c r="K8940" s="5"/>
      <c r="L8940" s="5"/>
    </row>
    <row r="8941" spans="1:12" ht="12" customHeight="1" x14ac:dyDescent="0.25">
      <c r="A8941" s="6"/>
      <c r="B8941" s="1"/>
      <c r="C8941" s="5"/>
      <c r="D8941" s="5"/>
      <c r="E8941" s="5"/>
      <c r="F8941" s="5"/>
      <c r="G8941" s="5"/>
      <c r="H8941" s="5"/>
      <c r="I8941" s="5"/>
      <c r="J8941" s="5"/>
      <c r="K8941" s="5"/>
      <c r="L8941" s="5"/>
    </row>
    <row r="8942" spans="1:12" ht="12" customHeight="1" x14ac:dyDescent="0.25">
      <c r="A8942" s="6"/>
      <c r="B8942" s="1"/>
      <c r="C8942" s="5"/>
      <c r="D8942" s="5"/>
      <c r="E8942" s="5"/>
      <c r="F8942" s="5"/>
      <c r="G8942" s="5"/>
      <c r="H8942" s="5"/>
      <c r="I8942" s="5"/>
      <c r="J8942" s="5"/>
      <c r="K8942" s="5"/>
      <c r="L8942" s="5"/>
    </row>
    <row r="8943" spans="1:12" ht="12" customHeight="1" x14ac:dyDescent="0.25">
      <c r="A8943" s="6"/>
      <c r="B8943" s="1"/>
      <c r="C8943" s="5"/>
      <c r="D8943" s="5"/>
      <c r="E8943" s="5"/>
      <c r="F8943" s="5"/>
      <c r="G8943" s="5"/>
      <c r="H8943" s="5"/>
      <c r="I8943" s="5"/>
      <c r="J8943" s="5"/>
      <c r="K8943" s="5"/>
      <c r="L8943" s="5"/>
    </row>
    <row r="8944" spans="1:12" ht="12" customHeight="1" x14ac:dyDescent="0.25">
      <c r="A8944" s="6"/>
      <c r="B8944" s="1"/>
      <c r="C8944" s="5"/>
      <c r="D8944" s="5"/>
      <c r="E8944" s="5"/>
      <c r="F8944" s="5"/>
      <c r="G8944" s="5"/>
      <c r="H8944" s="5"/>
      <c r="I8944" s="5"/>
      <c r="J8944" s="5"/>
      <c r="K8944" s="5"/>
      <c r="L8944" s="5"/>
    </row>
    <row r="8945" spans="1:12" ht="12" customHeight="1" x14ac:dyDescent="0.25">
      <c r="A8945" s="6"/>
      <c r="B8945" s="1"/>
      <c r="C8945" s="5"/>
      <c r="D8945" s="5"/>
      <c r="E8945" s="5"/>
      <c r="F8945" s="5"/>
      <c r="G8945" s="5"/>
      <c r="H8945" s="5"/>
      <c r="I8945" s="5"/>
      <c r="J8945" s="5"/>
      <c r="K8945" s="5"/>
      <c r="L8945" s="5"/>
    </row>
    <row r="8946" spans="1:12" ht="12" customHeight="1" x14ac:dyDescent="0.25">
      <c r="A8946" s="6"/>
      <c r="B8946" s="1"/>
      <c r="C8946" s="5"/>
      <c r="D8946" s="5"/>
      <c r="E8946" s="5"/>
      <c r="F8946" s="5"/>
      <c r="G8946" s="5"/>
      <c r="H8946" s="5"/>
      <c r="I8946" s="5"/>
      <c r="J8946" s="5"/>
      <c r="K8946" s="5"/>
      <c r="L8946" s="5"/>
    </row>
    <row r="8947" spans="1:12" ht="12" customHeight="1" x14ac:dyDescent="0.25">
      <c r="A8947" s="6"/>
      <c r="B8947" s="1"/>
      <c r="C8947" s="5"/>
      <c r="D8947" s="5"/>
      <c r="E8947" s="5"/>
      <c r="F8947" s="5"/>
      <c r="G8947" s="5"/>
      <c r="H8947" s="5"/>
      <c r="I8947" s="5"/>
      <c r="J8947" s="5"/>
      <c r="K8947" s="5"/>
      <c r="L8947" s="5"/>
    </row>
    <row r="8948" spans="1:12" ht="12" customHeight="1" x14ac:dyDescent="0.25">
      <c r="A8948" s="6"/>
      <c r="B8948" s="1"/>
      <c r="C8948" s="5"/>
      <c r="D8948" s="5"/>
      <c r="E8948" s="5"/>
      <c r="F8948" s="5"/>
      <c r="G8948" s="5"/>
      <c r="H8948" s="5"/>
      <c r="I8948" s="5"/>
      <c r="J8948" s="5"/>
      <c r="K8948" s="5"/>
      <c r="L8948" s="5"/>
    </row>
    <row r="8949" spans="1:12" ht="12" customHeight="1" x14ac:dyDescent="0.25">
      <c r="A8949" s="6"/>
      <c r="B8949" s="1"/>
      <c r="C8949" s="5"/>
      <c r="D8949" s="5"/>
      <c r="E8949" s="5"/>
      <c r="F8949" s="5"/>
      <c r="G8949" s="5"/>
      <c r="H8949" s="5"/>
      <c r="I8949" s="5"/>
      <c r="J8949" s="5"/>
      <c r="K8949" s="5"/>
      <c r="L8949" s="5"/>
    </row>
    <row r="8950" spans="1:12" ht="12" customHeight="1" x14ac:dyDescent="0.25">
      <c r="A8950" s="6"/>
      <c r="B8950" s="1"/>
      <c r="C8950" s="5"/>
      <c r="D8950" s="5"/>
      <c r="E8950" s="5"/>
      <c r="F8950" s="5"/>
      <c r="G8950" s="5"/>
      <c r="H8950" s="5"/>
      <c r="I8950" s="5"/>
      <c r="J8950" s="5"/>
      <c r="K8950" s="5"/>
      <c r="L8950" s="5"/>
    </row>
    <row r="8951" spans="1:12" ht="12" customHeight="1" x14ac:dyDescent="0.25">
      <c r="A8951" s="6"/>
      <c r="B8951" s="1"/>
      <c r="C8951" s="5"/>
      <c r="D8951" s="5"/>
      <c r="E8951" s="5"/>
      <c r="F8951" s="5"/>
      <c r="G8951" s="5"/>
      <c r="H8951" s="5"/>
      <c r="I8951" s="5"/>
      <c r="J8951" s="5"/>
      <c r="K8951" s="5"/>
      <c r="L8951" s="5"/>
    </row>
    <row r="8952" spans="1:12" ht="12" customHeight="1" x14ac:dyDescent="0.25">
      <c r="A8952" s="6"/>
      <c r="B8952" s="1"/>
      <c r="C8952" s="5"/>
      <c r="D8952" s="5"/>
      <c r="E8952" s="5"/>
      <c r="F8952" s="5"/>
      <c r="G8952" s="5"/>
      <c r="H8952" s="5"/>
      <c r="I8952" s="5"/>
      <c r="J8952" s="5"/>
      <c r="K8952" s="5"/>
      <c r="L8952" s="5"/>
    </row>
    <row r="8953" spans="1:12" ht="12" customHeight="1" x14ac:dyDescent="0.25">
      <c r="A8953" s="6"/>
      <c r="B8953" s="1"/>
      <c r="C8953" s="5"/>
      <c r="D8953" s="5"/>
      <c r="E8953" s="5"/>
      <c r="F8953" s="5"/>
      <c r="G8953" s="5"/>
      <c r="H8953" s="5"/>
      <c r="I8953" s="5"/>
      <c r="J8953" s="5"/>
      <c r="K8953" s="5"/>
      <c r="L8953" s="5"/>
    </row>
    <row r="8954" spans="1:12" ht="12" customHeight="1" x14ac:dyDescent="0.25">
      <c r="A8954" s="6"/>
      <c r="B8954" s="1"/>
      <c r="C8954" s="5"/>
      <c r="D8954" s="5"/>
      <c r="E8954" s="5"/>
      <c r="F8954" s="5"/>
      <c r="G8954" s="5"/>
      <c r="H8954" s="5"/>
      <c r="I8954" s="5"/>
      <c r="J8954" s="5"/>
      <c r="K8954" s="5"/>
      <c r="L8954" s="5"/>
    </row>
    <row r="8955" spans="1:12" ht="12" customHeight="1" x14ac:dyDescent="0.25">
      <c r="A8955" s="6"/>
      <c r="B8955" s="1"/>
      <c r="C8955" s="5"/>
      <c r="D8955" s="5"/>
      <c r="E8955" s="5"/>
      <c r="F8955" s="5"/>
      <c r="G8955" s="5"/>
      <c r="H8955" s="5"/>
      <c r="I8955" s="5"/>
      <c r="J8955" s="5"/>
      <c r="K8955" s="5"/>
      <c r="L8955" s="5"/>
    </row>
    <row r="8956" spans="1:12" ht="12" customHeight="1" x14ac:dyDescent="0.25">
      <c r="A8956" s="6"/>
      <c r="B8956" s="1"/>
      <c r="C8956" s="5"/>
      <c r="D8956" s="5"/>
      <c r="E8956" s="5"/>
      <c r="F8956" s="5"/>
      <c r="G8956" s="5"/>
      <c r="H8956" s="5"/>
      <c r="I8956" s="5"/>
      <c r="J8956" s="5"/>
      <c r="K8956" s="5"/>
      <c r="L8956" s="5"/>
    </row>
    <row r="8957" spans="1:12" ht="12" customHeight="1" x14ac:dyDescent="0.25">
      <c r="A8957" s="6"/>
      <c r="B8957" s="1"/>
      <c r="C8957" s="5"/>
      <c r="D8957" s="5"/>
      <c r="E8957" s="5"/>
      <c r="F8957" s="5"/>
      <c r="G8957" s="5"/>
      <c r="H8957" s="5"/>
      <c r="I8957" s="5"/>
      <c r="J8957" s="5"/>
      <c r="K8957" s="5"/>
      <c r="L8957" s="5"/>
    </row>
    <row r="8958" spans="1:12" ht="12" customHeight="1" x14ac:dyDescent="0.25">
      <c r="A8958" s="6"/>
      <c r="B8958" s="1"/>
      <c r="C8958" s="5"/>
      <c r="D8958" s="5"/>
      <c r="E8958" s="5"/>
      <c r="F8958" s="5"/>
      <c r="G8958" s="5"/>
      <c r="H8958" s="5"/>
      <c r="I8958" s="5"/>
      <c r="J8958" s="5"/>
      <c r="K8958" s="5"/>
      <c r="L8958" s="5"/>
    </row>
    <row r="8959" spans="1:12" ht="12" customHeight="1" x14ac:dyDescent="0.25">
      <c r="A8959" s="6"/>
      <c r="B8959" s="1"/>
      <c r="C8959" s="5"/>
      <c r="D8959" s="5"/>
      <c r="E8959" s="5"/>
      <c r="F8959" s="5"/>
      <c r="G8959" s="5"/>
      <c r="H8959" s="5"/>
      <c r="I8959" s="5"/>
      <c r="J8959" s="5"/>
      <c r="K8959" s="5"/>
      <c r="L8959" s="5"/>
    </row>
    <row r="8960" spans="1:12" ht="12" customHeight="1" x14ac:dyDescent="0.25">
      <c r="A8960" s="6"/>
      <c r="B8960" s="1"/>
      <c r="C8960" s="5"/>
      <c r="D8960" s="5"/>
      <c r="E8960" s="5"/>
      <c r="F8960" s="5"/>
      <c r="G8960" s="5"/>
      <c r="H8960" s="5"/>
      <c r="I8960" s="5"/>
      <c r="J8960" s="5"/>
      <c r="K8960" s="5"/>
      <c r="L8960" s="5"/>
    </row>
    <row r="8961" spans="1:12" ht="12" customHeight="1" x14ac:dyDescent="0.25">
      <c r="A8961" s="6"/>
      <c r="B8961" s="1"/>
      <c r="C8961" s="5"/>
      <c r="D8961" s="5"/>
      <c r="E8961" s="5"/>
      <c r="F8961" s="5"/>
      <c r="G8961" s="5"/>
      <c r="H8961" s="5"/>
      <c r="I8961" s="5"/>
      <c r="J8961" s="5"/>
      <c r="K8961" s="5"/>
      <c r="L8961" s="5"/>
    </row>
    <row r="8962" spans="1:12" ht="12" customHeight="1" x14ac:dyDescent="0.25">
      <c r="A8962" s="6"/>
      <c r="B8962" s="1"/>
      <c r="C8962" s="5"/>
      <c r="D8962" s="5"/>
      <c r="E8962" s="5"/>
      <c r="F8962" s="5"/>
      <c r="G8962" s="5"/>
      <c r="H8962" s="5"/>
      <c r="I8962" s="5"/>
      <c r="J8962" s="5"/>
      <c r="K8962" s="5"/>
      <c r="L8962" s="5"/>
    </row>
    <row r="8963" spans="1:12" ht="12" customHeight="1" x14ac:dyDescent="0.25">
      <c r="A8963" s="6"/>
      <c r="B8963" s="1"/>
      <c r="C8963" s="5"/>
      <c r="D8963" s="5"/>
      <c r="E8963" s="5"/>
      <c r="F8963" s="5"/>
      <c r="G8963" s="5"/>
      <c r="H8963" s="5"/>
      <c r="I8963" s="5"/>
      <c r="J8963" s="5"/>
      <c r="K8963" s="5"/>
      <c r="L8963" s="5"/>
    </row>
    <row r="8964" spans="1:12" ht="12" customHeight="1" x14ac:dyDescent="0.25">
      <c r="A8964" s="6"/>
      <c r="B8964" s="1"/>
      <c r="C8964" s="5"/>
      <c r="D8964" s="5"/>
      <c r="E8964" s="5"/>
      <c r="F8964" s="5"/>
      <c r="G8964" s="5"/>
      <c r="H8964" s="5"/>
      <c r="I8964" s="5"/>
      <c r="J8964" s="5"/>
      <c r="K8964" s="5"/>
      <c r="L8964" s="5"/>
    </row>
    <row r="8965" spans="1:12" ht="12" customHeight="1" x14ac:dyDescent="0.25">
      <c r="A8965" s="6"/>
      <c r="B8965" s="1"/>
      <c r="C8965" s="5"/>
      <c r="D8965" s="5"/>
      <c r="E8965" s="5"/>
      <c r="F8965" s="5"/>
      <c r="G8965" s="5"/>
      <c r="H8965" s="5"/>
      <c r="I8965" s="5"/>
      <c r="J8965" s="5"/>
      <c r="K8965" s="5"/>
      <c r="L8965" s="5"/>
    </row>
    <row r="8966" spans="1:12" ht="12" customHeight="1" x14ac:dyDescent="0.25">
      <c r="A8966" s="6"/>
      <c r="B8966" s="1"/>
      <c r="C8966" s="5"/>
      <c r="D8966" s="5"/>
      <c r="E8966" s="5"/>
      <c r="F8966" s="5"/>
      <c r="G8966" s="5"/>
      <c r="H8966" s="5"/>
      <c r="I8966" s="5"/>
      <c r="J8966" s="5"/>
      <c r="K8966" s="5"/>
      <c r="L8966" s="5"/>
    </row>
    <row r="8967" spans="1:12" ht="12" customHeight="1" x14ac:dyDescent="0.25">
      <c r="A8967" s="6"/>
      <c r="B8967" s="1"/>
      <c r="C8967" s="5"/>
      <c r="D8967" s="5"/>
      <c r="E8967" s="5"/>
      <c r="F8967" s="5"/>
      <c r="G8967" s="5"/>
      <c r="H8967" s="5"/>
      <c r="I8967" s="5"/>
      <c r="J8967" s="5"/>
      <c r="K8967" s="5"/>
      <c r="L8967" s="5"/>
    </row>
    <row r="8968" spans="1:12" ht="12" customHeight="1" x14ac:dyDescent="0.25">
      <c r="A8968" s="6"/>
      <c r="B8968" s="1"/>
      <c r="C8968" s="5"/>
      <c r="D8968" s="5"/>
      <c r="E8968" s="5"/>
      <c r="F8968" s="5"/>
      <c r="G8968" s="5"/>
      <c r="H8968" s="5"/>
      <c r="I8968" s="5"/>
      <c r="J8968" s="5"/>
      <c r="K8968" s="5"/>
      <c r="L8968" s="5"/>
    </row>
    <row r="8969" spans="1:12" ht="12" customHeight="1" x14ac:dyDescent="0.25">
      <c r="A8969" s="6"/>
      <c r="B8969" s="1"/>
      <c r="C8969" s="5"/>
      <c r="D8969" s="5"/>
      <c r="E8969" s="5"/>
      <c r="F8969" s="5"/>
      <c r="G8969" s="5"/>
      <c r="H8969" s="5"/>
      <c r="I8969" s="5"/>
      <c r="J8969" s="5"/>
      <c r="K8969" s="5"/>
      <c r="L8969" s="5"/>
    </row>
    <row r="8970" spans="1:12" ht="12" customHeight="1" x14ac:dyDescent="0.25">
      <c r="A8970" s="6"/>
      <c r="B8970" s="1"/>
      <c r="C8970" s="5"/>
      <c r="D8970" s="5"/>
      <c r="E8970" s="5"/>
      <c r="F8970" s="5"/>
      <c r="G8970" s="5"/>
      <c r="H8970" s="5"/>
      <c r="I8970" s="5"/>
      <c r="J8970" s="5"/>
      <c r="K8970" s="5"/>
      <c r="L8970" s="5"/>
    </row>
    <row r="8971" spans="1:12" ht="12" customHeight="1" x14ac:dyDescent="0.25">
      <c r="A8971" s="6"/>
      <c r="B8971" s="1"/>
      <c r="C8971" s="5"/>
      <c r="D8971" s="5"/>
      <c r="E8971" s="5"/>
      <c r="F8971" s="5"/>
      <c r="G8971" s="5"/>
      <c r="H8971" s="5"/>
      <c r="I8971" s="5"/>
      <c r="J8971" s="5"/>
      <c r="K8971" s="5"/>
      <c r="L8971" s="5"/>
    </row>
    <row r="8972" spans="1:12" ht="12" customHeight="1" x14ac:dyDescent="0.25">
      <c r="A8972" s="6"/>
      <c r="B8972" s="1"/>
      <c r="C8972" s="5"/>
      <c r="D8972" s="5"/>
      <c r="E8972" s="5"/>
      <c r="F8972" s="5"/>
      <c r="G8972" s="5"/>
      <c r="H8972" s="5"/>
      <c r="I8972" s="5"/>
      <c r="J8972" s="5"/>
      <c r="K8972" s="5"/>
      <c r="L8972" s="5"/>
    </row>
    <row r="8973" spans="1:12" ht="12" customHeight="1" x14ac:dyDescent="0.25">
      <c r="A8973" s="6"/>
      <c r="B8973" s="1"/>
      <c r="C8973" s="5"/>
      <c r="D8973" s="5"/>
      <c r="E8973" s="5"/>
      <c r="F8973" s="5"/>
      <c r="G8973" s="5"/>
      <c r="H8973" s="5"/>
      <c r="I8973" s="5"/>
      <c r="J8973" s="5"/>
      <c r="K8973" s="5"/>
      <c r="L8973" s="5"/>
    </row>
    <row r="8974" spans="1:12" ht="12" customHeight="1" x14ac:dyDescent="0.25">
      <c r="A8974" s="6"/>
      <c r="B8974" s="1"/>
      <c r="C8974" s="5"/>
      <c r="D8974" s="5"/>
      <c r="E8974" s="5"/>
      <c r="F8974" s="5"/>
      <c r="G8974" s="5"/>
      <c r="H8974" s="5"/>
      <c r="I8974" s="5"/>
      <c r="J8974" s="5"/>
      <c r="K8974" s="5"/>
      <c r="L8974" s="5"/>
    </row>
    <row r="8975" spans="1:12" ht="12" customHeight="1" x14ac:dyDescent="0.25">
      <c r="A8975" s="6"/>
      <c r="B8975" s="1"/>
      <c r="C8975" s="5"/>
      <c r="D8975" s="5"/>
      <c r="E8975" s="5"/>
      <c r="F8975" s="5"/>
      <c r="G8975" s="5"/>
      <c r="H8975" s="5"/>
      <c r="I8975" s="5"/>
      <c r="J8975" s="5"/>
      <c r="K8975" s="5"/>
      <c r="L8975" s="5"/>
    </row>
    <row r="8976" spans="1:12" ht="12" customHeight="1" x14ac:dyDescent="0.25">
      <c r="A8976" s="6"/>
      <c r="B8976" s="1"/>
      <c r="C8976" s="5"/>
      <c r="D8976" s="5"/>
      <c r="E8976" s="5"/>
      <c r="F8976" s="5"/>
      <c r="G8976" s="5"/>
      <c r="H8976" s="5"/>
      <c r="I8976" s="5"/>
      <c r="J8976" s="5"/>
      <c r="K8976" s="5"/>
      <c r="L8976" s="5"/>
    </row>
    <row r="8977" spans="1:12" ht="12" customHeight="1" x14ac:dyDescent="0.25">
      <c r="A8977" s="6"/>
      <c r="B8977" s="1"/>
      <c r="C8977" s="5"/>
      <c r="D8977" s="5"/>
      <c r="E8977" s="5"/>
      <c r="F8977" s="5"/>
      <c r="G8977" s="5"/>
      <c r="H8977" s="5"/>
      <c r="I8977" s="5"/>
      <c r="J8977" s="5"/>
      <c r="K8977" s="5"/>
      <c r="L8977" s="5"/>
    </row>
    <row r="8978" spans="1:12" ht="12" customHeight="1" x14ac:dyDescent="0.25">
      <c r="A8978" s="6"/>
      <c r="B8978" s="1"/>
      <c r="C8978" s="5"/>
      <c r="D8978" s="5"/>
      <c r="E8978" s="5"/>
      <c r="F8978" s="5"/>
      <c r="G8978" s="5"/>
      <c r="H8978" s="5"/>
      <c r="I8978" s="5"/>
      <c r="J8978" s="5"/>
      <c r="K8978" s="5"/>
      <c r="L8978" s="5"/>
    </row>
    <row r="8979" spans="1:12" ht="12" customHeight="1" x14ac:dyDescent="0.25">
      <c r="A8979" s="6"/>
      <c r="B8979" s="1"/>
      <c r="C8979" s="5"/>
      <c r="D8979" s="5"/>
      <c r="E8979" s="5"/>
      <c r="F8979" s="5"/>
      <c r="G8979" s="5"/>
      <c r="H8979" s="5"/>
      <c r="I8979" s="5"/>
      <c r="J8979" s="5"/>
      <c r="K8979" s="5"/>
      <c r="L8979" s="5"/>
    </row>
    <row r="8980" spans="1:12" ht="12" customHeight="1" x14ac:dyDescent="0.25">
      <c r="A8980" s="6"/>
      <c r="B8980" s="1"/>
      <c r="C8980" s="5"/>
      <c r="D8980" s="5"/>
      <c r="E8980" s="5"/>
      <c r="F8980" s="5"/>
      <c r="G8980" s="5"/>
      <c r="H8980" s="5"/>
      <c r="I8980" s="5"/>
      <c r="J8980" s="5"/>
      <c r="K8980" s="5"/>
      <c r="L8980" s="5"/>
    </row>
    <row r="8981" spans="1:12" ht="12" customHeight="1" x14ac:dyDescent="0.25">
      <c r="A8981" s="6"/>
      <c r="B8981" s="1"/>
      <c r="C8981" s="5"/>
      <c r="D8981" s="5"/>
      <c r="E8981" s="5"/>
      <c r="F8981" s="5"/>
      <c r="G8981" s="5"/>
      <c r="H8981" s="5"/>
      <c r="I8981" s="5"/>
      <c r="J8981" s="5"/>
      <c r="K8981" s="5"/>
      <c r="L8981" s="5"/>
    </row>
    <row r="8982" spans="1:12" ht="12" customHeight="1" x14ac:dyDescent="0.25">
      <c r="A8982" s="6"/>
      <c r="B8982" s="1"/>
      <c r="C8982" s="5"/>
      <c r="D8982" s="5"/>
      <c r="E8982" s="5"/>
      <c r="F8982" s="5"/>
      <c r="G8982" s="5"/>
      <c r="H8982" s="5"/>
      <c r="I8982" s="5"/>
      <c r="J8982" s="5"/>
      <c r="K8982" s="5"/>
      <c r="L8982" s="5"/>
    </row>
    <row r="8983" spans="1:12" ht="12" customHeight="1" x14ac:dyDescent="0.25">
      <c r="A8983" s="6"/>
      <c r="B8983" s="1"/>
      <c r="C8983" s="5"/>
      <c r="D8983" s="5"/>
      <c r="E8983" s="5"/>
      <c r="F8983" s="5"/>
      <c r="G8983" s="5"/>
      <c r="H8983" s="5"/>
      <c r="I8983" s="5"/>
      <c r="J8983" s="5"/>
      <c r="K8983" s="5"/>
      <c r="L8983" s="5"/>
    </row>
    <row r="8984" spans="1:12" ht="12" customHeight="1" x14ac:dyDescent="0.25">
      <c r="A8984" s="6"/>
      <c r="B8984" s="1"/>
      <c r="C8984" s="5"/>
      <c r="D8984" s="5"/>
      <c r="E8984" s="5"/>
      <c r="F8984" s="5"/>
      <c r="G8984" s="5"/>
      <c r="H8984" s="5"/>
      <c r="I8984" s="5"/>
      <c r="J8984" s="5"/>
      <c r="K8984" s="5"/>
      <c r="L8984" s="5"/>
    </row>
    <row r="8985" spans="1:12" ht="12" customHeight="1" x14ac:dyDescent="0.25">
      <c r="A8985" s="6"/>
      <c r="B8985" s="1"/>
      <c r="C8985" s="5"/>
      <c r="D8985" s="5"/>
      <c r="E8985" s="5"/>
      <c r="F8985" s="5"/>
      <c r="G8985" s="5"/>
      <c r="H8985" s="5"/>
      <c r="I8985" s="5"/>
      <c r="J8985" s="5"/>
      <c r="K8985" s="5"/>
      <c r="L8985" s="5"/>
    </row>
    <row r="8986" spans="1:12" ht="12" customHeight="1" x14ac:dyDescent="0.25">
      <c r="A8986" s="6"/>
      <c r="B8986" s="1"/>
      <c r="C8986" s="5"/>
      <c r="D8986" s="5"/>
      <c r="E8986" s="5"/>
      <c r="F8986" s="5"/>
      <c r="G8986" s="5"/>
      <c r="H8986" s="5"/>
      <c r="I8986" s="5"/>
      <c r="J8986" s="5"/>
      <c r="K8986" s="5"/>
      <c r="L8986" s="5"/>
    </row>
    <row r="8987" spans="1:12" ht="12" customHeight="1" x14ac:dyDescent="0.25">
      <c r="A8987" s="6"/>
      <c r="B8987" s="1"/>
      <c r="C8987" s="5"/>
      <c r="D8987" s="5"/>
      <c r="E8987" s="5"/>
      <c r="F8987" s="5"/>
      <c r="G8987" s="5"/>
      <c r="H8987" s="5"/>
      <c r="I8987" s="5"/>
      <c r="J8987" s="5"/>
      <c r="K8987" s="5"/>
      <c r="L8987" s="5"/>
    </row>
    <row r="8988" spans="1:12" ht="12" customHeight="1" x14ac:dyDescent="0.25">
      <c r="A8988" s="6"/>
      <c r="B8988" s="1"/>
      <c r="C8988" s="5"/>
      <c r="D8988" s="5"/>
      <c r="E8988" s="5"/>
      <c r="F8988" s="5"/>
      <c r="G8988" s="5"/>
      <c r="H8988" s="5"/>
      <c r="I8988" s="5"/>
      <c r="J8988" s="5"/>
      <c r="K8988" s="5"/>
      <c r="L8988" s="5"/>
    </row>
    <row r="8989" spans="1:12" ht="12" customHeight="1" x14ac:dyDescent="0.25">
      <c r="A8989" s="6"/>
      <c r="B8989" s="1"/>
      <c r="C8989" s="5"/>
      <c r="D8989" s="5"/>
      <c r="E8989" s="5"/>
      <c r="F8989" s="5"/>
      <c r="G8989" s="5"/>
      <c r="H8989" s="5"/>
      <c r="I8989" s="5"/>
      <c r="J8989" s="5"/>
      <c r="K8989" s="5"/>
      <c r="L8989" s="5"/>
    </row>
    <row r="8990" spans="1:12" ht="12" customHeight="1" x14ac:dyDescent="0.25">
      <c r="A8990" s="6"/>
      <c r="B8990" s="1"/>
      <c r="C8990" s="5"/>
      <c r="D8990" s="5"/>
      <c r="E8990" s="5"/>
      <c r="F8990" s="5"/>
      <c r="G8990" s="5"/>
      <c r="H8990" s="5"/>
      <c r="I8990" s="5"/>
      <c r="J8990" s="5"/>
      <c r="K8990" s="5"/>
      <c r="L8990" s="5"/>
    </row>
    <row r="8991" spans="1:12" ht="12" customHeight="1" x14ac:dyDescent="0.25">
      <c r="A8991" s="6"/>
      <c r="B8991" s="1"/>
      <c r="C8991" s="5"/>
      <c r="D8991" s="5"/>
      <c r="E8991" s="5"/>
      <c r="F8991" s="5"/>
      <c r="G8991" s="5"/>
      <c r="H8991" s="5"/>
      <c r="I8991" s="5"/>
      <c r="J8991" s="5"/>
      <c r="K8991" s="5"/>
      <c r="L8991" s="5"/>
    </row>
    <row r="8992" spans="1:12" ht="12" customHeight="1" x14ac:dyDescent="0.25">
      <c r="A8992" s="6"/>
      <c r="B8992" s="1"/>
      <c r="C8992" s="5"/>
      <c r="D8992" s="5"/>
      <c r="E8992" s="5"/>
      <c r="F8992" s="5"/>
      <c r="G8992" s="5"/>
      <c r="H8992" s="5"/>
      <c r="I8992" s="5"/>
      <c r="J8992" s="5"/>
      <c r="K8992" s="5"/>
      <c r="L8992" s="5"/>
    </row>
    <row r="8993" spans="1:12" ht="12" customHeight="1" x14ac:dyDescent="0.25">
      <c r="A8993" s="6"/>
      <c r="B8993" s="1"/>
      <c r="C8993" s="5"/>
      <c r="D8993" s="5"/>
      <c r="E8993" s="5"/>
      <c r="F8993" s="5"/>
      <c r="G8993" s="5"/>
      <c r="H8993" s="5"/>
      <c r="I8993" s="5"/>
      <c r="J8993" s="5"/>
      <c r="K8993" s="5"/>
      <c r="L8993" s="5"/>
    </row>
    <row r="8994" spans="1:12" ht="12" customHeight="1" x14ac:dyDescent="0.25">
      <c r="A8994" s="6"/>
      <c r="B8994" s="1"/>
      <c r="C8994" s="5"/>
      <c r="D8994" s="5"/>
      <c r="E8994" s="5"/>
      <c r="F8994" s="5"/>
      <c r="G8994" s="5"/>
      <c r="H8994" s="5"/>
      <c r="I8994" s="5"/>
      <c r="J8994" s="5"/>
      <c r="K8994" s="5"/>
      <c r="L8994" s="5"/>
    </row>
    <row r="8995" spans="1:12" ht="12" customHeight="1" x14ac:dyDescent="0.25">
      <c r="A8995" s="6"/>
      <c r="B8995" s="1"/>
      <c r="C8995" s="5"/>
      <c r="D8995" s="5"/>
      <c r="E8995" s="5"/>
      <c r="F8995" s="5"/>
      <c r="G8995" s="5"/>
      <c r="H8995" s="5"/>
      <c r="I8995" s="5"/>
      <c r="J8995" s="5"/>
      <c r="K8995" s="5"/>
      <c r="L8995" s="5"/>
    </row>
    <row r="8996" spans="1:12" ht="12" customHeight="1" x14ac:dyDescent="0.25">
      <c r="A8996" s="6"/>
      <c r="B8996" s="1"/>
      <c r="C8996" s="5"/>
      <c r="D8996" s="5"/>
      <c r="E8996" s="5"/>
      <c r="F8996" s="5"/>
      <c r="G8996" s="5"/>
      <c r="H8996" s="5"/>
      <c r="I8996" s="5"/>
      <c r="J8996" s="5"/>
      <c r="K8996" s="5"/>
      <c r="L8996" s="5"/>
    </row>
    <row r="8997" spans="1:12" ht="12" customHeight="1" x14ac:dyDescent="0.25">
      <c r="A8997" s="6"/>
      <c r="B8997" s="1"/>
      <c r="C8997" s="5"/>
      <c r="D8997" s="5"/>
      <c r="E8997" s="5"/>
      <c r="F8997" s="5"/>
      <c r="G8997" s="5"/>
      <c r="H8997" s="5"/>
      <c r="I8997" s="5"/>
      <c r="J8997" s="5"/>
      <c r="K8997" s="5"/>
      <c r="L8997" s="5"/>
    </row>
    <row r="8998" spans="1:12" ht="12" customHeight="1" x14ac:dyDescent="0.25">
      <c r="A8998" s="6"/>
      <c r="B8998" s="1"/>
      <c r="C8998" s="5"/>
      <c r="D8998" s="5"/>
      <c r="E8998" s="5"/>
      <c r="F8998" s="5"/>
      <c r="G8998" s="5"/>
      <c r="H8998" s="5"/>
      <c r="I8998" s="5"/>
      <c r="J8998" s="5"/>
      <c r="K8998" s="5"/>
      <c r="L8998" s="5"/>
    </row>
    <row r="8999" spans="1:12" ht="12" customHeight="1" x14ac:dyDescent="0.25">
      <c r="A8999" s="6"/>
      <c r="B8999" s="1"/>
      <c r="C8999" s="5"/>
      <c r="D8999" s="5"/>
      <c r="E8999" s="5"/>
      <c r="F8999" s="5"/>
      <c r="G8999" s="5"/>
      <c r="H8999" s="5"/>
      <c r="I8999" s="5"/>
      <c r="J8999" s="5"/>
      <c r="K8999" s="5"/>
      <c r="L8999" s="5"/>
    </row>
    <row r="9000" spans="1:12" ht="12" customHeight="1" x14ac:dyDescent="0.25">
      <c r="A9000" s="6"/>
      <c r="B9000" s="1"/>
      <c r="C9000" s="5"/>
      <c r="D9000" s="5"/>
      <c r="E9000" s="5"/>
      <c r="F9000" s="5"/>
      <c r="G9000" s="5"/>
      <c r="H9000" s="5"/>
      <c r="I9000" s="5"/>
      <c r="J9000" s="5"/>
      <c r="K9000" s="5"/>
      <c r="L9000" s="5"/>
    </row>
    <row r="9001" spans="1:12" ht="12" customHeight="1" x14ac:dyDescent="0.25">
      <c r="A9001" s="6"/>
      <c r="B9001" s="1"/>
      <c r="C9001" s="5"/>
      <c r="D9001" s="5"/>
      <c r="E9001" s="5"/>
      <c r="F9001" s="5"/>
      <c r="G9001" s="5"/>
      <c r="H9001" s="5"/>
      <c r="I9001" s="5"/>
      <c r="J9001" s="5"/>
      <c r="K9001" s="5"/>
      <c r="L9001" s="5"/>
    </row>
    <row r="9002" spans="1:12" ht="12" customHeight="1" x14ac:dyDescent="0.25">
      <c r="A9002" s="6"/>
      <c r="B9002" s="1"/>
      <c r="C9002" s="5"/>
      <c r="D9002" s="5"/>
      <c r="E9002" s="5"/>
      <c r="F9002" s="5"/>
      <c r="G9002" s="5"/>
      <c r="H9002" s="5"/>
      <c r="I9002" s="5"/>
      <c r="J9002" s="5"/>
      <c r="K9002" s="5"/>
      <c r="L9002" s="5"/>
    </row>
    <row r="9003" spans="1:12" ht="12" customHeight="1" x14ac:dyDescent="0.25">
      <c r="A9003" s="6"/>
      <c r="B9003" s="1"/>
      <c r="C9003" s="5"/>
      <c r="D9003" s="5"/>
      <c r="E9003" s="5"/>
      <c r="F9003" s="5"/>
      <c r="G9003" s="5"/>
      <c r="H9003" s="5"/>
      <c r="I9003" s="5"/>
      <c r="J9003" s="5"/>
      <c r="K9003" s="5"/>
      <c r="L9003" s="5"/>
    </row>
    <row r="9004" spans="1:12" ht="12" customHeight="1" x14ac:dyDescent="0.25">
      <c r="A9004" s="6"/>
      <c r="B9004" s="1"/>
      <c r="C9004" s="5"/>
      <c r="D9004" s="5"/>
      <c r="E9004" s="5"/>
      <c r="F9004" s="5"/>
      <c r="G9004" s="5"/>
      <c r="H9004" s="5"/>
      <c r="I9004" s="5"/>
      <c r="J9004" s="5"/>
      <c r="K9004" s="5"/>
      <c r="L9004" s="5"/>
    </row>
    <row r="9005" spans="1:12" ht="12" customHeight="1" x14ac:dyDescent="0.25">
      <c r="A9005" s="6"/>
      <c r="B9005" s="1"/>
      <c r="C9005" s="5"/>
      <c r="D9005" s="5"/>
      <c r="E9005" s="5"/>
      <c r="F9005" s="5"/>
      <c r="G9005" s="5"/>
      <c r="H9005" s="5"/>
      <c r="I9005" s="5"/>
      <c r="J9005" s="5"/>
      <c r="K9005" s="5"/>
      <c r="L9005" s="5"/>
    </row>
    <row r="9006" spans="1:12" ht="12" customHeight="1" x14ac:dyDescent="0.25">
      <c r="A9006" s="6"/>
      <c r="B9006" s="1"/>
      <c r="C9006" s="5"/>
      <c r="D9006" s="5"/>
      <c r="E9006" s="5"/>
      <c r="F9006" s="5"/>
      <c r="G9006" s="5"/>
      <c r="H9006" s="5"/>
      <c r="I9006" s="5"/>
      <c r="J9006" s="5"/>
      <c r="K9006" s="5"/>
      <c r="L9006" s="5"/>
    </row>
    <row r="9007" spans="1:12" ht="12" customHeight="1" x14ac:dyDescent="0.25">
      <c r="A9007" s="6"/>
      <c r="B9007" s="1"/>
      <c r="C9007" s="5"/>
      <c r="D9007" s="5"/>
      <c r="E9007" s="5"/>
      <c r="F9007" s="5"/>
      <c r="G9007" s="5"/>
      <c r="H9007" s="5"/>
      <c r="I9007" s="5"/>
      <c r="J9007" s="5"/>
      <c r="K9007" s="5"/>
      <c r="L9007" s="5"/>
    </row>
    <row r="9008" spans="1:12" ht="12" customHeight="1" x14ac:dyDescent="0.25">
      <c r="A9008" s="6"/>
      <c r="B9008" s="1"/>
      <c r="C9008" s="5"/>
      <c r="D9008" s="5"/>
      <c r="E9008" s="5"/>
      <c r="F9008" s="5"/>
      <c r="G9008" s="5"/>
      <c r="H9008" s="5"/>
      <c r="I9008" s="5"/>
      <c r="J9008" s="5"/>
      <c r="K9008" s="5"/>
      <c r="L9008" s="5"/>
    </row>
    <row r="9009" spans="1:12" ht="12" customHeight="1" x14ac:dyDescent="0.25">
      <c r="A9009" s="6"/>
      <c r="B9009" s="1"/>
      <c r="C9009" s="5"/>
      <c r="D9009" s="5"/>
      <c r="E9009" s="5"/>
      <c r="F9009" s="5"/>
      <c r="G9009" s="5"/>
      <c r="H9009" s="5"/>
      <c r="I9009" s="5"/>
      <c r="J9009" s="5"/>
      <c r="K9009" s="5"/>
      <c r="L9009" s="5"/>
    </row>
    <row r="9010" spans="1:12" ht="12" customHeight="1" x14ac:dyDescent="0.25">
      <c r="A9010" s="6"/>
      <c r="B9010" s="1"/>
      <c r="C9010" s="5"/>
      <c r="D9010" s="5"/>
      <c r="E9010" s="5"/>
      <c r="F9010" s="5"/>
      <c r="G9010" s="5"/>
      <c r="H9010" s="5"/>
      <c r="I9010" s="5"/>
      <c r="J9010" s="5"/>
      <c r="K9010" s="5"/>
      <c r="L9010" s="5"/>
    </row>
    <row r="9011" spans="1:12" ht="12" customHeight="1" x14ac:dyDescent="0.25">
      <c r="A9011" s="6"/>
      <c r="B9011" s="1"/>
      <c r="C9011" s="5"/>
      <c r="D9011" s="5"/>
      <c r="E9011" s="5"/>
      <c r="F9011" s="5"/>
      <c r="G9011" s="5"/>
      <c r="H9011" s="5"/>
      <c r="I9011" s="5"/>
      <c r="J9011" s="5"/>
      <c r="K9011" s="5"/>
      <c r="L9011" s="5"/>
    </row>
    <row r="9012" spans="1:12" ht="12" customHeight="1" x14ac:dyDescent="0.25">
      <c r="A9012" s="6"/>
      <c r="B9012" s="1"/>
      <c r="C9012" s="5"/>
      <c r="D9012" s="5"/>
      <c r="E9012" s="5"/>
      <c r="F9012" s="5"/>
      <c r="G9012" s="5"/>
      <c r="H9012" s="5"/>
      <c r="I9012" s="5"/>
      <c r="J9012" s="5"/>
      <c r="K9012" s="5"/>
      <c r="L9012" s="5"/>
    </row>
    <row r="9013" spans="1:12" ht="12" customHeight="1" x14ac:dyDescent="0.25">
      <c r="A9013" s="6"/>
      <c r="B9013" s="1"/>
      <c r="C9013" s="5"/>
      <c r="D9013" s="5"/>
      <c r="E9013" s="5"/>
      <c r="F9013" s="5"/>
      <c r="G9013" s="5"/>
      <c r="H9013" s="5"/>
      <c r="I9013" s="5"/>
      <c r="J9013" s="5"/>
      <c r="K9013" s="5"/>
      <c r="L9013" s="5"/>
    </row>
    <row r="9014" spans="1:12" ht="12" customHeight="1" x14ac:dyDescent="0.25">
      <c r="A9014" s="6"/>
      <c r="B9014" s="1"/>
      <c r="C9014" s="5"/>
      <c r="D9014" s="5"/>
      <c r="E9014" s="5"/>
      <c r="F9014" s="5"/>
      <c r="G9014" s="5"/>
      <c r="H9014" s="5"/>
      <c r="I9014" s="5"/>
      <c r="J9014" s="5"/>
      <c r="K9014" s="5"/>
      <c r="L9014" s="5"/>
    </row>
    <row r="9015" spans="1:12" ht="12" customHeight="1" x14ac:dyDescent="0.25">
      <c r="A9015" s="6"/>
      <c r="B9015" s="1"/>
      <c r="C9015" s="5"/>
      <c r="D9015" s="5"/>
      <c r="E9015" s="5"/>
      <c r="F9015" s="5"/>
      <c r="G9015" s="5"/>
      <c r="H9015" s="5"/>
      <c r="I9015" s="5"/>
      <c r="J9015" s="5"/>
      <c r="K9015" s="5"/>
      <c r="L9015" s="5"/>
    </row>
    <row r="9016" spans="1:12" ht="12" customHeight="1" x14ac:dyDescent="0.25">
      <c r="A9016" s="6"/>
      <c r="B9016" s="1"/>
      <c r="C9016" s="5"/>
      <c r="D9016" s="5"/>
      <c r="E9016" s="5"/>
      <c r="F9016" s="5"/>
      <c r="G9016" s="5"/>
      <c r="H9016" s="5"/>
      <c r="I9016" s="5"/>
      <c r="J9016" s="5"/>
      <c r="K9016" s="5"/>
      <c r="L9016" s="5"/>
    </row>
    <row r="9017" spans="1:12" ht="12" customHeight="1" x14ac:dyDescent="0.25">
      <c r="A9017" s="6"/>
      <c r="B9017" s="1"/>
      <c r="C9017" s="5"/>
      <c r="D9017" s="5"/>
      <c r="E9017" s="5"/>
      <c r="F9017" s="5"/>
      <c r="G9017" s="5"/>
      <c r="H9017" s="5"/>
      <c r="I9017" s="5"/>
      <c r="J9017" s="5"/>
      <c r="K9017" s="5"/>
      <c r="L9017" s="5"/>
    </row>
    <row r="9018" spans="1:12" ht="12" customHeight="1" x14ac:dyDescent="0.25">
      <c r="A9018" s="6"/>
      <c r="B9018" s="1"/>
      <c r="C9018" s="5"/>
      <c r="D9018" s="5"/>
      <c r="E9018" s="5"/>
      <c r="F9018" s="5"/>
      <c r="G9018" s="5"/>
      <c r="H9018" s="5"/>
      <c r="I9018" s="5"/>
      <c r="J9018" s="5"/>
      <c r="K9018" s="5"/>
      <c r="L9018" s="5"/>
    </row>
    <row r="9019" spans="1:12" ht="12" customHeight="1" x14ac:dyDescent="0.25">
      <c r="A9019" s="6"/>
      <c r="B9019" s="1"/>
      <c r="C9019" s="5"/>
      <c r="D9019" s="5"/>
      <c r="E9019" s="5"/>
      <c r="F9019" s="5"/>
      <c r="G9019" s="5"/>
      <c r="H9019" s="5"/>
      <c r="I9019" s="5"/>
      <c r="J9019" s="5"/>
      <c r="K9019" s="5"/>
      <c r="L9019" s="5"/>
    </row>
    <row r="9020" spans="1:12" ht="12" customHeight="1" x14ac:dyDescent="0.25">
      <c r="A9020" s="6"/>
      <c r="B9020" s="1"/>
      <c r="C9020" s="5"/>
      <c r="D9020" s="5"/>
      <c r="E9020" s="5"/>
      <c r="F9020" s="5"/>
      <c r="G9020" s="5"/>
      <c r="H9020" s="5"/>
      <c r="I9020" s="5"/>
      <c r="J9020" s="5"/>
      <c r="K9020" s="5"/>
      <c r="L9020" s="5"/>
    </row>
    <row r="9021" spans="1:12" ht="12" customHeight="1" x14ac:dyDescent="0.25">
      <c r="A9021" s="6"/>
      <c r="B9021" s="1"/>
      <c r="C9021" s="5"/>
      <c r="D9021" s="5"/>
      <c r="E9021" s="5"/>
      <c r="F9021" s="5"/>
      <c r="G9021" s="5"/>
      <c r="H9021" s="5"/>
      <c r="I9021" s="5"/>
      <c r="J9021" s="5"/>
      <c r="K9021" s="5"/>
      <c r="L9021" s="5"/>
    </row>
    <row r="9022" spans="1:12" ht="12" customHeight="1" x14ac:dyDescent="0.25">
      <c r="A9022" s="6"/>
      <c r="B9022" s="1"/>
      <c r="C9022" s="5"/>
      <c r="D9022" s="5"/>
      <c r="E9022" s="5"/>
      <c r="F9022" s="5"/>
      <c r="G9022" s="5"/>
      <c r="H9022" s="5"/>
      <c r="I9022" s="5"/>
      <c r="J9022" s="5"/>
      <c r="K9022" s="5"/>
      <c r="L9022" s="5"/>
    </row>
    <row r="9023" spans="1:12" ht="12" customHeight="1" x14ac:dyDescent="0.25">
      <c r="A9023" s="6"/>
      <c r="B9023" s="1"/>
      <c r="C9023" s="5"/>
      <c r="D9023" s="5"/>
      <c r="E9023" s="5"/>
      <c r="F9023" s="5"/>
      <c r="G9023" s="5"/>
      <c r="H9023" s="5"/>
      <c r="I9023" s="5"/>
      <c r="J9023" s="5"/>
      <c r="K9023" s="5"/>
      <c r="L9023" s="5"/>
    </row>
    <row r="9024" spans="1:12" ht="12" customHeight="1" x14ac:dyDescent="0.25">
      <c r="A9024" s="6"/>
      <c r="B9024" s="1"/>
      <c r="C9024" s="5"/>
      <c r="D9024" s="5"/>
      <c r="E9024" s="5"/>
      <c r="F9024" s="5"/>
      <c r="G9024" s="5"/>
      <c r="H9024" s="5"/>
      <c r="I9024" s="5"/>
      <c r="J9024" s="5"/>
      <c r="K9024" s="5"/>
      <c r="L9024" s="5"/>
    </row>
    <row r="9025" spans="1:12" ht="12" customHeight="1" x14ac:dyDescent="0.25">
      <c r="A9025" s="6"/>
      <c r="B9025" s="1"/>
      <c r="C9025" s="5"/>
      <c r="D9025" s="5"/>
      <c r="E9025" s="5"/>
      <c r="F9025" s="5"/>
      <c r="G9025" s="5"/>
      <c r="H9025" s="5"/>
      <c r="I9025" s="5"/>
      <c r="J9025" s="5"/>
      <c r="K9025" s="5"/>
      <c r="L9025" s="5"/>
    </row>
    <row r="9026" spans="1:12" ht="12" customHeight="1" x14ac:dyDescent="0.25">
      <c r="A9026" s="6"/>
      <c r="B9026" s="1"/>
      <c r="C9026" s="5"/>
      <c r="D9026" s="5"/>
      <c r="E9026" s="5"/>
      <c r="F9026" s="5"/>
      <c r="G9026" s="5"/>
      <c r="H9026" s="5"/>
      <c r="I9026" s="5"/>
      <c r="J9026" s="5"/>
      <c r="K9026" s="5"/>
      <c r="L9026" s="5"/>
    </row>
    <row r="9027" spans="1:12" ht="12" customHeight="1" x14ac:dyDescent="0.25">
      <c r="A9027" s="6"/>
      <c r="B9027" s="1"/>
      <c r="C9027" s="5"/>
      <c r="D9027" s="5"/>
      <c r="E9027" s="5"/>
      <c r="F9027" s="5"/>
      <c r="G9027" s="5"/>
      <c r="H9027" s="5"/>
      <c r="I9027" s="5"/>
      <c r="J9027" s="5"/>
      <c r="K9027" s="5"/>
      <c r="L9027" s="5"/>
    </row>
    <row r="9028" spans="1:12" ht="12" customHeight="1" x14ac:dyDescent="0.25">
      <c r="A9028" s="6"/>
      <c r="B9028" s="1"/>
      <c r="C9028" s="5"/>
      <c r="D9028" s="5"/>
      <c r="E9028" s="5"/>
      <c r="F9028" s="5"/>
      <c r="G9028" s="5"/>
      <c r="H9028" s="5"/>
      <c r="I9028" s="5"/>
      <c r="J9028" s="5"/>
      <c r="K9028" s="5"/>
      <c r="L9028" s="5"/>
    </row>
    <row r="9029" spans="1:12" ht="12" customHeight="1" x14ac:dyDescent="0.25">
      <c r="A9029" s="6"/>
      <c r="B9029" s="1"/>
      <c r="C9029" s="5"/>
      <c r="D9029" s="5"/>
      <c r="E9029" s="5"/>
      <c r="F9029" s="5"/>
      <c r="G9029" s="5"/>
      <c r="H9029" s="5"/>
      <c r="I9029" s="5"/>
      <c r="J9029" s="5"/>
      <c r="K9029" s="5"/>
      <c r="L9029" s="5"/>
    </row>
    <row r="9030" spans="1:12" ht="12" customHeight="1" x14ac:dyDescent="0.25">
      <c r="A9030" s="6"/>
      <c r="B9030" s="1"/>
      <c r="C9030" s="5"/>
      <c r="D9030" s="5"/>
      <c r="E9030" s="5"/>
      <c r="F9030" s="5"/>
      <c r="G9030" s="5"/>
      <c r="H9030" s="5"/>
      <c r="I9030" s="5"/>
      <c r="J9030" s="5"/>
      <c r="K9030" s="5"/>
      <c r="L9030" s="5"/>
    </row>
    <row r="9031" spans="1:12" ht="12" customHeight="1" x14ac:dyDescent="0.25">
      <c r="A9031" s="6"/>
      <c r="B9031" s="1"/>
      <c r="C9031" s="5"/>
      <c r="D9031" s="5"/>
      <c r="E9031" s="5"/>
      <c r="F9031" s="5"/>
      <c r="G9031" s="5"/>
      <c r="H9031" s="5"/>
      <c r="I9031" s="5"/>
      <c r="J9031" s="5"/>
      <c r="K9031" s="5"/>
      <c r="L9031" s="5"/>
    </row>
    <row r="9032" spans="1:12" ht="12" customHeight="1" x14ac:dyDescent="0.25">
      <c r="A9032" s="6"/>
      <c r="B9032" s="1"/>
      <c r="C9032" s="5"/>
      <c r="D9032" s="5"/>
      <c r="E9032" s="5"/>
      <c r="F9032" s="5"/>
      <c r="G9032" s="5"/>
      <c r="H9032" s="5"/>
      <c r="I9032" s="5"/>
      <c r="J9032" s="5"/>
      <c r="K9032" s="5"/>
      <c r="L9032" s="5"/>
    </row>
    <row r="9033" spans="1:12" ht="12" customHeight="1" x14ac:dyDescent="0.25">
      <c r="A9033" s="6"/>
      <c r="B9033" s="1"/>
      <c r="C9033" s="5"/>
      <c r="D9033" s="5"/>
      <c r="E9033" s="5"/>
      <c r="F9033" s="5"/>
      <c r="G9033" s="5"/>
      <c r="H9033" s="5"/>
      <c r="I9033" s="5"/>
      <c r="J9033" s="5"/>
      <c r="K9033" s="5"/>
      <c r="L9033" s="5"/>
    </row>
    <row r="9034" spans="1:12" ht="12" customHeight="1" x14ac:dyDescent="0.25">
      <c r="A9034" s="6"/>
      <c r="B9034" s="1"/>
      <c r="C9034" s="5"/>
      <c r="D9034" s="5"/>
      <c r="E9034" s="5"/>
      <c r="F9034" s="5"/>
      <c r="G9034" s="5"/>
      <c r="H9034" s="5"/>
      <c r="I9034" s="5"/>
      <c r="J9034" s="5"/>
      <c r="K9034" s="5"/>
      <c r="L9034" s="5"/>
    </row>
    <row r="9035" spans="1:12" ht="12" customHeight="1" x14ac:dyDescent="0.25">
      <c r="A9035" s="6"/>
      <c r="B9035" s="1"/>
      <c r="C9035" s="5"/>
      <c r="D9035" s="5"/>
      <c r="E9035" s="5"/>
      <c r="F9035" s="5"/>
      <c r="G9035" s="5"/>
      <c r="H9035" s="5"/>
      <c r="I9035" s="5"/>
      <c r="J9035" s="5"/>
      <c r="K9035" s="5"/>
      <c r="L9035" s="5"/>
    </row>
    <row r="9036" spans="1:12" ht="12" customHeight="1" x14ac:dyDescent="0.25">
      <c r="A9036" s="6"/>
      <c r="B9036" s="1"/>
      <c r="C9036" s="5"/>
      <c r="D9036" s="5"/>
      <c r="E9036" s="5"/>
      <c r="F9036" s="5"/>
      <c r="G9036" s="5"/>
      <c r="H9036" s="5"/>
      <c r="I9036" s="5"/>
      <c r="J9036" s="5"/>
      <c r="K9036" s="5"/>
      <c r="L9036" s="5"/>
    </row>
    <row r="9037" spans="1:12" ht="12" customHeight="1" x14ac:dyDescent="0.25">
      <c r="A9037" s="6"/>
      <c r="B9037" s="1"/>
      <c r="C9037" s="5"/>
      <c r="D9037" s="5"/>
      <c r="E9037" s="5"/>
      <c r="F9037" s="5"/>
      <c r="G9037" s="5"/>
      <c r="H9037" s="5"/>
      <c r="I9037" s="5"/>
      <c r="J9037" s="5"/>
      <c r="K9037" s="5"/>
      <c r="L9037" s="5"/>
    </row>
    <row r="9038" spans="1:12" ht="12" customHeight="1" x14ac:dyDescent="0.25">
      <c r="A9038" s="6"/>
      <c r="B9038" s="1"/>
      <c r="C9038" s="5"/>
      <c r="D9038" s="5"/>
      <c r="E9038" s="5"/>
      <c r="F9038" s="5"/>
      <c r="G9038" s="5"/>
      <c r="H9038" s="5"/>
      <c r="I9038" s="5"/>
      <c r="J9038" s="5"/>
      <c r="K9038" s="5"/>
      <c r="L9038" s="5"/>
    </row>
    <row r="9039" spans="1:12" ht="12" customHeight="1" x14ac:dyDescent="0.25">
      <c r="A9039" s="6"/>
      <c r="B9039" s="1"/>
      <c r="C9039" s="5"/>
      <c r="D9039" s="5"/>
      <c r="E9039" s="5"/>
      <c r="F9039" s="5"/>
      <c r="G9039" s="5"/>
      <c r="H9039" s="5"/>
      <c r="I9039" s="5"/>
      <c r="J9039" s="5"/>
      <c r="K9039" s="5"/>
      <c r="L9039" s="5"/>
    </row>
    <row r="9040" spans="1:12" ht="12" customHeight="1" x14ac:dyDescent="0.25">
      <c r="A9040" s="6"/>
      <c r="B9040" s="1"/>
      <c r="C9040" s="5"/>
      <c r="D9040" s="5"/>
      <c r="E9040" s="5"/>
      <c r="F9040" s="5"/>
      <c r="G9040" s="5"/>
      <c r="H9040" s="5"/>
      <c r="I9040" s="5"/>
      <c r="J9040" s="5"/>
      <c r="K9040" s="5"/>
      <c r="L9040" s="5"/>
    </row>
    <row r="9041" spans="1:12" ht="12" customHeight="1" x14ac:dyDescent="0.25">
      <c r="A9041" s="6"/>
      <c r="B9041" s="1"/>
      <c r="C9041" s="5"/>
      <c r="D9041" s="5"/>
      <c r="E9041" s="5"/>
      <c r="F9041" s="5"/>
      <c r="G9041" s="5"/>
      <c r="H9041" s="5"/>
      <c r="I9041" s="5"/>
      <c r="J9041" s="5"/>
      <c r="K9041" s="5"/>
      <c r="L9041" s="5"/>
    </row>
    <row r="9042" spans="1:12" ht="12" customHeight="1" x14ac:dyDescent="0.25">
      <c r="A9042" s="6"/>
      <c r="B9042" s="1"/>
      <c r="C9042" s="5"/>
      <c r="D9042" s="5"/>
      <c r="E9042" s="5"/>
      <c r="F9042" s="5"/>
      <c r="G9042" s="5"/>
      <c r="H9042" s="5"/>
      <c r="I9042" s="5"/>
      <c r="J9042" s="5"/>
      <c r="K9042" s="5"/>
      <c r="L9042" s="5"/>
    </row>
    <row r="9043" spans="1:12" ht="12" customHeight="1" x14ac:dyDescent="0.25">
      <c r="A9043" s="6"/>
      <c r="B9043" s="1"/>
      <c r="C9043" s="5"/>
      <c r="D9043" s="5"/>
      <c r="E9043" s="5"/>
      <c r="F9043" s="5"/>
      <c r="G9043" s="5"/>
      <c r="H9043" s="5"/>
      <c r="I9043" s="5"/>
      <c r="J9043" s="5"/>
      <c r="K9043" s="5"/>
      <c r="L9043" s="5"/>
    </row>
    <row r="9044" spans="1:12" ht="12" customHeight="1" x14ac:dyDescent="0.25">
      <c r="A9044" s="6"/>
      <c r="B9044" s="1"/>
      <c r="C9044" s="5"/>
      <c r="D9044" s="5"/>
      <c r="E9044" s="5"/>
      <c r="F9044" s="5"/>
      <c r="G9044" s="5"/>
      <c r="H9044" s="5"/>
      <c r="I9044" s="5"/>
      <c r="J9044" s="5"/>
      <c r="K9044" s="5"/>
      <c r="L9044" s="5"/>
    </row>
    <row r="9045" spans="1:12" ht="12" customHeight="1" x14ac:dyDescent="0.25">
      <c r="A9045" s="6"/>
      <c r="B9045" s="1"/>
      <c r="C9045" s="5"/>
      <c r="D9045" s="5"/>
      <c r="E9045" s="5"/>
      <c r="F9045" s="5"/>
      <c r="G9045" s="5"/>
      <c r="H9045" s="5"/>
      <c r="I9045" s="5"/>
      <c r="J9045" s="5"/>
      <c r="K9045" s="5"/>
      <c r="L9045" s="5"/>
    </row>
    <row r="9046" spans="1:12" ht="12" customHeight="1" x14ac:dyDescent="0.25">
      <c r="A9046" s="6"/>
      <c r="B9046" s="1"/>
      <c r="C9046" s="5"/>
      <c r="D9046" s="5"/>
      <c r="E9046" s="5"/>
      <c r="F9046" s="5"/>
      <c r="G9046" s="5"/>
      <c r="H9046" s="5"/>
      <c r="I9046" s="5"/>
      <c r="J9046" s="5"/>
      <c r="K9046" s="5"/>
      <c r="L9046" s="5"/>
    </row>
    <row r="9047" spans="1:12" ht="12" customHeight="1" x14ac:dyDescent="0.25">
      <c r="A9047" s="6"/>
      <c r="B9047" s="1"/>
      <c r="C9047" s="5"/>
      <c r="D9047" s="5"/>
      <c r="E9047" s="5"/>
      <c r="F9047" s="5"/>
      <c r="G9047" s="5"/>
      <c r="H9047" s="5"/>
      <c r="I9047" s="5"/>
      <c r="J9047" s="5"/>
      <c r="K9047" s="5"/>
      <c r="L9047" s="5"/>
    </row>
    <row r="9048" spans="1:12" ht="12" customHeight="1" x14ac:dyDescent="0.25">
      <c r="A9048" s="6"/>
      <c r="B9048" s="1"/>
      <c r="C9048" s="5"/>
      <c r="D9048" s="5"/>
      <c r="E9048" s="5"/>
      <c r="F9048" s="5"/>
      <c r="G9048" s="5"/>
      <c r="H9048" s="5"/>
      <c r="I9048" s="5"/>
      <c r="J9048" s="5"/>
      <c r="K9048" s="5"/>
      <c r="L9048" s="5"/>
    </row>
    <row r="9049" spans="1:12" ht="12" customHeight="1" x14ac:dyDescent="0.25">
      <c r="A9049" s="6"/>
      <c r="B9049" s="1"/>
      <c r="C9049" s="5"/>
      <c r="D9049" s="5"/>
      <c r="E9049" s="5"/>
      <c r="F9049" s="5"/>
      <c r="G9049" s="5"/>
      <c r="H9049" s="5"/>
      <c r="I9049" s="5"/>
      <c r="J9049" s="5"/>
      <c r="K9049" s="5"/>
      <c r="L9049" s="5"/>
    </row>
    <row r="9050" spans="1:12" ht="12" customHeight="1" x14ac:dyDescent="0.25">
      <c r="A9050" s="6"/>
      <c r="B9050" s="1"/>
      <c r="C9050" s="5"/>
      <c r="D9050" s="5"/>
      <c r="E9050" s="5"/>
      <c r="F9050" s="5"/>
      <c r="G9050" s="5"/>
      <c r="H9050" s="5"/>
      <c r="I9050" s="5"/>
      <c r="J9050" s="5"/>
      <c r="K9050" s="5"/>
      <c r="L9050" s="5"/>
    </row>
    <row r="9051" spans="1:12" ht="12" customHeight="1" x14ac:dyDescent="0.25">
      <c r="A9051" s="6"/>
      <c r="B9051" s="1"/>
      <c r="C9051" s="5"/>
      <c r="D9051" s="5"/>
      <c r="E9051" s="5"/>
      <c r="F9051" s="5"/>
      <c r="G9051" s="5"/>
      <c r="H9051" s="5"/>
      <c r="I9051" s="5"/>
      <c r="J9051" s="5"/>
      <c r="K9051" s="5"/>
      <c r="L9051" s="5"/>
    </row>
    <row r="9052" spans="1:12" ht="12" customHeight="1" x14ac:dyDescent="0.25">
      <c r="A9052" s="6"/>
      <c r="B9052" s="1"/>
      <c r="C9052" s="5"/>
      <c r="D9052" s="5"/>
      <c r="E9052" s="5"/>
      <c r="F9052" s="5"/>
      <c r="G9052" s="5"/>
      <c r="H9052" s="5"/>
      <c r="I9052" s="5"/>
      <c r="J9052" s="5"/>
      <c r="K9052" s="5"/>
      <c r="L9052" s="5"/>
    </row>
    <row r="9053" spans="1:12" ht="12" customHeight="1" x14ac:dyDescent="0.25">
      <c r="A9053" s="6"/>
      <c r="B9053" s="1"/>
      <c r="C9053" s="5"/>
      <c r="D9053" s="5"/>
      <c r="E9053" s="5"/>
      <c r="F9053" s="5"/>
      <c r="G9053" s="5"/>
      <c r="H9053" s="5"/>
      <c r="I9053" s="5"/>
      <c r="J9053" s="5"/>
      <c r="K9053" s="5"/>
      <c r="L9053" s="5"/>
    </row>
    <row r="9054" spans="1:12" ht="12" customHeight="1" x14ac:dyDescent="0.25">
      <c r="A9054" s="6"/>
      <c r="B9054" s="1"/>
      <c r="C9054" s="5"/>
      <c r="D9054" s="5"/>
      <c r="E9054" s="5"/>
      <c r="F9054" s="5"/>
      <c r="G9054" s="5"/>
      <c r="H9054" s="5"/>
      <c r="I9054" s="5"/>
      <c r="J9054" s="5"/>
      <c r="K9054" s="5"/>
      <c r="L9054" s="5"/>
    </row>
    <row r="9055" spans="1:12" ht="12" customHeight="1" x14ac:dyDescent="0.25">
      <c r="A9055" s="6"/>
      <c r="B9055" s="1"/>
      <c r="C9055" s="5"/>
      <c r="D9055" s="5"/>
      <c r="E9055" s="5"/>
      <c r="F9055" s="5"/>
      <c r="G9055" s="5"/>
      <c r="H9055" s="5"/>
      <c r="I9055" s="5"/>
      <c r="J9055" s="5"/>
      <c r="K9055" s="5"/>
      <c r="L9055" s="5"/>
    </row>
    <row r="9056" spans="1:12" ht="12" customHeight="1" x14ac:dyDescent="0.25">
      <c r="A9056" s="6"/>
      <c r="B9056" s="1"/>
      <c r="C9056" s="5"/>
      <c r="D9056" s="5"/>
      <c r="E9056" s="5"/>
      <c r="F9056" s="5"/>
      <c r="G9056" s="5"/>
      <c r="H9056" s="5"/>
      <c r="I9056" s="5"/>
      <c r="J9056" s="5"/>
      <c r="K9056" s="5"/>
      <c r="L9056" s="5"/>
    </row>
    <row r="9057" spans="1:12" ht="12" customHeight="1" x14ac:dyDescent="0.25">
      <c r="A9057" s="6"/>
      <c r="B9057" s="1"/>
      <c r="C9057" s="5"/>
      <c r="D9057" s="5"/>
      <c r="E9057" s="5"/>
      <c r="F9057" s="5"/>
      <c r="G9057" s="5"/>
      <c r="H9057" s="5"/>
      <c r="I9057" s="5"/>
      <c r="J9057" s="5"/>
      <c r="K9057" s="5"/>
      <c r="L9057" s="5"/>
    </row>
    <row r="9058" spans="1:12" ht="12" customHeight="1" x14ac:dyDescent="0.25">
      <c r="A9058" s="6"/>
      <c r="B9058" s="1"/>
      <c r="C9058" s="5"/>
      <c r="D9058" s="5"/>
      <c r="E9058" s="5"/>
      <c r="F9058" s="5"/>
      <c r="G9058" s="5"/>
      <c r="H9058" s="5"/>
      <c r="I9058" s="5"/>
      <c r="J9058" s="5"/>
      <c r="K9058" s="5"/>
      <c r="L9058" s="5"/>
    </row>
    <row r="9059" spans="1:12" ht="12" customHeight="1" x14ac:dyDescent="0.25">
      <c r="A9059" s="6"/>
      <c r="B9059" s="1"/>
      <c r="C9059" s="5"/>
      <c r="D9059" s="5"/>
      <c r="E9059" s="5"/>
      <c r="F9059" s="5"/>
      <c r="G9059" s="5"/>
      <c r="H9059" s="5"/>
      <c r="I9059" s="5"/>
      <c r="J9059" s="5"/>
      <c r="K9059" s="5"/>
      <c r="L9059" s="5"/>
    </row>
    <row r="9060" spans="1:12" ht="12" customHeight="1" x14ac:dyDescent="0.25">
      <c r="A9060" s="6"/>
      <c r="B9060" s="1"/>
      <c r="C9060" s="5"/>
      <c r="D9060" s="5"/>
      <c r="E9060" s="5"/>
      <c r="F9060" s="5"/>
      <c r="G9060" s="5"/>
      <c r="H9060" s="5"/>
      <c r="I9060" s="5"/>
      <c r="J9060" s="5"/>
      <c r="K9060" s="5"/>
      <c r="L9060" s="5"/>
    </row>
    <row r="9061" spans="1:12" ht="12" customHeight="1" x14ac:dyDescent="0.25">
      <c r="A9061" s="6"/>
      <c r="B9061" s="1"/>
      <c r="C9061" s="5"/>
      <c r="D9061" s="5"/>
      <c r="E9061" s="5"/>
      <c r="F9061" s="5"/>
      <c r="G9061" s="5"/>
      <c r="H9061" s="5"/>
      <c r="I9061" s="5"/>
      <c r="J9061" s="5"/>
      <c r="K9061" s="5"/>
      <c r="L9061" s="5"/>
    </row>
    <row r="9062" spans="1:12" ht="12" customHeight="1" x14ac:dyDescent="0.25">
      <c r="A9062" s="6"/>
      <c r="B9062" s="1"/>
      <c r="C9062" s="5"/>
      <c r="D9062" s="5"/>
      <c r="E9062" s="5"/>
      <c r="F9062" s="5"/>
      <c r="G9062" s="5"/>
      <c r="H9062" s="5"/>
      <c r="I9062" s="5"/>
      <c r="J9062" s="5"/>
      <c r="K9062" s="5"/>
      <c r="L9062" s="5"/>
    </row>
    <row r="9063" spans="1:12" ht="12" customHeight="1" x14ac:dyDescent="0.25">
      <c r="A9063" s="6"/>
      <c r="B9063" s="1"/>
      <c r="C9063" s="5"/>
      <c r="D9063" s="5"/>
      <c r="E9063" s="5"/>
      <c r="F9063" s="5"/>
      <c r="G9063" s="5"/>
      <c r="H9063" s="5"/>
      <c r="I9063" s="5"/>
      <c r="J9063" s="5"/>
      <c r="K9063" s="5"/>
      <c r="L9063" s="5"/>
    </row>
    <row r="9064" spans="1:12" ht="12" customHeight="1" x14ac:dyDescent="0.25">
      <c r="A9064" s="6"/>
      <c r="B9064" s="1"/>
      <c r="C9064" s="5"/>
      <c r="D9064" s="5"/>
      <c r="E9064" s="5"/>
      <c r="F9064" s="5"/>
      <c r="G9064" s="5"/>
      <c r="H9064" s="5"/>
      <c r="I9064" s="5"/>
      <c r="J9064" s="5"/>
      <c r="K9064" s="5"/>
      <c r="L9064" s="5"/>
    </row>
    <row r="9065" spans="1:12" ht="12" customHeight="1" x14ac:dyDescent="0.25">
      <c r="A9065" s="6"/>
      <c r="B9065" s="1"/>
      <c r="C9065" s="5"/>
      <c r="D9065" s="5"/>
      <c r="E9065" s="5"/>
      <c r="F9065" s="5"/>
      <c r="G9065" s="5"/>
      <c r="H9065" s="5"/>
      <c r="I9065" s="5"/>
      <c r="J9065" s="5"/>
      <c r="K9065" s="5"/>
      <c r="L9065" s="5"/>
    </row>
    <row r="9066" spans="1:12" ht="12" customHeight="1" x14ac:dyDescent="0.25">
      <c r="A9066" s="6"/>
      <c r="B9066" s="1"/>
      <c r="C9066" s="5"/>
      <c r="D9066" s="5"/>
      <c r="E9066" s="5"/>
      <c r="F9066" s="5"/>
      <c r="G9066" s="5"/>
      <c r="H9066" s="5"/>
      <c r="I9066" s="5"/>
      <c r="J9066" s="5"/>
      <c r="K9066" s="5"/>
      <c r="L9066" s="5"/>
    </row>
    <row r="9067" spans="1:12" ht="12" customHeight="1" x14ac:dyDescent="0.25">
      <c r="A9067" s="6"/>
      <c r="B9067" s="1"/>
      <c r="C9067" s="5"/>
      <c r="D9067" s="5"/>
      <c r="E9067" s="5"/>
      <c r="F9067" s="5"/>
      <c r="G9067" s="5"/>
      <c r="H9067" s="5"/>
      <c r="I9067" s="5"/>
      <c r="J9067" s="5"/>
      <c r="K9067" s="5"/>
      <c r="L9067" s="5"/>
    </row>
    <row r="9068" spans="1:12" ht="12" customHeight="1" x14ac:dyDescent="0.25">
      <c r="A9068" s="6"/>
      <c r="B9068" s="1"/>
      <c r="C9068" s="5"/>
      <c r="D9068" s="5"/>
      <c r="E9068" s="5"/>
      <c r="F9068" s="5"/>
      <c r="G9068" s="5"/>
      <c r="H9068" s="5"/>
      <c r="I9068" s="5"/>
      <c r="J9068" s="5"/>
      <c r="K9068" s="5"/>
      <c r="L9068" s="5"/>
    </row>
    <row r="9069" spans="1:12" ht="12" customHeight="1" x14ac:dyDescent="0.25">
      <c r="A9069" s="6"/>
      <c r="B9069" s="1"/>
      <c r="C9069" s="5"/>
      <c r="D9069" s="5"/>
      <c r="E9069" s="5"/>
      <c r="F9069" s="5"/>
      <c r="G9069" s="5"/>
      <c r="H9069" s="5"/>
      <c r="I9069" s="5"/>
      <c r="J9069" s="5"/>
      <c r="K9069" s="5"/>
      <c r="L9069" s="5"/>
    </row>
    <row r="9070" spans="1:12" ht="12" customHeight="1" x14ac:dyDescent="0.25">
      <c r="A9070" s="6"/>
      <c r="B9070" s="1"/>
      <c r="C9070" s="5"/>
      <c r="D9070" s="5"/>
      <c r="E9070" s="5"/>
      <c r="F9070" s="5"/>
      <c r="G9070" s="5"/>
      <c r="H9070" s="5"/>
      <c r="I9070" s="5"/>
      <c r="J9070" s="5"/>
      <c r="K9070" s="5"/>
      <c r="L9070" s="5"/>
    </row>
    <row r="9071" spans="1:12" ht="12" customHeight="1" x14ac:dyDescent="0.25">
      <c r="A9071" s="6"/>
      <c r="B9071" s="1"/>
      <c r="C9071" s="5"/>
      <c r="D9071" s="5"/>
      <c r="E9071" s="5"/>
      <c r="F9071" s="5"/>
      <c r="G9071" s="5"/>
      <c r="H9071" s="5"/>
      <c r="I9071" s="5"/>
      <c r="J9071" s="5"/>
      <c r="K9071" s="5"/>
      <c r="L9071" s="5"/>
    </row>
    <row r="9072" spans="1:12" ht="12" customHeight="1" x14ac:dyDescent="0.25">
      <c r="A9072" s="6"/>
      <c r="B9072" s="1"/>
      <c r="C9072" s="5"/>
      <c r="D9072" s="5"/>
      <c r="E9072" s="5"/>
      <c r="F9072" s="5"/>
      <c r="G9072" s="5"/>
      <c r="H9072" s="5"/>
      <c r="I9072" s="5"/>
      <c r="J9072" s="5"/>
      <c r="K9072" s="5"/>
      <c r="L9072" s="5"/>
    </row>
    <row r="9073" spans="1:12" ht="12" customHeight="1" x14ac:dyDescent="0.25">
      <c r="A9073" s="6"/>
      <c r="B9073" s="1"/>
      <c r="C9073" s="5"/>
      <c r="D9073" s="5"/>
      <c r="E9073" s="5"/>
      <c r="F9073" s="5"/>
      <c r="G9073" s="5"/>
      <c r="H9073" s="5"/>
      <c r="I9073" s="5"/>
      <c r="J9073" s="5"/>
      <c r="K9073" s="5"/>
      <c r="L9073" s="5"/>
    </row>
    <row r="9074" spans="1:12" ht="12" customHeight="1" x14ac:dyDescent="0.25">
      <c r="A9074" s="6"/>
      <c r="B9074" s="1"/>
      <c r="C9074" s="5"/>
      <c r="D9074" s="5"/>
      <c r="E9074" s="5"/>
      <c r="F9074" s="5"/>
      <c r="G9074" s="5"/>
      <c r="H9074" s="5"/>
      <c r="I9074" s="5"/>
      <c r="J9074" s="5"/>
      <c r="K9074" s="5"/>
      <c r="L9074" s="5"/>
    </row>
    <row r="9075" spans="1:12" ht="12" customHeight="1" x14ac:dyDescent="0.25">
      <c r="A9075" s="6"/>
      <c r="B9075" s="1"/>
      <c r="C9075" s="5"/>
      <c r="D9075" s="5"/>
      <c r="E9075" s="5"/>
      <c r="F9075" s="5"/>
      <c r="G9075" s="5"/>
      <c r="H9075" s="5"/>
      <c r="I9075" s="5"/>
      <c r="J9075" s="5"/>
      <c r="K9075" s="5"/>
      <c r="L9075" s="5"/>
    </row>
    <row r="9076" spans="1:12" ht="12" customHeight="1" x14ac:dyDescent="0.25">
      <c r="A9076" s="6"/>
      <c r="B9076" s="1"/>
      <c r="C9076" s="5"/>
      <c r="D9076" s="5"/>
      <c r="E9076" s="5"/>
      <c r="F9076" s="5"/>
      <c r="G9076" s="5"/>
      <c r="H9076" s="5"/>
      <c r="I9076" s="5"/>
      <c r="J9076" s="5"/>
      <c r="K9076" s="5"/>
      <c r="L9076" s="5"/>
    </row>
    <row r="9077" spans="1:12" ht="12" customHeight="1" x14ac:dyDescent="0.25">
      <c r="A9077" s="6"/>
      <c r="B9077" s="1"/>
      <c r="C9077" s="5"/>
      <c r="D9077" s="5"/>
      <c r="E9077" s="5"/>
      <c r="F9077" s="5"/>
      <c r="G9077" s="5"/>
      <c r="H9077" s="5"/>
      <c r="I9077" s="5"/>
      <c r="J9077" s="5"/>
      <c r="K9077" s="5"/>
      <c r="L9077" s="5"/>
    </row>
    <row r="9078" spans="1:12" ht="12" customHeight="1" x14ac:dyDescent="0.25">
      <c r="A9078" s="6"/>
      <c r="B9078" s="1"/>
      <c r="C9078" s="5"/>
      <c r="D9078" s="5"/>
      <c r="E9078" s="5"/>
      <c r="F9078" s="5"/>
      <c r="G9078" s="5"/>
      <c r="H9078" s="5"/>
      <c r="I9078" s="5"/>
      <c r="J9078" s="5"/>
      <c r="K9078" s="5"/>
      <c r="L9078" s="5"/>
    </row>
    <row r="9079" spans="1:12" ht="12" customHeight="1" x14ac:dyDescent="0.25">
      <c r="A9079" s="6"/>
      <c r="B9079" s="1"/>
      <c r="C9079" s="5"/>
      <c r="D9079" s="5"/>
      <c r="E9079" s="5"/>
      <c r="F9079" s="5"/>
      <c r="G9079" s="5"/>
      <c r="H9079" s="5"/>
      <c r="I9079" s="5"/>
      <c r="J9079" s="5"/>
      <c r="K9079" s="5"/>
      <c r="L9079" s="5"/>
    </row>
    <row r="9080" spans="1:12" ht="12" customHeight="1" x14ac:dyDescent="0.25">
      <c r="A9080" s="6"/>
      <c r="B9080" s="1"/>
      <c r="C9080" s="5"/>
      <c r="D9080" s="5"/>
      <c r="E9080" s="5"/>
      <c r="F9080" s="5"/>
      <c r="G9080" s="5"/>
      <c r="H9080" s="5"/>
      <c r="I9080" s="5"/>
      <c r="J9080" s="5"/>
      <c r="K9080" s="5"/>
      <c r="L9080" s="5"/>
    </row>
    <row r="9081" spans="1:12" ht="12" customHeight="1" x14ac:dyDescent="0.25">
      <c r="A9081" s="6"/>
      <c r="B9081" s="1"/>
      <c r="C9081" s="5"/>
      <c r="D9081" s="5"/>
      <c r="E9081" s="5"/>
      <c r="F9081" s="5"/>
      <c r="G9081" s="5"/>
      <c r="H9081" s="5"/>
      <c r="I9081" s="5"/>
      <c r="J9081" s="5"/>
      <c r="K9081" s="5"/>
      <c r="L9081" s="5"/>
    </row>
    <row r="9082" spans="1:12" ht="12" customHeight="1" x14ac:dyDescent="0.25">
      <c r="A9082" s="6"/>
      <c r="B9082" s="1"/>
      <c r="C9082" s="5"/>
      <c r="D9082" s="5"/>
      <c r="E9082" s="5"/>
      <c r="F9082" s="5"/>
      <c r="G9082" s="5"/>
      <c r="H9082" s="5"/>
      <c r="I9082" s="5"/>
      <c r="J9082" s="5"/>
      <c r="K9082" s="5"/>
      <c r="L9082" s="5"/>
    </row>
    <row r="9083" spans="1:12" ht="12" customHeight="1" x14ac:dyDescent="0.25">
      <c r="A9083" s="6"/>
      <c r="B9083" s="1"/>
      <c r="C9083" s="5"/>
      <c r="D9083" s="5"/>
      <c r="E9083" s="5"/>
      <c r="F9083" s="5"/>
      <c r="G9083" s="5"/>
      <c r="H9083" s="5"/>
      <c r="I9083" s="5"/>
      <c r="J9083" s="5"/>
      <c r="K9083" s="5"/>
      <c r="L9083" s="5"/>
    </row>
    <row r="9084" spans="1:12" ht="12" customHeight="1" x14ac:dyDescent="0.25">
      <c r="A9084" s="6"/>
      <c r="B9084" s="1"/>
      <c r="C9084" s="5"/>
      <c r="D9084" s="5"/>
      <c r="E9084" s="5"/>
      <c r="F9084" s="5"/>
      <c r="G9084" s="5"/>
      <c r="H9084" s="5"/>
      <c r="I9084" s="5"/>
      <c r="J9084" s="5"/>
      <c r="K9084" s="5"/>
      <c r="L9084" s="5"/>
    </row>
    <row r="9085" spans="1:12" ht="12" customHeight="1" x14ac:dyDescent="0.25">
      <c r="A9085" s="6"/>
      <c r="B9085" s="1"/>
      <c r="C9085" s="5"/>
      <c r="D9085" s="5"/>
      <c r="E9085" s="5"/>
      <c r="F9085" s="5"/>
      <c r="G9085" s="5"/>
      <c r="H9085" s="5"/>
      <c r="I9085" s="5"/>
      <c r="J9085" s="5"/>
      <c r="K9085" s="5"/>
      <c r="L9085" s="5"/>
    </row>
    <row r="9086" spans="1:12" ht="12" customHeight="1" x14ac:dyDescent="0.25">
      <c r="A9086" s="6"/>
      <c r="B9086" s="1"/>
      <c r="C9086" s="5"/>
      <c r="D9086" s="5"/>
      <c r="E9086" s="5"/>
      <c r="F9086" s="5"/>
      <c r="G9086" s="5"/>
      <c r="H9086" s="5"/>
      <c r="I9086" s="5"/>
      <c r="J9086" s="5"/>
      <c r="K9086" s="5"/>
      <c r="L9086" s="5"/>
    </row>
    <row r="9087" spans="1:12" ht="12" customHeight="1" x14ac:dyDescent="0.25">
      <c r="A9087" s="6"/>
      <c r="B9087" s="1"/>
      <c r="C9087" s="5"/>
      <c r="D9087" s="5"/>
      <c r="E9087" s="5"/>
      <c r="F9087" s="5"/>
      <c r="G9087" s="5"/>
      <c r="H9087" s="5"/>
      <c r="I9087" s="5"/>
      <c r="J9087" s="5"/>
      <c r="K9087" s="5"/>
      <c r="L9087" s="5"/>
    </row>
    <row r="9088" spans="1:12" ht="12" customHeight="1" x14ac:dyDescent="0.25">
      <c r="A9088" s="6"/>
      <c r="B9088" s="1"/>
      <c r="C9088" s="5"/>
      <c r="D9088" s="5"/>
      <c r="E9088" s="5"/>
      <c r="F9088" s="5"/>
      <c r="G9088" s="5"/>
      <c r="H9088" s="5"/>
      <c r="I9088" s="5"/>
      <c r="J9088" s="5"/>
      <c r="K9088" s="5"/>
      <c r="L9088" s="5"/>
    </row>
    <row r="9089" spans="1:12" ht="12" customHeight="1" x14ac:dyDescent="0.25">
      <c r="A9089" s="6"/>
      <c r="B9089" s="1"/>
      <c r="C9089" s="5"/>
      <c r="D9089" s="5"/>
      <c r="E9089" s="5"/>
      <c r="F9089" s="5"/>
      <c r="G9089" s="5"/>
      <c r="H9089" s="5"/>
      <c r="I9089" s="5"/>
      <c r="J9089" s="5"/>
      <c r="K9089" s="5"/>
      <c r="L9089" s="5"/>
    </row>
    <row r="9090" spans="1:12" ht="12" customHeight="1" x14ac:dyDescent="0.25">
      <c r="A9090" s="6"/>
      <c r="B9090" s="1"/>
      <c r="C9090" s="5"/>
      <c r="D9090" s="5"/>
      <c r="E9090" s="5"/>
      <c r="F9090" s="5"/>
      <c r="G9090" s="5"/>
      <c r="H9090" s="5"/>
      <c r="I9090" s="5"/>
      <c r="J9090" s="5"/>
      <c r="K9090" s="5"/>
      <c r="L9090" s="5"/>
    </row>
    <row r="9091" spans="1:12" ht="12" customHeight="1" x14ac:dyDescent="0.25">
      <c r="A9091" s="6"/>
      <c r="B9091" s="1"/>
      <c r="C9091" s="5"/>
      <c r="D9091" s="5"/>
      <c r="E9091" s="5"/>
      <c r="F9091" s="5"/>
      <c r="G9091" s="5"/>
      <c r="H9091" s="5"/>
      <c r="I9091" s="5"/>
      <c r="J9091" s="5"/>
      <c r="K9091" s="5"/>
      <c r="L9091" s="5"/>
    </row>
    <row r="9092" spans="1:12" ht="12" customHeight="1" x14ac:dyDescent="0.25">
      <c r="A9092" s="6"/>
      <c r="B9092" s="1"/>
      <c r="C9092" s="5"/>
      <c r="D9092" s="5"/>
      <c r="E9092" s="5"/>
      <c r="F9092" s="5"/>
      <c r="G9092" s="5"/>
      <c r="H9092" s="5"/>
      <c r="I9092" s="5"/>
      <c r="J9092" s="5"/>
      <c r="K9092" s="5"/>
      <c r="L9092" s="5"/>
    </row>
    <row r="9093" spans="1:12" ht="12" customHeight="1" x14ac:dyDescent="0.25">
      <c r="A9093" s="6"/>
      <c r="B9093" s="1"/>
      <c r="C9093" s="5"/>
      <c r="D9093" s="5"/>
      <c r="E9093" s="5"/>
      <c r="F9093" s="5"/>
      <c r="G9093" s="5"/>
      <c r="H9093" s="5"/>
      <c r="I9093" s="5"/>
      <c r="J9093" s="5"/>
      <c r="K9093" s="5"/>
      <c r="L9093" s="5"/>
    </row>
    <row r="9094" spans="1:12" ht="12" customHeight="1" x14ac:dyDescent="0.25">
      <c r="A9094" s="6"/>
      <c r="B9094" s="1"/>
      <c r="C9094" s="5"/>
      <c r="D9094" s="5"/>
      <c r="E9094" s="5"/>
      <c r="F9094" s="5"/>
      <c r="G9094" s="5"/>
      <c r="H9094" s="5"/>
      <c r="I9094" s="5"/>
      <c r="J9094" s="5"/>
      <c r="K9094" s="5"/>
      <c r="L9094" s="5"/>
    </row>
    <row r="9095" spans="1:12" ht="12" customHeight="1" x14ac:dyDescent="0.25">
      <c r="A9095" s="6"/>
      <c r="B9095" s="1"/>
      <c r="C9095" s="5"/>
      <c r="D9095" s="5"/>
      <c r="E9095" s="5"/>
      <c r="F9095" s="5"/>
      <c r="G9095" s="5"/>
      <c r="H9095" s="5"/>
      <c r="I9095" s="5"/>
      <c r="J9095" s="5"/>
      <c r="K9095" s="5"/>
      <c r="L9095" s="5"/>
    </row>
    <row r="9096" spans="1:12" ht="12" customHeight="1" x14ac:dyDescent="0.25">
      <c r="A9096" s="6"/>
      <c r="B9096" s="1"/>
      <c r="C9096" s="5"/>
      <c r="D9096" s="5"/>
      <c r="E9096" s="5"/>
      <c r="F9096" s="5"/>
      <c r="G9096" s="5"/>
      <c r="H9096" s="5"/>
      <c r="I9096" s="5"/>
      <c r="J9096" s="5"/>
      <c r="K9096" s="5"/>
      <c r="L9096" s="5"/>
    </row>
    <row r="9097" spans="1:12" ht="12" customHeight="1" x14ac:dyDescent="0.25">
      <c r="A9097" s="6"/>
      <c r="B9097" s="1"/>
      <c r="C9097" s="5"/>
      <c r="D9097" s="5"/>
      <c r="E9097" s="5"/>
      <c r="F9097" s="5"/>
      <c r="G9097" s="5"/>
      <c r="H9097" s="5"/>
      <c r="I9097" s="5"/>
      <c r="J9097" s="5"/>
      <c r="K9097" s="5"/>
      <c r="L9097" s="5"/>
    </row>
    <row r="9098" spans="1:12" ht="12" customHeight="1" x14ac:dyDescent="0.25">
      <c r="A9098" s="6"/>
      <c r="B9098" s="1"/>
      <c r="C9098" s="5"/>
      <c r="D9098" s="5"/>
      <c r="E9098" s="5"/>
      <c r="F9098" s="5"/>
      <c r="G9098" s="5"/>
      <c r="H9098" s="5"/>
      <c r="I9098" s="5"/>
      <c r="J9098" s="5"/>
      <c r="K9098" s="5"/>
      <c r="L9098" s="5"/>
    </row>
    <row r="9099" spans="1:12" ht="12" customHeight="1" x14ac:dyDescent="0.25">
      <c r="A9099" s="6"/>
      <c r="B9099" s="1"/>
      <c r="C9099" s="5"/>
      <c r="D9099" s="5"/>
      <c r="E9099" s="5"/>
      <c r="F9099" s="5"/>
      <c r="G9099" s="5"/>
      <c r="H9099" s="5"/>
      <c r="I9099" s="5"/>
      <c r="J9099" s="5"/>
      <c r="K9099" s="5"/>
      <c r="L9099" s="5"/>
    </row>
    <row r="9100" spans="1:12" ht="12" customHeight="1" x14ac:dyDescent="0.25">
      <c r="A9100" s="6"/>
      <c r="B9100" s="1"/>
      <c r="C9100" s="5"/>
      <c r="D9100" s="5"/>
      <c r="E9100" s="5"/>
      <c r="F9100" s="5"/>
      <c r="G9100" s="5"/>
      <c r="H9100" s="5"/>
      <c r="I9100" s="5"/>
      <c r="J9100" s="5"/>
      <c r="K9100" s="5"/>
      <c r="L9100" s="5"/>
    </row>
    <row r="9101" spans="1:12" ht="12" customHeight="1" x14ac:dyDescent="0.25">
      <c r="A9101" s="6"/>
      <c r="B9101" s="1"/>
      <c r="C9101" s="5"/>
      <c r="D9101" s="5"/>
      <c r="E9101" s="5"/>
      <c r="F9101" s="5"/>
      <c r="G9101" s="5"/>
      <c r="H9101" s="5"/>
      <c r="I9101" s="5"/>
      <c r="J9101" s="5"/>
      <c r="K9101" s="5"/>
      <c r="L9101" s="5"/>
    </row>
    <row r="9102" spans="1:12" ht="12" customHeight="1" x14ac:dyDescent="0.25">
      <c r="A9102" s="6"/>
      <c r="B9102" s="1"/>
      <c r="C9102" s="5"/>
      <c r="D9102" s="5"/>
      <c r="E9102" s="5"/>
      <c r="F9102" s="5"/>
      <c r="G9102" s="5"/>
      <c r="H9102" s="5"/>
      <c r="I9102" s="5"/>
      <c r="J9102" s="5"/>
      <c r="K9102" s="5"/>
      <c r="L9102" s="5"/>
    </row>
    <row r="9103" spans="1:12" ht="12" customHeight="1" x14ac:dyDescent="0.25">
      <c r="A9103" s="6"/>
      <c r="B9103" s="1"/>
      <c r="C9103" s="5"/>
      <c r="D9103" s="5"/>
      <c r="E9103" s="5"/>
      <c r="F9103" s="5"/>
      <c r="G9103" s="5"/>
      <c r="H9103" s="5"/>
      <c r="I9103" s="5"/>
      <c r="J9103" s="5"/>
      <c r="K9103" s="5"/>
      <c r="L9103" s="5"/>
    </row>
    <row r="9104" spans="1:12" ht="12" customHeight="1" x14ac:dyDescent="0.25">
      <c r="A9104" s="6"/>
      <c r="B9104" s="1"/>
      <c r="C9104" s="5"/>
      <c r="D9104" s="5"/>
      <c r="E9104" s="5"/>
      <c r="F9104" s="5"/>
      <c r="G9104" s="5"/>
      <c r="H9104" s="5"/>
      <c r="I9104" s="5"/>
      <c r="J9104" s="5"/>
      <c r="K9104" s="5"/>
      <c r="L9104" s="5"/>
    </row>
    <row r="9105" spans="1:12" ht="12" customHeight="1" x14ac:dyDescent="0.25">
      <c r="A9105" s="6"/>
      <c r="B9105" s="1"/>
      <c r="C9105" s="5"/>
      <c r="D9105" s="5"/>
      <c r="E9105" s="5"/>
      <c r="F9105" s="5"/>
      <c r="G9105" s="5"/>
      <c r="H9105" s="5"/>
      <c r="I9105" s="5"/>
      <c r="J9105" s="5"/>
      <c r="K9105" s="5"/>
      <c r="L9105" s="5"/>
    </row>
    <row r="9106" spans="1:12" ht="12" customHeight="1" x14ac:dyDescent="0.25">
      <c r="A9106" s="6"/>
      <c r="B9106" s="1"/>
      <c r="C9106" s="5"/>
      <c r="D9106" s="5"/>
      <c r="E9106" s="5"/>
      <c r="F9106" s="5"/>
      <c r="G9106" s="5"/>
      <c r="H9106" s="5"/>
      <c r="I9106" s="5"/>
      <c r="J9106" s="5"/>
      <c r="K9106" s="5"/>
      <c r="L9106" s="5"/>
    </row>
    <row r="9107" spans="1:12" ht="12" customHeight="1" x14ac:dyDescent="0.25">
      <c r="A9107" s="6"/>
      <c r="B9107" s="1"/>
      <c r="C9107" s="5"/>
      <c r="D9107" s="5"/>
      <c r="E9107" s="5"/>
      <c r="F9107" s="5"/>
      <c r="G9107" s="5"/>
      <c r="H9107" s="5"/>
      <c r="I9107" s="5"/>
      <c r="J9107" s="5"/>
      <c r="K9107" s="5"/>
      <c r="L9107" s="5"/>
    </row>
    <row r="9108" spans="1:12" ht="12" customHeight="1" x14ac:dyDescent="0.25">
      <c r="A9108" s="6"/>
      <c r="B9108" s="1"/>
      <c r="C9108" s="5"/>
      <c r="D9108" s="5"/>
      <c r="E9108" s="5"/>
      <c r="F9108" s="5"/>
      <c r="G9108" s="5"/>
      <c r="H9108" s="5"/>
      <c r="I9108" s="5"/>
      <c r="J9108" s="5"/>
      <c r="K9108" s="5"/>
      <c r="L9108" s="5"/>
    </row>
    <row r="9109" spans="1:12" ht="12" customHeight="1" x14ac:dyDescent="0.25">
      <c r="A9109" s="6"/>
      <c r="B9109" s="1"/>
      <c r="C9109" s="5"/>
      <c r="D9109" s="5"/>
      <c r="E9109" s="5"/>
      <c r="F9109" s="5"/>
      <c r="G9109" s="5"/>
      <c r="H9109" s="5"/>
      <c r="I9109" s="5"/>
      <c r="J9109" s="5"/>
      <c r="K9109" s="5"/>
      <c r="L9109" s="5"/>
    </row>
    <row r="9110" spans="1:12" ht="12" customHeight="1" x14ac:dyDescent="0.25">
      <c r="A9110" s="6"/>
      <c r="B9110" s="1"/>
      <c r="C9110" s="5"/>
      <c r="D9110" s="5"/>
      <c r="E9110" s="5"/>
      <c r="F9110" s="5"/>
      <c r="G9110" s="5"/>
      <c r="H9110" s="5"/>
      <c r="I9110" s="5"/>
      <c r="J9110" s="5"/>
      <c r="K9110" s="5"/>
      <c r="L9110" s="5"/>
    </row>
    <row r="9111" spans="1:12" ht="12" customHeight="1" x14ac:dyDescent="0.25">
      <c r="A9111" s="6"/>
      <c r="B9111" s="1"/>
      <c r="C9111" s="5"/>
      <c r="D9111" s="5"/>
      <c r="E9111" s="5"/>
      <c r="F9111" s="5"/>
      <c r="G9111" s="5"/>
      <c r="H9111" s="5"/>
      <c r="I9111" s="5"/>
      <c r="J9111" s="5"/>
      <c r="K9111" s="5"/>
      <c r="L9111" s="5"/>
    </row>
    <row r="9112" spans="1:12" ht="12" customHeight="1" x14ac:dyDescent="0.25">
      <c r="A9112" s="6"/>
      <c r="B9112" s="1"/>
      <c r="C9112" s="5"/>
      <c r="D9112" s="5"/>
      <c r="E9112" s="5"/>
      <c r="F9112" s="5"/>
      <c r="G9112" s="5"/>
      <c r="H9112" s="5"/>
      <c r="I9112" s="5"/>
      <c r="J9112" s="5"/>
      <c r="K9112" s="5"/>
      <c r="L9112" s="5"/>
    </row>
    <row r="9113" spans="1:12" ht="12" customHeight="1" x14ac:dyDescent="0.25">
      <c r="A9113" s="6"/>
      <c r="B9113" s="1"/>
      <c r="C9113" s="5"/>
      <c r="D9113" s="5"/>
      <c r="E9113" s="5"/>
      <c r="F9113" s="5"/>
      <c r="G9113" s="5"/>
      <c r="H9113" s="5"/>
      <c r="I9113" s="5"/>
      <c r="J9113" s="5"/>
      <c r="K9113" s="5"/>
      <c r="L9113" s="5"/>
    </row>
    <row r="9114" spans="1:12" ht="12" customHeight="1" x14ac:dyDescent="0.25">
      <c r="A9114" s="6"/>
      <c r="B9114" s="1"/>
      <c r="C9114" s="5"/>
      <c r="D9114" s="5"/>
      <c r="E9114" s="5"/>
      <c r="F9114" s="5"/>
      <c r="G9114" s="5"/>
      <c r="H9114" s="5"/>
      <c r="I9114" s="5"/>
      <c r="J9114" s="5"/>
      <c r="K9114" s="5"/>
      <c r="L9114" s="5"/>
    </row>
    <row r="9115" spans="1:12" ht="12" customHeight="1" x14ac:dyDescent="0.25">
      <c r="A9115" s="6"/>
      <c r="B9115" s="1"/>
      <c r="C9115" s="5"/>
      <c r="D9115" s="5"/>
      <c r="E9115" s="5"/>
      <c r="F9115" s="5"/>
      <c r="G9115" s="5"/>
      <c r="H9115" s="5"/>
      <c r="I9115" s="5"/>
      <c r="J9115" s="5"/>
      <c r="K9115" s="5"/>
      <c r="L9115" s="5"/>
    </row>
    <row r="9116" spans="1:12" ht="12" customHeight="1" x14ac:dyDescent="0.25">
      <c r="A9116" s="6"/>
      <c r="B9116" s="1"/>
      <c r="C9116" s="5"/>
      <c r="D9116" s="5"/>
      <c r="E9116" s="5"/>
      <c r="F9116" s="5"/>
      <c r="G9116" s="5"/>
      <c r="H9116" s="5"/>
      <c r="I9116" s="5"/>
      <c r="J9116" s="5"/>
      <c r="K9116" s="5"/>
      <c r="L9116" s="5"/>
    </row>
    <row r="9117" spans="1:12" ht="12" customHeight="1" x14ac:dyDescent="0.25">
      <c r="A9117" s="6"/>
      <c r="B9117" s="1"/>
      <c r="C9117" s="5"/>
      <c r="D9117" s="5"/>
      <c r="E9117" s="5"/>
      <c r="F9117" s="5"/>
      <c r="G9117" s="5"/>
      <c r="H9117" s="5"/>
      <c r="I9117" s="5"/>
      <c r="J9117" s="5"/>
      <c r="K9117" s="5"/>
      <c r="L9117" s="5"/>
    </row>
    <row r="9118" spans="1:12" ht="12" customHeight="1" x14ac:dyDescent="0.25">
      <c r="A9118" s="6"/>
      <c r="B9118" s="1"/>
      <c r="C9118" s="5"/>
      <c r="D9118" s="5"/>
      <c r="E9118" s="5"/>
      <c r="F9118" s="5"/>
      <c r="G9118" s="5"/>
      <c r="H9118" s="5"/>
      <c r="I9118" s="5"/>
      <c r="J9118" s="5"/>
      <c r="K9118" s="5"/>
      <c r="L9118" s="5"/>
    </row>
    <row r="9119" spans="1:12" ht="12" customHeight="1" x14ac:dyDescent="0.25">
      <c r="A9119" s="6"/>
      <c r="B9119" s="1"/>
      <c r="C9119" s="5"/>
      <c r="D9119" s="5"/>
      <c r="E9119" s="5"/>
      <c r="F9119" s="5"/>
      <c r="G9119" s="5"/>
      <c r="H9119" s="5"/>
      <c r="I9119" s="5"/>
      <c r="J9119" s="5"/>
      <c r="K9119" s="5"/>
      <c r="L9119" s="5"/>
    </row>
    <row r="9120" spans="1:12" ht="12" customHeight="1" x14ac:dyDescent="0.25">
      <c r="A9120" s="6"/>
      <c r="B9120" s="1"/>
      <c r="C9120" s="5"/>
      <c r="D9120" s="5"/>
      <c r="E9120" s="5"/>
      <c r="F9120" s="5"/>
      <c r="G9120" s="5"/>
      <c r="H9120" s="5"/>
      <c r="I9120" s="5"/>
      <c r="J9120" s="5"/>
      <c r="K9120" s="5"/>
      <c r="L9120" s="5"/>
    </row>
    <row r="9121" spans="1:12" ht="12" customHeight="1" x14ac:dyDescent="0.25">
      <c r="A9121" s="6"/>
      <c r="B9121" s="1"/>
      <c r="C9121" s="5"/>
      <c r="D9121" s="5"/>
      <c r="E9121" s="5"/>
      <c r="F9121" s="5"/>
      <c r="G9121" s="5"/>
      <c r="H9121" s="5"/>
      <c r="I9121" s="5"/>
      <c r="J9121" s="5"/>
      <c r="K9121" s="5"/>
      <c r="L9121" s="5"/>
    </row>
    <row r="9122" spans="1:12" ht="12" customHeight="1" x14ac:dyDescent="0.25">
      <c r="A9122" s="6"/>
      <c r="B9122" s="1"/>
      <c r="C9122" s="5"/>
      <c r="D9122" s="5"/>
      <c r="E9122" s="5"/>
      <c r="F9122" s="5"/>
      <c r="G9122" s="5"/>
      <c r="H9122" s="5"/>
      <c r="I9122" s="5"/>
      <c r="J9122" s="5"/>
      <c r="K9122" s="5"/>
      <c r="L9122" s="5"/>
    </row>
    <row r="9123" spans="1:12" ht="12" customHeight="1" x14ac:dyDescent="0.25">
      <c r="A9123" s="6"/>
      <c r="B9123" s="1"/>
      <c r="C9123" s="5"/>
      <c r="D9123" s="5"/>
      <c r="E9123" s="5"/>
      <c r="F9123" s="5"/>
      <c r="G9123" s="5"/>
      <c r="H9123" s="5"/>
      <c r="I9123" s="5"/>
      <c r="J9123" s="5"/>
      <c r="K9123" s="5"/>
      <c r="L9123" s="5"/>
    </row>
    <row r="9124" spans="1:12" ht="12" customHeight="1" x14ac:dyDescent="0.25">
      <c r="A9124" s="6"/>
      <c r="B9124" s="1"/>
      <c r="C9124" s="5"/>
      <c r="D9124" s="5"/>
      <c r="E9124" s="5"/>
      <c r="F9124" s="5"/>
      <c r="G9124" s="5"/>
      <c r="H9124" s="5"/>
      <c r="I9124" s="5"/>
      <c r="J9124" s="5"/>
      <c r="K9124" s="5"/>
      <c r="L9124" s="5"/>
    </row>
    <row r="9125" spans="1:12" ht="12" customHeight="1" x14ac:dyDescent="0.25">
      <c r="A9125" s="6"/>
      <c r="B9125" s="1"/>
      <c r="C9125" s="5"/>
      <c r="D9125" s="5"/>
      <c r="E9125" s="5"/>
      <c r="F9125" s="5"/>
      <c r="G9125" s="5"/>
      <c r="H9125" s="5"/>
      <c r="I9125" s="5"/>
      <c r="J9125" s="5"/>
      <c r="K9125" s="5"/>
      <c r="L9125" s="5"/>
    </row>
    <row r="9126" spans="1:12" ht="12" customHeight="1" x14ac:dyDescent="0.25">
      <c r="A9126" s="6"/>
      <c r="B9126" s="1"/>
      <c r="C9126" s="5"/>
      <c r="D9126" s="5"/>
      <c r="E9126" s="5"/>
      <c r="F9126" s="5"/>
      <c r="G9126" s="5"/>
      <c r="H9126" s="5"/>
      <c r="I9126" s="5"/>
      <c r="J9126" s="5"/>
      <c r="K9126" s="5"/>
      <c r="L9126" s="5"/>
    </row>
    <row r="9127" spans="1:12" ht="12" customHeight="1" x14ac:dyDescent="0.25">
      <c r="A9127" s="6"/>
      <c r="B9127" s="1"/>
      <c r="C9127" s="5"/>
      <c r="D9127" s="5"/>
      <c r="E9127" s="5"/>
      <c r="F9127" s="5"/>
      <c r="G9127" s="5"/>
      <c r="H9127" s="5"/>
      <c r="I9127" s="5"/>
      <c r="J9127" s="5"/>
      <c r="K9127" s="5"/>
      <c r="L9127" s="5"/>
    </row>
    <row r="9128" spans="1:12" ht="12" customHeight="1" x14ac:dyDescent="0.25">
      <c r="A9128" s="6"/>
      <c r="B9128" s="1"/>
      <c r="C9128" s="5"/>
      <c r="D9128" s="5"/>
      <c r="E9128" s="5"/>
      <c r="F9128" s="5"/>
      <c r="G9128" s="5"/>
      <c r="H9128" s="5"/>
      <c r="I9128" s="5"/>
      <c r="J9128" s="5"/>
      <c r="K9128" s="5"/>
      <c r="L9128" s="5"/>
    </row>
    <row r="9129" spans="1:12" ht="12" customHeight="1" x14ac:dyDescent="0.25">
      <c r="A9129" s="6"/>
      <c r="B9129" s="1"/>
      <c r="C9129" s="5"/>
      <c r="D9129" s="5"/>
      <c r="E9129" s="5"/>
      <c r="F9129" s="5"/>
      <c r="G9129" s="5"/>
      <c r="H9129" s="5"/>
      <c r="I9129" s="5"/>
      <c r="J9129" s="5"/>
      <c r="K9129" s="5"/>
      <c r="L9129" s="5"/>
    </row>
    <row r="9130" spans="1:12" ht="12" customHeight="1" x14ac:dyDescent="0.25">
      <c r="A9130" s="6"/>
      <c r="B9130" s="1"/>
      <c r="C9130" s="5"/>
      <c r="D9130" s="5"/>
      <c r="E9130" s="5"/>
      <c r="F9130" s="5"/>
      <c r="G9130" s="5"/>
      <c r="H9130" s="5"/>
      <c r="I9130" s="5"/>
      <c r="J9130" s="5"/>
      <c r="K9130" s="5"/>
      <c r="L9130" s="5"/>
    </row>
    <row r="9131" spans="1:12" ht="12" customHeight="1" x14ac:dyDescent="0.25">
      <c r="A9131" s="6"/>
      <c r="B9131" s="1"/>
      <c r="C9131" s="5"/>
      <c r="D9131" s="5"/>
      <c r="E9131" s="5"/>
      <c r="F9131" s="5"/>
      <c r="G9131" s="5"/>
      <c r="H9131" s="5"/>
      <c r="I9131" s="5"/>
      <c r="J9131" s="5"/>
      <c r="K9131" s="5"/>
      <c r="L9131" s="5"/>
    </row>
    <row r="9132" spans="1:12" ht="12" customHeight="1" x14ac:dyDescent="0.25">
      <c r="A9132" s="6"/>
      <c r="B9132" s="1"/>
      <c r="C9132" s="5"/>
      <c r="D9132" s="5"/>
      <c r="E9132" s="5"/>
      <c r="F9132" s="5"/>
      <c r="G9132" s="5"/>
      <c r="H9132" s="5"/>
      <c r="I9132" s="5"/>
      <c r="J9132" s="5"/>
      <c r="K9132" s="5"/>
      <c r="L9132" s="5"/>
    </row>
    <row r="9133" spans="1:12" ht="12" customHeight="1" x14ac:dyDescent="0.25">
      <c r="A9133" s="6"/>
      <c r="B9133" s="1"/>
      <c r="C9133" s="5"/>
      <c r="D9133" s="5"/>
      <c r="E9133" s="5"/>
      <c r="F9133" s="5"/>
      <c r="G9133" s="5"/>
      <c r="H9133" s="5"/>
      <c r="I9133" s="5"/>
      <c r="J9133" s="5"/>
      <c r="K9133" s="5"/>
      <c r="L9133" s="5"/>
    </row>
    <row r="9134" spans="1:12" ht="12" customHeight="1" x14ac:dyDescent="0.25">
      <c r="A9134" s="6"/>
      <c r="B9134" s="1"/>
      <c r="C9134" s="5"/>
      <c r="D9134" s="5"/>
      <c r="E9134" s="5"/>
      <c r="F9134" s="5"/>
      <c r="G9134" s="5"/>
      <c r="H9134" s="5"/>
      <c r="I9134" s="5"/>
      <c r="J9134" s="5"/>
      <c r="K9134" s="5"/>
      <c r="L9134" s="5"/>
    </row>
    <row r="9135" spans="1:12" ht="12" customHeight="1" x14ac:dyDescent="0.25">
      <c r="A9135" s="6"/>
      <c r="B9135" s="1"/>
      <c r="C9135" s="5"/>
      <c r="D9135" s="5"/>
      <c r="E9135" s="5"/>
      <c r="F9135" s="5"/>
      <c r="G9135" s="5"/>
      <c r="H9135" s="5"/>
      <c r="I9135" s="5"/>
      <c r="J9135" s="5"/>
      <c r="K9135" s="5"/>
      <c r="L9135" s="5"/>
    </row>
    <row r="9136" spans="1:12" ht="12" customHeight="1" x14ac:dyDescent="0.25">
      <c r="A9136" s="6"/>
      <c r="B9136" s="1"/>
      <c r="C9136" s="5"/>
      <c r="D9136" s="5"/>
      <c r="E9136" s="5"/>
      <c r="F9136" s="5"/>
      <c r="G9136" s="5"/>
      <c r="H9136" s="5"/>
      <c r="I9136" s="5"/>
      <c r="J9136" s="5"/>
      <c r="K9136" s="5"/>
      <c r="L9136" s="5"/>
    </row>
    <row r="9137" spans="1:12" ht="12" customHeight="1" x14ac:dyDescent="0.25">
      <c r="A9137" s="6"/>
      <c r="B9137" s="1"/>
      <c r="C9137" s="5"/>
      <c r="D9137" s="5"/>
      <c r="E9137" s="5"/>
      <c r="F9137" s="5"/>
      <c r="G9137" s="5"/>
      <c r="H9137" s="5"/>
      <c r="I9137" s="5"/>
      <c r="J9137" s="5"/>
      <c r="K9137" s="5"/>
      <c r="L9137" s="5"/>
    </row>
    <row r="9138" spans="1:12" ht="12" customHeight="1" x14ac:dyDescent="0.25">
      <c r="A9138" s="6"/>
      <c r="B9138" s="1"/>
      <c r="C9138" s="5"/>
      <c r="D9138" s="5"/>
      <c r="E9138" s="5"/>
      <c r="F9138" s="5"/>
      <c r="G9138" s="5"/>
      <c r="H9138" s="5"/>
      <c r="I9138" s="5"/>
      <c r="J9138" s="5"/>
      <c r="K9138" s="5"/>
      <c r="L9138" s="5"/>
    </row>
    <row r="9139" spans="1:12" ht="12" customHeight="1" x14ac:dyDescent="0.25">
      <c r="A9139" s="6"/>
      <c r="B9139" s="1"/>
      <c r="C9139" s="5"/>
      <c r="D9139" s="5"/>
      <c r="E9139" s="5"/>
      <c r="F9139" s="5"/>
      <c r="G9139" s="5"/>
      <c r="H9139" s="5"/>
      <c r="I9139" s="5"/>
      <c r="J9139" s="5"/>
      <c r="K9139" s="5"/>
      <c r="L9139" s="5"/>
    </row>
    <row r="9140" spans="1:12" ht="12" customHeight="1" x14ac:dyDescent="0.25">
      <c r="A9140" s="6"/>
      <c r="B9140" s="1"/>
      <c r="C9140" s="5"/>
      <c r="D9140" s="5"/>
      <c r="E9140" s="5"/>
      <c r="F9140" s="5"/>
      <c r="G9140" s="5"/>
      <c r="H9140" s="5"/>
      <c r="I9140" s="5"/>
      <c r="J9140" s="5"/>
      <c r="K9140" s="5"/>
      <c r="L9140" s="5"/>
    </row>
    <row r="9141" spans="1:12" ht="12" customHeight="1" x14ac:dyDescent="0.25">
      <c r="A9141" s="6"/>
      <c r="B9141" s="1"/>
      <c r="C9141" s="5"/>
      <c r="D9141" s="5"/>
      <c r="E9141" s="5"/>
      <c r="F9141" s="5"/>
      <c r="G9141" s="5"/>
      <c r="H9141" s="5"/>
      <c r="I9141" s="5"/>
      <c r="J9141" s="5"/>
      <c r="K9141" s="5"/>
      <c r="L9141" s="5"/>
    </row>
    <row r="9142" spans="1:12" ht="12" customHeight="1" x14ac:dyDescent="0.25">
      <c r="A9142" s="6"/>
      <c r="B9142" s="1"/>
      <c r="C9142" s="5"/>
      <c r="D9142" s="5"/>
      <c r="E9142" s="5"/>
      <c r="F9142" s="5"/>
      <c r="G9142" s="5"/>
      <c r="H9142" s="5"/>
      <c r="I9142" s="5"/>
      <c r="J9142" s="5"/>
      <c r="K9142" s="5"/>
      <c r="L9142" s="5"/>
    </row>
    <row r="9143" spans="1:12" ht="12" customHeight="1" x14ac:dyDescent="0.25">
      <c r="A9143" s="6"/>
      <c r="B9143" s="1"/>
      <c r="C9143" s="5"/>
      <c r="D9143" s="5"/>
      <c r="E9143" s="5"/>
      <c r="F9143" s="5"/>
      <c r="G9143" s="5"/>
      <c r="H9143" s="5"/>
      <c r="I9143" s="5"/>
      <c r="J9143" s="5"/>
      <c r="K9143" s="5"/>
      <c r="L9143" s="5"/>
    </row>
    <row r="9144" spans="1:12" ht="12" customHeight="1" x14ac:dyDescent="0.25">
      <c r="A9144" s="6"/>
      <c r="B9144" s="1"/>
      <c r="C9144" s="5"/>
      <c r="D9144" s="5"/>
      <c r="E9144" s="5"/>
      <c r="F9144" s="5"/>
      <c r="G9144" s="5"/>
      <c r="H9144" s="5"/>
      <c r="I9144" s="5"/>
      <c r="J9144" s="5"/>
      <c r="K9144" s="5"/>
      <c r="L9144" s="5"/>
    </row>
    <row r="9145" spans="1:12" ht="12" customHeight="1" x14ac:dyDescent="0.25">
      <c r="A9145" s="6"/>
      <c r="B9145" s="1"/>
      <c r="C9145" s="5"/>
      <c r="D9145" s="5"/>
      <c r="E9145" s="5"/>
      <c r="F9145" s="5"/>
      <c r="G9145" s="5"/>
      <c r="H9145" s="5"/>
      <c r="I9145" s="5"/>
      <c r="J9145" s="5"/>
      <c r="K9145" s="5"/>
      <c r="L9145" s="5"/>
    </row>
    <row r="9146" spans="1:12" ht="12" customHeight="1" x14ac:dyDescent="0.25">
      <c r="A9146" s="6"/>
      <c r="B9146" s="1"/>
      <c r="C9146" s="5"/>
      <c r="D9146" s="5"/>
      <c r="E9146" s="5"/>
      <c r="F9146" s="5"/>
      <c r="G9146" s="5"/>
      <c r="H9146" s="5"/>
      <c r="I9146" s="5"/>
      <c r="J9146" s="5"/>
      <c r="K9146" s="5"/>
      <c r="L9146" s="5"/>
    </row>
    <row r="9147" spans="1:12" ht="12" customHeight="1" x14ac:dyDescent="0.25">
      <c r="A9147" s="6"/>
      <c r="B9147" s="1"/>
      <c r="C9147" s="5"/>
      <c r="D9147" s="5"/>
      <c r="E9147" s="5"/>
      <c r="F9147" s="5"/>
      <c r="G9147" s="5"/>
      <c r="H9147" s="5"/>
      <c r="I9147" s="5"/>
      <c r="J9147" s="5"/>
      <c r="K9147" s="5"/>
      <c r="L9147" s="5"/>
    </row>
    <row r="9148" spans="1:12" ht="12" customHeight="1" x14ac:dyDescent="0.25">
      <c r="A9148" s="6"/>
      <c r="B9148" s="1"/>
      <c r="C9148" s="5"/>
      <c r="D9148" s="5"/>
      <c r="E9148" s="5"/>
      <c r="F9148" s="5"/>
      <c r="G9148" s="5"/>
      <c r="H9148" s="5"/>
      <c r="I9148" s="5"/>
      <c r="J9148" s="5"/>
      <c r="K9148" s="5"/>
      <c r="L9148" s="5"/>
    </row>
    <row r="9149" spans="1:12" ht="12" customHeight="1" x14ac:dyDescent="0.25">
      <c r="A9149" s="6"/>
      <c r="B9149" s="1"/>
      <c r="C9149" s="5"/>
      <c r="D9149" s="5"/>
      <c r="E9149" s="5"/>
      <c r="F9149" s="5"/>
      <c r="G9149" s="5"/>
      <c r="H9149" s="5"/>
      <c r="I9149" s="5"/>
      <c r="J9149" s="5"/>
      <c r="K9149" s="5"/>
      <c r="L9149" s="5"/>
    </row>
    <row r="9150" spans="1:12" ht="12" customHeight="1" x14ac:dyDescent="0.25">
      <c r="A9150" s="6"/>
      <c r="B9150" s="1"/>
      <c r="C9150" s="5"/>
      <c r="D9150" s="5"/>
      <c r="E9150" s="5"/>
      <c r="F9150" s="5"/>
      <c r="G9150" s="5"/>
      <c r="H9150" s="5"/>
      <c r="I9150" s="5"/>
      <c r="J9150" s="5"/>
      <c r="K9150" s="5"/>
      <c r="L9150" s="5"/>
    </row>
    <row r="9151" spans="1:12" ht="12" customHeight="1" x14ac:dyDescent="0.25">
      <c r="A9151" s="6"/>
      <c r="B9151" s="1"/>
      <c r="C9151" s="5"/>
      <c r="D9151" s="5"/>
      <c r="E9151" s="5"/>
      <c r="F9151" s="5"/>
      <c r="G9151" s="5"/>
      <c r="H9151" s="5"/>
      <c r="I9151" s="5"/>
      <c r="J9151" s="5"/>
      <c r="K9151" s="5"/>
      <c r="L9151" s="5"/>
    </row>
    <row r="9152" spans="1:12" ht="12" customHeight="1" x14ac:dyDescent="0.25">
      <c r="A9152" s="6"/>
      <c r="B9152" s="1"/>
      <c r="C9152" s="5"/>
      <c r="D9152" s="5"/>
      <c r="E9152" s="5"/>
      <c r="F9152" s="5"/>
      <c r="G9152" s="5"/>
      <c r="H9152" s="5"/>
      <c r="I9152" s="5"/>
      <c r="J9152" s="5"/>
      <c r="K9152" s="5"/>
      <c r="L9152" s="5"/>
    </row>
    <row r="9153" spans="1:12" ht="12" customHeight="1" x14ac:dyDescent="0.25">
      <c r="A9153" s="6"/>
      <c r="B9153" s="1"/>
      <c r="C9153" s="5"/>
      <c r="D9153" s="5"/>
      <c r="E9153" s="5"/>
      <c r="F9153" s="5"/>
      <c r="G9153" s="5"/>
      <c r="H9153" s="5"/>
      <c r="I9153" s="5"/>
      <c r="J9153" s="5"/>
      <c r="K9153" s="5"/>
      <c r="L9153" s="5"/>
    </row>
    <row r="9154" spans="1:12" ht="12" customHeight="1" x14ac:dyDescent="0.25">
      <c r="A9154" s="6"/>
      <c r="B9154" s="1"/>
      <c r="C9154" s="5"/>
      <c r="D9154" s="5"/>
      <c r="E9154" s="5"/>
      <c r="F9154" s="5"/>
      <c r="G9154" s="5"/>
      <c r="H9154" s="5"/>
      <c r="I9154" s="5"/>
      <c r="J9154" s="5"/>
      <c r="K9154" s="5"/>
      <c r="L9154" s="5"/>
    </row>
    <row r="9155" spans="1:12" ht="12" customHeight="1" x14ac:dyDescent="0.25">
      <c r="A9155" s="6"/>
      <c r="B9155" s="1"/>
      <c r="C9155" s="5"/>
      <c r="D9155" s="5"/>
      <c r="E9155" s="5"/>
      <c r="F9155" s="5"/>
      <c r="G9155" s="5"/>
      <c r="H9155" s="5"/>
      <c r="I9155" s="5"/>
      <c r="J9155" s="5"/>
      <c r="K9155" s="5"/>
      <c r="L9155" s="5"/>
    </row>
    <row r="9156" spans="1:12" ht="12" customHeight="1" x14ac:dyDescent="0.25">
      <c r="A9156" s="6"/>
      <c r="B9156" s="1"/>
      <c r="C9156" s="5"/>
      <c r="D9156" s="5"/>
      <c r="E9156" s="5"/>
      <c r="F9156" s="5"/>
      <c r="G9156" s="5"/>
      <c r="H9156" s="5"/>
      <c r="I9156" s="5"/>
      <c r="J9156" s="5"/>
      <c r="K9156" s="5"/>
      <c r="L9156" s="5"/>
    </row>
    <row r="9157" spans="1:12" ht="12" customHeight="1" x14ac:dyDescent="0.25">
      <c r="A9157" s="6"/>
      <c r="B9157" s="1"/>
      <c r="C9157" s="5"/>
      <c r="D9157" s="5"/>
      <c r="E9157" s="5"/>
      <c r="F9157" s="5"/>
      <c r="G9157" s="5"/>
      <c r="H9157" s="5"/>
      <c r="I9157" s="5"/>
      <c r="J9157" s="5"/>
      <c r="K9157" s="5"/>
      <c r="L9157" s="5"/>
    </row>
    <row r="9158" spans="1:12" ht="12" customHeight="1" x14ac:dyDescent="0.25">
      <c r="A9158" s="6"/>
      <c r="B9158" s="1"/>
      <c r="C9158" s="5"/>
      <c r="D9158" s="5"/>
      <c r="E9158" s="5"/>
      <c r="F9158" s="5"/>
      <c r="G9158" s="5"/>
      <c r="H9158" s="5"/>
      <c r="I9158" s="5"/>
      <c r="J9158" s="5"/>
      <c r="K9158" s="5"/>
      <c r="L9158" s="5"/>
    </row>
    <row r="9159" spans="1:12" ht="12" customHeight="1" x14ac:dyDescent="0.25">
      <c r="A9159" s="6"/>
      <c r="B9159" s="1"/>
      <c r="C9159" s="5"/>
      <c r="D9159" s="5"/>
      <c r="E9159" s="5"/>
      <c r="F9159" s="5"/>
      <c r="G9159" s="5"/>
      <c r="H9159" s="5"/>
      <c r="I9159" s="5"/>
      <c r="J9159" s="5"/>
      <c r="K9159" s="5"/>
      <c r="L9159" s="5"/>
    </row>
    <row r="9160" spans="1:12" ht="12" customHeight="1" x14ac:dyDescent="0.25">
      <c r="A9160" s="6"/>
      <c r="B9160" s="1"/>
      <c r="C9160" s="5"/>
      <c r="D9160" s="5"/>
      <c r="E9160" s="5"/>
      <c r="F9160" s="5"/>
      <c r="G9160" s="5"/>
      <c r="H9160" s="5"/>
      <c r="I9160" s="5"/>
      <c r="J9160" s="5"/>
      <c r="K9160" s="5"/>
      <c r="L9160" s="5"/>
    </row>
    <row r="9161" spans="1:12" ht="12" customHeight="1" x14ac:dyDescent="0.25">
      <c r="A9161" s="6"/>
      <c r="B9161" s="1"/>
      <c r="C9161" s="5"/>
      <c r="D9161" s="5"/>
      <c r="E9161" s="5"/>
      <c r="F9161" s="5"/>
      <c r="G9161" s="5"/>
      <c r="H9161" s="5"/>
      <c r="I9161" s="5"/>
      <c r="J9161" s="5"/>
      <c r="K9161" s="5"/>
      <c r="L9161" s="5"/>
    </row>
    <row r="9162" spans="1:12" ht="12" customHeight="1" x14ac:dyDescent="0.25">
      <c r="A9162" s="6"/>
      <c r="B9162" s="1"/>
      <c r="C9162" s="5"/>
      <c r="D9162" s="5"/>
      <c r="E9162" s="5"/>
      <c r="F9162" s="5"/>
      <c r="G9162" s="5"/>
      <c r="H9162" s="5"/>
      <c r="I9162" s="5"/>
      <c r="J9162" s="5"/>
      <c r="K9162" s="5"/>
      <c r="L9162" s="5"/>
    </row>
    <row r="9163" spans="1:12" ht="12" customHeight="1" x14ac:dyDescent="0.25">
      <c r="A9163" s="6"/>
      <c r="B9163" s="1"/>
      <c r="C9163" s="5"/>
      <c r="D9163" s="5"/>
      <c r="E9163" s="5"/>
      <c r="F9163" s="5"/>
      <c r="G9163" s="5"/>
      <c r="H9163" s="5"/>
      <c r="I9163" s="5"/>
      <c r="J9163" s="5"/>
      <c r="K9163" s="5"/>
      <c r="L9163" s="5"/>
    </row>
    <row r="9164" spans="1:12" ht="12" customHeight="1" x14ac:dyDescent="0.25">
      <c r="A9164" s="6"/>
      <c r="B9164" s="1"/>
      <c r="C9164" s="5"/>
      <c r="D9164" s="5"/>
      <c r="E9164" s="5"/>
      <c r="F9164" s="5"/>
      <c r="G9164" s="5"/>
      <c r="H9164" s="5"/>
      <c r="I9164" s="5"/>
      <c r="J9164" s="5"/>
      <c r="K9164" s="5"/>
      <c r="L9164" s="5"/>
    </row>
    <row r="9165" spans="1:12" ht="12" customHeight="1" x14ac:dyDescent="0.25">
      <c r="A9165" s="6"/>
      <c r="B9165" s="1"/>
      <c r="C9165" s="5"/>
      <c r="D9165" s="5"/>
      <c r="E9165" s="5"/>
      <c r="F9165" s="5"/>
      <c r="G9165" s="5"/>
      <c r="H9165" s="5"/>
      <c r="I9165" s="5"/>
      <c r="J9165" s="5"/>
      <c r="K9165" s="5"/>
      <c r="L9165" s="5"/>
    </row>
    <row r="9166" spans="1:12" ht="12" customHeight="1" x14ac:dyDescent="0.25">
      <c r="A9166" s="6"/>
      <c r="B9166" s="1"/>
      <c r="C9166" s="5"/>
      <c r="D9166" s="5"/>
      <c r="E9166" s="5"/>
      <c r="F9166" s="5"/>
      <c r="G9166" s="5"/>
      <c r="H9166" s="5"/>
      <c r="I9166" s="5"/>
      <c r="J9166" s="5"/>
      <c r="K9166" s="5"/>
      <c r="L9166" s="5"/>
    </row>
    <row r="9167" spans="1:12" ht="12" customHeight="1" x14ac:dyDescent="0.25">
      <c r="A9167" s="6"/>
      <c r="B9167" s="1"/>
      <c r="C9167" s="5"/>
      <c r="D9167" s="5"/>
      <c r="E9167" s="5"/>
      <c r="F9167" s="5"/>
      <c r="G9167" s="5"/>
      <c r="H9167" s="5"/>
      <c r="I9167" s="5"/>
      <c r="J9167" s="5"/>
      <c r="K9167" s="5"/>
      <c r="L9167" s="5"/>
    </row>
    <row r="9168" spans="1:12" ht="12" customHeight="1" x14ac:dyDescent="0.25">
      <c r="A9168" s="6"/>
      <c r="B9168" s="1"/>
      <c r="C9168" s="5"/>
      <c r="D9168" s="5"/>
      <c r="E9168" s="5"/>
      <c r="F9168" s="5"/>
      <c r="G9168" s="5"/>
      <c r="H9168" s="5"/>
      <c r="I9168" s="5"/>
      <c r="J9168" s="5"/>
      <c r="K9168" s="5"/>
      <c r="L9168" s="5"/>
    </row>
    <row r="9169" spans="1:12" ht="12" customHeight="1" x14ac:dyDescent="0.25">
      <c r="A9169" s="6"/>
      <c r="B9169" s="1"/>
      <c r="C9169" s="5"/>
      <c r="D9169" s="5"/>
      <c r="E9169" s="5"/>
      <c r="F9169" s="5"/>
      <c r="G9169" s="5"/>
      <c r="H9169" s="5"/>
      <c r="I9169" s="5"/>
      <c r="J9169" s="5"/>
      <c r="K9169" s="5"/>
      <c r="L9169" s="5"/>
    </row>
    <row r="9170" spans="1:12" ht="12" customHeight="1" x14ac:dyDescent="0.25">
      <c r="A9170" s="6"/>
      <c r="B9170" s="1"/>
      <c r="C9170" s="5"/>
      <c r="D9170" s="5"/>
      <c r="E9170" s="5"/>
      <c r="F9170" s="5"/>
      <c r="G9170" s="5"/>
      <c r="H9170" s="5"/>
      <c r="I9170" s="5"/>
      <c r="J9170" s="5"/>
      <c r="K9170" s="5"/>
      <c r="L9170" s="5"/>
    </row>
    <row r="9171" spans="1:12" ht="12" customHeight="1" x14ac:dyDescent="0.25">
      <c r="A9171" s="6"/>
      <c r="B9171" s="1"/>
      <c r="C9171" s="5"/>
      <c r="D9171" s="5"/>
      <c r="E9171" s="5"/>
      <c r="F9171" s="5"/>
      <c r="G9171" s="5"/>
      <c r="H9171" s="5"/>
      <c r="I9171" s="5"/>
      <c r="J9171" s="5"/>
      <c r="K9171" s="5"/>
      <c r="L9171" s="5"/>
    </row>
    <row r="9172" spans="1:12" ht="12" customHeight="1" x14ac:dyDescent="0.25">
      <c r="A9172" s="6"/>
      <c r="B9172" s="1"/>
      <c r="C9172" s="5"/>
      <c r="D9172" s="5"/>
      <c r="E9172" s="5"/>
      <c r="F9172" s="5"/>
      <c r="G9172" s="5"/>
      <c r="H9172" s="5"/>
      <c r="I9172" s="5"/>
      <c r="J9172" s="5"/>
      <c r="K9172" s="5"/>
      <c r="L9172" s="5"/>
    </row>
    <row r="9173" spans="1:12" ht="12" customHeight="1" x14ac:dyDescent="0.25">
      <c r="A9173" s="6"/>
      <c r="B9173" s="1"/>
      <c r="C9173" s="5"/>
      <c r="D9173" s="5"/>
      <c r="E9173" s="5"/>
      <c r="F9173" s="5"/>
      <c r="G9173" s="5"/>
      <c r="H9173" s="5"/>
      <c r="I9173" s="5"/>
      <c r="J9173" s="5"/>
      <c r="K9173" s="5"/>
      <c r="L9173" s="5"/>
    </row>
    <row r="9174" spans="1:12" ht="12" customHeight="1" x14ac:dyDescent="0.25">
      <c r="A9174" s="6"/>
      <c r="B9174" s="1"/>
      <c r="C9174" s="5"/>
      <c r="D9174" s="5"/>
      <c r="E9174" s="5"/>
      <c r="F9174" s="5"/>
      <c r="G9174" s="5"/>
      <c r="H9174" s="5"/>
      <c r="I9174" s="5"/>
      <c r="J9174" s="5"/>
      <c r="K9174" s="5"/>
      <c r="L9174" s="5"/>
    </row>
    <row r="9175" spans="1:12" ht="12" customHeight="1" x14ac:dyDescent="0.25">
      <c r="A9175" s="6"/>
      <c r="B9175" s="1"/>
      <c r="C9175" s="5"/>
      <c r="D9175" s="5"/>
      <c r="E9175" s="5"/>
      <c r="F9175" s="5"/>
      <c r="G9175" s="5"/>
      <c r="H9175" s="5"/>
      <c r="I9175" s="5"/>
      <c r="J9175" s="5"/>
      <c r="K9175" s="5"/>
      <c r="L9175" s="5"/>
    </row>
    <row r="9176" spans="1:12" ht="12" customHeight="1" x14ac:dyDescent="0.25">
      <c r="A9176" s="6"/>
      <c r="B9176" s="1"/>
      <c r="C9176" s="5"/>
      <c r="D9176" s="5"/>
      <c r="E9176" s="5"/>
      <c r="F9176" s="5"/>
      <c r="G9176" s="5"/>
      <c r="H9176" s="5"/>
      <c r="I9176" s="5"/>
      <c r="J9176" s="5"/>
      <c r="K9176" s="5"/>
      <c r="L9176" s="5"/>
    </row>
    <row r="9177" spans="1:12" ht="12" customHeight="1" x14ac:dyDescent="0.25">
      <c r="A9177" s="6"/>
      <c r="B9177" s="1"/>
      <c r="C9177" s="5"/>
      <c r="D9177" s="5"/>
      <c r="E9177" s="5"/>
      <c r="F9177" s="5"/>
      <c r="G9177" s="5"/>
      <c r="H9177" s="5"/>
      <c r="I9177" s="5"/>
      <c r="J9177" s="5"/>
      <c r="K9177" s="5"/>
      <c r="L9177" s="5"/>
    </row>
    <row r="9178" spans="1:12" ht="12" customHeight="1" x14ac:dyDescent="0.25">
      <c r="A9178" s="6"/>
      <c r="B9178" s="1"/>
      <c r="C9178" s="5"/>
      <c r="D9178" s="5"/>
      <c r="E9178" s="5"/>
      <c r="F9178" s="5"/>
      <c r="G9178" s="5"/>
      <c r="H9178" s="5"/>
      <c r="I9178" s="5"/>
      <c r="J9178" s="5"/>
      <c r="K9178" s="5"/>
      <c r="L9178" s="5"/>
    </row>
    <row r="9179" spans="1:12" ht="12" customHeight="1" x14ac:dyDescent="0.25">
      <c r="A9179" s="6"/>
      <c r="B9179" s="1"/>
      <c r="C9179" s="5"/>
      <c r="D9179" s="5"/>
      <c r="E9179" s="5"/>
      <c r="F9179" s="5"/>
      <c r="G9179" s="5"/>
      <c r="H9179" s="5"/>
      <c r="I9179" s="5"/>
      <c r="J9179" s="5"/>
      <c r="K9179" s="5"/>
      <c r="L9179" s="5"/>
    </row>
    <row r="9180" spans="1:12" ht="12" customHeight="1" x14ac:dyDescent="0.25">
      <c r="A9180" s="6"/>
      <c r="B9180" s="1"/>
      <c r="C9180" s="5"/>
      <c r="D9180" s="5"/>
      <c r="E9180" s="5"/>
      <c r="F9180" s="5"/>
      <c r="G9180" s="5"/>
      <c r="H9180" s="5"/>
      <c r="I9180" s="5"/>
      <c r="J9180" s="5"/>
      <c r="K9180" s="5"/>
      <c r="L9180" s="5"/>
    </row>
    <row r="9181" spans="1:12" ht="12" customHeight="1" x14ac:dyDescent="0.25">
      <c r="A9181" s="6"/>
      <c r="B9181" s="1"/>
      <c r="C9181" s="5"/>
      <c r="D9181" s="5"/>
      <c r="E9181" s="5"/>
      <c r="F9181" s="5"/>
      <c r="G9181" s="5"/>
      <c r="H9181" s="5"/>
      <c r="I9181" s="5"/>
      <c r="J9181" s="5"/>
      <c r="K9181" s="5"/>
      <c r="L9181" s="5"/>
    </row>
    <row r="9182" spans="1:12" ht="12" customHeight="1" x14ac:dyDescent="0.25">
      <c r="A9182" s="6"/>
      <c r="B9182" s="1"/>
      <c r="C9182" s="5"/>
      <c r="D9182" s="5"/>
      <c r="E9182" s="5"/>
      <c r="F9182" s="5"/>
      <c r="G9182" s="5"/>
      <c r="H9182" s="5"/>
      <c r="I9182" s="5"/>
      <c r="J9182" s="5"/>
      <c r="K9182" s="5"/>
      <c r="L9182" s="5"/>
    </row>
    <row r="9183" spans="1:12" ht="12" customHeight="1" x14ac:dyDescent="0.25">
      <c r="A9183" s="6"/>
      <c r="B9183" s="1"/>
      <c r="C9183" s="5"/>
      <c r="D9183" s="5"/>
      <c r="E9183" s="5"/>
      <c r="F9183" s="5"/>
      <c r="G9183" s="5"/>
      <c r="H9183" s="5"/>
      <c r="I9183" s="5"/>
      <c r="J9183" s="5"/>
      <c r="K9183" s="5"/>
      <c r="L9183" s="5"/>
    </row>
    <row r="9184" spans="1:12" ht="12" customHeight="1" x14ac:dyDescent="0.25">
      <c r="A9184" s="6"/>
      <c r="B9184" s="1"/>
      <c r="C9184" s="5"/>
      <c r="D9184" s="5"/>
      <c r="E9184" s="5"/>
      <c r="F9184" s="5"/>
      <c r="G9184" s="5"/>
      <c r="H9184" s="5"/>
      <c r="I9184" s="5"/>
      <c r="J9184" s="5"/>
      <c r="K9184" s="5"/>
      <c r="L9184" s="5"/>
    </row>
    <row r="9185" spans="1:12" ht="12" customHeight="1" x14ac:dyDescent="0.25">
      <c r="A9185" s="6"/>
      <c r="B9185" s="1"/>
      <c r="C9185" s="5"/>
      <c r="D9185" s="5"/>
      <c r="E9185" s="5"/>
      <c r="F9185" s="5"/>
      <c r="G9185" s="5"/>
      <c r="H9185" s="5"/>
      <c r="I9185" s="5"/>
      <c r="J9185" s="5"/>
      <c r="K9185" s="5"/>
      <c r="L9185" s="5"/>
    </row>
    <row r="9186" spans="1:12" ht="12" customHeight="1" x14ac:dyDescent="0.25">
      <c r="A9186" s="6"/>
      <c r="B9186" s="1"/>
      <c r="C9186" s="5"/>
      <c r="D9186" s="5"/>
      <c r="E9186" s="5"/>
      <c r="F9186" s="5"/>
      <c r="G9186" s="5"/>
      <c r="H9186" s="5"/>
      <c r="I9186" s="5"/>
      <c r="J9186" s="5"/>
      <c r="K9186" s="5"/>
      <c r="L9186" s="5"/>
    </row>
    <row r="9187" spans="1:12" ht="12" customHeight="1" x14ac:dyDescent="0.25">
      <c r="A9187" s="6"/>
      <c r="B9187" s="1"/>
      <c r="C9187" s="5"/>
      <c r="D9187" s="5"/>
      <c r="E9187" s="5"/>
      <c r="F9187" s="5"/>
      <c r="G9187" s="5"/>
      <c r="H9187" s="5"/>
      <c r="I9187" s="5"/>
      <c r="J9187" s="5"/>
      <c r="K9187" s="5"/>
      <c r="L9187" s="5"/>
    </row>
    <row r="9188" spans="1:12" ht="12" customHeight="1" x14ac:dyDescent="0.25">
      <c r="A9188" s="6"/>
      <c r="B9188" s="1"/>
      <c r="C9188" s="5"/>
      <c r="D9188" s="5"/>
      <c r="E9188" s="5"/>
      <c r="F9188" s="5"/>
      <c r="G9188" s="5"/>
      <c r="H9188" s="5"/>
      <c r="I9188" s="5"/>
      <c r="J9188" s="5"/>
      <c r="K9188" s="5"/>
      <c r="L9188" s="5"/>
    </row>
    <row r="9189" spans="1:12" ht="12" customHeight="1" x14ac:dyDescent="0.25">
      <c r="A9189" s="6"/>
      <c r="B9189" s="1"/>
      <c r="C9189" s="5"/>
      <c r="D9189" s="5"/>
      <c r="E9189" s="5"/>
      <c r="F9189" s="5"/>
      <c r="G9189" s="5"/>
      <c r="H9189" s="5"/>
      <c r="I9189" s="5"/>
      <c r="J9189" s="5"/>
      <c r="K9189" s="5"/>
      <c r="L9189" s="5"/>
    </row>
    <row r="9190" spans="1:12" ht="12" customHeight="1" x14ac:dyDescent="0.25">
      <c r="A9190" s="6"/>
      <c r="B9190" s="1"/>
      <c r="C9190" s="5"/>
      <c r="D9190" s="5"/>
      <c r="E9190" s="5"/>
      <c r="F9190" s="5"/>
      <c r="G9190" s="5"/>
      <c r="H9190" s="5"/>
      <c r="I9190" s="5"/>
      <c r="J9190" s="5"/>
      <c r="K9190" s="5"/>
      <c r="L9190" s="5"/>
    </row>
    <row r="9191" spans="1:12" ht="12" customHeight="1" x14ac:dyDescent="0.25">
      <c r="A9191" s="6"/>
      <c r="B9191" s="1"/>
      <c r="C9191" s="5"/>
      <c r="D9191" s="5"/>
      <c r="E9191" s="5"/>
      <c r="F9191" s="5"/>
      <c r="G9191" s="5"/>
      <c r="H9191" s="5"/>
      <c r="I9191" s="5"/>
      <c r="J9191" s="5"/>
      <c r="K9191" s="5"/>
      <c r="L9191" s="5"/>
    </row>
    <row r="9192" spans="1:12" ht="12" customHeight="1" x14ac:dyDescent="0.25">
      <c r="A9192" s="6"/>
      <c r="B9192" s="1"/>
      <c r="C9192" s="5"/>
      <c r="D9192" s="5"/>
      <c r="E9192" s="5"/>
      <c r="F9192" s="5"/>
      <c r="G9192" s="5"/>
      <c r="H9192" s="5"/>
      <c r="I9192" s="5"/>
      <c r="J9192" s="5"/>
      <c r="K9192" s="5"/>
      <c r="L9192" s="5"/>
    </row>
    <row r="9193" spans="1:12" ht="12" customHeight="1" x14ac:dyDescent="0.25">
      <c r="A9193" s="6"/>
      <c r="B9193" s="1"/>
      <c r="C9193" s="5"/>
      <c r="D9193" s="5"/>
      <c r="E9193" s="5"/>
      <c r="F9193" s="5"/>
      <c r="G9193" s="5"/>
      <c r="H9193" s="5"/>
      <c r="I9193" s="5"/>
      <c r="J9193" s="5"/>
      <c r="K9193" s="5"/>
      <c r="L9193" s="5"/>
    </row>
    <row r="9194" spans="1:12" ht="12" customHeight="1" x14ac:dyDescent="0.25">
      <c r="A9194" s="6"/>
      <c r="B9194" s="1"/>
      <c r="C9194" s="5"/>
      <c r="D9194" s="5"/>
      <c r="E9194" s="5"/>
      <c r="F9194" s="5"/>
      <c r="G9194" s="5"/>
      <c r="H9194" s="5"/>
      <c r="I9194" s="5"/>
      <c r="J9194" s="5"/>
      <c r="K9194" s="5"/>
      <c r="L9194" s="5"/>
    </row>
    <row r="9195" spans="1:12" ht="12" customHeight="1" x14ac:dyDescent="0.25">
      <c r="A9195" s="6"/>
      <c r="B9195" s="1"/>
      <c r="C9195" s="5"/>
      <c r="D9195" s="5"/>
      <c r="E9195" s="5"/>
      <c r="F9195" s="5"/>
      <c r="G9195" s="5"/>
      <c r="H9195" s="5"/>
      <c r="I9195" s="5"/>
      <c r="J9195" s="5"/>
      <c r="K9195" s="5"/>
      <c r="L9195" s="5"/>
    </row>
    <row r="9196" spans="1:12" ht="12" customHeight="1" x14ac:dyDescent="0.25">
      <c r="A9196" s="6"/>
      <c r="B9196" s="1"/>
      <c r="C9196" s="5"/>
      <c r="D9196" s="5"/>
      <c r="E9196" s="5"/>
      <c r="F9196" s="5"/>
      <c r="G9196" s="5"/>
      <c r="H9196" s="5"/>
      <c r="I9196" s="5"/>
      <c r="J9196" s="5"/>
      <c r="K9196" s="5"/>
      <c r="L9196" s="5"/>
    </row>
    <row r="9197" spans="1:12" ht="12" customHeight="1" x14ac:dyDescent="0.25">
      <c r="A9197" s="6"/>
      <c r="B9197" s="1"/>
      <c r="C9197" s="5"/>
      <c r="D9197" s="5"/>
      <c r="E9197" s="5"/>
      <c r="F9197" s="5"/>
      <c r="G9197" s="5"/>
      <c r="H9197" s="5"/>
      <c r="I9197" s="5"/>
      <c r="J9197" s="5"/>
      <c r="K9197" s="5"/>
      <c r="L9197" s="5"/>
    </row>
    <row r="9198" spans="1:12" ht="12" customHeight="1" x14ac:dyDescent="0.25">
      <c r="A9198" s="6"/>
      <c r="B9198" s="1"/>
      <c r="C9198" s="5"/>
      <c r="D9198" s="5"/>
      <c r="E9198" s="5"/>
      <c r="F9198" s="5"/>
      <c r="G9198" s="5"/>
      <c r="H9198" s="5"/>
      <c r="I9198" s="5"/>
      <c r="J9198" s="5"/>
      <c r="K9198" s="5"/>
      <c r="L9198" s="5"/>
    </row>
    <row r="9199" spans="1:12" ht="12" customHeight="1" x14ac:dyDescent="0.25">
      <c r="A9199" s="6"/>
      <c r="B9199" s="1"/>
      <c r="C9199" s="5"/>
      <c r="D9199" s="5"/>
      <c r="E9199" s="5"/>
      <c r="F9199" s="5"/>
      <c r="G9199" s="5"/>
      <c r="H9199" s="5"/>
      <c r="I9199" s="5"/>
      <c r="J9199" s="5"/>
      <c r="K9199" s="5"/>
      <c r="L9199" s="5"/>
    </row>
    <row r="9200" spans="1:12" ht="12" customHeight="1" x14ac:dyDescent="0.25">
      <c r="A9200" s="6"/>
      <c r="B9200" s="1"/>
      <c r="C9200" s="5"/>
      <c r="D9200" s="5"/>
      <c r="E9200" s="5"/>
      <c r="F9200" s="5"/>
      <c r="G9200" s="5"/>
      <c r="H9200" s="5"/>
      <c r="I9200" s="5"/>
      <c r="J9200" s="5"/>
      <c r="K9200" s="5"/>
      <c r="L9200" s="5"/>
    </row>
    <row r="9201" spans="1:12" ht="12" customHeight="1" x14ac:dyDescent="0.25">
      <c r="A9201" s="6"/>
      <c r="B9201" s="1"/>
      <c r="C9201" s="5"/>
      <c r="D9201" s="5"/>
      <c r="E9201" s="5"/>
      <c r="F9201" s="5"/>
      <c r="G9201" s="5"/>
      <c r="H9201" s="5"/>
      <c r="I9201" s="5"/>
      <c r="J9201" s="5"/>
      <c r="K9201" s="5"/>
      <c r="L9201" s="5"/>
    </row>
    <row r="9202" spans="1:12" ht="12" customHeight="1" x14ac:dyDescent="0.25">
      <c r="A9202" s="6"/>
      <c r="B9202" s="1"/>
      <c r="C9202" s="5"/>
      <c r="D9202" s="5"/>
      <c r="E9202" s="5"/>
      <c r="F9202" s="5"/>
      <c r="G9202" s="5"/>
      <c r="H9202" s="5"/>
      <c r="I9202" s="5"/>
      <c r="J9202" s="5"/>
      <c r="K9202" s="5"/>
      <c r="L9202" s="5"/>
    </row>
    <row r="9203" spans="1:12" ht="12" customHeight="1" x14ac:dyDescent="0.25">
      <c r="A9203" s="6"/>
      <c r="B9203" s="1"/>
      <c r="C9203" s="5"/>
      <c r="D9203" s="5"/>
      <c r="E9203" s="5"/>
      <c r="F9203" s="5"/>
      <c r="G9203" s="5"/>
      <c r="H9203" s="5"/>
      <c r="I9203" s="5"/>
      <c r="J9203" s="5"/>
      <c r="K9203" s="5"/>
      <c r="L9203" s="5"/>
    </row>
    <row r="9204" spans="1:12" ht="12" customHeight="1" x14ac:dyDescent="0.25">
      <c r="A9204" s="6"/>
      <c r="B9204" s="1"/>
      <c r="C9204" s="5"/>
      <c r="D9204" s="5"/>
      <c r="E9204" s="5"/>
      <c r="F9204" s="5"/>
      <c r="G9204" s="5"/>
      <c r="H9204" s="5"/>
      <c r="I9204" s="5"/>
      <c r="J9204" s="5"/>
      <c r="K9204" s="5"/>
      <c r="L9204" s="5"/>
    </row>
    <row r="9205" spans="1:12" ht="12" customHeight="1" x14ac:dyDescent="0.25">
      <c r="A9205" s="6"/>
      <c r="B9205" s="1"/>
      <c r="C9205" s="5"/>
      <c r="D9205" s="5"/>
      <c r="E9205" s="5"/>
      <c r="F9205" s="5"/>
      <c r="G9205" s="5"/>
      <c r="H9205" s="5"/>
      <c r="I9205" s="5"/>
      <c r="J9205" s="5"/>
      <c r="K9205" s="5"/>
      <c r="L9205" s="5"/>
    </row>
    <row r="9206" spans="1:12" ht="12" customHeight="1" x14ac:dyDescent="0.25">
      <c r="A9206" s="6"/>
      <c r="B9206" s="1"/>
      <c r="C9206" s="5"/>
      <c r="D9206" s="5"/>
      <c r="E9206" s="5"/>
      <c r="F9206" s="5"/>
      <c r="G9206" s="5"/>
      <c r="H9206" s="5"/>
      <c r="I9206" s="5"/>
      <c r="J9206" s="5"/>
      <c r="K9206" s="5"/>
      <c r="L9206" s="5"/>
    </row>
    <row r="9207" spans="1:12" ht="12" customHeight="1" x14ac:dyDescent="0.25">
      <c r="A9207" s="6"/>
      <c r="B9207" s="1"/>
      <c r="C9207" s="5"/>
      <c r="D9207" s="5"/>
      <c r="E9207" s="5"/>
      <c r="F9207" s="5"/>
      <c r="G9207" s="5"/>
      <c r="H9207" s="5"/>
      <c r="I9207" s="5"/>
      <c r="J9207" s="5"/>
      <c r="K9207" s="5"/>
      <c r="L9207" s="5"/>
    </row>
    <row r="9208" spans="1:12" ht="12" customHeight="1" x14ac:dyDescent="0.25">
      <c r="A9208" s="6"/>
      <c r="B9208" s="1"/>
      <c r="C9208" s="5"/>
      <c r="D9208" s="5"/>
      <c r="E9208" s="5"/>
      <c r="F9208" s="5"/>
      <c r="G9208" s="5"/>
      <c r="H9208" s="5"/>
      <c r="I9208" s="5"/>
      <c r="J9208" s="5"/>
      <c r="K9208" s="5"/>
      <c r="L9208" s="5"/>
    </row>
    <row r="9209" spans="1:12" ht="12" customHeight="1" x14ac:dyDescent="0.25">
      <c r="A9209" s="6"/>
      <c r="B9209" s="1"/>
      <c r="C9209" s="5"/>
      <c r="D9209" s="5"/>
      <c r="E9209" s="5"/>
      <c r="F9209" s="5"/>
      <c r="G9209" s="5"/>
      <c r="H9209" s="5"/>
      <c r="I9209" s="5"/>
      <c r="J9209" s="5"/>
      <c r="K9209" s="5"/>
      <c r="L9209" s="5"/>
    </row>
    <row r="9210" spans="1:12" ht="12" customHeight="1" x14ac:dyDescent="0.25">
      <c r="A9210" s="6"/>
      <c r="B9210" s="1"/>
      <c r="C9210" s="5"/>
      <c r="D9210" s="5"/>
      <c r="E9210" s="5"/>
      <c r="F9210" s="5"/>
      <c r="G9210" s="5"/>
      <c r="H9210" s="5"/>
      <c r="I9210" s="5"/>
      <c r="J9210" s="5"/>
      <c r="K9210" s="5"/>
      <c r="L9210" s="5"/>
    </row>
    <row r="9211" spans="1:12" ht="12" customHeight="1" x14ac:dyDescent="0.25">
      <c r="A9211" s="6"/>
      <c r="B9211" s="1"/>
      <c r="C9211" s="5"/>
      <c r="D9211" s="5"/>
      <c r="E9211" s="5"/>
      <c r="F9211" s="5"/>
      <c r="G9211" s="5"/>
      <c r="H9211" s="5"/>
      <c r="I9211" s="5"/>
      <c r="J9211" s="5"/>
      <c r="K9211" s="5"/>
      <c r="L9211" s="5"/>
    </row>
    <row r="9212" spans="1:12" ht="12" customHeight="1" x14ac:dyDescent="0.25">
      <c r="A9212" s="6"/>
      <c r="B9212" s="1"/>
      <c r="C9212" s="5"/>
      <c r="D9212" s="5"/>
      <c r="E9212" s="5"/>
      <c r="F9212" s="5"/>
      <c r="G9212" s="5"/>
      <c r="H9212" s="5"/>
      <c r="I9212" s="5"/>
      <c r="J9212" s="5"/>
      <c r="K9212" s="5"/>
      <c r="L9212" s="5"/>
    </row>
    <row r="9213" spans="1:12" ht="12" customHeight="1" x14ac:dyDescent="0.25">
      <c r="A9213" s="6"/>
      <c r="B9213" s="1"/>
      <c r="C9213" s="5"/>
      <c r="D9213" s="5"/>
      <c r="E9213" s="5"/>
      <c r="F9213" s="5"/>
      <c r="G9213" s="5"/>
      <c r="H9213" s="5"/>
      <c r="I9213" s="5"/>
      <c r="J9213" s="5"/>
      <c r="K9213" s="5"/>
      <c r="L9213" s="5"/>
    </row>
    <row r="9214" spans="1:12" ht="12" customHeight="1" x14ac:dyDescent="0.25">
      <c r="A9214" s="6"/>
      <c r="B9214" s="1"/>
      <c r="C9214" s="5"/>
      <c r="D9214" s="5"/>
      <c r="E9214" s="5"/>
      <c r="F9214" s="5"/>
      <c r="G9214" s="5"/>
      <c r="H9214" s="5"/>
      <c r="I9214" s="5"/>
      <c r="J9214" s="5"/>
      <c r="K9214" s="5"/>
      <c r="L9214" s="5"/>
    </row>
    <row r="9215" spans="1:12" ht="12" customHeight="1" x14ac:dyDescent="0.25">
      <c r="A9215" s="6"/>
      <c r="B9215" s="1"/>
      <c r="C9215" s="5"/>
      <c r="D9215" s="5"/>
      <c r="E9215" s="5"/>
      <c r="F9215" s="5"/>
      <c r="G9215" s="5"/>
      <c r="H9215" s="5"/>
      <c r="I9215" s="5"/>
      <c r="J9215" s="5"/>
      <c r="K9215" s="5"/>
      <c r="L9215" s="5"/>
    </row>
    <row r="9216" spans="1:12" ht="12" customHeight="1" x14ac:dyDescent="0.25">
      <c r="A9216" s="6"/>
      <c r="B9216" s="1"/>
      <c r="C9216" s="5"/>
      <c r="D9216" s="5"/>
      <c r="E9216" s="5"/>
      <c r="F9216" s="5"/>
      <c r="G9216" s="5"/>
      <c r="H9216" s="5"/>
      <c r="I9216" s="5"/>
      <c r="J9216" s="5"/>
      <c r="K9216" s="5"/>
      <c r="L9216" s="5"/>
    </row>
    <row r="9217" spans="1:12" ht="12" customHeight="1" x14ac:dyDescent="0.25">
      <c r="A9217" s="6"/>
      <c r="B9217" s="1"/>
      <c r="C9217" s="5"/>
      <c r="D9217" s="5"/>
      <c r="E9217" s="5"/>
      <c r="F9217" s="5"/>
      <c r="G9217" s="5"/>
      <c r="H9217" s="5"/>
      <c r="I9217" s="5"/>
      <c r="J9217" s="5"/>
      <c r="K9217" s="5"/>
      <c r="L9217" s="5"/>
    </row>
    <row r="9218" spans="1:12" ht="12" customHeight="1" x14ac:dyDescent="0.25">
      <c r="A9218" s="6"/>
      <c r="B9218" s="1"/>
      <c r="C9218" s="5"/>
      <c r="D9218" s="5"/>
      <c r="E9218" s="5"/>
      <c r="F9218" s="5"/>
      <c r="G9218" s="5"/>
      <c r="H9218" s="5"/>
      <c r="I9218" s="5"/>
      <c r="J9218" s="5"/>
      <c r="K9218" s="5"/>
      <c r="L9218" s="5"/>
    </row>
    <row r="9219" spans="1:12" ht="12" customHeight="1" x14ac:dyDescent="0.25">
      <c r="A9219" s="6"/>
      <c r="B9219" s="1"/>
      <c r="C9219" s="5"/>
      <c r="D9219" s="5"/>
      <c r="E9219" s="5"/>
      <c r="F9219" s="5"/>
      <c r="G9219" s="5"/>
      <c r="H9219" s="5"/>
      <c r="I9219" s="5"/>
      <c r="J9219" s="5"/>
      <c r="K9219" s="5"/>
      <c r="L9219" s="5"/>
    </row>
    <row r="9220" spans="1:12" ht="12" customHeight="1" x14ac:dyDescent="0.25">
      <c r="A9220" s="6"/>
      <c r="B9220" s="1"/>
      <c r="C9220" s="5"/>
      <c r="D9220" s="5"/>
      <c r="E9220" s="5"/>
      <c r="F9220" s="5"/>
      <c r="G9220" s="5"/>
      <c r="H9220" s="5"/>
      <c r="I9220" s="5"/>
      <c r="J9220" s="5"/>
      <c r="K9220" s="5"/>
      <c r="L9220" s="5"/>
    </row>
    <row r="9221" spans="1:12" ht="12" customHeight="1" x14ac:dyDescent="0.25">
      <c r="A9221" s="6"/>
      <c r="B9221" s="1"/>
      <c r="C9221" s="5"/>
      <c r="D9221" s="5"/>
      <c r="E9221" s="5"/>
      <c r="F9221" s="5"/>
      <c r="G9221" s="5"/>
      <c r="H9221" s="5"/>
      <c r="I9221" s="5"/>
      <c r="J9221" s="5"/>
      <c r="K9221" s="5"/>
      <c r="L9221" s="5"/>
    </row>
    <row r="9222" spans="1:12" ht="12" customHeight="1" x14ac:dyDescent="0.25">
      <c r="A9222" s="6"/>
      <c r="B9222" s="1"/>
      <c r="C9222" s="5"/>
      <c r="D9222" s="5"/>
      <c r="E9222" s="5"/>
      <c r="F9222" s="5"/>
      <c r="G9222" s="5"/>
      <c r="H9222" s="5"/>
      <c r="I9222" s="5"/>
      <c r="J9222" s="5"/>
      <c r="K9222" s="5"/>
      <c r="L9222" s="5"/>
    </row>
    <row r="9223" spans="1:12" ht="12" customHeight="1" x14ac:dyDescent="0.25">
      <c r="A9223" s="6"/>
      <c r="B9223" s="1"/>
      <c r="C9223" s="5"/>
      <c r="D9223" s="5"/>
      <c r="E9223" s="5"/>
      <c r="F9223" s="5"/>
      <c r="G9223" s="5"/>
      <c r="H9223" s="5"/>
      <c r="I9223" s="5"/>
      <c r="J9223" s="5"/>
      <c r="K9223" s="5"/>
      <c r="L9223" s="5"/>
    </row>
    <row r="9224" spans="1:12" ht="12" customHeight="1" x14ac:dyDescent="0.25">
      <c r="A9224" s="6"/>
      <c r="B9224" s="1"/>
      <c r="C9224" s="5"/>
      <c r="D9224" s="5"/>
      <c r="E9224" s="5"/>
      <c r="F9224" s="5"/>
      <c r="G9224" s="5"/>
      <c r="H9224" s="5"/>
      <c r="I9224" s="5"/>
      <c r="J9224" s="5"/>
      <c r="K9224" s="5"/>
      <c r="L9224" s="5"/>
    </row>
    <row r="9225" spans="1:12" ht="12" customHeight="1" x14ac:dyDescent="0.25">
      <c r="A9225" s="6"/>
      <c r="B9225" s="1"/>
      <c r="C9225" s="5"/>
      <c r="D9225" s="5"/>
      <c r="E9225" s="5"/>
      <c r="F9225" s="5"/>
      <c r="G9225" s="5"/>
      <c r="H9225" s="5"/>
      <c r="I9225" s="5"/>
      <c r="J9225" s="5"/>
      <c r="K9225" s="5"/>
      <c r="L9225" s="5"/>
    </row>
    <row r="9226" spans="1:12" ht="12" customHeight="1" x14ac:dyDescent="0.25">
      <c r="A9226" s="6"/>
      <c r="B9226" s="1"/>
      <c r="C9226" s="5"/>
      <c r="D9226" s="5"/>
      <c r="E9226" s="5"/>
      <c r="F9226" s="5"/>
      <c r="G9226" s="5"/>
      <c r="H9226" s="5"/>
      <c r="I9226" s="5"/>
      <c r="J9226" s="5"/>
      <c r="K9226" s="5"/>
      <c r="L9226" s="5"/>
    </row>
    <row r="9227" spans="1:12" ht="12" customHeight="1" x14ac:dyDescent="0.25">
      <c r="A9227" s="6"/>
      <c r="B9227" s="1"/>
      <c r="C9227" s="5"/>
      <c r="D9227" s="5"/>
      <c r="E9227" s="5"/>
      <c r="F9227" s="5"/>
      <c r="G9227" s="5"/>
      <c r="H9227" s="5"/>
      <c r="I9227" s="5"/>
      <c r="J9227" s="5"/>
      <c r="K9227" s="5"/>
      <c r="L9227" s="5"/>
    </row>
    <row r="9228" spans="1:12" ht="12" customHeight="1" x14ac:dyDescent="0.25">
      <c r="A9228" s="6"/>
      <c r="B9228" s="1"/>
      <c r="C9228" s="5"/>
      <c r="D9228" s="5"/>
      <c r="E9228" s="5"/>
      <c r="F9228" s="5"/>
      <c r="G9228" s="5"/>
      <c r="H9228" s="5"/>
      <c r="I9228" s="5"/>
      <c r="J9228" s="5"/>
      <c r="K9228" s="5"/>
      <c r="L9228" s="5"/>
    </row>
    <row r="9229" spans="1:12" ht="12" customHeight="1" x14ac:dyDescent="0.25">
      <c r="A9229" s="6"/>
      <c r="B9229" s="1"/>
      <c r="C9229" s="5"/>
      <c r="D9229" s="5"/>
      <c r="E9229" s="5"/>
      <c r="F9229" s="5"/>
      <c r="G9229" s="5"/>
      <c r="H9229" s="5"/>
      <c r="I9229" s="5"/>
      <c r="J9229" s="5"/>
      <c r="K9229" s="5"/>
      <c r="L9229" s="5"/>
    </row>
    <row r="9230" spans="1:12" ht="12" customHeight="1" x14ac:dyDescent="0.25">
      <c r="A9230" s="6"/>
      <c r="B9230" s="1"/>
      <c r="C9230" s="5"/>
      <c r="D9230" s="5"/>
      <c r="E9230" s="5"/>
      <c r="F9230" s="5"/>
      <c r="G9230" s="5"/>
      <c r="H9230" s="5"/>
      <c r="I9230" s="5"/>
      <c r="J9230" s="5"/>
      <c r="K9230" s="5"/>
      <c r="L9230" s="5"/>
    </row>
    <row r="9231" spans="1:12" ht="12" customHeight="1" x14ac:dyDescent="0.25">
      <c r="A9231" s="6"/>
      <c r="B9231" s="1"/>
      <c r="C9231" s="5"/>
      <c r="D9231" s="5"/>
      <c r="E9231" s="5"/>
      <c r="F9231" s="5"/>
      <c r="G9231" s="5"/>
      <c r="H9231" s="5"/>
      <c r="I9231" s="5"/>
      <c r="J9231" s="5"/>
      <c r="K9231" s="5"/>
      <c r="L9231" s="5"/>
    </row>
    <row r="9232" spans="1:12" ht="12" customHeight="1" x14ac:dyDescent="0.25">
      <c r="A9232" s="6"/>
      <c r="B9232" s="1"/>
      <c r="C9232" s="5"/>
      <c r="D9232" s="5"/>
      <c r="E9232" s="5"/>
      <c r="F9232" s="5"/>
      <c r="G9232" s="5"/>
      <c r="H9232" s="5"/>
      <c r="I9232" s="5"/>
      <c r="J9232" s="5"/>
      <c r="K9232" s="5"/>
      <c r="L9232" s="5"/>
    </row>
    <row r="9233" spans="1:12" ht="12" customHeight="1" x14ac:dyDescent="0.25">
      <c r="A9233" s="6"/>
      <c r="B9233" s="1"/>
      <c r="C9233" s="5"/>
      <c r="D9233" s="5"/>
      <c r="E9233" s="5"/>
      <c r="F9233" s="5"/>
      <c r="G9233" s="5"/>
      <c r="H9233" s="5"/>
      <c r="I9233" s="5"/>
      <c r="J9233" s="5"/>
      <c r="K9233" s="5"/>
      <c r="L9233" s="5"/>
    </row>
    <row r="9234" spans="1:12" ht="12" customHeight="1" x14ac:dyDescent="0.25">
      <c r="A9234" s="6"/>
      <c r="B9234" s="1"/>
      <c r="C9234" s="5"/>
      <c r="D9234" s="5"/>
      <c r="E9234" s="5"/>
      <c r="F9234" s="5"/>
      <c r="G9234" s="5"/>
      <c r="H9234" s="5"/>
      <c r="I9234" s="5"/>
      <c r="J9234" s="5"/>
      <c r="K9234" s="5"/>
      <c r="L9234" s="5"/>
    </row>
    <row r="9235" spans="1:12" ht="12" customHeight="1" x14ac:dyDescent="0.25">
      <c r="A9235" s="6"/>
      <c r="B9235" s="1"/>
      <c r="C9235" s="5"/>
      <c r="D9235" s="5"/>
      <c r="E9235" s="5"/>
      <c r="F9235" s="5"/>
      <c r="G9235" s="5"/>
      <c r="H9235" s="5"/>
      <c r="I9235" s="5"/>
      <c r="J9235" s="5"/>
      <c r="K9235" s="5"/>
      <c r="L9235" s="5"/>
    </row>
    <row r="9236" spans="1:12" ht="12" customHeight="1" x14ac:dyDescent="0.25">
      <c r="A9236" s="6"/>
      <c r="B9236" s="1"/>
      <c r="C9236" s="5"/>
      <c r="D9236" s="5"/>
      <c r="E9236" s="5"/>
      <c r="F9236" s="5"/>
      <c r="G9236" s="5"/>
      <c r="H9236" s="5"/>
      <c r="I9236" s="5"/>
      <c r="J9236" s="5"/>
      <c r="K9236" s="5"/>
      <c r="L9236" s="5"/>
    </row>
    <row r="9237" spans="1:12" ht="12" customHeight="1" x14ac:dyDescent="0.25">
      <c r="A9237" s="6"/>
      <c r="B9237" s="1"/>
      <c r="C9237" s="5"/>
      <c r="D9237" s="5"/>
      <c r="E9237" s="5"/>
      <c r="F9237" s="5"/>
      <c r="G9237" s="5"/>
      <c r="H9237" s="5"/>
      <c r="I9237" s="5"/>
      <c r="J9237" s="5"/>
      <c r="K9237" s="5"/>
      <c r="L9237" s="5"/>
    </row>
    <row r="9238" spans="1:12" ht="12" customHeight="1" x14ac:dyDescent="0.25">
      <c r="A9238" s="6"/>
      <c r="B9238" s="1"/>
      <c r="C9238" s="5"/>
      <c r="D9238" s="5"/>
      <c r="E9238" s="5"/>
      <c r="F9238" s="5"/>
      <c r="G9238" s="5"/>
      <c r="H9238" s="5"/>
      <c r="I9238" s="5"/>
      <c r="J9238" s="5"/>
      <c r="K9238" s="5"/>
      <c r="L9238" s="5"/>
    </row>
    <row r="9239" spans="1:12" ht="12" customHeight="1" x14ac:dyDescent="0.25">
      <c r="A9239" s="6"/>
      <c r="B9239" s="1"/>
      <c r="C9239" s="5"/>
      <c r="D9239" s="5"/>
      <c r="E9239" s="5"/>
      <c r="F9239" s="5"/>
      <c r="G9239" s="5"/>
      <c r="H9239" s="5"/>
      <c r="I9239" s="5"/>
      <c r="J9239" s="5"/>
      <c r="K9239" s="5"/>
      <c r="L9239" s="5"/>
    </row>
    <row r="9240" spans="1:12" ht="12" customHeight="1" x14ac:dyDescent="0.25">
      <c r="A9240" s="6"/>
      <c r="B9240" s="1"/>
      <c r="C9240" s="5"/>
      <c r="D9240" s="5"/>
      <c r="E9240" s="5"/>
      <c r="F9240" s="5"/>
      <c r="G9240" s="5"/>
      <c r="H9240" s="5"/>
      <c r="I9240" s="5"/>
      <c r="J9240" s="5"/>
      <c r="K9240" s="5"/>
      <c r="L9240" s="5"/>
    </row>
    <row r="9241" spans="1:12" ht="12" customHeight="1" x14ac:dyDescent="0.25">
      <c r="A9241" s="6"/>
      <c r="B9241" s="1"/>
      <c r="C9241" s="5"/>
      <c r="D9241" s="5"/>
      <c r="E9241" s="5"/>
      <c r="F9241" s="5"/>
      <c r="G9241" s="5"/>
      <c r="H9241" s="5"/>
      <c r="I9241" s="5"/>
      <c r="J9241" s="5"/>
      <c r="K9241" s="5"/>
      <c r="L9241" s="5"/>
    </row>
    <row r="9242" spans="1:12" ht="12" customHeight="1" x14ac:dyDescent="0.25">
      <c r="A9242" s="6"/>
      <c r="B9242" s="1"/>
      <c r="C9242" s="5"/>
      <c r="D9242" s="5"/>
      <c r="E9242" s="5"/>
      <c r="F9242" s="5"/>
      <c r="G9242" s="5"/>
      <c r="H9242" s="5"/>
      <c r="I9242" s="5"/>
      <c r="J9242" s="5"/>
      <c r="K9242" s="5"/>
      <c r="L9242" s="5"/>
    </row>
    <row r="9243" spans="1:12" ht="12" customHeight="1" x14ac:dyDescent="0.25">
      <c r="A9243" s="6"/>
      <c r="B9243" s="1"/>
      <c r="C9243" s="5"/>
      <c r="D9243" s="5"/>
      <c r="E9243" s="5"/>
      <c r="F9243" s="5"/>
      <c r="G9243" s="5"/>
      <c r="H9243" s="5"/>
      <c r="I9243" s="5"/>
      <c r="J9243" s="5"/>
      <c r="K9243" s="5"/>
      <c r="L9243" s="5"/>
    </row>
    <row r="9244" spans="1:12" ht="12" customHeight="1" x14ac:dyDescent="0.25">
      <c r="A9244" s="6"/>
      <c r="B9244" s="1"/>
      <c r="C9244" s="5"/>
      <c r="D9244" s="5"/>
      <c r="E9244" s="5"/>
      <c r="F9244" s="5"/>
      <c r="G9244" s="5"/>
      <c r="H9244" s="5"/>
      <c r="I9244" s="5"/>
      <c r="J9244" s="5"/>
      <c r="K9244" s="5"/>
      <c r="L9244" s="5"/>
    </row>
    <row r="9245" spans="1:12" ht="12" customHeight="1" x14ac:dyDescent="0.25">
      <c r="A9245" s="6"/>
      <c r="B9245" s="1"/>
      <c r="C9245" s="5"/>
      <c r="D9245" s="5"/>
      <c r="E9245" s="5"/>
      <c r="F9245" s="5"/>
      <c r="G9245" s="5"/>
      <c r="H9245" s="5"/>
      <c r="I9245" s="5"/>
      <c r="J9245" s="5"/>
      <c r="K9245" s="5"/>
      <c r="L9245" s="5"/>
    </row>
    <row r="9246" spans="1:12" ht="12" customHeight="1" x14ac:dyDescent="0.25">
      <c r="A9246" s="6"/>
      <c r="B9246" s="1"/>
      <c r="C9246" s="5"/>
      <c r="D9246" s="5"/>
      <c r="E9246" s="5"/>
      <c r="F9246" s="5"/>
      <c r="G9246" s="5"/>
      <c r="H9246" s="5"/>
      <c r="I9246" s="5"/>
      <c r="J9246" s="5"/>
      <c r="K9246" s="5"/>
      <c r="L9246" s="5"/>
    </row>
    <row r="9247" spans="1:12" ht="12" customHeight="1" x14ac:dyDescent="0.25">
      <c r="A9247" s="6"/>
      <c r="B9247" s="1"/>
      <c r="C9247" s="5"/>
      <c r="D9247" s="5"/>
      <c r="E9247" s="5"/>
      <c r="F9247" s="5"/>
      <c r="G9247" s="5"/>
      <c r="H9247" s="5"/>
      <c r="I9247" s="5"/>
      <c r="J9247" s="5"/>
      <c r="K9247" s="5"/>
      <c r="L9247" s="5"/>
    </row>
    <row r="9248" spans="1:12" ht="12" customHeight="1" x14ac:dyDescent="0.25">
      <c r="A9248" s="6"/>
      <c r="B9248" s="1"/>
      <c r="C9248" s="5"/>
      <c r="D9248" s="5"/>
      <c r="E9248" s="5"/>
      <c r="F9248" s="5"/>
      <c r="G9248" s="5"/>
      <c r="H9248" s="5"/>
      <c r="I9248" s="5"/>
      <c r="J9248" s="5"/>
      <c r="K9248" s="5"/>
      <c r="L9248" s="5"/>
    </row>
    <row r="9249" spans="1:12" ht="12" customHeight="1" x14ac:dyDescent="0.25">
      <c r="A9249" s="6"/>
      <c r="B9249" s="1"/>
      <c r="C9249" s="5"/>
      <c r="D9249" s="5"/>
      <c r="E9249" s="5"/>
      <c r="F9249" s="5"/>
      <c r="G9249" s="5"/>
      <c r="H9249" s="5"/>
      <c r="I9249" s="5"/>
      <c r="J9249" s="5"/>
      <c r="K9249" s="5"/>
      <c r="L9249" s="5"/>
    </row>
    <row r="9250" spans="1:12" ht="12" customHeight="1" x14ac:dyDescent="0.25">
      <c r="A9250" s="6"/>
      <c r="B9250" s="1"/>
      <c r="C9250" s="5"/>
      <c r="D9250" s="5"/>
      <c r="E9250" s="5"/>
      <c r="F9250" s="5"/>
      <c r="G9250" s="5"/>
      <c r="H9250" s="5"/>
      <c r="I9250" s="5"/>
      <c r="J9250" s="5"/>
      <c r="K9250" s="5"/>
      <c r="L9250" s="5"/>
    </row>
    <row r="9251" spans="1:12" ht="12" customHeight="1" x14ac:dyDescent="0.25">
      <c r="A9251" s="6"/>
      <c r="B9251" s="1"/>
      <c r="C9251" s="5"/>
      <c r="D9251" s="5"/>
      <c r="E9251" s="5"/>
      <c r="F9251" s="5"/>
      <c r="G9251" s="5"/>
      <c r="H9251" s="5"/>
      <c r="I9251" s="5"/>
      <c r="J9251" s="5"/>
      <c r="K9251" s="5"/>
      <c r="L9251" s="5"/>
    </row>
    <row r="9252" spans="1:12" ht="12" customHeight="1" x14ac:dyDescent="0.25">
      <c r="A9252" s="6"/>
      <c r="B9252" s="1"/>
      <c r="C9252" s="5"/>
      <c r="D9252" s="5"/>
      <c r="E9252" s="5"/>
      <c r="F9252" s="5"/>
      <c r="G9252" s="5"/>
      <c r="H9252" s="5"/>
      <c r="I9252" s="5"/>
      <c r="J9252" s="5"/>
      <c r="K9252" s="5"/>
      <c r="L9252" s="5"/>
    </row>
    <row r="9253" spans="1:12" ht="12" customHeight="1" x14ac:dyDescent="0.25">
      <c r="A9253" s="6"/>
      <c r="B9253" s="1"/>
      <c r="C9253" s="5"/>
      <c r="D9253" s="5"/>
      <c r="E9253" s="5"/>
      <c r="F9253" s="5"/>
      <c r="G9253" s="5"/>
      <c r="H9253" s="5"/>
      <c r="I9253" s="5"/>
      <c r="J9253" s="5"/>
      <c r="K9253" s="5"/>
      <c r="L9253" s="5"/>
    </row>
    <row r="9254" spans="1:12" ht="12" customHeight="1" x14ac:dyDescent="0.25">
      <c r="A9254" s="6"/>
      <c r="B9254" s="1"/>
      <c r="C9254" s="5"/>
      <c r="D9254" s="5"/>
      <c r="E9254" s="5"/>
      <c r="F9254" s="5"/>
      <c r="G9254" s="5"/>
      <c r="H9254" s="5"/>
      <c r="I9254" s="5"/>
      <c r="J9254" s="5"/>
      <c r="K9254" s="5"/>
      <c r="L9254" s="5"/>
    </row>
    <row r="9255" spans="1:12" ht="12" customHeight="1" x14ac:dyDescent="0.25">
      <c r="A9255" s="6"/>
      <c r="B9255" s="1"/>
      <c r="C9255" s="5"/>
      <c r="D9255" s="5"/>
      <c r="E9255" s="5"/>
      <c r="F9255" s="5"/>
      <c r="G9255" s="5"/>
      <c r="H9255" s="5"/>
      <c r="I9255" s="5"/>
      <c r="J9255" s="5"/>
      <c r="K9255" s="5"/>
      <c r="L9255" s="5"/>
    </row>
    <row r="9256" spans="1:12" ht="12" customHeight="1" x14ac:dyDescent="0.25">
      <c r="A9256" s="6"/>
      <c r="B9256" s="1"/>
      <c r="C9256" s="5"/>
      <c r="D9256" s="5"/>
      <c r="E9256" s="5"/>
      <c r="F9256" s="5"/>
      <c r="G9256" s="5"/>
      <c r="H9256" s="5"/>
      <c r="I9256" s="5"/>
      <c r="J9256" s="5"/>
      <c r="K9256" s="5"/>
      <c r="L9256" s="5"/>
    </row>
    <row r="9257" spans="1:12" ht="12" customHeight="1" x14ac:dyDescent="0.25">
      <c r="A9257" s="6"/>
      <c r="B9257" s="1"/>
      <c r="C9257" s="5"/>
      <c r="D9257" s="5"/>
      <c r="E9257" s="5"/>
      <c r="F9257" s="5"/>
      <c r="G9257" s="5"/>
      <c r="H9257" s="5"/>
      <c r="I9257" s="5"/>
      <c r="J9257" s="5"/>
      <c r="K9257" s="5"/>
      <c r="L9257" s="5"/>
    </row>
    <row r="9258" spans="1:12" ht="12" customHeight="1" x14ac:dyDescent="0.25">
      <c r="A9258" s="6"/>
      <c r="B9258" s="1"/>
      <c r="C9258" s="5"/>
      <c r="D9258" s="5"/>
      <c r="E9258" s="5"/>
      <c r="F9258" s="5"/>
      <c r="G9258" s="5"/>
      <c r="H9258" s="5"/>
      <c r="I9258" s="5"/>
      <c r="J9258" s="5"/>
      <c r="K9258" s="5"/>
      <c r="L9258" s="5"/>
    </row>
    <row r="9259" spans="1:12" ht="12" customHeight="1" x14ac:dyDescent="0.25">
      <c r="A9259" s="6"/>
      <c r="B9259" s="1"/>
      <c r="C9259" s="5"/>
      <c r="D9259" s="5"/>
      <c r="E9259" s="5"/>
      <c r="F9259" s="5"/>
      <c r="G9259" s="5"/>
      <c r="H9259" s="5"/>
      <c r="I9259" s="5"/>
      <c r="J9259" s="5"/>
      <c r="K9259" s="5"/>
      <c r="L9259" s="5"/>
    </row>
    <row r="9260" spans="1:12" ht="12" customHeight="1" x14ac:dyDescent="0.25">
      <c r="A9260" s="6"/>
      <c r="B9260" s="1"/>
      <c r="C9260" s="5"/>
      <c r="D9260" s="5"/>
      <c r="E9260" s="5"/>
      <c r="F9260" s="5"/>
      <c r="G9260" s="5"/>
      <c r="H9260" s="5"/>
      <c r="I9260" s="5"/>
      <c r="J9260" s="5"/>
      <c r="K9260" s="5"/>
      <c r="L9260" s="5"/>
    </row>
    <row r="9261" spans="1:12" ht="12" customHeight="1" x14ac:dyDescent="0.25">
      <c r="A9261" s="6"/>
      <c r="B9261" s="1"/>
      <c r="C9261" s="5"/>
      <c r="D9261" s="5"/>
      <c r="E9261" s="5"/>
      <c r="F9261" s="5"/>
      <c r="G9261" s="5"/>
      <c r="H9261" s="5"/>
      <c r="I9261" s="5"/>
      <c r="J9261" s="5"/>
      <c r="K9261" s="5"/>
      <c r="L9261" s="5"/>
    </row>
    <row r="9262" spans="1:12" ht="12" customHeight="1" x14ac:dyDescent="0.25">
      <c r="A9262" s="6"/>
      <c r="B9262" s="1"/>
      <c r="C9262" s="5"/>
      <c r="D9262" s="5"/>
      <c r="E9262" s="5"/>
      <c r="F9262" s="5"/>
      <c r="G9262" s="5"/>
      <c r="H9262" s="5"/>
      <c r="I9262" s="5"/>
      <c r="J9262" s="5"/>
      <c r="K9262" s="5"/>
      <c r="L9262" s="5"/>
    </row>
    <row r="9263" spans="1:12" ht="12" customHeight="1" x14ac:dyDescent="0.25">
      <c r="A9263" s="6"/>
      <c r="B9263" s="1"/>
      <c r="C9263" s="5"/>
      <c r="D9263" s="5"/>
      <c r="E9263" s="5"/>
      <c r="F9263" s="5"/>
      <c r="G9263" s="5"/>
      <c r="H9263" s="5"/>
      <c r="I9263" s="5"/>
      <c r="J9263" s="5"/>
      <c r="K9263" s="5"/>
      <c r="L9263" s="5"/>
    </row>
    <row r="9264" spans="1:12" ht="12" customHeight="1" x14ac:dyDescent="0.25">
      <c r="A9264" s="6"/>
      <c r="B9264" s="1"/>
      <c r="C9264" s="5"/>
      <c r="D9264" s="5"/>
      <c r="E9264" s="5"/>
      <c r="F9264" s="5"/>
      <c r="G9264" s="5"/>
      <c r="H9264" s="5"/>
      <c r="I9264" s="5"/>
      <c r="J9264" s="5"/>
      <c r="K9264" s="5"/>
      <c r="L9264" s="5"/>
    </row>
    <row r="9265" spans="1:12" ht="12" customHeight="1" x14ac:dyDescent="0.25">
      <c r="A9265" s="6"/>
      <c r="B9265" s="1"/>
      <c r="C9265" s="5"/>
      <c r="D9265" s="5"/>
      <c r="E9265" s="5"/>
      <c r="F9265" s="5"/>
      <c r="G9265" s="5"/>
      <c r="H9265" s="5"/>
      <c r="I9265" s="5"/>
      <c r="J9265" s="5"/>
      <c r="K9265" s="5"/>
      <c r="L9265" s="5"/>
    </row>
    <row r="9266" spans="1:12" ht="12" customHeight="1" x14ac:dyDescent="0.25">
      <c r="A9266" s="6"/>
      <c r="B9266" s="1"/>
      <c r="C9266" s="5"/>
      <c r="D9266" s="5"/>
      <c r="E9266" s="5"/>
      <c r="F9266" s="5"/>
      <c r="G9266" s="5"/>
      <c r="H9266" s="5"/>
      <c r="I9266" s="5"/>
      <c r="J9266" s="5"/>
      <c r="K9266" s="5"/>
      <c r="L9266" s="5"/>
    </row>
    <row r="9267" spans="1:12" ht="12" customHeight="1" x14ac:dyDescent="0.25">
      <c r="A9267" s="6"/>
      <c r="B9267" s="1"/>
      <c r="C9267" s="5"/>
      <c r="D9267" s="5"/>
      <c r="E9267" s="5"/>
      <c r="F9267" s="5"/>
      <c r="G9267" s="5"/>
      <c r="H9267" s="5"/>
      <c r="I9267" s="5"/>
      <c r="J9267" s="5"/>
      <c r="K9267" s="5"/>
      <c r="L9267" s="5"/>
    </row>
    <row r="9268" spans="1:12" ht="12" customHeight="1" x14ac:dyDescent="0.25">
      <c r="A9268" s="6"/>
      <c r="B9268" s="1"/>
      <c r="C9268" s="5"/>
      <c r="D9268" s="5"/>
      <c r="E9268" s="5"/>
      <c r="F9268" s="5"/>
      <c r="G9268" s="5"/>
      <c r="H9268" s="5"/>
      <c r="I9268" s="5"/>
      <c r="J9268" s="5"/>
      <c r="K9268" s="5"/>
      <c r="L9268" s="5"/>
    </row>
    <row r="9269" spans="1:12" ht="12" customHeight="1" x14ac:dyDescent="0.25">
      <c r="A9269" s="6"/>
      <c r="B9269" s="1"/>
      <c r="C9269" s="5"/>
      <c r="D9269" s="5"/>
      <c r="E9269" s="5"/>
      <c r="F9269" s="5"/>
      <c r="G9269" s="5"/>
      <c r="H9269" s="5"/>
      <c r="I9269" s="5"/>
      <c r="J9269" s="5"/>
      <c r="K9269" s="5"/>
      <c r="L9269" s="5"/>
    </row>
    <row r="9270" spans="1:12" ht="12" customHeight="1" x14ac:dyDescent="0.25">
      <c r="A9270" s="6"/>
      <c r="B9270" s="1"/>
      <c r="C9270" s="5"/>
      <c r="D9270" s="5"/>
      <c r="E9270" s="5"/>
      <c r="F9270" s="5"/>
      <c r="G9270" s="5"/>
      <c r="H9270" s="5"/>
      <c r="I9270" s="5"/>
      <c r="J9270" s="5"/>
      <c r="K9270" s="5"/>
      <c r="L9270" s="5"/>
    </row>
    <row r="9271" spans="1:12" ht="12" customHeight="1" x14ac:dyDescent="0.25">
      <c r="A9271" s="6"/>
      <c r="B9271" s="1"/>
      <c r="C9271" s="5"/>
      <c r="D9271" s="5"/>
      <c r="E9271" s="5"/>
      <c r="F9271" s="5"/>
      <c r="G9271" s="5"/>
      <c r="H9271" s="5"/>
      <c r="I9271" s="5"/>
      <c r="J9271" s="5"/>
      <c r="K9271" s="5"/>
      <c r="L9271" s="5"/>
    </row>
    <row r="9272" spans="1:12" ht="12" customHeight="1" x14ac:dyDescent="0.25">
      <c r="A9272" s="6"/>
      <c r="B9272" s="1"/>
      <c r="C9272" s="5"/>
      <c r="D9272" s="5"/>
      <c r="E9272" s="5"/>
      <c r="F9272" s="5"/>
      <c r="G9272" s="5"/>
      <c r="H9272" s="5"/>
      <c r="I9272" s="5"/>
      <c r="J9272" s="5"/>
      <c r="K9272" s="5"/>
      <c r="L9272" s="5"/>
    </row>
    <row r="9273" spans="1:12" ht="12" customHeight="1" x14ac:dyDescent="0.25">
      <c r="A9273" s="6"/>
      <c r="B9273" s="1"/>
      <c r="C9273" s="5"/>
      <c r="D9273" s="5"/>
      <c r="E9273" s="5"/>
      <c r="F9273" s="5"/>
      <c r="G9273" s="5"/>
      <c r="H9273" s="5"/>
      <c r="I9273" s="5"/>
      <c r="J9273" s="5"/>
      <c r="K9273" s="5"/>
      <c r="L9273" s="5"/>
    </row>
    <row r="9274" spans="1:12" ht="12" customHeight="1" x14ac:dyDescent="0.25">
      <c r="A9274" s="6"/>
      <c r="B9274" s="1"/>
      <c r="C9274" s="5"/>
      <c r="D9274" s="5"/>
      <c r="E9274" s="5"/>
      <c r="F9274" s="5"/>
      <c r="G9274" s="5"/>
      <c r="H9274" s="5"/>
      <c r="I9274" s="5"/>
      <c r="J9274" s="5"/>
      <c r="K9274" s="5"/>
      <c r="L9274" s="5"/>
    </row>
    <row r="9275" spans="1:12" ht="12" customHeight="1" x14ac:dyDescent="0.25">
      <c r="A9275" s="6"/>
      <c r="B9275" s="1"/>
      <c r="C9275" s="5"/>
      <c r="D9275" s="5"/>
      <c r="E9275" s="5"/>
      <c r="F9275" s="5"/>
      <c r="G9275" s="5"/>
      <c r="H9275" s="5"/>
      <c r="I9275" s="5"/>
      <c r="J9275" s="5"/>
      <c r="K9275" s="5"/>
      <c r="L9275" s="5"/>
    </row>
    <row r="9276" spans="1:12" ht="12" customHeight="1" x14ac:dyDescent="0.25">
      <c r="A9276" s="6"/>
      <c r="B9276" s="1"/>
      <c r="C9276" s="5"/>
      <c r="D9276" s="5"/>
      <c r="E9276" s="5"/>
      <c r="F9276" s="5"/>
      <c r="G9276" s="5"/>
      <c r="H9276" s="5"/>
      <c r="I9276" s="5"/>
      <c r="J9276" s="5"/>
      <c r="K9276" s="5"/>
      <c r="L9276" s="5"/>
    </row>
    <row r="9277" spans="1:12" ht="12" customHeight="1" x14ac:dyDescent="0.25">
      <c r="A9277" s="6"/>
      <c r="B9277" s="1"/>
      <c r="C9277" s="5"/>
      <c r="D9277" s="5"/>
      <c r="E9277" s="5"/>
      <c r="F9277" s="5"/>
      <c r="G9277" s="5"/>
      <c r="H9277" s="5"/>
      <c r="I9277" s="5"/>
      <c r="J9277" s="5"/>
      <c r="K9277" s="5"/>
      <c r="L9277" s="5"/>
    </row>
    <row r="9278" spans="1:12" ht="12" customHeight="1" x14ac:dyDescent="0.25">
      <c r="A9278" s="6"/>
      <c r="B9278" s="1"/>
      <c r="C9278" s="5"/>
      <c r="D9278" s="5"/>
      <c r="E9278" s="5"/>
      <c r="F9278" s="5"/>
      <c r="G9278" s="5"/>
      <c r="H9278" s="5"/>
      <c r="I9278" s="5"/>
      <c r="J9278" s="5"/>
      <c r="K9278" s="5"/>
      <c r="L9278" s="5"/>
    </row>
    <row r="9279" spans="1:12" ht="12" customHeight="1" x14ac:dyDescent="0.25">
      <c r="A9279" s="6"/>
      <c r="B9279" s="1"/>
      <c r="C9279" s="5"/>
      <c r="D9279" s="5"/>
      <c r="E9279" s="5"/>
      <c r="F9279" s="5"/>
      <c r="G9279" s="5"/>
      <c r="H9279" s="5"/>
      <c r="I9279" s="5"/>
      <c r="J9279" s="5"/>
      <c r="K9279" s="5"/>
      <c r="L9279" s="5"/>
    </row>
    <row r="9280" spans="1:12" ht="12" customHeight="1" x14ac:dyDescent="0.25">
      <c r="A9280" s="6"/>
      <c r="B9280" s="1"/>
      <c r="C9280" s="5"/>
      <c r="D9280" s="5"/>
      <c r="E9280" s="5"/>
      <c r="F9280" s="5"/>
      <c r="G9280" s="5"/>
      <c r="H9280" s="5"/>
      <c r="I9280" s="5"/>
      <c r="J9280" s="5"/>
      <c r="K9280" s="5"/>
      <c r="L9280" s="5"/>
    </row>
    <row r="9281" spans="1:12" ht="12" customHeight="1" x14ac:dyDescent="0.25">
      <c r="A9281" s="6"/>
      <c r="B9281" s="1"/>
      <c r="C9281" s="5"/>
      <c r="D9281" s="5"/>
      <c r="E9281" s="5"/>
      <c r="F9281" s="5"/>
      <c r="G9281" s="5"/>
      <c r="H9281" s="5"/>
      <c r="I9281" s="5"/>
      <c r="J9281" s="5"/>
      <c r="K9281" s="5"/>
      <c r="L9281" s="5"/>
    </row>
    <row r="9282" spans="1:12" ht="12" customHeight="1" x14ac:dyDescent="0.25">
      <c r="A9282" s="6"/>
      <c r="B9282" s="1"/>
      <c r="C9282" s="5"/>
      <c r="D9282" s="5"/>
      <c r="E9282" s="5"/>
      <c r="F9282" s="5"/>
      <c r="G9282" s="5"/>
      <c r="H9282" s="5"/>
      <c r="I9282" s="5"/>
      <c r="J9282" s="5"/>
      <c r="K9282" s="5"/>
      <c r="L9282" s="5"/>
    </row>
    <row r="9283" spans="1:12" ht="12" customHeight="1" x14ac:dyDescent="0.25">
      <c r="A9283" s="6"/>
      <c r="B9283" s="1"/>
      <c r="C9283" s="5"/>
      <c r="D9283" s="5"/>
      <c r="E9283" s="5"/>
      <c r="F9283" s="5"/>
      <c r="G9283" s="5"/>
      <c r="H9283" s="5"/>
      <c r="I9283" s="5"/>
      <c r="J9283" s="5"/>
      <c r="K9283" s="5"/>
      <c r="L9283" s="5"/>
    </row>
    <row r="9284" spans="1:12" ht="12" customHeight="1" x14ac:dyDescent="0.25">
      <c r="A9284" s="6"/>
      <c r="B9284" s="1"/>
      <c r="C9284" s="5"/>
      <c r="D9284" s="5"/>
      <c r="E9284" s="5"/>
      <c r="F9284" s="5"/>
      <c r="G9284" s="5"/>
      <c r="H9284" s="5"/>
      <c r="I9284" s="5"/>
      <c r="J9284" s="5"/>
      <c r="K9284" s="5"/>
      <c r="L9284" s="5"/>
    </row>
    <row r="9285" spans="1:12" ht="12" customHeight="1" x14ac:dyDescent="0.25">
      <c r="A9285" s="6"/>
      <c r="B9285" s="1"/>
      <c r="C9285" s="5"/>
      <c r="D9285" s="5"/>
      <c r="E9285" s="5"/>
      <c r="F9285" s="5"/>
      <c r="G9285" s="5"/>
      <c r="H9285" s="5"/>
      <c r="I9285" s="5"/>
      <c r="J9285" s="5"/>
      <c r="K9285" s="5"/>
      <c r="L9285" s="5"/>
    </row>
    <row r="9286" spans="1:12" ht="12" customHeight="1" x14ac:dyDescent="0.25">
      <c r="A9286" s="6"/>
      <c r="B9286" s="1"/>
      <c r="C9286" s="5"/>
      <c r="D9286" s="5"/>
      <c r="E9286" s="5"/>
      <c r="F9286" s="5"/>
      <c r="G9286" s="5"/>
      <c r="H9286" s="5"/>
      <c r="I9286" s="5"/>
      <c r="J9286" s="5"/>
      <c r="K9286" s="5"/>
      <c r="L9286" s="5"/>
    </row>
    <row r="9287" spans="1:12" ht="12" customHeight="1" x14ac:dyDescent="0.25">
      <c r="A9287" s="6"/>
      <c r="B9287" s="1"/>
      <c r="C9287" s="5"/>
      <c r="D9287" s="5"/>
      <c r="E9287" s="5"/>
      <c r="F9287" s="5"/>
      <c r="G9287" s="5"/>
      <c r="H9287" s="5"/>
      <c r="I9287" s="5"/>
      <c r="J9287" s="5"/>
      <c r="K9287" s="5"/>
      <c r="L9287" s="5"/>
    </row>
    <row r="9288" spans="1:12" ht="12" customHeight="1" x14ac:dyDescent="0.25">
      <c r="A9288" s="6"/>
      <c r="B9288" s="1"/>
      <c r="C9288" s="5"/>
      <c r="D9288" s="5"/>
      <c r="E9288" s="5"/>
      <c r="F9288" s="5"/>
      <c r="G9288" s="5"/>
      <c r="H9288" s="5"/>
      <c r="I9288" s="5"/>
      <c r="J9288" s="5"/>
      <c r="K9288" s="5"/>
      <c r="L9288" s="5"/>
    </row>
    <row r="9289" spans="1:12" ht="12" customHeight="1" x14ac:dyDescent="0.25">
      <c r="A9289" s="6"/>
      <c r="B9289" s="1"/>
      <c r="C9289" s="5"/>
      <c r="D9289" s="5"/>
      <c r="E9289" s="5"/>
      <c r="F9289" s="5"/>
      <c r="G9289" s="5"/>
      <c r="H9289" s="5"/>
      <c r="I9289" s="5"/>
      <c r="J9289" s="5"/>
      <c r="K9289" s="5"/>
      <c r="L9289" s="5"/>
    </row>
    <row r="9290" spans="1:12" ht="12" customHeight="1" x14ac:dyDescent="0.25">
      <c r="A9290" s="6"/>
      <c r="B9290" s="1"/>
      <c r="C9290" s="5"/>
      <c r="D9290" s="5"/>
      <c r="E9290" s="5"/>
      <c r="F9290" s="5"/>
      <c r="G9290" s="5"/>
      <c r="H9290" s="5"/>
      <c r="I9290" s="5"/>
      <c r="J9290" s="5"/>
      <c r="K9290" s="5"/>
      <c r="L9290" s="5"/>
    </row>
    <row r="9291" spans="1:12" ht="12" customHeight="1" x14ac:dyDescent="0.25">
      <c r="A9291" s="6"/>
      <c r="B9291" s="1"/>
      <c r="C9291" s="5"/>
      <c r="D9291" s="5"/>
      <c r="E9291" s="5"/>
      <c r="F9291" s="5"/>
      <c r="G9291" s="5"/>
      <c r="H9291" s="5"/>
      <c r="I9291" s="5"/>
      <c r="J9291" s="5"/>
      <c r="K9291" s="5"/>
      <c r="L9291" s="5"/>
    </row>
    <row r="9292" spans="1:12" ht="12" customHeight="1" x14ac:dyDescent="0.25">
      <c r="A9292" s="6"/>
      <c r="B9292" s="1"/>
      <c r="C9292" s="5"/>
      <c r="D9292" s="5"/>
      <c r="E9292" s="5"/>
      <c r="F9292" s="5"/>
      <c r="G9292" s="5"/>
      <c r="H9292" s="5"/>
      <c r="I9292" s="5"/>
      <c r="J9292" s="5"/>
      <c r="K9292" s="5"/>
      <c r="L9292" s="5"/>
    </row>
    <row r="9293" spans="1:12" ht="12" customHeight="1" x14ac:dyDescent="0.25">
      <c r="A9293" s="6"/>
      <c r="B9293" s="1"/>
      <c r="C9293" s="5"/>
      <c r="D9293" s="5"/>
      <c r="E9293" s="5"/>
      <c r="F9293" s="5"/>
      <c r="G9293" s="5"/>
      <c r="H9293" s="5"/>
      <c r="I9293" s="5"/>
      <c r="J9293" s="5"/>
      <c r="K9293" s="5"/>
      <c r="L9293" s="5"/>
    </row>
    <row r="9294" spans="1:12" ht="12" customHeight="1" x14ac:dyDescent="0.25">
      <c r="A9294" s="6"/>
      <c r="B9294" s="1"/>
      <c r="C9294" s="5"/>
      <c r="D9294" s="5"/>
      <c r="E9294" s="5"/>
      <c r="F9294" s="5"/>
      <c r="G9294" s="5"/>
      <c r="H9294" s="5"/>
      <c r="I9294" s="5"/>
      <c r="J9294" s="5"/>
      <c r="K9294" s="5"/>
      <c r="L9294" s="5"/>
    </row>
    <row r="9295" spans="1:12" ht="12" customHeight="1" x14ac:dyDescent="0.25">
      <c r="A9295" s="6"/>
      <c r="B9295" s="1"/>
      <c r="C9295" s="5"/>
      <c r="D9295" s="5"/>
      <c r="E9295" s="5"/>
      <c r="F9295" s="5"/>
      <c r="G9295" s="5"/>
      <c r="H9295" s="5"/>
      <c r="I9295" s="5"/>
      <c r="J9295" s="5"/>
      <c r="K9295" s="5"/>
      <c r="L9295" s="5"/>
    </row>
    <row r="9296" spans="1:12" ht="12" customHeight="1" x14ac:dyDescent="0.25">
      <c r="A9296" s="6"/>
      <c r="B9296" s="1"/>
      <c r="C9296" s="5"/>
      <c r="D9296" s="5"/>
      <c r="E9296" s="5"/>
      <c r="F9296" s="5"/>
      <c r="G9296" s="5"/>
      <c r="H9296" s="5"/>
      <c r="I9296" s="5"/>
      <c r="J9296" s="5"/>
      <c r="K9296" s="5"/>
      <c r="L9296" s="5"/>
    </row>
    <row r="9297" spans="1:12" ht="12" customHeight="1" x14ac:dyDescent="0.25">
      <c r="A9297" s="6"/>
      <c r="B9297" s="1"/>
      <c r="C9297" s="5"/>
      <c r="D9297" s="5"/>
      <c r="E9297" s="5"/>
      <c r="F9297" s="5"/>
      <c r="G9297" s="5"/>
      <c r="H9297" s="5"/>
      <c r="I9297" s="5"/>
      <c r="J9297" s="5"/>
      <c r="K9297" s="5"/>
      <c r="L9297" s="5"/>
    </row>
    <row r="9298" spans="1:12" ht="12" customHeight="1" x14ac:dyDescent="0.25">
      <c r="A9298" s="6"/>
      <c r="B9298" s="1"/>
      <c r="C9298" s="5"/>
      <c r="D9298" s="5"/>
      <c r="E9298" s="5"/>
      <c r="F9298" s="5"/>
      <c r="G9298" s="5"/>
      <c r="H9298" s="5"/>
      <c r="I9298" s="5"/>
      <c r="J9298" s="5"/>
      <c r="K9298" s="5"/>
      <c r="L9298" s="5"/>
    </row>
    <row r="9299" spans="1:12" ht="12" customHeight="1" x14ac:dyDescent="0.25">
      <c r="A9299" s="6"/>
      <c r="B9299" s="1"/>
      <c r="C9299" s="5"/>
      <c r="D9299" s="5"/>
      <c r="E9299" s="5"/>
      <c r="F9299" s="5"/>
      <c r="G9299" s="5"/>
      <c r="H9299" s="5"/>
      <c r="I9299" s="5"/>
      <c r="J9299" s="5"/>
      <c r="K9299" s="5"/>
      <c r="L9299" s="5"/>
    </row>
    <row r="9300" spans="1:12" ht="12" customHeight="1" x14ac:dyDescent="0.25">
      <c r="A9300" s="6"/>
      <c r="B9300" s="1"/>
      <c r="C9300" s="5"/>
      <c r="D9300" s="5"/>
      <c r="E9300" s="5"/>
      <c r="F9300" s="5"/>
      <c r="G9300" s="5"/>
      <c r="H9300" s="5"/>
      <c r="I9300" s="5"/>
      <c r="J9300" s="5"/>
      <c r="K9300" s="5"/>
      <c r="L9300" s="5"/>
    </row>
    <row r="9301" spans="1:12" ht="12" customHeight="1" x14ac:dyDescent="0.25">
      <c r="A9301" s="6"/>
      <c r="B9301" s="1"/>
      <c r="C9301" s="5"/>
      <c r="D9301" s="5"/>
      <c r="E9301" s="5"/>
      <c r="F9301" s="5"/>
      <c r="G9301" s="5"/>
      <c r="H9301" s="5"/>
      <c r="I9301" s="5"/>
      <c r="J9301" s="5"/>
      <c r="K9301" s="5"/>
      <c r="L9301" s="5"/>
    </row>
    <row r="9302" spans="1:12" ht="12" customHeight="1" x14ac:dyDescent="0.25">
      <c r="A9302" s="6"/>
      <c r="B9302" s="1"/>
      <c r="C9302" s="5"/>
      <c r="D9302" s="5"/>
      <c r="E9302" s="5"/>
      <c r="F9302" s="5"/>
      <c r="G9302" s="5"/>
      <c r="H9302" s="5"/>
      <c r="I9302" s="5"/>
      <c r="J9302" s="5"/>
      <c r="K9302" s="5"/>
      <c r="L9302" s="5"/>
    </row>
    <row r="9303" spans="1:12" ht="12" customHeight="1" x14ac:dyDescent="0.25">
      <c r="A9303" s="6"/>
      <c r="B9303" s="1"/>
      <c r="C9303" s="5"/>
      <c r="D9303" s="5"/>
      <c r="E9303" s="5"/>
      <c r="F9303" s="5"/>
      <c r="G9303" s="5"/>
      <c r="H9303" s="5"/>
      <c r="I9303" s="5"/>
      <c r="J9303" s="5"/>
      <c r="K9303" s="5"/>
      <c r="L9303" s="5"/>
    </row>
    <row r="9304" spans="1:12" ht="12" customHeight="1" x14ac:dyDescent="0.25">
      <c r="A9304" s="6"/>
      <c r="B9304" s="1"/>
      <c r="C9304" s="5"/>
      <c r="D9304" s="5"/>
      <c r="E9304" s="5"/>
      <c r="F9304" s="5"/>
      <c r="G9304" s="5"/>
      <c r="H9304" s="5"/>
      <c r="I9304" s="5"/>
      <c r="J9304" s="5"/>
      <c r="K9304" s="5"/>
      <c r="L9304" s="5"/>
    </row>
    <row r="9305" spans="1:12" ht="12" customHeight="1" x14ac:dyDescent="0.25">
      <c r="A9305" s="6"/>
      <c r="B9305" s="1"/>
      <c r="C9305" s="5"/>
      <c r="D9305" s="5"/>
      <c r="E9305" s="5"/>
      <c r="F9305" s="5"/>
      <c r="G9305" s="5"/>
      <c r="H9305" s="5"/>
      <c r="I9305" s="5"/>
      <c r="J9305" s="5"/>
      <c r="K9305" s="5"/>
      <c r="L9305" s="5"/>
    </row>
    <row r="9306" spans="1:12" ht="12" customHeight="1" x14ac:dyDescent="0.25">
      <c r="A9306" s="6"/>
      <c r="B9306" s="1"/>
      <c r="C9306" s="5"/>
      <c r="D9306" s="5"/>
      <c r="E9306" s="5"/>
      <c r="F9306" s="5"/>
      <c r="G9306" s="5"/>
      <c r="H9306" s="5"/>
      <c r="I9306" s="5"/>
      <c r="J9306" s="5"/>
      <c r="K9306" s="5"/>
      <c r="L9306" s="5"/>
    </row>
    <row r="9307" spans="1:12" ht="12" customHeight="1" x14ac:dyDescent="0.25">
      <c r="A9307" s="6"/>
      <c r="B9307" s="1"/>
      <c r="C9307" s="5"/>
      <c r="D9307" s="5"/>
      <c r="E9307" s="5"/>
      <c r="F9307" s="5"/>
      <c r="G9307" s="5"/>
      <c r="H9307" s="5"/>
      <c r="I9307" s="5"/>
      <c r="J9307" s="5"/>
      <c r="K9307" s="5"/>
      <c r="L9307" s="5"/>
    </row>
    <row r="9308" spans="1:12" ht="12" customHeight="1" x14ac:dyDescent="0.25">
      <c r="A9308" s="6"/>
      <c r="B9308" s="1"/>
      <c r="C9308" s="5"/>
      <c r="D9308" s="5"/>
      <c r="E9308" s="5"/>
      <c r="F9308" s="5"/>
      <c r="G9308" s="5"/>
      <c r="H9308" s="5"/>
      <c r="I9308" s="5"/>
      <c r="J9308" s="5"/>
      <c r="K9308" s="5"/>
      <c r="L9308" s="5"/>
    </row>
    <row r="9309" spans="1:12" ht="12" customHeight="1" x14ac:dyDescent="0.25">
      <c r="A9309" s="6"/>
      <c r="B9309" s="1"/>
      <c r="C9309" s="5"/>
      <c r="D9309" s="5"/>
      <c r="E9309" s="5"/>
      <c r="F9309" s="5"/>
      <c r="G9309" s="5"/>
      <c r="H9309" s="5"/>
      <c r="I9309" s="5"/>
      <c r="J9309" s="5"/>
      <c r="K9309" s="5"/>
      <c r="L9309" s="5"/>
    </row>
    <row r="9310" spans="1:12" ht="12" customHeight="1" x14ac:dyDescent="0.25">
      <c r="A9310" s="6"/>
      <c r="B9310" s="1"/>
      <c r="C9310" s="5"/>
      <c r="D9310" s="5"/>
      <c r="E9310" s="5"/>
      <c r="F9310" s="5"/>
      <c r="G9310" s="5"/>
      <c r="H9310" s="5"/>
      <c r="I9310" s="5"/>
      <c r="J9310" s="5"/>
      <c r="K9310" s="5"/>
      <c r="L9310" s="5"/>
    </row>
    <row r="9311" spans="1:12" ht="12" customHeight="1" x14ac:dyDescent="0.25">
      <c r="A9311" s="6"/>
      <c r="B9311" s="1"/>
      <c r="C9311" s="5"/>
      <c r="D9311" s="5"/>
      <c r="E9311" s="5"/>
      <c r="F9311" s="5"/>
      <c r="G9311" s="5"/>
      <c r="H9311" s="5"/>
      <c r="I9311" s="5"/>
      <c r="J9311" s="5"/>
      <c r="K9311" s="5"/>
      <c r="L9311" s="5"/>
    </row>
    <row r="9312" spans="1:12" ht="12" customHeight="1" x14ac:dyDescent="0.25">
      <c r="A9312" s="6"/>
      <c r="B9312" s="1"/>
      <c r="C9312" s="5"/>
      <c r="D9312" s="5"/>
      <c r="E9312" s="5"/>
      <c r="F9312" s="5"/>
      <c r="G9312" s="5"/>
      <c r="H9312" s="5"/>
      <c r="I9312" s="5"/>
      <c r="J9312" s="5"/>
      <c r="K9312" s="5"/>
      <c r="L9312" s="5"/>
    </row>
    <row r="9313" spans="1:12" ht="12" customHeight="1" x14ac:dyDescent="0.25">
      <c r="A9313" s="6"/>
      <c r="B9313" s="1"/>
      <c r="C9313" s="5"/>
      <c r="D9313" s="5"/>
      <c r="E9313" s="5"/>
      <c r="F9313" s="5"/>
      <c r="G9313" s="5"/>
      <c r="H9313" s="5"/>
      <c r="I9313" s="5"/>
      <c r="J9313" s="5"/>
      <c r="K9313" s="5"/>
      <c r="L9313" s="5"/>
    </row>
    <row r="9314" spans="1:12" ht="12" customHeight="1" x14ac:dyDescent="0.25">
      <c r="A9314" s="6"/>
      <c r="B9314" s="1"/>
      <c r="C9314" s="5"/>
      <c r="D9314" s="5"/>
      <c r="E9314" s="5"/>
      <c r="F9314" s="5"/>
      <c r="G9314" s="5"/>
      <c r="H9314" s="5"/>
      <c r="I9314" s="5"/>
      <c r="J9314" s="5"/>
      <c r="K9314" s="5"/>
      <c r="L9314" s="5"/>
    </row>
    <row r="9315" spans="1:12" ht="12" customHeight="1" x14ac:dyDescent="0.25">
      <c r="A9315" s="6"/>
      <c r="B9315" s="1"/>
      <c r="C9315" s="5"/>
      <c r="D9315" s="5"/>
      <c r="E9315" s="5"/>
      <c r="F9315" s="5"/>
      <c r="G9315" s="5"/>
      <c r="H9315" s="5"/>
      <c r="I9315" s="5"/>
      <c r="J9315" s="5"/>
      <c r="K9315" s="5"/>
      <c r="L9315" s="5"/>
    </row>
    <row r="9316" spans="1:12" ht="12" customHeight="1" x14ac:dyDescent="0.25">
      <c r="A9316" s="6"/>
      <c r="B9316" s="1"/>
      <c r="C9316" s="5"/>
      <c r="D9316" s="5"/>
      <c r="E9316" s="5"/>
      <c r="F9316" s="5"/>
      <c r="G9316" s="5"/>
      <c r="H9316" s="5"/>
      <c r="I9316" s="5"/>
      <c r="J9316" s="5"/>
      <c r="K9316" s="5"/>
      <c r="L9316" s="5"/>
    </row>
    <row r="9317" spans="1:12" ht="12" customHeight="1" x14ac:dyDescent="0.25">
      <c r="A9317" s="6"/>
      <c r="B9317" s="1"/>
      <c r="C9317" s="5"/>
      <c r="D9317" s="5"/>
      <c r="E9317" s="5"/>
      <c r="F9317" s="5"/>
      <c r="G9317" s="5"/>
      <c r="H9317" s="5"/>
      <c r="I9317" s="5"/>
      <c r="J9317" s="5"/>
      <c r="K9317" s="5"/>
      <c r="L9317" s="5"/>
    </row>
    <row r="9318" spans="1:12" ht="12" customHeight="1" x14ac:dyDescent="0.25">
      <c r="A9318" s="6"/>
      <c r="B9318" s="1"/>
      <c r="C9318" s="5"/>
      <c r="D9318" s="5"/>
      <c r="E9318" s="5"/>
      <c r="F9318" s="5"/>
      <c r="G9318" s="5"/>
      <c r="H9318" s="5"/>
      <c r="I9318" s="5"/>
      <c r="J9318" s="5"/>
      <c r="K9318" s="5"/>
      <c r="L9318" s="5"/>
    </row>
    <row r="9319" spans="1:12" ht="12" customHeight="1" x14ac:dyDescent="0.25">
      <c r="A9319" s="6"/>
      <c r="B9319" s="1"/>
      <c r="C9319" s="5"/>
      <c r="D9319" s="5"/>
      <c r="E9319" s="5"/>
      <c r="F9319" s="5"/>
      <c r="G9319" s="5"/>
      <c r="H9319" s="5"/>
      <c r="I9319" s="5"/>
      <c r="J9319" s="5"/>
      <c r="K9319" s="5"/>
      <c r="L9319" s="5"/>
    </row>
    <row r="9320" spans="1:12" ht="12" customHeight="1" x14ac:dyDescent="0.25">
      <c r="A9320" s="6"/>
      <c r="B9320" s="1"/>
      <c r="C9320" s="5"/>
      <c r="D9320" s="5"/>
      <c r="E9320" s="5"/>
      <c r="F9320" s="5"/>
      <c r="G9320" s="5"/>
      <c r="H9320" s="5"/>
      <c r="I9320" s="5"/>
      <c r="J9320" s="5"/>
      <c r="K9320" s="5"/>
      <c r="L9320" s="5"/>
    </row>
    <row r="9321" spans="1:12" ht="12" customHeight="1" x14ac:dyDescent="0.25">
      <c r="A9321" s="6"/>
      <c r="B9321" s="1"/>
      <c r="C9321" s="5"/>
      <c r="D9321" s="5"/>
      <c r="E9321" s="5"/>
      <c r="F9321" s="5"/>
      <c r="G9321" s="5"/>
      <c r="H9321" s="5"/>
      <c r="I9321" s="5"/>
      <c r="J9321" s="5"/>
      <c r="K9321" s="5"/>
      <c r="L9321" s="5"/>
    </row>
    <row r="9322" spans="1:12" ht="12" customHeight="1" x14ac:dyDescent="0.25">
      <c r="A9322" s="6"/>
      <c r="B9322" s="1"/>
      <c r="C9322" s="5"/>
      <c r="D9322" s="5"/>
      <c r="E9322" s="5"/>
      <c r="F9322" s="5"/>
      <c r="G9322" s="5"/>
      <c r="H9322" s="5"/>
      <c r="I9322" s="5"/>
      <c r="J9322" s="5"/>
      <c r="K9322" s="5"/>
      <c r="L9322" s="5"/>
    </row>
    <row r="9323" spans="1:12" ht="12" customHeight="1" x14ac:dyDescent="0.25">
      <c r="A9323" s="6"/>
      <c r="B9323" s="1"/>
      <c r="C9323" s="5"/>
      <c r="D9323" s="5"/>
      <c r="E9323" s="5"/>
      <c r="F9323" s="5"/>
      <c r="G9323" s="5"/>
      <c r="H9323" s="5"/>
      <c r="I9323" s="5"/>
      <c r="J9323" s="5"/>
      <c r="K9323" s="5"/>
      <c r="L9323" s="5"/>
    </row>
    <row r="9324" spans="1:12" ht="12" customHeight="1" x14ac:dyDescent="0.25">
      <c r="A9324" s="6"/>
      <c r="B9324" s="1"/>
      <c r="C9324" s="5"/>
      <c r="D9324" s="5"/>
      <c r="E9324" s="5"/>
      <c r="F9324" s="5"/>
      <c r="G9324" s="5"/>
      <c r="H9324" s="5"/>
      <c r="I9324" s="5"/>
      <c r="J9324" s="5"/>
      <c r="K9324" s="5"/>
      <c r="L9324" s="5"/>
    </row>
    <row r="9325" spans="1:12" ht="12" customHeight="1" x14ac:dyDescent="0.25">
      <c r="A9325" s="6"/>
      <c r="B9325" s="1"/>
      <c r="C9325" s="5"/>
      <c r="D9325" s="5"/>
      <c r="E9325" s="5"/>
      <c r="F9325" s="5"/>
      <c r="G9325" s="5"/>
      <c r="H9325" s="5"/>
      <c r="I9325" s="5"/>
      <c r="J9325" s="5"/>
      <c r="K9325" s="5"/>
      <c r="L9325" s="5"/>
    </row>
    <row r="9326" spans="1:12" ht="12" customHeight="1" x14ac:dyDescent="0.25">
      <c r="A9326" s="6"/>
      <c r="B9326" s="1"/>
      <c r="C9326" s="5"/>
      <c r="D9326" s="5"/>
      <c r="E9326" s="5"/>
      <c r="F9326" s="5"/>
      <c r="G9326" s="5"/>
      <c r="H9326" s="5"/>
      <c r="I9326" s="5"/>
      <c r="J9326" s="5"/>
      <c r="K9326" s="5"/>
      <c r="L9326" s="5"/>
    </row>
    <row r="9327" spans="1:12" ht="12" customHeight="1" x14ac:dyDescent="0.25">
      <c r="A9327" s="6"/>
      <c r="B9327" s="1"/>
      <c r="C9327" s="5"/>
      <c r="D9327" s="5"/>
      <c r="E9327" s="5"/>
      <c r="F9327" s="5"/>
      <c r="G9327" s="5"/>
      <c r="H9327" s="5"/>
      <c r="I9327" s="5"/>
      <c r="J9327" s="5"/>
      <c r="K9327" s="5"/>
      <c r="L9327" s="5"/>
    </row>
    <row r="9328" spans="1:12" ht="12" customHeight="1" x14ac:dyDescent="0.25">
      <c r="A9328" s="6"/>
      <c r="B9328" s="1"/>
      <c r="C9328" s="5"/>
      <c r="D9328" s="5"/>
      <c r="E9328" s="5"/>
      <c r="F9328" s="5"/>
      <c r="G9328" s="5"/>
      <c r="H9328" s="5"/>
      <c r="I9328" s="5"/>
      <c r="J9328" s="5"/>
      <c r="K9328" s="5"/>
      <c r="L9328" s="5"/>
    </row>
    <row r="9329" spans="1:12" ht="12" customHeight="1" x14ac:dyDescent="0.25">
      <c r="A9329" s="6"/>
      <c r="B9329" s="1"/>
      <c r="C9329" s="5"/>
      <c r="D9329" s="5"/>
      <c r="E9329" s="5"/>
      <c r="F9329" s="5"/>
      <c r="G9329" s="5"/>
      <c r="H9329" s="5"/>
      <c r="I9329" s="5"/>
      <c r="J9329" s="5"/>
      <c r="K9329" s="5"/>
      <c r="L9329" s="5"/>
    </row>
    <row r="9330" spans="1:12" ht="12" customHeight="1" x14ac:dyDescent="0.25">
      <c r="A9330" s="6"/>
      <c r="B9330" s="1"/>
      <c r="C9330" s="5"/>
      <c r="D9330" s="5"/>
      <c r="E9330" s="5"/>
      <c r="F9330" s="5"/>
      <c r="G9330" s="5"/>
      <c r="H9330" s="5"/>
      <c r="I9330" s="5"/>
      <c r="J9330" s="5"/>
      <c r="K9330" s="5"/>
      <c r="L9330" s="5"/>
    </row>
    <row r="9331" spans="1:12" ht="12" customHeight="1" x14ac:dyDescent="0.25">
      <c r="A9331" s="6"/>
      <c r="B9331" s="1"/>
      <c r="C9331" s="5"/>
      <c r="D9331" s="5"/>
      <c r="E9331" s="5"/>
      <c r="F9331" s="5"/>
      <c r="G9331" s="5"/>
      <c r="H9331" s="5"/>
      <c r="I9331" s="5"/>
      <c r="J9331" s="5"/>
      <c r="K9331" s="5"/>
      <c r="L9331" s="5"/>
    </row>
    <row r="9332" spans="1:12" ht="12" customHeight="1" x14ac:dyDescent="0.25">
      <c r="A9332" s="6"/>
      <c r="B9332" s="1"/>
      <c r="C9332" s="5"/>
      <c r="D9332" s="5"/>
      <c r="E9332" s="5"/>
      <c r="F9332" s="5"/>
      <c r="G9332" s="5"/>
      <c r="H9332" s="5"/>
      <c r="I9332" s="5"/>
      <c r="J9332" s="5"/>
      <c r="K9332" s="5"/>
      <c r="L9332" s="5"/>
    </row>
    <row r="9333" spans="1:12" ht="12" customHeight="1" x14ac:dyDescent="0.25">
      <c r="A9333" s="6"/>
      <c r="B9333" s="1"/>
      <c r="C9333" s="5"/>
      <c r="D9333" s="5"/>
      <c r="E9333" s="5"/>
      <c r="F9333" s="5"/>
      <c r="G9333" s="5"/>
      <c r="H9333" s="5"/>
      <c r="I9333" s="5"/>
      <c r="J9333" s="5"/>
      <c r="K9333" s="5"/>
      <c r="L9333" s="5"/>
    </row>
    <row r="9334" spans="1:12" ht="12" customHeight="1" x14ac:dyDescent="0.25">
      <c r="A9334" s="6"/>
      <c r="B9334" s="1"/>
      <c r="C9334" s="5"/>
      <c r="D9334" s="5"/>
      <c r="E9334" s="5"/>
      <c r="F9334" s="5"/>
      <c r="G9334" s="5"/>
      <c r="H9334" s="5"/>
      <c r="I9334" s="5"/>
      <c r="J9334" s="5"/>
      <c r="K9334" s="5"/>
      <c r="L9334" s="5"/>
    </row>
    <row r="9335" spans="1:12" ht="12" customHeight="1" x14ac:dyDescent="0.25">
      <c r="A9335" s="6"/>
      <c r="B9335" s="1"/>
      <c r="C9335" s="5"/>
      <c r="D9335" s="5"/>
      <c r="E9335" s="5"/>
      <c r="F9335" s="5"/>
      <c r="G9335" s="5"/>
      <c r="H9335" s="5"/>
      <c r="I9335" s="5"/>
      <c r="J9335" s="5"/>
      <c r="K9335" s="5"/>
      <c r="L9335" s="5"/>
    </row>
    <row r="9336" spans="1:12" ht="12" customHeight="1" x14ac:dyDescent="0.25">
      <c r="A9336" s="6"/>
      <c r="B9336" s="1"/>
      <c r="C9336" s="5"/>
      <c r="D9336" s="5"/>
      <c r="E9336" s="5"/>
      <c r="F9336" s="5"/>
      <c r="G9336" s="5"/>
      <c r="H9336" s="5"/>
      <c r="I9336" s="5"/>
      <c r="J9336" s="5"/>
      <c r="K9336" s="5"/>
      <c r="L9336" s="5"/>
    </row>
    <row r="9337" spans="1:12" ht="12" customHeight="1" x14ac:dyDescent="0.25">
      <c r="A9337" s="6"/>
      <c r="B9337" s="1"/>
      <c r="C9337" s="5"/>
      <c r="D9337" s="5"/>
      <c r="E9337" s="5"/>
      <c r="F9337" s="5"/>
      <c r="G9337" s="5"/>
      <c r="H9337" s="5"/>
      <c r="I9337" s="5"/>
      <c r="J9337" s="5"/>
      <c r="K9337" s="5"/>
      <c r="L9337" s="5"/>
    </row>
    <row r="9338" spans="1:12" ht="12" customHeight="1" x14ac:dyDescent="0.25">
      <c r="A9338" s="6"/>
      <c r="B9338" s="1"/>
      <c r="C9338" s="5"/>
      <c r="D9338" s="5"/>
      <c r="E9338" s="5"/>
      <c r="F9338" s="5"/>
      <c r="G9338" s="5"/>
      <c r="H9338" s="5"/>
      <c r="I9338" s="5"/>
      <c r="J9338" s="5"/>
      <c r="K9338" s="5"/>
      <c r="L9338" s="5"/>
    </row>
    <row r="9339" spans="1:12" ht="12" customHeight="1" x14ac:dyDescent="0.25">
      <c r="A9339" s="6"/>
      <c r="B9339" s="1"/>
      <c r="C9339" s="5"/>
      <c r="D9339" s="5"/>
      <c r="E9339" s="5"/>
      <c r="F9339" s="5"/>
      <c r="G9339" s="5"/>
      <c r="H9339" s="5"/>
      <c r="I9339" s="5"/>
      <c r="J9339" s="5"/>
      <c r="K9339" s="5"/>
      <c r="L9339" s="5"/>
    </row>
    <row r="9340" spans="1:12" ht="12" customHeight="1" x14ac:dyDescent="0.25">
      <c r="A9340" s="6"/>
      <c r="B9340" s="1"/>
      <c r="C9340" s="5"/>
      <c r="D9340" s="5"/>
      <c r="E9340" s="5"/>
      <c r="F9340" s="5"/>
      <c r="G9340" s="5"/>
      <c r="H9340" s="5"/>
      <c r="I9340" s="5"/>
      <c r="J9340" s="5"/>
      <c r="K9340" s="5"/>
      <c r="L9340" s="5"/>
    </row>
    <row r="9341" spans="1:12" ht="12" customHeight="1" x14ac:dyDescent="0.25">
      <c r="A9341" s="6"/>
      <c r="B9341" s="1"/>
      <c r="C9341" s="5"/>
      <c r="D9341" s="5"/>
      <c r="E9341" s="5"/>
      <c r="F9341" s="5"/>
      <c r="G9341" s="5"/>
      <c r="H9341" s="5"/>
      <c r="I9341" s="5"/>
      <c r="J9341" s="5"/>
      <c r="K9341" s="5"/>
      <c r="L9341" s="5"/>
    </row>
    <row r="9342" spans="1:12" ht="12" customHeight="1" x14ac:dyDescent="0.25">
      <c r="A9342" s="6"/>
      <c r="B9342" s="1"/>
      <c r="C9342" s="5"/>
      <c r="D9342" s="5"/>
      <c r="E9342" s="5"/>
      <c r="F9342" s="5"/>
      <c r="G9342" s="5"/>
      <c r="H9342" s="5"/>
      <c r="I9342" s="5"/>
      <c r="J9342" s="5"/>
      <c r="K9342" s="5"/>
      <c r="L9342" s="5"/>
    </row>
    <row r="9343" spans="1:12" ht="12" customHeight="1" x14ac:dyDescent="0.25">
      <c r="A9343" s="6"/>
      <c r="B9343" s="1"/>
      <c r="C9343" s="5"/>
      <c r="D9343" s="5"/>
      <c r="E9343" s="5"/>
      <c r="F9343" s="5"/>
      <c r="G9343" s="5"/>
      <c r="H9343" s="5"/>
      <c r="I9343" s="5"/>
      <c r="J9343" s="5"/>
      <c r="K9343" s="5"/>
      <c r="L9343" s="5"/>
    </row>
    <row r="9344" spans="1:12" ht="12" customHeight="1" x14ac:dyDescent="0.25">
      <c r="A9344" s="6"/>
      <c r="B9344" s="1"/>
      <c r="C9344" s="5"/>
      <c r="D9344" s="5"/>
      <c r="E9344" s="5"/>
      <c r="F9344" s="5"/>
      <c r="G9344" s="5"/>
      <c r="H9344" s="5"/>
      <c r="I9344" s="5"/>
      <c r="J9344" s="5"/>
      <c r="K9344" s="5"/>
      <c r="L9344" s="5"/>
    </row>
    <row r="9345" spans="1:12" ht="12" customHeight="1" x14ac:dyDescent="0.25">
      <c r="A9345" s="6"/>
      <c r="B9345" s="1"/>
      <c r="C9345" s="5"/>
      <c r="D9345" s="5"/>
      <c r="E9345" s="5"/>
      <c r="F9345" s="5"/>
      <c r="G9345" s="5"/>
      <c r="H9345" s="5"/>
      <c r="I9345" s="5"/>
      <c r="J9345" s="5"/>
      <c r="K9345" s="5"/>
      <c r="L9345" s="5"/>
    </row>
    <row r="9346" spans="1:12" ht="12" customHeight="1" x14ac:dyDescent="0.25">
      <c r="A9346" s="6"/>
      <c r="B9346" s="1"/>
      <c r="C9346" s="5"/>
      <c r="D9346" s="5"/>
      <c r="E9346" s="5"/>
      <c r="F9346" s="5"/>
      <c r="G9346" s="5"/>
      <c r="H9346" s="5"/>
      <c r="I9346" s="5"/>
      <c r="J9346" s="5"/>
      <c r="K9346" s="5"/>
      <c r="L9346" s="5"/>
    </row>
    <row r="9347" spans="1:12" ht="12" customHeight="1" x14ac:dyDescent="0.25">
      <c r="A9347" s="6"/>
      <c r="B9347" s="1"/>
      <c r="C9347" s="5"/>
      <c r="D9347" s="5"/>
      <c r="E9347" s="5"/>
      <c r="F9347" s="5"/>
      <c r="G9347" s="5"/>
      <c r="H9347" s="5"/>
      <c r="I9347" s="5"/>
      <c r="J9347" s="5"/>
      <c r="K9347" s="5"/>
      <c r="L9347" s="5"/>
    </row>
    <row r="9348" spans="1:12" ht="12" customHeight="1" x14ac:dyDescent="0.25">
      <c r="A9348" s="6"/>
      <c r="B9348" s="1"/>
      <c r="C9348" s="5"/>
      <c r="D9348" s="5"/>
      <c r="E9348" s="5"/>
      <c r="F9348" s="5"/>
      <c r="G9348" s="5"/>
      <c r="H9348" s="5"/>
      <c r="I9348" s="5"/>
      <c r="J9348" s="5"/>
      <c r="K9348" s="5"/>
      <c r="L9348" s="5"/>
    </row>
    <row r="9349" spans="1:12" ht="12" customHeight="1" x14ac:dyDescent="0.25">
      <c r="A9349" s="6"/>
      <c r="B9349" s="1"/>
      <c r="C9349" s="5"/>
      <c r="D9349" s="5"/>
      <c r="E9349" s="5"/>
      <c r="F9349" s="5"/>
      <c r="G9349" s="5"/>
      <c r="H9349" s="5"/>
      <c r="I9349" s="5"/>
      <c r="J9349" s="5"/>
      <c r="K9349" s="5"/>
      <c r="L9349" s="5"/>
    </row>
    <row r="9350" spans="1:12" ht="12" customHeight="1" x14ac:dyDescent="0.25">
      <c r="A9350" s="6"/>
      <c r="B9350" s="1"/>
      <c r="C9350" s="5"/>
      <c r="D9350" s="5"/>
      <c r="E9350" s="5"/>
      <c r="F9350" s="5"/>
      <c r="G9350" s="5"/>
      <c r="H9350" s="5"/>
      <c r="I9350" s="5"/>
      <c r="J9350" s="5"/>
      <c r="K9350" s="5"/>
      <c r="L9350" s="5"/>
    </row>
    <row r="9351" spans="1:12" ht="12" customHeight="1" x14ac:dyDescent="0.25">
      <c r="A9351" s="6"/>
      <c r="B9351" s="1"/>
      <c r="C9351" s="5"/>
      <c r="D9351" s="5"/>
      <c r="E9351" s="5"/>
      <c r="F9351" s="5"/>
      <c r="G9351" s="5"/>
      <c r="H9351" s="5"/>
      <c r="I9351" s="5"/>
      <c r="J9351" s="5"/>
      <c r="K9351" s="5"/>
      <c r="L9351" s="5"/>
    </row>
    <row r="9352" spans="1:12" ht="12" customHeight="1" x14ac:dyDescent="0.25">
      <c r="A9352" s="6"/>
      <c r="B9352" s="1"/>
      <c r="C9352" s="5"/>
      <c r="D9352" s="5"/>
      <c r="E9352" s="5"/>
      <c r="F9352" s="5"/>
      <c r="G9352" s="5"/>
      <c r="H9352" s="5"/>
      <c r="I9352" s="5"/>
      <c r="J9352" s="5"/>
      <c r="K9352" s="5"/>
      <c r="L9352" s="5"/>
    </row>
    <row r="9353" spans="1:12" ht="12" customHeight="1" x14ac:dyDescent="0.25">
      <c r="A9353" s="6"/>
      <c r="B9353" s="1"/>
      <c r="C9353" s="5"/>
      <c r="D9353" s="5"/>
      <c r="E9353" s="5"/>
      <c r="F9353" s="5"/>
      <c r="G9353" s="5"/>
      <c r="H9353" s="5"/>
      <c r="I9353" s="5"/>
      <c r="J9353" s="5"/>
      <c r="K9353" s="5"/>
      <c r="L9353" s="5"/>
    </row>
    <row r="9354" spans="1:12" ht="12" customHeight="1" x14ac:dyDescent="0.25">
      <c r="A9354" s="6"/>
      <c r="B9354" s="1"/>
      <c r="C9354" s="5"/>
      <c r="D9354" s="5"/>
      <c r="E9354" s="5"/>
      <c r="F9354" s="5"/>
      <c r="G9354" s="5"/>
      <c r="H9354" s="5"/>
      <c r="I9354" s="5"/>
      <c r="J9354" s="5"/>
      <c r="K9354" s="5"/>
      <c r="L9354" s="5"/>
    </row>
    <row r="9355" spans="1:12" ht="12" customHeight="1" x14ac:dyDescent="0.25">
      <c r="A9355" s="6"/>
      <c r="B9355" s="1"/>
      <c r="C9355" s="5"/>
      <c r="D9355" s="5"/>
      <c r="E9355" s="5"/>
      <c r="F9355" s="5"/>
      <c r="G9355" s="5"/>
      <c r="H9355" s="5"/>
      <c r="I9355" s="5"/>
      <c r="J9355" s="5"/>
      <c r="K9355" s="5"/>
      <c r="L9355" s="5"/>
    </row>
    <row r="9356" spans="1:12" ht="12" customHeight="1" x14ac:dyDescent="0.25">
      <c r="A9356" s="6"/>
      <c r="B9356" s="1"/>
      <c r="C9356" s="5"/>
      <c r="D9356" s="5"/>
      <c r="E9356" s="5"/>
      <c r="F9356" s="5"/>
      <c r="G9356" s="5"/>
      <c r="H9356" s="5"/>
      <c r="I9356" s="5"/>
      <c r="J9356" s="5"/>
      <c r="K9356" s="5"/>
      <c r="L9356" s="5"/>
    </row>
    <row r="9357" spans="1:12" ht="12" customHeight="1" x14ac:dyDescent="0.25">
      <c r="A9357" s="6"/>
      <c r="B9357" s="1"/>
      <c r="C9357" s="5"/>
      <c r="D9357" s="5"/>
      <c r="E9357" s="5"/>
      <c r="F9357" s="5"/>
      <c r="G9357" s="5"/>
      <c r="H9357" s="5"/>
      <c r="I9357" s="5"/>
      <c r="J9357" s="5"/>
      <c r="K9357" s="5"/>
      <c r="L9357" s="5"/>
    </row>
    <row r="9358" spans="1:12" ht="12" customHeight="1" x14ac:dyDescent="0.25">
      <c r="A9358" s="6"/>
      <c r="B9358" s="1"/>
      <c r="C9358" s="5"/>
      <c r="D9358" s="5"/>
      <c r="E9358" s="5"/>
      <c r="F9358" s="5"/>
      <c r="G9358" s="5"/>
      <c r="H9358" s="5"/>
      <c r="I9358" s="5"/>
      <c r="J9358" s="5"/>
      <c r="K9358" s="5"/>
      <c r="L9358" s="5"/>
    </row>
    <row r="9359" spans="1:12" ht="12" customHeight="1" x14ac:dyDescent="0.25">
      <c r="A9359" s="6"/>
      <c r="B9359" s="1"/>
      <c r="C9359" s="5"/>
      <c r="D9359" s="5"/>
      <c r="E9359" s="5"/>
      <c r="F9359" s="5"/>
      <c r="G9359" s="5"/>
      <c r="H9359" s="5"/>
      <c r="I9359" s="5"/>
      <c r="J9359" s="5"/>
      <c r="K9359" s="5"/>
      <c r="L9359" s="5"/>
    </row>
    <row r="9360" spans="1:12" ht="12" customHeight="1" x14ac:dyDescent="0.25">
      <c r="A9360" s="6"/>
      <c r="B9360" s="1"/>
      <c r="C9360" s="5"/>
      <c r="D9360" s="5"/>
      <c r="E9360" s="5"/>
      <c r="F9360" s="5"/>
      <c r="G9360" s="5"/>
      <c r="H9360" s="5"/>
      <c r="I9360" s="5"/>
      <c r="J9360" s="5"/>
      <c r="K9360" s="5"/>
      <c r="L9360" s="5"/>
    </row>
    <row r="9361" spans="1:12" ht="12" customHeight="1" x14ac:dyDescent="0.25">
      <c r="A9361" s="6"/>
      <c r="B9361" s="1"/>
      <c r="C9361" s="5"/>
      <c r="D9361" s="5"/>
      <c r="E9361" s="5"/>
      <c r="F9361" s="5"/>
      <c r="G9361" s="5"/>
      <c r="H9361" s="5"/>
      <c r="I9361" s="5"/>
      <c r="J9361" s="5"/>
      <c r="K9361" s="5"/>
      <c r="L9361" s="5"/>
    </row>
    <row r="9362" spans="1:12" ht="12" customHeight="1" x14ac:dyDescent="0.25">
      <c r="A9362" s="6"/>
      <c r="B9362" s="1"/>
      <c r="C9362" s="5"/>
      <c r="D9362" s="5"/>
      <c r="E9362" s="5"/>
      <c r="F9362" s="5"/>
      <c r="G9362" s="5"/>
      <c r="H9362" s="5"/>
      <c r="I9362" s="5"/>
      <c r="J9362" s="5"/>
      <c r="K9362" s="5"/>
      <c r="L9362" s="5"/>
    </row>
    <row r="9363" spans="1:12" ht="12" customHeight="1" x14ac:dyDescent="0.25">
      <c r="A9363" s="6"/>
      <c r="B9363" s="1"/>
      <c r="C9363" s="5"/>
      <c r="D9363" s="5"/>
      <c r="E9363" s="5"/>
      <c r="F9363" s="5"/>
      <c r="G9363" s="5"/>
      <c r="H9363" s="5"/>
      <c r="I9363" s="5"/>
      <c r="J9363" s="5"/>
      <c r="K9363" s="5"/>
      <c r="L9363" s="5"/>
    </row>
    <row r="9364" spans="1:12" ht="12" customHeight="1" x14ac:dyDescent="0.25">
      <c r="A9364" s="6"/>
      <c r="B9364" s="1"/>
      <c r="C9364" s="5"/>
      <c r="D9364" s="5"/>
      <c r="E9364" s="5"/>
      <c r="F9364" s="5"/>
      <c r="G9364" s="5"/>
      <c r="H9364" s="5"/>
      <c r="I9364" s="5"/>
      <c r="J9364" s="5"/>
      <c r="K9364" s="5"/>
      <c r="L9364" s="5"/>
    </row>
    <row r="9365" spans="1:12" ht="12" customHeight="1" x14ac:dyDescent="0.25">
      <c r="A9365" s="6"/>
      <c r="B9365" s="1"/>
      <c r="C9365" s="5"/>
      <c r="D9365" s="5"/>
      <c r="E9365" s="5"/>
      <c r="F9365" s="5"/>
      <c r="G9365" s="5"/>
      <c r="H9365" s="5"/>
      <c r="I9365" s="5"/>
      <c r="J9365" s="5"/>
      <c r="K9365" s="5"/>
      <c r="L9365" s="5"/>
    </row>
    <row r="9366" spans="1:12" ht="12" customHeight="1" x14ac:dyDescent="0.25">
      <c r="A9366" s="6"/>
      <c r="B9366" s="1"/>
      <c r="C9366" s="5"/>
      <c r="D9366" s="5"/>
      <c r="E9366" s="5"/>
      <c r="F9366" s="5"/>
      <c r="G9366" s="5"/>
      <c r="H9366" s="5"/>
      <c r="I9366" s="5"/>
      <c r="J9366" s="5"/>
      <c r="K9366" s="5"/>
      <c r="L9366" s="5"/>
    </row>
    <row r="9367" spans="1:12" ht="12" customHeight="1" x14ac:dyDescent="0.25">
      <c r="A9367" s="6"/>
      <c r="B9367" s="1"/>
      <c r="C9367" s="5"/>
      <c r="D9367" s="5"/>
      <c r="E9367" s="5"/>
      <c r="F9367" s="5"/>
      <c r="G9367" s="5"/>
      <c r="H9367" s="5"/>
      <c r="I9367" s="5"/>
      <c r="J9367" s="5"/>
      <c r="K9367" s="5"/>
      <c r="L9367" s="5"/>
    </row>
    <row r="9368" spans="1:12" ht="12" customHeight="1" x14ac:dyDescent="0.25">
      <c r="A9368" s="6"/>
      <c r="B9368" s="1"/>
      <c r="C9368" s="5"/>
      <c r="D9368" s="5"/>
      <c r="E9368" s="5"/>
      <c r="F9368" s="5"/>
      <c r="G9368" s="5"/>
      <c r="H9368" s="5"/>
      <c r="I9368" s="5"/>
      <c r="J9368" s="5"/>
      <c r="K9368" s="5"/>
      <c r="L9368" s="5"/>
    </row>
    <row r="9369" spans="1:12" ht="12" customHeight="1" x14ac:dyDescent="0.25">
      <c r="A9369" s="6"/>
      <c r="B9369" s="1"/>
      <c r="C9369" s="5"/>
      <c r="D9369" s="5"/>
      <c r="E9369" s="5"/>
      <c r="F9369" s="5"/>
      <c r="G9369" s="5"/>
      <c r="H9369" s="5"/>
      <c r="I9369" s="5"/>
      <c r="J9369" s="5"/>
      <c r="K9369" s="5"/>
      <c r="L9369" s="5"/>
    </row>
    <row r="9370" spans="1:12" ht="12" customHeight="1" x14ac:dyDescent="0.25">
      <c r="A9370" s="6"/>
      <c r="B9370" s="1"/>
      <c r="C9370" s="5"/>
      <c r="D9370" s="5"/>
      <c r="E9370" s="5"/>
      <c r="F9370" s="5"/>
      <c r="G9370" s="5"/>
      <c r="H9370" s="5"/>
      <c r="I9370" s="5"/>
      <c r="J9370" s="5"/>
      <c r="K9370" s="5"/>
      <c r="L9370" s="5"/>
    </row>
    <row r="9371" spans="1:12" ht="12" customHeight="1" x14ac:dyDescent="0.25">
      <c r="A9371" s="6"/>
      <c r="B9371" s="1"/>
      <c r="C9371" s="5"/>
      <c r="D9371" s="5"/>
      <c r="E9371" s="5"/>
      <c r="F9371" s="5"/>
      <c r="G9371" s="5"/>
      <c r="H9371" s="5"/>
      <c r="I9371" s="5"/>
      <c r="J9371" s="5"/>
      <c r="K9371" s="5"/>
      <c r="L9371" s="5"/>
    </row>
    <row r="9372" spans="1:12" ht="12" customHeight="1" x14ac:dyDescent="0.25">
      <c r="A9372" s="6"/>
      <c r="B9372" s="1"/>
      <c r="C9372" s="5"/>
      <c r="D9372" s="5"/>
      <c r="E9372" s="5"/>
      <c r="F9372" s="5"/>
      <c r="G9372" s="5"/>
      <c r="H9372" s="5"/>
      <c r="I9372" s="5"/>
      <c r="J9372" s="5"/>
      <c r="K9372" s="5"/>
      <c r="L9372" s="5"/>
    </row>
    <row r="9373" spans="1:12" ht="12" customHeight="1" x14ac:dyDescent="0.25">
      <c r="A9373" s="6"/>
      <c r="B9373" s="1"/>
      <c r="C9373" s="5"/>
      <c r="D9373" s="5"/>
      <c r="E9373" s="5"/>
      <c r="F9373" s="5"/>
      <c r="G9373" s="5"/>
      <c r="H9373" s="5"/>
      <c r="I9373" s="5"/>
      <c r="J9373" s="5"/>
      <c r="K9373" s="5"/>
      <c r="L9373" s="5"/>
    </row>
    <row r="9374" spans="1:12" ht="12" customHeight="1" x14ac:dyDescent="0.25">
      <c r="A9374" s="6"/>
      <c r="B9374" s="1"/>
      <c r="C9374" s="5"/>
      <c r="D9374" s="5"/>
      <c r="E9374" s="5"/>
      <c r="F9374" s="5"/>
      <c r="G9374" s="5"/>
      <c r="H9374" s="5"/>
      <c r="I9374" s="5"/>
      <c r="J9374" s="5"/>
      <c r="K9374" s="5"/>
      <c r="L9374" s="5"/>
    </row>
    <row r="9375" spans="1:12" ht="12" customHeight="1" x14ac:dyDescent="0.25">
      <c r="A9375" s="6"/>
      <c r="B9375" s="1"/>
      <c r="C9375" s="5"/>
      <c r="D9375" s="5"/>
      <c r="E9375" s="5"/>
      <c r="F9375" s="5"/>
      <c r="G9375" s="5"/>
      <c r="H9375" s="5"/>
      <c r="I9375" s="5"/>
      <c r="J9375" s="5"/>
      <c r="K9375" s="5"/>
      <c r="L9375" s="5"/>
    </row>
    <row r="9376" spans="1:12" ht="12" customHeight="1" x14ac:dyDescent="0.25">
      <c r="A9376" s="6"/>
      <c r="B9376" s="1"/>
      <c r="C9376" s="5"/>
      <c r="D9376" s="5"/>
      <c r="E9376" s="5"/>
      <c r="F9376" s="5"/>
      <c r="G9376" s="5"/>
      <c r="H9376" s="5"/>
      <c r="I9376" s="5"/>
      <c r="J9376" s="5"/>
      <c r="K9376" s="5"/>
      <c r="L9376" s="5"/>
    </row>
    <row r="9377" spans="1:12" ht="12" customHeight="1" x14ac:dyDescent="0.25">
      <c r="A9377" s="6"/>
      <c r="B9377" s="1"/>
      <c r="C9377" s="5"/>
      <c r="D9377" s="5"/>
      <c r="E9377" s="5"/>
      <c r="F9377" s="5"/>
      <c r="G9377" s="5"/>
      <c r="H9377" s="5"/>
      <c r="I9377" s="5"/>
      <c r="J9377" s="5"/>
      <c r="K9377" s="5"/>
      <c r="L9377" s="5"/>
    </row>
    <row r="9378" spans="1:12" ht="12" customHeight="1" x14ac:dyDescent="0.25">
      <c r="A9378" s="6"/>
      <c r="B9378" s="1"/>
      <c r="C9378" s="5"/>
      <c r="D9378" s="5"/>
      <c r="E9378" s="5"/>
      <c r="F9378" s="5"/>
      <c r="G9378" s="5"/>
      <c r="H9378" s="5"/>
      <c r="I9378" s="5"/>
      <c r="J9378" s="5"/>
      <c r="K9378" s="5"/>
      <c r="L9378" s="5"/>
    </row>
    <row r="9379" spans="1:12" ht="12" customHeight="1" x14ac:dyDescent="0.25">
      <c r="A9379" s="6"/>
      <c r="B9379" s="1"/>
      <c r="C9379" s="5"/>
      <c r="D9379" s="5"/>
      <c r="E9379" s="5"/>
      <c r="F9379" s="5"/>
      <c r="G9379" s="5"/>
      <c r="H9379" s="5"/>
      <c r="I9379" s="5"/>
      <c r="J9379" s="5"/>
      <c r="K9379" s="5"/>
      <c r="L9379" s="5"/>
    </row>
    <row r="9380" spans="1:12" ht="12" customHeight="1" x14ac:dyDescent="0.25">
      <c r="A9380" s="6"/>
      <c r="B9380" s="1"/>
      <c r="C9380" s="5"/>
      <c r="D9380" s="5"/>
      <c r="E9380" s="5"/>
      <c r="F9380" s="5"/>
      <c r="G9380" s="5"/>
      <c r="H9380" s="5"/>
      <c r="I9380" s="5"/>
      <c r="J9380" s="5"/>
      <c r="K9380" s="5"/>
      <c r="L9380" s="5"/>
    </row>
    <row r="9381" spans="1:12" ht="12" customHeight="1" x14ac:dyDescent="0.25">
      <c r="A9381" s="6"/>
      <c r="B9381" s="1"/>
      <c r="C9381" s="5"/>
      <c r="D9381" s="5"/>
      <c r="E9381" s="5"/>
      <c r="F9381" s="5"/>
      <c r="G9381" s="5"/>
      <c r="H9381" s="5"/>
      <c r="I9381" s="5"/>
      <c r="J9381" s="5"/>
      <c r="K9381" s="5"/>
      <c r="L9381" s="5"/>
    </row>
    <row r="9382" spans="1:12" ht="12" customHeight="1" x14ac:dyDescent="0.25">
      <c r="A9382" s="6"/>
      <c r="B9382" s="1"/>
      <c r="C9382" s="5"/>
      <c r="D9382" s="5"/>
      <c r="E9382" s="5"/>
      <c r="F9382" s="5"/>
      <c r="G9382" s="5"/>
      <c r="H9382" s="5"/>
      <c r="I9382" s="5"/>
      <c r="J9382" s="5"/>
      <c r="K9382" s="5"/>
      <c r="L9382" s="5"/>
    </row>
    <row r="9383" spans="1:12" ht="12" customHeight="1" x14ac:dyDescent="0.25">
      <c r="A9383" s="6"/>
      <c r="B9383" s="1"/>
      <c r="C9383" s="5"/>
      <c r="D9383" s="5"/>
      <c r="E9383" s="5"/>
      <c r="F9383" s="5"/>
      <c r="G9383" s="5"/>
      <c r="H9383" s="5"/>
      <c r="I9383" s="5"/>
      <c r="J9383" s="5"/>
      <c r="K9383" s="5"/>
      <c r="L9383" s="5"/>
    </row>
    <row r="9384" spans="1:12" ht="12" customHeight="1" x14ac:dyDescent="0.25">
      <c r="A9384" s="6"/>
      <c r="B9384" s="1"/>
      <c r="C9384" s="5"/>
      <c r="D9384" s="5"/>
      <c r="E9384" s="5"/>
      <c r="F9384" s="5"/>
      <c r="G9384" s="5"/>
      <c r="H9384" s="5"/>
      <c r="I9384" s="5"/>
      <c r="J9384" s="5"/>
      <c r="K9384" s="5"/>
      <c r="L9384" s="5"/>
    </row>
    <row r="9385" spans="1:12" ht="12" customHeight="1" x14ac:dyDescent="0.25">
      <c r="A9385" s="6"/>
      <c r="B9385" s="1"/>
      <c r="C9385" s="5"/>
      <c r="D9385" s="5"/>
      <c r="E9385" s="5"/>
      <c r="F9385" s="5"/>
      <c r="G9385" s="5"/>
      <c r="H9385" s="5"/>
      <c r="I9385" s="5"/>
      <c r="J9385" s="5"/>
      <c r="K9385" s="5"/>
      <c r="L9385" s="5"/>
    </row>
    <row r="9386" spans="1:12" ht="12" customHeight="1" x14ac:dyDescent="0.25">
      <c r="A9386" s="6"/>
      <c r="B9386" s="1"/>
      <c r="C9386" s="5"/>
      <c r="D9386" s="5"/>
      <c r="E9386" s="5"/>
      <c r="F9386" s="5"/>
      <c r="G9386" s="5"/>
      <c r="H9386" s="5"/>
      <c r="I9386" s="5"/>
      <c r="J9386" s="5"/>
      <c r="K9386" s="5"/>
      <c r="L9386" s="5"/>
    </row>
    <row r="9387" spans="1:12" ht="12" customHeight="1" x14ac:dyDescent="0.25">
      <c r="A9387" s="6"/>
      <c r="B9387" s="1"/>
      <c r="C9387" s="5"/>
      <c r="D9387" s="5"/>
      <c r="E9387" s="5"/>
      <c r="F9387" s="5"/>
      <c r="G9387" s="5"/>
      <c r="H9387" s="5"/>
      <c r="I9387" s="5"/>
      <c r="J9387" s="5"/>
      <c r="K9387" s="5"/>
      <c r="L9387" s="5"/>
    </row>
    <row r="9388" spans="1:12" ht="12" customHeight="1" x14ac:dyDescent="0.25">
      <c r="A9388" s="6"/>
      <c r="B9388" s="1"/>
      <c r="C9388" s="5"/>
      <c r="D9388" s="5"/>
      <c r="E9388" s="5"/>
      <c r="F9388" s="5"/>
      <c r="G9388" s="5"/>
      <c r="H9388" s="5"/>
      <c r="I9388" s="5"/>
      <c r="J9388" s="5"/>
      <c r="K9388" s="5"/>
      <c r="L9388" s="5"/>
    </row>
    <row r="9389" spans="1:12" ht="12" customHeight="1" x14ac:dyDescent="0.25">
      <c r="A9389" s="6"/>
      <c r="B9389" s="1"/>
      <c r="C9389" s="5"/>
      <c r="D9389" s="5"/>
      <c r="E9389" s="5"/>
      <c r="F9389" s="5"/>
      <c r="G9389" s="5"/>
      <c r="H9389" s="5"/>
      <c r="I9389" s="5"/>
      <c r="J9389" s="5"/>
      <c r="K9389" s="5"/>
      <c r="L9389" s="5"/>
    </row>
    <row r="9390" spans="1:12" ht="12" customHeight="1" x14ac:dyDescent="0.25">
      <c r="A9390" s="6"/>
      <c r="B9390" s="1"/>
      <c r="C9390" s="5"/>
      <c r="D9390" s="5"/>
      <c r="E9390" s="5"/>
      <c r="F9390" s="5"/>
      <c r="G9390" s="5"/>
      <c r="H9390" s="5"/>
      <c r="I9390" s="5"/>
      <c r="J9390" s="5"/>
      <c r="K9390" s="5"/>
      <c r="L9390" s="5"/>
    </row>
    <row r="9391" spans="1:12" ht="12" customHeight="1" x14ac:dyDescent="0.25">
      <c r="A9391" s="6"/>
      <c r="B9391" s="1"/>
      <c r="C9391" s="5"/>
      <c r="D9391" s="5"/>
      <c r="E9391" s="5"/>
      <c r="F9391" s="5"/>
      <c r="G9391" s="5"/>
      <c r="H9391" s="5"/>
      <c r="I9391" s="5"/>
      <c r="J9391" s="5"/>
      <c r="K9391" s="5"/>
      <c r="L9391" s="5"/>
    </row>
    <row r="9392" spans="1:12" ht="12" customHeight="1" x14ac:dyDescent="0.25">
      <c r="A9392" s="6"/>
      <c r="B9392" s="1"/>
      <c r="C9392" s="5"/>
      <c r="D9392" s="5"/>
      <c r="E9392" s="5"/>
      <c r="F9392" s="5"/>
      <c r="G9392" s="5"/>
      <c r="H9392" s="5"/>
      <c r="I9392" s="5"/>
      <c r="J9392" s="5"/>
      <c r="K9392" s="5"/>
      <c r="L9392" s="5"/>
    </row>
    <row r="9393" spans="1:12" ht="12" customHeight="1" x14ac:dyDescent="0.25">
      <c r="A9393" s="6"/>
      <c r="B9393" s="1"/>
      <c r="C9393" s="5"/>
      <c r="D9393" s="5"/>
      <c r="E9393" s="5"/>
      <c r="F9393" s="5"/>
      <c r="G9393" s="5"/>
      <c r="H9393" s="5"/>
      <c r="I9393" s="5"/>
      <c r="J9393" s="5"/>
      <c r="K9393" s="5"/>
      <c r="L9393" s="5"/>
    </row>
    <row r="9394" spans="1:12" ht="12" customHeight="1" x14ac:dyDescent="0.25">
      <c r="A9394" s="6"/>
      <c r="B9394" s="1"/>
      <c r="C9394" s="5"/>
      <c r="D9394" s="5"/>
      <c r="E9394" s="5"/>
      <c r="F9394" s="5"/>
      <c r="G9394" s="5"/>
      <c r="H9394" s="5"/>
      <c r="I9394" s="5"/>
      <c r="J9394" s="5"/>
      <c r="K9394" s="5"/>
      <c r="L9394" s="5"/>
    </row>
    <row r="9395" spans="1:12" ht="12" customHeight="1" x14ac:dyDescent="0.25">
      <c r="A9395" s="6"/>
      <c r="B9395" s="1"/>
      <c r="C9395" s="5"/>
      <c r="D9395" s="5"/>
      <c r="E9395" s="5"/>
      <c r="F9395" s="5"/>
      <c r="G9395" s="5"/>
      <c r="H9395" s="5"/>
      <c r="I9395" s="5"/>
      <c r="J9395" s="5"/>
      <c r="K9395" s="5"/>
      <c r="L9395" s="5"/>
    </row>
    <row r="9396" spans="1:12" ht="12" customHeight="1" x14ac:dyDescent="0.25">
      <c r="A9396" s="6"/>
      <c r="B9396" s="1"/>
      <c r="C9396" s="5"/>
      <c r="D9396" s="5"/>
      <c r="E9396" s="5"/>
      <c r="F9396" s="5"/>
      <c r="G9396" s="5"/>
      <c r="H9396" s="5"/>
      <c r="I9396" s="5"/>
      <c r="J9396" s="5"/>
      <c r="K9396" s="5"/>
      <c r="L9396" s="5"/>
    </row>
    <row r="9397" spans="1:12" ht="12" customHeight="1" x14ac:dyDescent="0.25">
      <c r="A9397" s="6"/>
      <c r="B9397" s="1"/>
      <c r="C9397" s="5"/>
      <c r="D9397" s="5"/>
      <c r="E9397" s="5"/>
      <c r="F9397" s="5"/>
      <c r="G9397" s="5"/>
      <c r="H9397" s="5"/>
      <c r="I9397" s="5"/>
      <c r="J9397" s="5"/>
      <c r="K9397" s="5"/>
      <c r="L9397" s="5"/>
    </row>
    <row r="9398" spans="1:12" ht="12" customHeight="1" x14ac:dyDescent="0.25">
      <c r="A9398" s="6"/>
      <c r="B9398" s="1"/>
      <c r="C9398" s="5"/>
      <c r="D9398" s="5"/>
      <c r="E9398" s="5"/>
      <c r="F9398" s="5"/>
      <c r="G9398" s="5"/>
      <c r="H9398" s="5"/>
      <c r="I9398" s="5"/>
      <c r="J9398" s="5"/>
      <c r="K9398" s="5"/>
      <c r="L9398" s="5"/>
    </row>
    <row r="9399" spans="1:12" ht="12" customHeight="1" x14ac:dyDescent="0.25">
      <c r="A9399" s="6"/>
      <c r="B9399" s="1"/>
      <c r="C9399" s="5"/>
      <c r="D9399" s="5"/>
      <c r="E9399" s="5"/>
      <c r="F9399" s="5"/>
      <c r="G9399" s="5"/>
      <c r="H9399" s="5"/>
      <c r="I9399" s="5"/>
      <c r="J9399" s="5"/>
      <c r="K9399" s="5"/>
      <c r="L9399" s="5"/>
    </row>
    <row r="9400" spans="1:12" ht="12" customHeight="1" x14ac:dyDescent="0.25">
      <c r="A9400" s="6"/>
      <c r="B9400" s="1"/>
      <c r="C9400" s="5"/>
      <c r="D9400" s="5"/>
      <c r="E9400" s="5"/>
      <c r="F9400" s="5"/>
      <c r="G9400" s="5"/>
      <c r="H9400" s="5"/>
      <c r="I9400" s="5"/>
      <c r="J9400" s="5"/>
      <c r="K9400" s="5"/>
      <c r="L9400" s="5"/>
    </row>
    <row r="9401" spans="1:12" ht="12" customHeight="1" x14ac:dyDescent="0.25">
      <c r="A9401" s="6"/>
      <c r="B9401" s="1"/>
      <c r="C9401" s="5"/>
      <c r="D9401" s="5"/>
      <c r="E9401" s="5"/>
      <c r="F9401" s="5"/>
      <c r="G9401" s="5"/>
      <c r="H9401" s="5"/>
      <c r="I9401" s="5"/>
      <c r="J9401" s="5"/>
      <c r="K9401" s="5"/>
      <c r="L9401" s="5"/>
    </row>
    <row r="9402" spans="1:12" ht="12" customHeight="1" x14ac:dyDescent="0.25">
      <c r="A9402" s="6"/>
      <c r="B9402" s="1"/>
      <c r="C9402" s="5"/>
      <c r="D9402" s="5"/>
      <c r="E9402" s="5"/>
      <c r="F9402" s="5"/>
      <c r="G9402" s="5"/>
      <c r="H9402" s="5"/>
      <c r="I9402" s="5"/>
      <c r="J9402" s="5"/>
      <c r="K9402" s="5"/>
      <c r="L9402" s="5"/>
    </row>
    <row r="9403" spans="1:12" ht="12" customHeight="1" x14ac:dyDescent="0.25">
      <c r="A9403" s="6"/>
      <c r="B9403" s="1"/>
      <c r="C9403" s="5"/>
      <c r="D9403" s="5"/>
      <c r="E9403" s="5"/>
      <c r="F9403" s="5"/>
      <c r="G9403" s="5"/>
      <c r="H9403" s="5"/>
      <c r="I9403" s="5"/>
      <c r="J9403" s="5"/>
      <c r="K9403" s="5"/>
      <c r="L9403" s="5"/>
    </row>
    <row r="9404" spans="1:12" ht="12" customHeight="1" x14ac:dyDescent="0.25">
      <c r="A9404" s="6"/>
      <c r="B9404" s="1"/>
      <c r="C9404" s="5"/>
      <c r="D9404" s="5"/>
      <c r="E9404" s="5"/>
      <c r="F9404" s="5"/>
      <c r="G9404" s="5"/>
      <c r="H9404" s="5"/>
      <c r="I9404" s="5"/>
      <c r="J9404" s="5"/>
      <c r="K9404" s="5"/>
      <c r="L9404" s="5"/>
    </row>
    <row r="9405" spans="1:12" ht="12" customHeight="1" x14ac:dyDescent="0.25">
      <c r="A9405" s="6"/>
      <c r="B9405" s="1"/>
      <c r="C9405" s="5"/>
      <c r="D9405" s="5"/>
      <c r="E9405" s="5"/>
      <c r="F9405" s="5"/>
      <c r="G9405" s="5"/>
      <c r="H9405" s="5"/>
      <c r="I9405" s="5"/>
      <c r="J9405" s="5"/>
      <c r="K9405" s="5"/>
      <c r="L9405" s="5"/>
    </row>
    <row r="9406" spans="1:12" ht="12" customHeight="1" x14ac:dyDescent="0.25">
      <c r="A9406" s="6"/>
      <c r="B9406" s="1"/>
      <c r="C9406" s="5"/>
      <c r="D9406" s="5"/>
      <c r="E9406" s="5"/>
      <c r="F9406" s="5"/>
      <c r="G9406" s="5"/>
      <c r="H9406" s="5"/>
      <c r="I9406" s="5"/>
      <c r="J9406" s="5"/>
      <c r="K9406" s="5"/>
      <c r="L9406" s="5"/>
    </row>
    <row r="9407" spans="1:12" ht="12" customHeight="1" x14ac:dyDescent="0.25">
      <c r="A9407" s="6"/>
      <c r="B9407" s="1"/>
      <c r="C9407" s="5"/>
      <c r="D9407" s="5"/>
      <c r="E9407" s="5"/>
      <c r="F9407" s="5"/>
      <c r="G9407" s="5"/>
      <c r="H9407" s="5"/>
      <c r="I9407" s="5"/>
      <c r="J9407" s="5"/>
      <c r="K9407" s="5"/>
      <c r="L9407" s="5"/>
    </row>
    <row r="9408" spans="1:12" ht="12" customHeight="1" x14ac:dyDescent="0.25">
      <c r="A9408" s="6"/>
      <c r="B9408" s="1"/>
      <c r="C9408" s="5"/>
      <c r="D9408" s="5"/>
      <c r="E9408" s="5"/>
      <c r="F9408" s="5"/>
      <c r="G9408" s="5"/>
      <c r="H9408" s="5"/>
      <c r="I9408" s="5"/>
      <c r="J9408" s="5"/>
      <c r="K9408" s="5"/>
      <c r="L9408" s="5"/>
    </row>
    <row r="9409" spans="1:12" ht="12" customHeight="1" x14ac:dyDescent="0.25">
      <c r="A9409" s="6"/>
      <c r="B9409" s="1"/>
      <c r="C9409" s="5"/>
      <c r="D9409" s="5"/>
      <c r="E9409" s="5"/>
      <c r="F9409" s="5"/>
      <c r="G9409" s="5"/>
      <c r="H9409" s="5"/>
      <c r="I9409" s="5"/>
      <c r="J9409" s="5"/>
      <c r="K9409" s="5"/>
      <c r="L9409" s="5"/>
    </row>
    <row r="9410" spans="1:12" ht="12" customHeight="1" x14ac:dyDescent="0.25">
      <c r="A9410" s="6"/>
      <c r="B9410" s="1"/>
      <c r="C9410" s="5"/>
      <c r="D9410" s="5"/>
      <c r="E9410" s="5"/>
      <c r="F9410" s="5"/>
      <c r="G9410" s="5"/>
      <c r="H9410" s="5"/>
      <c r="I9410" s="5"/>
      <c r="J9410" s="5"/>
      <c r="K9410" s="5"/>
      <c r="L9410" s="5"/>
    </row>
    <row r="9411" spans="1:12" ht="12" customHeight="1" x14ac:dyDescent="0.25">
      <c r="A9411" s="6"/>
      <c r="B9411" s="1"/>
      <c r="C9411" s="5"/>
      <c r="D9411" s="5"/>
      <c r="E9411" s="5"/>
      <c r="F9411" s="5"/>
      <c r="G9411" s="5"/>
      <c r="H9411" s="5"/>
      <c r="I9411" s="5"/>
      <c r="J9411" s="5"/>
      <c r="K9411" s="5"/>
      <c r="L9411" s="5"/>
    </row>
    <row r="9412" spans="1:12" ht="12" customHeight="1" x14ac:dyDescent="0.25">
      <c r="A9412" s="6"/>
      <c r="B9412" s="1"/>
      <c r="C9412" s="5"/>
      <c r="D9412" s="5"/>
      <c r="E9412" s="5"/>
      <c r="F9412" s="5"/>
      <c r="G9412" s="5"/>
      <c r="H9412" s="5"/>
      <c r="I9412" s="5"/>
      <c r="J9412" s="5"/>
      <c r="K9412" s="5"/>
      <c r="L9412" s="5"/>
    </row>
    <row r="9413" spans="1:12" ht="12" customHeight="1" x14ac:dyDescent="0.25">
      <c r="A9413" s="6"/>
      <c r="B9413" s="1"/>
      <c r="C9413" s="5"/>
      <c r="D9413" s="5"/>
      <c r="E9413" s="5"/>
      <c r="F9413" s="5"/>
      <c r="G9413" s="5"/>
      <c r="H9413" s="5"/>
      <c r="I9413" s="5"/>
      <c r="J9413" s="5"/>
      <c r="K9413" s="5"/>
      <c r="L9413" s="5"/>
    </row>
    <row r="9414" spans="1:12" ht="12" customHeight="1" x14ac:dyDescent="0.25">
      <c r="A9414" s="6"/>
      <c r="B9414" s="1"/>
      <c r="C9414" s="5"/>
      <c r="D9414" s="5"/>
      <c r="E9414" s="5"/>
      <c r="F9414" s="5"/>
      <c r="G9414" s="5"/>
      <c r="H9414" s="5"/>
      <c r="I9414" s="5"/>
      <c r="J9414" s="5"/>
      <c r="K9414" s="5"/>
      <c r="L9414" s="5"/>
    </row>
    <row r="9415" spans="1:12" ht="12" customHeight="1" x14ac:dyDescent="0.25">
      <c r="A9415" s="6"/>
      <c r="B9415" s="1"/>
      <c r="C9415" s="5"/>
      <c r="D9415" s="5"/>
      <c r="E9415" s="5"/>
      <c r="F9415" s="5"/>
      <c r="G9415" s="5"/>
      <c r="H9415" s="5"/>
      <c r="I9415" s="5"/>
      <c r="J9415" s="5"/>
      <c r="K9415" s="5"/>
      <c r="L9415" s="5"/>
    </row>
    <row r="9416" spans="1:12" ht="12" customHeight="1" x14ac:dyDescent="0.25">
      <c r="A9416" s="6"/>
      <c r="B9416" s="1"/>
      <c r="C9416" s="5"/>
      <c r="D9416" s="5"/>
      <c r="E9416" s="5"/>
      <c r="F9416" s="5"/>
      <c r="G9416" s="5"/>
      <c r="H9416" s="5"/>
      <c r="I9416" s="5"/>
      <c r="J9416" s="5"/>
      <c r="K9416" s="5"/>
      <c r="L9416" s="5"/>
    </row>
    <row r="9417" spans="1:12" ht="12" customHeight="1" x14ac:dyDescent="0.25">
      <c r="A9417" s="6"/>
      <c r="B9417" s="1"/>
      <c r="C9417" s="5"/>
      <c r="D9417" s="5"/>
      <c r="E9417" s="5"/>
      <c r="F9417" s="5"/>
      <c r="G9417" s="5"/>
      <c r="H9417" s="5"/>
      <c r="I9417" s="5"/>
      <c r="J9417" s="5"/>
      <c r="K9417" s="5"/>
      <c r="L9417" s="5"/>
    </row>
    <row r="9418" spans="1:12" ht="12" customHeight="1" x14ac:dyDescent="0.25">
      <c r="A9418" s="6"/>
      <c r="B9418" s="1"/>
      <c r="C9418" s="5"/>
      <c r="D9418" s="5"/>
      <c r="E9418" s="5"/>
      <c r="F9418" s="5"/>
      <c r="G9418" s="5"/>
      <c r="H9418" s="5"/>
      <c r="I9418" s="5"/>
      <c r="J9418" s="5"/>
      <c r="K9418" s="5"/>
      <c r="L9418" s="5"/>
    </row>
    <row r="9419" spans="1:12" ht="12" customHeight="1" x14ac:dyDescent="0.25">
      <c r="A9419" s="6"/>
      <c r="B9419" s="1"/>
      <c r="C9419" s="5"/>
      <c r="D9419" s="5"/>
      <c r="E9419" s="5"/>
      <c r="F9419" s="5"/>
      <c r="G9419" s="5"/>
      <c r="H9419" s="5"/>
      <c r="I9419" s="5"/>
      <c r="J9419" s="5"/>
      <c r="K9419" s="5"/>
      <c r="L9419" s="5"/>
    </row>
    <row r="9420" spans="1:12" ht="12" customHeight="1" x14ac:dyDescent="0.25">
      <c r="A9420" s="6"/>
      <c r="B9420" s="1"/>
      <c r="C9420" s="5"/>
      <c r="D9420" s="5"/>
      <c r="E9420" s="5"/>
      <c r="F9420" s="5"/>
      <c r="G9420" s="5"/>
      <c r="H9420" s="5"/>
      <c r="I9420" s="5"/>
      <c r="J9420" s="5"/>
      <c r="K9420" s="5"/>
      <c r="L9420" s="5"/>
    </row>
    <row r="9421" spans="1:12" ht="12" customHeight="1" x14ac:dyDescent="0.25">
      <c r="A9421" s="6"/>
      <c r="B9421" s="1"/>
      <c r="C9421" s="5"/>
      <c r="D9421" s="5"/>
      <c r="E9421" s="5"/>
      <c r="F9421" s="5"/>
      <c r="G9421" s="5"/>
      <c r="H9421" s="5"/>
      <c r="I9421" s="5"/>
      <c r="J9421" s="5"/>
      <c r="K9421" s="5"/>
      <c r="L9421" s="5"/>
    </row>
    <row r="9422" spans="1:12" ht="12" customHeight="1" x14ac:dyDescent="0.25">
      <c r="A9422" s="6"/>
      <c r="B9422" s="1"/>
      <c r="C9422" s="5"/>
      <c r="D9422" s="5"/>
      <c r="E9422" s="5"/>
      <c r="F9422" s="5"/>
      <c r="G9422" s="5"/>
      <c r="H9422" s="5"/>
      <c r="I9422" s="5"/>
      <c r="J9422" s="5"/>
      <c r="K9422" s="5"/>
      <c r="L9422" s="5"/>
    </row>
    <row r="9423" spans="1:12" ht="12" customHeight="1" x14ac:dyDescent="0.25">
      <c r="A9423" s="6"/>
      <c r="B9423" s="1"/>
      <c r="C9423" s="5"/>
      <c r="D9423" s="5"/>
      <c r="E9423" s="5"/>
      <c r="F9423" s="5"/>
      <c r="G9423" s="5"/>
      <c r="H9423" s="5"/>
      <c r="I9423" s="5"/>
      <c r="J9423" s="5"/>
      <c r="K9423" s="5"/>
      <c r="L9423" s="5"/>
    </row>
    <row r="9424" spans="1:12" ht="12" customHeight="1" x14ac:dyDescent="0.25">
      <c r="A9424" s="6"/>
      <c r="B9424" s="1"/>
      <c r="C9424" s="5"/>
      <c r="D9424" s="5"/>
      <c r="E9424" s="5"/>
      <c r="F9424" s="5"/>
      <c r="G9424" s="5"/>
      <c r="H9424" s="5"/>
      <c r="I9424" s="5"/>
      <c r="J9424" s="5"/>
      <c r="K9424" s="5"/>
      <c r="L9424" s="5"/>
    </row>
    <row r="9425" spans="1:12" ht="12" customHeight="1" x14ac:dyDescent="0.25">
      <c r="A9425" s="6"/>
      <c r="B9425" s="1"/>
      <c r="C9425" s="5"/>
      <c r="D9425" s="5"/>
      <c r="E9425" s="5"/>
      <c r="F9425" s="5"/>
      <c r="G9425" s="5"/>
      <c r="H9425" s="5"/>
      <c r="I9425" s="5"/>
      <c r="J9425" s="5"/>
      <c r="K9425" s="5"/>
      <c r="L9425" s="5"/>
    </row>
    <row r="9426" spans="1:12" ht="12" customHeight="1" x14ac:dyDescent="0.25">
      <c r="A9426" s="6"/>
      <c r="B9426" s="1"/>
      <c r="C9426" s="5"/>
      <c r="D9426" s="5"/>
      <c r="E9426" s="5"/>
      <c r="F9426" s="5"/>
      <c r="G9426" s="5"/>
      <c r="H9426" s="5"/>
      <c r="I9426" s="5"/>
      <c r="J9426" s="5"/>
      <c r="K9426" s="5"/>
      <c r="L9426" s="5"/>
    </row>
    <row r="9427" spans="1:12" ht="12" customHeight="1" x14ac:dyDescent="0.25">
      <c r="A9427" s="6"/>
      <c r="B9427" s="1"/>
      <c r="C9427" s="5"/>
      <c r="D9427" s="5"/>
      <c r="E9427" s="5"/>
      <c r="F9427" s="5"/>
      <c r="G9427" s="5"/>
      <c r="H9427" s="5"/>
      <c r="I9427" s="5"/>
      <c r="J9427" s="5"/>
      <c r="K9427" s="5"/>
      <c r="L9427" s="5"/>
    </row>
    <row r="9428" spans="1:12" ht="12" customHeight="1" x14ac:dyDescent="0.25">
      <c r="A9428" s="6"/>
      <c r="B9428" s="1"/>
      <c r="C9428" s="5"/>
      <c r="D9428" s="5"/>
      <c r="E9428" s="5"/>
      <c r="F9428" s="5"/>
      <c r="G9428" s="5"/>
      <c r="H9428" s="5"/>
      <c r="I9428" s="5"/>
      <c r="J9428" s="5"/>
      <c r="K9428" s="5"/>
      <c r="L9428" s="5"/>
    </row>
    <row r="9429" spans="1:12" ht="12" customHeight="1" x14ac:dyDescent="0.25">
      <c r="A9429" s="6"/>
      <c r="B9429" s="1"/>
      <c r="C9429" s="5"/>
      <c r="D9429" s="5"/>
      <c r="E9429" s="5"/>
      <c r="F9429" s="5"/>
      <c r="G9429" s="5"/>
      <c r="H9429" s="5"/>
      <c r="I9429" s="5"/>
      <c r="J9429" s="5"/>
      <c r="K9429" s="5"/>
      <c r="L9429" s="5"/>
    </row>
    <row r="9430" spans="1:12" ht="12" customHeight="1" x14ac:dyDescent="0.25">
      <c r="A9430" s="6"/>
      <c r="B9430" s="1"/>
      <c r="C9430" s="5"/>
      <c r="D9430" s="5"/>
      <c r="E9430" s="5"/>
      <c r="F9430" s="5"/>
      <c r="G9430" s="5"/>
      <c r="H9430" s="5"/>
      <c r="I9430" s="5"/>
      <c r="J9430" s="5"/>
      <c r="K9430" s="5"/>
      <c r="L9430" s="5"/>
    </row>
    <row r="9431" spans="1:12" ht="12" customHeight="1" x14ac:dyDescent="0.25">
      <c r="A9431" s="6"/>
      <c r="B9431" s="1"/>
      <c r="C9431" s="5"/>
      <c r="D9431" s="5"/>
      <c r="E9431" s="5"/>
      <c r="F9431" s="5"/>
      <c r="G9431" s="5"/>
      <c r="H9431" s="5"/>
      <c r="I9431" s="5"/>
      <c r="J9431" s="5"/>
      <c r="K9431" s="5"/>
      <c r="L9431" s="5"/>
    </row>
    <row r="9432" spans="1:12" ht="12" customHeight="1" x14ac:dyDescent="0.25">
      <c r="A9432" s="6"/>
      <c r="B9432" s="1"/>
      <c r="C9432" s="5"/>
      <c r="D9432" s="5"/>
      <c r="E9432" s="5"/>
      <c r="F9432" s="5"/>
      <c r="G9432" s="5"/>
      <c r="H9432" s="5"/>
      <c r="I9432" s="5"/>
      <c r="J9432" s="5"/>
      <c r="K9432" s="5"/>
      <c r="L9432" s="5"/>
    </row>
    <row r="9433" spans="1:12" ht="12" customHeight="1" x14ac:dyDescent="0.25">
      <c r="A9433" s="6"/>
      <c r="B9433" s="1"/>
      <c r="C9433" s="5"/>
      <c r="D9433" s="5"/>
      <c r="E9433" s="5"/>
      <c r="F9433" s="5"/>
      <c r="G9433" s="5"/>
      <c r="H9433" s="5"/>
      <c r="I9433" s="5"/>
      <c r="J9433" s="5"/>
      <c r="K9433" s="5"/>
      <c r="L9433" s="5"/>
    </row>
    <row r="9434" spans="1:12" ht="12" customHeight="1" x14ac:dyDescent="0.25">
      <c r="A9434" s="6"/>
      <c r="B9434" s="1"/>
      <c r="C9434" s="5"/>
      <c r="D9434" s="5"/>
      <c r="E9434" s="5"/>
      <c r="F9434" s="5"/>
      <c r="G9434" s="5"/>
      <c r="H9434" s="5"/>
      <c r="I9434" s="5"/>
      <c r="J9434" s="5"/>
      <c r="K9434" s="5"/>
      <c r="L9434" s="5"/>
    </row>
    <row r="9435" spans="1:12" ht="12" customHeight="1" x14ac:dyDescent="0.25">
      <c r="A9435" s="6"/>
      <c r="B9435" s="1"/>
      <c r="C9435" s="5"/>
      <c r="D9435" s="5"/>
      <c r="E9435" s="5"/>
      <c r="F9435" s="5"/>
      <c r="G9435" s="5"/>
      <c r="H9435" s="5"/>
      <c r="I9435" s="5"/>
      <c r="J9435" s="5"/>
      <c r="K9435" s="5"/>
      <c r="L9435" s="5"/>
    </row>
    <row r="9436" spans="1:12" ht="12" customHeight="1" x14ac:dyDescent="0.25">
      <c r="A9436" s="6"/>
      <c r="B9436" s="1"/>
      <c r="C9436" s="5"/>
      <c r="D9436" s="5"/>
      <c r="E9436" s="5"/>
      <c r="F9436" s="5"/>
      <c r="G9436" s="5"/>
      <c r="H9436" s="5"/>
      <c r="I9436" s="5"/>
      <c r="J9436" s="5"/>
      <c r="K9436" s="5"/>
      <c r="L9436" s="5"/>
    </row>
    <row r="9437" spans="1:12" ht="12" customHeight="1" x14ac:dyDescent="0.25">
      <c r="A9437" s="6"/>
      <c r="B9437" s="1"/>
      <c r="C9437" s="5"/>
      <c r="D9437" s="5"/>
      <c r="E9437" s="5"/>
      <c r="F9437" s="5"/>
      <c r="G9437" s="5"/>
      <c r="H9437" s="5"/>
      <c r="I9437" s="5"/>
      <c r="J9437" s="5"/>
      <c r="K9437" s="5"/>
      <c r="L9437" s="5"/>
    </row>
    <row r="9438" spans="1:12" ht="12" customHeight="1" x14ac:dyDescent="0.25">
      <c r="A9438" s="6"/>
      <c r="B9438" s="1"/>
      <c r="C9438" s="5"/>
      <c r="D9438" s="5"/>
      <c r="E9438" s="5"/>
      <c r="F9438" s="5"/>
      <c r="G9438" s="5"/>
      <c r="H9438" s="5"/>
      <c r="I9438" s="5"/>
      <c r="J9438" s="5"/>
      <c r="K9438" s="5"/>
      <c r="L9438" s="5"/>
    </row>
    <row r="9439" spans="1:12" ht="12" customHeight="1" x14ac:dyDescent="0.25">
      <c r="A9439" s="6"/>
      <c r="B9439" s="1"/>
      <c r="C9439" s="5"/>
      <c r="D9439" s="5"/>
      <c r="E9439" s="5"/>
      <c r="F9439" s="5"/>
      <c r="G9439" s="5"/>
      <c r="H9439" s="5"/>
      <c r="I9439" s="5"/>
      <c r="J9439" s="5"/>
      <c r="K9439" s="5"/>
      <c r="L9439" s="5"/>
    </row>
    <row r="9440" spans="1:12" ht="12" customHeight="1" x14ac:dyDescent="0.25">
      <c r="A9440" s="6"/>
      <c r="B9440" s="1"/>
      <c r="C9440" s="5"/>
      <c r="D9440" s="5"/>
      <c r="E9440" s="5"/>
      <c r="F9440" s="5"/>
      <c r="G9440" s="5"/>
      <c r="H9440" s="5"/>
      <c r="I9440" s="5"/>
      <c r="J9440" s="5"/>
      <c r="K9440" s="5"/>
      <c r="L9440" s="5"/>
    </row>
    <row r="9441" spans="1:12" ht="12" customHeight="1" x14ac:dyDescent="0.25">
      <c r="A9441" s="6"/>
      <c r="B9441" s="1"/>
      <c r="C9441" s="5"/>
      <c r="D9441" s="5"/>
      <c r="E9441" s="5"/>
      <c r="F9441" s="5"/>
      <c r="G9441" s="5"/>
      <c r="H9441" s="5"/>
      <c r="I9441" s="5"/>
      <c r="J9441" s="5"/>
      <c r="K9441" s="5"/>
      <c r="L9441" s="5"/>
    </row>
    <row r="9442" spans="1:12" ht="12" customHeight="1" x14ac:dyDescent="0.25">
      <c r="A9442" s="6"/>
      <c r="B9442" s="1"/>
      <c r="C9442" s="5"/>
      <c r="D9442" s="5"/>
      <c r="E9442" s="5"/>
      <c r="F9442" s="5"/>
      <c r="G9442" s="5"/>
      <c r="H9442" s="5"/>
      <c r="I9442" s="5"/>
      <c r="J9442" s="5"/>
      <c r="K9442" s="5"/>
      <c r="L9442" s="5"/>
    </row>
    <row r="9443" spans="1:12" ht="12" customHeight="1" x14ac:dyDescent="0.25">
      <c r="A9443" s="6"/>
      <c r="B9443" s="1"/>
      <c r="C9443" s="5"/>
      <c r="D9443" s="5"/>
      <c r="E9443" s="5"/>
      <c r="F9443" s="5"/>
      <c r="G9443" s="5"/>
      <c r="H9443" s="5"/>
      <c r="I9443" s="5"/>
      <c r="J9443" s="5"/>
      <c r="K9443" s="5"/>
      <c r="L9443" s="5"/>
    </row>
    <row r="9444" spans="1:12" ht="12" customHeight="1" x14ac:dyDescent="0.25">
      <c r="A9444" s="6"/>
      <c r="B9444" s="1"/>
      <c r="C9444" s="5"/>
      <c r="D9444" s="5"/>
      <c r="E9444" s="5"/>
      <c r="F9444" s="5"/>
      <c r="G9444" s="5"/>
      <c r="H9444" s="5"/>
      <c r="I9444" s="5"/>
      <c r="J9444" s="5"/>
      <c r="K9444" s="5"/>
      <c r="L9444" s="5"/>
    </row>
    <row r="9445" spans="1:12" ht="12" customHeight="1" x14ac:dyDescent="0.25">
      <c r="A9445" s="6"/>
      <c r="B9445" s="1"/>
      <c r="C9445" s="5"/>
      <c r="D9445" s="5"/>
      <c r="E9445" s="5"/>
      <c r="F9445" s="5"/>
      <c r="G9445" s="5"/>
      <c r="H9445" s="5"/>
      <c r="I9445" s="5"/>
      <c r="J9445" s="5"/>
      <c r="K9445" s="5"/>
      <c r="L9445" s="5"/>
    </row>
    <row r="9446" spans="1:12" ht="12" customHeight="1" x14ac:dyDescent="0.25">
      <c r="A9446" s="6"/>
      <c r="B9446" s="1"/>
      <c r="C9446" s="5"/>
      <c r="D9446" s="5"/>
      <c r="E9446" s="5"/>
      <c r="F9446" s="5"/>
      <c r="G9446" s="5"/>
      <c r="H9446" s="5"/>
      <c r="I9446" s="5"/>
      <c r="J9446" s="5"/>
      <c r="K9446" s="5"/>
      <c r="L9446" s="5"/>
    </row>
    <row r="9447" spans="1:12" ht="12" customHeight="1" x14ac:dyDescent="0.25">
      <c r="A9447" s="6"/>
      <c r="B9447" s="1"/>
      <c r="C9447" s="5"/>
      <c r="D9447" s="5"/>
      <c r="E9447" s="5"/>
      <c r="F9447" s="5"/>
      <c r="G9447" s="5"/>
      <c r="H9447" s="5"/>
      <c r="I9447" s="5"/>
      <c r="J9447" s="5"/>
      <c r="K9447" s="5"/>
      <c r="L9447" s="5"/>
    </row>
    <row r="9448" spans="1:12" ht="12" customHeight="1" x14ac:dyDescent="0.25">
      <c r="A9448" s="6"/>
      <c r="B9448" s="1"/>
      <c r="C9448" s="5"/>
      <c r="D9448" s="5"/>
      <c r="E9448" s="5"/>
      <c r="F9448" s="5"/>
      <c r="G9448" s="5"/>
      <c r="H9448" s="5"/>
      <c r="I9448" s="5"/>
      <c r="J9448" s="5"/>
      <c r="K9448" s="5"/>
      <c r="L9448" s="5"/>
    </row>
    <row r="9449" spans="1:12" ht="12" customHeight="1" x14ac:dyDescent="0.25">
      <c r="A9449" s="6"/>
      <c r="B9449" s="1"/>
      <c r="C9449" s="5"/>
      <c r="D9449" s="5"/>
      <c r="E9449" s="5"/>
      <c r="F9449" s="5"/>
      <c r="G9449" s="5"/>
      <c r="H9449" s="5"/>
      <c r="I9449" s="5"/>
      <c r="J9449" s="5"/>
      <c r="K9449" s="5"/>
      <c r="L9449" s="5"/>
    </row>
    <row r="9450" spans="1:12" ht="12" customHeight="1" x14ac:dyDescent="0.25">
      <c r="A9450" s="6"/>
      <c r="B9450" s="1"/>
      <c r="C9450" s="5"/>
      <c r="D9450" s="5"/>
      <c r="E9450" s="5"/>
      <c r="F9450" s="5"/>
      <c r="G9450" s="5"/>
      <c r="H9450" s="5"/>
      <c r="I9450" s="5"/>
      <c r="J9450" s="5"/>
      <c r="K9450" s="5"/>
      <c r="L9450" s="5"/>
    </row>
    <row r="9451" spans="1:12" ht="12" customHeight="1" x14ac:dyDescent="0.25">
      <c r="A9451" s="6"/>
      <c r="B9451" s="1"/>
      <c r="C9451" s="5"/>
      <c r="D9451" s="5"/>
      <c r="E9451" s="5"/>
      <c r="F9451" s="5"/>
      <c r="G9451" s="5"/>
      <c r="H9451" s="5"/>
      <c r="I9451" s="5"/>
      <c r="J9451" s="5"/>
      <c r="K9451" s="5"/>
      <c r="L9451" s="5"/>
    </row>
    <row r="9452" spans="1:12" ht="12" customHeight="1" x14ac:dyDescent="0.25">
      <c r="A9452" s="6"/>
      <c r="B9452" s="1"/>
      <c r="C9452" s="5"/>
      <c r="D9452" s="5"/>
      <c r="E9452" s="5"/>
      <c r="F9452" s="5"/>
      <c r="G9452" s="5"/>
      <c r="H9452" s="5"/>
      <c r="I9452" s="5"/>
      <c r="J9452" s="5"/>
      <c r="K9452" s="5"/>
      <c r="L9452" s="5"/>
    </row>
    <row r="9453" spans="1:12" ht="12" customHeight="1" x14ac:dyDescent="0.25">
      <c r="A9453" s="6"/>
      <c r="B9453" s="1"/>
      <c r="C9453" s="5"/>
      <c r="D9453" s="5"/>
      <c r="E9453" s="5"/>
      <c r="F9453" s="5"/>
      <c r="G9453" s="5"/>
      <c r="H9453" s="5"/>
      <c r="I9453" s="5"/>
      <c r="J9453" s="5"/>
      <c r="K9453" s="5"/>
      <c r="L9453" s="5"/>
    </row>
    <row r="9454" spans="1:12" ht="12" customHeight="1" x14ac:dyDescent="0.25">
      <c r="A9454" s="6"/>
      <c r="B9454" s="1"/>
      <c r="C9454" s="5"/>
      <c r="D9454" s="5"/>
      <c r="E9454" s="5"/>
      <c r="F9454" s="5"/>
      <c r="G9454" s="5"/>
      <c r="H9454" s="5"/>
      <c r="I9454" s="5"/>
      <c r="J9454" s="5"/>
      <c r="K9454" s="5"/>
      <c r="L9454" s="5"/>
    </row>
    <row r="9455" spans="1:12" ht="12" customHeight="1" x14ac:dyDescent="0.25">
      <c r="A9455" s="6"/>
      <c r="B9455" s="1"/>
      <c r="C9455" s="5"/>
      <c r="D9455" s="5"/>
      <c r="E9455" s="5"/>
      <c r="F9455" s="5"/>
      <c r="G9455" s="5"/>
      <c r="H9455" s="5"/>
      <c r="I9455" s="5"/>
      <c r="J9455" s="5"/>
      <c r="K9455" s="5"/>
      <c r="L9455" s="5"/>
    </row>
    <row r="9456" spans="1:12" ht="12" customHeight="1" x14ac:dyDescent="0.25">
      <c r="A9456" s="6"/>
      <c r="B9456" s="1"/>
      <c r="C9456" s="5"/>
      <c r="D9456" s="5"/>
      <c r="E9456" s="5"/>
      <c r="F9456" s="5"/>
      <c r="G9456" s="5"/>
      <c r="H9456" s="5"/>
      <c r="I9456" s="5"/>
      <c r="J9456" s="5"/>
      <c r="K9456" s="5"/>
      <c r="L9456" s="5"/>
    </row>
    <row r="9457" spans="1:12" ht="12" customHeight="1" x14ac:dyDescent="0.25">
      <c r="A9457" s="6"/>
      <c r="B9457" s="1"/>
      <c r="C9457" s="5"/>
      <c r="D9457" s="5"/>
      <c r="E9457" s="5"/>
      <c r="F9457" s="5"/>
      <c r="G9457" s="5"/>
      <c r="H9457" s="5"/>
      <c r="I9457" s="5"/>
      <c r="J9457" s="5"/>
      <c r="K9457" s="5"/>
      <c r="L9457" s="5"/>
    </row>
    <row r="9458" spans="1:12" ht="12" customHeight="1" x14ac:dyDescent="0.25">
      <c r="A9458" s="6"/>
      <c r="B9458" s="1"/>
      <c r="C9458" s="5"/>
      <c r="D9458" s="5"/>
      <c r="E9458" s="5"/>
      <c r="F9458" s="5"/>
      <c r="G9458" s="5"/>
      <c r="H9458" s="5"/>
      <c r="I9458" s="5"/>
      <c r="J9458" s="5"/>
      <c r="K9458" s="5"/>
      <c r="L9458" s="5"/>
    </row>
    <row r="9459" spans="1:12" ht="12" customHeight="1" x14ac:dyDescent="0.25">
      <c r="A9459" s="6"/>
      <c r="B9459" s="1"/>
      <c r="C9459" s="5"/>
      <c r="D9459" s="5"/>
      <c r="E9459" s="5"/>
      <c r="F9459" s="5"/>
      <c r="G9459" s="5"/>
      <c r="H9459" s="5"/>
      <c r="I9459" s="5"/>
      <c r="J9459" s="5"/>
      <c r="K9459" s="5"/>
      <c r="L9459" s="5"/>
    </row>
    <row r="9460" spans="1:12" ht="12" customHeight="1" x14ac:dyDescent="0.25">
      <c r="A9460" s="6"/>
      <c r="B9460" s="1"/>
      <c r="C9460" s="5"/>
      <c r="D9460" s="5"/>
      <c r="E9460" s="5"/>
      <c r="F9460" s="5"/>
      <c r="G9460" s="5"/>
      <c r="H9460" s="5"/>
      <c r="I9460" s="5"/>
      <c r="J9460" s="5"/>
      <c r="K9460" s="5"/>
      <c r="L9460" s="5"/>
    </row>
    <row r="9461" spans="1:12" ht="12" customHeight="1" x14ac:dyDescent="0.25">
      <c r="A9461" s="6"/>
      <c r="B9461" s="1"/>
      <c r="C9461" s="5"/>
      <c r="D9461" s="5"/>
      <c r="E9461" s="5"/>
      <c r="F9461" s="5"/>
      <c r="G9461" s="5"/>
      <c r="H9461" s="5"/>
      <c r="I9461" s="5"/>
      <c r="J9461" s="5"/>
      <c r="K9461" s="5"/>
      <c r="L9461" s="5"/>
    </row>
    <row r="9462" spans="1:12" ht="12" customHeight="1" x14ac:dyDescent="0.25">
      <c r="A9462" s="6"/>
      <c r="B9462" s="1"/>
      <c r="C9462" s="5"/>
      <c r="D9462" s="5"/>
      <c r="E9462" s="5"/>
      <c r="F9462" s="5"/>
      <c r="G9462" s="5"/>
      <c r="H9462" s="5"/>
      <c r="I9462" s="5"/>
      <c r="J9462" s="5"/>
      <c r="K9462" s="5"/>
      <c r="L9462" s="5"/>
    </row>
    <row r="9463" spans="1:12" ht="12" customHeight="1" x14ac:dyDescent="0.25">
      <c r="A9463" s="6"/>
      <c r="B9463" s="1"/>
      <c r="C9463" s="5"/>
      <c r="D9463" s="5"/>
      <c r="E9463" s="5"/>
      <c r="F9463" s="5"/>
      <c r="G9463" s="5"/>
      <c r="H9463" s="5"/>
      <c r="I9463" s="5"/>
      <c r="J9463" s="5"/>
      <c r="K9463" s="5"/>
      <c r="L9463" s="5"/>
    </row>
    <row r="9464" spans="1:12" ht="12" customHeight="1" x14ac:dyDescent="0.25">
      <c r="A9464" s="6"/>
      <c r="B9464" s="1"/>
      <c r="C9464" s="5"/>
      <c r="D9464" s="5"/>
      <c r="E9464" s="5"/>
      <c r="F9464" s="5"/>
      <c r="G9464" s="5"/>
      <c r="H9464" s="5"/>
      <c r="I9464" s="5"/>
      <c r="J9464" s="5"/>
      <c r="K9464" s="5"/>
      <c r="L9464" s="5"/>
    </row>
    <row r="9465" spans="1:12" ht="12" customHeight="1" x14ac:dyDescent="0.25">
      <c r="A9465" s="6"/>
      <c r="B9465" s="1"/>
      <c r="C9465" s="5"/>
      <c r="D9465" s="5"/>
      <c r="E9465" s="5"/>
      <c r="F9465" s="5"/>
      <c r="G9465" s="5"/>
      <c r="H9465" s="5"/>
      <c r="I9465" s="5"/>
      <c r="J9465" s="5"/>
      <c r="K9465" s="5"/>
      <c r="L9465" s="5"/>
    </row>
    <row r="9466" spans="1:12" ht="12" customHeight="1" x14ac:dyDescent="0.25">
      <c r="A9466" s="6"/>
      <c r="B9466" s="1"/>
      <c r="C9466" s="5"/>
      <c r="D9466" s="5"/>
      <c r="E9466" s="5"/>
      <c r="F9466" s="5"/>
      <c r="G9466" s="5"/>
      <c r="H9466" s="5"/>
      <c r="I9466" s="5"/>
      <c r="J9466" s="5"/>
      <c r="K9466" s="5"/>
      <c r="L9466" s="5"/>
    </row>
    <row r="9467" spans="1:12" ht="12" customHeight="1" x14ac:dyDescent="0.25">
      <c r="A9467" s="6"/>
      <c r="B9467" s="1"/>
      <c r="C9467" s="5"/>
      <c r="D9467" s="5"/>
      <c r="E9467" s="5"/>
      <c r="F9467" s="5"/>
      <c r="G9467" s="5"/>
      <c r="H9467" s="5"/>
      <c r="I9467" s="5"/>
      <c r="J9467" s="5"/>
      <c r="K9467" s="5"/>
      <c r="L9467" s="5"/>
    </row>
    <row r="9468" spans="1:12" ht="12" customHeight="1" x14ac:dyDescent="0.25">
      <c r="A9468" s="6"/>
      <c r="B9468" s="1"/>
      <c r="C9468" s="5"/>
      <c r="D9468" s="5"/>
      <c r="E9468" s="5"/>
      <c r="F9468" s="5"/>
      <c r="G9468" s="5"/>
      <c r="H9468" s="5"/>
      <c r="I9468" s="5"/>
      <c r="J9468" s="5"/>
      <c r="K9468" s="5"/>
      <c r="L9468" s="5"/>
    </row>
    <row r="9469" spans="1:12" ht="12" customHeight="1" x14ac:dyDescent="0.25">
      <c r="A9469" s="6"/>
      <c r="B9469" s="1"/>
      <c r="C9469" s="5"/>
      <c r="D9469" s="5"/>
      <c r="E9469" s="5"/>
      <c r="F9469" s="5"/>
      <c r="G9469" s="5"/>
      <c r="H9469" s="5"/>
      <c r="I9469" s="5"/>
      <c r="J9469" s="5"/>
      <c r="K9469" s="5"/>
      <c r="L9469" s="5"/>
    </row>
    <row r="9470" spans="1:12" ht="12" customHeight="1" x14ac:dyDescent="0.25">
      <c r="A9470" s="6"/>
      <c r="B9470" s="1"/>
      <c r="C9470" s="5"/>
      <c r="D9470" s="5"/>
      <c r="E9470" s="5"/>
      <c r="F9470" s="5"/>
      <c r="G9470" s="5"/>
      <c r="H9470" s="5"/>
      <c r="I9470" s="5"/>
      <c r="J9470" s="5"/>
      <c r="K9470" s="5"/>
      <c r="L9470" s="5"/>
    </row>
    <row r="9471" spans="1:12" ht="12" customHeight="1" x14ac:dyDescent="0.25">
      <c r="A9471" s="6"/>
      <c r="B9471" s="1"/>
      <c r="C9471" s="5"/>
      <c r="D9471" s="5"/>
      <c r="E9471" s="5"/>
      <c r="F9471" s="5"/>
      <c r="G9471" s="5"/>
      <c r="H9471" s="5"/>
      <c r="I9471" s="5"/>
      <c r="J9471" s="5"/>
      <c r="K9471" s="5"/>
      <c r="L9471" s="5"/>
    </row>
    <row r="9472" spans="1:12" ht="12" customHeight="1" x14ac:dyDescent="0.25">
      <c r="A9472" s="6"/>
      <c r="B9472" s="1"/>
      <c r="C9472" s="5"/>
      <c r="D9472" s="5"/>
      <c r="E9472" s="5"/>
      <c r="F9472" s="5"/>
      <c r="G9472" s="5"/>
      <c r="H9472" s="5"/>
      <c r="I9472" s="5"/>
      <c r="J9472" s="5"/>
      <c r="K9472" s="5"/>
      <c r="L9472" s="5"/>
    </row>
    <row r="9473" spans="1:12" ht="12" customHeight="1" x14ac:dyDescent="0.25">
      <c r="A9473" s="6"/>
      <c r="B9473" s="1"/>
      <c r="C9473" s="5"/>
      <c r="D9473" s="5"/>
      <c r="E9473" s="5"/>
      <c r="F9473" s="5"/>
      <c r="G9473" s="5"/>
      <c r="H9473" s="5"/>
      <c r="I9473" s="5"/>
      <c r="J9473" s="5"/>
      <c r="K9473" s="5"/>
      <c r="L9473" s="5"/>
    </row>
    <row r="9474" spans="1:12" ht="12" customHeight="1" x14ac:dyDescent="0.25">
      <c r="A9474" s="6"/>
      <c r="B9474" s="1"/>
      <c r="C9474" s="5"/>
      <c r="D9474" s="5"/>
      <c r="E9474" s="5"/>
      <c r="F9474" s="5"/>
      <c r="G9474" s="5"/>
      <c r="H9474" s="5"/>
      <c r="I9474" s="5"/>
      <c r="J9474" s="5"/>
      <c r="K9474" s="5"/>
      <c r="L9474" s="5"/>
    </row>
    <row r="9475" spans="1:12" ht="12" customHeight="1" x14ac:dyDescent="0.25">
      <c r="A9475" s="6"/>
      <c r="B9475" s="1"/>
      <c r="C9475" s="5"/>
      <c r="D9475" s="5"/>
      <c r="E9475" s="5"/>
      <c r="F9475" s="5"/>
      <c r="G9475" s="5"/>
      <c r="H9475" s="5"/>
      <c r="I9475" s="5"/>
      <c r="J9475" s="5"/>
      <c r="K9475" s="5"/>
      <c r="L9475" s="5"/>
    </row>
    <row r="9476" spans="1:12" ht="12" customHeight="1" x14ac:dyDescent="0.25">
      <c r="A9476" s="6"/>
      <c r="B9476" s="1"/>
      <c r="C9476" s="5"/>
      <c r="D9476" s="5"/>
      <c r="E9476" s="5"/>
      <c r="F9476" s="5"/>
      <c r="G9476" s="5"/>
      <c r="H9476" s="5"/>
      <c r="I9476" s="5"/>
      <c r="J9476" s="5"/>
      <c r="K9476" s="5"/>
      <c r="L9476" s="5"/>
    </row>
    <row r="9477" spans="1:12" ht="12" customHeight="1" x14ac:dyDescent="0.25">
      <c r="A9477" s="6"/>
      <c r="B9477" s="1"/>
      <c r="C9477" s="5"/>
      <c r="D9477" s="5"/>
      <c r="E9477" s="5"/>
      <c r="F9477" s="5"/>
      <c r="G9477" s="5"/>
      <c r="H9477" s="5"/>
      <c r="I9477" s="5"/>
      <c r="J9477" s="5"/>
      <c r="K9477" s="5"/>
      <c r="L9477" s="5"/>
    </row>
    <row r="9478" spans="1:12" ht="12" customHeight="1" x14ac:dyDescent="0.25">
      <c r="A9478" s="6"/>
      <c r="B9478" s="1"/>
      <c r="C9478" s="5"/>
      <c r="D9478" s="5"/>
      <c r="E9478" s="5"/>
      <c r="F9478" s="5"/>
      <c r="G9478" s="5"/>
      <c r="H9478" s="5"/>
      <c r="I9478" s="5"/>
      <c r="J9478" s="5"/>
      <c r="K9478" s="5"/>
      <c r="L9478" s="5"/>
    </row>
    <row r="9479" spans="1:12" ht="12" customHeight="1" x14ac:dyDescent="0.25">
      <c r="A9479" s="6"/>
      <c r="B9479" s="1"/>
      <c r="C9479" s="5"/>
      <c r="D9479" s="5"/>
      <c r="E9479" s="5"/>
      <c r="F9479" s="5"/>
      <c r="G9479" s="5"/>
      <c r="H9479" s="5"/>
      <c r="I9479" s="5"/>
      <c r="J9479" s="5"/>
      <c r="K9479" s="5"/>
      <c r="L9479" s="5"/>
    </row>
    <row r="9480" spans="1:12" ht="12" customHeight="1" x14ac:dyDescent="0.25">
      <c r="A9480" s="6"/>
      <c r="B9480" s="1"/>
      <c r="C9480" s="5"/>
      <c r="D9480" s="5"/>
      <c r="E9480" s="5"/>
      <c r="F9480" s="5"/>
      <c r="G9480" s="5"/>
      <c r="H9480" s="5"/>
      <c r="I9480" s="5"/>
      <c r="J9480" s="5"/>
      <c r="K9480" s="5"/>
      <c r="L9480" s="5"/>
    </row>
    <row r="9481" spans="1:12" ht="12" customHeight="1" x14ac:dyDescent="0.25">
      <c r="A9481" s="6"/>
      <c r="B9481" s="1"/>
      <c r="C9481" s="5"/>
      <c r="D9481" s="5"/>
      <c r="E9481" s="5"/>
      <c r="F9481" s="5"/>
      <c r="G9481" s="5"/>
      <c r="H9481" s="5"/>
      <c r="I9481" s="5"/>
      <c r="J9481" s="5"/>
      <c r="K9481" s="5"/>
      <c r="L9481" s="5"/>
    </row>
    <row r="9482" spans="1:12" ht="12" customHeight="1" x14ac:dyDescent="0.25">
      <c r="A9482" s="6"/>
      <c r="B9482" s="1"/>
      <c r="C9482" s="5"/>
      <c r="D9482" s="5"/>
      <c r="E9482" s="5"/>
      <c r="F9482" s="5"/>
      <c r="G9482" s="5"/>
      <c r="H9482" s="5"/>
      <c r="I9482" s="5"/>
      <c r="J9482" s="5"/>
      <c r="K9482" s="5"/>
      <c r="L9482" s="5"/>
    </row>
    <row r="9483" spans="1:12" ht="12" customHeight="1" x14ac:dyDescent="0.25">
      <c r="A9483" s="6"/>
      <c r="B9483" s="1"/>
      <c r="C9483" s="5"/>
      <c r="D9483" s="5"/>
      <c r="E9483" s="5"/>
      <c r="F9483" s="5"/>
      <c r="G9483" s="5"/>
      <c r="H9483" s="5"/>
      <c r="I9483" s="5"/>
      <c r="J9483" s="5"/>
      <c r="K9483" s="5"/>
      <c r="L9483" s="5"/>
    </row>
    <row r="9484" spans="1:12" ht="12" customHeight="1" x14ac:dyDescent="0.25">
      <c r="A9484" s="6"/>
      <c r="B9484" s="1"/>
      <c r="C9484" s="5"/>
      <c r="D9484" s="5"/>
      <c r="E9484" s="5"/>
      <c r="F9484" s="5"/>
      <c r="G9484" s="5"/>
      <c r="H9484" s="5"/>
      <c r="I9484" s="5"/>
      <c r="J9484" s="5"/>
      <c r="K9484" s="5"/>
      <c r="L9484" s="5"/>
    </row>
    <row r="9485" spans="1:12" ht="12" customHeight="1" x14ac:dyDescent="0.25">
      <c r="A9485" s="6"/>
      <c r="B9485" s="1"/>
      <c r="C9485" s="5"/>
      <c r="D9485" s="5"/>
      <c r="E9485" s="5"/>
      <c r="F9485" s="5"/>
      <c r="G9485" s="5"/>
      <c r="H9485" s="5"/>
      <c r="I9485" s="5"/>
      <c r="J9485" s="5"/>
      <c r="K9485" s="5"/>
      <c r="L9485" s="5"/>
    </row>
    <row r="9486" spans="1:12" ht="12" customHeight="1" x14ac:dyDescent="0.25">
      <c r="A9486" s="6"/>
      <c r="B9486" s="1"/>
      <c r="C9486" s="5"/>
      <c r="D9486" s="5"/>
      <c r="E9486" s="5"/>
      <c r="F9486" s="5"/>
      <c r="G9486" s="5"/>
      <c r="H9486" s="5"/>
      <c r="I9486" s="5"/>
      <c r="J9486" s="5"/>
      <c r="K9486" s="5"/>
      <c r="L9486" s="5"/>
    </row>
    <row r="9487" spans="1:12" ht="12" customHeight="1" x14ac:dyDescent="0.25">
      <c r="A9487" s="6"/>
      <c r="B9487" s="1"/>
      <c r="C9487" s="5"/>
      <c r="D9487" s="5"/>
      <c r="E9487" s="5"/>
      <c r="F9487" s="5"/>
      <c r="G9487" s="5"/>
      <c r="H9487" s="5"/>
      <c r="I9487" s="5"/>
      <c r="J9487" s="5"/>
      <c r="K9487" s="5"/>
      <c r="L9487" s="5"/>
    </row>
    <row r="9488" spans="1:12" ht="12" customHeight="1" x14ac:dyDescent="0.25">
      <c r="A9488" s="6"/>
      <c r="B9488" s="1"/>
      <c r="C9488" s="5"/>
      <c r="D9488" s="5"/>
      <c r="E9488" s="5"/>
      <c r="F9488" s="5"/>
      <c r="G9488" s="5"/>
      <c r="H9488" s="5"/>
      <c r="I9488" s="5"/>
      <c r="J9488" s="5"/>
      <c r="K9488" s="5"/>
      <c r="L9488" s="5"/>
    </row>
    <row r="9489" spans="1:12" ht="12" customHeight="1" x14ac:dyDescent="0.25">
      <c r="A9489" s="6"/>
      <c r="B9489" s="1"/>
      <c r="C9489" s="5"/>
      <c r="D9489" s="5"/>
      <c r="E9489" s="5"/>
      <c r="F9489" s="5"/>
      <c r="G9489" s="5"/>
      <c r="H9489" s="5"/>
      <c r="I9489" s="5"/>
      <c r="J9489" s="5"/>
      <c r="K9489" s="5"/>
      <c r="L9489" s="5"/>
    </row>
    <row r="9490" spans="1:12" ht="12" customHeight="1" x14ac:dyDescent="0.25">
      <c r="A9490" s="6"/>
      <c r="B9490" s="1"/>
      <c r="C9490" s="5"/>
      <c r="D9490" s="5"/>
      <c r="E9490" s="5"/>
      <c r="F9490" s="5"/>
      <c r="G9490" s="5"/>
      <c r="H9490" s="5"/>
      <c r="I9490" s="5"/>
      <c r="J9490" s="5"/>
      <c r="K9490" s="5"/>
      <c r="L9490" s="5"/>
    </row>
    <row r="9491" spans="1:12" ht="12" customHeight="1" x14ac:dyDescent="0.25">
      <c r="A9491" s="6"/>
      <c r="B9491" s="1"/>
      <c r="C9491" s="5"/>
      <c r="D9491" s="5"/>
      <c r="E9491" s="5"/>
      <c r="F9491" s="5"/>
      <c r="G9491" s="5"/>
      <c r="H9491" s="5"/>
      <c r="I9491" s="5"/>
      <c r="J9491" s="5"/>
      <c r="K9491" s="5"/>
      <c r="L9491" s="5"/>
    </row>
    <row r="9492" spans="1:12" ht="12" customHeight="1" x14ac:dyDescent="0.25">
      <c r="A9492" s="6"/>
      <c r="B9492" s="1"/>
      <c r="C9492" s="5"/>
      <c r="D9492" s="5"/>
      <c r="E9492" s="5"/>
      <c r="F9492" s="5"/>
      <c r="G9492" s="5"/>
      <c r="H9492" s="5"/>
      <c r="I9492" s="5"/>
      <c r="J9492" s="5"/>
      <c r="K9492" s="5"/>
      <c r="L9492" s="5"/>
    </row>
    <row r="9493" spans="1:12" ht="12" customHeight="1" x14ac:dyDescent="0.25">
      <c r="A9493" s="6"/>
      <c r="B9493" s="1"/>
      <c r="C9493" s="5"/>
      <c r="D9493" s="5"/>
      <c r="E9493" s="5"/>
      <c r="F9493" s="5"/>
      <c r="G9493" s="5"/>
      <c r="H9493" s="5"/>
      <c r="I9493" s="5"/>
      <c r="J9493" s="5"/>
      <c r="K9493" s="5"/>
      <c r="L9493" s="5"/>
    </row>
    <row r="9494" spans="1:12" ht="12" customHeight="1" x14ac:dyDescent="0.25">
      <c r="A9494" s="6"/>
      <c r="B9494" s="1"/>
      <c r="C9494" s="5"/>
      <c r="D9494" s="5"/>
      <c r="E9494" s="5"/>
      <c r="F9494" s="5"/>
      <c r="G9494" s="5"/>
      <c r="H9494" s="5"/>
      <c r="I9494" s="5"/>
      <c r="J9494" s="5"/>
      <c r="K9494" s="5"/>
      <c r="L9494" s="5"/>
    </row>
    <row r="9495" spans="1:12" ht="12" customHeight="1" x14ac:dyDescent="0.25">
      <c r="A9495" s="6"/>
      <c r="B9495" s="1"/>
      <c r="C9495" s="5"/>
      <c r="D9495" s="5"/>
      <c r="E9495" s="5"/>
      <c r="F9495" s="5"/>
      <c r="G9495" s="5"/>
      <c r="H9495" s="5"/>
      <c r="I9495" s="5"/>
      <c r="J9495" s="5"/>
      <c r="K9495" s="5"/>
      <c r="L9495" s="5"/>
    </row>
    <row r="9496" spans="1:12" ht="12" customHeight="1" x14ac:dyDescent="0.25">
      <c r="A9496" s="6"/>
      <c r="B9496" s="1"/>
      <c r="C9496" s="5"/>
      <c r="D9496" s="5"/>
      <c r="E9496" s="5"/>
      <c r="F9496" s="5"/>
      <c r="G9496" s="5"/>
      <c r="H9496" s="5"/>
      <c r="I9496" s="5"/>
      <c r="J9496" s="5"/>
      <c r="K9496" s="5"/>
      <c r="L9496" s="5"/>
    </row>
    <row r="9497" spans="1:12" ht="12" customHeight="1" x14ac:dyDescent="0.25">
      <c r="A9497" s="6"/>
      <c r="B9497" s="1"/>
      <c r="C9497" s="5"/>
      <c r="D9497" s="5"/>
      <c r="E9497" s="5"/>
      <c r="F9497" s="5"/>
      <c r="G9497" s="5"/>
      <c r="H9497" s="5"/>
      <c r="I9497" s="5"/>
      <c r="J9497" s="5"/>
      <c r="K9497" s="5"/>
      <c r="L9497" s="5"/>
    </row>
    <row r="9498" spans="1:12" ht="12" customHeight="1" x14ac:dyDescent="0.25">
      <c r="A9498" s="6"/>
      <c r="B9498" s="1"/>
      <c r="C9498" s="5"/>
      <c r="D9498" s="5"/>
      <c r="E9498" s="5"/>
      <c r="F9498" s="5"/>
      <c r="G9498" s="5"/>
      <c r="H9498" s="5"/>
      <c r="I9498" s="5"/>
      <c r="J9498" s="5"/>
      <c r="K9498" s="5"/>
      <c r="L9498" s="5"/>
    </row>
    <row r="9499" spans="1:12" ht="12" customHeight="1" x14ac:dyDescent="0.25">
      <c r="A9499" s="6"/>
      <c r="B9499" s="1"/>
      <c r="C9499" s="5"/>
      <c r="D9499" s="5"/>
      <c r="E9499" s="5"/>
      <c r="F9499" s="5"/>
      <c r="G9499" s="5"/>
      <c r="H9499" s="5"/>
      <c r="I9499" s="5"/>
      <c r="J9499" s="5"/>
      <c r="K9499" s="5"/>
      <c r="L9499" s="5"/>
    </row>
    <row r="9500" spans="1:12" ht="12" customHeight="1" x14ac:dyDescent="0.25">
      <c r="A9500" s="6"/>
      <c r="B9500" s="1"/>
      <c r="C9500" s="5"/>
      <c r="D9500" s="5"/>
      <c r="E9500" s="5"/>
      <c r="F9500" s="5"/>
      <c r="G9500" s="5"/>
      <c r="H9500" s="5"/>
      <c r="I9500" s="5"/>
      <c r="J9500" s="5"/>
      <c r="K9500" s="5"/>
      <c r="L9500" s="5"/>
    </row>
    <row r="9501" spans="1:12" ht="12" customHeight="1" x14ac:dyDescent="0.25">
      <c r="A9501" s="6"/>
      <c r="B9501" s="1"/>
      <c r="C9501" s="5"/>
      <c r="D9501" s="5"/>
      <c r="E9501" s="5"/>
      <c r="F9501" s="5"/>
      <c r="G9501" s="5"/>
      <c r="H9501" s="5"/>
      <c r="I9501" s="5"/>
      <c r="J9501" s="5"/>
      <c r="K9501" s="5"/>
      <c r="L9501" s="5"/>
    </row>
    <row r="9502" spans="1:12" ht="12" customHeight="1" x14ac:dyDescent="0.25">
      <c r="A9502" s="6"/>
      <c r="B9502" s="1"/>
      <c r="C9502" s="5"/>
      <c r="D9502" s="5"/>
      <c r="E9502" s="5"/>
      <c r="F9502" s="5"/>
      <c r="G9502" s="5"/>
      <c r="H9502" s="5"/>
      <c r="I9502" s="5"/>
      <c r="J9502" s="5"/>
      <c r="K9502" s="5"/>
      <c r="L9502" s="5"/>
    </row>
    <row r="9503" spans="1:12" ht="12" customHeight="1" x14ac:dyDescent="0.25">
      <c r="A9503" s="6"/>
      <c r="B9503" s="1"/>
      <c r="C9503" s="5"/>
      <c r="D9503" s="5"/>
      <c r="E9503" s="5"/>
      <c r="F9503" s="5"/>
      <c r="G9503" s="5"/>
      <c r="H9503" s="5"/>
      <c r="I9503" s="5"/>
      <c r="J9503" s="5"/>
      <c r="K9503" s="5"/>
      <c r="L9503" s="5"/>
    </row>
    <row r="9504" spans="1:12" ht="12" customHeight="1" x14ac:dyDescent="0.25">
      <c r="A9504" s="6"/>
      <c r="B9504" s="1"/>
      <c r="C9504" s="5"/>
      <c r="D9504" s="5"/>
      <c r="E9504" s="5"/>
      <c r="F9504" s="5"/>
      <c r="G9504" s="5"/>
      <c r="H9504" s="5"/>
      <c r="I9504" s="5"/>
      <c r="J9504" s="5"/>
      <c r="K9504" s="5"/>
      <c r="L9504" s="5"/>
    </row>
    <row r="9505" spans="1:12" ht="12" customHeight="1" x14ac:dyDescent="0.25">
      <c r="A9505" s="6"/>
      <c r="B9505" s="1"/>
      <c r="C9505" s="5"/>
      <c r="D9505" s="5"/>
      <c r="E9505" s="5"/>
      <c r="F9505" s="5"/>
      <c r="G9505" s="5"/>
      <c r="H9505" s="5"/>
      <c r="I9505" s="5"/>
      <c r="J9505" s="5"/>
      <c r="K9505" s="5"/>
      <c r="L9505" s="5"/>
    </row>
    <row r="9506" spans="1:12" ht="12" customHeight="1" x14ac:dyDescent="0.25">
      <c r="A9506" s="6"/>
      <c r="B9506" s="1"/>
      <c r="C9506" s="5"/>
      <c r="D9506" s="5"/>
      <c r="E9506" s="5"/>
      <c r="F9506" s="5"/>
      <c r="G9506" s="5"/>
      <c r="H9506" s="5"/>
      <c r="I9506" s="5"/>
      <c r="J9506" s="5"/>
      <c r="K9506" s="5"/>
      <c r="L9506" s="5"/>
    </row>
    <row r="9507" spans="1:12" ht="12" customHeight="1" x14ac:dyDescent="0.25">
      <c r="A9507" s="6"/>
      <c r="B9507" s="1"/>
      <c r="C9507" s="5"/>
      <c r="D9507" s="5"/>
      <c r="E9507" s="5"/>
      <c r="F9507" s="5"/>
      <c r="G9507" s="5"/>
      <c r="H9507" s="5"/>
      <c r="I9507" s="5"/>
      <c r="J9507" s="5"/>
      <c r="K9507" s="5"/>
      <c r="L9507" s="5"/>
    </row>
    <row r="9508" spans="1:12" ht="12" customHeight="1" x14ac:dyDescent="0.25">
      <c r="A9508" s="6"/>
      <c r="B9508" s="1"/>
      <c r="C9508" s="5"/>
      <c r="D9508" s="5"/>
      <c r="E9508" s="5"/>
      <c r="F9508" s="5"/>
      <c r="G9508" s="5"/>
      <c r="H9508" s="5"/>
      <c r="I9508" s="5"/>
      <c r="J9508" s="5"/>
      <c r="K9508" s="5"/>
      <c r="L9508" s="5"/>
    </row>
    <row r="9509" spans="1:12" ht="12" customHeight="1" x14ac:dyDescent="0.25">
      <c r="A9509" s="6"/>
      <c r="B9509" s="1"/>
      <c r="C9509" s="5"/>
      <c r="D9509" s="5"/>
      <c r="E9509" s="5"/>
      <c r="F9509" s="5"/>
      <c r="G9509" s="5"/>
      <c r="H9509" s="5"/>
      <c r="I9509" s="5"/>
      <c r="J9509" s="5"/>
      <c r="K9509" s="5"/>
      <c r="L9509" s="5"/>
    </row>
    <row r="9510" spans="1:12" ht="12" customHeight="1" x14ac:dyDescent="0.25">
      <c r="A9510" s="6"/>
      <c r="B9510" s="1"/>
      <c r="C9510" s="5"/>
      <c r="D9510" s="5"/>
      <c r="E9510" s="5"/>
      <c r="F9510" s="5"/>
      <c r="G9510" s="5"/>
      <c r="H9510" s="5"/>
      <c r="I9510" s="5"/>
      <c r="J9510" s="5"/>
      <c r="K9510" s="5"/>
      <c r="L9510" s="5"/>
    </row>
    <row r="9511" spans="1:12" ht="12" customHeight="1" x14ac:dyDescent="0.25">
      <c r="A9511" s="6"/>
      <c r="B9511" s="1"/>
      <c r="C9511" s="5"/>
      <c r="D9511" s="5"/>
      <c r="E9511" s="5"/>
      <c r="F9511" s="5"/>
      <c r="G9511" s="5"/>
      <c r="H9511" s="5"/>
      <c r="I9511" s="5"/>
      <c r="J9511" s="5"/>
      <c r="K9511" s="5"/>
      <c r="L9511" s="5"/>
    </row>
    <row r="9512" spans="1:12" ht="12" customHeight="1" x14ac:dyDescent="0.25">
      <c r="A9512" s="6"/>
      <c r="B9512" s="1"/>
      <c r="C9512" s="5"/>
      <c r="D9512" s="5"/>
      <c r="E9512" s="5"/>
      <c r="F9512" s="5"/>
      <c r="G9512" s="5"/>
      <c r="H9512" s="5"/>
      <c r="I9512" s="5"/>
      <c r="J9512" s="5"/>
      <c r="K9512" s="5"/>
      <c r="L9512" s="5"/>
    </row>
    <row r="9513" spans="1:12" ht="12" customHeight="1" x14ac:dyDescent="0.25">
      <c r="A9513" s="6"/>
      <c r="B9513" s="1"/>
      <c r="C9513" s="5"/>
      <c r="D9513" s="5"/>
      <c r="E9513" s="5"/>
      <c r="F9513" s="5"/>
      <c r="G9513" s="5"/>
      <c r="H9513" s="5"/>
      <c r="I9513" s="5"/>
      <c r="J9513" s="5"/>
      <c r="K9513" s="5"/>
      <c r="L9513" s="5"/>
    </row>
    <row r="9514" spans="1:12" ht="12" customHeight="1" x14ac:dyDescent="0.25">
      <c r="A9514" s="6"/>
      <c r="B9514" s="1"/>
      <c r="C9514" s="5"/>
      <c r="D9514" s="5"/>
      <c r="E9514" s="5"/>
      <c r="F9514" s="5"/>
      <c r="G9514" s="5"/>
      <c r="H9514" s="5"/>
      <c r="I9514" s="5"/>
      <c r="J9514" s="5"/>
      <c r="K9514" s="5"/>
      <c r="L9514" s="5"/>
    </row>
    <row r="9515" spans="1:12" ht="12" customHeight="1" x14ac:dyDescent="0.25">
      <c r="A9515" s="6"/>
      <c r="B9515" s="1"/>
      <c r="C9515" s="5"/>
      <c r="D9515" s="5"/>
      <c r="E9515" s="5"/>
      <c r="F9515" s="5"/>
      <c r="G9515" s="5"/>
      <c r="H9515" s="5"/>
      <c r="I9515" s="5"/>
      <c r="J9515" s="5"/>
      <c r="K9515" s="5"/>
      <c r="L9515" s="5"/>
    </row>
    <row r="9516" spans="1:12" ht="12" customHeight="1" x14ac:dyDescent="0.25">
      <c r="A9516" s="6"/>
      <c r="B9516" s="1"/>
      <c r="C9516" s="5"/>
      <c r="D9516" s="5"/>
      <c r="E9516" s="5"/>
      <c r="F9516" s="5"/>
      <c r="G9516" s="5"/>
      <c r="H9516" s="5"/>
      <c r="I9516" s="5"/>
      <c r="J9516" s="5"/>
      <c r="K9516" s="5"/>
      <c r="L9516" s="5"/>
    </row>
    <row r="9517" spans="1:12" ht="12" customHeight="1" x14ac:dyDescent="0.25">
      <c r="A9517" s="6"/>
      <c r="B9517" s="1"/>
      <c r="C9517" s="5"/>
      <c r="D9517" s="5"/>
      <c r="E9517" s="5"/>
      <c r="F9517" s="5"/>
      <c r="G9517" s="5"/>
      <c r="H9517" s="5"/>
      <c r="I9517" s="5"/>
      <c r="J9517" s="5"/>
      <c r="K9517" s="5"/>
      <c r="L9517" s="5"/>
    </row>
    <row r="9518" spans="1:12" ht="12" customHeight="1" x14ac:dyDescent="0.25">
      <c r="A9518" s="6"/>
      <c r="B9518" s="1"/>
      <c r="C9518" s="5"/>
      <c r="D9518" s="5"/>
      <c r="E9518" s="5"/>
      <c r="F9518" s="5"/>
      <c r="G9518" s="5"/>
      <c r="H9518" s="5"/>
      <c r="I9518" s="5"/>
      <c r="J9518" s="5"/>
      <c r="K9518" s="5"/>
      <c r="L9518" s="5"/>
    </row>
    <row r="9519" spans="1:12" ht="12" customHeight="1" x14ac:dyDescent="0.25">
      <c r="A9519" s="6"/>
      <c r="B9519" s="1"/>
      <c r="C9519" s="5"/>
      <c r="D9519" s="5"/>
      <c r="E9519" s="5"/>
      <c r="F9519" s="5"/>
      <c r="G9519" s="5"/>
      <c r="H9519" s="5"/>
      <c r="I9519" s="5"/>
      <c r="J9519" s="5"/>
      <c r="K9519" s="5"/>
      <c r="L9519" s="5"/>
    </row>
    <row r="9520" spans="1:12" ht="12" customHeight="1" x14ac:dyDescent="0.25">
      <c r="A9520" s="6"/>
      <c r="B9520" s="1"/>
      <c r="C9520" s="5"/>
      <c r="D9520" s="5"/>
      <c r="E9520" s="5"/>
      <c r="F9520" s="5"/>
      <c r="G9520" s="5"/>
      <c r="H9520" s="5"/>
      <c r="I9520" s="5"/>
      <c r="J9520" s="5"/>
      <c r="K9520" s="5"/>
      <c r="L9520" s="5"/>
    </row>
    <row r="9521" spans="1:12" ht="12" customHeight="1" x14ac:dyDescent="0.25">
      <c r="A9521" s="6"/>
      <c r="B9521" s="1"/>
      <c r="C9521" s="5"/>
      <c r="D9521" s="5"/>
      <c r="E9521" s="5"/>
      <c r="F9521" s="5"/>
      <c r="G9521" s="5"/>
      <c r="H9521" s="5"/>
      <c r="I9521" s="5"/>
      <c r="J9521" s="5"/>
      <c r="K9521" s="5"/>
      <c r="L9521" s="5"/>
    </row>
    <row r="9522" spans="1:12" ht="12" customHeight="1" x14ac:dyDescent="0.25">
      <c r="A9522" s="6"/>
      <c r="B9522" s="1"/>
      <c r="C9522" s="5"/>
      <c r="D9522" s="5"/>
      <c r="E9522" s="5"/>
      <c r="F9522" s="5"/>
      <c r="G9522" s="5"/>
      <c r="H9522" s="5"/>
      <c r="I9522" s="5"/>
      <c r="J9522" s="5"/>
      <c r="K9522" s="5"/>
      <c r="L9522" s="5"/>
    </row>
    <row r="9523" spans="1:12" ht="12" customHeight="1" x14ac:dyDescent="0.25">
      <c r="A9523" s="6"/>
      <c r="B9523" s="1"/>
      <c r="C9523" s="5"/>
      <c r="D9523" s="5"/>
      <c r="E9523" s="5"/>
      <c r="F9523" s="5"/>
      <c r="G9523" s="5"/>
      <c r="H9523" s="5"/>
      <c r="I9523" s="5"/>
      <c r="J9523" s="5"/>
      <c r="K9523" s="5"/>
      <c r="L9523" s="5"/>
    </row>
    <row r="9524" spans="1:12" ht="12" customHeight="1" x14ac:dyDescent="0.25">
      <c r="A9524" s="6"/>
      <c r="B9524" s="1"/>
      <c r="C9524" s="5"/>
      <c r="D9524" s="5"/>
      <c r="E9524" s="5"/>
      <c r="F9524" s="5"/>
      <c r="G9524" s="5"/>
      <c r="H9524" s="5"/>
      <c r="I9524" s="5"/>
      <c r="J9524" s="5"/>
      <c r="K9524" s="5"/>
      <c r="L9524" s="5"/>
    </row>
    <row r="9525" spans="1:12" ht="12" customHeight="1" x14ac:dyDescent="0.25">
      <c r="A9525" s="6"/>
      <c r="B9525" s="1"/>
      <c r="C9525" s="5"/>
      <c r="D9525" s="5"/>
      <c r="E9525" s="5"/>
      <c r="F9525" s="5"/>
      <c r="G9525" s="5"/>
      <c r="H9525" s="5"/>
      <c r="I9525" s="5"/>
      <c r="J9525" s="5"/>
      <c r="K9525" s="5"/>
      <c r="L9525" s="5"/>
    </row>
    <row r="9526" spans="1:12" ht="12" customHeight="1" x14ac:dyDescent="0.25">
      <c r="A9526" s="6"/>
      <c r="B9526" s="1"/>
      <c r="C9526" s="5"/>
      <c r="D9526" s="5"/>
      <c r="E9526" s="5"/>
      <c r="F9526" s="5"/>
      <c r="G9526" s="5"/>
      <c r="H9526" s="5"/>
      <c r="I9526" s="5"/>
      <c r="J9526" s="5"/>
      <c r="K9526" s="5"/>
      <c r="L9526" s="5"/>
    </row>
    <row r="9527" spans="1:12" ht="12" customHeight="1" x14ac:dyDescent="0.25">
      <c r="A9527" s="6"/>
      <c r="B9527" s="1"/>
      <c r="C9527" s="5"/>
      <c r="D9527" s="5"/>
      <c r="E9527" s="5"/>
      <c r="F9527" s="5"/>
      <c r="G9527" s="5"/>
      <c r="H9527" s="5"/>
      <c r="I9527" s="5"/>
      <c r="J9527" s="5"/>
      <c r="K9527" s="5"/>
      <c r="L9527" s="5"/>
    </row>
    <row r="9528" spans="1:12" ht="12" customHeight="1" x14ac:dyDescent="0.25">
      <c r="A9528" s="6"/>
      <c r="B9528" s="1"/>
      <c r="C9528" s="5"/>
      <c r="D9528" s="5"/>
      <c r="E9528" s="5"/>
      <c r="F9528" s="5"/>
      <c r="G9528" s="5"/>
      <c r="H9528" s="5"/>
      <c r="I9528" s="5"/>
      <c r="J9528" s="5"/>
      <c r="K9528" s="5"/>
      <c r="L9528" s="5"/>
    </row>
    <row r="9529" spans="1:12" ht="12" customHeight="1" x14ac:dyDescent="0.25">
      <c r="A9529" s="6"/>
      <c r="B9529" s="1"/>
      <c r="C9529" s="5"/>
      <c r="D9529" s="5"/>
      <c r="E9529" s="5"/>
      <c r="F9529" s="5"/>
      <c r="G9529" s="5"/>
      <c r="H9529" s="5"/>
      <c r="I9529" s="5"/>
      <c r="J9529" s="5"/>
      <c r="K9529" s="5"/>
      <c r="L9529" s="5"/>
    </row>
    <row r="9530" spans="1:12" ht="12" customHeight="1" x14ac:dyDescent="0.25">
      <c r="A9530" s="6"/>
      <c r="B9530" s="1"/>
      <c r="C9530" s="5"/>
      <c r="D9530" s="5"/>
      <c r="E9530" s="5"/>
      <c r="F9530" s="5"/>
      <c r="G9530" s="5"/>
      <c r="H9530" s="5"/>
      <c r="I9530" s="5"/>
      <c r="J9530" s="5"/>
      <c r="K9530" s="5"/>
      <c r="L9530" s="5"/>
    </row>
    <row r="9531" spans="1:12" ht="12" customHeight="1" x14ac:dyDescent="0.25">
      <c r="A9531" s="6"/>
      <c r="B9531" s="1"/>
      <c r="C9531" s="5"/>
      <c r="D9531" s="5"/>
      <c r="E9531" s="5"/>
      <c r="F9531" s="5"/>
      <c r="G9531" s="5"/>
      <c r="H9531" s="5"/>
      <c r="I9531" s="5"/>
      <c r="J9531" s="5"/>
      <c r="K9531" s="5"/>
      <c r="L9531" s="5"/>
    </row>
    <row r="9532" spans="1:12" ht="12" customHeight="1" x14ac:dyDescent="0.25">
      <c r="A9532" s="6"/>
      <c r="B9532" s="1"/>
      <c r="C9532" s="5"/>
      <c r="D9532" s="5"/>
      <c r="E9532" s="5"/>
      <c r="F9532" s="5"/>
      <c r="G9532" s="5"/>
      <c r="H9532" s="5"/>
      <c r="I9532" s="5"/>
      <c r="J9532" s="5"/>
      <c r="K9532" s="5"/>
      <c r="L9532" s="5"/>
    </row>
    <row r="9533" spans="1:12" ht="12" customHeight="1" x14ac:dyDescent="0.25">
      <c r="A9533" s="6"/>
      <c r="B9533" s="1"/>
      <c r="C9533" s="5"/>
      <c r="D9533" s="5"/>
      <c r="E9533" s="5"/>
      <c r="F9533" s="5"/>
      <c r="G9533" s="5"/>
      <c r="H9533" s="5"/>
      <c r="I9533" s="5"/>
      <c r="J9533" s="5"/>
      <c r="K9533" s="5"/>
      <c r="L9533" s="5"/>
    </row>
    <row r="9534" spans="1:12" ht="12" customHeight="1" x14ac:dyDescent="0.25">
      <c r="A9534" s="6"/>
      <c r="B9534" s="1"/>
      <c r="C9534" s="5"/>
      <c r="D9534" s="5"/>
      <c r="E9534" s="5"/>
      <c r="F9534" s="5"/>
      <c r="G9534" s="5"/>
      <c r="H9534" s="5"/>
      <c r="I9534" s="5"/>
      <c r="J9534" s="5"/>
      <c r="K9534" s="5"/>
      <c r="L9534" s="5"/>
    </row>
    <row r="9535" spans="1:12" ht="12" customHeight="1" x14ac:dyDescent="0.25">
      <c r="A9535" s="6"/>
      <c r="B9535" s="1"/>
      <c r="C9535" s="5"/>
      <c r="D9535" s="5"/>
      <c r="E9535" s="5"/>
      <c r="F9535" s="5"/>
      <c r="G9535" s="5"/>
      <c r="H9535" s="5"/>
      <c r="I9535" s="5"/>
      <c r="J9535" s="5"/>
      <c r="K9535" s="5"/>
      <c r="L9535" s="5"/>
    </row>
    <row r="9536" spans="1:12" ht="12" customHeight="1" x14ac:dyDescent="0.25">
      <c r="A9536" s="6"/>
      <c r="B9536" s="1"/>
      <c r="C9536" s="5"/>
      <c r="D9536" s="5"/>
      <c r="E9536" s="5"/>
      <c r="F9536" s="5"/>
      <c r="G9536" s="5"/>
      <c r="H9536" s="5"/>
      <c r="I9536" s="5"/>
      <c r="J9536" s="5"/>
      <c r="K9536" s="5"/>
      <c r="L9536" s="5"/>
    </row>
    <row r="9537" spans="1:12" ht="12" customHeight="1" x14ac:dyDescent="0.25">
      <c r="A9537" s="6"/>
      <c r="B9537" s="1"/>
      <c r="C9537" s="5"/>
      <c r="D9537" s="5"/>
      <c r="E9537" s="5"/>
      <c r="F9537" s="5"/>
      <c r="G9537" s="5"/>
      <c r="H9537" s="5"/>
      <c r="I9537" s="5"/>
      <c r="J9537" s="5"/>
      <c r="K9537" s="5"/>
      <c r="L9537" s="5"/>
    </row>
    <row r="9538" spans="1:12" ht="12" customHeight="1" x14ac:dyDescent="0.25">
      <c r="A9538" s="6"/>
      <c r="B9538" s="1"/>
      <c r="C9538" s="5"/>
      <c r="D9538" s="5"/>
      <c r="E9538" s="5"/>
      <c r="F9538" s="5"/>
      <c r="G9538" s="5"/>
      <c r="H9538" s="5"/>
      <c r="I9538" s="5"/>
      <c r="J9538" s="5"/>
      <c r="K9538" s="5"/>
      <c r="L9538" s="5"/>
    </row>
    <row r="9539" spans="1:12" ht="12" customHeight="1" x14ac:dyDescent="0.25">
      <c r="A9539" s="6"/>
      <c r="B9539" s="1"/>
      <c r="C9539" s="5"/>
      <c r="D9539" s="5"/>
      <c r="E9539" s="5"/>
      <c r="F9539" s="5"/>
      <c r="G9539" s="5"/>
      <c r="H9539" s="5"/>
      <c r="I9539" s="5"/>
      <c r="J9539" s="5"/>
      <c r="K9539" s="5"/>
      <c r="L9539" s="5"/>
    </row>
    <row r="9540" spans="1:12" ht="12" customHeight="1" x14ac:dyDescent="0.25">
      <c r="A9540" s="6"/>
      <c r="B9540" s="1"/>
      <c r="C9540" s="5"/>
      <c r="D9540" s="5"/>
      <c r="E9540" s="5"/>
      <c r="F9540" s="5"/>
      <c r="G9540" s="5"/>
      <c r="H9540" s="5"/>
      <c r="I9540" s="5"/>
      <c r="J9540" s="5"/>
      <c r="K9540" s="5"/>
      <c r="L9540" s="5"/>
    </row>
    <row r="9541" spans="1:12" ht="12" customHeight="1" x14ac:dyDescent="0.25">
      <c r="A9541" s="6"/>
      <c r="B9541" s="1"/>
      <c r="C9541" s="5"/>
      <c r="D9541" s="5"/>
      <c r="E9541" s="5"/>
      <c r="F9541" s="5"/>
      <c r="G9541" s="5"/>
      <c r="H9541" s="5"/>
      <c r="I9541" s="5"/>
      <c r="J9541" s="5"/>
      <c r="K9541" s="5"/>
      <c r="L9541" s="5"/>
    </row>
    <row r="9542" spans="1:12" ht="12" customHeight="1" x14ac:dyDescent="0.25">
      <c r="A9542" s="6"/>
      <c r="B9542" s="1"/>
      <c r="C9542" s="5"/>
      <c r="D9542" s="5"/>
      <c r="E9542" s="5"/>
      <c r="F9542" s="5"/>
      <c r="G9542" s="5"/>
      <c r="H9542" s="5"/>
      <c r="I9542" s="5"/>
      <c r="J9542" s="5"/>
      <c r="K9542" s="5"/>
      <c r="L9542" s="5"/>
    </row>
    <row r="9543" spans="1:12" ht="12" customHeight="1" x14ac:dyDescent="0.25">
      <c r="A9543" s="6"/>
      <c r="B9543" s="1"/>
      <c r="C9543" s="5"/>
      <c r="D9543" s="5"/>
      <c r="E9543" s="5"/>
      <c r="F9543" s="5"/>
      <c r="G9543" s="5"/>
      <c r="H9543" s="5"/>
      <c r="I9543" s="5"/>
      <c r="J9543" s="5"/>
      <c r="K9543" s="5"/>
      <c r="L9543" s="5"/>
    </row>
    <row r="9544" spans="1:12" ht="12" customHeight="1" x14ac:dyDescent="0.25">
      <c r="A9544" s="6"/>
      <c r="B9544" s="1"/>
      <c r="C9544" s="5"/>
      <c r="D9544" s="5"/>
      <c r="E9544" s="5"/>
      <c r="F9544" s="5"/>
      <c r="G9544" s="5"/>
      <c r="H9544" s="5"/>
      <c r="I9544" s="5"/>
      <c r="J9544" s="5"/>
      <c r="K9544" s="5"/>
      <c r="L9544" s="5"/>
    </row>
    <row r="9545" spans="1:12" ht="12" customHeight="1" x14ac:dyDescent="0.25">
      <c r="A9545" s="6"/>
      <c r="B9545" s="1"/>
      <c r="C9545" s="5"/>
      <c r="D9545" s="5"/>
      <c r="E9545" s="5"/>
      <c r="F9545" s="5"/>
      <c r="G9545" s="5"/>
      <c r="H9545" s="5"/>
      <c r="I9545" s="5"/>
      <c r="J9545" s="5"/>
      <c r="K9545" s="5"/>
      <c r="L9545" s="5"/>
    </row>
    <row r="9546" spans="1:12" ht="12" customHeight="1" x14ac:dyDescent="0.25">
      <c r="A9546" s="6"/>
      <c r="B9546" s="1"/>
      <c r="C9546" s="5"/>
      <c r="D9546" s="5"/>
      <c r="E9546" s="5"/>
      <c r="F9546" s="5"/>
      <c r="G9546" s="5"/>
      <c r="H9546" s="5"/>
      <c r="I9546" s="5"/>
      <c r="J9546" s="5"/>
      <c r="K9546" s="5"/>
      <c r="L9546" s="5"/>
    </row>
    <row r="9547" spans="1:12" ht="12" customHeight="1" x14ac:dyDescent="0.25">
      <c r="A9547" s="6"/>
      <c r="B9547" s="1"/>
      <c r="C9547" s="5"/>
      <c r="D9547" s="5"/>
      <c r="E9547" s="5"/>
      <c r="F9547" s="5"/>
      <c r="G9547" s="5"/>
      <c r="H9547" s="5"/>
      <c r="I9547" s="5"/>
      <c r="J9547" s="5"/>
      <c r="K9547" s="5"/>
      <c r="L9547" s="5"/>
    </row>
    <row r="9548" spans="1:12" ht="12" customHeight="1" x14ac:dyDescent="0.25">
      <c r="A9548" s="6"/>
      <c r="B9548" s="1"/>
      <c r="C9548" s="5"/>
      <c r="D9548" s="5"/>
      <c r="E9548" s="5"/>
      <c r="F9548" s="5"/>
      <c r="G9548" s="5"/>
      <c r="H9548" s="5"/>
      <c r="I9548" s="5"/>
      <c r="J9548" s="5"/>
      <c r="K9548" s="5"/>
      <c r="L9548" s="5"/>
    </row>
    <row r="9549" spans="1:12" ht="12" customHeight="1" x14ac:dyDescent="0.25">
      <c r="A9549" s="6"/>
      <c r="B9549" s="1"/>
      <c r="C9549" s="5"/>
      <c r="D9549" s="5"/>
      <c r="E9549" s="5"/>
      <c r="F9549" s="5"/>
      <c r="G9549" s="5"/>
      <c r="H9549" s="5"/>
      <c r="I9549" s="5"/>
      <c r="J9549" s="5"/>
      <c r="K9549" s="5"/>
      <c r="L9549" s="5"/>
    </row>
    <row r="9550" spans="1:12" ht="12" customHeight="1" x14ac:dyDescent="0.25">
      <c r="A9550" s="6"/>
      <c r="B9550" s="1"/>
      <c r="C9550" s="5"/>
      <c r="D9550" s="5"/>
      <c r="E9550" s="5"/>
      <c r="F9550" s="5"/>
      <c r="G9550" s="5"/>
      <c r="H9550" s="5"/>
      <c r="I9550" s="5"/>
      <c r="J9550" s="5"/>
      <c r="K9550" s="5"/>
      <c r="L9550" s="5"/>
    </row>
    <row r="9551" spans="1:12" ht="12" customHeight="1" x14ac:dyDescent="0.25">
      <c r="A9551" s="6"/>
      <c r="B9551" s="1"/>
      <c r="C9551" s="5"/>
      <c r="D9551" s="5"/>
      <c r="E9551" s="5"/>
      <c r="F9551" s="5"/>
      <c r="G9551" s="5"/>
      <c r="H9551" s="5"/>
      <c r="I9551" s="5"/>
      <c r="J9551" s="5"/>
      <c r="K9551" s="5"/>
      <c r="L9551" s="5"/>
    </row>
    <row r="9552" spans="1:12" ht="12" customHeight="1" x14ac:dyDescent="0.25">
      <c r="A9552" s="6"/>
      <c r="B9552" s="1"/>
      <c r="C9552" s="5"/>
      <c r="D9552" s="5"/>
      <c r="E9552" s="5"/>
      <c r="F9552" s="5"/>
      <c r="G9552" s="5"/>
      <c r="H9552" s="5"/>
      <c r="I9552" s="5"/>
      <c r="J9552" s="5"/>
      <c r="K9552" s="5"/>
      <c r="L9552" s="5"/>
    </row>
    <row r="9553" spans="1:12" ht="12" customHeight="1" x14ac:dyDescent="0.25">
      <c r="A9553" s="6"/>
      <c r="B9553" s="1"/>
      <c r="C9553" s="5"/>
      <c r="D9553" s="5"/>
      <c r="E9553" s="5"/>
      <c r="F9553" s="5"/>
      <c r="G9553" s="5"/>
      <c r="H9553" s="5"/>
      <c r="I9553" s="5"/>
      <c r="J9553" s="5"/>
      <c r="K9553" s="5"/>
      <c r="L9553" s="5"/>
    </row>
    <row r="9554" spans="1:12" ht="12" customHeight="1" x14ac:dyDescent="0.25">
      <c r="A9554" s="6"/>
      <c r="B9554" s="1"/>
      <c r="C9554" s="5"/>
      <c r="D9554" s="5"/>
      <c r="E9554" s="5"/>
      <c r="F9554" s="5"/>
      <c r="G9554" s="5"/>
      <c r="H9554" s="5"/>
      <c r="I9554" s="5"/>
      <c r="J9554" s="5"/>
      <c r="K9554" s="5"/>
      <c r="L9554" s="5"/>
    </row>
    <row r="9555" spans="1:12" ht="12" customHeight="1" x14ac:dyDescent="0.25">
      <c r="A9555" s="6"/>
      <c r="B9555" s="1"/>
      <c r="C9555" s="5"/>
      <c r="D9555" s="5"/>
      <c r="E9555" s="5"/>
      <c r="F9555" s="5"/>
      <c r="G9555" s="5"/>
      <c r="H9555" s="5"/>
      <c r="I9555" s="5"/>
      <c r="J9555" s="5"/>
      <c r="K9555" s="5"/>
      <c r="L9555" s="5"/>
    </row>
    <row r="9556" spans="1:12" ht="12" customHeight="1" x14ac:dyDescent="0.25">
      <c r="A9556" s="6"/>
      <c r="B9556" s="1"/>
      <c r="C9556" s="5"/>
      <c r="D9556" s="5"/>
      <c r="E9556" s="5"/>
      <c r="F9556" s="5"/>
      <c r="G9556" s="5"/>
      <c r="H9556" s="5"/>
      <c r="I9556" s="5"/>
      <c r="J9556" s="5"/>
      <c r="K9556" s="5"/>
      <c r="L9556" s="5"/>
    </row>
    <row r="9557" spans="1:12" ht="12" customHeight="1" x14ac:dyDescent="0.25">
      <c r="A9557" s="6"/>
      <c r="B9557" s="1"/>
      <c r="C9557" s="5"/>
      <c r="D9557" s="5"/>
      <c r="E9557" s="5"/>
      <c r="F9557" s="5"/>
      <c r="G9557" s="5"/>
      <c r="H9557" s="5"/>
      <c r="I9557" s="5"/>
      <c r="J9557" s="5"/>
      <c r="K9557" s="5"/>
      <c r="L9557" s="5"/>
    </row>
    <row r="9558" spans="1:12" ht="12" customHeight="1" x14ac:dyDescent="0.25">
      <c r="A9558" s="6"/>
      <c r="B9558" s="1"/>
      <c r="C9558" s="5"/>
      <c r="D9558" s="5"/>
      <c r="E9558" s="5"/>
      <c r="F9558" s="5"/>
      <c r="G9558" s="5"/>
      <c r="H9558" s="5"/>
      <c r="I9558" s="5"/>
      <c r="J9558" s="5"/>
      <c r="K9558" s="5"/>
      <c r="L9558" s="5"/>
    </row>
    <row r="9559" spans="1:12" ht="12" customHeight="1" x14ac:dyDescent="0.25">
      <c r="A9559" s="6"/>
      <c r="B9559" s="1"/>
      <c r="C9559" s="5"/>
      <c r="D9559" s="5"/>
      <c r="E9559" s="5"/>
      <c r="F9559" s="5"/>
      <c r="G9559" s="5"/>
      <c r="H9559" s="5"/>
      <c r="I9559" s="5"/>
      <c r="J9559" s="5"/>
      <c r="K9559" s="5"/>
      <c r="L9559" s="5"/>
    </row>
    <row r="9560" spans="1:12" ht="12" customHeight="1" x14ac:dyDescent="0.25">
      <c r="A9560" s="6"/>
      <c r="B9560" s="1"/>
      <c r="C9560" s="5"/>
      <c r="D9560" s="5"/>
      <c r="E9560" s="5"/>
      <c r="F9560" s="5"/>
      <c r="G9560" s="5"/>
      <c r="H9560" s="5"/>
      <c r="I9560" s="5"/>
      <c r="J9560" s="5"/>
      <c r="K9560" s="5"/>
      <c r="L9560" s="5"/>
    </row>
    <row r="9561" spans="1:12" ht="12" customHeight="1" x14ac:dyDescent="0.25">
      <c r="A9561" s="6"/>
      <c r="B9561" s="1"/>
      <c r="C9561" s="5"/>
      <c r="D9561" s="5"/>
      <c r="E9561" s="5"/>
      <c r="F9561" s="5"/>
      <c r="G9561" s="5"/>
      <c r="H9561" s="5"/>
      <c r="I9561" s="5"/>
      <c r="J9561" s="5"/>
      <c r="K9561" s="5"/>
      <c r="L9561" s="5"/>
    </row>
    <row r="9562" spans="1:12" ht="12" customHeight="1" x14ac:dyDescent="0.25">
      <c r="A9562" s="6"/>
      <c r="B9562" s="1"/>
      <c r="C9562" s="5"/>
      <c r="D9562" s="5"/>
      <c r="E9562" s="5"/>
      <c r="F9562" s="5"/>
      <c r="G9562" s="5"/>
      <c r="H9562" s="5"/>
      <c r="I9562" s="5"/>
      <c r="J9562" s="5"/>
      <c r="K9562" s="5"/>
      <c r="L9562" s="5"/>
    </row>
    <row r="9563" spans="1:12" ht="12" customHeight="1" x14ac:dyDescent="0.25">
      <c r="A9563" s="6"/>
      <c r="B9563" s="1"/>
      <c r="C9563" s="5"/>
      <c r="D9563" s="5"/>
      <c r="E9563" s="5"/>
      <c r="F9563" s="5"/>
      <c r="G9563" s="5"/>
      <c r="H9563" s="5"/>
      <c r="I9563" s="5"/>
      <c r="J9563" s="5"/>
      <c r="K9563" s="5"/>
      <c r="L9563" s="5"/>
    </row>
    <row r="9564" spans="1:12" ht="12" customHeight="1" x14ac:dyDescent="0.25">
      <c r="A9564" s="6"/>
      <c r="B9564" s="1"/>
      <c r="C9564" s="5"/>
      <c r="D9564" s="5"/>
      <c r="E9564" s="5"/>
      <c r="F9564" s="5"/>
      <c r="G9564" s="5"/>
      <c r="H9564" s="5"/>
      <c r="I9564" s="5"/>
      <c r="J9564" s="5"/>
      <c r="K9564" s="5"/>
      <c r="L9564" s="5"/>
    </row>
    <row r="9565" spans="1:12" ht="12" customHeight="1" x14ac:dyDescent="0.25">
      <c r="A9565" s="6"/>
      <c r="B9565" s="1"/>
      <c r="C9565" s="5"/>
      <c r="D9565" s="5"/>
      <c r="E9565" s="5"/>
      <c r="F9565" s="5"/>
      <c r="G9565" s="5"/>
      <c r="H9565" s="5"/>
      <c r="I9565" s="5"/>
      <c r="J9565" s="5"/>
      <c r="K9565" s="5"/>
      <c r="L9565" s="5"/>
    </row>
    <row r="9566" spans="1:12" ht="12" customHeight="1" x14ac:dyDescent="0.25">
      <c r="A9566" s="6"/>
      <c r="B9566" s="1"/>
      <c r="C9566" s="5"/>
      <c r="D9566" s="5"/>
      <c r="E9566" s="5"/>
      <c r="F9566" s="5"/>
      <c r="G9566" s="5"/>
      <c r="H9566" s="5"/>
      <c r="I9566" s="5"/>
      <c r="J9566" s="5"/>
      <c r="K9566" s="5"/>
      <c r="L9566" s="5"/>
    </row>
    <row r="9567" spans="1:12" ht="12" customHeight="1" x14ac:dyDescent="0.25">
      <c r="A9567" s="6"/>
      <c r="B9567" s="1"/>
      <c r="C9567" s="5"/>
      <c r="D9567" s="5"/>
      <c r="E9567" s="5"/>
      <c r="F9567" s="5"/>
      <c r="G9567" s="5"/>
      <c r="H9567" s="5"/>
      <c r="I9567" s="5"/>
      <c r="J9567" s="5"/>
      <c r="K9567" s="5"/>
      <c r="L9567" s="5"/>
    </row>
    <row r="9568" spans="1:12" ht="12" customHeight="1" x14ac:dyDescent="0.25">
      <c r="A9568" s="6"/>
      <c r="B9568" s="1"/>
      <c r="C9568" s="5"/>
      <c r="D9568" s="5"/>
      <c r="E9568" s="5"/>
      <c r="F9568" s="5"/>
      <c r="G9568" s="5"/>
      <c r="H9568" s="5"/>
      <c r="I9568" s="5"/>
      <c r="J9568" s="5"/>
      <c r="K9568" s="5"/>
      <c r="L9568" s="5"/>
    </row>
    <row r="9569" spans="1:12" ht="12" customHeight="1" x14ac:dyDescent="0.25">
      <c r="A9569" s="6"/>
      <c r="B9569" s="1"/>
      <c r="C9569" s="5"/>
      <c r="D9569" s="5"/>
      <c r="E9569" s="5"/>
      <c r="F9569" s="5"/>
      <c r="G9569" s="5"/>
      <c r="H9569" s="5"/>
      <c r="I9569" s="5"/>
      <c r="J9569" s="5"/>
      <c r="K9569" s="5"/>
      <c r="L9569" s="5"/>
    </row>
    <row r="9570" spans="1:12" ht="12" customHeight="1" x14ac:dyDescent="0.25">
      <c r="A9570" s="6"/>
      <c r="B9570" s="1"/>
      <c r="C9570" s="5"/>
      <c r="D9570" s="5"/>
      <c r="E9570" s="5"/>
      <c r="F9570" s="5"/>
      <c r="G9570" s="5"/>
      <c r="H9570" s="5"/>
      <c r="I9570" s="5"/>
      <c r="J9570" s="5"/>
      <c r="K9570" s="5"/>
      <c r="L9570" s="5"/>
    </row>
    <row r="9571" spans="1:12" ht="12" customHeight="1" x14ac:dyDescent="0.25">
      <c r="A9571" s="6"/>
      <c r="B9571" s="1"/>
      <c r="C9571" s="5"/>
      <c r="D9571" s="5"/>
      <c r="E9571" s="5"/>
      <c r="F9571" s="5"/>
      <c r="G9571" s="5"/>
      <c r="H9571" s="5"/>
      <c r="I9571" s="5"/>
      <c r="J9571" s="5"/>
      <c r="K9571" s="5"/>
      <c r="L9571" s="5"/>
    </row>
    <row r="9572" spans="1:12" ht="12" customHeight="1" x14ac:dyDescent="0.25">
      <c r="A9572" s="6"/>
      <c r="B9572" s="1"/>
      <c r="C9572" s="5"/>
      <c r="D9572" s="5"/>
      <c r="E9572" s="5"/>
      <c r="F9572" s="5"/>
      <c r="G9572" s="5"/>
      <c r="H9572" s="5"/>
      <c r="I9572" s="5"/>
      <c r="J9572" s="5"/>
      <c r="K9572" s="5"/>
      <c r="L9572" s="5"/>
    </row>
    <row r="9573" spans="1:12" ht="12" customHeight="1" x14ac:dyDescent="0.25">
      <c r="A9573" s="6"/>
      <c r="B9573" s="1"/>
      <c r="C9573" s="5"/>
      <c r="D9573" s="5"/>
      <c r="E9573" s="5"/>
      <c r="F9573" s="5"/>
      <c r="G9573" s="5"/>
      <c r="H9573" s="5"/>
      <c r="I9573" s="5"/>
      <c r="J9573" s="5"/>
      <c r="K9573" s="5"/>
      <c r="L9573" s="5"/>
    </row>
    <row r="9574" spans="1:12" ht="12" customHeight="1" x14ac:dyDescent="0.25">
      <c r="A9574" s="6"/>
      <c r="B9574" s="1"/>
      <c r="C9574" s="5"/>
      <c r="D9574" s="5"/>
      <c r="E9574" s="5"/>
      <c r="F9574" s="5"/>
      <c r="G9574" s="5"/>
      <c r="H9574" s="5"/>
      <c r="I9574" s="5"/>
      <c r="J9574" s="5"/>
      <c r="K9574" s="5"/>
      <c r="L9574" s="5"/>
    </row>
    <row r="9575" spans="1:12" ht="12" customHeight="1" x14ac:dyDescent="0.25">
      <c r="A9575" s="6"/>
      <c r="B9575" s="1"/>
      <c r="C9575" s="5"/>
      <c r="D9575" s="5"/>
      <c r="E9575" s="5"/>
      <c r="F9575" s="5"/>
      <c r="G9575" s="5"/>
      <c r="H9575" s="5"/>
      <c r="I9575" s="5"/>
      <c r="J9575" s="5"/>
      <c r="K9575" s="5"/>
      <c r="L9575" s="5"/>
    </row>
    <row r="9576" spans="1:12" ht="12" customHeight="1" x14ac:dyDescent="0.25">
      <c r="A9576" s="6"/>
      <c r="B9576" s="1"/>
      <c r="C9576" s="5"/>
      <c r="D9576" s="5"/>
      <c r="E9576" s="5"/>
      <c r="F9576" s="5"/>
      <c r="G9576" s="5"/>
      <c r="H9576" s="5"/>
      <c r="I9576" s="5"/>
      <c r="J9576" s="5"/>
      <c r="K9576" s="5"/>
      <c r="L9576" s="5"/>
    </row>
    <row r="9577" spans="1:12" ht="12" customHeight="1" x14ac:dyDescent="0.25">
      <c r="A9577" s="6"/>
      <c r="B9577" s="1"/>
      <c r="C9577" s="5"/>
      <c r="D9577" s="5"/>
      <c r="E9577" s="5"/>
      <c r="F9577" s="5"/>
      <c r="G9577" s="5"/>
      <c r="H9577" s="5"/>
      <c r="I9577" s="5"/>
      <c r="J9577" s="5"/>
      <c r="K9577" s="5"/>
      <c r="L9577" s="5"/>
    </row>
    <row r="9578" spans="1:12" ht="12" customHeight="1" x14ac:dyDescent="0.25">
      <c r="A9578" s="6"/>
      <c r="B9578" s="1"/>
      <c r="C9578" s="5"/>
      <c r="D9578" s="5"/>
      <c r="E9578" s="5"/>
      <c r="F9578" s="5"/>
      <c r="G9578" s="5"/>
      <c r="H9578" s="5"/>
      <c r="I9578" s="5"/>
      <c r="J9578" s="5"/>
      <c r="K9578" s="5"/>
      <c r="L9578" s="5"/>
    </row>
    <row r="9579" spans="1:12" ht="12" customHeight="1" x14ac:dyDescent="0.25">
      <c r="A9579" s="6"/>
      <c r="B9579" s="1"/>
      <c r="C9579" s="5"/>
      <c r="D9579" s="5"/>
      <c r="E9579" s="5"/>
      <c r="F9579" s="5"/>
      <c r="G9579" s="5"/>
      <c r="H9579" s="5"/>
      <c r="I9579" s="5"/>
      <c r="J9579" s="5"/>
      <c r="K9579" s="5"/>
      <c r="L9579" s="5"/>
    </row>
    <row r="9580" spans="1:12" ht="12" customHeight="1" x14ac:dyDescent="0.25">
      <c r="A9580" s="6"/>
      <c r="B9580" s="1"/>
      <c r="C9580" s="5"/>
      <c r="D9580" s="5"/>
      <c r="E9580" s="5"/>
      <c r="F9580" s="5"/>
      <c r="G9580" s="5"/>
      <c r="H9580" s="5"/>
      <c r="I9580" s="5"/>
      <c r="J9580" s="5"/>
      <c r="K9580" s="5"/>
      <c r="L9580" s="5"/>
    </row>
    <row r="9581" spans="1:12" ht="12" customHeight="1" x14ac:dyDescent="0.25">
      <c r="A9581" s="6"/>
      <c r="B9581" s="1"/>
      <c r="C9581" s="5"/>
      <c r="D9581" s="5"/>
      <c r="E9581" s="5"/>
      <c r="F9581" s="5"/>
      <c r="G9581" s="5"/>
      <c r="H9581" s="5"/>
      <c r="I9581" s="5"/>
      <c r="J9581" s="5"/>
      <c r="K9581" s="5"/>
      <c r="L9581" s="5"/>
    </row>
    <row r="9582" spans="1:12" ht="12" customHeight="1" x14ac:dyDescent="0.25">
      <c r="A9582" s="6"/>
      <c r="B9582" s="1"/>
      <c r="C9582" s="5"/>
      <c r="D9582" s="5"/>
      <c r="E9582" s="5"/>
      <c r="F9582" s="5"/>
      <c r="G9582" s="5"/>
      <c r="H9582" s="5"/>
      <c r="I9582" s="5"/>
      <c r="J9582" s="5"/>
      <c r="K9582" s="5"/>
      <c r="L9582" s="5"/>
    </row>
    <row r="9583" spans="1:12" ht="12" customHeight="1" x14ac:dyDescent="0.25">
      <c r="A9583" s="6"/>
      <c r="B9583" s="1"/>
      <c r="C9583" s="5"/>
      <c r="D9583" s="5"/>
      <c r="E9583" s="5"/>
      <c r="F9583" s="5"/>
      <c r="G9583" s="5"/>
      <c r="H9583" s="5"/>
      <c r="I9583" s="5"/>
      <c r="J9583" s="5"/>
      <c r="K9583" s="5"/>
      <c r="L9583" s="5"/>
    </row>
    <row r="9584" spans="1:12" ht="12" customHeight="1" x14ac:dyDescent="0.25">
      <c r="A9584" s="6"/>
      <c r="B9584" s="1"/>
      <c r="C9584" s="5"/>
      <c r="D9584" s="5"/>
      <c r="E9584" s="5"/>
      <c r="F9584" s="5"/>
      <c r="G9584" s="5"/>
      <c r="H9584" s="5"/>
      <c r="I9584" s="5"/>
      <c r="J9584" s="5"/>
      <c r="K9584" s="5"/>
      <c r="L9584" s="5"/>
    </row>
    <row r="9585" spans="1:12" ht="12" customHeight="1" x14ac:dyDescent="0.25">
      <c r="A9585" s="6"/>
      <c r="B9585" s="1"/>
      <c r="C9585" s="5"/>
      <c r="D9585" s="5"/>
      <c r="E9585" s="5"/>
      <c r="F9585" s="5"/>
      <c r="G9585" s="5"/>
      <c r="H9585" s="5"/>
      <c r="I9585" s="5"/>
      <c r="J9585" s="5"/>
      <c r="K9585" s="5"/>
      <c r="L9585" s="5"/>
    </row>
    <row r="9586" spans="1:12" ht="12" customHeight="1" x14ac:dyDescent="0.25">
      <c r="A9586" s="6"/>
      <c r="B9586" s="1"/>
      <c r="C9586" s="5"/>
      <c r="D9586" s="5"/>
      <c r="E9586" s="5"/>
      <c r="F9586" s="5"/>
      <c r="G9586" s="5"/>
      <c r="H9586" s="5"/>
      <c r="I9586" s="5"/>
      <c r="J9586" s="5"/>
      <c r="K9586" s="5"/>
      <c r="L9586" s="5"/>
    </row>
    <row r="9587" spans="1:12" ht="12" customHeight="1" x14ac:dyDescent="0.25">
      <c r="A9587" s="6"/>
      <c r="B9587" s="1"/>
      <c r="C9587" s="5"/>
      <c r="D9587" s="5"/>
      <c r="E9587" s="5"/>
      <c r="F9587" s="5"/>
      <c r="G9587" s="5"/>
      <c r="H9587" s="5"/>
      <c r="I9587" s="5"/>
      <c r="J9587" s="5"/>
      <c r="K9587" s="5"/>
      <c r="L9587" s="5"/>
    </row>
    <row r="9588" spans="1:12" ht="12" customHeight="1" x14ac:dyDescent="0.25">
      <c r="A9588" s="6"/>
      <c r="B9588" s="1"/>
      <c r="C9588" s="5"/>
      <c r="D9588" s="5"/>
      <c r="E9588" s="5"/>
      <c r="F9588" s="5"/>
      <c r="G9588" s="5"/>
      <c r="H9588" s="5"/>
      <c r="I9588" s="5"/>
      <c r="J9588" s="5"/>
      <c r="K9588" s="5"/>
      <c r="L9588" s="5"/>
    </row>
    <row r="9589" spans="1:12" ht="12" customHeight="1" x14ac:dyDescent="0.25">
      <c r="A9589" s="6"/>
      <c r="B9589" s="1"/>
      <c r="C9589" s="5"/>
      <c r="D9589" s="5"/>
      <c r="E9589" s="5"/>
      <c r="F9589" s="5"/>
      <c r="G9589" s="5"/>
      <c r="H9589" s="5"/>
      <c r="I9589" s="5"/>
      <c r="J9589" s="5"/>
      <c r="K9589" s="5"/>
      <c r="L9589" s="5"/>
    </row>
    <row r="9590" spans="1:12" ht="12" customHeight="1" x14ac:dyDescent="0.25">
      <c r="A9590" s="6"/>
      <c r="B9590" s="1"/>
      <c r="C9590" s="5"/>
      <c r="D9590" s="5"/>
      <c r="E9590" s="5"/>
      <c r="F9590" s="5"/>
      <c r="G9590" s="5"/>
      <c r="H9590" s="5"/>
      <c r="I9590" s="5"/>
      <c r="J9590" s="5"/>
      <c r="K9590" s="5"/>
      <c r="L9590" s="5"/>
    </row>
    <row r="9591" spans="1:12" ht="12" customHeight="1" x14ac:dyDescent="0.25">
      <c r="A9591" s="6"/>
      <c r="B9591" s="1"/>
      <c r="C9591" s="5"/>
      <c r="D9591" s="5"/>
      <c r="E9591" s="5"/>
      <c r="F9591" s="5"/>
      <c r="G9591" s="5"/>
      <c r="H9591" s="5"/>
      <c r="I9591" s="5"/>
      <c r="J9591" s="5"/>
      <c r="K9591" s="5"/>
      <c r="L9591" s="5"/>
    </row>
    <row r="9592" spans="1:12" ht="12" customHeight="1" x14ac:dyDescent="0.25">
      <c r="A9592" s="6"/>
      <c r="B9592" s="1"/>
      <c r="C9592" s="5"/>
      <c r="D9592" s="5"/>
      <c r="E9592" s="5"/>
      <c r="F9592" s="5"/>
      <c r="G9592" s="5"/>
      <c r="H9592" s="5"/>
      <c r="I9592" s="5"/>
      <c r="J9592" s="5"/>
      <c r="K9592" s="5"/>
      <c r="L9592" s="5"/>
    </row>
    <row r="9593" spans="1:12" ht="12" customHeight="1" x14ac:dyDescent="0.25">
      <c r="A9593" s="6"/>
      <c r="B9593" s="1"/>
      <c r="C9593" s="5"/>
      <c r="D9593" s="5"/>
      <c r="E9593" s="5"/>
      <c r="F9593" s="5"/>
      <c r="G9593" s="5"/>
      <c r="H9593" s="5"/>
      <c r="I9593" s="5"/>
      <c r="J9593" s="5"/>
      <c r="K9593" s="5"/>
      <c r="L9593" s="5"/>
    </row>
    <row r="9594" spans="1:12" ht="12" customHeight="1" x14ac:dyDescent="0.25">
      <c r="A9594" s="6"/>
      <c r="B9594" s="1"/>
      <c r="C9594" s="5"/>
      <c r="D9594" s="5"/>
      <c r="E9594" s="5"/>
      <c r="F9594" s="5"/>
      <c r="G9594" s="5"/>
      <c r="H9594" s="5"/>
      <c r="I9594" s="5"/>
      <c r="J9594" s="5"/>
      <c r="K9594" s="5"/>
      <c r="L9594" s="5"/>
    </row>
    <row r="9595" spans="1:12" ht="12" customHeight="1" x14ac:dyDescent="0.25">
      <c r="A9595" s="6"/>
      <c r="B9595" s="1"/>
      <c r="C9595" s="5"/>
      <c r="D9595" s="5"/>
      <c r="E9595" s="5"/>
      <c r="F9595" s="5"/>
      <c r="G9595" s="5"/>
      <c r="H9595" s="5"/>
      <c r="I9595" s="5"/>
      <c r="J9595" s="5"/>
      <c r="K9595" s="5"/>
      <c r="L9595" s="5"/>
    </row>
    <row r="9596" spans="1:12" ht="12" customHeight="1" x14ac:dyDescent="0.25">
      <c r="A9596" s="6"/>
      <c r="B9596" s="1"/>
      <c r="C9596" s="5"/>
      <c r="D9596" s="5"/>
      <c r="E9596" s="5"/>
      <c r="F9596" s="5"/>
      <c r="G9596" s="5"/>
      <c r="H9596" s="5"/>
      <c r="I9596" s="5"/>
      <c r="J9596" s="5"/>
      <c r="K9596" s="5"/>
      <c r="L9596" s="5"/>
    </row>
    <row r="9597" spans="1:12" ht="12" customHeight="1" x14ac:dyDescent="0.25">
      <c r="A9597" s="6"/>
      <c r="B9597" s="1"/>
      <c r="C9597" s="5"/>
      <c r="D9597" s="5"/>
      <c r="E9597" s="5"/>
      <c r="F9597" s="5"/>
      <c r="G9597" s="5"/>
      <c r="H9597" s="5"/>
      <c r="I9597" s="5"/>
      <c r="J9597" s="5"/>
      <c r="K9597" s="5"/>
      <c r="L9597" s="5"/>
    </row>
    <row r="9598" spans="1:12" ht="12" customHeight="1" x14ac:dyDescent="0.25">
      <c r="A9598" s="6"/>
      <c r="B9598" s="1"/>
      <c r="C9598" s="5"/>
      <c r="D9598" s="5"/>
      <c r="E9598" s="5"/>
      <c r="F9598" s="5"/>
      <c r="G9598" s="5"/>
      <c r="H9598" s="5"/>
      <c r="I9598" s="5"/>
      <c r="J9598" s="5"/>
      <c r="K9598" s="5"/>
      <c r="L9598" s="5"/>
    </row>
    <row r="9599" spans="1:12" ht="12" customHeight="1" x14ac:dyDescent="0.25">
      <c r="A9599" s="6"/>
      <c r="B9599" s="1"/>
      <c r="C9599" s="5"/>
      <c r="D9599" s="5"/>
      <c r="E9599" s="5"/>
      <c r="F9599" s="5"/>
      <c r="G9599" s="5"/>
      <c r="H9599" s="5"/>
      <c r="I9599" s="5"/>
      <c r="J9599" s="5"/>
      <c r="K9599" s="5"/>
      <c r="L9599" s="5"/>
    </row>
    <row r="9600" spans="1:12" ht="12" customHeight="1" x14ac:dyDescent="0.25">
      <c r="A9600" s="6"/>
      <c r="B9600" s="1"/>
      <c r="C9600" s="5"/>
      <c r="D9600" s="5"/>
      <c r="E9600" s="5"/>
      <c r="F9600" s="5"/>
      <c r="G9600" s="5"/>
      <c r="H9600" s="5"/>
      <c r="I9600" s="5"/>
      <c r="J9600" s="5"/>
      <c r="K9600" s="5"/>
      <c r="L9600" s="5"/>
    </row>
    <row r="9601" spans="1:12" ht="12" customHeight="1" x14ac:dyDescent="0.25">
      <c r="A9601" s="6"/>
      <c r="B9601" s="1"/>
      <c r="C9601" s="5"/>
      <c r="D9601" s="5"/>
      <c r="E9601" s="5"/>
      <c r="F9601" s="5"/>
      <c r="G9601" s="5"/>
      <c r="H9601" s="5"/>
      <c r="I9601" s="5"/>
      <c r="J9601" s="5"/>
      <c r="K9601" s="5"/>
      <c r="L9601" s="5"/>
    </row>
    <row r="9602" spans="1:12" ht="12" customHeight="1" x14ac:dyDescent="0.25">
      <c r="A9602" s="6"/>
      <c r="B9602" s="1"/>
      <c r="C9602" s="5"/>
      <c r="D9602" s="5"/>
      <c r="E9602" s="5"/>
      <c r="F9602" s="5"/>
      <c r="G9602" s="5"/>
      <c r="H9602" s="5"/>
      <c r="I9602" s="5"/>
      <c r="J9602" s="5"/>
      <c r="K9602" s="5"/>
      <c r="L9602" s="5"/>
    </row>
    <row r="9603" spans="1:12" ht="12" customHeight="1" x14ac:dyDescent="0.25">
      <c r="A9603" s="6"/>
      <c r="B9603" s="1"/>
      <c r="C9603" s="5"/>
      <c r="D9603" s="5"/>
      <c r="E9603" s="5"/>
      <c r="F9603" s="5"/>
      <c r="G9603" s="5"/>
      <c r="H9603" s="5"/>
      <c r="I9603" s="5"/>
      <c r="J9603" s="5"/>
      <c r="K9603" s="5"/>
      <c r="L9603" s="5"/>
    </row>
    <row r="9604" spans="1:12" ht="12" customHeight="1" x14ac:dyDescent="0.25">
      <c r="A9604" s="6"/>
      <c r="B9604" s="1"/>
      <c r="C9604" s="5"/>
      <c r="D9604" s="5"/>
      <c r="E9604" s="5"/>
      <c r="F9604" s="5"/>
      <c r="G9604" s="5"/>
      <c r="H9604" s="5"/>
      <c r="I9604" s="5"/>
      <c r="J9604" s="5"/>
      <c r="K9604" s="5"/>
      <c r="L9604" s="5"/>
    </row>
    <row r="9605" spans="1:12" ht="12" customHeight="1" x14ac:dyDescent="0.25">
      <c r="A9605" s="6"/>
      <c r="B9605" s="1"/>
      <c r="C9605" s="5"/>
      <c r="D9605" s="5"/>
      <c r="E9605" s="5"/>
      <c r="F9605" s="5"/>
      <c r="G9605" s="5"/>
      <c r="H9605" s="5"/>
      <c r="I9605" s="5"/>
      <c r="J9605" s="5"/>
      <c r="K9605" s="5"/>
      <c r="L9605" s="5"/>
    </row>
    <row r="9606" spans="1:12" ht="12" customHeight="1" x14ac:dyDescent="0.25">
      <c r="A9606" s="6"/>
      <c r="B9606" s="1"/>
      <c r="C9606" s="5"/>
      <c r="D9606" s="5"/>
      <c r="E9606" s="5"/>
      <c r="F9606" s="5"/>
      <c r="G9606" s="5"/>
      <c r="H9606" s="5"/>
      <c r="I9606" s="5"/>
      <c r="J9606" s="5"/>
      <c r="K9606" s="5"/>
      <c r="L9606" s="5"/>
    </row>
    <row r="9607" spans="1:12" ht="12" customHeight="1" x14ac:dyDescent="0.25">
      <c r="A9607" s="6"/>
      <c r="B9607" s="1"/>
      <c r="C9607" s="5"/>
      <c r="D9607" s="5"/>
      <c r="E9607" s="5"/>
      <c r="F9607" s="5"/>
      <c r="G9607" s="5"/>
      <c r="H9607" s="5"/>
      <c r="I9607" s="5"/>
      <c r="J9607" s="5"/>
      <c r="K9607" s="5"/>
      <c r="L9607" s="5"/>
    </row>
    <row r="9608" spans="1:12" ht="12" customHeight="1" x14ac:dyDescent="0.25">
      <c r="A9608" s="6"/>
      <c r="B9608" s="1"/>
      <c r="C9608" s="5"/>
      <c r="D9608" s="5"/>
      <c r="E9608" s="5"/>
      <c r="F9608" s="5"/>
      <c r="G9608" s="5"/>
      <c r="H9608" s="5"/>
      <c r="I9608" s="5"/>
      <c r="J9608" s="5"/>
      <c r="K9608" s="5"/>
      <c r="L9608" s="5"/>
    </row>
    <row r="9609" spans="1:12" ht="12" customHeight="1" x14ac:dyDescent="0.25">
      <c r="A9609" s="6"/>
      <c r="B9609" s="1"/>
      <c r="C9609" s="5"/>
      <c r="D9609" s="5"/>
      <c r="E9609" s="5"/>
      <c r="F9609" s="5"/>
      <c r="G9609" s="5"/>
      <c r="H9609" s="5"/>
      <c r="I9609" s="5"/>
      <c r="J9609" s="5"/>
      <c r="K9609" s="5"/>
      <c r="L9609" s="5"/>
    </row>
    <row r="9610" spans="1:12" ht="12" customHeight="1" x14ac:dyDescent="0.25">
      <c r="A9610" s="6"/>
      <c r="B9610" s="1"/>
      <c r="C9610" s="5"/>
      <c r="D9610" s="5"/>
      <c r="E9610" s="5"/>
      <c r="F9610" s="5"/>
      <c r="G9610" s="5"/>
      <c r="H9610" s="5"/>
      <c r="I9610" s="5"/>
      <c r="J9610" s="5"/>
      <c r="K9610" s="5"/>
      <c r="L9610" s="5"/>
    </row>
    <row r="9611" spans="1:12" ht="12" customHeight="1" x14ac:dyDescent="0.25">
      <c r="A9611" s="6"/>
      <c r="B9611" s="1"/>
      <c r="C9611" s="5"/>
      <c r="D9611" s="5"/>
      <c r="E9611" s="5"/>
      <c r="F9611" s="5"/>
      <c r="G9611" s="5"/>
      <c r="H9611" s="5"/>
      <c r="I9611" s="5"/>
      <c r="J9611" s="5"/>
      <c r="K9611" s="5"/>
      <c r="L9611" s="5"/>
    </row>
    <row r="9612" spans="1:12" ht="12" customHeight="1" x14ac:dyDescent="0.25">
      <c r="A9612" s="6"/>
      <c r="B9612" s="1"/>
      <c r="C9612" s="5"/>
      <c r="D9612" s="5"/>
      <c r="E9612" s="5"/>
      <c r="F9612" s="5"/>
      <c r="G9612" s="5"/>
      <c r="H9612" s="5"/>
      <c r="I9612" s="5"/>
      <c r="J9612" s="5"/>
      <c r="K9612" s="5"/>
      <c r="L9612" s="5"/>
    </row>
    <row r="9613" spans="1:12" ht="12" customHeight="1" x14ac:dyDescent="0.25">
      <c r="A9613" s="6"/>
      <c r="B9613" s="1"/>
      <c r="C9613" s="5"/>
      <c r="D9613" s="5"/>
      <c r="E9613" s="5"/>
      <c r="F9613" s="5"/>
      <c r="G9613" s="5"/>
      <c r="H9613" s="5"/>
      <c r="I9613" s="5"/>
      <c r="J9613" s="5"/>
      <c r="K9613" s="5"/>
      <c r="L9613" s="5"/>
    </row>
    <row r="9614" spans="1:12" ht="12" customHeight="1" x14ac:dyDescent="0.25">
      <c r="A9614" s="6"/>
      <c r="B9614" s="1"/>
      <c r="C9614" s="5"/>
      <c r="D9614" s="5"/>
      <c r="E9614" s="5"/>
      <c r="F9614" s="5"/>
      <c r="G9614" s="5"/>
      <c r="H9614" s="5"/>
      <c r="I9614" s="5"/>
      <c r="J9614" s="5"/>
      <c r="K9614" s="5"/>
      <c r="L9614" s="5"/>
    </row>
    <row r="9615" spans="1:12" ht="12" customHeight="1" x14ac:dyDescent="0.25">
      <c r="A9615" s="6"/>
      <c r="B9615" s="1"/>
      <c r="C9615" s="5"/>
      <c r="D9615" s="5"/>
      <c r="E9615" s="5"/>
      <c r="F9615" s="5"/>
      <c r="G9615" s="5"/>
      <c r="H9615" s="5"/>
      <c r="I9615" s="5"/>
      <c r="J9615" s="5"/>
      <c r="K9615" s="5"/>
      <c r="L9615" s="5"/>
    </row>
    <row r="9616" spans="1:12" ht="12" customHeight="1" x14ac:dyDescent="0.25">
      <c r="A9616" s="6"/>
      <c r="B9616" s="1"/>
      <c r="C9616" s="5"/>
      <c r="D9616" s="5"/>
      <c r="E9616" s="5"/>
      <c r="F9616" s="5"/>
      <c r="G9616" s="5"/>
      <c r="H9616" s="5"/>
      <c r="I9616" s="5"/>
      <c r="J9616" s="5"/>
      <c r="K9616" s="5"/>
      <c r="L9616" s="5"/>
    </row>
    <row r="9617" spans="1:12" ht="12" customHeight="1" x14ac:dyDescent="0.25">
      <c r="A9617" s="6"/>
      <c r="B9617" s="1"/>
      <c r="C9617" s="5"/>
      <c r="D9617" s="5"/>
      <c r="E9617" s="5"/>
      <c r="F9617" s="5"/>
      <c r="G9617" s="5"/>
      <c r="H9617" s="5"/>
      <c r="I9617" s="5"/>
      <c r="J9617" s="5"/>
      <c r="K9617" s="5"/>
      <c r="L9617" s="5"/>
    </row>
    <row r="9618" spans="1:12" ht="12" customHeight="1" x14ac:dyDescent="0.25">
      <c r="A9618" s="6"/>
      <c r="B9618" s="1"/>
      <c r="C9618" s="5"/>
      <c r="D9618" s="5"/>
      <c r="E9618" s="5"/>
      <c r="F9618" s="5"/>
      <c r="G9618" s="5"/>
      <c r="H9618" s="5"/>
      <c r="I9618" s="5"/>
      <c r="J9618" s="5"/>
      <c r="K9618" s="5"/>
      <c r="L9618" s="5"/>
    </row>
    <row r="9619" spans="1:12" ht="12" customHeight="1" x14ac:dyDescent="0.25">
      <c r="A9619" s="6"/>
      <c r="B9619" s="1"/>
      <c r="C9619" s="5"/>
      <c r="D9619" s="5"/>
      <c r="E9619" s="5"/>
      <c r="F9619" s="5"/>
      <c r="G9619" s="5"/>
      <c r="H9619" s="5"/>
      <c r="I9619" s="5"/>
      <c r="J9619" s="5"/>
      <c r="K9619" s="5"/>
      <c r="L9619" s="5"/>
    </row>
    <row r="9620" spans="1:12" ht="12" customHeight="1" x14ac:dyDescent="0.25">
      <c r="A9620" s="6"/>
      <c r="B9620" s="1"/>
      <c r="C9620" s="5"/>
      <c r="D9620" s="5"/>
      <c r="E9620" s="5"/>
      <c r="F9620" s="5"/>
      <c r="G9620" s="5"/>
      <c r="H9620" s="5"/>
      <c r="I9620" s="5"/>
      <c r="J9620" s="5"/>
      <c r="K9620" s="5"/>
      <c r="L9620" s="5"/>
    </row>
    <row r="9621" spans="1:12" ht="12" customHeight="1" x14ac:dyDescent="0.25">
      <c r="A9621" s="6"/>
      <c r="B9621" s="1"/>
      <c r="C9621" s="5"/>
      <c r="D9621" s="5"/>
      <c r="E9621" s="5"/>
      <c r="F9621" s="5"/>
      <c r="G9621" s="5"/>
      <c r="H9621" s="5"/>
      <c r="I9621" s="5"/>
      <c r="J9621" s="5"/>
      <c r="K9621" s="5"/>
      <c r="L9621" s="5"/>
    </row>
    <row r="9622" spans="1:12" ht="12" customHeight="1" x14ac:dyDescent="0.25">
      <c r="A9622" s="6"/>
      <c r="B9622" s="1"/>
      <c r="C9622" s="5"/>
      <c r="D9622" s="5"/>
      <c r="E9622" s="5"/>
      <c r="F9622" s="5"/>
      <c r="G9622" s="5"/>
      <c r="H9622" s="5"/>
      <c r="I9622" s="5"/>
      <c r="J9622" s="5"/>
      <c r="K9622" s="5"/>
      <c r="L9622" s="5"/>
    </row>
    <row r="9623" spans="1:12" ht="12" customHeight="1" x14ac:dyDescent="0.25">
      <c r="A9623" s="6"/>
      <c r="B9623" s="1"/>
      <c r="C9623" s="5"/>
      <c r="D9623" s="5"/>
      <c r="E9623" s="5"/>
      <c r="F9623" s="5"/>
      <c r="G9623" s="5"/>
      <c r="H9623" s="5"/>
      <c r="I9623" s="5"/>
      <c r="J9623" s="5"/>
      <c r="K9623" s="5"/>
      <c r="L9623" s="5"/>
    </row>
    <row r="9624" spans="1:12" ht="12" customHeight="1" x14ac:dyDescent="0.25">
      <c r="A9624" s="6"/>
      <c r="B9624" s="1"/>
      <c r="C9624" s="5"/>
      <c r="D9624" s="5"/>
      <c r="E9624" s="5"/>
      <c r="F9624" s="5"/>
      <c r="G9624" s="5"/>
      <c r="H9624" s="5"/>
      <c r="I9624" s="5"/>
      <c r="J9624" s="5"/>
      <c r="K9624" s="5"/>
      <c r="L9624" s="5"/>
    </row>
    <row r="9625" spans="1:12" ht="12" customHeight="1" x14ac:dyDescent="0.25">
      <c r="A9625" s="6"/>
      <c r="B9625" s="1"/>
      <c r="C9625" s="5"/>
      <c r="D9625" s="5"/>
      <c r="E9625" s="5"/>
      <c r="F9625" s="5"/>
      <c r="G9625" s="5"/>
      <c r="H9625" s="5"/>
      <c r="I9625" s="5"/>
      <c r="J9625" s="5"/>
      <c r="K9625" s="5"/>
      <c r="L9625" s="5"/>
    </row>
    <row r="9626" spans="1:12" ht="12" customHeight="1" x14ac:dyDescent="0.25">
      <c r="A9626" s="6"/>
      <c r="B9626" s="1"/>
      <c r="C9626" s="5"/>
      <c r="D9626" s="5"/>
      <c r="E9626" s="5"/>
      <c r="F9626" s="5"/>
      <c r="G9626" s="5"/>
      <c r="H9626" s="5"/>
      <c r="I9626" s="5"/>
      <c r="J9626" s="5"/>
      <c r="K9626" s="5"/>
      <c r="L9626" s="5"/>
    </row>
    <row r="9627" spans="1:12" ht="12" customHeight="1" x14ac:dyDescent="0.25">
      <c r="A9627" s="6"/>
      <c r="B9627" s="1"/>
      <c r="C9627" s="5"/>
      <c r="D9627" s="5"/>
      <c r="E9627" s="5"/>
      <c r="F9627" s="5"/>
      <c r="G9627" s="5"/>
      <c r="H9627" s="5"/>
      <c r="I9627" s="5"/>
      <c r="J9627" s="5"/>
      <c r="K9627" s="5"/>
      <c r="L9627" s="5"/>
    </row>
    <row r="9628" spans="1:12" ht="12" customHeight="1" x14ac:dyDescent="0.25">
      <c r="A9628" s="6"/>
      <c r="B9628" s="1"/>
      <c r="C9628" s="5"/>
      <c r="D9628" s="5"/>
      <c r="E9628" s="5"/>
      <c r="F9628" s="5"/>
      <c r="G9628" s="5"/>
      <c r="H9628" s="5"/>
      <c r="I9628" s="5"/>
      <c r="J9628" s="5"/>
      <c r="K9628" s="5"/>
      <c r="L9628" s="5"/>
    </row>
    <row r="9629" spans="1:12" ht="12" customHeight="1" x14ac:dyDescent="0.25">
      <c r="A9629" s="6"/>
      <c r="B9629" s="1"/>
      <c r="C9629" s="5"/>
      <c r="D9629" s="5"/>
      <c r="E9629" s="5"/>
      <c r="F9629" s="5"/>
      <c r="G9629" s="5"/>
      <c r="H9629" s="5"/>
      <c r="I9629" s="5"/>
      <c r="J9629" s="5"/>
      <c r="K9629" s="5"/>
      <c r="L9629" s="5"/>
    </row>
    <row r="9630" spans="1:12" ht="12" customHeight="1" x14ac:dyDescent="0.25">
      <c r="A9630" s="6"/>
      <c r="B9630" s="1"/>
      <c r="C9630" s="5"/>
      <c r="D9630" s="5"/>
      <c r="E9630" s="5"/>
      <c r="F9630" s="5"/>
      <c r="G9630" s="5"/>
      <c r="H9630" s="5"/>
      <c r="I9630" s="5"/>
      <c r="J9630" s="5"/>
      <c r="K9630" s="5"/>
      <c r="L9630" s="5"/>
    </row>
    <row r="9631" spans="1:12" ht="12" customHeight="1" x14ac:dyDescent="0.25">
      <c r="A9631" s="6"/>
      <c r="B9631" s="1"/>
      <c r="C9631" s="5"/>
      <c r="D9631" s="5"/>
      <c r="E9631" s="5"/>
      <c r="F9631" s="5"/>
      <c r="G9631" s="5"/>
      <c r="H9631" s="5"/>
      <c r="I9631" s="5"/>
      <c r="J9631" s="5"/>
      <c r="K9631" s="5"/>
      <c r="L9631" s="5"/>
    </row>
    <row r="9632" spans="1:12" ht="12" customHeight="1" x14ac:dyDescent="0.25">
      <c r="A9632" s="6"/>
      <c r="B9632" s="1"/>
      <c r="C9632" s="5"/>
      <c r="D9632" s="5"/>
      <c r="E9632" s="5"/>
      <c r="F9632" s="5"/>
      <c r="G9632" s="5"/>
      <c r="H9632" s="5"/>
      <c r="I9632" s="5"/>
      <c r="J9632" s="5"/>
      <c r="K9632" s="5"/>
      <c r="L9632" s="5"/>
    </row>
    <row r="9633" spans="1:12" ht="12" customHeight="1" x14ac:dyDescent="0.25">
      <c r="A9633" s="6"/>
      <c r="B9633" s="1"/>
      <c r="C9633" s="5"/>
      <c r="D9633" s="5"/>
      <c r="E9633" s="5"/>
      <c r="F9633" s="5"/>
      <c r="G9633" s="5"/>
      <c r="H9633" s="5"/>
      <c r="I9633" s="5"/>
      <c r="J9633" s="5"/>
      <c r="K9633" s="5"/>
      <c r="L9633" s="5"/>
    </row>
    <row r="9634" spans="1:12" ht="12" customHeight="1" x14ac:dyDescent="0.25">
      <c r="A9634" s="6"/>
      <c r="B9634" s="1"/>
      <c r="C9634" s="5"/>
      <c r="D9634" s="5"/>
      <c r="E9634" s="5"/>
      <c r="F9634" s="5"/>
      <c r="G9634" s="5"/>
      <c r="H9634" s="5"/>
      <c r="I9634" s="5"/>
      <c r="J9634" s="5"/>
      <c r="K9634" s="5"/>
      <c r="L9634" s="5"/>
    </row>
    <row r="9635" spans="1:12" ht="12" customHeight="1" x14ac:dyDescent="0.25">
      <c r="A9635" s="6"/>
      <c r="B9635" s="1"/>
      <c r="C9635" s="5"/>
      <c r="D9635" s="5"/>
      <c r="E9635" s="5"/>
      <c r="F9635" s="5"/>
      <c r="G9635" s="5"/>
      <c r="H9635" s="5"/>
      <c r="I9635" s="5"/>
      <c r="J9635" s="5"/>
      <c r="K9635" s="5"/>
      <c r="L9635" s="5"/>
    </row>
    <row r="9636" spans="1:12" ht="12" customHeight="1" x14ac:dyDescent="0.25">
      <c r="A9636" s="6"/>
      <c r="B9636" s="1"/>
      <c r="C9636" s="5"/>
      <c r="D9636" s="5"/>
      <c r="E9636" s="5"/>
      <c r="F9636" s="5"/>
      <c r="G9636" s="5"/>
      <c r="H9636" s="5"/>
      <c r="I9636" s="5"/>
      <c r="J9636" s="5"/>
      <c r="K9636" s="5"/>
      <c r="L9636" s="5"/>
    </row>
    <row r="9637" spans="1:12" ht="12" customHeight="1" x14ac:dyDescent="0.25">
      <c r="A9637" s="6"/>
      <c r="B9637" s="1"/>
      <c r="C9637" s="5"/>
      <c r="D9637" s="5"/>
      <c r="E9637" s="5"/>
      <c r="F9637" s="5"/>
      <c r="G9637" s="5"/>
      <c r="H9637" s="5"/>
      <c r="I9637" s="5"/>
      <c r="J9637" s="5"/>
      <c r="K9637" s="5"/>
      <c r="L9637" s="5"/>
    </row>
    <row r="9638" spans="1:12" ht="12" customHeight="1" x14ac:dyDescent="0.25">
      <c r="A9638" s="6"/>
      <c r="B9638" s="1"/>
      <c r="C9638" s="5"/>
      <c r="D9638" s="5"/>
      <c r="E9638" s="5"/>
      <c r="F9638" s="5"/>
      <c r="G9638" s="5"/>
      <c r="H9638" s="5"/>
      <c r="I9638" s="5"/>
      <c r="J9638" s="5"/>
      <c r="K9638" s="5"/>
      <c r="L9638" s="5"/>
    </row>
    <row r="9639" spans="1:12" ht="12" customHeight="1" x14ac:dyDescent="0.25">
      <c r="A9639" s="6"/>
      <c r="B9639" s="1"/>
      <c r="C9639" s="5"/>
      <c r="D9639" s="5"/>
      <c r="E9639" s="5"/>
      <c r="F9639" s="5"/>
      <c r="G9639" s="5"/>
      <c r="H9639" s="5"/>
      <c r="I9639" s="5"/>
      <c r="J9639" s="5"/>
      <c r="K9639" s="5"/>
      <c r="L9639" s="5"/>
    </row>
    <row r="9640" spans="1:12" ht="12" customHeight="1" x14ac:dyDescent="0.25">
      <c r="A9640" s="6"/>
      <c r="B9640" s="1"/>
      <c r="C9640" s="5"/>
      <c r="D9640" s="5"/>
      <c r="E9640" s="5"/>
      <c r="F9640" s="5"/>
      <c r="G9640" s="5"/>
      <c r="H9640" s="5"/>
      <c r="I9640" s="5"/>
      <c r="J9640" s="5"/>
      <c r="K9640" s="5"/>
      <c r="L9640" s="5"/>
    </row>
    <row r="9641" spans="1:12" ht="12" customHeight="1" x14ac:dyDescent="0.25">
      <c r="A9641" s="6"/>
      <c r="B9641" s="1"/>
      <c r="C9641" s="5"/>
      <c r="D9641" s="5"/>
      <c r="E9641" s="5"/>
      <c r="F9641" s="5"/>
      <c r="G9641" s="5"/>
      <c r="H9641" s="5"/>
      <c r="I9641" s="5"/>
      <c r="J9641" s="5"/>
      <c r="K9641" s="5"/>
      <c r="L9641" s="5"/>
    </row>
    <row r="9642" spans="1:12" ht="12" customHeight="1" x14ac:dyDescent="0.25">
      <c r="A9642" s="6"/>
      <c r="B9642" s="1"/>
      <c r="C9642" s="5"/>
      <c r="D9642" s="5"/>
      <c r="E9642" s="5"/>
      <c r="F9642" s="5"/>
      <c r="G9642" s="5"/>
      <c r="H9642" s="5"/>
      <c r="I9642" s="5"/>
      <c r="J9642" s="5"/>
      <c r="K9642" s="5"/>
      <c r="L9642" s="5"/>
    </row>
    <row r="9643" spans="1:12" ht="12" customHeight="1" x14ac:dyDescent="0.25">
      <c r="A9643" s="6"/>
      <c r="B9643" s="1"/>
      <c r="C9643" s="5"/>
      <c r="D9643" s="5"/>
      <c r="E9643" s="5"/>
      <c r="F9643" s="5"/>
      <c r="G9643" s="5"/>
      <c r="H9643" s="5"/>
      <c r="I9643" s="5"/>
      <c r="J9643" s="5"/>
      <c r="K9643" s="5"/>
      <c r="L9643" s="5"/>
    </row>
    <row r="9644" spans="1:12" ht="12" customHeight="1" x14ac:dyDescent="0.25">
      <c r="A9644" s="6"/>
      <c r="B9644" s="1"/>
      <c r="C9644" s="5"/>
      <c r="D9644" s="5"/>
      <c r="E9644" s="5"/>
      <c r="F9644" s="5"/>
      <c r="G9644" s="5"/>
      <c r="H9644" s="5"/>
      <c r="I9644" s="5"/>
      <c r="J9644" s="5"/>
      <c r="K9644" s="5"/>
      <c r="L9644" s="5"/>
    </row>
    <row r="9645" spans="1:12" ht="12" customHeight="1" x14ac:dyDescent="0.25">
      <c r="A9645" s="6"/>
      <c r="B9645" s="1"/>
      <c r="C9645" s="5"/>
      <c r="D9645" s="5"/>
      <c r="E9645" s="5"/>
      <c r="F9645" s="5"/>
      <c r="G9645" s="5"/>
      <c r="H9645" s="5"/>
      <c r="I9645" s="5"/>
      <c r="J9645" s="5"/>
      <c r="K9645" s="5"/>
      <c r="L9645" s="5"/>
    </row>
    <row r="9646" spans="1:12" ht="12" customHeight="1" x14ac:dyDescent="0.25">
      <c r="A9646" s="6"/>
      <c r="B9646" s="1"/>
      <c r="C9646" s="5"/>
      <c r="D9646" s="5"/>
      <c r="E9646" s="5"/>
      <c r="F9646" s="5"/>
      <c r="G9646" s="5"/>
      <c r="H9646" s="5"/>
      <c r="I9646" s="5"/>
      <c r="J9646" s="5"/>
      <c r="K9646" s="5"/>
      <c r="L9646" s="5"/>
    </row>
    <row r="9647" spans="1:12" ht="12" customHeight="1" x14ac:dyDescent="0.25">
      <c r="A9647" s="6"/>
      <c r="B9647" s="1"/>
      <c r="C9647" s="5"/>
      <c r="D9647" s="5"/>
      <c r="E9647" s="5"/>
      <c r="F9647" s="5"/>
      <c r="G9647" s="5"/>
      <c r="H9647" s="5"/>
      <c r="I9647" s="5"/>
      <c r="J9647" s="5"/>
      <c r="K9647" s="5"/>
      <c r="L9647" s="5"/>
    </row>
    <row r="9648" spans="1:12" ht="12" customHeight="1" x14ac:dyDescent="0.25">
      <c r="A9648" s="6"/>
      <c r="B9648" s="1"/>
      <c r="C9648" s="5"/>
      <c r="D9648" s="5"/>
      <c r="E9648" s="5"/>
      <c r="F9648" s="5"/>
      <c r="G9648" s="5"/>
      <c r="H9648" s="5"/>
      <c r="I9648" s="5"/>
      <c r="J9648" s="5"/>
      <c r="K9648" s="5"/>
      <c r="L9648" s="5"/>
    </row>
    <row r="9649" spans="1:12" ht="12" customHeight="1" x14ac:dyDescent="0.25">
      <c r="A9649" s="6"/>
      <c r="B9649" s="1"/>
      <c r="C9649" s="5"/>
      <c r="D9649" s="5"/>
      <c r="E9649" s="5"/>
      <c r="F9649" s="5"/>
      <c r="G9649" s="5"/>
      <c r="H9649" s="5"/>
      <c r="I9649" s="5"/>
      <c r="J9649" s="5"/>
      <c r="K9649" s="5"/>
      <c r="L9649" s="5"/>
    </row>
    <row r="9650" spans="1:12" ht="12" customHeight="1" x14ac:dyDescent="0.25">
      <c r="A9650" s="6"/>
      <c r="B9650" s="1"/>
      <c r="C9650" s="5"/>
      <c r="D9650" s="5"/>
      <c r="E9650" s="5"/>
      <c r="F9650" s="5"/>
      <c r="G9650" s="5"/>
      <c r="H9650" s="5"/>
      <c r="I9650" s="5"/>
      <c r="J9650" s="5"/>
      <c r="K9650" s="5"/>
      <c r="L9650" s="5"/>
    </row>
    <row r="9651" spans="1:12" ht="12" customHeight="1" x14ac:dyDescent="0.25">
      <c r="A9651" s="6"/>
      <c r="B9651" s="1"/>
      <c r="C9651" s="5"/>
      <c r="D9651" s="5"/>
      <c r="E9651" s="5"/>
      <c r="F9651" s="5"/>
      <c r="G9651" s="5"/>
      <c r="H9651" s="5"/>
      <c r="I9651" s="5"/>
      <c r="J9651" s="5"/>
      <c r="K9651" s="5"/>
      <c r="L9651" s="5"/>
    </row>
    <row r="9652" spans="1:12" ht="12" customHeight="1" x14ac:dyDescent="0.25">
      <c r="A9652" s="6"/>
      <c r="B9652" s="1"/>
      <c r="C9652" s="5"/>
      <c r="D9652" s="5"/>
      <c r="E9652" s="5"/>
      <c r="F9652" s="5"/>
      <c r="G9652" s="5"/>
      <c r="H9652" s="5"/>
      <c r="I9652" s="5"/>
      <c r="J9652" s="5"/>
      <c r="K9652" s="5"/>
      <c r="L9652" s="5"/>
    </row>
    <row r="9653" spans="1:12" ht="12" customHeight="1" x14ac:dyDescent="0.25">
      <c r="A9653" s="6"/>
      <c r="B9653" s="1"/>
      <c r="C9653" s="5"/>
      <c r="D9653" s="5"/>
      <c r="E9653" s="5"/>
      <c r="F9653" s="5"/>
      <c r="G9653" s="5"/>
      <c r="H9653" s="5"/>
      <c r="I9653" s="5"/>
      <c r="J9653" s="5"/>
      <c r="K9653" s="5"/>
      <c r="L9653" s="5"/>
    </row>
    <row r="9654" spans="1:12" ht="12" customHeight="1" x14ac:dyDescent="0.25">
      <c r="A9654" s="6"/>
      <c r="B9654" s="1"/>
      <c r="C9654" s="5"/>
      <c r="D9654" s="5"/>
      <c r="E9654" s="5"/>
      <c r="F9654" s="5"/>
      <c r="G9654" s="5"/>
      <c r="H9654" s="5"/>
      <c r="I9654" s="5"/>
      <c r="J9654" s="5"/>
      <c r="K9654" s="5"/>
      <c r="L9654" s="5"/>
    </row>
    <row r="9655" spans="1:12" ht="12" customHeight="1" x14ac:dyDescent="0.25">
      <c r="A9655" s="6"/>
      <c r="B9655" s="1"/>
      <c r="C9655" s="5"/>
      <c r="D9655" s="5"/>
      <c r="E9655" s="5"/>
      <c r="F9655" s="5"/>
      <c r="G9655" s="5"/>
      <c r="H9655" s="5"/>
      <c r="I9655" s="5"/>
      <c r="J9655" s="5"/>
      <c r="K9655" s="5"/>
      <c r="L9655" s="5"/>
    </row>
    <row r="9656" spans="1:12" ht="12" customHeight="1" x14ac:dyDescent="0.25">
      <c r="A9656" s="6"/>
      <c r="B9656" s="1"/>
      <c r="C9656" s="5"/>
      <c r="D9656" s="5"/>
      <c r="E9656" s="5"/>
      <c r="F9656" s="5"/>
      <c r="G9656" s="5"/>
      <c r="H9656" s="5"/>
      <c r="I9656" s="5"/>
      <c r="J9656" s="5"/>
      <c r="K9656" s="5"/>
      <c r="L9656" s="5"/>
    </row>
    <row r="9657" spans="1:12" ht="12" customHeight="1" x14ac:dyDescent="0.25">
      <c r="A9657" s="6"/>
      <c r="B9657" s="1"/>
      <c r="C9657" s="5"/>
      <c r="D9657" s="5"/>
      <c r="E9657" s="5"/>
      <c r="F9657" s="5"/>
      <c r="G9657" s="5"/>
      <c r="H9657" s="5"/>
      <c r="I9657" s="5"/>
      <c r="J9657" s="5"/>
      <c r="K9657" s="5"/>
      <c r="L9657" s="5"/>
    </row>
    <row r="9658" spans="1:12" ht="12" customHeight="1" x14ac:dyDescent="0.25">
      <c r="A9658" s="6"/>
      <c r="B9658" s="1"/>
      <c r="C9658" s="5"/>
      <c r="D9658" s="5"/>
      <c r="E9658" s="5"/>
      <c r="F9658" s="5"/>
      <c r="G9658" s="5"/>
      <c r="H9658" s="5"/>
      <c r="I9658" s="5"/>
      <c r="J9658" s="5"/>
      <c r="K9658" s="5"/>
      <c r="L9658" s="5"/>
    </row>
    <row r="9659" spans="1:12" ht="12" customHeight="1" x14ac:dyDescent="0.25">
      <c r="A9659" s="6"/>
      <c r="B9659" s="1"/>
      <c r="C9659" s="5"/>
      <c r="D9659" s="5"/>
      <c r="E9659" s="5"/>
      <c r="F9659" s="5"/>
      <c r="G9659" s="5"/>
      <c r="H9659" s="5"/>
      <c r="I9659" s="5"/>
      <c r="J9659" s="5"/>
      <c r="K9659" s="5"/>
      <c r="L9659" s="5"/>
    </row>
    <row r="9660" spans="1:12" ht="12" customHeight="1" x14ac:dyDescent="0.25">
      <c r="A9660" s="6"/>
      <c r="B9660" s="1"/>
      <c r="C9660" s="5"/>
      <c r="D9660" s="5"/>
      <c r="E9660" s="5"/>
      <c r="F9660" s="5"/>
      <c r="G9660" s="5"/>
      <c r="H9660" s="5"/>
      <c r="I9660" s="5"/>
      <c r="J9660" s="5"/>
      <c r="K9660" s="5"/>
      <c r="L9660" s="5"/>
    </row>
    <row r="9661" spans="1:12" ht="12" customHeight="1" x14ac:dyDescent="0.25">
      <c r="A9661" s="6"/>
      <c r="B9661" s="1"/>
      <c r="C9661" s="5"/>
      <c r="D9661" s="5"/>
      <c r="E9661" s="5"/>
      <c r="F9661" s="5"/>
      <c r="G9661" s="5"/>
      <c r="H9661" s="5"/>
      <c r="I9661" s="5"/>
      <c r="J9661" s="5"/>
      <c r="K9661" s="5"/>
      <c r="L9661" s="5"/>
    </row>
    <row r="9662" spans="1:12" ht="12" customHeight="1" x14ac:dyDescent="0.25">
      <c r="A9662" s="6"/>
      <c r="B9662" s="1"/>
      <c r="C9662" s="5"/>
      <c r="D9662" s="5"/>
      <c r="E9662" s="5"/>
      <c r="F9662" s="5"/>
      <c r="G9662" s="5"/>
      <c r="H9662" s="5"/>
      <c r="I9662" s="5"/>
      <c r="J9662" s="5"/>
      <c r="K9662" s="5"/>
      <c r="L9662" s="5"/>
    </row>
    <row r="9663" spans="1:12" ht="12" customHeight="1" x14ac:dyDescent="0.25">
      <c r="A9663" s="6"/>
      <c r="B9663" s="1"/>
      <c r="C9663" s="5"/>
      <c r="D9663" s="5"/>
      <c r="E9663" s="5"/>
      <c r="F9663" s="5"/>
      <c r="G9663" s="5"/>
      <c r="H9663" s="5"/>
      <c r="I9663" s="5"/>
      <c r="J9663" s="5"/>
      <c r="K9663" s="5"/>
      <c r="L9663" s="5"/>
    </row>
    <row r="9664" spans="1:12" ht="12" customHeight="1" x14ac:dyDescent="0.25">
      <c r="A9664" s="6"/>
      <c r="B9664" s="1"/>
      <c r="C9664" s="5"/>
      <c r="D9664" s="5"/>
      <c r="E9664" s="5"/>
      <c r="F9664" s="5"/>
      <c r="G9664" s="5"/>
      <c r="H9664" s="5"/>
      <c r="I9664" s="5"/>
      <c r="J9664" s="5"/>
      <c r="K9664" s="5"/>
      <c r="L9664" s="5"/>
    </row>
    <row r="9665" spans="1:12" ht="12" customHeight="1" x14ac:dyDescent="0.25">
      <c r="A9665" s="6"/>
      <c r="B9665" s="1"/>
      <c r="C9665" s="5"/>
      <c r="D9665" s="5"/>
      <c r="E9665" s="5"/>
      <c r="F9665" s="5"/>
      <c r="G9665" s="5"/>
      <c r="H9665" s="5"/>
      <c r="I9665" s="5"/>
      <c r="J9665" s="5"/>
      <c r="K9665" s="5"/>
      <c r="L9665" s="5"/>
    </row>
    <row r="9666" spans="1:12" ht="12" customHeight="1" x14ac:dyDescent="0.25">
      <c r="A9666" s="6"/>
      <c r="B9666" s="1"/>
      <c r="C9666" s="5"/>
      <c r="D9666" s="5"/>
      <c r="E9666" s="5"/>
      <c r="F9666" s="5"/>
      <c r="G9666" s="5"/>
      <c r="H9666" s="5"/>
      <c r="I9666" s="5"/>
      <c r="J9666" s="5"/>
      <c r="K9666" s="5"/>
      <c r="L9666" s="5"/>
    </row>
    <row r="9667" spans="1:12" ht="12" customHeight="1" x14ac:dyDescent="0.25">
      <c r="A9667" s="6"/>
      <c r="B9667" s="1"/>
      <c r="C9667" s="5"/>
      <c r="D9667" s="5"/>
      <c r="E9667" s="5"/>
      <c r="F9667" s="5"/>
      <c r="G9667" s="5"/>
      <c r="H9667" s="5"/>
      <c r="I9667" s="5"/>
      <c r="J9667" s="5"/>
      <c r="K9667" s="5"/>
      <c r="L9667" s="5"/>
    </row>
    <row r="9668" spans="1:12" ht="12" customHeight="1" x14ac:dyDescent="0.25">
      <c r="A9668" s="6"/>
      <c r="B9668" s="1"/>
      <c r="C9668" s="5"/>
      <c r="D9668" s="5"/>
      <c r="E9668" s="5"/>
      <c r="F9668" s="5"/>
      <c r="G9668" s="5"/>
      <c r="H9668" s="5"/>
      <c r="I9668" s="5"/>
      <c r="J9668" s="5"/>
      <c r="K9668" s="5"/>
      <c r="L9668" s="5"/>
    </row>
    <row r="9669" spans="1:12" ht="12" customHeight="1" x14ac:dyDescent="0.25">
      <c r="A9669" s="6"/>
      <c r="B9669" s="1"/>
      <c r="C9669" s="5"/>
      <c r="D9669" s="5"/>
      <c r="E9669" s="5"/>
      <c r="F9669" s="5"/>
      <c r="G9669" s="5"/>
      <c r="H9669" s="5"/>
      <c r="I9669" s="5"/>
      <c r="J9669" s="5"/>
      <c r="K9669" s="5"/>
      <c r="L9669" s="5"/>
    </row>
    <row r="9670" spans="1:12" ht="12" customHeight="1" x14ac:dyDescent="0.25">
      <c r="A9670" s="6"/>
      <c r="B9670" s="1"/>
      <c r="C9670" s="5"/>
      <c r="D9670" s="5"/>
      <c r="E9670" s="5"/>
      <c r="F9670" s="5"/>
      <c r="G9670" s="5"/>
      <c r="H9670" s="5"/>
      <c r="I9670" s="5"/>
      <c r="J9670" s="5"/>
      <c r="K9670" s="5"/>
      <c r="L9670" s="5"/>
    </row>
    <row r="9671" spans="1:12" ht="12" customHeight="1" x14ac:dyDescent="0.25">
      <c r="A9671" s="6"/>
      <c r="B9671" s="1"/>
      <c r="C9671" s="5"/>
      <c r="D9671" s="5"/>
      <c r="E9671" s="5"/>
      <c r="F9671" s="5"/>
      <c r="G9671" s="5"/>
      <c r="H9671" s="5"/>
      <c r="I9671" s="5"/>
      <c r="J9671" s="5"/>
      <c r="K9671" s="5"/>
      <c r="L9671" s="5"/>
    </row>
    <row r="9672" spans="1:12" ht="12" customHeight="1" x14ac:dyDescent="0.25">
      <c r="A9672" s="6"/>
      <c r="B9672" s="1"/>
      <c r="C9672" s="5"/>
      <c r="D9672" s="5"/>
      <c r="E9672" s="5"/>
      <c r="F9672" s="5"/>
      <c r="G9672" s="5"/>
      <c r="H9672" s="5"/>
      <c r="I9672" s="5"/>
      <c r="J9672" s="5"/>
      <c r="K9672" s="5"/>
      <c r="L9672" s="5"/>
    </row>
    <row r="9673" spans="1:12" ht="12" customHeight="1" x14ac:dyDescent="0.25">
      <c r="A9673" s="6"/>
      <c r="B9673" s="1"/>
      <c r="C9673" s="5"/>
      <c r="D9673" s="5"/>
      <c r="E9673" s="5"/>
      <c r="F9673" s="5"/>
      <c r="G9673" s="5"/>
      <c r="H9673" s="5"/>
      <c r="I9673" s="5"/>
      <c r="J9673" s="5"/>
      <c r="K9673" s="5"/>
      <c r="L9673" s="5"/>
    </row>
    <row r="9674" spans="1:12" ht="12" customHeight="1" x14ac:dyDescent="0.25">
      <c r="A9674" s="6"/>
      <c r="B9674" s="1"/>
      <c r="C9674" s="5"/>
      <c r="D9674" s="5"/>
      <c r="E9674" s="5"/>
      <c r="F9674" s="5"/>
      <c r="G9674" s="5"/>
      <c r="H9674" s="5"/>
      <c r="I9674" s="5"/>
      <c r="J9674" s="5"/>
      <c r="K9674" s="5"/>
      <c r="L9674" s="5"/>
    </row>
    <row r="9675" spans="1:12" ht="12" customHeight="1" x14ac:dyDescent="0.25">
      <c r="A9675" s="6"/>
      <c r="B9675" s="1"/>
      <c r="C9675" s="5"/>
      <c r="D9675" s="5"/>
      <c r="E9675" s="5"/>
      <c r="F9675" s="5"/>
      <c r="G9675" s="5"/>
      <c r="H9675" s="5"/>
      <c r="I9675" s="5"/>
      <c r="J9675" s="5"/>
      <c r="K9675" s="5"/>
      <c r="L9675" s="5"/>
    </row>
    <row r="9676" spans="1:12" ht="12" customHeight="1" x14ac:dyDescent="0.25">
      <c r="A9676" s="6"/>
      <c r="B9676" s="1"/>
      <c r="C9676" s="5"/>
      <c r="D9676" s="5"/>
      <c r="E9676" s="5"/>
      <c r="F9676" s="5"/>
      <c r="G9676" s="5"/>
      <c r="H9676" s="5"/>
      <c r="I9676" s="5"/>
      <c r="J9676" s="5"/>
      <c r="K9676" s="5"/>
      <c r="L9676" s="5"/>
    </row>
    <row r="9677" spans="1:12" ht="12" customHeight="1" x14ac:dyDescent="0.25">
      <c r="A9677" s="6"/>
      <c r="B9677" s="1"/>
      <c r="C9677" s="5"/>
      <c r="D9677" s="5"/>
      <c r="E9677" s="5"/>
      <c r="F9677" s="5"/>
      <c r="G9677" s="5"/>
      <c r="H9677" s="5"/>
      <c r="I9677" s="5"/>
      <c r="J9677" s="5"/>
      <c r="K9677" s="5"/>
      <c r="L9677" s="5"/>
    </row>
    <row r="9678" spans="1:12" ht="12" customHeight="1" x14ac:dyDescent="0.25">
      <c r="A9678" s="6"/>
      <c r="B9678" s="1"/>
      <c r="C9678" s="5"/>
      <c r="D9678" s="5"/>
      <c r="E9678" s="5"/>
      <c r="F9678" s="5"/>
      <c r="G9678" s="5"/>
      <c r="H9678" s="5"/>
      <c r="I9678" s="5"/>
      <c r="J9678" s="5"/>
      <c r="K9678" s="5"/>
      <c r="L9678" s="5"/>
    </row>
    <row r="9679" spans="1:12" ht="12" customHeight="1" x14ac:dyDescent="0.25">
      <c r="A9679" s="6"/>
      <c r="B9679" s="1"/>
      <c r="C9679" s="5"/>
      <c r="D9679" s="5"/>
      <c r="E9679" s="5"/>
      <c r="F9679" s="5"/>
      <c r="G9679" s="5"/>
      <c r="H9679" s="5"/>
      <c r="I9679" s="5"/>
      <c r="J9679" s="5"/>
      <c r="K9679" s="5"/>
      <c r="L9679" s="5"/>
    </row>
    <row r="9680" spans="1:12" ht="12" customHeight="1" x14ac:dyDescent="0.25">
      <c r="A9680" s="6"/>
      <c r="B9680" s="1"/>
      <c r="C9680" s="5"/>
      <c r="D9680" s="5"/>
      <c r="E9680" s="5"/>
      <c r="F9680" s="5"/>
      <c r="G9680" s="5"/>
      <c r="H9680" s="5"/>
      <c r="I9680" s="5"/>
      <c r="J9680" s="5"/>
      <c r="K9680" s="5"/>
      <c r="L9680" s="5"/>
    </row>
    <row r="9681" spans="1:12" ht="12" customHeight="1" x14ac:dyDescent="0.25">
      <c r="A9681" s="6"/>
      <c r="B9681" s="1"/>
      <c r="C9681" s="5"/>
      <c r="D9681" s="5"/>
      <c r="E9681" s="5"/>
      <c r="F9681" s="5"/>
      <c r="G9681" s="5"/>
      <c r="H9681" s="5"/>
      <c r="I9681" s="5"/>
      <c r="J9681" s="5"/>
      <c r="K9681" s="5"/>
      <c r="L9681" s="5"/>
    </row>
    <row r="9682" spans="1:12" ht="12" customHeight="1" x14ac:dyDescent="0.25">
      <c r="A9682" s="6"/>
      <c r="B9682" s="1"/>
      <c r="C9682" s="5"/>
      <c r="D9682" s="5"/>
      <c r="E9682" s="5"/>
      <c r="F9682" s="5"/>
      <c r="G9682" s="5"/>
      <c r="H9682" s="5"/>
      <c r="I9682" s="5"/>
      <c r="J9682" s="5"/>
      <c r="K9682" s="5"/>
      <c r="L9682" s="5"/>
    </row>
    <row r="9683" spans="1:12" ht="12" customHeight="1" x14ac:dyDescent="0.25">
      <c r="A9683" s="6"/>
      <c r="B9683" s="1"/>
      <c r="C9683" s="5"/>
      <c r="D9683" s="5"/>
      <c r="E9683" s="5"/>
      <c r="F9683" s="5"/>
      <c r="G9683" s="5"/>
      <c r="H9683" s="5"/>
      <c r="I9683" s="5"/>
      <c r="J9683" s="5"/>
      <c r="K9683" s="5"/>
      <c r="L9683" s="5"/>
    </row>
    <row r="9684" spans="1:12" ht="12" customHeight="1" x14ac:dyDescent="0.25">
      <c r="A9684" s="6"/>
      <c r="B9684" s="1"/>
      <c r="C9684" s="5"/>
      <c r="D9684" s="5"/>
      <c r="E9684" s="5"/>
      <c r="F9684" s="5"/>
      <c r="G9684" s="5"/>
      <c r="H9684" s="5"/>
      <c r="I9684" s="5"/>
      <c r="J9684" s="5"/>
      <c r="K9684" s="5"/>
      <c r="L9684" s="5"/>
    </row>
    <row r="9685" spans="1:12" ht="12" customHeight="1" x14ac:dyDescent="0.25">
      <c r="A9685" s="6"/>
      <c r="B9685" s="1"/>
      <c r="C9685" s="5"/>
      <c r="D9685" s="5"/>
      <c r="E9685" s="5"/>
      <c r="F9685" s="5"/>
      <c r="G9685" s="5"/>
      <c r="H9685" s="5"/>
      <c r="I9685" s="5"/>
      <c r="J9685" s="5"/>
      <c r="K9685" s="5"/>
      <c r="L9685" s="5"/>
    </row>
    <row r="9686" spans="1:12" ht="12" customHeight="1" x14ac:dyDescent="0.25">
      <c r="A9686" s="6"/>
      <c r="B9686" s="1"/>
      <c r="C9686" s="5"/>
      <c r="D9686" s="5"/>
      <c r="E9686" s="5"/>
      <c r="F9686" s="5"/>
      <c r="G9686" s="5"/>
      <c r="H9686" s="5"/>
      <c r="I9686" s="5"/>
      <c r="J9686" s="5"/>
      <c r="K9686" s="5"/>
      <c r="L9686" s="5"/>
    </row>
    <row r="9687" spans="1:12" ht="12" customHeight="1" x14ac:dyDescent="0.25">
      <c r="A9687" s="6"/>
      <c r="B9687" s="1"/>
      <c r="C9687" s="5"/>
      <c r="D9687" s="5"/>
      <c r="E9687" s="5"/>
      <c r="F9687" s="5"/>
      <c r="G9687" s="5"/>
      <c r="H9687" s="5"/>
      <c r="I9687" s="5"/>
      <c r="J9687" s="5"/>
      <c r="K9687" s="5"/>
      <c r="L9687" s="5"/>
    </row>
    <row r="9688" spans="1:12" ht="12" customHeight="1" x14ac:dyDescent="0.25">
      <c r="A9688" s="6"/>
      <c r="B9688" s="1"/>
      <c r="C9688" s="5"/>
      <c r="D9688" s="5"/>
      <c r="E9688" s="5"/>
      <c r="F9688" s="5"/>
      <c r="G9688" s="5"/>
      <c r="H9688" s="5"/>
      <c r="I9688" s="5"/>
      <c r="J9688" s="5"/>
      <c r="K9688" s="5"/>
      <c r="L9688" s="5"/>
    </row>
    <row r="9689" spans="1:12" ht="12" customHeight="1" x14ac:dyDescent="0.25">
      <c r="A9689" s="6"/>
      <c r="B9689" s="1"/>
      <c r="C9689" s="5"/>
      <c r="D9689" s="5"/>
      <c r="E9689" s="5"/>
      <c r="F9689" s="5"/>
      <c r="G9689" s="5"/>
      <c r="H9689" s="5"/>
      <c r="I9689" s="5"/>
      <c r="J9689" s="5"/>
      <c r="K9689" s="5"/>
      <c r="L9689" s="5"/>
    </row>
    <row r="9690" spans="1:12" ht="12" customHeight="1" x14ac:dyDescent="0.25">
      <c r="A9690" s="6"/>
      <c r="B9690" s="1"/>
      <c r="C9690" s="5"/>
      <c r="D9690" s="5"/>
      <c r="E9690" s="5"/>
      <c r="F9690" s="5"/>
      <c r="G9690" s="5"/>
      <c r="H9690" s="5"/>
      <c r="I9690" s="5"/>
      <c r="J9690" s="5"/>
      <c r="K9690" s="5"/>
      <c r="L9690" s="5"/>
    </row>
    <row r="9691" spans="1:12" ht="12" customHeight="1" x14ac:dyDescent="0.25">
      <c r="A9691" s="6"/>
      <c r="B9691" s="1"/>
      <c r="C9691" s="5"/>
      <c r="D9691" s="5"/>
      <c r="E9691" s="5"/>
      <c r="F9691" s="5"/>
      <c r="G9691" s="5"/>
      <c r="H9691" s="5"/>
      <c r="I9691" s="5"/>
      <c r="J9691" s="5"/>
      <c r="K9691" s="5"/>
      <c r="L9691" s="5"/>
    </row>
    <row r="9692" spans="1:12" ht="12" customHeight="1" x14ac:dyDescent="0.25">
      <c r="A9692" s="6"/>
      <c r="B9692" s="1"/>
      <c r="C9692" s="5"/>
      <c r="D9692" s="5"/>
      <c r="E9692" s="5"/>
      <c r="F9692" s="5"/>
      <c r="G9692" s="5"/>
      <c r="H9692" s="5"/>
      <c r="I9692" s="5"/>
      <c r="J9692" s="5"/>
      <c r="K9692" s="5"/>
      <c r="L9692" s="5"/>
    </row>
    <row r="9693" spans="1:12" ht="12" customHeight="1" x14ac:dyDescent="0.25">
      <c r="A9693" s="6"/>
      <c r="B9693" s="1"/>
      <c r="C9693" s="5"/>
      <c r="D9693" s="5"/>
      <c r="E9693" s="5"/>
      <c r="F9693" s="5"/>
      <c r="G9693" s="5"/>
      <c r="H9693" s="5"/>
      <c r="I9693" s="5"/>
      <c r="J9693" s="5"/>
      <c r="K9693" s="5"/>
      <c r="L9693" s="5"/>
    </row>
    <row r="9694" spans="1:12" ht="12" customHeight="1" x14ac:dyDescent="0.25">
      <c r="A9694" s="6"/>
      <c r="B9694" s="1"/>
      <c r="C9694" s="5"/>
      <c r="D9694" s="5"/>
      <c r="E9694" s="5"/>
      <c r="F9694" s="5"/>
      <c r="G9694" s="5"/>
      <c r="H9694" s="5"/>
      <c r="I9694" s="5"/>
      <c r="J9694" s="5"/>
      <c r="K9694" s="5"/>
      <c r="L9694" s="5"/>
    </row>
    <row r="9695" spans="1:12" ht="12" customHeight="1" x14ac:dyDescent="0.25">
      <c r="A9695" s="6"/>
      <c r="B9695" s="1"/>
      <c r="C9695" s="5"/>
      <c r="D9695" s="5"/>
      <c r="E9695" s="5"/>
      <c r="F9695" s="5"/>
      <c r="G9695" s="5"/>
      <c r="H9695" s="5"/>
      <c r="I9695" s="5"/>
      <c r="J9695" s="5"/>
      <c r="K9695" s="5"/>
      <c r="L9695" s="5"/>
    </row>
    <row r="9696" spans="1:12" ht="12" customHeight="1" x14ac:dyDescent="0.25">
      <c r="A9696" s="6"/>
      <c r="B9696" s="1"/>
      <c r="C9696" s="5"/>
      <c r="D9696" s="5"/>
      <c r="E9696" s="5"/>
      <c r="F9696" s="5"/>
      <c r="G9696" s="5"/>
      <c r="H9696" s="5"/>
      <c r="I9696" s="5"/>
      <c r="J9696" s="5"/>
      <c r="K9696" s="5"/>
      <c r="L9696" s="5"/>
    </row>
    <row r="9697" spans="1:12" ht="12" customHeight="1" x14ac:dyDescent="0.25">
      <c r="A9697" s="6"/>
      <c r="B9697" s="1"/>
      <c r="C9697" s="5"/>
      <c r="D9697" s="5"/>
      <c r="E9697" s="5"/>
      <c r="F9697" s="5"/>
      <c r="G9697" s="5"/>
      <c r="H9697" s="5"/>
      <c r="I9697" s="5"/>
      <c r="J9697" s="5"/>
      <c r="K9697" s="5"/>
      <c r="L9697" s="5"/>
    </row>
    <row r="9698" spans="1:12" ht="12" customHeight="1" x14ac:dyDescent="0.25">
      <c r="A9698" s="6"/>
      <c r="B9698" s="1"/>
      <c r="C9698" s="5"/>
      <c r="D9698" s="5"/>
      <c r="E9698" s="5"/>
      <c r="F9698" s="5"/>
      <c r="G9698" s="5"/>
      <c r="H9698" s="5"/>
      <c r="I9698" s="5"/>
      <c r="J9698" s="5"/>
      <c r="K9698" s="5"/>
      <c r="L9698" s="5"/>
    </row>
    <row r="9699" spans="1:12" ht="12" customHeight="1" x14ac:dyDescent="0.25">
      <c r="A9699" s="6"/>
      <c r="B9699" s="1"/>
      <c r="C9699" s="5"/>
      <c r="D9699" s="5"/>
      <c r="E9699" s="5"/>
      <c r="F9699" s="5"/>
      <c r="G9699" s="5"/>
      <c r="H9699" s="5"/>
      <c r="I9699" s="5"/>
      <c r="J9699" s="5"/>
      <c r="K9699" s="5"/>
      <c r="L9699" s="5"/>
    </row>
    <row r="9700" spans="1:12" ht="12" customHeight="1" x14ac:dyDescent="0.25">
      <c r="A9700" s="6"/>
      <c r="B9700" s="1"/>
      <c r="C9700" s="5"/>
      <c r="D9700" s="5"/>
      <c r="E9700" s="5"/>
      <c r="F9700" s="5"/>
      <c r="G9700" s="5"/>
      <c r="H9700" s="5"/>
      <c r="I9700" s="5"/>
      <c r="J9700" s="5"/>
      <c r="K9700" s="5"/>
      <c r="L9700" s="5"/>
    </row>
    <row r="9701" spans="1:12" ht="12" customHeight="1" x14ac:dyDescent="0.25">
      <c r="A9701" s="6"/>
      <c r="B9701" s="1"/>
      <c r="C9701" s="5"/>
      <c r="D9701" s="5"/>
      <c r="E9701" s="5"/>
      <c r="F9701" s="5"/>
      <c r="G9701" s="5"/>
      <c r="H9701" s="5"/>
      <c r="I9701" s="5"/>
      <c r="J9701" s="5"/>
      <c r="K9701" s="5"/>
      <c r="L9701" s="5"/>
    </row>
    <row r="9702" spans="1:12" ht="12" customHeight="1" x14ac:dyDescent="0.25">
      <c r="A9702" s="6"/>
      <c r="B9702" s="1"/>
      <c r="C9702" s="5"/>
      <c r="D9702" s="5"/>
      <c r="E9702" s="5"/>
      <c r="F9702" s="5"/>
      <c r="G9702" s="5"/>
      <c r="H9702" s="5"/>
      <c r="I9702" s="5"/>
      <c r="J9702" s="5"/>
      <c r="K9702" s="5"/>
      <c r="L9702" s="5"/>
    </row>
    <row r="9703" spans="1:12" ht="12" customHeight="1" x14ac:dyDescent="0.25">
      <c r="A9703" s="6"/>
      <c r="B9703" s="1"/>
      <c r="C9703" s="5"/>
      <c r="D9703" s="5"/>
      <c r="E9703" s="5"/>
      <c r="F9703" s="5"/>
      <c r="G9703" s="5"/>
      <c r="H9703" s="5"/>
      <c r="I9703" s="5"/>
      <c r="J9703" s="5"/>
      <c r="K9703" s="5"/>
      <c r="L9703" s="5"/>
    </row>
    <row r="9704" spans="1:12" ht="12" customHeight="1" x14ac:dyDescent="0.25">
      <c r="A9704" s="6"/>
      <c r="B9704" s="1"/>
      <c r="C9704" s="5"/>
      <c r="D9704" s="5"/>
      <c r="E9704" s="5"/>
      <c r="F9704" s="5"/>
      <c r="G9704" s="5"/>
      <c r="H9704" s="5"/>
      <c r="I9704" s="5"/>
      <c r="J9704" s="5"/>
      <c r="K9704" s="5"/>
      <c r="L9704" s="5"/>
    </row>
    <row r="9705" spans="1:12" ht="12" customHeight="1" x14ac:dyDescent="0.25">
      <c r="A9705" s="6"/>
      <c r="B9705" s="1"/>
      <c r="C9705" s="5"/>
      <c r="D9705" s="5"/>
      <c r="E9705" s="5"/>
      <c r="F9705" s="5"/>
      <c r="G9705" s="5"/>
      <c r="H9705" s="5"/>
      <c r="I9705" s="5"/>
      <c r="J9705" s="5"/>
      <c r="K9705" s="5"/>
      <c r="L9705" s="5"/>
    </row>
    <row r="9706" spans="1:12" ht="12" customHeight="1" x14ac:dyDescent="0.25">
      <c r="A9706" s="6"/>
      <c r="B9706" s="1"/>
      <c r="C9706" s="5"/>
      <c r="D9706" s="5"/>
      <c r="E9706" s="5"/>
      <c r="F9706" s="5"/>
      <c r="G9706" s="5"/>
      <c r="H9706" s="5"/>
      <c r="I9706" s="5"/>
      <c r="J9706" s="5"/>
      <c r="K9706" s="5"/>
      <c r="L9706" s="5"/>
    </row>
    <row r="9707" spans="1:12" ht="12" customHeight="1" x14ac:dyDescent="0.25">
      <c r="A9707" s="6"/>
      <c r="B9707" s="1"/>
      <c r="C9707" s="5"/>
      <c r="D9707" s="5"/>
      <c r="E9707" s="5"/>
      <c r="F9707" s="5"/>
      <c r="G9707" s="5"/>
      <c r="H9707" s="5"/>
      <c r="I9707" s="5"/>
      <c r="J9707" s="5"/>
      <c r="K9707" s="5"/>
      <c r="L9707" s="5"/>
    </row>
    <row r="9708" spans="1:12" ht="12" customHeight="1" x14ac:dyDescent="0.25">
      <c r="A9708" s="6"/>
      <c r="B9708" s="1"/>
      <c r="C9708" s="5"/>
      <c r="D9708" s="5"/>
      <c r="E9708" s="5"/>
      <c r="F9708" s="5"/>
      <c r="G9708" s="5"/>
      <c r="H9708" s="5"/>
      <c r="I9708" s="5"/>
      <c r="J9708" s="5"/>
      <c r="K9708" s="5"/>
      <c r="L9708" s="5"/>
    </row>
    <row r="9709" spans="1:12" ht="12" customHeight="1" x14ac:dyDescent="0.25">
      <c r="A9709" s="6"/>
      <c r="B9709" s="1"/>
      <c r="C9709" s="5"/>
      <c r="D9709" s="5"/>
      <c r="E9709" s="5"/>
      <c r="F9709" s="5"/>
      <c r="G9709" s="5"/>
      <c r="H9709" s="5"/>
      <c r="I9709" s="5"/>
      <c r="J9709" s="5"/>
      <c r="K9709" s="5"/>
      <c r="L9709" s="5"/>
    </row>
    <row r="9710" spans="1:12" ht="12" customHeight="1" x14ac:dyDescent="0.25">
      <c r="A9710" s="6"/>
      <c r="B9710" s="1"/>
      <c r="C9710" s="5"/>
      <c r="D9710" s="5"/>
      <c r="E9710" s="5"/>
      <c r="F9710" s="5"/>
      <c r="G9710" s="5"/>
      <c r="H9710" s="5"/>
      <c r="I9710" s="5"/>
      <c r="J9710" s="5"/>
      <c r="K9710" s="5"/>
      <c r="L9710" s="5"/>
    </row>
    <row r="9711" spans="1:12" ht="12" customHeight="1" x14ac:dyDescent="0.25">
      <c r="A9711" s="6"/>
      <c r="B9711" s="1"/>
      <c r="C9711" s="5"/>
      <c r="D9711" s="5"/>
      <c r="E9711" s="5"/>
      <c r="F9711" s="5"/>
      <c r="G9711" s="5"/>
      <c r="H9711" s="5"/>
      <c r="I9711" s="5"/>
      <c r="J9711" s="5"/>
      <c r="K9711" s="5"/>
      <c r="L9711" s="5"/>
    </row>
    <row r="9712" spans="1:12" ht="12" customHeight="1" x14ac:dyDescent="0.25">
      <c r="A9712" s="6"/>
      <c r="B9712" s="1"/>
      <c r="C9712" s="5"/>
      <c r="D9712" s="5"/>
      <c r="E9712" s="5"/>
      <c r="F9712" s="5"/>
      <c r="G9712" s="5"/>
      <c r="H9712" s="5"/>
      <c r="I9712" s="5"/>
      <c r="J9712" s="5"/>
      <c r="K9712" s="5"/>
      <c r="L9712" s="5"/>
    </row>
    <row r="9713" spans="1:12" ht="12" customHeight="1" x14ac:dyDescent="0.25">
      <c r="A9713" s="6"/>
      <c r="B9713" s="1"/>
      <c r="C9713" s="5"/>
      <c r="D9713" s="5"/>
      <c r="E9713" s="5"/>
      <c r="F9713" s="5"/>
      <c r="G9713" s="5"/>
      <c r="H9713" s="5"/>
      <c r="I9713" s="5"/>
      <c r="J9713" s="5"/>
      <c r="K9713" s="5"/>
      <c r="L9713" s="5"/>
    </row>
    <row r="9714" spans="1:12" ht="12" customHeight="1" x14ac:dyDescent="0.25">
      <c r="A9714" s="6"/>
      <c r="B9714" s="1"/>
      <c r="C9714" s="5"/>
      <c r="D9714" s="5"/>
      <c r="E9714" s="5"/>
      <c r="F9714" s="5"/>
      <c r="G9714" s="5"/>
      <c r="H9714" s="5"/>
      <c r="I9714" s="5"/>
      <c r="J9714" s="5"/>
      <c r="K9714" s="5"/>
      <c r="L9714" s="5"/>
    </row>
    <row r="9715" spans="1:12" ht="12" customHeight="1" x14ac:dyDescent="0.25">
      <c r="A9715" s="6"/>
      <c r="B9715" s="1"/>
      <c r="C9715" s="5"/>
      <c r="D9715" s="5"/>
      <c r="E9715" s="5"/>
      <c r="F9715" s="5"/>
      <c r="G9715" s="5"/>
      <c r="H9715" s="5"/>
      <c r="I9715" s="5"/>
      <c r="J9715" s="5"/>
      <c r="K9715" s="5"/>
      <c r="L9715" s="5"/>
    </row>
    <row r="9716" spans="1:12" ht="12" customHeight="1" x14ac:dyDescent="0.25">
      <c r="A9716" s="6"/>
      <c r="B9716" s="1"/>
      <c r="C9716" s="5"/>
      <c r="D9716" s="5"/>
      <c r="E9716" s="5"/>
      <c r="F9716" s="5"/>
      <c r="G9716" s="5"/>
      <c r="H9716" s="5"/>
      <c r="I9716" s="5"/>
      <c r="J9716" s="5"/>
      <c r="K9716" s="5"/>
      <c r="L9716" s="5"/>
    </row>
    <row r="9717" spans="1:12" ht="12" customHeight="1" x14ac:dyDescent="0.25">
      <c r="A9717" s="6"/>
      <c r="B9717" s="1"/>
      <c r="C9717" s="5"/>
      <c r="D9717" s="5"/>
      <c r="E9717" s="5"/>
      <c r="F9717" s="5"/>
      <c r="G9717" s="5"/>
      <c r="H9717" s="5"/>
      <c r="I9717" s="5"/>
      <c r="J9717" s="5"/>
      <c r="K9717" s="5"/>
      <c r="L9717" s="5"/>
    </row>
    <row r="9718" spans="1:12" ht="12" customHeight="1" x14ac:dyDescent="0.25">
      <c r="A9718" s="6"/>
      <c r="B9718" s="1"/>
      <c r="C9718" s="5"/>
      <c r="D9718" s="5"/>
      <c r="E9718" s="5"/>
      <c r="F9718" s="5"/>
      <c r="G9718" s="5"/>
      <c r="H9718" s="5"/>
      <c r="I9718" s="5"/>
      <c r="J9718" s="5"/>
      <c r="K9718" s="5"/>
      <c r="L9718" s="5"/>
    </row>
    <row r="9719" spans="1:12" ht="12" customHeight="1" x14ac:dyDescent="0.25">
      <c r="A9719" s="6"/>
      <c r="B9719" s="1"/>
      <c r="C9719" s="5"/>
      <c r="D9719" s="5"/>
      <c r="E9719" s="5"/>
      <c r="F9719" s="5"/>
      <c r="G9719" s="5"/>
      <c r="H9719" s="5"/>
      <c r="I9719" s="5"/>
      <c r="J9719" s="5"/>
      <c r="K9719" s="5"/>
      <c r="L9719" s="5"/>
    </row>
    <row r="9720" spans="1:12" ht="12" customHeight="1" x14ac:dyDescent="0.25">
      <c r="A9720" s="6"/>
      <c r="B9720" s="1"/>
      <c r="C9720" s="5"/>
      <c r="D9720" s="5"/>
      <c r="E9720" s="5"/>
      <c r="F9720" s="5"/>
      <c r="G9720" s="5"/>
      <c r="H9720" s="5"/>
      <c r="I9720" s="5"/>
      <c r="J9720" s="5"/>
      <c r="K9720" s="5"/>
      <c r="L9720" s="5"/>
    </row>
    <row r="9721" spans="1:12" ht="12" customHeight="1" x14ac:dyDescent="0.25">
      <c r="A9721" s="6"/>
      <c r="B9721" s="1"/>
      <c r="C9721" s="5"/>
      <c r="D9721" s="5"/>
      <c r="E9721" s="5"/>
      <c r="F9721" s="5"/>
      <c r="G9721" s="5"/>
      <c r="H9721" s="5"/>
      <c r="I9721" s="5"/>
      <c r="J9721" s="5"/>
      <c r="K9721" s="5"/>
      <c r="L9721" s="5"/>
    </row>
    <row r="9722" spans="1:12" ht="12" customHeight="1" x14ac:dyDescent="0.25">
      <c r="A9722" s="6"/>
      <c r="B9722" s="1"/>
      <c r="C9722" s="5"/>
      <c r="D9722" s="5"/>
      <c r="E9722" s="5"/>
      <c r="F9722" s="5"/>
      <c r="G9722" s="5"/>
      <c r="H9722" s="5"/>
      <c r="I9722" s="5"/>
      <c r="J9722" s="5"/>
      <c r="K9722" s="5"/>
      <c r="L9722" s="5"/>
    </row>
    <row r="9723" spans="1:12" ht="12" customHeight="1" x14ac:dyDescent="0.25">
      <c r="A9723" s="6"/>
      <c r="B9723" s="1"/>
      <c r="C9723" s="5"/>
      <c r="D9723" s="5"/>
      <c r="E9723" s="5"/>
      <c r="F9723" s="5"/>
      <c r="G9723" s="5"/>
      <c r="H9723" s="5"/>
      <c r="I9723" s="5"/>
      <c r="J9723" s="5"/>
      <c r="K9723" s="5"/>
      <c r="L9723" s="5"/>
    </row>
    <row r="9724" spans="1:12" ht="12" customHeight="1" x14ac:dyDescent="0.25">
      <c r="A9724" s="6"/>
      <c r="B9724" s="1"/>
      <c r="C9724" s="5"/>
      <c r="D9724" s="5"/>
      <c r="E9724" s="5"/>
      <c r="F9724" s="5"/>
      <c r="G9724" s="5"/>
      <c r="H9724" s="5"/>
      <c r="I9724" s="5"/>
      <c r="J9724" s="5"/>
      <c r="K9724" s="5"/>
      <c r="L9724" s="5"/>
    </row>
    <row r="9725" spans="1:12" ht="12" customHeight="1" x14ac:dyDescent="0.25">
      <c r="A9725" s="6"/>
      <c r="B9725" s="1"/>
      <c r="C9725" s="5"/>
      <c r="D9725" s="5"/>
      <c r="E9725" s="5"/>
      <c r="F9725" s="5"/>
      <c r="G9725" s="5"/>
      <c r="H9725" s="5"/>
      <c r="I9725" s="5"/>
      <c r="J9725" s="5"/>
      <c r="K9725" s="5"/>
      <c r="L9725" s="5"/>
    </row>
    <row r="9726" spans="1:12" ht="12" customHeight="1" x14ac:dyDescent="0.25">
      <c r="A9726" s="6"/>
      <c r="B9726" s="1"/>
      <c r="C9726" s="5"/>
      <c r="D9726" s="5"/>
      <c r="E9726" s="5"/>
      <c r="F9726" s="5"/>
      <c r="G9726" s="5"/>
      <c r="H9726" s="5"/>
      <c r="I9726" s="5"/>
      <c r="J9726" s="5"/>
      <c r="K9726" s="5"/>
      <c r="L9726" s="5"/>
    </row>
    <row r="9727" spans="1:12" ht="12" customHeight="1" x14ac:dyDescent="0.25">
      <c r="A9727" s="6"/>
      <c r="B9727" s="1"/>
      <c r="C9727" s="5"/>
      <c r="D9727" s="5"/>
      <c r="E9727" s="5"/>
      <c r="F9727" s="5"/>
      <c r="G9727" s="5"/>
      <c r="H9727" s="5"/>
      <c r="I9727" s="5"/>
      <c r="J9727" s="5"/>
      <c r="K9727" s="5"/>
      <c r="L9727" s="5"/>
    </row>
    <row r="9728" spans="1:12" ht="12" customHeight="1" x14ac:dyDescent="0.25">
      <c r="A9728" s="6"/>
      <c r="B9728" s="1"/>
      <c r="C9728" s="5"/>
      <c r="D9728" s="5"/>
      <c r="E9728" s="5"/>
      <c r="F9728" s="5"/>
      <c r="G9728" s="5"/>
      <c r="H9728" s="5"/>
      <c r="I9728" s="5"/>
      <c r="J9728" s="5"/>
      <c r="K9728" s="5"/>
      <c r="L9728" s="5"/>
    </row>
    <row r="9729" spans="1:12" ht="12" customHeight="1" x14ac:dyDescent="0.25">
      <c r="A9729" s="6"/>
      <c r="B9729" s="1"/>
      <c r="C9729" s="5"/>
      <c r="D9729" s="5"/>
      <c r="E9729" s="5"/>
      <c r="F9729" s="5"/>
      <c r="G9729" s="5"/>
      <c r="H9729" s="5"/>
      <c r="I9729" s="5"/>
      <c r="J9729" s="5"/>
      <c r="K9729" s="5"/>
      <c r="L9729" s="5"/>
    </row>
    <row r="9730" spans="1:12" ht="12" customHeight="1" x14ac:dyDescent="0.25">
      <c r="A9730" s="6"/>
      <c r="B9730" s="1"/>
      <c r="C9730" s="5"/>
      <c r="D9730" s="5"/>
      <c r="E9730" s="5"/>
      <c r="F9730" s="5"/>
      <c r="G9730" s="5"/>
      <c r="H9730" s="5"/>
      <c r="I9730" s="5"/>
      <c r="J9730" s="5"/>
      <c r="K9730" s="5"/>
      <c r="L9730" s="5"/>
    </row>
    <row r="9731" spans="1:12" ht="12" customHeight="1" x14ac:dyDescent="0.25">
      <c r="A9731" s="6"/>
      <c r="B9731" s="1"/>
      <c r="C9731" s="5"/>
      <c r="D9731" s="5"/>
      <c r="E9731" s="5"/>
      <c r="F9731" s="5"/>
      <c r="G9731" s="5"/>
      <c r="H9731" s="5"/>
      <c r="I9731" s="5"/>
      <c r="J9731" s="5"/>
      <c r="K9731" s="5"/>
      <c r="L9731" s="5"/>
    </row>
    <row r="9732" spans="1:12" ht="12" customHeight="1" x14ac:dyDescent="0.25">
      <c r="A9732" s="6"/>
      <c r="B9732" s="1"/>
      <c r="C9732" s="5"/>
      <c r="D9732" s="5"/>
      <c r="E9732" s="5"/>
      <c r="F9732" s="5"/>
      <c r="G9732" s="5"/>
      <c r="H9732" s="5"/>
      <c r="I9732" s="5"/>
      <c r="J9732" s="5"/>
      <c r="K9732" s="5"/>
      <c r="L9732" s="5"/>
    </row>
    <row r="9733" spans="1:12" ht="12" customHeight="1" x14ac:dyDescent="0.25">
      <c r="A9733" s="6"/>
      <c r="B9733" s="1"/>
      <c r="C9733" s="5"/>
      <c r="D9733" s="5"/>
      <c r="E9733" s="5"/>
      <c r="F9733" s="5"/>
      <c r="G9733" s="5"/>
      <c r="H9733" s="5"/>
      <c r="I9733" s="5"/>
      <c r="J9733" s="5"/>
      <c r="K9733" s="5"/>
      <c r="L9733" s="5"/>
    </row>
    <row r="9734" spans="1:12" ht="12" customHeight="1" x14ac:dyDescent="0.25">
      <c r="A9734" s="6"/>
      <c r="B9734" s="1"/>
      <c r="C9734" s="5"/>
      <c r="D9734" s="5"/>
      <c r="E9734" s="5"/>
      <c r="F9734" s="5"/>
      <c r="G9734" s="5"/>
      <c r="H9734" s="5"/>
      <c r="I9734" s="5"/>
      <c r="J9734" s="5"/>
      <c r="K9734" s="5"/>
      <c r="L9734" s="5"/>
    </row>
    <row r="9735" spans="1:12" ht="12" customHeight="1" x14ac:dyDescent="0.25">
      <c r="A9735" s="6"/>
      <c r="B9735" s="1"/>
      <c r="C9735" s="5"/>
      <c r="D9735" s="5"/>
      <c r="E9735" s="5"/>
      <c r="F9735" s="5"/>
      <c r="G9735" s="5"/>
      <c r="H9735" s="5"/>
      <c r="I9735" s="5"/>
      <c r="J9735" s="5"/>
      <c r="K9735" s="5"/>
      <c r="L9735" s="5"/>
    </row>
    <row r="9736" spans="1:12" ht="12" customHeight="1" x14ac:dyDescent="0.25">
      <c r="A9736" s="6"/>
      <c r="B9736" s="1"/>
      <c r="C9736" s="5"/>
      <c r="D9736" s="5"/>
      <c r="E9736" s="5"/>
      <c r="F9736" s="5"/>
      <c r="G9736" s="5"/>
      <c r="H9736" s="5"/>
      <c r="I9736" s="5"/>
      <c r="J9736" s="5"/>
      <c r="K9736" s="5"/>
      <c r="L9736" s="5"/>
    </row>
    <row r="9737" spans="1:12" ht="12" customHeight="1" x14ac:dyDescent="0.25">
      <c r="A9737" s="6"/>
      <c r="B9737" s="1"/>
      <c r="C9737" s="5"/>
      <c r="D9737" s="5"/>
      <c r="E9737" s="5"/>
      <c r="F9737" s="5"/>
      <c r="G9737" s="5"/>
      <c r="H9737" s="5"/>
      <c r="I9737" s="5"/>
      <c r="J9737" s="5"/>
      <c r="K9737" s="5"/>
      <c r="L9737" s="5"/>
    </row>
    <row r="9738" spans="1:12" ht="12" customHeight="1" x14ac:dyDescent="0.25">
      <c r="A9738" s="6"/>
      <c r="B9738" s="1"/>
      <c r="C9738" s="5"/>
      <c r="D9738" s="5"/>
      <c r="E9738" s="5"/>
      <c r="F9738" s="5"/>
      <c r="G9738" s="5"/>
      <c r="H9738" s="5"/>
      <c r="I9738" s="5"/>
      <c r="J9738" s="5"/>
      <c r="K9738" s="5"/>
      <c r="L9738" s="5"/>
    </row>
    <row r="9739" spans="1:12" ht="12" customHeight="1" x14ac:dyDescent="0.25">
      <c r="A9739" s="6"/>
      <c r="B9739" s="1"/>
      <c r="C9739" s="5"/>
      <c r="D9739" s="5"/>
      <c r="E9739" s="5"/>
      <c r="F9739" s="5"/>
      <c r="G9739" s="5"/>
      <c r="H9739" s="5"/>
      <c r="I9739" s="5"/>
      <c r="J9739" s="5"/>
      <c r="K9739" s="5"/>
      <c r="L9739" s="5"/>
    </row>
    <row r="9740" spans="1:12" ht="12" customHeight="1" x14ac:dyDescent="0.25">
      <c r="A9740" s="6"/>
      <c r="B9740" s="1"/>
      <c r="C9740" s="5"/>
      <c r="D9740" s="5"/>
      <c r="E9740" s="5"/>
      <c r="F9740" s="5"/>
      <c r="G9740" s="5"/>
      <c r="H9740" s="5"/>
      <c r="I9740" s="5"/>
      <c r="J9740" s="5"/>
      <c r="K9740" s="5"/>
      <c r="L9740" s="5"/>
    </row>
    <row r="9741" spans="1:12" ht="12" customHeight="1" x14ac:dyDescent="0.25">
      <c r="A9741" s="6"/>
      <c r="B9741" s="1"/>
      <c r="C9741" s="5"/>
      <c r="D9741" s="5"/>
      <c r="E9741" s="5"/>
      <c r="F9741" s="5"/>
      <c r="G9741" s="5"/>
      <c r="H9741" s="5"/>
      <c r="I9741" s="5"/>
      <c r="J9741" s="5"/>
      <c r="K9741" s="5"/>
      <c r="L9741" s="5"/>
    </row>
    <row r="9742" spans="1:12" ht="12" customHeight="1" x14ac:dyDescent="0.25">
      <c r="A9742" s="6"/>
      <c r="B9742" s="1"/>
      <c r="C9742" s="5"/>
      <c r="D9742" s="5"/>
      <c r="E9742" s="5"/>
      <c r="F9742" s="5"/>
      <c r="G9742" s="5"/>
      <c r="H9742" s="5"/>
      <c r="I9742" s="5"/>
      <c r="J9742" s="5"/>
      <c r="K9742" s="5"/>
      <c r="L9742" s="5"/>
    </row>
    <row r="9743" spans="1:12" ht="12" customHeight="1" x14ac:dyDescent="0.25">
      <c r="A9743" s="6"/>
      <c r="B9743" s="1"/>
      <c r="C9743" s="5"/>
      <c r="D9743" s="5"/>
      <c r="E9743" s="5"/>
      <c r="F9743" s="5"/>
      <c r="G9743" s="5"/>
      <c r="H9743" s="5"/>
      <c r="I9743" s="5"/>
      <c r="J9743" s="5"/>
      <c r="K9743" s="5"/>
      <c r="L9743" s="5"/>
    </row>
    <row r="9744" spans="1:12" ht="12" customHeight="1" x14ac:dyDescent="0.25">
      <c r="A9744" s="6"/>
      <c r="B9744" s="1"/>
      <c r="C9744" s="5"/>
      <c r="D9744" s="5"/>
      <c r="E9744" s="5"/>
      <c r="F9744" s="5"/>
      <c r="G9744" s="5"/>
      <c r="H9744" s="5"/>
      <c r="I9744" s="5"/>
      <c r="J9744" s="5"/>
      <c r="K9744" s="5"/>
      <c r="L9744" s="5"/>
    </row>
    <row r="9745" spans="1:12" ht="12" customHeight="1" x14ac:dyDescent="0.25">
      <c r="A9745" s="6"/>
      <c r="B9745" s="1"/>
      <c r="C9745" s="5"/>
      <c r="D9745" s="5"/>
      <c r="E9745" s="5"/>
      <c r="F9745" s="5"/>
      <c r="G9745" s="5"/>
      <c r="H9745" s="5"/>
      <c r="I9745" s="5"/>
      <c r="J9745" s="5"/>
      <c r="K9745" s="5"/>
      <c r="L9745" s="5"/>
    </row>
    <row r="9746" spans="1:12" ht="12" customHeight="1" x14ac:dyDescent="0.25">
      <c r="A9746" s="6"/>
      <c r="B9746" s="1"/>
      <c r="C9746" s="5"/>
      <c r="D9746" s="5"/>
      <c r="E9746" s="5"/>
      <c r="F9746" s="5"/>
      <c r="G9746" s="5"/>
      <c r="H9746" s="5"/>
      <c r="I9746" s="5"/>
      <c r="J9746" s="5"/>
      <c r="K9746" s="5"/>
      <c r="L9746" s="5"/>
    </row>
    <row r="9747" spans="1:12" ht="12" customHeight="1" x14ac:dyDescent="0.25">
      <c r="A9747" s="6"/>
      <c r="B9747" s="1"/>
      <c r="C9747" s="5"/>
      <c r="D9747" s="5"/>
      <c r="E9747" s="5"/>
      <c r="F9747" s="5"/>
      <c r="G9747" s="5"/>
      <c r="H9747" s="5"/>
      <c r="I9747" s="5"/>
      <c r="J9747" s="5"/>
      <c r="K9747" s="5"/>
      <c r="L9747" s="5"/>
    </row>
    <row r="9748" spans="1:12" ht="12" customHeight="1" x14ac:dyDescent="0.25">
      <c r="A9748" s="6"/>
      <c r="B9748" s="1"/>
      <c r="C9748" s="5"/>
      <c r="D9748" s="5"/>
      <c r="E9748" s="5"/>
      <c r="F9748" s="5"/>
      <c r="G9748" s="5"/>
      <c r="H9748" s="5"/>
      <c r="I9748" s="5"/>
      <c r="J9748" s="5"/>
      <c r="K9748" s="5"/>
      <c r="L9748" s="5"/>
    </row>
    <row r="9749" spans="1:12" ht="12" customHeight="1" x14ac:dyDescent="0.25">
      <c r="A9749" s="6"/>
      <c r="B9749" s="1"/>
      <c r="C9749" s="5"/>
      <c r="D9749" s="5"/>
      <c r="E9749" s="5"/>
      <c r="F9749" s="5"/>
      <c r="G9749" s="5"/>
      <c r="H9749" s="5"/>
      <c r="I9749" s="5"/>
      <c r="J9749" s="5"/>
      <c r="K9749" s="5"/>
      <c r="L9749" s="5"/>
    </row>
    <row r="9750" spans="1:12" ht="12" customHeight="1" x14ac:dyDescent="0.25">
      <c r="A9750" s="6"/>
      <c r="B9750" s="1"/>
      <c r="C9750" s="5"/>
      <c r="D9750" s="5"/>
      <c r="E9750" s="5"/>
      <c r="F9750" s="5"/>
      <c r="G9750" s="5"/>
      <c r="H9750" s="5"/>
      <c r="I9750" s="5"/>
      <c r="J9750" s="5"/>
      <c r="K9750" s="5"/>
      <c r="L9750" s="5"/>
    </row>
    <row r="9751" spans="1:12" ht="12" customHeight="1" x14ac:dyDescent="0.25">
      <c r="A9751" s="6"/>
      <c r="B9751" s="1"/>
      <c r="C9751" s="5"/>
      <c r="D9751" s="5"/>
      <c r="E9751" s="5"/>
      <c r="F9751" s="5"/>
      <c r="G9751" s="5"/>
      <c r="H9751" s="5"/>
      <c r="I9751" s="5"/>
      <c r="J9751" s="5"/>
      <c r="K9751" s="5"/>
      <c r="L9751" s="5"/>
    </row>
    <row r="9752" spans="1:12" ht="12" customHeight="1" x14ac:dyDescent="0.25">
      <c r="A9752" s="6"/>
      <c r="B9752" s="1"/>
      <c r="C9752" s="5"/>
      <c r="D9752" s="5"/>
      <c r="E9752" s="5"/>
      <c r="F9752" s="5"/>
      <c r="G9752" s="5"/>
      <c r="H9752" s="5"/>
      <c r="I9752" s="5"/>
      <c r="J9752" s="5"/>
      <c r="K9752" s="5"/>
      <c r="L9752" s="5"/>
    </row>
    <row r="9753" spans="1:12" ht="12" customHeight="1" x14ac:dyDescent="0.25">
      <c r="A9753" s="6"/>
      <c r="B9753" s="1"/>
      <c r="C9753" s="5"/>
      <c r="D9753" s="5"/>
      <c r="E9753" s="5"/>
      <c r="F9753" s="5"/>
      <c r="G9753" s="5"/>
      <c r="H9753" s="5"/>
      <c r="I9753" s="5"/>
      <c r="J9753" s="5"/>
      <c r="K9753" s="5"/>
      <c r="L9753" s="5"/>
    </row>
    <row r="9754" spans="1:12" ht="12" customHeight="1" x14ac:dyDescent="0.25">
      <c r="A9754" s="6"/>
      <c r="B9754" s="1"/>
      <c r="C9754" s="5"/>
      <c r="D9754" s="5"/>
      <c r="E9754" s="5"/>
      <c r="F9754" s="5"/>
      <c r="G9754" s="5"/>
      <c r="H9754" s="5"/>
      <c r="I9754" s="5"/>
      <c r="J9754" s="5"/>
      <c r="K9754" s="5"/>
      <c r="L9754" s="5"/>
    </row>
    <row r="9755" spans="1:12" ht="12" customHeight="1" x14ac:dyDescent="0.25">
      <c r="A9755" s="6"/>
      <c r="B9755" s="1"/>
      <c r="C9755" s="5"/>
      <c r="D9755" s="5"/>
      <c r="E9755" s="5"/>
      <c r="F9755" s="5"/>
      <c r="G9755" s="5"/>
      <c r="H9755" s="5"/>
      <c r="I9755" s="5"/>
      <c r="J9755" s="5"/>
      <c r="K9755" s="5"/>
      <c r="L9755" s="5"/>
    </row>
    <row r="9756" spans="1:12" ht="12" customHeight="1" x14ac:dyDescent="0.25">
      <c r="A9756" s="6"/>
      <c r="B9756" s="1"/>
      <c r="C9756" s="5"/>
      <c r="D9756" s="5"/>
      <c r="E9756" s="5"/>
      <c r="F9756" s="5"/>
      <c r="G9756" s="5"/>
      <c r="H9756" s="5"/>
      <c r="I9756" s="5"/>
      <c r="J9756" s="5"/>
      <c r="K9756" s="5"/>
      <c r="L9756" s="5"/>
    </row>
    <row r="9757" spans="1:12" ht="12" customHeight="1" x14ac:dyDescent="0.25">
      <c r="A9757" s="6"/>
      <c r="B9757" s="1"/>
      <c r="C9757" s="5"/>
      <c r="D9757" s="5"/>
      <c r="E9757" s="5"/>
      <c r="F9757" s="5"/>
      <c r="G9757" s="5"/>
      <c r="H9757" s="5"/>
      <c r="I9757" s="5"/>
      <c r="J9757" s="5"/>
      <c r="K9757" s="5"/>
      <c r="L9757" s="5"/>
    </row>
    <row r="9758" spans="1:12" ht="12" customHeight="1" x14ac:dyDescent="0.25">
      <c r="A9758" s="6"/>
      <c r="B9758" s="1"/>
      <c r="C9758" s="5"/>
      <c r="D9758" s="5"/>
      <c r="E9758" s="5"/>
      <c r="F9758" s="5"/>
      <c r="G9758" s="5"/>
      <c r="H9758" s="5"/>
      <c r="I9758" s="5"/>
      <c r="J9758" s="5"/>
      <c r="K9758" s="5"/>
      <c r="L9758" s="5"/>
    </row>
    <row r="9759" spans="1:12" ht="12" customHeight="1" x14ac:dyDescent="0.25">
      <c r="A9759" s="6"/>
      <c r="B9759" s="1"/>
      <c r="C9759" s="5"/>
      <c r="D9759" s="5"/>
      <c r="E9759" s="5"/>
      <c r="F9759" s="5"/>
      <c r="G9759" s="5"/>
      <c r="H9759" s="5"/>
      <c r="I9759" s="5"/>
      <c r="J9759" s="5"/>
      <c r="K9759" s="5"/>
      <c r="L9759" s="5"/>
    </row>
    <row r="9760" spans="1:12" ht="12" customHeight="1" x14ac:dyDescent="0.25">
      <c r="A9760" s="6"/>
      <c r="B9760" s="1"/>
      <c r="C9760" s="5"/>
      <c r="D9760" s="5"/>
      <c r="E9760" s="5"/>
      <c r="F9760" s="5"/>
      <c r="G9760" s="5"/>
      <c r="H9760" s="5"/>
      <c r="I9760" s="5"/>
      <c r="J9760" s="5"/>
      <c r="K9760" s="5"/>
      <c r="L9760" s="5"/>
    </row>
    <row r="9761" spans="1:12" ht="12" customHeight="1" x14ac:dyDescent="0.25">
      <c r="A9761" s="6"/>
      <c r="B9761" s="1"/>
      <c r="C9761" s="5"/>
      <c r="D9761" s="5"/>
      <c r="E9761" s="5"/>
      <c r="F9761" s="5"/>
      <c r="G9761" s="5"/>
      <c r="H9761" s="5"/>
      <c r="I9761" s="5"/>
      <c r="J9761" s="5"/>
      <c r="K9761" s="5"/>
      <c r="L9761" s="5"/>
    </row>
    <row r="9762" spans="1:12" ht="12" customHeight="1" x14ac:dyDescent="0.25">
      <c r="A9762" s="6"/>
      <c r="B9762" s="1"/>
      <c r="C9762" s="5"/>
      <c r="D9762" s="5"/>
      <c r="E9762" s="5"/>
      <c r="F9762" s="5"/>
      <c r="G9762" s="5"/>
      <c r="H9762" s="5"/>
      <c r="I9762" s="5"/>
      <c r="J9762" s="5"/>
      <c r="K9762" s="5"/>
      <c r="L9762" s="5"/>
    </row>
    <row r="9763" spans="1:12" ht="12" customHeight="1" x14ac:dyDescent="0.25">
      <c r="A9763" s="6"/>
      <c r="B9763" s="1"/>
      <c r="C9763" s="5"/>
      <c r="D9763" s="5"/>
      <c r="E9763" s="5"/>
      <c r="F9763" s="5"/>
      <c r="G9763" s="5"/>
      <c r="H9763" s="5"/>
      <c r="I9763" s="5"/>
      <c r="J9763" s="5"/>
      <c r="K9763" s="5"/>
      <c r="L9763" s="5"/>
    </row>
    <row r="9764" spans="1:12" ht="12" customHeight="1" x14ac:dyDescent="0.25">
      <c r="A9764" s="6"/>
      <c r="B9764" s="1"/>
      <c r="C9764" s="5"/>
      <c r="D9764" s="5"/>
      <c r="E9764" s="5"/>
      <c r="F9764" s="5"/>
      <c r="G9764" s="5"/>
      <c r="H9764" s="5"/>
      <c r="I9764" s="5"/>
      <c r="J9764" s="5"/>
      <c r="K9764" s="5"/>
      <c r="L9764" s="5"/>
    </row>
    <row r="9765" spans="1:12" ht="12" customHeight="1" x14ac:dyDescent="0.25">
      <c r="A9765" s="6"/>
      <c r="B9765" s="1"/>
      <c r="C9765" s="5"/>
      <c r="D9765" s="5"/>
      <c r="E9765" s="5"/>
      <c r="F9765" s="5"/>
      <c r="G9765" s="5"/>
      <c r="H9765" s="5"/>
      <c r="I9765" s="5"/>
      <c r="J9765" s="5"/>
      <c r="K9765" s="5"/>
      <c r="L9765" s="5"/>
    </row>
    <row r="9766" spans="1:12" ht="12" customHeight="1" x14ac:dyDescent="0.25">
      <c r="A9766" s="6"/>
      <c r="B9766" s="1"/>
      <c r="C9766" s="5"/>
      <c r="D9766" s="5"/>
      <c r="E9766" s="5"/>
      <c r="F9766" s="5"/>
      <c r="G9766" s="5"/>
      <c r="H9766" s="5"/>
      <c r="I9766" s="5"/>
      <c r="J9766" s="5"/>
      <c r="K9766" s="5"/>
      <c r="L9766" s="5"/>
    </row>
    <row r="9767" spans="1:12" ht="12" customHeight="1" x14ac:dyDescent="0.25">
      <c r="A9767" s="6"/>
      <c r="B9767" s="1"/>
      <c r="C9767" s="5"/>
      <c r="D9767" s="5"/>
      <c r="E9767" s="5"/>
      <c r="F9767" s="5"/>
      <c r="G9767" s="5"/>
      <c r="H9767" s="5"/>
      <c r="I9767" s="5"/>
      <c r="J9767" s="5"/>
      <c r="K9767" s="5"/>
      <c r="L9767" s="5"/>
    </row>
    <row r="9768" spans="1:12" ht="12" customHeight="1" x14ac:dyDescent="0.25">
      <c r="A9768" s="6"/>
      <c r="B9768" s="1"/>
      <c r="C9768" s="5"/>
      <c r="D9768" s="5"/>
      <c r="E9768" s="5"/>
      <c r="F9768" s="5"/>
      <c r="G9768" s="5"/>
      <c r="H9768" s="5"/>
      <c r="I9768" s="5"/>
      <c r="J9768" s="5"/>
      <c r="K9768" s="5"/>
      <c r="L9768" s="5"/>
    </row>
    <row r="9769" spans="1:12" ht="12" customHeight="1" x14ac:dyDescent="0.25">
      <c r="A9769" s="6"/>
      <c r="B9769" s="1"/>
      <c r="C9769" s="5"/>
      <c r="D9769" s="5"/>
      <c r="E9769" s="5"/>
      <c r="F9769" s="5"/>
      <c r="G9769" s="5"/>
      <c r="H9769" s="5"/>
      <c r="I9769" s="5"/>
      <c r="J9769" s="5"/>
      <c r="K9769" s="5"/>
      <c r="L9769" s="5"/>
    </row>
    <row r="9770" spans="1:12" ht="12" customHeight="1" x14ac:dyDescent="0.25">
      <c r="A9770" s="6"/>
      <c r="B9770" s="1"/>
      <c r="C9770" s="5"/>
      <c r="D9770" s="5"/>
      <c r="E9770" s="5"/>
      <c r="F9770" s="5"/>
      <c r="G9770" s="5"/>
      <c r="H9770" s="5"/>
      <c r="I9770" s="5"/>
      <c r="J9770" s="5"/>
      <c r="K9770" s="5"/>
      <c r="L9770" s="5"/>
    </row>
    <row r="9771" spans="1:12" ht="12" customHeight="1" x14ac:dyDescent="0.25">
      <c r="A9771" s="6"/>
      <c r="B9771" s="1"/>
      <c r="C9771" s="5"/>
      <c r="D9771" s="5"/>
      <c r="E9771" s="5"/>
      <c r="F9771" s="5"/>
      <c r="G9771" s="5"/>
      <c r="H9771" s="5"/>
      <c r="I9771" s="5"/>
      <c r="J9771" s="5"/>
      <c r="K9771" s="5"/>
      <c r="L9771" s="5"/>
    </row>
    <row r="9772" spans="1:12" ht="12" customHeight="1" x14ac:dyDescent="0.25">
      <c r="A9772" s="6"/>
      <c r="B9772" s="1"/>
      <c r="C9772" s="5"/>
      <c r="D9772" s="5"/>
      <c r="E9772" s="5"/>
      <c r="F9772" s="5"/>
      <c r="G9772" s="5"/>
      <c r="H9772" s="5"/>
      <c r="I9772" s="5"/>
      <c r="J9772" s="5"/>
      <c r="K9772" s="5"/>
      <c r="L9772" s="5"/>
    </row>
    <row r="9773" spans="1:12" ht="12" customHeight="1" x14ac:dyDescent="0.25">
      <c r="A9773" s="6"/>
      <c r="B9773" s="1"/>
      <c r="C9773" s="5"/>
      <c r="D9773" s="5"/>
      <c r="E9773" s="5"/>
      <c r="F9773" s="5"/>
      <c r="G9773" s="5"/>
      <c r="H9773" s="5"/>
      <c r="I9773" s="5"/>
      <c r="J9773" s="5"/>
      <c r="K9773" s="5"/>
      <c r="L9773" s="5"/>
    </row>
    <row r="9774" spans="1:12" ht="12" customHeight="1" x14ac:dyDescent="0.25">
      <c r="A9774" s="6"/>
      <c r="B9774" s="1"/>
      <c r="C9774" s="5"/>
      <c r="D9774" s="5"/>
      <c r="E9774" s="5"/>
      <c r="F9774" s="5"/>
      <c r="G9774" s="5"/>
      <c r="H9774" s="5"/>
      <c r="I9774" s="5"/>
      <c r="J9774" s="5"/>
      <c r="K9774" s="5"/>
      <c r="L9774" s="5"/>
    </row>
    <row r="9775" spans="1:12" ht="12" customHeight="1" x14ac:dyDescent="0.25">
      <c r="A9775" s="6"/>
      <c r="B9775" s="1"/>
      <c r="C9775" s="5"/>
      <c r="D9775" s="5"/>
      <c r="E9775" s="5"/>
      <c r="F9775" s="5"/>
      <c r="G9775" s="5"/>
      <c r="H9775" s="5"/>
      <c r="I9775" s="5"/>
      <c r="J9775" s="5"/>
      <c r="K9775" s="5"/>
      <c r="L9775" s="5"/>
    </row>
    <row r="9776" spans="1:12" ht="12" customHeight="1" x14ac:dyDescent="0.25">
      <c r="A9776" s="6"/>
      <c r="B9776" s="1"/>
      <c r="C9776" s="5"/>
      <c r="D9776" s="5"/>
      <c r="E9776" s="5"/>
      <c r="F9776" s="5"/>
      <c r="G9776" s="5"/>
      <c r="H9776" s="5"/>
      <c r="I9776" s="5"/>
      <c r="J9776" s="5"/>
      <c r="K9776" s="5"/>
      <c r="L9776" s="5"/>
    </row>
    <row r="9777" spans="1:12" ht="12" customHeight="1" x14ac:dyDescent="0.25">
      <c r="A9777" s="6"/>
      <c r="B9777" s="1"/>
      <c r="C9777" s="5"/>
      <c r="D9777" s="5"/>
      <c r="E9777" s="5"/>
      <c r="F9777" s="5"/>
      <c r="G9777" s="5"/>
      <c r="H9777" s="5"/>
      <c r="I9777" s="5"/>
      <c r="J9777" s="5"/>
      <c r="K9777" s="5"/>
      <c r="L9777" s="5"/>
    </row>
    <row r="9778" spans="1:12" ht="12" customHeight="1" x14ac:dyDescent="0.25">
      <c r="A9778" s="6"/>
      <c r="B9778" s="1"/>
      <c r="C9778" s="5"/>
      <c r="D9778" s="5"/>
      <c r="E9778" s="5"/>
      <c r="F9778" s="5"/>
      <c r="G9778" s="5"/>
      <c r="H9778" s="5"/>
      <c r="I9778" s="5"/>
      <c r="J9778" s="5"/>
      <c r="K9778" s="5"/>
      <c r="L9778" s="5"/>
    </row>
    <row r="9779" spans="1:12" ht="12" customHeight="1" x14ac:dyDescent="0.25">
      <c r="A9779" s="6"/>
      <c r="B9779" s="1"/>
      <c r="C9779" s="5"/>
      <c r="D9779" s="5"/>
      <c r="E9779" s="5"/>
      <c r="F9779" s="5"/>
      <c r="G9779" s="5"/>
      <c r="H9779" s="5"/>
      <c r="I9779" s="5"/>
      <c r="J9779" s="5"/>
      <c r="K9779" s="5"/>
      <c r="L9779" s="5"/>
    </row>
    <row r="9780" spans="1:12" ht="12" customHeight="1" x14ac:dyDescent="0.25">
      <c r="A9780" s="6"/>
      <c r="B9780" s="1"/>
      <c r="C9780" s="5"/>
      <c r="D9780" s="5"/>
      <c r="E9780" s="5"/>
      <c r="F9780" s="5"/>
      <c r="G9780" s="5"/>
      <c r="H9780" s="5"/>
      <c r="I9780" s="5"/>
      <c r="J9780" s="5"/>
      <c r="K9780" s="5"/>
      <c r="L9780" s="5"/>
    </row>
    <row r="9781" spans="1:12" ht="12" customHeight="1" x14ac:dyDescent="0.25">
      <c r="A9781" s="6"/>
      <c r="B9781" s="1"/>
      <c r="C9781" s="5"/>
      <c r="D9781" s="5"/>
      <c r="E9781" s="5"/>
      <c r="F9781" s="5"/>
      <c r="G9781" s="5"/>
      <c r="H9781" s="5"/>
      <c r="I9781" s="5"/>
      <c r="J9781" s="5"/>
      <c r="K9781" s="5"/>
      <c r="L9781" s="5"/>
    </row>
    <row r="9782" spans="1:12" ht="12" customHeight="1" x14ac:dyDescent="0.25">
      <c r="A9782" s="6"/>
      <c r="B9782" s="1"/>
      <c r="C9782" s="5"/>
      <c r="D9782" s="5"/>
      <c r="E9782" s="5"/>
      <c r="F9782" s="5"/>
      <c r="G9782" s="5"/>
      <c r="H9782" s="5"/>
      <c r="I9782" s="5"/>
      <c r="J9782" s="5"/>
      <c r="K9782" s="5"/>
      <c r="L9782" s="5"/>
    </row>
    <row r="9783" spans="1:12" ht="12" customHeight="1" x14ac:dyDescent="0.25">
      <c r="A9783" s="6"/>
      <c r="B9783" s="1"/>
      <c r="C9783" s="5"/>
      <c r="D9783" s="5"/>
      <c r="E9783" s="5"/>
      <c r="F9783" s="5"/>
      <c r="G9783" s="5"/>
      <c r="H9783" s="5"/>
      <c r="I9783" s="5"/>
      <c r="J9783" s="5"/>
      <c r="K9783" s="5"/>
      <c r="L9783" s="5"/>
    </row>
    <row r="9784" spans="1:12" ht="12" customHeight="1" x14ac:dyDescent="0.25">
      <c r="A9784" s="6"/>
      <c r="B9784" s="1"/>
      <c r="C9784" s="5"/>
      <c r="D9784" s="5"/>
      <c r="E9784" s="5"/>
      <c r="F9784" s="5"/>
      <c r="G9784" s="5"/>
      <c r="H9784" s="5"/>
      <c r="I9784" s="5"/>
      <c r="J9784" s="5"/>
      <c r="K9784" s="5"/>
      <c r="L9784" s="5"/>
    </row>
    <row r="9785" spans="1:12" ht="12" customHeight="1" x14ac:dyDescent="0.25">
      <c r="A9785" s="6"/>
      <c r="B9785" s="1"/>
      <c r="C9785" s="5"/>
      <c r="D9785" s="5"/>
      <c r="E9785" s="5"/>
      <c r="F9785" s="5"/>
      <c r="G9785" s="5"/>
      <c r="H9785" s="5"/>
      <c r="I9785" s="5"/>
      <c r="J9785" s="5"/>
      <c r="K9785" s="5"/>
      <c r="L9785" s="5"/>
    </row>
    <row r="9786" spans="1:12" ht="12" customHeight="1" x14ac:dyDescent="0.25">
      <c r="A9786" s="6"/>
      <c r="B9786" s="1"/>
      <c r="C9786" s="5"/>
      <c r="D9786" s="5"/>
      <c r="E9786" s="5"/>
      <c r="F9786" s="5"/>
      <c r="G9786" s="5"/>
      <c r="H9786" s="5"/>
      <c r="I9786" s="5"/>
      <c r="J9786" s="5"/>
      <c r="K9786" s="5"/>
      <c r="L9786" s="5"/>
    </row>
    <row r="9787" spans="1:12" ht="12" customHeight="1" x14ac:dyDescent="0.25">
      <c r="A9787" s="6"/>
      <c r="B9787" s="1"/>
      <c r="C9787" s="5"/>
      <c r="D9787" s="5"/>
      <c r="E9787" s="5"/>
      <c r="F9787" s="5"/>
      <c r="G9787" s="5"/>
      <c r="H9787" s="5"/>
      <c r="I9787" s="5"/>
      <c r="J9787" s="5"/>
      <c r="K9787" s="5"/>
      <c r="L9787" s="5"/>
    </row>
    <row r="9788" spans="1:12" ht="12" customHeight="1" x14ac:dyDescent="0.25">
      <c r="A9788" s="6"/>
      <c r="B9788" s="1"/>
      <c r="C9788" s="5"/>
      <c r="D9788" s="5"/>
      <c r="E9788" s="5"/>
      <c r="F9788" s="5"/>
      <c r="G9788" s="5"/>
      <c r="H9788" s="5"/>
      <c r="I9788" s="5"/>
      <c r="J9788" s="5"/>
      <c r="K9788" s="5"/>
      <c r="L9788" s="5"/>
    </row>
    <row r="9789" spans="1:12" ht="12" customHeight="1" x14ac:dyDescent="0.25">
      <c r="A9789" s="6"/>
      <c r="B9789" s="1"/>
      <c r="C9789" s="5"/>
      <c r="D9789" s="5"/>
      <c r="E9789" s="5"/>
      <c r="F9789" s="5"/>
      <c r="G9789" s="5"/>
      <c r="H9789" s="5"/>
      <c r="I9789" s="5"/>
      <c r="J9789" s="5"/>
      <c r="K9789" s="5"/>
      <c r="L9789" s="5"/>
    </row>
    <row r="9790" spans="1:12" ht="12" customHeight="1" x14ac:dyDescent="0.25">
      <c r="A9790" s="6"/>
      <c r="B9790" s="1"/>
      <c r="C9790" s="5"/>
      <c r="D9790" s="5"/>
      <c r="E9790" s="5"/>
      <c r="F9790" s="5"/>
      <c r="G9790" s="5"/>
      <c r="H9790" s="5"/>
      <c r="I9790" s="5"/>
      <c r="J9790" s="5"/>
      <c r="K9790" s="5"/>
      <c r="L9790" s="5"/>
    </row>
    <row r="9791" spans="1:12" ht="12" customHeight="1" x14ac:dyDescent="0.25">
      <c r="A9791" s="6"/>
      <c r="B9791" s="1"/>
      <c r="C9791" s="5"/>
      <c r="D9791" s="5"/>
      <c r="E9791" s="5"/>
      <c r="F9791" s="5"/>
      <c r="G9791" s="5"/>
      <c r="H9791" s="5"/>
      <c r="I9791" s="5"/>
      <c r="J9791" s="5"/>
      <c r="K9791" s="5"/>
      <c r="L9791" s="5"/>
    </row>
    <row r="9792" spans="1:12" ht="12" customHeight="1" x14ac:dyDescent="0.25">
      <c r="A9792" s="6"/>
      <c r="B9792" s="1"/>
      <c r="C9792" s="5"/>
      <c r="D9792" s="5"/>
      <c r="E9792" s="5"/>
      <c r="F9792" s="5"/>
      <c r="G9792" s="5"/>
      <c r="H9792" s="5"/>
      <c r="I9792" s="5"/>
      <c r="J9792" s="5"/>
      <c r="K9792" s="5"/>
      <c r="L9792" s="5"/>
    </row>
    <row r="9793" spans="1:12" ht="12" customHeight="1" x14ac:dyDescent="0.25">
      <c r="A9793" s="6"/>
      <c r="B9793" s="1"/>
      <c r="C9793" s="5"/>
      <c r="D9793" s="5"/>
      <c r="E9793" s="5"/>
      <c r="F9793" s="5"/>
      <c r="G9793" s="5"/>
      <c r="H9793" s="5"/>
      <c r="I9793" s="5"/>
      <c r="J9793" s="5"/>
      <c r="K9793" s="5"/>
      <c r="L9793" s="5"/>
    </row>
    <row r="9794" spans="1:12" ht="12" customHeight="1" x14ac:dyDescent="0.25">
      <c r="A9794" s="6"/>
      <c r="B9794" s="1"/>
      <c r="C9794" s="5"/>
      <c r="D9794" s="5"/>
      <c r="E9794" s="5"/>
      <c r="F9794" s="5"/>
      <c r="G9794" s="5"/>
      <c r="H9794" s="5"/>
      <c r="I9794" s="5"/>
      <c r="J9794" s="5"/>
      <c r="K9794" s="5"/>
      <c r="L9794" s="5"/>
    </row>
    <row r="9795" spans="1:12" ht="12" customHeight="1" x14ac:dyDescent="0.25">
      <c r="A9795" s="6"/>
      <c r="B9795" s="1"/>
      <c r="C9795" s="5"/>
      <c r="D9795" s="5"/>
      <c r="E9795" s="5"/>
      <c r="F9795" s="5"/>
      <c r="G9795" s="5"/>
      <c r="H9795" s="5"/>
      <c r="I9795" s="5"/>
      <c r="J9795" s="5"/>
      <c r="K9795" s="5"/>
      <c r="L9795" s="5"/>
    </row>
    <row r="9796" spans="1:12" ht="12" customHeight="1" x14ac:dyDescent="0.25">
      <c r="A9796" s="6"/>
      <c r="B9796" s="1"/>
      <c r="C9796" s="5"/>
      <c r="D9796" s="5"/>
      <c r="E9796" s="5"/>
      <c r="F9796" s="5"/>
      <c r="G9796" s="5"/>
      <c r="H9796" s="5"/>
      <c r="I9796" s="5"/>
      <c r="J9796" s="5"/>
      <c r="K9796" s="5"/>
      <c r="L9796" s="5"/>
    </row>
    <row r="9797" spans="1:12" ht="12" customHeight="1" x14ac:dyDescent="0.25">
      <c r="A9797" s="6"/>
      <c r="B9797" s="1"/>
      <c r="C9797" s="5"/>
      <c r="D9797" s="5"/>
      <c r="E9797" s="5"/>
      <c r="F9797" s="5"/>
      <c r="G9797" s="5"/>
      <c r="H9797" s="5"/>
      <c r="I9797" s="5"/>
      <c r="J9797" s="5"/>
      <c r="K9797" s="5"/>
      <c r="L9797" s="5"/>
    </row>
    <row r="9798" spans="1:12" ht="12" customHeight="1" x14ac:dyDescent="0.25">
      <c r="A9798" s="6"/>
      <c r="B9798" s="1"/>
      <c r="C9798" s="5"/>
      <c r="D9798" s="5"/>
      <c r="E9798" s="5"/>
      <c r="F9798" s="5"/>
      <c r="G9798" s="5"/>
      <c r="H9798" s="5"/>
      <c r="I9798" s="5"/>
      <c r="J9798" s="5"/>
      <c r="K9798" s="5"/>
      <c r="L9798" s="5"/>
    </row>
    <row r="9799" spans="1:12" ht="12" customHeight="1" x14ac:dyDescent="0.25">
      <c r="A9799" s="6"/>
      <c r="B9799" s="1"/>
      <c r="C9799" s="5"/>
      <c r="D9799" s="5"/>
      <c r="E9799" s="5"/>
      <c r="F9799" s="5"/>
      <c r="G9799" s="5"/>
      <c r="H9799" s="5"/>
      <c r="I9799" s="5"/>
      <c r="J9799" s="5"/>
      <c r="K9799" s="5"/>
      <c r="L9799" s="5"/>
    </row>
    <row r="9800" spans="1:12" ht="12" customHeight="1" x14ac:dyDescent="0.25">
      <c r="A9800" s="6"/>
      <c r="B9800" s="1"/>
      <c r="C9800" s="5"/>
      <c r="D9800" s="5"/>
      <c r="E9800" s="5"/>
      <c r="F9800" s="5"/>
      <c r="G9800" s="5"/>
      <c r="H9800" s="5"/>
      <c r="I9800" s="5"/>
      <c r="J9800" s="5"/>
      <c r="K9800" s="5"/>
      <c r="L9800" s="5"/>
    </row>
    <row r="9801" spans="1:12" ht="12" customHeight="1" x14ac:dyDescent="0.25">
      <c r="A9801" s="6"/>
      <c r="B9801" s="1"/>
      <c r="C9801" s="5"/>
      <c r="D9801" s="5"/>
      <c r="E9801" s="5"/>
      <c r="F9801" s="5"/>
      <c r="G9801" s="5"/>
      <c r="H9801" s="5"/>
      <c r="I9801" s="5"/>
      <c r="J9801" s="5"/>
      <c r="K9801" s="5"/>
      <c r="L9801" s="5"/>
    </row>
    <row r="9802" spans="1:12" ht="12" customHeight="1" x14ac:dyDescent="0.25">
      <c r="A9802" s="6"/>
      <c r="B9802" s="1"/>
      <c r="C9802" s="5"/>
      <c r="D9802" s="5"/>
      <c r="E9802" s="5"/>
      <c r="F9802" s="5"/>
      <c r="G9802" s="5"/>
      <c r="H9802" s="5"/>
      <c r="I9802" s="5"/>
      <c r="J9802" s="5"/>
      <c r="K9802" s="5"/>
      <c r="L9802" s="5"/>
    </row>
    <row r="9803" spans="1:12" ht="12" customHeight="1" x14ac:dyDescent="0.25">
      <c r="A9803" s="6"/>
      <c r="B9803" s="1"/>
      <c r="C9803" s="5"/>
      <c r="D9803" s="5"/>
      <c r="E9803" s="5"/>
      <c r="F9803" s="5"/>
      <c r="G9803" s="5"/>
      <c r="H9803" s="5"/>
      <c r="I9803" s="5"/>
      <c r="J9803" s="5"/>
      <c r="K9803" s="5"/>
      <c r="L9803" s="5"/>
    </row>
    <row r="9804" spans="1:12" ht="12" customHeight="1" x14ac:dyDescent="0.25">
      <c r="A9804" s="6"/>
      <c r="B9804" s="1"/>
      <c r="C9804" s="5"/>
      <c r="D9804" s="5"/>
      <c r="E9804" s="5"/>
      <c r="F9804" s="5"/>
      <c r="G9804" s="5"/>
      <c r="H9804" s="5"/>
      <c r="I9804" s="5"/>
      <c r="J9804" s="5"/>
      <c r="K9804" s="5"/>
      <c r="L9804" s="5"/>
    </row>
    <row r="9805" spans="1:12" ht="12" customHeight="1" x14ac:dyDescent="0.25">
      <c r="A9805" s="6"/>
      <c r="B9805" s="1"/>
      <c r="C9805" s="5"/>
      <c r="D9805" s="5"/>
      <c r="E9805" s="5"/>
      <c r="F9805" s="5"/>
      <c r="G9805" s="5"/>
      <c r="H9805" s="5"/>
      <c r="I9805" s="5"/>
      <c r="J9805" s="5"/>
      <c r="K9805" s="5"/>
      <c r="L9805" s="5"/>
    </row>
    <row r="9806" spans="1:12" ht="12" customHeight="1" x14ac:dyDescent="0.25">
      <c r="A9806" s="6"/>
      <c r="B9806" s="1"/>
      <c r="C9806" s="5"/>
      <c r="D9806" s="5"/>
      <c r="E9806" s="5"/>
      <c r="F9806" s="5"/>
      <c r="G9806" s="5"/>
      <c r="H9806" s="5"/>
      <c r="I9806" s="5"/>
      <c r="J9806" s="5"/>
      <c r="K9806" s="5"/>
      <c r="L9806" s="5"/>
    </row>
    <row r="9807" spans="1:12" ht="12" customHeight="1" x14ac:dyDescent="0.25">
      <c r="A9807" s="6"/>
      <c r="B9807" s="1"/>
      <c r="C9807" s="5"/>
      <c r="D9807" s="5"/>
      <c r="E9807" s="5"/>
      <c r="F9807" s="5"/>
      <c r="G9807" s="5"/>
      <c r="H9807" s="5"/>
      <c r="I9807" s="5"/>
      <c r="J9807" s="5"/>
      <c r="K9807" s="5"/>
      <c r="L9807" s="5"/>
    </row>
    <row r="9808" spans="1:12" ht="12" customHeight="1" x14ac:dyDescent="0.25">
      <c r="A9808" s="6"/>
      <c r="B9808" s="1"/>
      <c r="C9808" s="5"/>
      <c r="D9808" s="5"/>
      <c r="E9808" s="5"/>
      <c r="F9808" s="5"/>
      <c r="G9808" s="5"/>
      <c r="H9808" s="5"/>
      <c r="I9808" s="5"/>
      <c r="J9808" s="5"/>
      <c r="K9808" s="5"/>
      <c r="L9808" s="5"/>
    </row>
    <row r="9809" spans="1:12" ht="12" customHeight="1" x14ac:dyDescent="0.25">
      <c r="A9809" s="6"/>
      <c r="B9809" s="1"/>
      <c r="C9809" s="5"/>
      <c r="D9809" s="5"/>
      <c r="E9809" s="5"/>
      <c r="F9809" s="5"/>
      <c r="G9809" s="5"/>
      <c r="H9809" s="5"/>
      <c r="I9809" s="5"/>
      <c r="J9809" s="5"/>
      <c r="K9809" s="5"/>
      <c r="L9809" s="5"/>
    </row>
    <row r="9810" spans="1:12" ht="12" customHeight="1" x14ac:dyDescent="0.25">
      <c r="A9810" s="6"/>
      <c r="B9810" s="1"/>
      <c r="C9810" s="5"/>
      <c r="D9810" s="5"/>
      <c r="E9810" s="5"/>
      <c r="F9810" s="5"/>
      <c r="G9810" s="5"/>
      <c r="H9810" s="5"/>
      <c r="I9810" s="5"/>
      <c r="J9810" s="5"/>
      <c r="K9810" s="5"/>
      <c r="L9810" s="5"/>
    </row>
    <row r="9811" spans="1:12" ht="12" customHeight="1" x14ac:dyDescent="0.25">
      <c r="A9811" s="6"/>
      <c r="B9811" s="1"/>
      <c r="C9811" s="5"/>
      <c r="D9811" s="5"/>
      <c r="E9811" s="5"/>
      <c r="F9811" s="5"/>
      <c r="G9811" s="5"/>
      <c r="H9811" s="5"/>
      <c r="I9811" s="5"/>
      <c r="J9811" s="5"/>
      <c r="K9811" s="5"/>
      <c r="L9811" s="5"/>
    </row>
    <row r="9812" spans="1:12" ht="12" customHeight="1" x14ac:dyDescent="0.25">
      <c r="A9812" s="6"/>
      <c r="B9812" s="1"/>
      <c r="C9812" s="5"/>
      <c r="D9812" s="5"/>
      <c r="E9812" s="5"/>
      <c r="F9812" s="5"/>
      <c r="G9812" s="5"/>
      <c r="H9812" s="5"/>
      <c r="I9812" s="5"/>
      <c r="J9812" s="5"/>
      <c r="K9812" s="5"/>
      <c r="L9812" s="5"/>
    </row>
    <row r="9813" spans="1:12" ht="12" customHeight="1" x14ac:dyDescent="0.25">
      <c r="A9813" s="6"/>
      <c r="B9813" s="1"/>
      <c r="C9813" s="5"/>
      <c r="D9813" s="5"/>
      <c r="E9813" s="5"/>
      <c r="F9813" s="5"/>
      <c r="G9813" s="5"/>
      <c r="H9813" s="5"/>
      <c r="I9813" s="5"/>
      <c r="J9813" s="5"/>
      <c r="K9813" s="5"/>
      <c r="L9813" s="5"/>
    </row>
    <row r="9814" spans="1:12" ht="12" customHeight="1" x14ac:dyDescent="0.25">
      <c r="A9814" s="6"/>
      <c r="B9814" s="1"/>
      <c r="C9814" s="5"/>
      <c r="D9814" s="5"/>
      <c r="E9814" s="5"/>
      <c r="F9814" s="5"/>
      <c r="G9814" s="5"/>
      <c r="H9814" s="5"/>
      <c r="I9814" s="5"/>
      <c r="J9814" s="5"/>
      <c r="K9814" s="5"/>
      <c r="L9814" s="5"/>
    </row>
    <row r="9815" spans="1:12" ht="12" customHeight="1" x14ac:dyDescent="0.25">
      <c r="A9815" s="6"/>
      <c r="B9815" s="1"/>
      <c r="C9815" s="5"/>
      <c r="D9815" s="5"/>
      <c r="E9815" s="5"/>
      <c r="F9815" s="5"/>
      <c r="G9815" s="5"/>
      <c r="H9815" s="5"/>
      <c r="I9815" s="5"/>
      <c r="J9815" s="5"/>
      <c r="K9815" s="5"/>
      <c r="L9815" s="5"/>
    </row>
    <row r="9816" spans="1:12" ht="12" customHeight="1" x14ac:dyDescent="0.25">
      <c r="A9816" s="6"/>
      <c r="B9816" s="1"/>
      <c r="C9816" s="5"/>
      <c r="D9816" s="5"/>
      <c r="E9816" s="5"/>
      <c r="F9816" s="5"/>
      <c r="G9816" s="5"/>
      <c r="H9816" s="5"/>
      <c r="I9816" s="5"/>
      <c r="J9816" s="5"/>
      <c r="K9816" s="5"/>
      <c r="L9816" s="5"/>
    </row>
    <row r="9817" spans="1:12" ht="12" customHeight="1" x14ac:dyDescent="0.25">
      <c r="A9817" s="6"/>
      <c r="B9817" s="1"/>
      <c r="C9817" s="5"/>
      <c r="D9817" s="5"/>
      <c r="E9817" s="5"/>
      <c r="F9817" s="5"/>
      <c r="G9817" s="5"/>
      <c r="H9817" s="5"/>
      <c r="I9817" s="5"/>
      <c r="J9817" s="5"/>
      <c r="K9817" s="5"/>
      <c r="L9817" s="5"/>
    </row>
    <row r="9818" spans="1:12" ht="12" customHeight="1" x14ac:dyDescent="0.25">
      <c r="A9818" s="6"/>
      <c r="B9818" s="1"/>
      <c r="C9818" s="5"/>
      <c r="D9818" s="5"/>
      <c r="E9818" s="5"/>
      <c r="F9818" s="5"/>
      <c r="G9818" s="5"/>
      <c r="H9818" s="5"/>
      <c r="I9818" s="5"/>
      <c r="J9818" s="5"/>
      <c r="K9818" s="5"/>
      <c r="L9818" s="5"/>
    </row>
    <row r="9819" spans="1:12" ht="12" customHeight="1" x14ac:dyDescent="0.25">
      <c r="A9819" s="6"/>
      <c r="B9819" s="1"/>
      <c r="C9819" s="5"/>
      <c r="D9819" s="5"/>
      <c r="E9819" s="5"/>
      <c r="F9819" s="5"/>
      <c r="G9819" s="5"/>
      <c r="H9819" s="5"/>
      <c r="I9819" s="5"/>
      <c r="J9819" s="5"/>
      <c r="K9819" s="5"/>
      <c r="L9819" s="5"/>
    </row>
    <row r="9820" spans="1:12" ht="12" customHeight="1" x14ac:dyDescent="0.25">
      <c r="A9820" s="6"/>
      <c r="B9820" s="1"/>
      <c r="C9820" s="5"/>
      <c r="D9820" s="5"/>
      <c r="E9820" s="5"/>
      <c r="F9820" s="5"/>
      <c r="G9820" s="5"/>
      <c r="H9820" s="5"/>
      <c r="I9820" s="5"/>
      <c r="J9820" s="5"/>
      <c r="K9820" s="5"/>
      <c r="L9820" s="5"/>
    </row>
    <row r="9821" spans="1:12" ht="12" customHeight="1" x14ac:dyDescent="0.25">
      <c r="A9821" s="6"/>
      <c r="B9821" s="1"/>
      <c r="C9821" s="5"/>
      <c r="D9821" s="5"/>
      <c r="E9821" s="5"/>
      <c r="F9821" s="5"/>
      <c r="G9821" s="5"/>
      <c r="H9821" s="5"/>
      <c r="I9821" s="5"/>
      <c r="J9821" s="5"/>
      <c r="K9821" s="5"/>
      <c r="L9821" s="5"/>
    </row>
    <row r="9822" spans="1:12" ht="12" customHeight="1" x14ac:dyDescent="0.25">
      <c r="A9822" s="6"/>
      <c r="B9822" s="1"/>
      <c r="C9822" s="5"/>
      <c r="D9822" s="5"/>
      <c r="E9822" s="5"/>
      <c r="F9822" s="5"/>
      <c r="G9822" s="5"/>
      <c r="H9822" s="5"/>
      <c r="I9822" s="5"/>
      <c r="J9822" s="5"/>
      <c r="K9822" s="5"/>
      <c r="L9822" s="5"/>
    </row>
    <row r="9823" spans="1:12" ht="12" customHeight="1" x14ac:dyDescent="0.25">
      <c r="A9823" s="6"/>
      <c r="B9823" s="1"/>
      <c r="C9823" s="5"/>
      <c r="D9823" s="5"/>
      <c r="E9823" s="5"/>
      <c r="F9823" s="5"/>
      <c r="G9823" s="5"/>
      <c r="H9823" s="5"/>
      <c r="I9823" s="5"/>
      <c r="J9823" s="5"/>
      <c r="K9823" s="5"/>
      <c r="L9823" s="5"/>
    </row>
    <row r="9824" spans="1:12" ht="12" customHeight="1" x14ac:dyDescent="0.25">
      <c r="A9824" s="6"/>
      <c r="B9824" s="1"/>
      <c r="C9824" s="5"/>
      <c r="D9824" s="5"/>
      <c r="E9824" s="5"/>
      <c r="F9824" s="5"/>
      <c r="G9824" s="5"/>
      <c r="H9824" s="5"/>
      <c r="I9824" s="5"/>
      <c r="J9824" s="5"/>
      <c r="K9824" s="5"/>
      <c r="L9824" s="5"/>
    </row>
    <row r="9825" spans="1:12" ht="12" customHeight="1" x14ac:dyDescent="0.25">
      <c r="A9825" s="6"/>
      <c r="B9825" s="1"/>
      <c r="C9825" s="5"/>
      <c r="D9825" s="5"/>
      <c r="E9825" s="5"/>
      <c r="F9825" s="5"/>
      <c r="G9825" s="5"/>
      <c r="H9825" s="5"/>
      <c r="I9825" s="5"/>
      <c r="J9825" s="5"/>
      <c r="K9825" s="5"/>
      <c r="L9825" s="5"/>
    </row>
    <row r="9826" spans="1:12" ht="12" customHeight="1" x14ac:dyDescent="0.25">
      <c r="A9826" s="6"/>
      <c r="B9826" s="1"/>
      <c r="C9826" s="5"/>
      <c r="D9826" s="5"/>
      <c r="E9826" s="5"/>
      <c r="F9826" s="5"/>
      <c r="G9826" s="5"/>
      <c r="H9826" s="5"/>
      <c r="I9826" s="5"/>
      <c r="J9826" s="5"/>
      <c r="K9826" s="5"/>
      <c r="L9826" s="5"/>
    </row>
    <row r="9827" spans="1:12" ht="12" customHeight="1" x14ac:dyDescent="0.25">
      <c r="A9827" s="6"/>
      <c r="B9827" s="1"/>
      <c r="C9827" s="5"/>
      <c r="D9827" s="5"/>
      <c r="E9827" s="5"/>
      <c r="F9827" s="5"/>
      <c r="G9827" s="5"/>
      <c r="H9827" s="5"/>
      <c r="I9827" s="5"/>
      <c r="J9827" s="5"/>
      <c r="K9827" s="5"/>
      <c r="L9827" s="5"/>
    </row>
    <row r="9828" spans="1:12" ht="12" customHeight="1" x14ac:dyDescent="0.25">
      <c r="A9828" s="6"/>
      <c r="B9828" s="1"/>
      <c r="C9828" s="5"/>
      <c r="D9828" s="5"/>
      <c r="E9828" s="5"/>
      <c r="F9828" s="5"/>
      <c r="G9828" s="5"/>
      <c r="H9828" s="5"/>
      <c r="I9828" s="5"/>
      <c r="J9828" s="5"/>
      <c r="K9828" s="5"/>
      <c r="L9828" s="5"/>
    </row>
    <row r="9829" spans="1:12" ht="12" customHeight="1" x14ac:dyDescent="0.25">
      <c r="A9829" s="6"/>
      <c r="B9829" s="1"/>
      <c r="C9829" s="5"/>
      <c r="D9829" s="5"/>
      <c r="E9829" s="5"/>
      <c r="F9829" s="5"/>
      <c r="G9829" s="5"/>
      <c r="H9829" s="5"/>
      <c r="I9829" s="5"/>
      <c r="J9829" s="5"/>
      <c r="K9829" s="5"/>
      <c r="L9829" s="5"/>
    </row>
    <row r="9830" spans="1:12" ht="12" customHeight="1" x14ac:dyDescent="0.25">
      <c r="A9830" s="6"/>
      <c r="B9830" s="1"/>
      <c r="C9830" s="5"/>
      <c r="D9830" s="5"/>
      <c r="E9830" s="5"/>
      <c r="F9830" s="5"/>
      <c r="G9830" s="5"/>
      <c r="H9830" s="5"/>
      <c r="I9830" s="5"/>
      <c r="J9830" s="5"/>
      <c r="K9830" s="5"/>
      <c r="L9830" s="5"/>
    </row>
    <row r="9831" spans="1:12" ht="12" customHeight="1" x14ac:dyDescent="0.25">
      <c r="A9831" s="6"/>
      <c r="B9831" s="1"/>
      <c r="C9831" s="5"/>
      <c r="D9831" s="5"/>
      <c r="E9831" s="5"/>
      <c r="F9831" s="5"/>
      <c r="G9831" s="5"/>
      <c r="H9831" s="5"/>
      <c r="I9831" s="5"/>
      <c r="J9831" s="5"/>
      <c r="K9831" s="5"/>
      <c r="L9831" s="5"/>
    </row>
    <row r="9832" spans="1:12" ht="12" customHeight="1" x14ac:dyDescent="0.25">
      <c r="A9832" s="6"/>
      <c r="B9832" s="1"/>
      <c r="C9832" s="5"/>
      <c r="D9832" s="5"/>
      <c r="E9832" s="5"/>
      <c r="F9832" s="5"/>
      <c r="G9832" s="5"/>
      <c r="H9832" s="5"/>
      <c r="I9832" s="5"/>
      <c r="J9832" s="5"/>
      <c r="K9832" s="5"/>
      <c r="L9832" s="5"/>
    </row>
    <row r="9833" spans="1:12" ht="12" customHeight="1" x14ac:dyDescent="0.25">
      <c r="A9833" s="6"/>
      <c r="B9833" s="1"/>
      <c r="C9833" s="5"/>
      <c r="D9833" s="5"/>
      <c r="E9833" s="5"/>
      <c r="F9833" s="5"/>
      <c r="G9833" s="5"/>
      <c r="H9833" s="5"/>
      <c r="I9833" s="5"/>
      <c r="J9833" s="5"/>
      <c r="K9833" s="5"/>
      <c r="L9833" s="5"/>
    </row>
    <row r="9834" spans="1:12" ht="12" customHeight="1" x14ac:dyDescent="0.25">
      <c r="A9834" s="6"/>
      <c r="B9834" s="1"/>
      <c r="C9834" s="5"/>
      <c r="D9834" s="5"/>
      <c r="E9834" s="5"/>
      <c r="F9834" s="5"/>
      <c r="G9834" s="5"/>
      <c r="H9834" s="5"/>
      <c r="I9834" s="5"/>
      <c r="J9834" s="5"/>
      <c r="K9834" s="5"/>
      <c r="L9834" s="5"/>
    </row>
    <row r="9835" spans="1:12" ht="12" customHeight="1" x14ac:dyDescent="0.25">
      <c r="A9835" s="6"/>
      <c r="B9835" s="1"/>
      <c r="C9835" s="5"/>
      <c r="D9835" s="5"/>
      <c r="E9835" s="5"/>
      <c r="F9835" s="5"/>
      <c r="G9835" s="5"/>
      <c r="H9835" s="5"/>
      <c r="I9835" s="5"/>
      <c r="J9835" s="5"/>
      <c r="K9835" s="5"/>
      <c r="L9835" s="5"/>
    </row>
    <row r="9836" spans="1:12" ht="12" customHeight="1" x14ac:dyDescent="0.25">
      <c r="A9836" s="6"/>
      <c r="B9836" s="1"/>
      <c r="C9836" s="5"/>
      <c r="D9836" s="5"/>
      <c r="E9836" s="5"/>
      <c r="F9836" s="5"/>
      <c r="G9836" s="5"/>
      <c r="H9836" s="5"/>
      <c r="I9836" s="5"/>
      <c r="J9836" s="5"/>
      <c r="K9836" s="5"/>
      <c r="L9836" s="5"/>
    </row>
    <row r="9837" spans="1:12" ht="12" customHeight="1" x14ac:dyDescent="0.25">
      <c r="A9837" s="6"/>
      <c r="B9837" s="1"/>
      <c r="C9837" s="5"/>
      <c r="D9837" s="5"/>
      <c r="E9837" s="5"/>
      <c r="F9837" s="5"/>
      <c r="G9837" s="5"/>
      <c r="H9837" s="5"/>
      <c r="I9837" s="5"/>
      <c r="J9837" s="5"/>
      <c r="K9837" s="5"/>
      <c r="L9837" s="5"/>
    </row>
    <row r="9838" spans="1:12" ht="12" customHeight="1" x14ac:dyDescent="0.25">
      <c r="A9838" s="6"/>
      <c r="B9838" s="1"/>
      <c r="C9838" s="5"/>
      <c r="D9838" s="5"/>
      <c r="E9838" s="5"/>
      <c r="F9838" s="5"/>
      <c r="G9838" s="5"/>
      <c r="H9838" s="5"/>
      <c r="I9838" s="5"/>
      <c r="J9838" s="5"/>
      <c r="K9838" s="5"/>
      <c r="L9838" s="5"/>
    </row>
    <row r="9839" spans="1:12" ht="12" customHeight="1" x14ac:dyDescent="0.25">
      <c r="A9839" s="6"/>
      <c r="B9839" s="1"/>
      <c r="C9839" s="5"/>
      <c r="D9839" s="5"/>
      <c r="E9839" s="5"/>
      <c r="F9839" s="5"/>
      <c r="G9839" s="5"/>
      <c r="H9839" s="5"/>
      <c r="I9839" s="5"/>
      <c r="J9839" s="5"/>
      <c r="K9839" s="5"/>
      <c r="L9839" s="5"/>
    </row>
    <row r="9840" spans="1:12" ht="12" customHeight="1" x14ac:dyDescent="0.25">
      <c r="A9840" s="6"/>
      <c r="B9840" s="1"/>
      <c r="C9840" s="5"/>
      <c r="D9840" s="5"/>
      <c r="E9840" s="5"/>
      <c r="F9840" s="5"/>
      <c r="G9840" s="5"/>
      <c r="H9840" s="5"/>
      <c r="I9840" s="5"/>
      <c r="J9840" s="5"/>
      <c r="K9840" s="5"/>
      <c r="L9840" s="5"/>
    </row>
    <row r="9841" spans="1:12" ht="12" customHeight="1" x14ac:dyDescent="0.25">
      <c r="A9841" s="6"/>
      <c r="B9841" s="1"/>
      <c r="C9841" s="5"/>
      <c r="D9841" s="5"/>
      <c r="E9841" s="5"/>
      <c r="F9841" s="5"/>
      <c r="G9841" s="5"/>
      <c r="H9841" s="5"/>
      <c r="I9841" s="5"/>
      <c r="J9841" s="5"/>
      <c r="K9841" s="5"/>
      <c r="L9841" s="5"/>
    </row>
    <row r="9842" spans="1:12" ht="12" customHeight="1" x14ac:dyDescent="0.25">
      <c r="A9842" s="6"/>
      <c r="B9842" s="1"/>
      <c r="C9842" s="5"/>
      <c r="D9842" s="5"/>
      <c r="E9842" s="5"/>
      <c r="F9842" s="5"/>
      <c r="G9842" s="5"/>
      <c r="H9842" s="5"/>
      <c r="I9842" s="5"/>
      <c r="J9842" s="5"/>
      <c r="K9842" s="5"/>
      <c r="L9842" s="5"/>
    </row>
    <row r="9843" spans="1:12" ht="12" customHeight="1" x14ac:dyDescent="0.25">
      <c r="A9843" s="6"/>
      <c r="B9843" s="1"/>
      <c r="C9843" s="5"/>
      <c r="D9843" s="5"/>
      <c r="E9843" s="5"/>
      <c r="F9843" s="5"/>
      <c r="G9843" s="5"/>
      <c r="H9843" s="5"/>
      <c r="I9843" s="5"/>
      <c r="J9843" s="5"/>
      <c r="K9843" s="5"/>
      <c r="L9843" s="5"/>
    </row>
    <row r="9844" spans="1:12" ht="12" customHeight="1" x14ac:dyDescent="0.25">
      <c r="A9844" s="6"/>
      <c r="B9844" s="1"/>
      <c r="C9844" s="5"/>
      <c r="D9844" s="5"/>
      <c r="E9844" s="5"/>
      <c r="F9844" s="5"/>
      <c r="G9844" s="5"/>
      <c r="H9844" s="5"/>
      <c r="I9844" s="5"/>
      <c r="J9844" s="5"/>
      <c r="K9844" s="5"/>
      <c r="L9844" s="5"/>
    </row>
    <row r="9845" spans="1:12" ht="12" customHeight="1" x14ac:dyDescent="0.25">
      <c r="A9845" s="6"/>
      <c r="B9845" s="1"/>
      <c r="C9845" s="5"/>
      <c r="D9845" s="5"/>
      <c r="E9845" s="5"/>
      <c r="F9845" s="5"/>
      <c r="G9845" s="5"/>
      <c r="H9845" s="5"/>
      <c r="I9845" s="5"/>
      <c r="J9845" s="5"/>
      <c r="K9845" s="5"/>
      <c r="L9845" s="5"/>
    </row>
    <row r="9846" spans="1:12" ht="12" customHeight="1" x14ac:dyDescent="0.25">
      <c r="A9846" s="6"/>
      <c r="B9846" s="1"/>
      <c r="C9846" s="5"/>
      <c r="D9846" s="5"/>
      <c r="E9846" s="5"/>
      <c r="F9846" s="5"/>
      <c r="G9846" s="5"/>
      <c r="H9846" s="5"/>
      <c r="I9846" s="5"/>
      <c r="J9846" s="5"/>
      <c r="K9846" s="5"/>
      <c r="L9846" s="5"/>
    </row>
    <row r="9847" spans="1:12" ht="12" customHeight="1" x14ac:dyDescent="0.25">
      <c r="A9847" s="6"/>
      <c r="B9847" s="1"/>
      <c r="C9847" s="5"/>
      <c r="D9847" s="5"/>
      <c r="E9847" s="5"/>
      <c r="F9847" s="5"/>
      <c r="G9847" s="5"/>
      <c r="H9847" s="5"/>
      <c r="I9847" s="5"/>
      <c r="J9847" s="5"/>
      <c r="K9847" s="5"/>
      <c r="L9847" s="5"/>
    </row>
    <row r="9848" spans="1:12" ht="12" customHeight="1" x14ac:dyDescent="0.25">
      <c r="A9848" s="6"/>
      <c r="B9848" s="1"/>
      <c r="C9848" s="5"/>
      <c r="D9848" s="5"/>
      <c r="E9848" s="5"/>
      <c r="F9848" s="5"/>
      <c r="G9848" s="5"/>
      <c r="H9848" s="5"/>
      <c r="I9848" s="5"/>
      <c r="J9848" s="5"/>
      <c r="K9848" s="5"/>
      <c r="L9848" s="5"/>
    </row>
    <row r="9849" spans="1:12" ht="12" customHeight="1" x14ac:dyDescent="0.25">
      <c r="A9849" s="6"/>
      <c r="B9849" s="1"/>
      <c r="C9849" s="5"/>
      <c r="D9849" s="5"/>
      <c r="E9849" s="5"/>
      <c r="F9849" s="5"/>
      <c r="G9849" s="5"/>
      <c r="H9849" s="5"/>
      <c r="I9849" s="5"/>
      <c r="J9849" s="5"/>
      <c r="K9849" s="5"/>
      <c r="L9849" s="5"/>
    </row>
    <row r="9850" spans="1:12" ht="12" customHeight="1" x14ac:dyDescent="0.25">
      <c r="A9850" s="6"/>
      <c r="B9850" s="1"/>
      <c r="C9850" s="5"/>
      <c r="D9850" s="5"/>
      <c r="E9850" s="5"/>
      <c r="F9850" s="5"/>
      <c r="G9850" s="5"/>
      <c r="H9850" s="5"/>
      <c r="I9850" s="5"/>
      <c r="J9850" s="5"/>
      <c r="K9850" s="5"/>
      <c r="L9850" s="5"/>
    </row>
    <row r="9851" spans="1:12" ht="12" customHeight="1" x14ac:dyDescent="0.25">
      <c r="A9851" s="6"/>
      <c r="B9851" s="1"/>
      <c r="C9851" s="5"/>
      <c r="D9851" s="5"/>
      <c r="E9851" s="5"/>
      <c r="F9851" s="5"/>
      <c r="G9851" s="5"/>
      <c r="H9851" s="5"/>
      <c r="I9851" s="5"/>
      <c r="J9851" s="5"/>
      <c r="K9851" s="5"/>
      <c r="L9851" s="5"/>
    </row>
    <row r="9852" spans="1:12" ht="12" customHeight="1" x14ac:dyDescent="0.25">
      <c r="A9852" s="6"/>
      <c r="B9852" s="1"/>
      <c r="C9852" s="5"/>
      <c r="D9852" s="5"/>
      <c r="E9852" s="5"/>
      <c r="F9852" s="5"/>
      <c r="G9852" s="5"/>
      <c r="H9852" s="5"/>
      <c r="I9852" s="5"/>
      <c r="J9852" s="5"/>
      <c r="K9852" s="5"/>
      <c r="L9852" s="5"/>
    </row>
    <row r="9853" spans="1:12" ht="12" customHeight="1" x14ac:dyDescent="0.25">
      <c r="A9853" s="6"/>
      <c r="B9853" s="1"/>
      <c r="C9853" s="5"/>
      <c r="D9853" s="5"/>
      <c r="E9853" s="5"/>
      <c r="F9853" s="5"/>
      <c r="G9853" s="5"/>
      <c r="H9853" s="5"/>
      <c r="I9853" s="5"/>
      <c r="J9853" s="5"/>
      <c r="K9853" s="5"/>
      <c r="L9853" s="5"/>
    </row>
    <row r="9854" spans="1:12" ht="12" customHeight="1" x14ac:dyDescent="0.25">
      <c r="A9854" s="6"/>
      <c r="B9854" s="1"/>
      <c r="C9854" s="5"/>
      <c r="D9854" s="5"/>
      <c r="E9854" s="5"/>
      <c r="F9854" s="5"/>
      <c r="G9854" s="5"/>
      <c r="H9854" s="5"/>
      <c r="I9854" s="5"/>
      <c r="J9854" s="5"/>
      <c r="K9854" s="5"/>
      <c r="L9854" s="5"/>
    </row>
    <row r="9855" spans="1:12" ht="12" customHeight="1" x14ac:dyDescent="0.25">
      <c r="A9855" s="6"/>
      <c r="B9855" s="1"/>
      <c r="C9855" s="5"/>
      <c r="D9855" s="5"/>
      <c r="E9855" s="5"/>
      <c r="F9855" s="5"/>
      <c r="G9855" s="5"/>
      <c r="H9855" s="5"/>
      <c r="I9855" s="5"/>
      <c r="J9855" s="5"/>
      <c r="K9855" s="5"/>
      <c r="L9855" s="5"/>
    </row>
    <row r="9856" spans="1:12" ht="12" customHeight="1" x14ac:dyDescent="0.25">
      <c r="A9856" s="6"/>
      <c r="B9856" s="1"/>
      <c r="C9856" s="5"/>
      <c r="D9856" s="5"/>
      <c r="E9856" s="5"/>
      <c r="F9856" s="5"/>
      <c r="G9856" s="5"/>
      <c r="H9856" s="5"/>
      <c r="I9856" s="5"/>
      <c r="J9856" s="5"/>
      <c r="K9856" s="5"/>
      <c r="L9856" s="5"/>
    </row>
    <row r="9857" spans="1:12" ht="12" customHeight="1" x14ac:dyDescent="0.25">
      <c r="A9857" s="6"/>
      <c r="B9857" s="1"/>
      <c r="C9857" s="5"/>
      <c r="D9857" s="5"/>
      <c r="E9857" s="5"/>
      <c r="F9857" s="5"/>
      <c r="G9857" s="5"/>
      <c r="H9857" s="5"/>
      <c r="I9857" s="5"/>
      <c r="J9857" s="5"/>
      <c r="K9857" s="5"/>
      <c r="L9857" s="5"/>
    </row>
    <row r="9858" spans="1:12" ht="12" customHeight="1" x14ac:dyDescent="0.25">
      <c r="A9858" s="6"/>
      <c r="B9858" s="1"/>
      <c r="C9858" s="5"/>
      <c r="D9858" s="5"/>
      <c r="E9858" s="5"/>
      <c r="F9858" s="5"/>
      <c r="G9858" s="5"/>
      <c r="H9858" s="5"/>
      <c r="I9858" s="5"/>
      <c r="J9858" s="5"/>
      <c r="K9858" s="5"/>
      <c r="L9858" s="5"/>
    </row>
    <row r="9859" spans="1:12" ht="12" customHeight="1" x14ac:dyDescent="0.25">
      <c r="A9859" s="6"/>
      <c r="B9859" s="1"/>
      <c r="C9859" s="5"/>
      <c r="D9859" s="5"/>
      <c r="E9859" s="5"/>
      <c r="F9859" s="5"/>
      <c r="G9859" s="5"/>
      <c r="H9859" s="5"/>
      <c r="I9859" s="5"/>
      <c r="J9859" s="5"/>
      <c r="K9859" s="5"/>
      <c r="L9859" s="5"/>
    </row>
    <row r="9860" spans="1:12" ht="12" customHeight="1" x14ac:dyDescent="0.25">
      <c r="A9860" s="6"/>
      <c r="B9860" s="1"/>
      <c r="C9860" s="5"/>
      <c r="D9860" s="5"/>
      <c r="E9860" s="5"/>
      <c r="F9860" s="5"/>
      <c r="G9860" s="5"/>
      <c r="H9860" s="5"/>
      <c r="I9860" s="5"/>
      <c r="J9860" s="5"/>
      <c r="K9860" s="5"/>
      <c r="L9860" s="5"/>
    </row>
    <row r="9861" spans="1:12" ht="12" customHeight="1" x14ac:dyDescent="0.25">
      <c r="A9861" s="6"/>
      <c r="B9861" s="1"/>
      <c r="C9861" s="5"/>
      <c r="D9861" s="5"/>
      <c r="E9861" s="5"/>
      <c r="F9861" s="5"/>
      <c r="G9861" s="5"/>
      <c r="H9861" s="5"/>
      <c r="I9861" s="5"/>
      <c r="J9861" s="5"/>
      <c r="K9861" s="5"/>
      <c r="L9861" s="5"/>
    </row>
    <row r="9862" spans="1:12" ht="12" customHeight="1" x14ac:dyDescent="0.25">
      <c r="A9862" s="6"/>
      <c r="B9862" s="1"/>
      <c r="C9862" s="5"/>
      <c r="D9862" s="5"/>
      <c r="E9862" s="5"/>
      <c r="F9862" s="5"/>
      <c r="G9862" s="5"/>
      <c r="H9862" s="5"/>
      <c r="I9862" s="5"/>
      <c r="J9862" s="5"/>
      <c r="K9862" s="5"/>
      <c r="L9862" s="5"/>
    </row>
    <row r="9863" spans="1:12" ht="12" customHeight="1" x14ac:dyDescent="0.25">
      <c r="A9863" s="6"/>
      <c r="B9863" s="1"/>
      <c r="C9863" s="5"/>
      <c r="D9863" s="5"/>
      <c r="E9863" s="5"/>
      <c r="F9863" s="5"/>
      <c r="G9863" s="5"/>
      <c r="H9863" s="5"/>
      <c r="I9863" s="5"/>
      <c r="J9863" s="5"/>
      <c r="K9863" s="5"/>
      <c r="L9863" s="5"/>
    </row>
    <row r="9864" spans="1:12" ht="12" customHeight="1" x14ac:dyDescent="0.25">
      <c r="A9864" s="6"/>
      <c r="B9864" s="1"/>
      <c r="C9864" s="5"/>
      <c r="D9864" s="5"/>
      <c r="E9864" s="5"/>
      <c r="F9864" s="5"/>
      <c r="G9864" s="5"/>
      <c r="H9864" s="5"/>
      <c r="I9864" s="5"/>
      <c r="J9864" s="5"/>
      <c r="K9864" s="5"/>
      <c r="L9864" s="5"/>
    </row>
    <row r="9865" spans="1:12" ht="12" customHeight="1" x14ac:dyDescent="0.25">
      <c r="A9865" s="6"/>
      <c r="B9865" s="1"/>
      <c r="C9865" s="5"/>
      <c r="D9865" s="5"/>
      <c r="E9865" s="5"/>
      <c r="F9865" s="5"/>
      <c r="G9865" s="5"/>
      <c r="H9865" s="5"/>
      <c r="I9865" s="5"/>
      <c r="J9865" s="5"/>
      <c r="K9865" s="5"/>
      <c r="L9865" s="5"/>
    </row>
    <row r="9866" spans="1:12" ht="12" customHeight="1" x14ac:dyDescent="0.25">
      <c r="A9866" s="6"/>
      <c r="B9866" s="1"/>
      <c r="C9866" s="5"/>
      <c r="D9866" s="5"/>
      <c r="E9866" s="5"/>
      <c r="F9866" s="5"/>
      <c r="G9866" s="5"/>
      <c r="H9866" s="5"/>
      <c r="I9866" s="5"/>
      <c r="J9866" s="5"/>
      <c r="K9866" s="5"/>
      <c r="L9866" s="5"/>
    </row>
    <row r="9867" spans="1:12" ht="12" customHeight="1" x14ac:dyDescent="0.25">
      <c r="A9867" s="6"/>
      <c r="B9867" s="1"/>
      <c r="C9867" s="5"/>
      <c r="D9867" s="5"/>
      <c r="E9867" s="5"/>
      <c r="F9867" s="5"/>
      <c r="G9867" s="5"/>
      <c r="H9867" s="5"/>
      <c r="I9867" s="5"/>
      <c r="J9867" s="5"/>
      <c r="K9867" s="5"/>
      <c r="L9867" s="5"/>
    </row>
    <row r="9868" spans="1:12" ht="12" customHeight="1" x14ac:dyDescent="0.25">
      <c r="A9868" s="6"/>
      <c r="B9868" s="1"/>
      <c r="C9868" s="5"/>
      <c r="D9868" s="5"/>
      <c r="E9868" s="5"/>
      <c r="F9868" s="5"/>
      <c r="G9868" s="5"/>
      <c r="H9868" s="5"/>
      <c r="I9868" s="5"/>
      <c r="J9868" s="5"/>
      <c r="K9868" s="5"/>
      <c r="L9868" s="5"/>
    </row>
    <row r="9869" spans="1:12" ht="12" customHeight="1" x14ac:dyDescent="0.25">
      <c r="A9869" s="6"/>
      <c r="B9869" s="1"/>
      <c r="C9869" s="5"/>
      <c r="D9869" s="5"/>
      <c r="E9869" s="5"/>
      <c r="F9869" s="5"/>
      <c r="G9869" s="5"/>
      <c r="H9869" s="5"/>
      <c r="I9869" s="5"/>
      <c r="J9869" s="5"/>
      <c r="K9869" s="5"/>
      <c r="L9869" s="5"/>
    </row>
    <row r="9870" spans="1:12" ht="12" customHeight="1" x14ac:dyDescent="0.25">
      <c r="A9870" s="6"/>
      <c r="B9870" s="1"/>
      <c r="C9870" s="5"/>
      <c r="D9870" s="5"/>
      <c r="E9870" s="5"/>
      <c r="F9870" s="5"/>
      <c r="G9870" s="5"/>
      <c r="H9870" s="5"/>
      <c r="I9870" s="5"/>
      <c r="J9870" s="5"/>
      <c r="K9870" s="5"/>
      <c r="L9870" s="5"/>
    </row>
    <row r="9871" spans="1:12" ht="12" customHeight="1" x14ac:dyDescent="0.25">
      <c r="A9871" s="6"/>
      <c r="B9871" s="1"/>
      <c r="C9871" s="5"/>
      <c r="D9871" s="5"/>
      <c r="E9871" s="5"/>
      <c r="F9871" s="5"/>
      <c r="G9871" s="5"/>
      <c r="H9871" s="5"/>
      <c r="I9871" s="5"/>
      <c r="J9871" s="5"/>
      <c r="K9871" s="5"/>
      <c r="L9871" s="5"/>
    </row>
    <row r="9872" spans="1:12" ht="12" customHeight="1" x14ac:dyDescent="0.25">
      <c r="A9872" s="6"/>
      <c r="B9872" s="1"/>
      <c r="C9872" s="5"/>
      <c r="D9872" s="5"/>
      <c r="E9872" s="5"/>
      <c r="F9872" s="5"/>
      <c r="G9872" s="5"/>
      <c r="H9872" s="5"/>
      <c r="I9872" s="5"/>
      <c r="J9872" s="5"/>
      <c r="K9872" s="5"/>
      <c r="L9872" s="5"/>
    </row>
    <row r="9873" spans="1:12" ht="12" customHeight="1" x14ac:dyDescent="0.25">
      <c r="A9873" s="6"/>
      <c r="B9873" s="1"/>
      <c r="C9873" s="5"/>
      <c r="D9873" s="5"/>
      <c r="E9873" s="5"/>
      <c r="F9873" s="5"/>
      <c r="G9873" s="5"/>
      <c r="H9873" s="5"/>
      <c r="I9873" s="5"/>
      <c r="J9873" s="5"/>
      <c r="K9873" s="5"/>
      <c r="L9873" s="5"/>
    </row>
    <row r="9874" spans="1:12" ht="12" customHeight="1" x14ac:dyDescent="0.25">
      <c r="A9874" s="6"/>
      <c r="B9874" s="1"/>
      <c r="C9874" s="5"/>
      <c r="D9874" s="5"/>
      <c r="E9874" s="5"/>
      <c r="F9874" s="5"/>
      <c r="G9874" s="5"/>
      <c r="H9874" s="5"/>
      <c r="I9874" s="5"/>
      <c r="J9874" s="5"/>
      <c r="K9874" s="5"/>
      <c r="L9874" s="5"/>
    </row>
    <row r="9875" spans="1:12" ht="12" customHeight="1" x14ac:dyDescent="0.25">
      <c r="A9875" s="6"/>
      <c r="B9875" s="1"/>
      <c r="C9875" s="5"/>
      <c r="D9875" s="5"/>
      <c r="E9875" s="5"/>
      <c r="F9875" s="5"/>
      <c r="G9875" s="5"/>
      <c r="H9875" s="5"/>
      <c r="I9875" s="5"/>
      <c r="J9875" s="5"/>
      <c r="K9875" s="5"/>
      <c r="L9875" s="5"/>
    </row>
    <row r="9876" spans="1:12" ht="12" customHeight="1" x14ac:dyDescent="0.25">
      <c r="A9876" s="6"/>
      <c r="B9876" s="1"/>
      <c r="C9876" s="5"/>
      <c r="D9876" s="5"/>
      <c r="E9876" s="5"/>
      <c r="F9876" s="5"/>
      <c r="G9876" s="5"/>
      <c r="H9876" s="5"/>
      <c r="I9876" s="5"/>
      <c r="J9876" s="5"/>
      <c r="K9876" s="5"/>
      <c r="L9876" s="5"/>
    </row>
    <row r="9877" spans="1:12" ht="12" customHeight="1" x14ac:dyDescent="0.25">
      <c r="A9877" s="6"/>
      <c r="B9877" s="1"/>
      <c r="C9877" s="5"/>
      <c r="D9877" s="5"/>
      <c r="E9877" s="5"/>
      <c r="F9877" s="5"/>
      <c r="G9877" s="5"/>
      <c r="H9877" s="5"/>
      <c r="I9877" s="5"/>
      <c r="J9877" s="5"/>
      <c r="K9877" s="5"/>
      <c r="L9877" s="5"/>
    </row>
    <row r="9878" spans="1:12" ht="12" customHeight="1" x14ac:dyDescent="0.25">
      <c r="A9878" s="6"/>
      <c r="B9878" s="1"/>
      <c r="C9878" s="5"/>
      <c r="D9878" s="5"/>
      <c r="E9878" s="5"/>
      <c r="F9878" s="5"/>
      <c r="G9878" s="5"/>
      <c r="H9878" s="5"/>
      <c r="I9878" s="5"/>
      <c r="J9878" s="5"/>
      <c r="K9878" s="5"/>
      <c r="L9878" s="5"/>
    </row>
    <row r="9879" spans="1:12" ht="12" customHeight="1" x14ac:dyDescent="0.25">
      <c r="A9879" s="6"/>
      <c r="B9879" s="1"/>
      <c r="C9879" s="5"/>
      <c r="D9879" s="5"/>
      <c r="E9879" s="5"/>
      <c r="F9879" s="5"/>
      <c r="G9879" s="5"/>
      <c r="H9879" s="5"/>
      <c r="I9879" s="5"/>
      <c r="J9879" s="5"/>
      <c r="K9879" s="5"/>
      <c r="L9879" s="5"/>
    </row>
    <row r="9880" spans="1:12" ht="12" customHeight="1" x14ac:dyDescent="0.25">
      <c r="A9880" s="6"/>
      <c r="B9880" s="1"/>
      <c r="C9880" s="5"/>
      <c r="D9880" s="5"/>
      <c r="E9880" s="5"/>
      <c r="F9880" s="5"/>
      <c r="G9880" s="5"/>
      <c r="H9880" s="5"/>
      <c r="I9880" s="5"/>
      <c r="J9880" s="5"/>
      <c r="K9880" s="5"/>
      <c r="L9880" s="5"/>
    </row>
    <row r="9881" spans="1:12" ht="12" customHeight="1" x14ac:dyDescent="0.25">
      <c r="A9881" s="6"/>
      <c r="B9881" s="1"/>
      <c r="C9881" s="5"/>
      <c r="D9881" s="5"/>
      <c r="E9881" s="5"/>
      <c r="F9881" s="5"/>
      <c r="G9881" s="5"/>
      <c r="H9881" s="5"/>
      <c r="I9881" s="5"/>
      <c r="J9881" s="5"/>
      <c r="K9881" s="5"/>
      <c r="L9881" s="5"/>
    </row>
    <row r="9882" spans="1:12" ht="12" customHeight="1" x14ac:dyDescent="0.25">
      <c r="A9882" s="6"/>
      <c r="B9882" s="1"/>
      <c r="C9882" s="5"/>
      <c r="D9882" s="5"/>
      <c r="E9882" s="5"/>
      <c r="F9882" s="5"/>
      <c r="G9882" s="5"/>
      <c r="H9882" s="5"/>
      <c r="I9882" s="5"/>
      <c r="J9882" s="5"/>
      <c r="K9882" s="5"/>
      <c r="L9882" s="5"/>
    </row>
    <row r="9883" spans="1:12" ht="12" customHeight="1" x14ac:dyDescent="0.25">
      <c r="A9883" s="6"/>
      <c r="B9883" s="1"/>
      <c r="C9883" s="5"/>
      <c r="D9883" s="5"/>
      <c r="E9883" s="5"/>
      <c r="F9883" s="5"/>
      <c r="G9883" s="5"/>
      <c r="H9883" s="5"/>
      <c r="I9883" s="5"/>
      <c r="J9883" s="5"/>
      <c r="K9883" s="5"/>
      <c r="L9883" s="5"/>
    </row>
    <row r="9884" spans="1:12" ht="12" customHeight="1" x14ac:dyDescent="0.25">
      <c r="A9884" s="6"/>
      <c r="B9884" s="1"/>
      <c r="C9884" s="5"/>
      <c r="D9884" s="5"/>
      <c r="E9884" s="5"/>
      <c r="F9884" s="5"/>
      <c r="G9884" s="5"/>
      <c r="H9884" s="5"/>
      <c r="I9884" s="5"/>
      <c r="J9884" s="5"/>
      <c r="K9884" s="5"/>
      <c r="L9884" s="5"/>
    </row>
    <row r="9885" spans="1:12" ht="12" customHeight="1" x14ac:dyDescent="0.25">
      <c r="A9885" s="6"/>
      <c r="B9885" s="1"/>
      <c r="C9885" s="5"/>
      <c r="D9885" s="5"/>
      <c r="E9885" s="5"/>
      <c r="F9885" s="5"/>
      <c r="G9885" s="5"/>
      <c r="H9885" s="5"/>
      <c r="I9885" s="5"/>
      <c r="J9885" s="5"/>
      <c r="K9885" s="5"/>
      <c r="L9885" s="5"/>
    </row>
    <row r="9886" spans="1:12" ht="12" customHeight="1" x14ac:dyDescent="0.25">
      <c r="A9886" s="6"/>
      <c r="B9886" s="1"/>
      <c r="C9886" s="5"/>
      <c r="D9886" s="5"/>
      <c r="E9886" s="5"/>
      <c r="F9886" s="5"/>
      <c r="G9886" s="5"/>
      <c r="H9886" s="5"/>
      <c r="I9886" s="5"/>
      <c r="J9886" s="5"/>
      <c r="K9886" s="5"/>
      <c r="L9886" s="5"/>
    </row>
    <row r="9887" spans="1:12" ht="12" customHeight="1" x14ac:dyDescent="0.25">
      <c r="A9887" s="6"/>
      <c r="B9887" s="1"/>
      <c r="C9887" s="5"/>
      <c r="D9887" s="5"/>
      <c r="E9887" s="5"/>
      <c r="F9887" s="5"/>
      <c r="G9887" s="5"/>
      <c r="H9887" s="5"/>
      <c r="I9887" s="5"/>
      <c r="J9887" s="5"/>
      <c r="K9887" s="5"/>
      <c r="L9887" s="5"/>
    </row>
    <row r="9888" spans="1:12" ht="12" customHeight="1" x14ac:dyDescent="0.25">
      <c r="A9888" s="6"/>
      <c r="B9888" s="1"/>
      <c r="C9888" s="5"/>
      <c r="D9888" s="5"/>
      <c r="E9888" s="5"/>
      <c r="F9888" s="5"/>
      <c r="G9888" s="5"/>
      <c r="H9888" s="5"/>
      <c r="I9888" s="5"/>
      <c r="J9888" s="5"/>
      <c r="K9888" s="5"/>
      <c r="L9888" s="5"/>
    </row>
    <row r="9889" spans="1:12" ht="12" customHeight="1" x14ac:dyDescent="0.25">
      <c r="A9889" s="6"/>
      <c r="B9889" s="1"/>
      <c r="C9889" s="5"/>
      <c r="D9889" s="5"/>
      <c r="E9889" s="5"/>
      <c r="F9889" s="5"/>
      <c r="G9889" s="5"/>
      <c r="H9889" s="5"/>
      <c r="I9889" s="5"/>
      <c r="J9889" s="5"/>
      <c r="K9889" s="5"/>
      <c r="L9889" s="5"/>
    </row>
    <row r="9890" spans="1:12" ht="12" customHeight="1" x14ac:dyDescent="0.25">
      <c r="A9890" s="6"/>
      <c r="B9890" s="1"/>
      <c r="C9890" s="5"/>
      <c r="D9890" s="5"/>
      <c r="E9890" s="5"/>
      <c r="F9890" s="5"/>
      <c r="G9890" s="5"/>
      <c r="H9890" s="5"/>
      <c r="I9890" s="5"/>
      <c r="J9890" s="5"/>
      <c r="K9890" s="5"/>
      <c r="L9890" s="5"/>
    </row>
    <row r="9891" spans="1:12" ht="12" customHeight="1" x14ac:dyDescent="0.25">
      <c r="A9891" s="6"/>
      <c r="B9891" s="1"/>
      <c r="C9891" s="5"/>
      <c r="D9891" s="5"/>
      <c r="E9891" s="5"/>
      <c r="F9891" s="5"/>
      <c r="G9891" s="5"/>
      <c r="H9891" s="5"/>
      <c r="I9891" s="5"/>
      <c r="J9891" s="5"/>
      <c r="K9891" s="5"/>
      <c r="L9891" s="5"/>
    </row>
    <row r="9892" spans="1:12" ht="12" customHeight="1" x14ac:dyDescent="0.25">
      <c r="A9892" s="6"/>
      <c r="B9892" s="1"/>
      <c r="C9892" s="5"/>
      <c r="D9892" s="5"/>
      <c r="E9892" s="5"/>
      <c r="F9892" s="5"/>
      <c r="G9892" s="5"/>
      <c r="H9892" s="5"/>
      <c r="I9892" s="5"/>
      <c r="J9892" s="5"/>
      <c r="K9892" s="5"/>
      <c r="L9892" s="5"/>
    </row>
    <row r="9893" spans="1:12" ht="12" customHeight="1" x14ac:dyDescent="0.25">
      <c r="A9893" s="6"/>
      <c r="B9893" s="1"/>
      <c r="C9893" s="5"/>
      <c r="D9893" s="5"/>
      <c r="E9893" s="5"/>
      <c r="F9893" s="5"/>
      <c r="G9893" s="5"/>
      <c r="H9893" s="5"/>
      <c r="I9893" s="5"/>
      <c r="J9893" s="5"/>
      <c r="K9893" s="5"/>
      <c r="L9893" s="5"/>
    </row>
    <row r="9894" spans="1:12" ht="12" customHeight="1" x14ac:dyDescent="0.25">
      <c r="A9894" s="6"/>
      <c r="B9894" s="1"/>
      <c r="C9894" s="5"/>
      <c r="D9894" s="5"/>
      <c r="E9894" s="5"/>
      <c r="F9894" s="5"/>
      <c r="G9894" s="5"/>
      <c r="H9894" s="5"/>
      <c r="I9894" s="5"/>
      <c r="J9894" s="5"/>
      <c r="K9894" s="5"/>
      <c r="L9894" s="5"/>
    </row>
    <row r="9895" spans="1:12" ht="12" customHeight="1" x14ac:dyDescent="0.25">
      <c r="A9895" s="6"/>
      <c r="B9895" s="1"/>
      <c r="C9895" s="5"/>
      <c r="D9895" s="5"/>
      <c r="E9895" s="5"/>
      <c r="F9895" s="5"/>
      <c r="G9895" s="5"/>
      <c r="H9895" s="5"/>
      <c r="I9895" s="5"/>
      <c r="J9895" s="5"/>
      <c r="K9895" s="5"/>
      <c r="L9895" s="5"/>
    </row>
    <row r="9896" spans="1:12" ht="12" customHeight="1" x14ac:dyDescent="0.25">
      <c r="A9896" s="6"/>
      <c r="B9896" s="1"/>
      <c r="C9896" s="5"/>
      <c r="D9896" s="5"/>
      <c r="E9896" s="5"/>
      <c r="F9896" s="5"/>
      <c r="G9896" s="5"/>
      <c r="H9896" s="5"/>
      <c r="I9896" s="5"/>
      <c r="J9896" s="5"/>
      <c r="K9896" s="5"/>
      <c r="L9896" s="5"/>
    </row>
    <row r="9897" spans="1:12" ht="12" customHeight="1" x14ac:dyDescent="0.25">
      <c r="A9897" s="6"/>
      <c r="B9897" s="1"/>
      <c r="C9897" s="5"/>
      <c r="D9897" s="5"/>
      <c r="E9897" s="5"/>
      <c r="F9897" s="5"/>
      <c r="G9897" s="5"/>
      <c r="H9897" s="5"/>
      <c r="I9897" s="5"/>
      <c r="J9897" s="5"/>
      <c r="K9897" s="5"/>
      <c r="L9897" s="5"/>
    </row>
    <row r="9898" spans="1:12" ht="12" customHeight="1" x14ac:dyDescent="0.25">
      <c r="A9898" s="6"/>
      <c r="B9898" s="1"/>
      <c r="C9898" s="5"/>
      <c r="D9898" s="5"/>
      <c r="E9898" s="5"/>
      <c r="F9898" s="5"/>
      <c r="G9898" s="5"/>
      <c r="H9898" s="5"/>
      <c r="I9898" s="5"/>
      <c r="J9898" s="5"/>
      <c r="K9898" s="5"/>
      <c r="L9898" s="5"/>
    </row>
    <row r="9899" spans="1:12" ht="12" customHeight="1" x14ac:dyDescent="0.25">
      <c r="A9899" s="6"/>
      <c r="B9899" s="1"/>
      <c r="C9899" s="5"/>
      <c r="D9899" s="5"/>
      <c r="E9899" s="5"/>
      <c r="F9899" s="5"/>
      <c r="G9899" s="5"/>
      <c r="H9899" s="5"/>
      <c r="I9899" s="5"/>
      <c r="J9899" s="5"/>
      <c r="K9899" s="5"/>
      <c r="L9899" s="5"/>
    </row>
    <row r="9900" spans="1:12" ht="12" customHeight="1" x14ac:dyDescent="0.25">
      <c r="A9900" s="6"/>
      <c r="B9900" s="1"/>
      <c r="C9900" s="5"/>
      <c r="D9900" s="5"/>
      <c r="E9900" s="5"/>
      <c r="F9900" s="5"/>
      <c r="G9900" s="5"/>
      <c r="H9900" s="5"/>
      <c r="I9900" s="5"/>
      <c r="J9900" s="5"/>
      <c r="K9900" s="5"/>
      <c r="L9900" s="5"/>
    </row>
    <row r="9901" spans="1:12" ht="12" customHeight="1" x14ac:dyDescent="0.25">
      <c r="A9901" s="6"/>
      <c r="B9901" s="1"/>
      <c r="C9901" s="5"/>
      <c r="D9901" s="5"/>
      <c r="E9901" s="5"/>
      <c r="F9901" s="5"/>
      <c r="G9901" s="5"/>
      <c r="H9901" s="5"/>
      <c r="I9901" s="5"/>
      <c r="J9901" s="5"/>
      <c r="K9901" s="5"/>
      <c r="L9901" s="5"/>
    </row>
    <row r="9902" spans="1:12" ht="12" customHeight="1" x14ac:dyDescent="0.25">
      <c r="A9902" s="6"/>
      <c r="B9902" s="1"/>
      <c r="C9902" s="5"/>
      <c r="D9902" s="5"/>
      <c r="E9902" s="5"/>
      <c r="F9902" s="5"/>
      <c r="G9902" s="5"/>
      <c r="H9902" s="5"/>
      <c r="I9902" s="5"/>
      <c r="J9902" s="5"/>
      <c r="K9902" s="5"/>
      <c r="L9902" s="5"/>
    </row>
    <row r="9903" spans="1:12" ht="12" customHeight="1" x14ac:dyDescent="0.25">
      <c r="A9903" s="6"/>
      <c r="B9903" s="1"/>
      <c r="C9903" s="5"/>
      <c r="D9903" s="5"/>
      <c r="E9903" s="5"/>
      <c r="F9903" s="5"/>
      <c r="G9903" s="5"/>
      <c r="H9903" s="5"/>
      <c r="I9903" s="5"/>
      <c r="J9903" s="5"/>
      <c r="K9903" s="5"/>
      <c r="L9903" s="5"/>
    </row>
    <row r="9904" spans="1:12" ht="12" customHeight="1" x14ac:dyDescent="0.25">
      <c r="A9904" s="6"/>
      <c r="B9904" s="1"/>
      <c r="C9904" s="5"/>
      <c r="D9904" s="5"/>
      <c r="E9904" s="5"/>
      <c r="F9904" s="5"/>
      <c r="G9904" s="5"/>
      <c r="H9904" s="5"/>
      <c r="I9904" s="5"/>
      <c r="J9904" s="5"/>
      <c r="K9904" s="5"/>
      <c r="L9904" s="5"/>
    </row>
    <row r="9905" spans="1:12" ht="12" customHeight="1" x14ac:dyDescent="0.25">
      <c r="A9905" s="6"/>
      <c r="B9905" s="1"/>
      <c r="C9905" s="5"/>
      <c r="D9905" s="5"/>
      <c r="E9905" s="5"/>
      <c r="F9905" s="5"/>
      <c r="G9905" s="5"/>
      <c r="H9905" s="5"/>
      <c r="I9905" s="5"/>
      <c r="J9905" s="5"/>
      <c r="K9905" s="5"/>
      <c r="L9905" s="5"/>
    </row>
    <row r="9906" spans="1:12" ht="12" customHeight="1" x14ac:dyDescent="0.25">
      <c r="A9906" s="6"/>
      <c r="B9906" s="1"/>
      <c r="C9906" s="5"/>
      <c r="D9906" s="5"/>
      <c r="E9906" s="5"/>
      <c r="F9906" s="5"/>
      <c r="G9906" s="5"/>
      <c r="H9906" s="5"/>
      <c r="I9906" s="5"/>
      <c r="J9906" s="5"/>
      <c r="K9906" s="5"/>
      <c r="L9906" s="5"/>
    </row>
    <row r="9907" spans="1:12" ht="12" customHeight="1" x14ac:dyDescent="0.25">
      <c r="A9907" s="6"/>
      <c r="B9907" s="1"/>
      <c r="C9907" s="5"/>
      <c r="D9907" s="5"/>
      <c r="E9907" s="5"/>
      <c r="F9907" s="5"/>
      <c r="G9907" s="5"/>
      <c r="H9907" s="5"/>
      <c r="I9907" s="5"/>
      <c r="J9907" s="5"/>
      <c r="K9907" s="5"/>
      <c r="L9907" s="5"/>
    </row>
    <row r="9908" spans="1:12" ht="12" customHeight="1" x14ac:dyDescent="0.25">
      <c r="A9908" s="6"/>
      <c r="B9908" s="1"/>
      <c r="C9908" s="5"/>
      <c r="D9908" s="5"/>
      <c r="E9908" s="5"/>
      <c r="F9908" s="5"/>
      <c r="G9908" s="5"/>
      <c r="H9908" s="5"/>
      <c r="I9908" s="5"/>
      <c r="J9908" s="5"/>
      <c r="K9908" s="5"/>
      <c r="L9908" s="5"/>
    </row>
    <row r="9909" spans="1:12" ht="12" customHeight="1" x14ac:dyDescent="0.25">
      <c r="A9909" s="6"/>
      <c r="B9909" s="1"/>
      <c r="C9909" s="5"/>
      <c r="D9909" s="5"/>
      <c r="E9909" s="5"/>
      <c r="F9909" s="5"/>
      <c r="G9909" s="5"/>
      <c r="H9909" s="5"/>
      <c r="I9909" s="5"/>
      <c r="J9909" s="5"/>
      <c r="K9909" s="5"/>
      <c r="L9909" s="5"/>
    </row>
    <row r="9910" spans="1:12" ht="12" customHeight="1" x14ac:dyDescent="0.25">
      <c r="A9910" s="6"/>
      <c r="B9910" s="1"/>
      <c r="C9910" s="5"/>
      <c r="D9910" s="5"/>
      <c r="E9910" s="5"/>
      <c r="F9910" s="5"/>
      <c r="G9910" s="5"/>
      <c r="H9910" s="5"/>
      <c r="I9910" s="5"/>
      <c r="J9910" s="5"/>
      <c r="K9910" s="5"/>
      <c r="L9910" s="5"/>
    </row>
    <row r="9911" spans="1:12" ht="12" customHeight="1" x14ac:dyDescent="0.25">
      <c r="A9911" s="6"/>
      <c r="B9911" s="1"/>
      <c r="C9911" s="5"/>
      <c r="D9911" s="5"/>
      <c r="E9911" s="5"/>
      <c r="F9911" s="5"/>
      <c r="G9911" s="5"/>
      <c r="H9911" s="5"/>
      <c r="I9911" s="5"/>
      <c r="J9911" s="5"/>
      <c r="K9911" s="5"/>
      <c r="L9911" s="5"/>
    </row>
    <row r="9912" spans="1:12" ht="12" customHeight="1" x14ac:dyDescent="0.25">
      <c r="A9912" s="6"/>
      <c r="B9912" s="1"/>
      <c r="C9912" s="5"/>
      <c r="D9912" s="5"/>
      <c r="E9912" s="5"/>
      <c r="F9912" s="5"/>
      <c r="G9912" s="5"/>
      <c r="H9912" s="5"/>
      <c r="I9912" s="5"/>
      <c r="J9912" s="5"/>
      <c r="K9912" s="5"/>
      <c r="L9912" s="5"/>
    </row>
    <row r="9913" spans="1:12" ht="12" customHeight="1" x14ac:dyDescent="0.25">
      <c r="A9913" s="6"/>
      <c r="B9913" s="1"/>
      <c r="C9913" s="5"/>
      <c r="D9913" s="5"/>
      <c r="E9913" s="5"/>
      <c r="F9913" s="5"/>
      <c r="G9913" s="5"/>
      <c r="H9913" s="5"/>
      <c r="I9913" s="5"/>
      <c r="J9913" s="5"/>
      <c r="K9913" s="5"/>
      <c r="L9913" s="5"/>
    </row>
    <row r="9914" spans="1:12" ht="12" customHeight="1" x14ac:dyDescent="0.25">
      <c r="A9914" s="6"/>
      <c r="B9914" s="1"/>
      <c r="C9914" s="5"/>
      <c r="D9914" s="5"/>
      <c r="E9914" s="5"/>
      <c r="F9914" s="5"/>
      <c r="G9914" s="5"/>
      <c r="H9914" s="5"/>
      <c r="I9914" s="5"/>
      <c r="J9914" s="5"/>
      <c r="K9914" s="5"/>
      <c r="L9914" s="5"/>
    </row>
    <row r="9915" spans="1:12" ht="12" customHeight="1" x14ac:dyDescent="0.25">
      <c r="A9915" s="6"/>
      <c r="B9915" s="1"/>
      <c r="C9915" s="5"/>
      <c r="D9915" s="5"/>
      <c r="E9915" s="5"/>
      <c r="F9915" s="5"/>
      <c r="G9915" s="5"/>
      <c r="H9915" s="5"/>
      <c r="I9915" s="5"/>
      <c r="J9915" s="5"/>
      <c r="K9915" s="5"/>
      <c r="L9915" s="5"/>
    </row>
    <row r="9916" spans="1:12" ht="12" customHeight="1" x14ac:dyDescent="0.25">
      <c r="A9916" s="6"/>
      <c r="B9916" s="1"/>
      <c r="C9916" s="5"/>
      <c r="D9916" s="5"/>
      <c r="E9916" s="5"/>
      <c r="F9916" s="5"/>
      <c r="G9916" s="5"/>
      <c r="H9916" s="5"/>
      <c r="I9916" s="5"/>
      <c r="J9916" s="5"/>
      <c r="K9916" s="5"/>
      <c r="L9916" s="5"/>
    </row>
    <row r="9917" spans="1:12" ht="12" customHeight="1" x14ac:dyDescent="0.25">
      <c r="A9917" s="6"/>
      <c r="B9917" s="1"/>
      <c r="C9917" s="5"/>
      <c r="D9917" s="5"/>
      <c r="E9917" s="5"/>
      <c r="F9917" s="5"/>
      <c r="G9917" s="5"/>
      <c r="H9917" s="5"/>
      <c r="I9917" s="5"/>
      <c r="J9917" s="5"/>
      <c r="K9917" s="5"/>
      <c r="L9917" s="5"/>
    </row>
    <row r="9918" spans="1:12" ht="12" customHeight="1" x14ac:dyDescent="0.25">
      <c r="A9918" s="6"/>
      <c r="B9918" s="1"/>
      <c r="C9918" s="5"/>
      <c r="D9918" s="5"/>
      <c r="E9918" s="5"/>
      <c r="F9918" s="5"/>
      <c r="G9918" s="5"/>
      <c r="H9918" s="5"/>
      <c r="I9918" s="5"/>
      <c r="J9918" s="5"/>
      <c r="K9918" s="5"/>
      <c r="L9918" s="5"/>
    </row>
    <row r="9919" spans="1:12" ht="12" customHeight="1" x14ac:dyDescent="0.25">
      <c r="A9919" s="6"/>
      <c r="B9919" s="1"/>
      <c r="C9919" s="5"/>
      <c r="D9919" s="5"/>
      <c r="E9919" s="5"/>
      <c r="F9919" s="5"/>
      <c r="G9919" s="5"/>
      <c r="H9919" s="5"/>
      <c r="I9919" s="5"/>
      <c r="J9919" s="5"/>
      <c r="K9919" s="5"/>
      <c r="L9919" s="5"/>
    </row>
    <row r="9920" spans="1:12" ht="12" customHeight="1" x14ac:dyDescent="0.25">
      <c r="A9920" s="6"/>
      <c r="B9920" s="1"/>
      <c r="C9920" s="5"/>
      <c r="D9920" s="5"/>
      <c r="E9920" s="5"/>
      <c r="F9920" s="5"/>
      <c r="G9920" s="5"/>
      <c r="H9920" s="5"/>
      <c r="I9920" s="5"/>
      <c r="J9920" s="5"/>
      <c r="K9920" s="5"/>
      <c r="L9920" s="5"/>
    </row>
    <row r="9921" spans="1:12" ht="12" customHeight="1" x14ac:dyDescent="0.25">
      <c r="A9921" s="6"/>
      <c r="B9921" s="1"/>
      <c r="C9921" s="5"/>
      <c r="D9921" s="5"/>
      <c r="E9921" s="5"/>
      <c r="F9921" s="5"/>
      <c r="G9921" s="5"/>
      <c r="H9921" s="5"/>
      <c r="I9921" s="5"/>
      <c r="J9921" s="5"/>
      <c r="K9921" s="5"/>
      <c r="L9921" s="5"/>
    </row>
    <row r="9922" spans="1:12" ht="12" customHeight="1" x14ac:dyDescent="0.25">
      <c r="A9922" s="6"/>
      <c r="B9922" s="1"/>
      <c r="C9922" s="5"/>
      <c r="D9922" s="5"/>
      <c r="E9922" s="5"/>
      <c r="F9922" s="5"/>
      <c r="G9922" s="5"/>
      <c r="H9922" s="5"/>
      <c r="I9922" s="5"/>
      <c r="J9922" s="5"/>
      <c r="K9922" s="5"/>
      <c r="L9922" s="5"/>
    </row>
    <row r="9923" spans="1:12" ht="12" customHeight="1" x14ac:dyDescent="0.25">
      <c r="A9923" s="6"/>
      <c r="B9923" s="1"/>
      <c r="C9923" s="5"/>
      <c r="D9923" s="5"/>
      <c r="E9923" s="5"/>
      <c r="F9923" s="5"/>
      <c r="G9923" s="5"/>
      <c r="H9923" s="5"/>
      <c r="I9923" s="5"/>
      <c r="J9923" s="5"/>
      <c r="K9923" s="5"/>
      <c r="L9923" s="5"/>
    </row>
    <row r="9924" spans="1:12" ht="12" customHeight="1" x14ac:dyDescent="0.25">
      <c r="A9924" s="6"/>
      <c r="B9924" s="1"/>
      <c r="C9924" s="5"/>
      <c r="D9924" s="5"/>
      <c r="E9924" s="5"/>
      <c r="F9924" s="5"/>
      <c r="G9924" s="5"/>
      <c r="H9924" s="5"/>
      <c r="I9924" s="5"/>
      <c r="J9924" s="5"/>
      <c r="K9924" s="5"/>
      <c r="L9924" s="5"/>
    </row>
    <row r="9925" spans="1:12" ht="12" customHeight="1" x14ac:dyDescent="0.25">
      <c r="A9925" s="6"/>
      <c r="B9925" s="1"/>
      <c r="C9925" s="5"/>
      <c r="D9925" s="5"/>
      <c r="E9925" s="5"/>
      <c r="F9925" s="5"/>
      <c r="G9925" s="5"/>
      <c r="H9925" s="5"/>
      <c r="I9925" s="5"/>
      <c r="J9925" s="5"/>
      <c r="K9925" s="5"/>
      <c r="L9925" s="5"/>
    </row>
    <row r="9926" spans="1:12" ht="12" customHeight="1" x14ac:dyDescent="0.25">
      <c r="A9926" s="6"/>
      <c r="B9926" s="1"/>
      <c r="C9926" s="5"/>
      <c r="D9926" s="5"/>
      <c r="E9926" s="5"/>
      <c r="F9926" s="5"/>
      <c r="G9926" s="5"/>
      <c r="H9926" s="5"/>
      <c r="I9926" s="5"/>
      <c r="J9926" s="5"/>
      <c r="K9926" s="5"/>
      <c r="L9926" s="5"/>
    </row>
    <row r="9927" spans="1:12" ht="12" customHeight="1" x14ac:dyDescent="0.25">
      <c r="A9927" s="6"/>
      <c r="B9927" s="1"/>
      <c r="C9927" s="5"/>
      <c r="D9927" s="5"/>
      <c r="E9927" s="5"/>
      <c r="F9927" s="5"/>
      <c r="G9927" s="5"/>
      <c r="H9927" s="5"/>
      <c r="I9927" s="5"/>
      <c r="J9927" s="5"/>
      <c r="K9927" s="5"/>
      <c r="L9927" s="5"/>
    </row>
    <row r="9928" spans="1:12" ht="12" customHeight="1" x14ac:dyDescent="0.25">
      <c r="A9928" s="6"/>
      <c r="B9928" s="1"/>
      <c r="C9928" s="5"/>
      <c r="D9928" s="5"/>
      <c r="E9928" s="5"/>
      <c r="F9928" s="5"/>
      <c r="G9928" s="5"/>
      <c r="H9928" s="5"/>
      <c r="I9928" s="5"/>
      <c r="J9928" s="5"/>
      <c r="K9928" s="5"/>
      <c r="L9928" s="5"/>
    </row>
    <row r="9929" spans="1:12" ht="12" customHeight="1" x14ac:dyDescent="0.25">
      <c r="A9929" s="6"/>
      <c r="B9929" s="1"/>
      <c r="C9929" s="5"/>
      <c r="D9929" s="5"/>
      <c r="E9929" s="5"/>
      <c r="F9929" s="5"/>
      <c r="G9929" s="5"/>
      <c r="H9929" s="5"/>
      <c r="I9929" s="5"/>
      <c r="J9929" s="5"/>
      <c r="K9929" s="5"/>
      <c r="L9929" s="5"/>
    </row>
    <row r="9930" spans="1:12" ht="12" customHeight="1" x14ac:dyDescent="0.25">
      <c r="A9930" s="6"/>
      <c r="B9930" s="1"/>
      <c r="C9930" s="5"/>
      <c r="D9930" s="5"/>
      <c r="E9930" s="5"/>
      <c r="F9930" s="5"/>
      <c r="G9930" s="5"/>
      <c r="H9930" s="5"/>
      <c r="I9930" s="5"/>
      <c r="J9930" s="5"/>
      <c r="K9930" s="5"/>
      <c r="L9930" s="5"/>
    </row>
    <row r="9931" spans="1:12" ht="12" customHeight="1" x14ac:dyDescent="0.25">
      <c r="A9931" s="6"/>
      <c r="B9931" s="1"/>
      <c r="C9931" s="5"/>
      <c r="D9931" s="5"/>
      <c r="E9931" s="5"/>
      <c r="F9931" s="5"/>
      <c r="G9931" s="5"/>
      <c r="H9931" s="5"/>
      <c r="I9931" s="5"/>
      <c r="J9931" s="5"/>
      <c r="K9931" s="5"/>
      <c r="L9931" s="5"/>
    </row>
    <row r="9932" spans="1:12" ht="12" customHeight="1" x14ac:dyDescent="0.25">
      <c r="A9932" s="6"/>
      <c r="B9932" s="1"/>
      <c r="C9932" s="5"/>
      <c r="D9932" s="5"/>
      <c r="E9932" s="5"/>
      <c r="F9932" s="5"/>
      <c r="G9932" s="5"/>
      <c r="H9932" s="5"/>
      <c r="I9932" s="5"/>
      <c r="J9932" s="5"/>
      <c r="K9932" s="5"/>
      <c r="L9932" s="5"/>
    </row>
    <row r="9933" spans="1:12" ht="12" customHeight="1" x14ac:dyDescent="0.25">
      <c r="A9933" s="6"/>
      <c r="B9933" s="1"/>
      <c r="C9933" s="5"/>
      <c r="D9933" s="5"/>
      <c r="E9933" s="5"/>
      <c r="F9933" s="5"/>
      <c r="G9933" s="5"/>
      <c r="H9933" s="5"/>
      <c r="I9933" s="5"/>
      <c r="J9933" s="5"/>
      <c r="K9933" s="5"/>
      <c r="L9933" s="5"/>
    </row>
    <row r="9934" spans="1:12" ht="12" customHeight="1" x14ac:dyDescent="0.25">
      <c r="A9934" s="6"/>
      <c r="B9934" s="1"/>
      <c r="C9934" s="5"/>
      <c r="D9934" s="5"/>
      <c r="E9934" s="5"/>
      <c r="F9934" s="5"/>
      <c r="G9934" s="5"/>
      <c r="H9934" s="5"/>
      <c r="I9934" s="5"/>
      <c r="J9934" s="5"/>
      <c r="K9934" s="5"/>
      <c r="L9934" s="5"/>
    </row>
    <row r="9935" spans="1:12" ht="12" customHeight="1" x14ac:dyDescent="0.25">
      <c r="A9935" s="6"/>
      <c r="B9935" s="1"/>
      <c r="C9935" s="5"/>
      <c r="D9935" s="5"/>
      <c r="E9935" s="5"/>
      <c r="F9935" s="5"/>
      <c r="G9935" s="5"/>
      <c r="H9935" s="5"/>
      <c r="I9935" s="5"/>
      <c r="J9935" s="5"/>
      <c r="K9935" s="5"/>
      <c r="L9935" s="5"/>
    </row>
    <row r="9936" spans="1:12" ht="12" customHeight="1" x14ac:dyDescent="0.25">
      <c r="A9936" s="6"/>
      <c r="B9936" s="1"/>
      <c r="C9936" s="5"/>
      <c r="D9936" s="5"/>
      <c r="E9936" s="5"/>
      <c r="F9936" s="5"/>
      <c r="G9936" s="5"/>
      <c r="H9936" s="5"/>
      <c r="I9936" s="5"/>
      <c r="J9936" s="5"/>
      <c r="K9936" s="5"/>
      <c r="L9936" s="5"/>
    </row>
    <row r="9937" spans="1:12" ht="12" customHeight="1" x14ac:dyDescent="0.25">
      <c r="A9937" s="6"/>
      <c r="B9937" s="1"/>
      <c r="C9937" s="5"/>
      <c r="D9937" s="5"/>
      <c r="E9937" s="5"/>
      <c r="F9937" s="5"/>
      <c r="G9937" s="5"/>
      <c r="H9937" s="5"/>
      <c r="I9937" s="5"/>
      <c r="J9937" s="5"/>
      <c r="K9937" s="5"/>
      <c r="L9937" s="5"/>
    </row>
    <row r="9938" spans="1:12" ht="12" customHeight="1" x14ac:dyDescent="0.25">
      <c r="A9938" s="6"/>
      <c r="B9938" s="1"/>
      <c r="C9938" s="5"/>
      <c r="D9938" s="5"/>
      <c r="E9938" s="5"/>
      <c r="F9938" s="5"/>
      <c r="G9938" s="5"/>
      <c r="H9938" s="5"/>
      <c r="I9938" s="5"/>
      <c r="J9938" s="5"/>
      <c r="K9938" s="5"/>
      <c r="L9938" s="5"/>
    </row>
    <row r="9939" spans="1:12" ht="12" customHeight="1" x14ac:dyDescent="0.25">
      <c r="A9939" s="6"/>
      <c r="B9939" s="1"/>
      <c r="C9939" s="5"/>
      <c r="D9939" s="5"/>
      <c r="E9939" s="5"/>
      <c r="F9939" s="5"/>
      <c r="G9939" s="5"/>
      <c r="H9939" s="5"/>
      <c r="I9939" s="5"/>
      <c r="J9939" s="5"/>
      <c r="K9939" s="5"/>
      <c r="L9939" s="5"/>
    </row>
    <row r="9940" spans="1:12" ht="12" customHeight="1" x14ac:dyDescent="0.25">
      <c r="A9940" s="6"/>
      <c r="B9940" s="1"/>
      <c r="C9940" s="5"/>
      <c r="D9940" s="5"/>
      <c r="E9940" s="5"/>
      <c r="F9940" s="5"/>
      <c r="G9940" s="5"/>
      <c r="H9940" s="5"/>
      <c r="I9940" s="5"/>
      <c r="J9940" s="5"/>
      <c r="K9940" s="5"/>
      <c r="L9940" s="5"/>
    </row>
    <row r="9941" spans="1:12" ht="12" customHeight="1" x14ac:dyDescent="0.25">
      <c r="A9941" s="6"/>
      <c r="B9941" s="1"/>
      <c r="C9941" s="5"/>
      <c r="D9941" s="5"/>
      <c r="E9941" s="5"/>
      <c r="F9941" s="5"/>
      <c r="G9941" s="5"/>
      <c r="H9941" s="5"/>
      <c r="I9941" s="5"/>
      <c r="J9941" s="5"/>
      <c r="K9941" s="5"/>
      <c r="L9941" s="5"/>
    </row>
    <row r="9942" spans="1:12" ht="12" customHeight="1" x14ac:dyDescent="0.25">
      <c r="A9942" s="6"/>
      <c r="B9942" s="1"/>
      <c r="C9942" s="5"/>
      <c r="D9942" s="5"/>
      <c r="E9942" s="5"/>
      <c r="F9942" s="5"/>
      <c r="G9942" s="5"/>
      <c r="H9942" s="5"/>
      <c r="I9942" s="5"/>
      <c r="J9942" s="5"/>
      <c r="K9942" s="5"/>
      <c r="L9942" s="5"/>
    </row>
    <row r="9943" spans="1:12" ht="12" customHeight="1" x14ac:dyDescent="0.25">
      <c r="A9943" s="6"/>
      <c r="B9943" s="1"/>
      <c r="C9943" s="5"/>
      <c r="D9943" s="5"/>
      <c r="E9943" s="5"/>
      <c r="F9943" s="5"/>
      <c r="G9943" s="5"/>
      <c r="H9943" s="5"/>
      <c r="I9943" s="5"/>
      <c r="J9943" s="5"/>
      <c r="K9943" s="5"/>
      <c r="L9943" s="5"/>
    </row>
    <row r="9944" spans="1:12" ht="12" customHeight="1" x14ac:dyDescent="0.25">
      <c r="A9944" s="6"/>
      <c r="B9944" s="1"/>
      <c r="C9944" s="5"/>
      <c r="D9944" s="5"/>
      <c r="E9944" s="5"/>
      <c r="F9944" s="5"/>
      <c r="G9944" s="5"/>
      <c r="H9944" s="5"/>
      <c r="I9944" s="5"/>
      <c r="J9944" s="5"/>
      <c r="K9944" s="5"/>
      <c r="L9944" s="5"/>
    </row>
    <row r="9945" spans="1:12" ht="12" customHeight="1" x14ac:dyDescent="0.25">
      <c r="A9945" s="6"/>
      <c r="B9945" s="1"/>
      <c r="C9945" s="5"/>
      <c r="D9945" s="5"/>
      <c r="E9945" s="5"/>
      <c r="F9945" s="5"/>
      <c r="G9945" s="5"/>
      <c r="H9945" s="5"/>
      <c r="I9945" s="5"/>
      <c r="J9945" s="5"/>
      <c r="K9945" s="5"/>
      <c r="L9945" s="5"/>
    </row>
    <row r="9946" spans="1:12" ht="12" customHeight="1" x14ac:dyDescent="0.25">
      <c r="A9946" s="6"/>
      <c r="B9946" s="1"/>
      <c r="C9946" s="5"/>
      <c r="D9946" s="5"/>
      <c r="E9946" s="5"/>
      <c r="F9946" s="5"/>
      <c r="G9946" s="5"/>
      <c r="H9946" s="5"/>
      <c r="I9946" s="5"/>
      <c r="J9946" s="5"/>
      <c r="K9946" s="5"/>
      <c r="L9946" s="5"/>
    </row>
    <row r="9947" spans="1:12" ht="12" customHeight="1" x14ac:dyDescent="0.25">
      <c r="A9947" s="6"/>
      <c r="B9947" s="1"/>
      <c r="C9947" s="5"/>
      <c r="D9947" s="5"/>
      <c r="E9947" s="5"/>
      <c r="F9947" s="5"/>
      <c r="G9947" s="5"/>
      <c r="H9947" s="5"/>
      <c r="I9947" s="5"/>
      <c r="J9947" s="5"/>
      <c r="K9947" s="5"/>
      <c r="L9947" s="5"/>
    </row>
    <row r="9948" spans="1:12" ht="12" customHeight="1" x14ac:dyDescent="0.25">
      <c r="A9948" s="6"/>
      <c r="B9948" s="1"/>
      <c r="C9948" s="5"/>
      <c r="D9948" s="5"/>
      <c r="E9948" s="5"/>
      <c r="F9948" s="5"/>
      <c r="G9948" s="5"/>
      <c r="H9948" s="5"/>
      <c r="I9948" s="5"/>
      <c r="J9948" s="5"/>
      <c r="K9948" s="5"/>
      <c r="L9948" s="5"/>
    </row>
    <row r="9949" spans="1:12" ht="12" customHeight="1" x14ac:dyDescent="0.25">
      <c r="A9949" s="6"/>
      <c r="B9949" s="1"/>
      <c r="C9949" s="5"/>
      <c r="D9949" s="5"/>
      <c r="E9949" s="5"/>
      <c r="F9949" s="5"/>
      <c r="G9949" s="5"/>
      <c r="H9949" s="5"/>
      <c r="I9949" s="5"/>
      <c r="J9949" s="5"/>
      <c r="K9949" s="5"/>
      <c r="L9949" s="5"/>
    </row>
    <row r="9950" spans="1:12" ht="12" customHeight="1" x14ac:dyDescent="0.25">
      <c r="A9950" s="6"/>
      <c r="B9950" s="1"/>
      <c r="C9950" s="5"/>
      <c r="D9950" s="5"/>
      <c r="E9950" s="5"/>
      <c r="F9950" s="5"/>
      <c r="G9950" s="5"/>
      <c r="H9950" s="5"/>
      <c r="I9950" s="5"/>
      <c r="J9950" s="5"/>
      <c r="K9950" s="5"/>
      <c r="L9950" s="5"/>
    </row>
    <row r="9951" spans="1:12" ht="12" customHeight="1" x14ac:dyDescent="0.25">
      <c r="A9951" s="6"/>
      <c r="B9951" s="1"/>
      <c r="C9951" s="5"/>
      <c r="D9951" s="5"/>
      <c r="E9951" s="5"/>
      <c r="F9951" s="5"/>
      <c r="G9951" s="5"/>
      <c r="H9951" s="5"/>
      <c r="I9951" s="5"/>
      <c r="J9951" s="5"/>
      <c r="K9951" s="5"/>
      <c r="L9951" s="5"/>
    </row>
    <row r="9952" spans="1:12" ht="12" customHeight="1" x14ac:dyDescent="0.25">
      <c r="A9952" s="6"/>
      <c r="B9952" s="1"/>
      <c r="C9952" s="5"/>
      <c r="D9952" s="5"/>
      <c r="E9952" s="5"/>
      <c r="F9952" s="5"/>
      <c r="G9952" s="5"/>
      <c r="H9952" s="5"/>
      <c r="I9952" s="5"/>
      <c r="J9952" s="5"/>
      <c r="K9952" s="5"/>
      <c r="L9952" s="5"/>
    </row>
    <row r="9953" spans="1:12" ht="12" customHeight="1" x14ac:dyDescent="0.25">
      <c r="A9953" s="6"/>
      <c r="B9953" s="1"/>
      <c r="C9953" s="5"/>
      <c r="D9953" s="5"/>
      <c r="E9953" s="5"/>
      <c r="F9953" s="5"/>
      <c r="G9953" s="5"/>
      <c r="H9953" s="5"/>
      <c r="I9953" s="5"/>
      <c r="J9953" s="5"/>
      <c r="K9953" s="5"/>
      <c r="L9953" s="5"/>
    </row>
    <row r="9954" spans="1:12" ht="12" customHeight="1" x14ac:dyDescent="0.25">
      <c r="A9954" s="6"/>
      <c r="B9954" s="1"/>
      <c r="C9954" s="5"/>
      <c r="D9954" s="5"/>
      <c r="E9954" s="5"/>
      <c r="F9954" s="5"/>
      <c r="G9954" s="5"/>
      <c r="H9954" s="5"/>
      <c r="I9954" s="5"/>
      <c r="J9954" s="5"/>
      <c r="K9954" s="5"/>
      <c r="L9954" s="5"/>
    </row>
    <row r="9955" spans="1:12" ht="12" customHeight="1" x14ac:dyDescent="0.25">
      <c r="A9955" s="6"/>
      <c r="B9955" s="1"/>
      <c r="C9955" s="5"/>
      <c r="D9955" s="5"/>
      <c r="E9955" s="5"/>
      <c r="F9955" s="5"/>
      <c r="G9955" s="5"/>
      <c r="H9955" s="5"/>
      <c r="I9955" s="5"/>
      <c r="J9955" s="5"/>
      <c r="K9955" s="5"/>
      <c r="L9955" s="5"/>
    </row>
    <row r="9956" spans="1:12" ht="12" customHeight="1" x14ac:dyDescent="0.25">
      <c r="A9956" s="6"/>
      <c r="B9956" s="1"/>
      <c r="C9956" s="5"/>
      <c r="D9956" s="5"/>
      <c r="E9956" s="5"/>
      <c r="F9956" s="5"/>
      <c r="G9956" s="5"/>
      <c r="H9956" s="5"/>
      <c r="I9956" s="5"/>
      <c r="J9956" s="5"/>
      <c r="K9956" s="5"/>
      <c r="L9956" s="5"/>
    </row>
    <row r="9957" spans="1:12" ht="12" customHeight="1" x14ac:dyDescent="0.25">
      <c r="A9957" s="6"/>
      <c r="B9957" s="1"/>
      <c r="C9957" s="5"/>
      <c r="D9957" s="5"/>
      <c r="E9957" s="5"/>
      <c r="F9957" s="5"/>
      <c r="G9957" s="5"/>
      <c r="H9957" s="5"/>
      <c r="I9957" s="5"/>
      <c r="J9957" s="5"/>
      <c r="K9957" s="5"/>
      <c r="L9957" s="5"/>
    </row>
    <row r="9958" spans="1:12" ht="12" customHeight="1" x14ac:dyDescent="0.25">
      <c r="A9958" s="6"/>
      <c r="B9958" s="1"/>
      <c r="C9958" s="5"/>
      <c r="D9958" s="5"/>
      <c r="E9958" s="5"/>
      <c r="F9958" s="5"/>
      <c r="G9958" s="5"/>
      <c r="H9958" s="5"/>
      <c r="I9958" s="5"/>
      <c r="J9958" s="5"/>
      <c r="K9958" s="5"/>
      <c r="L9958" s="5"/>
    </row>
    <row r="9959" spans="1:12" ht="12" customHeight="1" x14ac:dyDescent="0.25">
      <c r="A9959" s="6"/>
      <c r="B9959" s="1"/>
      <c r="C9959" s="5"/>
      <c r="D9959" s="5"/>
      <c r="E9959" s="5"/>
      <c r="F9959" s="5"/>
      <c r="G9959" s="5"/>
      <c r="H9959" s="5"/>
      <c r="I9959" s="5"/>
      <c r="J9959" s="5"/>
      <c r="K9959" s="5"/>
      <c r="L9959" s="5"/>
    </row>
    <row r="9960" spans="1:12" ht="12" customHeight="1" x14ac:dyDescent="0.25">
      <c r="A9960" s="6"/>
      <c r="B9960" s="1"/>
      <c r="C9960" s="5"/>
      <c r="D9960" s="5"/>
      <c r="E9960" s="5"/>
      <c r="F9960" s="5"/>
      <c r="G9960" s="5"/>
      <c r="H9960" s="5"/>
      <c r="I9960" s="5"/>
      <c r="J9960" s="5"/>
      <c r="K9960" s="5"/>
      <c r="L9960" s="5"/>
    </row>
    <row r="9961" spans="1:12" ht="12" customHeight="1" x14ac:dyDescent="0.25">
      <c r="A9961" s="6"/>
      <c r="B9961" s="1"/>
      <c r="C9961" s="5"/>
      <c r="D9961" s="5"/>
      <c r="E9961" s="5"/>
      <c r="F9961" s="5"/>
      <c r="G9961" s="5"/>
      <c r="H9961" s="5"/>
      <c r="I9961" s="5"/>
      <c r="J9961" s="5"/>
      <c r="K9961" s="5"/>
      <c r="L9961" s="5"/>
    </row>
    <row r="9962" spans="1:12" ht="12" customHeight="1" x14ac:dyDescent="0.25">
      <c r="A9962" s="6"/>
      <c r="B9962" s="1"/>
      <c r="C9962" s="5"/>
      <c r="D9962" s="5"/>
      <c r="E9962" s="5"/>
      <c r="F9962" s="5"/>
      <c r="G9962" s="5"/>
      <c r="H9962" s="5"/>
      <c r="I9962" s="5"/>
      <c r="J9962" s="5"/>
      <c r="K9962" s="5"/>
      <c r="L9962" s="5"/>
    </row>
    <row r="9963" spans="1:12" ht="12" customHeight="1" x14ac:dyDescent="0.25">
      <c r="A9963" s="6"/>
      <c r="B9963" s="1"/>
      <c r="C9963" s="5"/>
      <c r="D9963" s="5"/>
      <c r="E9963" s="5"/>
      <c r="F9963" s="5"/>
      <c r="G9963" s="5"/>
      <c r="H9963" s="5"/>
      <c r="I9963" s="5"/>
      <c r="J9963" s="5"/>
      <c r="K9963" s="5"/>
      <c r="L9963" s="5"/>
    </row>
    <row r="9964" spans="1:12" ht="12" customHeight="1" x14ac:dyDescent="0.25">
      <c r="A9964" s="6"/>
      <c r="B9964" s="1"/>
      <c r="C9964" s="5"/>
      <c r="D9964" s="5"/>
      <c r="E9964" s="5"/>
      <c r="F9964" s="5"/>
      <c r="G9964" s="5"/>
      <c r="H9964" s="5"/>
      <c r="I9964" s="5"/>
      <c r="J9964" s="5"/>
      <c r="K9964" s="5"/>
      <c r="L9964" s="5"/>
    </row>
    <row r="9965" spans="1:12" ht="12" customHeight="1" x14ac:dyDescent="0.25">
      <c r="A9965" s="6"/>
      <c r="B9965" s="1"/>
      <c r="C9965" s="5"/>
      <c r="D9965" s="5"/>
      <c r="E9965" s="5"/>
      <c r="F9965" s="5"/>
      <c r="G9965" s="5"/>
      <c r="H9965" s="5"/>
      <c r="I9965" s="5"/>
      <c r="J9965" s="5"/>
      <c r="K9965" s="5"/>
      <c r="L9965" s="5"/>
    </row>
    <row r="9966" spans="1:12" ht="12" customHeight="1" x14ac:dyDescent="0.25">
      <c r="A9966" s="6"/>
      <c r="B9966" s="1"/>
      <c r="C9966" s="5"/>
      <c r="D9966" s="5"/>
      <c r="E9966" s="5"/>
      <c r="F9966" s="5"/>
      <c r="G9966" s="5"/>
      <c r="H9966" s="5"/>
      <c r="I9966" s="5"/>
      <c r="J9966" s="5"/>
      <c r="K9966" s="5"/>
      <c r="L9966" s="5"/>
    </row>
    <row r="9967" spans="1:12" ht="12" customHeight="1" x14ac:dyDescent="0.25">
      <c r="A9967" s="6"/>
      <c r="B9967" s="1"/>
      <c r="C9967" s="5"/>
      <c r="D9967" s="5"/>
      <c r="E9967" s="5"/>
      <c r="F9967" s="5"/>
      <c r="G9967" s="5"/>
      <c r="H9967" s="5"/>
      <c r="I9967" s="5"/>
      <c r="J9967" s="5"/>
      <c r="K9967" s="5"/>
      <c r="L9967" s="5"/>
    </row>
    <row r="9968" spans="1:12" ht="12" customHeight="1" x14ac:dyDescent="0.25">
      <c r="A9968" s="6"/>
      <c r="B9968" s="1"/>
      <c r="C9968" s="5"/>
      <c r="D9968" s="5"/>
      <c r="E9968" s="5"/>
      <c r="F9968" s="5"/>
      <c r="G9968" s="5"/>
      <c r="H9968" s="5"/>
      <c r="I9968" s="5"/>
      <c r="J9968" s="5"/>
      <c r="K9968" s="5"/>
      <c r="L9968" s="5"/>
    </row>
    <row r="9969" spans="1:12" ht="12" customHeight="1" x14ac:dyDescent="0.25">
      <c r="A9969" s="6"/>
      <c r="B9969" s="1"/>
      <c r="C9969" s="5"/>
      <c r="D9969" s="5"/>
      <c r="E9969" s="5"/>
      <c r="F9969" s="5"/>
      <c r="G9969" s="5"/>
      <c r="H9969" s="5"/>
      <c r="I9969" s="5"/>
      <c r="J9969" s="5"/>
      <c r="K9969" s="5"/>
      <c r="L9969" s="5"/>
    </row>
    <row r="9970" spans="1:12" ht="12" customHeight="1" x14ac:dyDescent="0.25">
      <c r="A9970" s="6"/>
      <c r="B9970" s="1"/>
      <c r="C9970" s="5"/>
      <c r="D9970" s="5"/>
      <c r="E9970" s="5"/>
      <c r="F9970" s="5"/>
      <c r="G9970" s="5"/>
      <c r="H9970" s="5"/>
      <c r="I9970" s="5"/>
      <c r="J9970" s="5"/>
      <c r="K9970" s="5"/>
      <c r="L9970" s="5"/>
    </row>
    <row r="9971" spans="1:12" ht="12" customHeight="1" x14ac:dyDescent="0.25">
      <c r="A9971" s="6"/>
      <c r="B9971" s="1"/>
      <c r="C9971" s="5"/>
      <c r="D9971" s="5"/>
      <c r="E9971" s="5"/>
      <c r="F9971" s="5"/>
      <c r="G9971" s="5"/>
      <c r="H9971" s="5"/>
      <c r="I9971" s="5"/>
      <c r="J9971" s="5"/>
      <c r="K9971" s="5"/>
      <c r="L9971" s="5"/>
    </row>
    <row r="9972" spans="1:12" ht="12" customHeight="1" x14ac:dyDescent="0.25">
      <c r="A9972" s="6"/>
      <c r="B9972" s="1"/>
      <c r="C9972" s="5"/>
      <c r="D9972" s="5"/>
      <c r="E9972" s="5"/>
      <c r="F9972" s="5"/>
      <c r="G9972" s="5"/>
      <c r="H9972" s="5"/>
      <c r="I9972" s="5"/>
      <c r="J9972" s="5"/>
      <c r="K9972" s="5"/>
      <c r="L9972" s="5"/>
    </row>
    <row r="9973" spans="1:12" ht="12" customHeight="1" x14ac:dyDescent="0.25">
      <c r="A9973" s="6"/>
      <c r="B9973" s="1"/>
      <c r="C9973" s="5"/>
      <c r="D9973" s="5"/>
      <c r="E9973" s="5"/>
      <c r="F9973" s="5"/>
      <c r="G9973" s="5"/>
      <c r="H9973" s="5"/>
      <c r="I9973" s="5"/>
      <c r="J9973" s="5"/>
      <c r="K9973" s="5"/>
      <c r="L9973" s="5"/>
    </row>
    <row r="9974" spans="1:12" ht="12" customHeight="1" x14ac:dyDescent="0.25">
      <c r="A9974" s="6"/>
      <c r="B9974" s="1"/>
      <c r="C9974" s="5"/>
      <c r="D9974" s="5"/>
      <c r="E9974" s="5"/>
      <c r="F9974" s="5"/>
      <c r="G9974" s="5"/>
      <c r="H9974" s="5"/>
      <c r="I9974" s="5"/>
      <c r="J9974" s="5"/>
      <c r="K9974" s="5"/>
      <c r="L9974" s="5"/>
    </row>
    <row r="9975" spans="1:12" ht="12" customHeight="1" x14ac:dyDescent="0.25">
      <c r="A9975" s="6"/>
      <c r="B9975" s="1"/>
      <c r="C9975" s="5"/>
      <c r="D9975" s="5"/>
      <c r="E9975" s="5"/>
      <c r="F9975" s="5"/>
      <c r="G9975" s="5"/>
      <c r="H9975" s="5"/>
      <c r="I9975" s="5"/>
      <c r="J9975" s="5"/>
      <c r="K9975" s="5"/>
      <c r="L9975" s="5"/>
    </row>
    <row r="9976" spans="1:12" ht="12" customHeight="1" x14ac:dyDescent="0.25">
      <c r="A9976" s="6"/>
      <c r="B9976" s="1"/>
      <c r="C9976" s="5"/>
      <c r="D9976" s="5"/>
      <c r="E9976" s="5"/>
      <c r="F9976" s="5"/>
      <c r="G9976" s="5"/>
      <c r="H9976" s="5"/>
      <c r="I9976" s="5"/>
      <c r="J9976" s="5"/>
      <c r="K9976" s="5"/>
      <c r="L9976" s="5"/>
    </row>
    <row r="9977" spans="1:12" ht="12" customHeight="1" x14ac:dyDescent="0.25">
      <c r="A9977" s="6"/>
      <c r="B9977" s="1"/>
      <c r="C9977" s="5"/>
      <c r="D9977" s="5"/>
      <c r="E9977" s="5"/>
      <c r="F9977" s="5"/>
      <c r="G9977" s="5"/>
      <c r="H9977" s="5"/>
      <c r="I9977" s="5"/>
      <c r="J9977" s="5"/>
      <c r="K9977" s="5"/>
      <c r="L9977" s="5"/>
    </row>
    <row r="9978" spans="1:12" ht="12" customHeight="1" x14ac:dyDescent="0.25">
      <c r="A9978" s="6"/>
      <c r="B9978" s="1"/>
      <c r="C9978" s="5"/>
      <c r="D9978" s="5"/>
      <c r="E9978" s="5"/>
      <c r="F9978" s="5"/>
      <c r="G9978" s="5"/>
      <c r="H9978" s="5"/>
      <c r="I9978" s="5"/>
      <c r="J9978" s="5"/>
      <c r="K9978" s="5"/>
      <c r="L9978" s="5"/>
    </row>
    <row r="9979" spans="1:12" ht="12" customHeight="1" x14ac:dyDescent="0.25">
      <c r="A9979" s="6"/>
      <c r="B9979" s="1"/>
      <c r="C9979" s="5"/>
      <c r="D9979" s="5"/>
      <c r="E9979" s="5"/>
      <c r="F9979" s="5"/>
      <c r="G9979" s="5"/>
      <c r="H9979" s="5"/>
      <c r="I9979" s="5"/>
      <c r="J9979" s="5"/>
      <c r="K9979" s="5"/>
      <c r="L9979" s="5"/>
    </row>
    <row r="9980" spans="1:12" ht="12" customHeight="1" x14ac:dyDescent="0.25">
      <c r="A9980" s="6"/>
      <c r="B9980" s="1"/>
      <c r="C9980" s="5"/>
      <c r="D9980" s="5"/>
      <c r="E9980" s="5"/>
      <c r="F9980" s="5"/>
      <c r="G9980" s="5"/>
      <c r="H9980" s="5"/>
      <c r="I9980" s="5"/>
      <c r="J9980" s="5"/>
      <c r="K9980" s="5"/>
      <c r="L9980" s="5"/>
    </row>
    <row r="9981" spans="1:12" ht="12" customHeight="1" x14ac:dyDescent="0.25">
      <c r="A9981" s="6"/>
      <c r="B9981" s="1"/>
      <c r="C9981" s="5"/>
      <c r="D9981" s="5"/>
      <c r="E9981" s="5"/>
      <c r="F9981" s="5"/>
      <c r="G9981" s="5"/>
      <c r="H9981" s="5"/>
      <c r="I9981" s="5"/>
      <c r="J9981" s="5"/>
      <c r="K9981" s="5"/>
      <c r="L9981" s="5"/>
    </row>
    <row r="9982" spans="1:12" ht="12" customHeight="1" x14ac:dyDescent="0.25">
      <c r="A9982" s="6"/>
      <c r="B9982" s="1"/>
      <c r="C9982" s="5"/>
      <c r="D9982" s="5"/>
      <c r="E9982" s="5"/>
      <c r="F9982" s="5"/>
      <c r="G9982" s="5"/>
      <c r="H9982" s="5"/>
      <c r="I9982" s="5"/>
      <c r="J9982" s="5"/>
      <c r="K9982" s="5"/>
      <c r="L9982" s="5"/>
    </row>
    <row r="9983" spans="1:12" ht="12" customHeight="1" x14ac:dyDescent="0.25">
      <c r="A9983" s="6"/>
      <c r="B9983" s="1"/>
      <c r="C9983" s="5"/>
      <c r="D9983" s="5"/>
      <c r="E9983" s="5"/>
      <c r="F9983" s="5"/>
      <c r="G9983" s="5"/>
      <c r="H9983" s="5"/>
      <c r="I9983" s="5"/>
      <c r="J9983" s="5"/>
      <c r="K9983" s="5"/>
      <c r="L9983" s="5"/>
    </row>
    <row r="9984" spans="1:12" ht="12" customHeight="1" x14ac:dyDescent="0.25">
      <c r="A9984" s="6"/>
      <c r="B9984" s="1"/>
      <c r="C9984" s="5"/>
      <c r="D9984" s="5"/>
      <c r="E9984" s="5"/>
      <c r="F9984" s="5"/>
      <c r="G9984" s="5"/>
      <c r="H9984" s="5"/>
      <c r="I9984" s="5"/>
      <c r="J9984" s="5"/>
      <c r="K9984" s="5"/>
      <c r="L9984" s="5"/>
    </row>
    <row r="9985" spans="1:12" ht="12" customHeight="1" x14ac:dyDescent="0.25">
      <c r="A9985" s="6"/>
      <c r="B9985" s="1"/>
      <c r="C9985" s="5"/>
      <c r="D9985" s="5"/>
      <c r="E9985" s="5"/>
      <c r="F9985" s="5"/>
      <c r="G9985" s="5"/>
      <c r="H9985" s="5"/>
      <c r="I9985" s="5"/>
      <c r="J9985" s="5"/>
      <c r="K9985" s="5"/>
      <c r="L9985" s="5"/>
    </row>
    <row r="9986" spans="1:12" ht="12" customHeight="1" x14ac:dyDescent="0.25">
      <c r="A9986" s="6"/>
      <c r="B9986" s="1"/>
      <c r="C9986" s="5"/>
      <c r="D9986" s="5"/>
      <c r="E9986" s="5"/>
      <c r="F9986" s="5"/>
      <c r="G9986" s="5"/>
      <c r="H9986" s="5"/>
      <c r="I9986" s="5"/>
      <c r="J9986" s="5"/>
      <c r="K9986" s="5"/>
      <c r="L9986" s="5"/>
    </row>
    <row r="9987" spans="1:12" ht="12" customHeight="1" x14ac:dyDescent="0.25">
      <c r="A9987" s="6"/>
      <c r="B9987" s="1"/>
      <c r="C9987" s="5"/>
      <c r="D9987" s="5"/>
      <c r="E9987" s="5"/>
      <c r="F9987" s="5"/>
      <c r="G9987" s="5"/>
      <c r="H9987" s="5"/>
      <c r="I9987" s="5"/>
      <c r="J9987" s="5"/>
      <c r="K9987" s="5"/>
      <c r="L9987" s="5"/>
    </row>
    <row r="9988" spans="1:12" ht="12" customHeight="1" x14ac:dyDescent="0.25">
      <c r="A9988" s="6"/>
      <c r="B9988" s="1"/>
      <c r="C9988" s="5"/>
      <c r="D9988" s="5"/>
      <c r="E9988" s="5"/>
      <c r="F9988" s="5"/>
      <c r="G9988" s="5"/>
      <c r="H9988" s="5"/>
      <c r="I9988" s="5"/>
      <c r="J9988" s="5"/>
      <c r="K9988" s="5"/>
      <c r="L9988" s="5"/>
    </row>
    <row r="9989" spans="1:12" ht="12" customHeight="1" x14ac:dyDescent="0.25">
      <c r="A9989" s="6"/>
      <c r="B9989" s="1"/>
      <c r="C9989" s="5"/>
      <c r="D9989" s="5"/>
      <c r="E9989" s="5"/>
      <c r="F9989" s="5"/>
      <c r="G9989" s="5"/>
      <c r="H9989" s="5"/>
      <c r="I9989" s="5"/>
      <c r="J9989" s="5"/>
      <c r="K9989" s="5"/>
      <c r="L9989" s="5"/>
    </row>
    <row r="9990" spans="1:12" ht="12" customHeight="1" x14ac:dyDescent="0.25">
      <c r="A9990" s="6"/>
      <c r="B9990" s="1"/>
      <c r="C9990" s="5"/>
      <c r="D9990" s="5"/>
      <c r="E9990" s="5"/>
      <c r="F9990" s="5"/>
      <c r="G9990" s="5"/>
      <c r="H9990" s="5"/>
      <c r="I9990" s="5"/>
      <c r="J9990" s="5"/>
      <c r="K9990" s="5"/>
      <c r="L9990" s="5"/>
    </row>
    <row r="9991" spans="1:12" ht="12" customHeight="1" x14ac:dyDescent="0.25">
      <c r="A9991" s="6"/>
      <c r="B9991" s="1"/>
      <c r="C9991" s="5"/>
      <c r="D9991" s="5"/>
      <c r="E9991" s="5"/>
      <c r="F9991" s="5"/>
      <c r="G9991" s="5"/>
      <c r="H9991" s="5"/>
      <c r="I9991" s="5"/>
      <c r="J9991" s="5"/>
      <c r="K9991" s="5"/>
      <c r="L9991" s="5"/>
    </row>
    <row r="9992" spans="1:12" ht="12" customHeight="1" x14ac:dyDescent="0.25">
      <c r="A9992" s="6"/>
      <c r="B9992" s="1"/>
      <c r="C9992" s="5"/>
      <c r="D9992" s="5"/>
      <c r="E9992" s="5"/>
      <c r="F9992" s="5"/>
      <c r="G9992" s="5"/>
      <c r="H9992" s="5"/>
      <c r="I9992" s="5"/>
      <c r="J9992" s="5"/>
      <c r="K9992" s="5"/>
      <c r="L9992" s="5"/>
    </row>
    <row r="9993" spans="1:12" ht="12" customHeight="1" x14ac:dyDescent="0.25">
      <c r="A9993" s="6"/>
      <c r="B9993" s="1"/>
      <c r="C9993" s="5"/>
      <c r="D9993" s="5"/>
      <c r="E9993" s="5"/>
      <c r="F9993" s="5"/>
      <c r="G9993" s="5"/>
      <c r="H9993" s="5"/>
      <c r="I9993" s="5"/>
      <c r="J9993" s="5"/>
      <c r="K9993" s="5"/>
      <c r="L9993" s="5"/>
    </row>
    <row r="9994" spans="1:12" ht="12" customHeight="1" x14ac:dyDescent="0.25">
      <c r="A9994" s="6"/>
      <c r="B9994" s="1"/>
      <c r="C9994" s="5"/>
      <c r="D9994" s="5"/>
      <c r="E9994" s="5"/>
      <c r="F9994" s="5"/>
      <c r="G9994" s="5"/>
      <c r="H9994" s="5"/>
      <c r="I9994" s="5"/>
      <c r="J9994" s="5"/>
      <c r="K9994" s="5"/>
      <c r="L9994" s="5"/>
    </row>
    <row r="9995" spans="1:12" ht="12" customHeight="1" x14ac:dyDescent="0.25">
      <c r="A9995" s="6"/>
      <c r="B9995" s="1"/>
      <c r="C9995" s="5"/>
      <c r="D9995" s="5"/>
      <c r="E9995" s="5"/>
      <c r="F9995" s="5"/>
      <c r="G9995" s="5"/>
      <c r="H9995" s="5"/>
      <c r="I9995" s="5"/>
      <c r="J9995" s="5"/>
      <c r="K9995" s="5"/>
      <c r="L9995" s="5"/>
    </row>
    <row r="9996" spans="1:12" ht="12" customHeight="1" x14ac:dyDescent="0.25">
      <c r="A9996" s="6"/>
      <c r="B9996" s="1"/>
      <c r="C9996" s="5"/>
      <c r="D9996" s="5"/>
      <c r="E9996" s="5"/>
      <c r="F9996" s="5"/>
      <c r="G9996" s="5"/>
      <c r="H9996" s="5"/>
      <c r="I9996" s="5"/>
      <c r="J9996" s="5"/>
      <c r="K9996" s="5"/>
      <c r="L9996" s="5"/>
    </row>
    <row r="9997" spans="1:12" ht="12" customHeight="1" x14ac:dyDescent="0.25">
      <c r="A9997" s="6"/>
      <c r="B9997" s="1"/>
      <c r="C9997" s="5"/>
      <c r="D9997" s="5"/>
      <c r="E9997" s="5"/>
      <c r="F9997" s="5"/>
      <c r="G9997" s="5"/>
      <c r="H9997" s="5"/>
      <c r="I9997" s="5"/>
      <c r="J9997" s="5"/>
      <c r="K9997" s="5"/>
      <c r="L9997" s="5"/>
    </row>
    <row r="9998" spans="1:12" ht="12" customHeight="1" x14ac:dyDescent="0.25">
      <c r="A9998" s="6"/>
      <c r="B9998" s="1"/>
      <c r="C9998" s="5"/>
      <c r="D9998" s="5"/>
      <c r="E9998" s="5"/>
      <c r="F9998" s="5"/>
      <c r="G9998" s="5"/>
      <c r="H9998" s="5"/>
      <c r="I9998" s="5"/>
      <c r="J9998" s="5"/>
      <c r="K9998" s="5"/>
      <c r="L9998" s="5"/>
    </row>
    <row r="9999" spans="1:12" ht="12" customHeight="1" x14ac:dyDescent="0.25">
      <c r="A9999" s="6"/>
      <c r="B9999" s="1"/>
      <c r="C9999" s="5"/>
      <c r="D9999" s="5"/>
      <c r="E9999" s="5"/>
      <c r="F9999" s="5"/>
      <c r="G9999" s="5"/>
      <c r="H9999" s="5"/>
      <c r="I9999" s="5"/>
      <c r="J9999" s="5"/>
      <c r="K9999" s="5"/>
      <c r="L9999" s="5"/>
    </row>
    <row r="10000" spans="1:12" ht="12" customHeight="1" x14ac:dyDescent="0.25">
      <c r="A10000" s="6"/>
      <c r="B10000" s="1"/>
      <c r="C10000" s="5"/>
      <c r="D10000" s="5"/>
      <c r="E10000" s="5"/>
      <c r="F10000" s="5"/>
      <c r="G10000" s="5"/>
      <c r="H10000" s="5"/>
      <c r="I10000" s="5"/>
      <c r="J10000" s="5"/>
      <c r="K10000" s="5"/>
      <c r="L10000" s="5"/>
    </row>
    <row r="10001" spans="1:12" ht="12" customHeight="1" x14ac:dyDescent="0.25">
      <c r="A10001" s="6"/>
      <c r="B10001" s="1"/>
      <c r="C10001" s="5"/>
      <c r="D10001" s="5"/>
      <c r="E10001" s="5"/>
      <c r="F10001" s="5"/>
      <c r="G10001" s="5"/>
      <c r="H10001" s="5"/>
      <c r="I10001" s="5"/>
      <c r="J10001" s="5"/>
      <c r="K10001" s="5"/>
      <c r="L10001" s="5"/>
    </row>
    <row r="10002" spans="1:12" ht="12" customHeight="1" x14ac:dyDescent="0.25">
      <c r="A10002" s="6"/>
      <c r="B10002" s="1"/>
      <c r="C10002" s="5"/>
      <c r="D10002" s="5"/>
      <c r="E10002" s="5"/>
      <c r="F10002" s="5"/>
      <c r="G10002" s="5"/>
      <c r="H10002" s="5"/>
      <c r="I10002" s="5"/>
      <c r="J10002" s="5"/>
      <c r="K10002" s="5"/>
      <c r="L10002" s="5"/>
    </row>
    <row r="10003" spans="1:12" ht="12" customHeight="1" x14ac:dyDescent="0.25">
      <c r="A10003" s="6"/>
      <c r="B10003" s="1"/>
      <c r="C10003" s="5"/>
      <c r="D10003" s="5"/>
      <c r="E10003" s="5"/>
      <c r="F10003" s="5"/>
      <c r="G10003" s="5"/>
      <c r="H10003" s="5"/>
      <c r="I10003" s="5"/>
      <c r="J10003" s="5"/>
      <c r="K10003" s="5"/>
      <c r="L10003" s="5"/>
    </row>
    <row r="10004" spans="1:12" ht="12" customHeight="1" x14ac:dyDescent="0.25">
      <c r="A10004" s="6"/>
      <c r="B10004" s="1"/>
      <c r="C10004" s="5"/>
      <c r="D10004" s="5"/>
      <c r="E10004" s="5"/>
      <c r="F10004" s="5"/>
      <c r="G10004" s="5"/>
      <c r="H10004" s="5"/>
      <c r="I10004" s="5"/>
      <c r="J10004" s="5"/>
      <c r="K10004" s="5"/>
      <c r="L10004" s="5"/>
    </row>
    <row r="10005" spans="1:12" ht="12" customHeight="1" x14ac:dyDescent="0.25">
      <c r="A10005" s="6"/>
      <c r="B10005" s="1"/>
      <c r="C10005" s="5"/>
      <c r="D10005" s="5"/>
      <c r="E10005" s="5"/>
      <c r="F10005" s="5"/>
      <c r="G10005" s="5"/>
      <c r="H10005" s="5"/>
      <c r="I10005" s="5"/>
      <c r="J10005" s="5"/>
      <c r="K10005" s="5"/>
      <c r="L10005" s="5"/>
    </row>
    <row r="10006" spans="1:12" ht="12" customHeight="1" x14ac:dyDescent="0.25">
      <c r="A10006" s="6"/>
      <c r="B10006" s="1"/>
      <c r="C10006" s="5"/>
      <c r="D10006" s="5"/>
      <c r="E10006" s="5"/>
      <c r="F10006" s="5"/>
      <c r="G10006" s="5"/>
      <c r="H10006" s="5"/>
      <c r="I10006" s="5"/>
      <c r="J10006" s="5"/>
      <c r="K10006" s="5"/>
      <c r="L10006" s="5"/>
    </row>
    <row r="10007" spans="1:12" ht="12" customHeight="1" x14ac:dyDescent="0.25">
      <c r="A10007" s="6"/>
      <c r="B10007" s="1"/>
      <c r="C10007" s="5"/>
      <c r="D10007" s="5"/>
      <c r="E10007" s="5"/>
      <c r="F10007" s="5"/>
      <c r="G10007" s="5"/>
      <c r="H10007" s="5"/>
      <c r="I10007" s="5"/>
      <c r="J10007" s="5"/>
      <c r="K10007" s="5"/>
      <c r="L10007" s="5"/>
    </row>
    <row r="10008" spans="1:12" ht="12" customHeight="1" x14ac:dyDescent="0.25">
      <c r="A10008" s="6"/>
      <c r="B10008" s="1"/>
      <c r="C10008" s="5"/>
      <c r="D10008" s="5"/>
      <c r="E10008" s="5"/>
      <c r="F10008" s="5"/>
      <c r="G10008" s="5"/>
      <c r="H10008" s="5"/>
      <c r="I10008" s="5"/>
      <c r="J10008" s="5"/>
      <c r="K10008" s="5"/>
      <c r="L10008" s="5"/>
    </row>
    <row r="10009" spans="1:12" ht="12" customHeight="1" x14ac:dyDescent="0.25">
      <c r="A10009" s="6"/>
      <c r="B10009" s="1"/>
      <c r="C10009" s="5"/>
      <c r="D10009" s="5"/>
      <c r="E10009" s="5"/>
      <c r="F10009" s="5"/>
      <c r="G10009" s="5"/>
      <c r="H10009" s="5"/>
      <c r="I10009" s="5"/>
      <c r="J10009" s="5"/>
      <c r="K10009" s="5"/>
      <c r="L10009" s="5"/>
    </row>
    <row r="10010" spans="1:12" ht="12" customHeight="1" x14ac:dyDescent="0.25">
      <c r="A10010" s="6"/>
      <c r="B10010" s="1"/>
      <c r="C10010" s="5"/>
      <c r="D10010" s="5"/>
      <c r="E10010" s="5"/>
      <c r="F10010" s="5"/>
      <c r="G10010" s="5"/>
      <c r="H10010" s="5"/>
      <c r="I10010" s="5"/>
      <c r="J10010" s="5"/>
      <c r="K10010" s="5"/>
      <c r="L10010" s="5"/>
    </row>
    <row r="10011" spans="1:12" ht="12" customHeight="1" x14ac:dyDescent="0.25">
      <c r="A10011" s="6"/>
      <c r="B10011" s="1"/>
      <c r="C10011" s="5"/>
      <c r="D10011" s="5"/>
      <c r="E10011" s="5"/>
      <c r="F10011" s="5"/>
      <c r="G10011" s="5"/>
      <c r="H10011" s="5"/>
      <c r="I10011" s="5"/>
      <c r="J10011" s="5"/>
      <c r="K10011" s="5"/>
      <c r="L10011" s="5"/>
    </row>
    <row r="10012" spans="1:12" ht="12" customHeight="1" x14ac:dyDescent="0.25">
      <c r="A10012" s="6"/>
      <c r="B10012" s="1"/>
      <c r="C10012" s="5"/>
      <c r="D10012" s="5"/>
      <c r="E10012" s="5"/>
      <c r="F10012" s="5"/>
      <c r="G10012" s="5"/>
      <c r="H10012" s="5"/>
      <c r="I10012" s="5"/>
      <c r="J10012" s="5"/>
      <c r="K10012" s="5"/>
      <c r="L10012" s="5"/>
    </row>
    <row r="10013" spans="1:12" ht="12" customHeight="1" x14ac:dyDescent="0.25">
      <c r="A10013" s="6"/>
      <c r="B10013" s="1"/>
      <c r="C10013" s="5"/>
      <c r="D10013" s="5"/>
      <c r="E10013" s="5"/>
      <c r="F10013" s="5"/>
      <c r="G10013" s="5"/>
      <c r="H10013" s="5"/>
      <c r="I10013" s="5"/>
      <c r="J10013" s="5"/>
      <c r="K10013" s="5"/>
      <c r="L10013" s="5"/>
    </row>
    <row r="10014" spans="1:12" ht="12" customHeight="1" x14ac:dyDescent="0.25">
      <c r="A10014" s="6"/>
      <c r="B10014" s="1"/>
      <c r="C10014" s="5"/>
      <c r="D10014" s="5"/>
      <c r="E10014" s="5"/>
      <c r="F10014" s="5"/>
      <c r="G10014" s="5"/>
      <c r="H10014" s="5"/>
      <c r="I10014" s="5"/>
      <c r="J10014" s="5"/>
      <c r="K10014" s="5"/>
      <c r="L10014" s="5"/>
    </row>
    <row r="10015" spans="1:12" ht="12" customHeight="1" x14ac:dyDescent="0.25">
      <c r="A10015" s="6"/>
      <c r="B10015" s="1"/>
      <c r="C10015" s="5"/>
      <c r="D10015" s="5"/>
      <c r="E10015" s="5"/>
      <c r="F10015" s="5"/>
      <c r="G10015" s="5"/>
      <c r="H10015" s="5"/>
      <c r="I10015" s="5"/>
      <c r="J10015" s="5"/>
      <c r="K10015" s="5"/>
      <c r="L10015" s="5"/>
    </row>
    <row r="10016" spans="1:12" ht="12" customHeight="1" x14ac:dyDescent="0.25">
      <c r="A10016" s="6"/>
      <c r="B10016" s="1"/>
      <c r="C10016" s="5"/>
      <c r="D10016" s="5"/>
      <c r="E10016" s="5"/>
      <c r="F10016" s="5"/>
      <c r="G10016" s="5"/>
      <c r="H10016" s="5"/>
      <c r="I10016" s="5"/>
      <c r="J10016" s="5"/>
      <c r="K10016" s="5"/>
      <c r="L10016" s="5"/>
    </row>
    <row r="10017" spans="1:12" ht="12" customHeight="1" x14ac:dyDescent="0.25">
      <c r="A10017" s="6"/>
      <c r="B10017" s="1"/>
      <c r="C10017" s="5"/>
      <c r="D10017" s="5"/>
      <c r="E10017" s="5"/>
      <c r="F10017" s="5"/>
      <c r="G10017" s="5"/>
      <c r="H10017" s="5"/>
      <c r="I10017" s="5"/>
      <c r="J10017" s="5"/>
      <c r="K10017" s="5"/>
      <c r="L10017" s="5"/>
    </row>
    <row r="10018" spans="1:12" ht="12" customHeight="1" x14ac:dyDescent="0.25">
      <c r="A10018" s="6"/>
      <c r="B10018" s="1"/>
      <c r="C10018" s="5"/>
      <c r="D10018" s="5"/>
      <c r="E10018" s="5"/>
      <c r="F10018" s="5"/>
      <c r="G10018" s="5"/>
      <c r="H10018" s="5"/>
      <c r="I10018" s="5"/>
      <c r="J10018" s="5"/>
      <c r="K10018" s="5"/>
      <c r="L10018" s="5"/>
    </row>
    <row r="10019" spans="1:12" ht="12" customHeight="1" x14ac:dyDescent="0.25">
      <c r="A10019" s="6"/>
      <c r="B10019" s="1"/>
      <c r="C10019" s="5"/>
      <c r="D10019" s="5"/>
      <c r="E10019" s="5"/>
      <c r="F10019" s="5"/>
      <c r="G10019" s="5"/>
      <c r="H10019" s="5"/>
      <c r="I10019" s="5"/>
      <c r="J10019" s="5"/>
      <c r="K10019" s="5"/>
      <c r="L10019" s="5"/>
    </row>
    <row r="10020" spans="1:12" ht="12" customHeight="1" x14ac:dyDescent="0.25">
      <c r="A10020" s="6"/>
      <c r="B10020" s="1"/>
      <c r="C10020" s="5"/>
      <c r="D10020" s="5"/>
      <c r="E10020" s="5"/>
      <c r="F10020" s="5"/>
      <c r="G10020" s="5"/>
      <c r="H10020" s="5"/>
      <c r="I10020" s="5"/>
      <c r="J10020" s="5"/>
      <c r="K10020" s="5"/>
      <c r="L10020" s="5"/>
    </row>
    <row r="10021" spans="1:12" ht="12" customHeight="1" x14ac:dyDescent="0.25">
      <c r="A10021" s="6"/>
      <c r="B10021" s="1"/>
      <c r="C10021" s="5"/>
      <c r="D10021" s="5"/>
      <c r="E10021" s="5"/>
      <c r="F10021" s="5"/>
      <c r="G10021" s="5"/>
      <c r="H10021" s="5"/>
      <c r="I10021" s="5"/>
      <c r="J10021" s="5"/>
      <c r="K10021" s="5"/>
      <c r="L10021" s="5"/>
    </row>
    <row r="10022" spans="1:12" ht="12" customHeight="1" x14ac:dyDescent="0.25">
      <c r="A10022" s="6"/>
      <c r="B10022" s="1"/>
      <c r="C10022" s="5"/>
      <c r="D10022" s="5"/>
      <c r="E10022" s="5"/>
      <c r="F10022" s="5"/>
      <c r="G10022" s="5"/>
      <c r="H10022" s="5"/>
      <c r="I10022" s="5"/>
      <c r="J10022" s="5"/>
      <c r="K10022" s="5"/>
      <c r="L10022" s="5"/>
    </row>
    <row r="10023" spans="1:12" ht="12" customHeight="1" x14ac:dyDescent="0.25">
      <c r="A10023" s="6"/>
      <c r="B10023" s="1"/>
      <c r="C10023" s="5"/>
      <c r="D10023" s="5"/>
      <c r="E10023" s="5"/>
      <c r="F10023" s="5"/>
      <c r="G10023" s="5"/>
      <c r="H10023" s="5"/>
      <c r="I10023" s="5"/>
      <c r="J10023" s="5"/>
      <c r="K10023" s="5"/>
      <c r="L10023" s="5"/>
    </row>
    <row r="10024" spans="1:12" ht="12" customHeight="1" x14ac:dyDescent="0.25">
      <c r="A10024" s="6"/>
      <c r="B10024" s="1"/>
      <c r="C10024" s="5"/>
      <c r="D10024" s="5"/>
      <c r="E10024" s="5"/>
      <c r="F10024" s="5"/>
      <c r="G10024" s="5"/>
      <c r="H10024" s="5"/>
      <c r="I10024" s="5"/>
      <c r="J10024" s="5"/>
      <c r="K10024" s="5"/>
      <c r="L10024" s="5"/>
    </row>
    <row r="10025" spans="1:12" ht="12" customHeight="1" x14ac:dyDescent="0.25">
      <c r="A10025" s="6"/>
      <c r="B10025" s="1"/>
      <c r="C10025" s="5"/>
      <c r="D10025" s="5"/>
      <c r="E10025" s="5"/>
      <c r="F10025" s="5"/>
      <c r="G10025" s="5"/>
      <c r="H10025" s="5"/>
      <c r="I10025" s="5"/>
      <c r="J10025" s="5"/>
      <c r="K10025" s="5"/>
      <c r="L10025" s="5"/>
    </row>
    <row r="10026" spans="1:12" ht="12" customHeight="1" x14ac:dyDescent="0.25">
      <c r="A10026" s="6"/>
      <c r="B10026" s="1"/>
      <c r="C10026" s="5"/>
      <c r="D10026" s="5"/>
      <c r="E10026" s="5"/>
      <c r="F10026" s="5"/>
      <c r="G10026" s="5"/>
      <c r="H10026" s="5"/>
      <c r="I10026" s="5"/>
      <c r="J10026" s="5"/>
      <c r="K10026" s="5"/>
      <c r="L10026" s="5"/>
    </row>
    <row r="10027" spans="1:12" ht="12" customHeight="1" x14ac:dyDescent="0.25">
      <c r="A10027" s="6"/>
      <c r="B10027" s="1"/>
      <c r="C10027" s="5"/>
      <c r="D10027" s="5"/>
      <c r="E10027" s="5"/>
      <c r="F10027" s="5"/>
      <c r="G10027" s="5"/>
      <c r="H10027" s="5"/>
      <c r="I10027" s="5"/>
      <c r="J10027" s="5"/>
      <c r="K10027" s="5"/>
      <c r="L10027" s="5"/>
    </row>
    <row r="10028" spans="1:12" ht="12" customHeight="1" x14ac:dyDescent="0.25">
      <c r="A10028" s="6"/>
      <c r="B10028" s="1"/>
      <c r="C10028" s="5"/>
      <c r="D10028" s="5"/>
      <c r="E10028" s="5"/>
      <c r="F10028" s="5"/>
      <c r="G10028" s="5"/>
      <c r="H10028" s="5"/>
      <c r="I10028" s="5"/>
      <c r="J10028" s="5"/>
      <c r="K10028" s="5"/>
      <c r="L10028" s="5"/>
    </row>
    <row r="10029" spans="1:12" ht="12" customHeight="1" x14ac:dyDescent="0.25">
      <c r="A10029" s="6"/>
      <c r="B10029" s="1"/>
      <c r="C10029" s="5"/>
      <c r="D10029" s="5"/>
      <c r="E10029" s="5"/>
      <c r="F10029" s="5"/>
      <c r="G10029" s="5"/>
      <c r="H10029" s="5"/>
      <c r="I10029" s="5"/>
      <c r="J10029" s="5"/>
      <c r="K10029" s="5"/>
      <c r="L10029" s="5"/>
    </row>
    <row r="10030" spans="1:12" ht="12" customHeight="1" x14ac:dyDescent="0.25">
      <c r="A10030" s="6"/>
      <c r="B10030" s="1"/>
      <c r="C10030" s="5"/>
      <c r="D10030" s="5"/>
      <c r="E10030" s="5"/>
      <c r="F10030" s="5"/>
      <c r="G10030" s="5"/>
      <c r="H10030" s="5"/>
      <c r="I10030" s="5"/>
      <c r="J10030" s="5"/>
      <c r="K10030" s="5"/>
      <c r="L10030" s="5"/>
    </row>
    <row r="10031" spans="1:12" ht="12" customHeight="1" x14ac:dyDescent="0.25">
      <c r="A10031" s="6"/>
      <c r="B10031" s="1"/>
      <c r="C10031" s="5"/>
      <c r="D10031" s="5"/>
      <c r="E10031" s="5"/>
      <c r="F10031" s="5"/>
      <c r="G10031" s="5"/>
      <c r="H10031" s="5"/>
      <c r="I10031" s="5"/>
      <c r="J10031" s="5"/>
      <c r="K10031" s="5"/>
      <c r="L10031" s="5"/>
    </row>
    <row r="10032" spans="1:12" ht="12" customHeight="1" x14ac:dyDescent="0.25">
      <c r="A10032" s="6"/>
      <c r="B10032" s="1"/>
      <c r="C10032" s="5"/>
      <c r="D10032" s="5"/>
      <c r="E10032" s="5"/>
      <c r="F10032" s="5"/>
      <c r="G10032" s="5"/>
      <c r="H10032" s="5"/>
      <c r="I10032" s="5"/>
      <c r="J10032" s="5"/>
      <c r="K10032" s="5"/>
      <c r="L10032" s="5"/>
    </row>
    <row r="10033" spans="1:12" ht="12" customHeight="1" x14ac:dyDescent="0.25">
      <c r="A10033" s="6"/>
      <c r="B10033" s="1"/>
      <c r="C10033" s="5"/>
      <c r="D10033" s="5"/>
      <c r="E10033" s="5"/>
      <c r="F10033" s="5"/>
      <c r="G10033" s="5"/>
      <c r="H10033" s="5"/>
      <c r="I10033" s="5"/>
      <c r="J10033" s="5"/>
      <c r="K10033" s="5"/>
      <c r="L10033" s="5"/>
    </row>
    <row r="10034" spans="1:12" ht="12" customHeight="1" x14ac:dyDescent="0.25">
      <c r="A10034" s="6"/>
      <c r="B10034" s="1"/>
      <c r="C10034" s="5"/>
      <c r="D10034" s="5"/>
      <c r="E10034" s="5"/>
      <c r="F10034" s="5"/>
      <c r="G10034" s="5"/>
      <c r="H10034" s="5"/>
      <c r="I10034" s="5"/>
      <c r="J10034" s="5"/>
      <c r="K10034" s="5"/>
      <c r="L10034" s="5"/>
    </row>
    <row r="10035" spans="1:12" ht="12" customHeight="1" x14ac:dyDescent="0.25">
      <c r="A10035" s="6"/>
      <c r="B10035" s="1"/>
      <c r="C10035" s="5"/>
      <c r="D10035" s="5"/>
      <c r="E10035" s="5"/>
      <c r="F10035" s="5"/>
      <c r="G10035" s="5"/>
      <c r="H10035" s="5"/>
      <c r="I10035" s="5"/>
      <c r="J10035" s="5"/>
      <c r="K10035" s="5"/>
      <c r="L10035" s="5"/>
    </row>
    <row r="10036" spans="1:12" ht="12" customHeight="1" x14ac:dyDescent="0.25">
      <c r="A10036" s="6"/>
      <c r="B10036" s="1"/>
      <c r="C10036" s="5"/>
      <c r="D10036" s="5"/>
      <c r="E10036" s="5"/>
      <c r="F10036" s="5"/>
      <c r="G10036" s="5"/>
      <c r="H10036" s="5"/>
      <c r="I10036" s="5"/>
      <c r="J10036" s="5"/>
      <c r="K10036" s="5"/>
      <c r="L10036" s="5"/>
    </row>
    <row r="10037" spans="1:12" ht="12" customHeight="1" x14ac:dyDescent="0.25">
      <c r="A10037" s="6"/>
      <c r="B10037" s="1"/>
      <c r="C10037" s="5"/>
      <c r="D10037" s="5"/>
      <c r="E10037" s="5"/>
      <c r="F10037" s="5"/>
      <c r="G10037" s="5"/>
      <c r="H10037" s="5"/>
      <c r="I10037" s="5"/>
      <c r="J10037" s="5"/>
      <c r="K10037" s="5"/>
      <c r="L10037" s="5"/>
    </row>
    <row r="10038" spans="1:12" ht="12" customHeight="1" x14ac:dyDescent="0.25">
      <c r="A10038" s="6"/>
      <c r="B10038" s="1"/>
      <c r="C10038" s="5"/>
      <c r="D10038" s="5"/>
      <c r="E10038" s="5"/>
      <c r="F10038" s="5"/>
      <c r="G10038" s="5"/>
      <c r="H10038" s="5"/>
      <c r="I10038" s="5"/>
      <c r="J10038" s="5"/>
      <c r="K10038" s="5"/>
      <c r="L10038" s="5"/>
    </row>
    <row r="10039" spans="1:12" ht="12" customHeight="1" x14ac:dyDescent="0.25">
      <c r="A10039" s="6"/>
      <c r="B10039" s="1"/>
      <c r="C10039" s="5"/>
      <c r="D10039" s="5"/>
      <c r="E10039" s="5"/>
      <c r="F10039" s="5"/>
      <c r="G10039" s="5"/>
      <c r="H10039" s="5"/>
      <c r="I10039" s="5"/>
      <c r="J10039" s="5"/>
      <c r="K10039" s="5"/>
      <c r="L10039" s="5"/>
    </row>
    <row r="10040" spans="1:12" ht="12" customHeight="1" x14ac:dyDescent="0.25">
      <c r="A10040" s="6"/>
      <c r="B10040" s="1"/>
      <c r="C10040" s="5"/>
      <c r="D10040" s="5"/>
      <c r="E10040" s="5"/>
      <c r="F10040" s="5"/>
      <c r="G10040" s="5"/>
      <c r="H10040" s="5"/>
      <c r="I10040" s="5"/>
      <c r="J10040" s="5"/>
      <c r="K10040" s="5"/>
      <c r="L10040" s="5"/>
    </row>
    <row r="10041" spans="1:12" ht="12" customHeight="1" x14ac:dyDescent="0.25">
      <c r="A10041" s="6"/>
      <c r="B10041" s="1"/>
      <c r="C10041" s="5"/>
      <c r="D10041" s="5"/>
      <c r="E10041" s="5"/>
      <c r="F10041" s="5"/>
      <c r="G10041" s="5"/>
      <c r="H10041" s="5"/>
      <c r="I10041" s="5"/>
      <c r="J10041" s="5"/>
      <c r="K10041" s="5"/>
      <c r="L10041" s="5"/>
    </row>
    <row r="10042" spans="1:12" ht="12" customHeight="1" x14ac:dyDescent="0.25">
      <c r="A10042" s="6"/>
      <c r="B10042" s="1"/>
      <c r="C10042" s="5"/>
      <c r="D10042" s="5"/>
      <c r="E10042" s="5"/>
      <c r="F10042" s="5"/>
      <c r="G10042" s="5"/>
      <c r="H10042" s="5"/>
      <c r="I10042" s="5"/>
      <c r="J10042" s="5"/>
      <c r="K10042" s="5"/>
      <c r="L10042" s="5"/>
    </row>
    <row r="10043" spans="1:12" ht="12" customHeight="1" x14ac:dyDescent="0.25">
      <c r="A10043" s="6"/>
      <c r="B10043" s="1"/>
      <c r="C10043" s="5"/>
      <c r="D10043" s="5"/>
      <c r="E10043" s="5"/>
      <c r="F10043" s="5"/>
      <c r="G10043" s="5"/>
      <c r="H10043" s="5"/>
      <c r="I10043" s="5"/>
      <c r="J10043" s="5"/>
      <c r="K10043" s="5"/>
      <c r="L10043" s="5"/>
    </row>
    <row r="10044" spans="1:12" ht="12" customHeight="1" x14ac:dyDescent="0.25">
      <c r="A10044" s="6"/>
      <c r="B10044" s="1"/>
      <c r="C10044" s="5"/>
      <c r="D10044" s="5"/>
      <c r="E10044" s="5"/>
      <c r="F10044" s="5"/>
      <c r="G10044" s="5"/>
      <c r="H10044" s="5"/>
      <c r="I10044" s="5"/>
      <c r="J10044" s="5"/>
      <c r="K10044" s="5"/>
      <c r="L10044" s="5"/>
    </row>
    <row r="10045" spans="1:12" ht="12" customHeight="1" x14ac:dyDescent="0.25">
      <c r="A10045" s="6"/>
      <c r="B10045" s="1"/>
      <c r="C10045" s="5"/>
      <c r="D10045" s="5"/>
      <c r="E10045" s="5"/>
      <c r="F10045" s="5"/>
      <c r="G10045" s="5"/>
      <c r="H10045" s="5"/>
      <c r="I10045" s="5"/>
      <c r="J10045" s="5"/>
      <c r="K10045" s="5"/>
      <c r="L10045" s="5"/>
    </row>
    <row r="10046" spans="1:12" ht="12" customHeight="1" x14ac:dyDescent="0.25">
      <c r="A10046" s="6"/>
      <c r="B10046" s="1"/>
      <c r="C10046" s="5"/>
      <c r="D10046" s="5"/>
      <c r="E10046" s="5"/>
      <c r="F10046" s="5"/>
      <c r="G10046" s="5"/>
      <c r="H10046" s="5"/>
      <c r="I10046" s="5"/>
      <c r="J10046" s="5"/>
      <c r="K10046" s="5"/>
      <c r="L10046" s="5"/>
    </row>
    <row r="10047" spans="1:12" ht="12" customHeight="1" x14ac:dyDescent="0.25">
      <c r="A10047" s="6"/>
      <c r="B10047" s="1"/>
      <c r="C10047" s="5"/>
      <c r="D10047" s="5"/>
      <c r="E10047" s="5"/>
      <c r="F10047" s="5"/>
      <c r="G10047" s="5"/>
      <c r="H10047" s="5"/>
      <c r="I10047" s="5"/>
      <c r="J10047" s="5"/>
      <c r="K10047" s="5"/>
      <c r="L10047" s="5"/>
    </row>
    <row r="10048" spans="1:12" ht="12" customHeight="1" x14ac:dyDescent="0.25">
      <c r="A10048" s="6"/>
      <c r="B10048" s="1"/>
      <c r="C10048" s="5"/>
      <c r="D10048" s="5"/>
      <c r="E10048" s="5"/>
      <c r="F10048" s="5"/>
      <c r="G10048" s="5"/>
      <c r="H10048" s="5"/>
      <c r="I10048" s="5"/>
      <c r="J10048" s="5"/>
      <c r="K10048" s="5"/>
      <c r="L10048" s="5"/>
    </row>
    <row r="10049" spans="1:12" ht="12" customHeight="1" x14ac:dyDescent="0.25">
      <c r="A10049" s="6"/>
      <c r="B10049" s="1"/>
      <c r="C10049" s="5"/>
      <c r="D10049" s="5"/>
      <c r="E10049" s="5"/>
      <c r="F10049" s="5"/>
      <c r="G10049" s="5"/>
      <c r="H10049" s="5"/>
      <c r="I10049" s="5"/>
      <c r="J10049" s="5"/>
      <c r="K10049" s="5"/>
      <c r="L10049" s="5"/>
    </row>
    <row r="10050" spans="1:12" ht="12" customHeight="1" x14ac:dyDescent="0.25">
      <c r="A10050" s="6"/>
      <c r="B10050" s="1"/>
      <c r="C10050" s="5"/>
      <c r="D10050" s="5"/>
      <c r="E10050" s="5"/>
      <c r="F10050" s="5"/>
      <c r="G10050" s="5"/>
      <c r="H10050" s="5"/>
      <c r="I10050" s="5"/>
      <c r="J10050" s="5"/>
      <c r="K10050" s="5"/>
      <c r="L10050" s="5"/>
    </row>
    <row r="10051" spans="1:12" ht="12" customHeight="1" x14ac:dyDescent="0.25">
      <c r="A10051" s="6"/>
      <c r="B10051" s="1"/>
      <c r="C10051" s="5"/>
      <c r="D10051" s="5"/>
      <c r="E10051" s="5"/>
      <c r="F10051" s="5"/>
      <c r="G10051" s="5"/>
      <c r="H10051" s="5"/>
      <c r="I10051" s="5"/>
      <c r="J10051" s="5"/>
      <c r="K10051" s="5"/>
      <c r="L10051" s="5"/>
    </row>
    <row r="10052" spans="1:12" ht="12" customHeight="1" x14ac:dyDescent="0.25">
      <c r="A10052" s="6"/>
      <c r="B10052" s="1"/>
      <c r="C10052" s="5"/>
      <c r="D10052" s="5"/>
      <c r="E10052" s="5"/>
      <c r="F10052" s="5"/>
      <c r="G10052" s="5"/>
      <c r="H10052" s="5"/>
      <c r="I10052" s="5"/>
      <c r="J10052" s="5"/>
      <c r="K10052" s="5"/>
      <c r="L10052" s="5"/>
    </row>
    <row r="10053" spans="1:12" ht="12" customHeight="1" x14ac:dyDescent="0.25">
      <c r="A10053" s="6"/>
      <c r="B10053" s="1"/>
      <c r="C10053" s="5"/>
      <c r="D10053" s="5"/>
      <c r="E10053" s="5"/>
      <c r="F10053" s="5"/>
      <c r="G10053" s="5"/>
      <c r="H10053" s="5"/>
      <c r="I10053" s="5"/>
      <c r="J10053" s="5"/>
      <c r="K10053" s="5"/>
      <c r="L10053" s="5"/>
    </row>
    <row r="10054" spans="1:12" ht="12" customHeight="1" x14ac:dyDescent="0.25">
      <c r="A10054" s="6"/>
      <c r="B10054" s="1"/>
      <c r="C10054" s="5"/>
      <c r="D10054" s="5"/>
      <c r="E10054" s="5"/>
      <c r="F10054" s="5"/>
      <c r="G10054" s="5"/>
      <c r="H10054" s="5"/>
      <c r="I10054" s="5"/>
      <c r="J10054" s="5"/>
      <c r="K10054" s="5"/>
      <c r="L10054" s="5"/>
    </row>
    <row r="10055" spans="1:12" ht="12" customHeight="1" x14ac:dyDescent="0.25">
      <c r="A10055" s="6"/>
      <c r="B10055" s="1"/>
      <c r="C10055" s="5"/>
      <c r="D10055" s="5"/>
      <c r="E10055" s="5"/>
      <c r="F10055" s="5"/>
      <c r="G10055" s="5"/>
      <c r="H10055" s="5"/>
      <c r="I10055" s="5"/>
      <c r="J10055" s="5"/>
      <c r="K10055" s="5"/>
      <c r="L10055" s="5"/>
    </row>
    <row r="10056" spans="1:12" ht="12" customHeight="1" x14ac:dyDescent="0.25">
      <c r="A10056" s="6"/>
      <c r="B10056" s="1"/>
      <c r="C10056" s="5"/>
      <c r="D10056" s="5"/>
      <c r="E10056" s="5"/>
      <c r="F10056" s="5"/>
      <c r="G10056" s="5"/>
      <c r="H10056" s="5"/>
      <c r="I10056" s="5"/>
      <c r="J10056" s="5"/>
      <c r="K10056" s="5"/>
      <c r="L10056" s="5"/>
    </row>
    <row r="10057" spans="1:12" ht="12" customHeight="1" x14ac:dyDescent="0.25">
      <c r="A10057" s="6"/>
      <c r="B10057" s="1"/>
      <c r="C10057" s="5"/>
      <c r="D10057" s="5"/>
      <c r="E10057" s="5"/>
      <c r="F10057" s="5"/>
      <c r="G10057" s="5"/>
      <c r="H10057" s="5"/>
      <c r="I10057" s="5"/>
      <c r="J10057" s="5"/>
      <c r="K10057" s="5"/>
      <c r="L10057" s="5"/>
    </row>
    <row r="10058" spans="1:12" ht="12" customHeight="1" x14ac:dyDescent="0.25">
      <c r="A10058" s="6"/>
      <c r="B10058" s="1"/>
      <c r="C10058" s="5"/>
      <c r="D10058" s="5"/>
      <c r="E10058" s="5"/>
      <c r="F10058" s="5"/>
      <c r="G10058" s="5"/>
      <c r="H10058" s="5"/>
      <c r="I10058" s="5"/>
      <c r="J10058" s="5"/>
      <c r="K10058" s="5"/>
      <c r="L10058" s="5"/>
    </row>
    <row r="10059" spans="1:12" ht="12" customHeight="1" x14ac:dyDescent="0.25">
      <c r="A10059" s="6"/>
      <c r="B10059" s="1"/>
      <c r="C10059" s="5"/>
      <c r="D10059" s="5"/>
      <c r="E10059" s="5"/>
      <c r="F10059" s="5"/>
      <c r="G10059" s="5"/>
      <c r="H10059" s="5"/>
      <c r="I10059" s="5"/>
      <c r="J10059" s="5"/>
      <c r="K10059" s="5"/>
      <c r="L10059" s="5"/>
    </row>
    <row r="10060" spans="1:12" ht="12" customHeight="1" x14ac:dyDescent="0.25">
      <c r="A10060" s="6"/>
      <c r="B10060" s="1"/>
      <c r="C10060" s="5"/>
      <c r="D10060" s="5"/>
      <c r="E10060" s="5"/>
      <c r="F10060" s="5"/>
      <c r="G10060" s="5"/>
      <c r="H10060" s="5"/>
      <c r="I10060" s="5"/>
      <c r="J10060" s="5"/>
      <c r="K10060" s="5"/>
      <c r="L10060" s="5"/>
    </row>
    <row r="10061" spans="1:12" ht="12" customHeight="1" x14ac:dyDescent="0.25">
      <c r="A10061" s="6"/>
      <c r="B10061" s="1"/>
      <c r="C10061" s="5"/>
      <c r="D10061" s="5"/>
      <c r="E10061" s="5"/>
      <c r="F10061" s="5"/>
      <c r="G10061" s="5"/>
      <c r="H10061" s="5"/>
      <c r="I10061" s="5"/>
      <c r="J10061" s="5"/>
      <c r="K10061" s="5"/>
      <c r="L10061" s="5"/>
    </row>
    <row r="10062" spans="1:12" ht="12" customHeight="1" x14ac:dyDescent="0.25">
      <c r="A10062" s="6"/>
      <c r="B10062" s="1"/>
      <c r="C10062" s="5"/>
      <c r="D10062" s="5"/>
      <c r="E10062" s="5"/>
      <c r="F10062" s="5"/>
      <c r="G10062" s="5"/>
      <c r="H10062" s="5"/>
      <c r="I10062" s="5"/>
      <c r="J10062" s="5"/>
      <c r="K10062" s="5"/>
      <c r="L10062" s="5"/>
    </row>
    <row r="10063" spans="1:12" ht="12" customHeight="1" x14ac:dyDescent="0.25">
      <c r="A10063" s="6"/>
      <c r="B10063" s="1"/>
      <c r="C10063" s="5"/>
      <c r="D10063" s="5"/>
      <c r="E10063" s="5"/>
      <c r="F10063" s="5"/>
      <c r="G10063" s="5"/>
      <c r="H10063" s="5"/>
      <c r="I10063" s="5"/>
      <c r="J10063" s="5"/>
      <c r="K10063" s="5"/>
      <c r="L10063" s="5"/>
    </row>
    <row r="10064" spans="1:12" ht="12" customHeight="1" x14ac:dyDescent="0.25">
      <c r="A10064" s="6"/>
      <c r="B10064" s="1"/>
      <c r="C10064" s="5"/>
      <c r="D10064" s="5"/>
      <c r="E10064" s="5"/>
      <c r="F10064" s="5"/>
      <c r="G10064" s="5"/>
      <c r="H10064" s="5"/>
      <c r="I10064" s="5"/>
      <c r="J10064" s="5"/>
      <c r="K10064" s="5"/>
      <c r="L10064" s="5"/>
    </row>
    <row r="10065" spans="1:12" ht="12" customHeight="1" x14ac:dyDescent="0.25">
      <c r="A10065" s="6"/>
      <c r="B10065" s="1"/>
      <c r="C10065" s="5"/>
      <c r="D10065" s="5"/>
      <c r="E10065" s="5"/>
      <c r="F10065" s="5"/>
      <c r="G10065" s="5"/>
      <c r="H10065" s="5"/>
      <c r="I10065" s="5"/>
      <c r="J10065" s="5"/>
      <c r="K10065" s="5"/>
      <c r="L10065" s="5"/>
    </row>
    <row r="10066" spans="1:12" ht="12" customHeight="1" x14ac:dyDescent="0.25">
      <c r="A10066" s="6"/>
      <c r="B10066" s="1"/>
      <c r="C10066" s="5"/>
      <c r="D10066" s="5"/>
      <c r="E10066" s="5"/>
      <c r="F10066" s="5"/>
      <c r="G10066" s="5"/>
      <c r="H10066" s="5"/>
      <c r="I10066" s="5"/>
      <c r="J10066" s="5"/>
      <c r="K10066" s="5"/>
      <c r="L10066" s="5"/>
    </row>
    <row r="10067" spans="1:12" ht="12" customHeight="1" x14ac:dyDescent="0.25">
      <c r="A10067" s="6"/>
      <c r="B10067" s="1"/>
      <c r="C10067" s="5"/>
      <c r="D10067" s="5"/>
      <c r="E10067" s="5"/>
      <c r="F10067" s="5"/>
      <c r="G10067" s="5"/>
      <c r="H10067" s="5"/>
      <c r="I10067" s="5"/>
      <c r="J10067" s="5"/>
      <c r="K10067" s="5"/>
      <c r="L10067" s="5"/>
    </row>
    <row r="10068" spans="1:12" ht="12" customHeight="1" x14ac:dyDescent="0.25">
      <c r="A10068" s="6"/>
      <c r="B10068" s="1"/>
      <c r="C10068" s="5"/>
      <c r="D10068" s="5"/>
      <c r="E10068" s="5"/>
      <c r="F10068" s="5"/>
      <c r="G10068" s="5"/>
      <c r="H10068" s="5"/>
      <c r="I10068" s="5"/>
      <c r="J10068" s="5"/>
      <c r="K10068" s="5"/>
      <c r="L10068" s="5"/>
    </row>
    <row r="10069" spans="1:12" ht="12" customHeight="1" x14ac:dyDescent="0.25">
      <c r="A10069" s="6"/>
      <c r="B10069" s="1"/>
      <c r="C10069" s="5"/>
      <c r="D10069" s="5"/>
      <c r="E10069" s="5"/>
      <c r="F10069" s="5"/>
      <c r="G10069" s="5"/>
      <c r="H10069" s="5"/>
      <c r="I10069" s="5"/>
      <c r="J10069" s="5"/>
      <c r="K10069" s="5"/>
      <c r="L10069" s="5"/>
    </row>
    <row r="10070" spans="1:12" ht="12" customHeight="1" x14ac:dyDescent="0.25">
      <c r="A10070" s="6"/>
      <c r="B10070" s="1"/>
      <c r="C10070" s="5"/>
      <c r="D10070" s="5"/>
      <c r="E10070" s="5"/>
      <c r="F10070" s="5"/>
      <c r="G10070" s="5"/>
      <c r="H10070" s="5"/>
      <c r="I10070" s="5"/>
      <c r="J10070" s="5"/>
      <c r="K10070" s="5"/>
      <c r="L10070" s="5"/>
    </row>
    <row r="10071" spans="1:12" ht="12" customHeight="1" x14ac:dyDescent="0.25">
      <c r="A10071" s="6"/>
      <c r="B10071" s="1"/>
      <c r="C10071" s="5"/>
      <c r="D10071" s="5"/>
      <c r="E10071" s="5"/>
      <c r="F10071" s="5"/>
      <c r="G10071" s="5"/>
      <c r="H10071" s="5"/>
      <c r="I10071" s="5"/>
      <c r="J10071" s="5"/>
      <c r="K10071" s="5"/>
      <c r="L10071" s="5"/>
    </row>
    <row r="10072" spans="1:12" ht="12" customHeight="1" x14ac:dyDescent="0.25">
      <c r="A10072" s="6"/>
      <c r="B10072" s="1"/>
      <c r="C10072" s="5"/>
      <c r="D10072" s="5"/>
      <c r="E10072" s="5"/>
      <c r="F10072" s="5"/>
      <c r="G10072" s="5"/>
      <c r="H10072" s="5"/>
      <c r="I10072" s="5"/>
      <c r="J10072" s="5"/>
      <c r="K10072" s="5"/>
      <c r="L10072" s="5"/>
    </row>
    <row r="10073" spans="1:12" ht="12" customHeight="1" x14ac:dyDescent="0.25">
      <c r="A10073" s="6"/>
      <c r="B10073" s="1"/>
      <c r="C10073" s="5"/>
      <c r="D10073" s="5"/>
      <c r="E10073" s="5"/>
      <c r="F10073" s="5"/>
      <c r="G10073" s="5"/>
      <c r="H10073" s="5"/>
      <c r="I10073" s="5"/>
      <c r="J10073" s="5"/>
      <c r="K10073" s="5"/>
      <c r="L10073" s="5"/>
    </row>
    <row r="10074" spans="1:12" ht="12" customHeight="1" x14ac:dyDescent="0.25">
      <c r="A10074" s="6"/>
      <c r="B10074" s="1"/>
      <c r="C10074" s="5"/>
      <c r="D10074" s="5"/>
      <c r="E10074" s="5"/>
      <c r="F10074" s="5"/>
      <c r="G10074" s="5"/>
      <c r="H10074" s="5"/>
      <c r="I10074" s="5"/>
      <c r="J10074" s="5"/>
      <c r="K10074" s="5"/>
      <c r="L10074" s="5"/>
    </row>
    <row r="10075" spans="1:12" ht="12" customHeight="1" x14ac:dyDescent="0.25">
      <c r="A10075" s="6"/>
      <c r="B10075" s="1"/>
      <c r="C10075" s="5"/>
      <c r="D10075" s="5"/>
      <c r="E10075" s="5"/>
      <c r="F10075" s="5"/>
      <c r="G10075" s="5"/>
      <c r="H10075" s="5"/>
      <c r="I10075" s="5"/>
      <c r="J10075" s="5"/>
      <c r="K10075" s="5"/>
      <c r="L10075" s="5"/>
    </row>
    <row r="10076" spans="1:12" ht="12" customHeight="1" x14ac:dyDescent="0.25">
      <c r="A10076" s="6"/>
      <c r="B10076" s="1"/>
      <c r="C10076" s="5"/>
      <c r="D10076" s="5"/>
      <c r="E10076" s="5"/>
      <c r="F10076" s="5"/>
      <c r="G10076" s="5"/>
      <c r="H10076" s="5"/>
      <c r="I10076" s="5"/>
      <c r="J10076" s="5"/>
      <c r="K10076" s="5"/>
      <c r="L10076" s="5"/>
    </row>
    <row r="10077" spans="1:12" ht="12" customHeight="1" x14ac:dyDescent="0.25">
      <c r="A10077" s="6"/>
      <c r="B10077" s="1"/>
      <c r="C10077" s="5"/>
      <c r="D10077" s="5"/>
      <c r="E10077" s="5"/>
      <c r="F10077" s="5"/>
      <c r="G10077" s="5"/>
      <c r="H10077" s="5"/>
      <c r="I10077" s="5"/>
      <c r="J10077" s="5"/>
      <c r="K10077" s="5"/>
      <c r="L10077" s="5"/>
    </row>
    <row r="10078" spans="1:12" ht="12" customHeight="1" x14ac:dyDescent="0.25">
      <c r="A10078" s="6"/>
      <c r="B10078" s="1"/>
      <c r="C10078" s="5"/>
      <c r="D10078" s="5"/>
      <c r="E10078" s="5"/>
      <c r="F10078" s="5"/>
      <c r="G10078" s="5"/>
      <c r="H10078" s="5"/>
      <c r="I10078" s="5"/>
      <c r="J10078" s="5"/>
      <c r="K10078" s="5"/>
      <c r="L10078" s="5"/>
    </row>
    <row r="10079" spans="1:12" ht="12" customHeight="1" x14ac:dyDescent="0.25">
      <c r="A10079" s="6"/>
      <c r="B10079" s="1"/>
      <c r="C10079" s="5"/>
      <c r="D10079" s="5"/>
      <c r="E10079" s="5"/>
      <c r="F10079" s="5"/>
      <c r="G10079" s="5"/>
      <c r="H10079" s="5"/>
      <c r="I10079" s="5"/>
      <c r="J10079" s="5"/>
      <c r="K10079" s="5"/>
      <c r="L10079" s="5"/>
    </row>
    <row r="10080" spans="1:12" ht="12" customHeight="1" x14ac:dyDescent="0.25">
      <c r="A10080" s="6"/>
      <c r="B10080" s="1"/>
      <c r="C10080" s="5"/>
      <c r="D10080" s="5"/>
      <c r="E10080" s="5"/>
      <c r="F10080" s="5"/>
      <c r="G10080" s="5"/>
      <c r="H10080" s="5"/>
      <c r="I10080" s="5"/>
      <c r="J10080" s="5"/>
      <c r="K10080" s="5"/>
      <c r="L10080" s="5"/>
    </row>
    <row r="10081" spans="1:12" ht="12" customHeight="1" x14ac:dyDescent="0.25">
      <c r="A10081" s="6"/>
      <c r="B10081" s="1"/>
      <c r="C10081" s="5"/>
      <c r="D10081" s="5"/>
      <c r="E10081" s="5"/>
      <c r="F10081" s="5"/>
      <c r="G10081" s="5"/>
      <c r="H10081" s="5"/>
      <c r="I10081" s="5"/>
      <c r="J10081" s="5"/>
      <c r="K10081" s="5"/>
      <c r="L10081" s="5"/>
    </row>
    <row r="10082" spans="1:12" ht="12" customHeight="1" x14ac:dyDescent="0.25">
      <c r="A10082" s="6"/>
      <c r="B10082" s="1"/>
      <c r="C10082" s="5"/>
      <c r="D10082" s="5"/>
      <c r="E10082" s="5"/>
      <c r="F10082" s="5"/>
      <c r="G10082" s="5"/>
      <c r="H10082" s="5"/>
      <c r="I10082" s="5"/>
      <c r="J10082" s="5"/>
      <c r="K10082" s="5"/>
      <c r="L10082" s="5"/>
    </row>
    <row r="10083" spans="1:12" ht="12" customHeight="1" x14ac:dyDescent="0.25">
      <c r="A10083" s="6"/>
      <c r="B10083" s="1"/>
      <c r="C10083" s="5"/>
      <c r="D10083" s="5"/>
      <c r="E10083" s="5"/>
      <c r="F10083" s="5"/>
      <c r="G10083" s="5"/>
      <c r="H10083" s="5"/>
      <c r="I10083" s="5"/>
      <c r="J10083" s="5"/>
      <c r="K10083" s="5"/>
      <c r="L10083" s="5"/>
    </row>
    <row r="10084" spans="1:12" ht="12" customHeight="1" x14ac:dyDescent="0.25">
      <c r="A10084" s="6"/>
      <c r="B10084" s="1"/>
      <c r="C10084" s="5"/>
      <c r="D10084" s="5"/>
      <c r="E10084" s="5"/>
      <c r="F10084" s="5"/>
      <c r="G10084" s="5"/>
      <c r="H10084" s="5"/>
      <c r="I10084" s="5"/>
      <c r="J10084" s="5"/>
      <c r="K10084" s="5"/>
      <c r="L10084" s="5"/>
    </row>
    <row r="10085" spans="1:12" ht="12" customHeight="1" x14ac:dyDescent="0.25">
      <c r="A10085" s="6"/>
      <c r="B10085" s="1"/>
      <c r="C10085" s="5"/>
      <c r="D10085" s="5"/>
      <c r="E10085" s="5"/>
      <c r="F10085" s="5"/>
      <c r="G10085" s="5"/>
      <c r="H10085" s="5"/>
      <c r="I10085" s="5"/>
      <c r="J10085" s="5"/>
      <c r="K10085" s="5"/>
      <c r="L10085" s="5"/>
    </row>
    <row r="10086" spans="1:12" ht="12" customHeight="1" x14ac:dyDescent="0.25">
      <c r="A10086" s="6"/>
      <c r="B10086" s="1"/>
      <c r="C10086" s="5"/>
      <c r="D10086" s="5"/>
      <c r="E10086" s="5"/>
      <c r="F10086" s="5"/>
      <c r="G10086" s="5"/>
      <c r="H10086" s="5"/>
      <c r="I10086" s="5"/>
      <c r="J10086" s="5"/>
      <c r="K10086" s="5"/>
      <c r="L10086" s="5"/>
    </row>
    <row r="10087" spans="1:12" ht="12" customHeight="1" x14ac:dyDescent="0.25">
      <c r="A10087" s="6"/>
      <c r="B10087" s="1"/>
      <c r="C10087" s="5"/>
      <c r="D10087" s="5"/>
      <c r="E10087" s="5"/>
      <c r="F10087" s="5"/>
      <c r="G10087" s="5"/>
      <c r="H10087" s="5"/>
      <c r="I10087" s="5"/>
      <c r="J10087" s="5"/>
      <c r="K10087" s="5"/>
      <c r="L10087" s="5"/>
    </row>
    <row r="10088" spans="1:12" ht="12" customHeight="1" x14ac:dyDescent="0.25">
      <c r="A10088" s="6"/>
      <c r="B10088" s="1"/>
      <c r="C10088" s="5"/>
      <c r="D10088" s="5"/>
      <c r="E10088" s="5"/>
      <c r="F10088" s="5"/>
      <c r="G10088" s="5"/>
      <c r="H10088" s="5"/>
      <c r="I10088" s="5"/>
      <c r="J10088" s="5"/>
      <c r="K10088" s="5"/>
      <c r="L10088" s="5"/>
    </row>
    <row r="10089" spans="1:12" ht="12" customHeight="1" x14ac:dyDescent="0.25">
      <c r="A10089" s="6"/>
      <c r="B10089" s="1"/>
      <c r="C10089" s="5"/>
      <c r="D10089" s="5"/>
      <c r="E10089" s="5"/>
      <c r="F10089" s="5"/>
      <c r="G10089" s="5"/>
      <c r="H10089" s="5"/>
      <c r="I10089" s="5"/>
      <c r="J10089" s="5"/>
      <c r="K10089" s="5"/>
      <c r="L10089" s="5"/>
    </row>
    <row r="10090" spans="1:12" ht="12" customHeight="1" x14ac:dyDescent="0.25">
      <c r="A10090" s="6"/>
      <c r="B10090" s="1"/>
      <c r="C10090" s="5"/>
      <c r="D10090" s="5"/>
      <c r="E10090" s="5"/>
      <c r="F10090" s="5"/>
      <c r="G10090" s="5"/>
      <c r="H10090" s="5"/>
      <c r="I10090" s="5"/>
      <c r="J10090" s="5"/>
      <c r="K10090" s="5"/>
      <c r="L10090" s="5"/>
    </row>
    <row r="10091" spans="1:12" ht="12" customHeight="1" x14ac:dyDescent="0.25">
      <c r="A10091" s="6"/>
      <c r="B10091" s="1"/>
      <c r="C10091" s="5"/>
      <c r="D10091" s="5"/>
      <c r="E10091" s="5"/>
      <c r="F10091" s="5"/>
      <c r="G10091" s="5"/>
      <c r="H10091" s="5"/>
      <c r="I10091" s="5"/>
      <c r="J10091" s="5"/>
      <c r="K10091" s="5"/>
      <c r="L10091" s="5"/>
    </row>
    <row r="10092" spans="1:12" ht="12" customHeight="1" x14ac:dyDescent="0.25">
      <c r="A10092" s="6"/>
      <c r="B10092" s="1"/>
      <c r="C10092" s="5"/>
      <c r="D10092" s="5"/>
      <c r="E10092" s="5"/>
      <c r="F10092" s="5"/>
      <c r="G10092" s="5"/>
      <c r="H10092" s="5"/>
      <c r="I10092" s="5"/>
      <c r="J10092" s="5"/>
      <c r="K10092" s="5"/>
      <c r="L10092" s="5"/>
    </row>
    <row r="10093" spans="1:12" ht="12" customHeight="1" x14ac:dyDescent="0.25">
      <c r="A10093" s="6"/>
      <c r="B10093" s="1"/>
      <c r="C10093" s="5"/>
      <c r="D10093" s="5"/>
      <c r="E10093" s="5"/>
      <c r="F10093" s="5"/>
      <c r="G10093" s="5"/>
      <c r="H10093" s="5"/>
      <c r="I10093" s="5"/>
      <c r="J10093" s="5"/>
      <c r="K10093" s="5"/>
      <c r="L10093" s="5"/>
    </row>
    <row r="10094" spans="1:12" ht="12" customHeight="1" x14ac:dyDescent="0.25">
      <c r="A10094" s="6"/>
      <c r="B10094" s="1"/>
      <c r="C10094" s="5"/>
      <c r="D10094" s="5"/>
      <c r="E10094" s="5"/>
      <c r="F10094" s="5"/>
      <c r="G10094" s="5"/>
      <c r="H10094" s="5"/>
      <c r="I10094" s="5"/>
      <c r="J10094" s="5"/>
      <c r="K10094" s="5"/>
      <c r="L10094" s="5"/>
    </row>
    <row r="10095" spans="1:12" ht="12" customHeight="1" x14ac:dyDescent="0.25">
      <c r="A10095" s="6"/>
      <c r="B10095" s="1"/>
      <c r="C10095" s="5"/>
      <c r="D10095" s="5"/>
      <c r="E10095" s="5"/>
      <c r="F10095" s="5"/>
      <c r="G10095" s="5"/>
      <c r="H10095" s="5"/>
      <c r="I10095" s="5"/>
      <c r="J10095" s="5"/>
      <c r="K10095" s="5"/>
      <c r="L10095" s="5"/>
    </row>
    <row r="10096" spans="1:12" ht="12" customHeight="1" x14ac:dyDescent="0.25">
      <c r="A10096" s="6"/>
      <c r="B10096" s="1"/>
      <c r="C10096" s="5"/>
      <c r="D10096" s="5"/>
      <c r="E10096" s="5"/>
      <c r="F10096" s="5"/>
      <c r="G10096" s="5"/>
      <c r="H10096" s="5"/>
      <c r="I10096" s="5"/>
      <c r="J10096" s="5"/>
      <c r="K10096" s="5"/>
      <c r="L10096" s="5"/>
    </row>
    <row r="10097" spans="1:12" ht="12" customHeight="1" x14ac:dyDescent="0.25">
      <c r="A10097" s="6"/>
      <c r="B10097" s="1"/>
      <c r="C10097" s="5"/>
      <c r="D10097" s="5"/>
      <c r="E10097" s="5"/>
      <c r="F10097" s="5"/>
      <c r="G10097" s="5"/>
      <c r="H10097" s="5"/>
      <c r="I10097" s="5"/>
      <c r="J10097" s="5"/>
      <c r="K10097" s="5"/>
      <c r="L10097" s="5"/>
    </row>
    <row r="10098" spans="1:12" ht="12" customHeight="1" x14ac:dyDescent="0.25">
      <c r="A10098" s="6"/>
      <c r="B10098" s="1"/>
      <c r="C10098" s="5"/>
      <c r="D10098" s="5"/>
      <c r="E10098" s="5"/>
      <c r="F10098" s="5"/>
      <c r="G10098" s="5"/>
      <c r="H10098" s="5"/>
      <c r="I10098" s="5"/>
      <c r="J10098" s="5"/>
      <c r="K10098" s="5"/>
      <c r="L10098" s="5"/>
    </row>
    <row r="10099" spans="1:12" ht="12" customHeight="1" x14ac:dyDescent="0.25">
      <c r="A10099" s="6"/>
      <c r="B10099" s="1"/>
      <c r="C10099" s="5"/>
      <c r="D10099" s="5"/>
      <c r="E10099" s="5"/>
      <c r="F10099" s="5"/>
      <c r="G10099" s="5"/>
      <c r="H10099" s="5"/>
      <c r="I10099" s="5"/>
      <c r="J10099" s="5"/>
      <c r="K10099" s="5"/>
      <c r="L10099" s="5"/>
    </row>
    <row r="10100" spans="1:12" ht="12" customHeight="1" x14ac:dyDescent="0.25">
      <c r="A10100" s="6"/>
      <c r="B10100" s="1"/>
      <c r="C10100" s="5"/>
      <c r="D10100" s="5"/>
      <c r="E10100" s="5"/>
      <c r="F10100" s="5"/>
      <c r="G10100" s="5"/>
      <c r="H10100" s="5"/>
      <c r="I10100" s="5"/>
      <c r="J10100" s="5"/>
      <c r="K10100" s="5"/>
      <c r="L10100" s="5"/>
    </row>
    <row r="10101" spans="1:12" ht="12" customHeight="1" x14ac:dyDescent="0.25">
      <c r="A10101" s="6"/>
      <c r="B10101" s="1"/>
      <c r="C10101" s="5"/>
      <c r="D10101" s="5"/>
      <c r="E10101" s="5"/>
      <c r="F10101" s="5"/>
      <c r="G10101" s="5"/>
      <c r="H10101" s="5"/>
      <c r="I10101" s="5"/>
      <c r="J10101" s="5"/>
      <c r="K10101" s="5"/>
      <c r="L10101" s="5"/>
    </row>
    <row r="10102" spans="1:12" ht="12" customHeight="1" x14ac:dyDescent="0.25">
      <c r="A10102" s="6"/>
      <c r="B10102" s="1"/>
      <c r="C10102" s="5"/>
      <c r="D10102" s="5"/>
      <c r="E10102" s="5"/>
      <c r="F10102" s="5"/>
      <c r="G10102" s="5"/>
      <c r="H10102" s="5"/>
      <c r="I10102" s="5"/>
      <c r="J10102" s="5"/>
      <c r="K10102" s="5"/>
      <c r="L10102" s="5"/>
    </row>
    <row r="10103" spans="1:12" ht="12" customHeight="1" x14ac:dyDescent="0.25">
      <c r="A10103" s="6"/>
      <c r="B10103" s="1"/>
      <c r="C10103" s="5"/>
      <c r="D10103" s="5"/>
      <c r="E10103" s="5"/>
      <c r="F10103" s="5"/>
      <c r="G10103" s="5"/>
      <c r="H10103" s="5"/>
      <c r="I10103" s="5"/>
      <c r="J10103" s="5"/>
      <c r="K10103" s="5"/>
      <c r="L10103" s="5"/>
    </row>
    <row r="10104" spans="1:12" ht="12" customHeight="1" x14ac:dyDescent="0.25">
      <c r="A10104" s="6"/>
      <c r="B10104" s="1"/>
      <c r="C10104" s="5"/>
      <c r="D10104" s="5"/>
      <c r="E10104" s="5"/>
      <c r="F10104" s="5"/>
      <c r="G10104" s="5"/>
      <c r="H10104" s="5"/>
      <c r="I10104" s="5"/>
      <c r="J10104" s="5"/>
      <c r="K10104" s="5"/>
      <c r="L10104" s="5"/>
    </row>
    <row r="10105" spans="1:12" ht="12" customHeight="1" x14ac:dyDescent="0.25">
      <c r="A10105" s="6"/>
      <c r="B10105" s="1"/>
      <c r="C10105" s="5"/>
      <c r="D10105" s="5"/>
      <c r="E10105" s="5"/>
      <c r="F10105" s="5"/>
      <c r="G10105" s="5"/>
      <c r="H10105" s="5"/>
      <c r="I10105" s="5"/>
      <c r="J10105" s="5"/>
      <c r="K10105" s="5"/>
      <c r="L10105" s="5"/>
    </row>
    <row r="10106" spans="1:12" ht="12" customHeight="1" x14ac:dyDescent="0.25">
      <c r="A10106" s="6"/>
      <c r="B10106" s="1"/>
      <c r="C10106" s="5"/>
      <c r="D10106" s="5"/>
      <c r="E10106" s="5"/>
      <c r="F10106" s="5"/>
      <c r="G10106" s="5"/>
      <c r="H10106" s="5"/>
      <c r="I10106" s="5"/>
      <c r="J10106" s="5"/>
      <c r="K10106" s="5"/>
      <c r="L10106" s="5"/>
    </row>
    <row r="10107" spans="1:12" ht="12" customHeight="1" x14ac:dyDescent="0.25">
      <c r="A10107" s="6"/>
      <c r="B10107" s="1"/>
      <c r="C10107" s="5"/>
      <c r="D10107" s="5"/>
      <c r="E10107" s="5"/>
      <c r="F10107" s="5"/>
      <c r="G10107" s="5"/>
      <c r="H10107" s="5"/>
      <c r="I10107" s="5"/>
      <c r="J10107" s="5"/>
      <c r="K10107" s="5"/>
      <c r="L10107" s="5"/>
    </row>
    <row r="10108" spans="1:12" ht="12" customHeight="1" x14ac:dyDescent="0.25">
      <c r="A10108" s="6"/>
      <c r="B10108" s="1"/>
      <c r="C10108" s="5"/>
      <c r="D10108" s="5"/>
      <c r="E10108" s="5"/>
      <c r="F10108" s="5"/>
      <c r="G10108" s="5"/>
      <c r="H10108" s="5"/>
      <c r="I10108" s="5"/>
      <c r="J10108" s="5"/>
      <c r="K10108" s="5"/>
      <c r="L10108" s="5"/>
    </row>
    <row r="10109" spans="1:12" ht="12" customHeight="1" x14ac:dyDescent="0.25">
      <c r="A10109" s="6"/>
      <c r="B10109" s="1"/>
      <c r="C10109" s="5"/>
      <c r="D10109" s="5"/>
      <c r="E10109" s="5"/>
      <c r="F10109" s="5"/>
      <c r="G10109" s="5"/>
      <c r="H10109" s="5"/>
      <c r="I10109" s="5"/>
      <c r="J10109" s="5"/>
      <c r="K10109" s="5"/>
      <c r="L10109" s="5"/>
    </row>
    <row r="10110" spans="1:12" ht="12" customHeight="1" x14ac:dyDescent="0.25">
      <c r="A10110" s="6"/>
      <c r="B10110" s="1"/>
      <c r="C10110" s="5"/>
      <c r="D10110" s="5"/>
      <c r="E10110" s="5"/>
      <c r="F10110" s="5"/>
      <c r="G10110" s="5"/>
      <c r="H10110" s="5"/>
      <c r="I10110" s="5"/>
      <c r="J10110" s="5"/>
      <c r="K10110" s="5"/>
      <c r="L10110" s="5"/>
    </row>
    <row r="10111" spans="1:12" ht="12" customHeight="1" x14ac:dyDescent="0.25">
      <c r="A10111" s="6"/>
      <c r="B10111" s="1"/>
      <c r="C10111" s="5"/>
      <c r="D10111" s="5"/>
      <c r="E10111" s="5"/>
      <c r="F10111" s="5"/>
      <c r="G10111" s="5"/>
      <c r="H10111" s="5"/>
      <c r="I10111" s="5"/>
      <c r="J10111" s="5"/>
      <c r="K10111" s="5"/>
      <c r="L10111" s="5"/>
    </row>
    <row r="10112" spans="1:12" ht="12" customHeight="1" x14ac:dyDescent="0.25">
      <c r="A10112" s="6"/>
      <c r="B10112" s="1"/>
      <c r="C10112" s="5"/>
      <c r="D10112" s="5"/>
      <c r="E10112" s="5"/>
      <c r="F10112" s="5"/>
      <c r="G10112" s="5"/>
      <c r="H10112" s="5"/>
      <c r="I10112" s="5"/>
      <c r="J10112" s="5"/>
      <c r="K10112" s="5"/>
      <c r="L10112" s="5"/>
    </row>
    <row r="10113" spans="1:12" ht="12" customHeight="1" x14ac:dyDescent="0.25">
      <c r="A10113" s="6"/>
      <c r="B10113" s="1"/>
      <c r="C10113" s="5"/>
      <c r="D10113" s="5"/>
      <c r="E10113" s="5"/>
      <c r="F10113" s="5"/>
      <c r="G10113" s="5"/>
      <c r="H10113" s="5"/>
      <c r="I10113" s="5"/>
      <c r="J10113" s="5"/>
      <c r="K10113" s="5"/>
      <c r="L10113" s="5"/>
    </row>
    <row r="10114" spans="1:12" ht="12" customHeight="1" x14ac:dyDescent="0.25">
      <c r="A10114" s="6"/>
      <c r="B10114" s="1"/>
      <c r="C10114" s="5"/>
      <c r="D10114" s="5"/>
      <c r="E10114" s="5"/>
      <c r="F10114" s="5"/>
      <c r="G10114" s="5"/>
      <c r="H10114" s="5"/>
      <c r="I10114" s="5"/>
      <c r="J10114" s="5"/>
      <c r="K10114" s="5"/>
      <c r="L10114" s="5"/>
    </row>
    <row r="10115" spans="1:12" ht="12" customHeight="1" x14ac:dyDescent="0.25">
      <c r="A10115" s="6"/>
      <c r="B10115" s="1"/>
      <c r="C10115" s="5"/>
      <c r="D10115" s="5"/>
      <c r="E10115" s="5"/>
      <c r="F10115" s="5"/>
      <c r="G10115" s="5"/>
      <c r="H10115" s="5"/>
      <c r="I10115" s="5"/>
      <c r="J10115" s="5"/>
      <c r="K10115" s="5"/>
      <c r="L10115" s="5"/>
    </row>
    <row r="10116" spans="1:12" ht="12" customHeight="1" x14ac:dyDescent="0.25">
      <c r="A10116" s="6"/>
      <c r="B10116" s="1"/>
      <c r="C10116" s="5"/>
      <c r="D10116" s="5"/>
      <c r="E10116" s="5"/>
      <c r="F10116" s="5"/>
      <c r="G10116" s="5"/>
      <c r="H10116" s="5"/>
      <c r="I10116" s="5"/>
      <c r="J10116" s="5"/>
      <c r="K10116" s="5"/>
      <c r="L10116" s="5"/>
    </row>
    <row r="10117" spans="1:12" ht="12" customHeight="1" x14ac:dyDescent="0.25">
      <c r="A10117" s="6"/>
      <c r="B10117" s="1"/>
      <c r="C10117" s="5"/>
      <c r="D10117" s="5"/>
      <c r="E10117" s="5"/>
      <c r="F10117" s="5"/>
      <c r="G10117" s="5"/>
      <c r="H10117" s="5"/>
      <c r="I10117" s="5"/>
      <c r="J10117" s="5"/>
      <c r="K10117" s="5"/>
      <c r="L10117" s="5"/>
    </row>
    <row r="10118" spans="1:12" ht="12" customHeight="1" x14ac:dyDescent="0.25">
      <c r="A10118" s="6"/>
      <c r="B10118" s="1"/>
      <c r="C10118" s="5"/>
      <c r="D10118" s="5"/>
      <c r="E10118" s="5"/>
      <c r="F10118" s="5"/>
      <c r="G10118" s="5"/>
      <c r="H10118" s="5"/>
      <c r="I10118" s="5"/>
      <c r="J10118" s="5"/>
      <c r="K10118" s="5"/>
      <c r="L10118" s="5"/>
    </row>
    <row r="10119" spans="1:12" ht="12" customHeight="1" x14ac:dyDescent="0.25">
      <c r="A10119" s="6"/>
      <c r="B10119" s="1"/>
      <c r="C10119" s="5"/>
      <c r="D10119" s="5"/>
      <c r="E10119" s="5"/>
      <c r="F10119" s="5"/>
      <c r="G10119" s="5"/>
      <c r="H10119" s="5"/>
      <c r="I10119" s="5"/>
      <c r="J10119" s="5"/>
      <c r="K10119" s="5"/>
      <c r="L10119" s="5"/>
    </row>
    <row r="10120" spans="1:12" ht="12" customHeight="1" x14ac:dyDescent="0.25">
      <c r="A10120" s="6"/>
      <c r="B10120" s="1"/>
      <c r="C10120" s="5"/>
      <c r="D10120" s="5"/>
      <c r="E10120" s="5"/>
      <c r="F10120" s="5"/>
      <c r="G10120" s="5"/>
      <c r="H10120" s="5"/>
      <c r="I10120" s="5"/>
      <c r="J10120" s="5"/>
      <c r="K10120" s="5"/>
      <c r="L10120" s="5"/>
    </row>
    <row r="10121" spans="1:12" ht="12" customHeight="1" x14ac:dyDescent="0.25">
      <c r="A10121" s="6"/>
      <c r="B10121" s="1"/>
      <c r="C10121" s="5"/>
      <c r="D10121" s="5"/>
      <c r="E10121" s="5"/>
      <c r="F10121" s="5"/>
      <c r="G10121" s="5"/>
      <c r="H10121" s="5"/>
      <c r="I10121" s="5"/>
      <c r="J10121" s="5"/>
      <c r="K10121" s="5"/>
      <c r="L10121" s="5"/>
    </row>
    <row r="10122" spans="1:12" ht="12" customHeight="1" x14ac:dyDescent="0.25">
      <c r="A10122" s="6"/>
      <c r="B10122" s="1"/>
      <c r="C10122" s="5"/>
      <c r="D10122" s="5"/>
      <c r="E10122" s="5"/>
      <c r="F10122" s="5"/>
      <c r="G10122" s="5"/>
      <c r="H10122" s="5"/>
      <c r="I10122" s="5"/>
      <c r="J10122" s="5"/>
      <c r="K10122" s="5"/>
      <c r="L10122" s="5"/>
    </row>
    <row r="10123" spans="1:12" ht="12" customHeight="1" x14ac:dyDescent="0.25">
      <c r="A10123" s="6"/>
      <c r="B10123" s="1"/>
      <c r="C10123" s="5"/>
      <c r="D10123" s="5"/>
      <c r="E10123" s="5"/>
      <c r="F10123" s="5"/>
      <c r="G10123" s="5"/>
      <c r="H10123" s="5"/>
      <c r="I10123" s="5"/>
      <c r="J10123" s="5"/>
      <c r="K10123" s="5"/>
      <c r="L10123" s="5"/>
    </row>
    <row r="10124" spans="1:12" ht="12" customHeight="1" x14ac:dyDescent="0.25">
      <c r="A10124" s="6"/>
      <c r="B10124" s="1"/>
      <c r="C10124" s="5"/>
      <c r="D10124" s="5"/>
      <c r="E10124" s="5"/>
      <c r="F10124" s="5"/>
      <c r="G10124" s="5"/>
      <c r="H10124" s="5"/>
      <c r="I10124" s="5"/>
      <c r="J10124" s="5"/>
      <c r="K10124" s="5"/>
      <c r="L10124" s="5"/>
    </row>
    <row r="10125" spans="1:12" ht="12" customHeight="1" x14ac:dyDescent="0.25">
      <c r="A10125" s="6"/>
      <c r="B10125" s="1"/>
      <c r="C10125" s="5"/>
      <c r="D10125" s="5"/>
      <c r="E10125" s="5"/>
      <c r="F10125" s="5"/>
      <c r="G10125" s="5"/>
      <c r="H10125" s="5"/>
      <c r="I10125" s="5"/>
      <c r="J10125" s="5"/>
      <c r="K10125" s="5"/>
      <c r="L10125" s="5"/>
    </row>
    <row r="10126" spans="1:12" ht="12" customHeight="1" x14ac:dyDescent="0.25">
      <c r="A10126" s="6"/>
      <c r="B10126" s="1"/>
      <c r="C10126" s="5"/>
      <c r="D10126" s="5"/>
      <c r="E10126" s="5"/>
      <c r="F10126" s="5"/>
      <c r="G10126" s="5"/>
      <c r="H10126" s="5"/>
      <c r="I10126" s="5"/>
      <c r="J10126" s="5"/>
      <c r="K10126" s="5"/>
      <c r="L10126" s="5"/>
    </row>
    <row r="10127" spans="1:12" ht="12" customHeight="1" x14ac:dyDescent="0.25">
      <c r="A10127" s="6"/>
      <c r="B10127" s="1"/>
      <c r="C10127" s="5"/>
      <c r="D10127" s="5"/>
      <c r="E10127" s="5"/>
      <c r="F10127" s="5"/>
      <c r="G10127" s="5"/>
      <c r="H10127" s="5"/>
      <c r="I10127" s="5"/>
      <c r="J10127" s="5"/>
      <c r="K10127" s="5"/>
      <c r="L10127" s="5"/>
    </row>
    <row r="10128" spans="1:12" ht="12" customHeight="1" x14ac:dyDescent="0.25">
      <c r="A10128" s="6"/>
      <c r="B10128" s="1"/>
      <c r="C10128" s="5"/>
      <c r="D10128" s="5"/>
      <c r="E10128" s="5"/>
      <c r="F10128" s="5"/>
      <c r="G10128" s="5"/>
      <c r="H10128" s="5"/>
      <c r="I10128" s="5"/>
      <c r="J10128" s="5"/>
      <c r="K10128" s="5"/>
      <c r="L10128" s="5"/>
    </row>
    <row r="10129" spans="1:12" ht="12" customHeight="1" x14ac:dyDescent="0.25">
      <c r="A10129" s="6"/>
      <c r="B10129" s="1"/>
      <c r="C10129" s="5"/>
      <c r="D10129" s="5"/>
      <c r="E10129" s="5"/>
      <c r="F10129" s="5"/>
      <c r="G10129" s="5"/>
      <c r="H10129" s="5"/>
      <c r="I10129" s="5"/>
      <c r="J10129" s="5"/>
      <c r="K10129" s="5"/>
      <c r="L10129" s="5"/>
    </row>
    <row r="10130" spans="1:12" ht="12" customHeight="1" x14ac:dyDescent="0.25">
      <c r="A10130" s="6"/>
      <c r="B10130" s="1"/>
      <c r="C10130" s="5"/>
      <c r="D10130" s="5"/>
      <c r="E10130" s="5"/>
      <c r="F10130" s="5"/>
      <c r="G10130" s="5"/>
      <c r="H10130" s="5"/>
      <c r="I10130" s="5"/>
      <c r="J10130" s="5"/>
      <c r="K10130" s="5"/>
      <c r="L10130" s="5"/>
    </row>
    <row r="10131" spans="1:12" ht="12" customHeight="1" x14ac:dyDescent="0.25">
      <c r="A10131" s="6"/>
      <c r="B10131" s="1"/>
      <c r="C10131" s="5"/>
      <c r="D10131" s="5"/>
      <c r="E10131" s="5"/>
      <c r="F10131" s="5"/>
      <c r="G10131" s="5"/>
      <c r="H10131" s="5"/>
      <c r="I10131" s="5"/>
      <c r="J10131" s="5"/>
      <c r="K10131" s="5"/>
      <c r="L10131" s="5"/>
    </row>
    <row r="10132" spans="1:12" ht="12" customHeight="1" x14ac:dyDescent="0.25">
      <c r="A10132" s="6"/>
      <c r="B10132" s="1"/>
      <c r="C10132" s="5"/>
      <c r="D10132" s="5"/>
      <c r="E10132" s="5"/>
      <c r="F10132" s="5"/>
      <c r="G10132" s="5"/>
      <c r="H10132" s="5"/>
      <c r="I10132" s="5"/>
      <c r="J10132" s="5"/>
      <c r="K10132" s="5"/>
      <c r="L10132" s="5"/>
    </row>
    <row r="10133" spans="1:12" ht="12" customHeight="1" x14ac:dyDescent="0.25">
      <c r="A10133" s="6"/>
      <c r="B10133" s="1"/>
      <c r="C10133" s="5"/>
      <c r="D10133" s="5"/>
      <c r="E10133" s="5"/>
      <c r="F10133" s="5"/>
      <c r="G10133" s="5"/>
      <c r="H10133" s="5"/>
      <c r="I10133" s="5"/>
      <c r="J10133" s="5"/>
      <c r="K10133" s="5"/>
      <c r="L10133" s="5"/>
    </row>
    <row r="10134" spans="1:12" ht="12" customHeight="1" x14ac:dyDescent="0.25">
      <c r="A10134" s="6"/>
      <c r="B10134" s="1"/>
      <c r="C10134" s="5"/>
      <c r="D10134" s="5"/>
      <c r="E10134" s="5"/>
      <c r="F10134" s="5"/>
      <c r="G10134" s="5"/>
      <c r="H10134" s="5"/>
      <c r="I10134" s="5"/>
      <c r="J10134" s="5"/>
      <c r="K10134" s="5"/>
      <c r="L10134" s="5"/>
    </row>
    <row r="10135" spans="1:12" ht="12" customHeight="1" x14ac:dyDescent="0.25">
      <c r="A10135" s="6"/>
      <c r="B10135" s="1"/>
      <c r="C10135" s="5"/>
      <c r="D10135" s="5"/>
      <c r="E10135" s="5"/>
      <c r="F10135" s="5"/>
      <c r="G10135" s="5"/>
      <c r="H10135" s="5"/>
      <c r="I10135" s="5"/>
      <c r="J10135" s="5"/>
      <c r="K10135" s="5"/>
      <c r="L10135" s="5"/>
    </row>
    <row r="10136" spans="1:12" ht="12" customHeight="1" x14ac:dyDescent="0.25">
      <c r="A10136" s="6"/>
      <c r="B10136" s="1"/>
      <c r="C10136" s="5"/>
      <c r="D10136" s="5"/>
      <c r="E10136" s="5"/>
      <c r="F10136" s="5"/>
      <c r="G10136" s="5"/>
      <c r="H10136" s="5"/>
      <c r="I10136" s="5"/>
      <c r="J10136" s="5"/>
      <c r="K10136" s="5"/>
      <c r="L10136" s="5"/>
    </row>
    <row r="10137" spans="1:12" ht="12" customHeight="1" x14ac:dyDescent="0.25">
      <c r="A10137" s="6"/>
      <c r="B10137" s="1"/>
      <c r="C10137" s="5"/>
      <c r="D10137" s="5"/>
      <c r="E10137" s="5"/>
      <c r="F10137" s="5"/>
      <c r="G10137" s="5"/>
      <c r="H10137" s="5"/>
      <c r="I10137" s="5"/>
      <c r="J10137" s="5"/>
      <c r="K10137" s="5"/>
      <c r="L10137" s="5"/>
    </row>
    <row r="10138" spans="1:12" ht="12" customHeight="1" x14ac:dyDescent="0.25">
      <c r="A10138" s="6"/>
      <c r="B10138" s="1"/>
      <c r="C10138" s="5"/>
      <c r="D10138" s="5"/>
      <c r="E10138" s="5"/>
      <c r="F10138" s="5"/>
      <c r="G10138" s="5"/>
      <c r="H10138" s="5"/>
      <c r="I10138" s="5"/>
      <c r="J10138" s="5"/>
      <c r="K10138" s="5"/>
      <c r="L10138" s="5"/>
    </row>
    <row r="10139" spans="1:12" ht="12" customHeight="1" x14ac:dyDescent="0.25">
      <c r="A10139" s="6"/>
      <c r="B10139" s="1"/>
      <c r="C10139" s="5"/>
      <c r="D10139" s="5"/>
      <c r="E10139" s="5"/>
      <c r="F10139" s="5"/>
      <c r="G10139" s="5"/>
      <c r="H10139" s="5"/>
      <c r="I10139" s="5"/>
      <c r="J10139" s="5"/>
      <c r="K10139" s="5"/>
      <c r="L10139" s="5"/>
    </row>
    <row r="10140" spans="1:12" ht="12" customHeight="1" x14ac:dyDescent="0.25">
      <c r="A10140" s="6"/>
      <c r="B10140" s="1"/>
      <c r="C10140" s="5"/>
      <c r="D10140" s="5"/>
      <c r="E10140" s="5"/>
      <c r="F10140" s="5"/>
      <c r="G10140" s="5"/>
      <c r="H10140" s="5"/>
      <c r="I10140" s="5"/>
      <c r="J10140" s="5"/>
      <c r="K10140" s="5"/>
      <c r="L10140" s="5"/>
    </row>
    <row r="10141" spans="1:12" ht="12" customHeight="1" x14ac:dyDescent="0.25">
      <c r="A10141" s="6"/>
      <c r="B10141" s="1"/>
      <c r="C10141" s="5"/>
      <c r="D10141" s="5"/>
      <c r="E10141" s="5"/>
      <c r="F10141" s="5"/>
      <c r="G10141" s="5"/>
      <c r="H10141" s="5"/>
      <c r="I10141" s="5"/>
      <c r="J10141" s="5"/>
      <c r="K10141" s="5"/>
      <c r="L10141" s="5"/>
    </row>
    <row r="10142" spans="1:12" ht="12" customHeight="1" x14ac:dyDescent="0.25">
      <c r="A10142" s="6"/>
      <c r="B10142" s="1"/>
      <c r="C10142" s="5"/>
      <c r="D10142" s="5"/>
      <c r="E10142" s="5"/>
      <c r="F10142" s="5"/>
      <c r="G10142" s="5"/>
      <c r="H10142" s="5"/>
      <c r="I10142" s="5"/>
      <c r="J10142" s="5"/>
      <c r="K10142" s="5"/>
      <c r="L10142" s="5"/>
    </row>
    <row r="10143" spans="1:12" ht="12" customHeight="1" x14ac:dyDescent="0.25">
      <c r="A10143" s="6"/>
      <c r="B10143" s="1"/>
      <c r="C10143" s="5"/>
      <c r="D10143" s="5"/>
      <c r="E10143" s="5"/>
      <c r="F10143" s="5"/>
      <c r="G10143" s="5"/>
      <c r="H10143" s="5"/>
      <c r="I10143" s="5"/>
      <c r="J10143" s="5"/>
      <c r="K10143" s="5"/>
      <c r="L10143" s="5"/>
    </row>
    <row r="10144" spans="1:12" ht="12" customHeight="1" x14ac:dyDescent="0.25">
      <c r="A10144" s="6"/>
      <c r="B10144" s="1"/>
      <c r="C10144" s="5"/>
      <c r="D10144" s="5"/>
      <c r="E10144" s="5"/>
      <c r="F10144" s="5"/>
      <c r="G10144" s="5"/>
      <c r="H10144" s="5"/>
      <c r="I10144" s="5"/>
      <c r="J10144" s="5"/>
      <c r="K10144" s="5"/>
      <c r="L10144" s="5"/>
    </row>
    <row r="10145" spans="1:12" ht="12" customHeight="1" x14ac:dyDescent="0.25">
      <c r="A10145" s="6"/>
      <c r="B10145" s="1"/>
      <c r="C10145" s="5"/>
      <c r="D10145" s="5"/>
      <c r="E10145" s="5"/>
      <c r="F10145" s="5"/>
      <c r="G10145" s="5"/>
      <c r="H10145" s="5"/>
      <c r="I10145" s="5"/>
      <c r="J10145" s="5"/>
      <c r="K10145" s="5"/>
      <c r="L10145" s="5"/>
    </row>
    <row r="10146" spans="1:12" ht="12" customHeight="1" x14ac:dyDescent="0.25">
      <c r="A10146" s="6"/>
      <c r="B10146" s="1"/>
      <c r="C10146" s="5"/>
      <c r="D10146" s="5"/>
      <c r="E10146" s="5"/>
      <c r="F10146" s="5"/>
      <c r="G10146" s="5"/>
      <c r="H10146" s="5"/>
      <c r="I10146" s="5"/>
      <c r="J10146" s="5"/>
      <c r="K10146" s="5"/>
      <c r="L10146" s="5"/>
    </row>
    <row r="10147" spans="1:12" ht="12" customHeight="1" x14ac:dyDescent="0.25">
      <c r="A10147" s="6"/>
      <c r="B10147" s="1"/>
      <c r="C10147" s="5"/>
      <c r="D10147" s="5"/>
      <c r="E10147" s="5"/>
      <c r="F10147" s="5"/>
      <c r="G10147" s="5"/>
      <c r="H10147" s="5"/>
      <c r="I10147" s="5"/>
      <c r="J10147" s="5"/>
      <c r="K10147" s="5"/>
      <c r="L10147" s="5"/>
    </row>
    <row r="10148" spans="1:12" ht="12" customHeight="1" x14ac:dyDescent="0.25">
      <c r="A10148" s="6"/>
      <c r="B10148" s="1"/>
      <c r="C10148" s="5"/>
      <c r="D10148" s="5"/>
      <c r="E10148" s="5"/>
      <c r="F10148" s="5"/>
      <c r="G10148" s="5"/>
      <c r="H10148" s="5"/>
      <c r="I10148" s="5"/>
      <c r="J10148" s="5"/>
      <c r="K10148" s="5"/>
      <c r="L10148" s="5"/>
    </row>
    <row r="10149" spans="1:12" ht="12" customHeight="1" x14ac:dyDescent="0.25">
      <c r="A10149" s="6"/>
      <c r="B10149" s="1"/>
      <c r="C10149" s="5"/>
      <c r="D10149" s="5"/>
      <c r="E10149" s="5"/>
      <c r="F10149" s="5"/>
      <c r="G10149" s="5"/>
      <c r="H10149" s="5"/>
      <c r="I10149" s="5"/>
      <c r="J10149" s="5"/>
      <c r="K10149" s="5"/>
      <c r="L10149" s="5"/>
    </row>
    <row r="10150" spans="1:12" ht="12" customHeight="1" x14ac:dyDescent="0.25">
      <c r="A10150" s="6"/>
      <c r="B10150" s="1"/>
      <c r="C10150" s="5"/>
      <c r="D10150" s="5"/>
      <c r="E10150" s="5"/>
      <c r="F10150" s="5"/>
      <c r="G10150" s="5"/>
      <c r="H10150" s="5"/>
      <c r="I10150" s="5"/>
      <c r="J10150" s="5"/>
      <c r="K10150" s="5"/>
      <c r="L10150" s="5"/>
    </row>
    <row r="10151" spans="1:12" ht="12" customHeight="1" x14ac:dyDescent="0.25">
      <c r="A10151" s="6"/>
      <c r="B10151" s="1"/>
      <c r="C10151" s="5"/>
      <c r="D10151" s="5"/>
      <c r="E10151" s="5"/>
      <c r="F10151" s="5"/>
      <c r="G10151" s="5"/>
      <c r="H10151" s="5"/>
      <c r="I10151" s="5"/>
      <c r="J10151" s="5"/>
      <c r="K10151" s="5"/>
      <c r="L10151" s="5"/>
    </row>
    <row r="10152" spans="1:12" ht="12" customHeight="1" x14ac:dyDescent="0.25">
      <c r="A10152" s="6"/>
      <c r="B10152" s="1"/>
      <c r="C10152" s="5"/>
      <c r="D10152" s="5"/>
      <c r="E10152" s="5"/>
      <c r="F10152" s="5"/>
      <c r="G10152" s="5"/>
      <c r="H10152" s="5"/>
      <c r="I10152" s="5"/>
      <c r="J10152" s="5"/>
      <c r="K10152" s="5"/>
      <c r="L10152" s="5"/>
    </row>
    <row r="10153" spans="1:12" ht="12" customHeight="1" x14ac:dyDescent="0.25">
      <c r="A10153" s="6"/>
      <c r="B10153" s="1"/>
      <c r="C10153" s="5"/>
      <c r="D10153" s="5"/>
      <c r="E10153" s="5"/>
      <c r="F10153" s="5"/>
      <c r="G10153" s="5"/>
      <c r="H10153" s="5"/>
      <c r="I10153" s="5"/>
      <c r="J10153" s="5"/>
      <c r="K10153" s="5"/>
      <c r="L10153" s="5"/>
    </row>
    <row r="10154" spans="1:12" ht="12" customHeight="1" x14ac:dyDescent="0.25">
      <c r="A10154" s="6"/>
      <c r="B10154" s="1"/>
      <c r="C10154" s="5"/>
      <c r="D10154" s="5"/>
      <c r="E10154" s="5"/>
      <c r="F10154" s="5"/>
      <c r="G10154" s="5"/>
      <c r="H10154" s="5"/>
      <c r="I10154" s="5"/>
      <c r="J10154" s="5"/>
      <c r="K10154" s="5"/>
      <c r="L10154" s="5"/>
    </row>
    <row r="10155" spans="1:12" ht="12" customHeight="1" x14ac:dyDescent="0.25">
      <c r="A10155" s="6"/>
      <c r="B10155" s="1"/>
      <c r="C10155" s="5"/>
      <c r="D10155" s="5"/>
      <c r="E10155" s="5"/>
      <c r="F10155" s="5"/>
      <c r="G10155" s="5"/>
      <c r="H10155" s="5"/>
      <c r="I10155" s="5"/>
      <c r="J10155" s="5"/>
      <c r="K10155" s="5"/>
      <c r="L10155" s="5"/>
    </row>
    <row r="10156" spans="1:12" ht="12" customHeight="1" x14ac:dyDescent="0.25">
      <c r="A10156" s="6"/>
      <c r="B10156" s="1"/>
      <c r="C10156" s="5"/>
      <c r="D10156" s="5"/>
      <c r="E10156" s="5"/>
      <c r="F10156" s="5"/>
      <c r="G10156" s="5"/>
      <c r="H10156" s="5"/>
      <c r="I10156" s="5"/>
      <c r="J10156" s="5"/>
      <c r="K10156" s="5"/>
      <c r="L10156" s="5"/>
    </row>
    <row r="10157" spans="1:12" ht="12" customHeight="1" x14ac:dyDescent="0.25">
      <c r="A10157" s="6"/>
      <c r="B10157" s="1"/>
      <c r="C10157" s="5"/>
      <c r="D10157" s="5"/>
      <c r="E10157" s="5"/>
      <c r="F10157" s="5"/>
      <c r="G10157" s="5"/>
      <c r="H10157" s="5"/>
      <c r="I10157" s="5"/>
      <c r="J10157" s="5"/>
      <c r="K10157" s="5"/>
      <c r="L10157" s="5"/>
    </row>
    <row r="10158" spans="1:12" ht="12" customHeight="1" x14ac:dyDescent="0.25">
      <c r="A10158" s="6"/>
      <c r="B10158" s="1"/>
      <c r="C10158" s="5"/>
      <c r="D10158" s="5"/>
      <c r="E10158" s="5"/>
      <c r="F10158" s="5"/>
      <c r="G10158" s="5"/>
      <c r="H10158" s="5"/>
      <c r="I10158" s="5"/>
      <c r="J10158" s="5"/>
      <c r="K10158" s="5"/>
      <c r="L10158" s="5"/>
    </row>
    <row r="10159" spans="1:12" ht="12" customHeight="1" x14ac:dyDescent="0.25">
      <c r="A10159" s="6"/>
      <c r="B10159" s="1"/>
      <c r="C10159" s="5"/>
      <c r="D10159" s="5"/>
      <c r="E10159" s="5"/>
      <c r="F10159" s="5"/>
      <c r="G10159" s="5"/>
      <c r="H10159" s="5"/>
      <c r="I10159" s="5"/>
      <c r="J10159" s="5"/>
      <c r="K10159" s="5"/>
      <c r="L10159" s="5"/>
    </row>
    <row r="10160" spans="1:12" ht="12" customHeight="1" x14ac:dyDescent="0.25">
      <c r="A10160" s="6"/>
      <c r="B10160" s="1"/>
      <c r="C10160" s="5"/>
      <c r="D10160" s="5"/>
      <c r="E10160" s="5"/>
      <c r="F10160" s="5"/>
      <c r="G10160" s="5"/>
      <c r="H10160" s="5"/>
      <c r="I10160" s="5"/>
      <c r="J10160" s="5"/>
      <c r="K10160" s="5"/>
      <c r="L10160" s="5"/>
    </row>
    <row r="10161" spans="1:12" ht="12" customHeight="1" x14ac:dyDescent="0.25">
      <c r="A10161" s="6"/>
      <c r="B10161" s="1"/>
      <c r="C10161" s="5"/>
      <c r="D10161" s="5"/>
      <c r="E10161" s="5"/>
      <c r="F10161" s="5"/>
      <c r="G10161" s="5"/>
      <c r="H10161" s="5"/>
      <c r="I10161" s="5"/>
      <c r="J10161" s="5"/>
      <c r="K10161" s="5"/>
      <c r="L10161" s="5"/>
    </row>
    <row r="10162" spans="1:12" ht="12" customHeight="1" x14ac:dyDescent="0.25">
      <c r="A10162" s="6"/>
      <c r="B10162" s="1"/>
      <c r="C10162" s="5"/>
      <c r="D10162" s="5"/>
      <c r="E10162" s="5"/>
      <c r="F10162" s="5"/>
      <c r="G10162" s="5"/>
      <c r="H10162" s="5"/>
      <c r="I10162" s="5"/>
      <c r="J10162" s="5"/>
      <c r="K10162" s="5"/>
      <c r="L10162" s="5"/>
    </row>
    <row r="10163" spans="1:12" ht="12" customHeight="1" x14ac:dyDescent="0.25">
      <c r="A10163" s="6"/>
      <c r="B10163" s="1"/>
      <c r="C10163" s="5"/>
      <c r="D10163" s="5"/>
      <c r="E10163" s="5"/>
      <c r="F10163" s="5"/>
      <c r="G10163" s="5"/>
      <c r="H10163" s="5"/>
      <c r="I10163" s="5"/>
      <c r="J10163" s="5"/>
      <c r="K10163" s="5"/>
      <c r="L10163" s="5"/>
    </row>
    <row r="10164" spans="1:12" ht="12" customHeight="1" x14ac:dyDescent="0.25">
      <c r="A10164" s="6"/>
      <c r="B10164" s="1"/>
      <c r="C10164" s="5"/>
      <c r="D10164" s="5"/>
      <c r="E10164" s="5"/>
      <c r="F10164" s="5"/>
      <c r="G10164" s="5"/>
      <c r="H10164" s="5"/>
      <c r="I10164" s="5"/>
      <c r="J10164" s="5"/>
      <c r="K10164" s="5"/>
      <c r="L10164" s="5"/>
    </row>
    <row r="10165" spans="1:12" ht="12" customHeight="1" x14ac:dyDescent="0.25">
      <c r="A10165" s="6"/>
      <c r="B10165" s="1"/>
      <c r="C10165" s="5"/>
      <c r="D10165" s="5"/>
      <c r="E10165" s="5"/>
      <c r="F10165" s="5"/>
      <c r="G10165" s="5"/>
      <c r="H10165" s="5"/>
      <c r="I10165" s="5"/>
      <c r="J10165" s="5"/>
      <c r="K10165" s="5"/>
      <c r="L10165" s="5"/>
    </row>
    <row r="10166" spans="1:12" ht="12" customHeight="1" x14ac:dyDescent="0.25">
      <c r="A10166" s="6"/>
      <c r="B10166" s="1"/>
      <c r="C10166" s="5"/>
      <c r="D10166" s="5"/>
      <c r="E10166" s="5"/>
      <c r="F10166" s="5"/>
      <c r="G10166" s="5"/>
      <c r="H10166" s="5"/>
      <c r="I10166" s="5"/>
      <c r="J10166" s="5"/>
      <c r="K10166" s="5"/>
      <c r="L10166" s="5"/>
    </row>
    <row r="10167" spans="1:12" ht="12" customHeight="1" x14ac:dyDescent="0.25">
      <c r="A10167" s="6"/>
      <c r="B10167" s="1"/>
      <c r="C10167" s="5"/>
      <c r="D10167" s="5"/>
      <c r="E10167" s="5"/>
      <c r="F10167" s="5"/>
      <c r="G10167" s="5"/>
      <c r="H10167" s="5"/>
      <c r="I10167" s="5"/>
      <c r="J10167" s="5"/>
      <c r="K10167" s="5"/>
      <c r="L10167" s="5"/>
    </row>
    <row r="10168" spans="1:12" ht="12" customHeight="1" x14ac:dyDescent="0.25">
      <c r="A10168" s="6"/>
      <c r="B10168" s="1"/>
      <c r="C10168" s="5"/>
      <c r="D10168" s="5"/>
      <c r="E10168" s="5"/>
      <c r="F10168" s="5"/>
      <c r="G10168" s="5"/>
      <c r="H10168" s="5"/>
      <c r="I10168" s="5"/>
      <c r="J10168" s="5"/>
      <c r="K10168" s="5"/>
      <c r="L10168" s="5"/>
    </row>
    <row r="10169" spans="1:12" ht="12" customHeight="1" x14ac:dyDescent="0.25">
      <c r="A10169" s="6"/>
      <c r="B10169" s="1"/>
      <c r="C10169" s="5"/>
      <c r="D10169" s="5"/>
      <c r="E10169" s="5"/>
      <c r="F10169" s="5"/>
      <c r="G10169" s="5"/>
      <c r="H10169" s="5"/>
      <c r="I10169" s="5"/>
      <c r="J10169" s="5"/>
      <c r="K10169" s="5"/>
      <c r="L10169" s="5"/>
    </row>
    <row r="10170" spans="1:12" ht="12" customHeight="1" x14ac:dyDescent="0.25">
      <c r="A10170" s="6"/>
      <c r="B10170" s="1"/>
      <c r="C10170" s="5"/>
      <c r="D10170" s="5"/>
      <c r="E10170" s="5"/>
      <c r="F10170" s="5"/>
      <c r="G10170" s="5"/>
      <c r="H10170" s="5"/>
      <c r="I10170" s="5"/>
      <c r="J10170" s="5"/>
      <c r="K10170" s="5"/>
      <c r="L10170" s="5"/>
    </row>
    <row r="10171" spans="1:12" ht="12" customHeight="1" x14ac:dyDescent="0.25">
      <c r="A10171" s="6"/>
      <c r="B10171" s="1"/>
      <c r="C10171" s="5"/>
      <c r="D10171" s="5"/>
      <c r="E10171" s="5"/>
      <c r="F10171" s="5"/>
      <c r="G10171" s="5"/>
      <c r="H10171" s="5"/>
      <c r="I10171" s="5"/>
      <c r="J10171" s="5"/>
      <c r="K10171" s="5"/>
      <c r="L10171" s="5"/>
    </row>
    <row r="10172" spans="1:12" ht="12" customHeight="1" x14ac:dyDescent="0.25">
      <c r="A10172" s="6"/>
      <c r="B10172" s="1"/>
      <c r="C10172" s="5"/>
      <c r="D10172" s="5"/>
      <c r="E10172" s="5"/>
      <c r="F10172" s="5"/>
      <c r="G10172" s="5"/>
      <c r="H10172" s="5"/>
      <c r="I10172" s="5"/>
      <c r="J10172" s="5"/>
      <c r="K10172" s="5"/>
      <c r="L10172" s="5"/>
    </row>
    <row r="10173" spans="1:12" ht="12" customHeight="1" x14ac:dyDescent="0.25">
      <c r="A10173" s="6"/>
      <c r="B10173" s="1"/>
      <c r="C10173" s="5"/>
      <c r="D10173" s="5"/>
      <c r="E10173" s="5"/>
      <c r="F10173" s="5"/>
      <c r="G10173" s="5"/>
      <c r="H10173" s="5"/>
      <c r="I10173" s="5"/>
      <c r="J10173" s="5"/>
      <c r="K10173" s="5"/>
      <c r="L10173" s="5"/>
    </row>
    <row r="10174" spans="1:12" ht="12" customHeight="1" x14ac:dyDescent="0.25">
      <c r="A10174" s="6"/>
      <c r="B10174" s="1"/>
      <c r="C10174" s="5"/>
      <c r="D10174" s="5"/>
      <c r="E10174" s="5"/>
      <c r="F10174" s="5"/>
      <c r="G10174" s="5"/>
      <c r="H10174" s="5"/>
      <c r="I10174" s="5"/>
      <c r="J10174" s="5"/>
      <c r="K10174" s="5"/>
      <c r="L10174" s="5"/>
    </row>
    <row r="10175" spans="1:12" ht="12" customHeight="1" x14ac:dyDescent="0.25">
      <c r="A10175" s="6"/>
      <c r="B10175" s="1"/>
      <c r="C10175" s="5"/>
      <c r="D10175" s="5"/>
      <c r="E10175" s="5"/>
      <c r="F10175" s="5"/>
      <c r="G10175" s="5"/>
      <c r="H10175" s="5"/>
      <c r="I10175" s="5"/>
      <c r="J10175" s="5"/>
      <c r="K10175" s="5"/>
      <c r="L10175" s="5"/>
    </row>
    <row r="10176" spans="1:12" ht="12" customHeight="1" x14ac:dyDescent="0.25">
      <c r="A10176" s="6"/>
      <c r="B10176" s="1"/>
      <c r="C10176" s="5"/>
      <c r="D10176" s="5"/>
      <c r="E10176" s="5"/>
      <c r="F10176" s="5"/>
      <c r="G10176" s="5"/>
      <c r="H10176" s="5"/>
      <c r="I10176" s="5"/>
      <c r="J10176" s="5"/>
      <c r="K10176" s="5"/>
      <c r="L10176" s="5"/>
    </row>
    <row r="10177" spans="1:12" ht="12" customHeight="1" x14ac:dyDescent="0.25">
      <c r="A10177" s="6"/>
      <c r="B10177" s="1"/>
      <c r="C10177" s="5"/>
      <c r="D10177" s="5"/>
      <c r="E10177" s="5"/>
      <c r="F10177" s="5"/>
      <c r="G10177" s="5"/>
      <c r="H10177" s="5"/>
      <c r="I10177" s="5"/>
      <c r="J10177" s="5"/>
      <c r="K10177" s="5"/>
      <c r="L10177" s="5"/>
    </row>
    <row r="10178" spans="1:12" ht="12" customHeight="1" x14ac:dyDescent="0.25">
      <c r="A10178" s="6"/>
      <c r="B10178" s="1"/>
      <c r="C10178" s="5"/>
      <c r="D10178" s="5"/>
      <c r="E10178" s="5"/>
      <c r="F10178" s="5"/>
      <c r="G10178" s="5"/>
      <c r="H10178" s="5"/>
      <c r="I10178" s="5"/>
      <c r="J10178" s="5"/>
      <c r="K10178" s="5"/>
      <c r="L10178" s="5"/>
    </row>
    <row r="10179" spans="1:12" ht="12" customHeight="1" x14ac:dyDescent="0.25">
      <c r="A10179" s="6"/>
      <c r="B10179" s="1"/>
      <c r="C10179" s="5"/>
      <c r="D10179" s="5"/>
      <c r="E10179" s="5"/>
      <c r="F10179" s="5"/>
      <c r="G10179" s="5"/>
      <c r="H10179" s="5"/>
      <c r="I10179" s="5"/>
      <c r="J10179" s="5"/>
      <c r="K10179" s="5"/>
      <c r="L10179" s="5"/>
    </row>
    <row r="10180" spans="1:12" ht="12" customHeight="1" x14ac:dyDescent="0.25">
      <c r="A10180" s="6"/>
      <c r="B10180" s="1"/>
      <c r="C10180" s="5"/>
      <c r="D10180" s="5"/>
      <c r="E10180" s="5"/>
      <c r="F10180" s="5"/>
      <c r="G10180" s="5"/>
      <c r="H10180" s="5"/>
      <c r="I10180" s="5"/>
      <c r="J10180" s="5"/>
      <c r="K10180" s="5"/>
      <c r="L10180" s="5"/>
    </row>
    <row r="10181" spans="1:12" ht="12" customHeight="1" x14ac:dyDescent="0.25">
      <c r="A10181" s="6"/>
      <c r="B10181" s="1"/>
      <c r="C10181" s="5"/>
      <c r="D10181" s="5"/>
      <c r="E10181" s="5"/>
      <c r="F10181" s="5"/>
      <c r="G10181" s="5"/>
      <c r="H10181" s="5"/>
      <c r="I10181" s="5"/>
      <c r="J10181" s="5"/>
      <c r="K10181" s="5"/>
      <c r="L10181" s="5"/>
    </row>
    <row r="10182" spans="1:12" ht="12" customHeight="1" x14ac:dyDescent="0.25">
      <c r="A10182" s="6"/>
      <c r="B10182" s="1"/>
      <c r="C10182" s="5"/>
      <c r="D10182" s="5"/>
      <c r="E10182" s="5"/>
      <c r="F10182" s="5"/>
      <c r="G10182" s="5"/>
      <c r="H10182" s="5"/>
      <c r="I10182" s="5"/>
      <c r="J10182" s="5"/>
      <c r="K10182" s="5"/>
      <c r="L10182" s="5"/>
    </row>
    <row r="10183" spans="1:12" ht="12" customHeight="1" x14ac:dyDescent="0.25">
      <c r="A10183" s="6"/>
      <c r="B10183" s="1"/>
      <c r="C10183" s="5"/>
      <c r="D10183" s="5"/>
      <c r="E10183" s="5"/>
      <c r="F10183" s="5"/>
      <c r="G10183" s="5"/>
      <c r="H10183" s="5"/>
      <c r="I10183" s="5"/>
      <c r="J10183" s="5"/>
      <c r="K10183" s="5"/>
      <c r="L10183" s="5"/>
    </row>
    <row r="10184" spans="1:12" ht="12" customHeight="1" x14ac:dyDescent="0.25">
      <c r="A10184" s="6"/>
      <c r="B10184" s="1"/>
      <c r="C10184" s="5"/>
      <c r="D10184" s="5"/>
      <c r="E10184" s="5"/>
      <c r="F10184" s="5"/>
      <c r="G10184" s="5"/>
      <c r="H10184" s="5"/>
      <c r="I10184" s="5"/>
      <c r="J10184" s="5"/>
      <c r="K10184" s="5"/>
      <c r="L10184" s="5"/>
    </row>
    <row r="10185" spans="1:12" ht="12" customHeight="1" x14ac:dyDescent="0.25">
      <c r="A10185" s="6"/>
      <c r="B10185" s="1"/>
      <c r="C10185" s="5"/>
      <c r="D10185" s="5"/>
      <c r="E10185" s="5"/>
      <c r="F10185" s="5"/>
      <c r="G10185" s="5"/>
      <c r="H10185" s="5"/>
      <c r="I10185" s="5"/>
      <c r="J10185" s="5"/>
      <c r="K10185" s="5"/>
      <c r="L10185" s="5"/>
    </row>
    <row r="10186" spans="1:12" ht="12" customHeight="1" x14ac:dyDescent="0.25">
      <c r="A10186" s="6"/>
      <c r="B10186" s="1"/>
      <c r="C10186" s="5"/>
      <c r="D10186" s="5"/>
      <c r="E10186" s="5"/>
      <c r="F10186" s="5"/>
      <c r="G10186" s="5"/>
      <c r="H10186" s="5"/>
      <c r="I10186" s="5"/>
      <c r="J10186" s="5"/>
      <c r="K10186" s="5"/>
      <c r="L10186" s="5"/>
    </row>
    <row r="10187" spans="1:12" ht="12" customHeight="1" x14ac:dyDescent="0.25">
      <c r="A10187" s="6"/>
      <c r="B10187" s="1"/>
      <c r="C10187" s="5"/>
      <c r="D10187" s="5"/>
      <c r="E10187" s="5"/>
      <c r="F10187" s="5"/>
      <c r="G10187" s="5"/>
      <c r="H10187" s="5"/>
      <c r="I10187" s="5"/>
      <c r="J10187" s="5"/>
      <c r="K10187" s="5"/>
      <c r="L10187" s="5"/>
    </row>
    <row r="10188" spans="1:12" ht="12" customHeight="1" x14ac:dyDescent="0.25">
      <c r="A10188" s="6"/>
      <c r="B10188" s="1"/>
      <c r="C10188" s="5"/>
      <c r="D10188" s="5"/>
      <c r="E10188" s="5"/>
      <c r="F10188" s="5"/>
      <c r="G10188" s="5"/>
      <c r="H10188" s="5"/>
      <c r="I10188" s="5"/>
      <c r="J10188" s="5"/>
      <c r="K10188" s="5"/>
      <c r="L10188" s="5"/>
    </row>
    <row r="10189" spans="1:12" ht="12" customHeight="1" x14ac:dyDescent="0.25">
      <c r="A10189" s="6"/>
      <c r="B10189" s="1"/>
      <c r="C10189" s="5"/>
      <c r="D10189" s="5"/>
      <c r="E10189" s="5"/>
      <c r="F10189" s="5"/>
      <c r="G10189" s="5"/>
      <c r="H10189" s="5"/>
      <c r="I10189" s="5"/>
      <c r="J10189" s="5"/>
      <c r="K10189" s="5"/>
      <c r="L10189" s="5"/>
    </row>
    <row r="10190" spans="1:12" ht="12" customHeight="1" x14ac:dyDescent="0.25">
      <c r="A10190" s="6"/>
      <c r="B10190" s="1"/>
      <c r="C10190" s="5"/>
      <c r="D10190" s="5"/>
      <c r="E10190" s="5"/>
      <c r="F10190" s="5"/>
      <c r="G10190" s="5"/>
      <c r="H10190" s="5"/>
      <c r="I10190" s="5"/>
      <c r="J10190" s="5"/>
      <c r="K10190" s="5"/>
      <c r="L10190" s="5"/>
    </row>
    <row r="10191" spans="1:12" ht="12" customHeight="1" x14ac:dyDescent="0.25">
      <c r="A10191" s="6"/>
      <c r="B10191" s="1"/>
      <c r="C10191" s="5"/>
      <c r="D10191" s="5"/>
      <c r="E10191" s="5"/>
      <c r="F10191" s="5"/>
      <c r="G10191" s="5"/>
      <c r="H10191" s="5"/>
      <c r="I10191" s="5"/>
      <c r="J10191" s="5"/>
      <c r="K10191" s="5"/>
      <c r="L10191" s="5"/>
    </row>
    <row r="10192" spans="1:12" ht="12" customHeight="1" x14ac:dyDescent="0.25">
      <c r="A10192" s="6"/>
      <c r="B10192" s="1"/>
      <c r="C10192" s="5"/>
      <c r="D10192" s="5"/>
      <c r="E10192" s="5"/>
      <c r="F10192" s="5"/>
      <c r="G10192" s="5"/>
      <c r="H10192" s="5"/>
      <c r="I10192" s="5"/>
      <c r="J10192" s="5"/>
      <c r="K10192" s="5"/>
      <c r="L10192" s="5"/>
    </row>
    <row r="10193" spans="1:12" ht="12" customHeight="1" x14ac:dyDescent="0.25">
      <c r="A10193" s="6"/>
      <c r="B10193" s="1"/>
      <c r="C10193" s="5"/>
      <c r="D10193" s="5"/>
      <c r="E10193" s="5"/>
      <c r="F10193" s="5"/>
      <c r="G10193" s="5"/>
      <c r="H10193" s="5"/>
      <c r="I10193" s="5"/>
      <c r="J10193" s="5"/>
      <c r="K10193" s="5"/>
      <c r="L10193" s="5"/>
    </row>
    <row r="10194" spans="1:12" ht="12" customHeight="1" x14ac:dyDescent="0.25">
      <c r="A10194" s="6"/>
      <c r="B10194" s="1"/>
      <c r="C10194" s="5"/>
      <c r="D10194" s="5"/>
      <c r="E10194" s="5"/>
      <c r="F10194" s="5"/>
      <c r="G10194" s="5"/>
      <c r="H10194" s="5"/>
      <c r="I10194" s="5"/>
      <c r="J10194" s="5"/>
      <c r="K10194" s="5"/>
      <c r="L10194" s="5"/>
    </row>
    <row r="10195" spans="1:12" ht="12" customHeight="1" x14ac:dyDescent="0.25">
      <c r="A10195" s="6"/>
      <c r="B10195" s="1"/>
      <c r="C10195" s="5"/>
      <c r="D10195" s="5"/>
      <c r="E10195" s="5"/>
      <c r="F10195" s="5"/>
      <c r="G10195" s="5"/>
      <c r="H10195" s="5"/>
      <c r="I10195" s="5"/>
      <c r="J10195" s="5"/>
      <c r="K10195" s="5"/>
      <c r="L10195" s="5"/>
    </row>
    <row r="10196" spans="1:12" ht="12" customHeight="1" x14ac:dyDescent="0.25">
      <c r="A10196" s="6"/>
      <c r="B10196" s="1"/>
      <c r="C10196" s="5"/>
      <c r="D10196" s="5"/>
      <c r="E10196" s="5"/>
      <c r="F10196" s="5"/>
      <c r="G10196" s="5"/>
      <c r="H10196" s="5"/>
      <c r="I10196" s="5"/>
      <c r="J10196" s="5"/>
      <c r="K10196" s="5"/>
      <c r="L10196" s="5"/>
    </row>
    <row r="10197" spans="1:12" ht="12" customHeight="1" x14ac:dyDescent="0.25">
      <c r="A10197" s="6"/>
      <c r="B10197" s="1"/>
      <c r="C10197" s="5"/>
      <c r="D10197" s="5"/>
      <c r="E10197" s="5"/>
      <c r="F10197" s="5"/>
      <c r="G10197" s="5"/>
      <c r="H10197" s="5"/>
      <c r="I10197" s="5"/>
      <c r="J10197" s="5"/>
      <c r="K10197" s="5"/>
      <c r="L10197" s="5"/>
    </row>
    <row r="10198" spans="1:12" ht="12" customHeight="1" x14ac:dyDescent="0.25">
      <c r="A10198" s="6"/>
      <c r="B10198" s="1"/>
      <c r="C10198" s="5"/>
      <c r="D10198" s="5"/>
      <c r="E10198" s="5"/>
      <c r="F10198" s="5"/>
      <c r="G10198" s="5"/>
      <c r="H10198" s="5"/>
      <c r="I10198" s="5"/>
      <c r="J10198" s="5"/>
      <c r="K10198" s="5"/>
      <c r="L10198" s="5"/>
    </row>
    <row r="10199" spans="1:12" ht="12" customHeight="1" x14ac:dyDescent="0.25">
      <c r="A10199" s="6"/>
      <c r="B10199" s="1"/>
      <c r="C10199" s="5"/>
      <c r="D10199" s="5"/>
      <c r="E10199" s="5"/>
      <c r="F10199" s="5"/>
      <c r="G10199" s="5"/>
      <c r="H10199" s="5"/>
      <c r="I10199" s="5"/>
      <c r="J10199" s="5"/>
      <c r="K10199" s="5"/>
      <c r="L10199" s="5"/>
    </row>
    <row r="10200" spans="1:12" ht="12" customHeight="1" x14ac:dyDescent="0.25">
      <c r="A10200" s="6"/>
      <c r="B10200" s="1"/>
      <c r="C10200" s="5"/>
      <c r="D10200" s="5"/>
      <c r="E10200" s="5"/>
      <c r="F10200" s="5"/>
      <c r="G10200" s="5"/>
      <c r="H10200" s="5"/>
      <c r="I10200" s="5"/>
      <c r="J10200" s="5"/>
      <c r="K10200" s="5"/>
      <c r="L10200" s="5"/>
    </row>
    <row r="10201" spans="1:12" ht="12" customHeight="1" x14ac:dyDescent="0.25">
      <c r="A10201" s="6"/>
      <c r="B10201" s="1"/>
      <c r="C10201" s="5"/>
      <c r="D10201" s="5"/>
      <c r="E10201" s="5"/>
      <c r="F10201" s="5"/>
      <c r="G10201" s="5"/>
      <c r="H10201" s="5"/>
      <c r="I10201" s="5"/>
      <c r="J10201" s="5"/>
      <c r="K10201" s="5"/>
      <c r="L10201" s="5"/>
    </row>
    <row r="10202" spans="1:12" ht="12" customHeight="1" x14ac:dyDescent="0.25">
      <c r="A10202" s="6"/>
      <c r="B10202" s="1"/>
      <c r="C10202" s="5"/>
      <c r="D10202" s="5"/>
      <c r="E10202" s="5"/>
      <c r="F10202" s="5"/>
      <c r="G10202" s="5"/>
      <c r="H10202" s="5"/>
      <c r="I10202" s="5"/>
      <c r="J10202" s="5"/>
      <c r="K10202" s="5"/>
      <c r="L10202" s="5"/>
    </row>
    <row r="10203" spans="1:12" ht="12" customHeight="1" x14ac:dyDescent="0.25">
      <c r="A10203" s="6"/>
      <c r="B10203" s="1"/>
      <c r="C10203" s="5"/>
      <c r="D10203" s="5"/>
      <c r="E10203" s="5"/>
      <c r="F10203" s="5"/>
      <c r="G10203" s="5"/>
      <c r="H10203" s="5"/>
      <c r="I10203" s="5"/>
      <c r="J10203" s="5"/>
      <c r="K10203" s="5"/>
      <c r="L10203" s="5"/>
    </row>
    <row r="10204" spans="1:12" ht="12" customHeight="1" x14ac:dyDescent="0.25">
      <c r="A10204" s="6"/>
      <c r="B10204" s="1"/>
      <c r="C10204" s="5"/>
      <c r="D10204" s="5"/>
      <c r="E10204" s="5"/>
      <c r="F10204" s="5"/>
      <c r="G10204" s="5"/>
      <c r="H10204" s="5"/>
      <c r="I10204" s="5"/>
      <c r="J10204" s="5"/>
      <c r="K10204" s="5"/>
      <c r="L10204" s="5"/>
    </row>
    <row r="10205" spans="1:12" ht="12" customHeight="1" x14ac:dyDescent="0.25">
      <c r="A10205" s="6"/>
      <c r="B10205" s="1"/>
      <c r="C10205" s="5"/>
      <c r="D10205" s="5"/>
      <c r="E10205" s="5"/>
      <c r="F10205" s="5"/>
      <c r="G10205" s="5"/>
      <c r="H10205" s="5"/>
      <c r="I10205" s="5"/>
      <c r="J10205" s="5"/>
      <c r="K10205" s="5"/>
      <c r="L10205" s="5"/>
    </row>
    <row r="10206" spans="1:12" ht="12" customHeight="1" x14ac:dyDescent="0.25">
      <c r="A10206" s="6"/>
      <c r="B10206" s="1"/>
      <c r="C10206" s="5"/>
      <c r="D10206" s="5"/>
      <c r="E10206" s="5"/>
      <c r="F10206" s="5"/>
      <c r="G10206" s="5"/>
      <c r="H10206" s="5"/>
      <c r="I10206" s="5"/>
      <c r="J10206" s="5"/>
      <c r="K10206" s="5"/>
      <c r="L10206" s="5"/>
    </row>
    <row r="10207" spans="1:12" ht="12" customHeight="1" x14ac:dyDescent="0.25">
      <c r="A10207" s="6"/>
      <c r="B10207" s="1"/>
      <c r="C10207" s="5"/>
      <c r="D10207" s="5"/>
      <c r="E10207" s="5"/>
      <c r="F10207" s="5"/>
      <c r="G10207" s="5"/>
      <c r="H10207" s="5"/>
      <c r="I10207" s="5"/>
      <c r="J10207" s="5"/>
      <c r="K10207" s="5"/>
      <c r="L10207" s="5"/>
    </row>
    <row r="10208" spans="1:12" ht="12" customHeight="1" x14ac:dyDescent="0.25">
      <c r="A10208" s="6"/>
      <c r="B10208" s="1"/>
      <c r="C10208" s="5"/>
      <c r="D10208" s="5"/>
      <c r="E10208" s="5"/>
      <c r="F10208" s="5"/>
      <c r="G10208" s="5"/>
      <c r="H10208" s="5"/>
      <c r="I10208" s="5"/>
      <c r="J10208" s="5"/>
      <c r="K10208" s="5"/>
      <c r="L10208" s="5"/>
    </row>
    <row r="10209" spans="1:12" ht="12" customHeight="1" x14ac:dyDescent="0.25">
      <c r="A10209" s="6"/>
      <c r="B10209" s="1"/>
      <c r="C10209" s="5"/>
      <c r="D10209" s="5"/>
      <c r="E10209" s="5"/>
      <c r="F10209" s="5"/>
      <c r="G10209" s="5"/>
      <c r="H10209" s="5"/>
      <c r="I10209" s="5"/>
      <c r="J10209" s="5"/>
      <c r="K10209" s="5"/>
      <c r="L10209" s="5"/>
    </row>
    <row r="10210" spans="1:12" ht="12" customHeight="1" x14ac:dyDescent="0.25">
      <c r="A10210" s="6"/>
      <c r="B10210" s="1"/>
      <c r="C10210" s="5"/>
      <c r="D10210" s="5"/>
      <c r="E10210" s="5"/>
      <c r="F10210" s="5"/>
      <c r="G10210" s="5"/>
      <c r="H10210" s="5"/>
      <c r="I10210" s="5"/>
      <c r="J10210" s="5"/>
      <c r="K10210" s="5"/>
      <c r="L10210" s="5"/>
    </row>
    <row r="10211" spans="1:12" ht="12" customHeight="1" x14ac:dyDescent="0.25">
      <c r="A10211" s="6"/>
      <c r="B10211" s="1"/>
      <c r="C10211" s="5"/>
      <c r="D10211" s="5"/>
      <c r="E10211" s="5"/>
      <c r="F10211" s="5"/>
      <c r="G10211" s="5"/>
      <c r="H10211" s="5"/>
      <c r="I10211" s="5"/>
      <c r="J10211" s="5"/>
      <c r="K10211" s="5"/>
      <c r="L10211" s="5"/>
    </row>
    <row r="10212" spans="1:12" ht="12" customHeight="1" x14ac:dyDescent="0.25">
      <c r="A10212" s="6"/>
      <c r="B10212" s="1"/>
      <c r="C10212" s="5"/>
      <c r="D10212" s="5"/>
      <c r="E10212" s="5"/>
      <c r="F10212" s="5"/>
      <c r="G10212" s="5"/>
      <c r="H10212" s="5"/>
      <c r="I10212" s="5"/>
      <c r="J10212" s="5"/>
      <c r="K10212" s="5"/>
      <c r="L10212" s="5"/>
    </row>
    <row r="10213" spans="1:12" ht="12" customHeight="1" x14ac:dyDescent="0.25">
      <c r="A10213" s="6"/>
      <c r="B10213" s="1"/>
      <c r="C10213" s="5"/>
      <c r="D10213" s="5"/>
      <c r="E10213" s="5"/>
      <c r="F10213" s="5"/>
      <c r="G10213" s="5"/>
      <c r="H10213" s="5"/>
      <c r="I10213" s="5"/>
      <c r="J10213" s="5"/>
      <c r="K10213" s="5"/>
      <c r="L10213" s="5"/>
    </row>
    <row r="10214" spans="1:12" ht="12" customHeight="1" x14ac:dyDescent="0.25">
      <c r="A10214" s="6"/>
      <c r="B10214" s="1"/>
      <c r="C10214" s="5"/>
      <c r="D10214" s="5"/>
      <c r="E10214" s="5"/>
      <c r="F10214" s="5"/>
      <c r="G10214" s="5"/>
      <c r="H10214" s="5"/>
      <c r="I10214" s="5"/>
      <c r="J10214" s="5"/>
      <c r="K10214" s="5"/>
      <c r="L10214" s="5"/>
    </row>
    <row r="10215" spans="1:12" ht="12" customHeight="1" x14ac:dyDescent="0.25">
      <c r="A10215" s="6"/>
      <c r="B10215" s="1"/>
      <c r="C10215" s="5"/>
      <c r="D10215" s="5"/>
      <c r="E10215" s="5"/>
      <c r="F10215" s="5"/>
      <c r="G10215" s="5"/>
      <c r="H10215" s="5"/>
      <c r="I10215" s="5"/>
      <c r="J10215" s="5"/>
      <c r="K10215" s="5"/>
      <c r="L10215" s="5"/>
    </row>
    <row r="10216" spans="1:12" ht="12" customHeight="1" x14ac:dyDescent="0.25">
      <c r="A10216" s="6"/>
      <c r="B10216" s="1"/>
      <c r="C10216" s="5"/>
      <c r="D10216" s="5"/>
      <c r="E10216" s="5"/>
      <c r="F10216" s="5"/>
      <c r="G10216" s="5"/>
      <c r="H10216" s="5"/>
      <c r="I10216" s="5"/>
      <c r="J10216" s="5"/>
      <c r="K10216" s="5"/>
      <c r="L10216" s="5"/>
    </row>
    <row r="10217" spans="1:12" ht="12" customHeight="1" x14ac:dyDescent="0.25">
      <c r="A10217" s="6"/>
      <c r="B10217" s="1"/>
      <c r="C10217" s="5"/>
      <c r="D10217" s="5"/>
      <c r="E10217" s="5"/>
      <c r="F10217" s="5"/>
      <c r="G10217" s="5"/>
      <c r="H10217" s="5"/>
      <c r="I10217" s="5"/>
      <c r="J10217" s="5"/>
      <c r="K10217" s="5"/>
      <c r="L10217" s="5"/>
    </row>
    <row r="10218" spans="1:12" ht="12" customHeight="1" x14ac:dyDescent="0.25">
      <c r="A10218" s="6"/>
      <c r="B10218" s="1"/>
      <c r="C10218" s="5"/>
      <c r="D10218" s="5"/>
      <c r="E10218" s="5"/>
      <c r="F10218" s="5"/>
      <c r="G10218" s="5"/>
      <c r="H10218" s="5"/>
      <c r="I10218" s="5"/>
      <c r="J10218" s="5"/>
      <c r="K10218" s="5"/>
      <c r="L10218" s="5"/>
    </row>
    <row r="10219" spans="1:12" ht="12" customHeight="1" x14ac:dyDescent="0.25">
      <c r="A10219" s="6"/>
      <c r="B10219" s="1"/>
      <c r="C10219" s="5"/>
      <c r="D10219" s="5"/>
      <c r="E10219" s="5"/>
      <c r="F10219" s="5"/>
      <c r="G10219" s="5"/>
      <c r="H10219" s="5"/>
      <c r="I10219" s="5"/>
      <c r="J10219" s="5"/>
      <c r="K10219" s="5"/>
      <c r="L10219" s="5"/>
    </row>
    <row r="10220" spans="1:12" ht="12" customHeight="1" x14ac:dyDescent="0.25">
      <c r="A10220" s="6"/>
      <c r="B10220" s="1"/>
      <c r="C10220" s="5"/>
      <c r="D10220" s="5"/>
      <c r="E10220" s="5"/>
      <c r="F10220" s="5"/>
      <c r="G10220" s="5"/>
      <c r="H10220" s="5"/>
      <c r="I10220" s="5"/>
      <c r="J10220" s="5"/>
      <c r="K10220" s="5"/>
      <c r="L10220" s="5"/>
    </row>
    <row r="10221" spans="1:12" ht="12" customHeight="1" x14ac:dyDescent="0.25">
      <c r="A10221" s="6"/>
      <c r="B10221" s="1"/>
      <c r="C10221" s="5"/>
      <c r="D10221" s="5"/>
      <c r="E10221" s="5"/>
      <c r="F10221" s="5"/>
      <c r="G10221" s="5"/>
      <c r="H10221" s="5"/>
      <c r="I10221" s="5"/>
      <c r="J10221" s="5"/>
      <c r="K10221" s="5"/>
      <c r="L10221" s="5"/>
    </row>
    <row r="10222" spans="1:12" ht="12" customHeight="1" x14ac:dyDescent="0.25">
      <c r="A10222" s="6"/>
      <c r="B10222" s="1"/>
      <c r="C10222" s="5"/>
      <c r="D10222" s="5"/>
      <c r="E10222" s="5"/>
      <c r="F10222" s="5"/>
      <c r="G10222" s="5"/>
      <c r="H10222" s="5"/>
      <c r="I10222" s="5"/>
      <c r="J10222" s="5"/>
      <c r="K10222" s="5"/>
      <c r="L10222" s="5"/>
    </row>
    <row r="10223" spans="1:12" ht="12" customHeight="1" x14ac:dyDescent="0.25">
      <c r="A10223" s="6"/>
      <c r="B10223" s="1"/>
      <c r="C10223" s="5"/>
      <c r="D10223" s="5"/>
      <c r="E10223" s="5"/>
      <c r="F10223" s="5"/>
      <c r="G10223" s="5"/>
      <c r="H10223" s="5"/>
      <c r="I10223" s="5"/>
      <c r="J10223" s="5"/>
      <c r="K10223" s="5"/>
      <c r="L10223" s="5"/>
    </row>
    <row r="10224" spans="1:12" ht="12" customHeight="1" x14ac:dyDescent="0.25">
      <c r="A10224" s="6"/>
      <c r="B10224" s="1"/>
      <c r="C10224" s="5"/>
      <c r="D10224" s="5"/>
      <c r="E10224" s="5"/>
      <c r="F10224" s="5"/>
      <c r="G10224" s="5"/>
      <c r="H10224" s="5"/>
      <c r="I10224" s="5"/>
      <c r="J10224" s="5"/>
      <c r="K10224" s="5"/>
      <c r="L10224" s="5"/>
    </row>
    <row r="10225" spans="1:12" ht="12" customHeight="1" x14ac:dyDescent="0.25">
      <c r="A10225" s="6"/>
      <c r="B10225" s="1"/>
      <c r="C10225" s="5"/>
      <c r="D10225" s="5"/>
      <c r="E10225" s="5"/>
      <c r="F10225" s="5"/>
      <c r="G10225" s="5"/>
      <c r="H10225" s="5"/>
      <c r="I10225" s="5"/>
      <c r="J10225" s="5"/>
      <c r="K10225" s="5"/>
      <c r="L10225" s="5"/>
    </row>
    <row r="10226" spans="1:12" ht="12" customHeight="1" x14ac:dyDescent="0.25">
      <c r="A10226" s="6"/>
      <c r="B10226" s="1"/>
      <c r="C10226" s="5"/>
      <c r="D10226" s="5"/>
      <c r="E10226" s="5"/>
      <c r="F10226" s="5"/>
      <c r="G10226" s="5"/>
      <c r="H10226" s="5"/>
      <c r="I10226" s="5"/>
      <c r="J10226" s="5"/>
      <c r="K10226" s="5"/>
      <c r="L10226" s="5"/>
    </row>
    <row r="10227" spans="1:12" ht="12" customHeight="1" x14ac:dyDescent="0.25">
      <c r="A10227" s="6"/>
      <c r="B10227" s="1"/>
      <c r="C10227" s="5"/>
      <c r="D10227" s="5"/>
      <c r="E10227" s="5"/>
      <c r="F10227" s="5"/>
      <c r="G10227" s="5"/>
      <c r="H10227" s="5"/>
      <c r="I10227" s="5"/>
      <c r="J10227" s="5"/>
      <c r="K10227" s="5"/>
      <c r="L10227" s="5"/>
    </row>
    <row r="10228" spans="1:12" ht="12" customHeight="1" x14ac:dyDescent="0.25">
      <c r="A10228" s="6"/>
      <c r="B10228" s="1"/>
      <c r="C10228" s="5"/>
      <c r="D10228" s="5"/>
      <c r="E10228" s="5"/>
      <c r="F10228" s="5"/>
      <c r="G10228" s="5"/>
      <c r="H10228" s="5"/>
      <c r="I10228" s="5"/>
      <c r="J10228" s="5"/>
      <c r="K10228" s="5"/>
      <c r="L10228" s="5"/>
    </row>
    <row r="10229" spans="1:12" ht="12" customHeight="1" x14ac:dyDescent="0.25">
      <c r="A10229" s="6"/>
      <c r="B10229" s="1"/>
      <c r="C10229" s="5"/>
      <c r="D10229" s="5"/>
      <c r="E10229" s="5"/>
      <c r="F10229" s="5"/>
      <c r="G10229" s="5"/>
      <c r="H10229" s="5"/>
      <c r="I10229" s="5"/>
      <c r="J10229" s="5"/>
      <c r="K10229" s="5"/>
      <c r="L10229" s="5"/>
    </row>
    <row r="10230" spans="1:12" ht="12" customHeight="1" x14ac:dyDescent="0.25">
      <c r="A10230" s="6"/>
      <c r="B10230" s="1"/>
      <c r="C10230" s="5"/>
      <c r="D10230" s="5"/>
      <c r="E10230" s="5"/>
      <c r="F10230" s="5"/>
      <c r="G10230" s="5"/>
      <c r="H10230" s="5"/>
      <c r="I10230" s="5"/>
      <c r="J10230" s="5"/>
      <c r="K10230" s="5"/>
      <c r="L10230" s="5"/>
    </row>
    <row r="10231" spans="1:12" ht="12" customHeight="1" x14ac:dyDescent="0.25">
      <c r="A10231" s="6"/>
      <c r="B10231" s="1"/>
      <c r="C10231" s="5"/>
      <c r="D10231" s="5"/>
      <c r="E10231" s="5"/>
      <c r="F10231" s="5"/>
      <c r="G10231" s="5"/>
      <c r="H10231" s="5"/>
      <c r="I10231" s="5"/>
      <c r="J10231" s="5"/>
      <c r="K10231" s="5"/>
      <c r="L10231" s="5"/>
    </row>
    <row r="10232" spans="1:12" ht="12" customHeight="1" x14ac:dyDescent="0.25">
      <c r="A10232" s="6"/>
      <c r="B10232" s="1"/>
      <c r="C10232" s="5"/>
      <c r="D10232" s="5"/>
      <c r="E10232" s="5"/>
      <c r="F10232" s="5"/>
      <c r="G10232" s="5"/>
      <c r="H10232" s="5"/>
      <c r="I10232" s="5"/>
      <c r="J10232" s="5"/>
      <c r="K10232" s="5"/>
      <c r="L10232" s="5"/>
    </row>
    <row r="10233" spans="1:12" ht="12" customHeight="1" x14ac:dyDescent="0.25">
      <c r="A10233" s="6"/>
      <c r="B10233" s="1"/>
      <c r="C10233" s="5"/>
      <c r="D10233" s="5"/>
      <c r="E10233" s="5"/>
      <c r="F10233" s="5"/>
      <c r="G10233" s="5"/>
      <c r="H10233" s="5"/>
      <c r="I10233" s="5"/>
      <c r="J10233" s="5"/>
      <c r="K10233" s="5"/>
      <c r="L10233" s="5"/>
    </row>
    <row r="10234" spans="1:12" ht="12" customHeight="1" x14ac:dyDescent="0.25">
      <c r="A10234" s="6"/>
      <c r="B10234" s="1"/>
      <c r="C10234" s="5"/>
      <c r="D10234" s="5"/>
      <c r="E10234" s="5"/>
      <c r="F10234" s="5"/>
      <c r="G10234" s="5"/>
      <c r="H10234" s="5"/>
      <c r="I10234" s="5"/>
      <c r="J10234" s="5"/>
      <c r="K10234" s="5"/>
      <c r="L10234" s="5"/>
    </row>
    <row r="10235" spans="1:12" ht="12" customHeight="1" x14ac:dyDescent="0.25">
      <c r="A10235" s="6"/>
      <c r="B10235" s="1"/>
      <c r="C10235" s="5"/>
      <c r="D10235" s="5"/>
      <c r="E10235" s="5"/>
      <c r="F10235" s="5"/>
      <c r="G10235" s="5"/>
      <c r="H10235" s="5"/>
      <c r="I10235" s="5"/>
      <c r="J10235" s="5"/>
      <c r="K10235" s="5"/>
      <c r="L10235" s="5"/>
    </row>
    <row r="10236" spans="1:12" ht="12" customHeight="1" x14ac:dyDescent="0.25">
      <c r="A10236" s="6"/>
      <c r="B10236" s="1"/>
      <c r="C10236" s="5"/>
      <c r="D10236" s="5"/>
      <c r="E10236" s="5"/>
      <c r="F10236" s="5"/>
      <c r="G10236" s="5"/>
      <c r="H10236" s="5"/>
      <c r="I10236" s="5"/>
      <c r="J10236" s="5"/>
      <c r="K10236" s="5"/>
      <c r="L10236" s="5"/>
    </row>
    <row r="10237" spans="1:12" ht="12" customHeight="1" x14ac:dyDescent="0.25">
      <c r="A10237" s="6"/>
      <c r="B10237" s="1"/>
      <c r="C10237" s="5"/>
      <c r="D10237" s="5"/>
      <c r="E10237" s="5"/>
      <c r="F10237" s="5"/>
      <c r="G10237" s="5"/>
      <c r="H10237" s="5"/>
      <c r="I10237" s="5"/>
      <c r="J10237" s="5"/>
      <c r="K10237" s="5"/>
      <c r="L10237" s="5"/>
    </row>
    <row r="10238" spans="1:12" ht="12" customHeight="1" x14ac:dyDescent="0.25">
      <c r="A10238" s="6"/>
      <c r="B10238" s="1"/>
      <c r="C10238" s="5"/>
      <c r="D10238" s="5"/>
      <c r="E10238" s="5"/>
      <c r="F10238" s="5"/>
      <c r="G10238" s="5"/>
      <c r="H10238" s="5"/>
      <c r="I10238" s="5"/>
      <c r="J10238" s="5"/>
      <c r="K10238" s="5"/>
      <c r="L10238" s="5"/>
    </row>
    <row r="10239" spans="1:12" ht="12" customHeight="1" x14ac:dyDescent="0.25">
      <c r="A10239" s="6"/>
      <c r="B10239" s="1"/>
      <c r="C10239" s="5"/>
      <c r="D10239" s="5"/>
      <c r="E10239" s="5"/>
      <c r="F10239" s="5"/>
      <c r="G10239" s="5"/>
      <c r="H10239" s="5"/>
      <c r="I10239" s="5"/>
      <c r="J10239" s="5"/>
      <c r="K10239" s="5"/>
      <c r="L10239" s="5"/>
    </row>
    <row r="10240" spans="1:12" ht="12" customHeight="1" x14ac:dyDescent="0.25">
      <c r="A10240" s="6"/>
      <c r="B10240" s="1"/>
      <c r="C10240" s="5"/>
      <c r="D10240" s="5"/>
      <c r="E10240" s="5"/>
      <c r="F10240" s="5"/>
      <c r="G10240" s="5"/>
      <c r="H10240" s="5"/>
      <c r="I10240" s="5"/>
      <c r="J10240" s="5"/>
      <c r="K10240" s="5"/>
      <c r="L10240" s="5"/>
    </row>
    <row r="10241" spans="1:12" ht="12" customHeight="1" x14ac:dyDescent="0.25">
      <c r="A10241" s="6"/>
      <c r="B10241" s="1"/>
      <c r="C10241" s="5"/>
      <c r="D10241" s="5"/>
      <c r="E10241" s="5"/>
      <c r="F10241" s="5"/>
      <c r="G10241" s="5"/>
      <c r="H10241" s="5"/>
      <c r="I10241" s="5"/>
      <c r="J10241" s="5"/>
      <c r="K10241" s="5"/>
      <c r="L10241" s="5"/>
    </row>
    <row r="10242" spans="1:12" ht="12" customHeight="1" x14ac:dyDescent="0.25">
      <c r="A10242" s="6"/>
      <c r="B10242" s="1"/>
      <c r="C10242" s="5"/>
      <c r="D10242" s="5"/>
      <c r="E10242" s="5"/>
      <c r="F10242" s="5"/>
      <c r="G10242" s="5"/>
      <c r="H10242" s="5"/>
      <c r="I10242" s="5"/>
      <c r="J10242" s="5"/>
      <c r="K10242" s="5"/>
      <c r="L10242" s="5"/>
    </row>
    <row r="10243" spans="1:12" ht="12" customHeight="1" x14ac:dyDescent="0.25">
      <c r="A10243" s="6"/>
      <c r="B10243" s="1"/>
      <c r="C10243" s="5"/>
      <c r="D10243" s="5"/>
      <c r="E10243" s="5"/>
      <c r="F10243" s="5"/>
      <c r="G10243" s="5"/>
      <c r="H10243" s="5"/>
      <c r="I10243" s="5"/>
      <c r="J10243" s="5"/>
      <c r="K10243" s="5"/>
      <c r="L10243" s="5"/>
    </row>
    <row r="10244" spans="1:12" ht="12" customHeight="1" x14ac:dyDescent="0.25">
      <c r="A10244" s="6"/>
      <c r="B10244" s="1"/>
      <c r="C10244" s="5"/>
      <c r="D10244" s="5"/>
      <c r="E10244" s="5"/>
      <c r="F10244" s="5"/>
      <c r="G10244" s="5"/>
      <c r="H10244" s="5"/>
      <c r="I10244" s="5"/>
      <c r="J10244" s="5"/>
      <c r="K10244" s="5"/>
      <c r="L10244" s="5"/>
    </row>
    <row r="10245" spans="1:12" ht="12" customHeight="1" x14ac:dyDescent="0.25">
      <c r="A10245" s="6"/>
      <c r="B10245" s="1"/>
      <c r="C10245" s="5"/>
      <c r="D10245" s="5"/>
      <c r="E10245" s="5"/>
      <c r="F10245" s="5"/>
      <c r="G10245" s="5"/>
      <c r="H10245" s="5"/>
      <c r="I10245" s="5"/>
      <c r="J10245" s="5"/>
      <c r="K10245" s="5"/>
      <c r="L10245" s="5"/>
    </row>
    <row r="10246" spans="1:12" ht="12" customHeight="1" x14ac:dyDescent="0.25">
      <c r="A10246" s="6"/>
      <c r="B10246" s="1"/>
      <c r="C10246" s="5"/>
      <c r="D10246" s="5"/>
      <c r="E10246" s="5"/>
      <c r="F10246" s="5"/>
      <c r="G10246" s="5"/>
      <c r="H10246" s="5"/>
      <c r="I10246" s="5"/>
      <c r="J10246" s="5"/>
      <c r="K10246" s="5"/>
      <c r="L10246" s="5"/>
    </row>
    <row r="10247" spans="1:12" ht="12" customHeight="1" x14ac:dyDescent="0.25">
      <c r="A10247" s="6"/>
      <c r="B10247" s="1"/>
      <c r="C10247" s="5"/>
      <c r="D10247" s="5"/>
      <c r="E10247" s="5"/>
      <c r="F10247" s="5"/>
      <c r="G10247" s="5"/>
      <c r="H10247" s="5"/>
      <c r="I10247" s="5"/>
      <c r="J10247" s="5"/>
      <c r="K10247" s="5"/>
      <c r="L10247" s="5"/>
    </row>
    <row r="10248" spans="1:12" ht="12" customHeight="1" x14ac:dyDescent="0.25">
      <c r="A10248" s="6"/>
      <c r="B10248" s="1"/>
      <c r="C10248" s="5"/>
      <c r="D10248" s="5"/>
      <c r="E10248" s="5"/>
      <c r="F10248" s="5"/>
      <c r="G10248" s="5"/>
      <c r="H10248" s="5"/>
      <c r="I10248" s="5"/>
      <c r="J10248" s="5"/>
      <c r="K10248" s="5"/>
      <c r="L10248" s="5"/>
    </row>
    <row r="10249" spans="1:12" ht="12" customHeight="1" x14ac:dyDescent="0.25">
      <c r="A10249" s="6"/>
      <c r="B10249" s="1"/>
      <c r="C10249" s="5"/>
      <c r="D10249" s="5"/>
      <c r="E10249" s="5"/>
      <c r="F10249" s="5"/>
      <c r="G10249" s="5"/>
      <c r="H10249" s="5"/>
      <c r="I10249" s="5"/>
      <c r="J10249" s="5"/>
      <c r="K10249" s="5"/>
      <c r="L10249" s="5"/>
    </row>
    <row r="10250" spans="1:12" ht="12" customHeight="1" x14ac:dyDescent="0.25">
      <c r="A10250" s="6"/>
      <c r="B10250" s="1"/>
      <c r="C10250" s="5"/>
      <c r="D10250" s="5"/>
      <c r="E10250" s="5"/>
      <c r="F10250" s="5"/>
      <c r="G10250" s="5"/>
      <c r="H10250" s="5"/>
      <c r="I10250" s="5"/>
      <c r="J10250" s="5"/>
      <c r="K10250" s="5"/>
      <c r="L10250" s="5"/>
    </row>
    <row r="10251" spans="1:12" ht="12" customHeight="1" x14ac:dyDescent="0.25">
      <c r="A10251" s="6"/>
      <c r="B10251" s="1"/>
      <c r="C10251" s="5"/>
      <c r="D10251" s="5"/>
      <c r="E10251" s="5"/>
      <c r="F10251" s="5"/>
      <c r="G10251" s="5"/>
      <c r="H10251" s="5"/>
      <c r="I10251" s="5"/>
      <c r="J10251" s="5"/>
      <c r="K10251" s="5"/>
      <c r="L10251" s="5"/>
    </row>
    <row r="10252" spans="1:12" ht="12" customHeight="1" x14ac:dyDescent="0.25">
      <c r="A10252" s="6"/>
      <c r="B10252" s="1"/>
      <c r="C10252" s="5"/>
      <c r="D10252" s="5"/>
      <c r="E10252" s="5"/>
      <c r="F10252" s="5"/>
      <c r="G10252" s="5"/>
      <c r="H10252" s="5"/>
      <c r="I10252" s="5"/>
      <c r="J10252" s="5"/>
      <c r="K10252" s="5"/>
      <c r="L10252" s="5"/>
    </row>
    <row r="10253" spans="1:12" ht="12" customHeight="1" x14ac:dyDescent="0.25">
      <c r="A10253" s="6"/>
      <c r="B10253" s="1"/>
      <c r="C10253" s="5"/>
      <c r="D10253" s="5"/>
      <c r="E10253" s="5"/>
      <c r="F10253" s="5"/>
      <c r="G10253" s="5"/>
      <c r="H10253" s="5"/>
      <c r="I10253" s="5"/>
      <c r="J10253" s="5"/>
      <c r="K10253" s="5"/>
      <c r="L10253" s="5"/>
    </row>
    <row r="10254" spans="1:12" ht="12" customHeight="1" x14ac:dyDescent="0.25">
      <c r="A10254" s="6"/>
      <c r="B10254" s="1"/>
      <c r="C10254" s="5"/>
      <c r="D10254" s="5"/>
      <c r="E10254" s="5"/>
      <c r="F10254" s="5"/>
      <c r="G10254" s="5"/>
      <c r="H10254" s="5"/>
      <c r="I10254" s="5"/>
      <c r="J10254" s="5"/>
      <c r="K10254" s="5"/>
      <c r="L10254" s="5"/>
    </row>
    <row r="10255" spans="1:12" ht="12" customHeight="1" x14ac:dyDescent="0.25">
      <c r="A10255" s="6"/>
      <c r="B10255" s="1"/>
      <c r="C10255" s="5"/>
      <c r="D10255" s="5"/>
      <c r="E10255" s="5"/>
      <c r="F10255" s="5"/>
      <c r="G10255" s="5"/>
      <c r="H10255" s="5"/>
      <c r="I10255" s="5"/>
      <c r="J10255" s="5"/>
      <c r="K10255" s="5"/>
      <c r="L10255" s="5"/>
    </row>
    <row r="10256" spans="1:12" ht="12" customHeight="1" x14ac:dyDescent="0.25">
      <c r="A10256" s="6"/>
      <c r="B10256" s="1"/>
      <c r="C10256" s="5"/>
      <c r="D10256" s="5"/>
      <c r="E10256" s="5"/>
      <c r="F10256" s="5"/>
      <c r="G10256" s="5"/>
      <c r="H10256" s="5"/>
      <c r="I10256" s="5"/>
      <c r="J10256" s="5"/>
      <c r="K10256" s="5"/>
      <c r="L10256" s="5"/>
    </row>
    <row r="10257" spans="1:12" ht="12" customHeight="1" x14ac:dyDescent="0.25">
      <c r="A10257" s="6"/>
      <c r="B10257" s="1"/>
      <c r="C10257" s="5"/>
      <c r="D10257" s="5"/>
      <c r="E10257" s="5"/>
      <c r="F10257" s="5"/>
      <c r="G10257" s="5"/>
      <c r="H10257" s="5"/>
      <c r="I10257" s="5"/>
      <c r="J10257" s="5"/>
      <c r="K10257" s="5"/>
      <c r="L10257" s="5"/>
    </row>
    <row r="10258" spans="1:12" ht="12" customHeight="1" x14ac:dyDescent="0.25">
      <c r="A10258" s="6"/>
      <c r="B10258" s="1"/>
      <c r="C10258" s="5"/>
      <c r="D10258" s="5"/>
      <c r="E10258" s="5"/>
      <c r="F10258" s="5"/>
      <c r="G10258" s="5"/>
      <c r="H10258" s="5"/>
      <c r="I10258" s="5"/>
      <c r="J10258" s="5"/>
      <c r="K10258" s="5"/>
      <c r="L10258" s="5"/>
    </row>
    <row r="10259" spans="1:12" ht="12" customHeight="1" x14ac:dyDescent="0.25">
      <c r="A10259" s="6"/>
      <c r="B10259" s="1"/>
      <c r="C10259" s="5"/>
      <c r="D10259" s="5"/>
      <c r="E10259" s="5"/>
      <c r="F10259" s="5"/>
      <c r="G10259" s="5"/>
      <c r="H10259" s="5"/>
      <c r="I10259" s="5"/>
      <c r="J10259" s="5"/>
      <c r="K10259" s="5"/>
      <c r="L10259" s="5"/>
    </row>
    <row r="10260" spans="1:12" ht="12" customHeight="1" x14ac:dyDescent="0.25">
      <c r="A10260" s="6"/>
      <c r="B10260" s="1"/>
      <c r="C10260" s="5"/>
      <c r="D10260" s="5"/>
      <c r="E10260" s="5"/>
      <c r="F10260" s="5"/>
      <c r="G10260" s="5"/>
      <c r="H10260" s="5"/>
      <c r="I10260" s="5"/>
      <c r="J10260" s="5"/>
      <c r="K10260" s="5"/>
      <c r="L10260" s="5"/>
    </row>
    <row r="10261" spans="1:12" ht="12" customHeight="1" x14ac:dyDescent="0.25">
      <c r="A10261" s="6"/>
      <c r="B10261" s="1"/>
      <c r="C10261" s="5"/>
      <c r="D10261" s="5"/>
      <c r="E10261" s="5"/>
      <c r="F10261" s="5"/>
      <c r="G10261" s="5"/>
      <c r="H10261" s="5"/>
      <c r="I10261" s="5"/>
      <c r="J10261" s="5"/>
      <c r="K10261" s="5"/>
      <c r="L10261" s="5"/>
    </row>
    <row r="10262" spans="1:12" ht="12" customHeight="1" x14ac:dyDescent="0.25">
      <c r="A10262" s="6"/>
      <c r="B10262" s="1"/>
      <c r="C10262" s="5"/>
      <c r="D10262" s="5"/>
      <c r="E10262" s="5"/>
      <c r="F10262" s="5"/>
      <c r="G10262" s="5"/>
      <c r="H10262" s="5"/>
      <c r="I10262" s="5"/>
      <c r="J10262" s="5"/>
      <c r="K10262" s="5"/>
      <c r="L10262" s="5"/>
    </row>
    <row r="10263" spans="1:12" ht="12" customHeight="1" x14ac:dyDescent="0.25">
      <c r="A10263" s="6"/>
      <c r="B10263" s="1"/>
      <c r="C10263" s="5"/>
      <c r="D10263" s="5"/>
      <c r="E10263" s="5"/>
      <c r="F10263" s="5"/>
      <c r="G10263" s="5"/>
      <c r="H10263" s="5"/>
      <c r="I10263" s="5"/>
      <c r="J10263" s="5"/>
      <c r="K10263" s="5"/>
      <c r="L10263" s="5"/>
    </row>
    <row r="10264" spans="1:12" ht="12" customHeight="1" x14ac:dyDescent="0.25">
      <c r="A10264" s="6"/>
      <c r="B10264" s="1"/>
      <c r="C10264" s="5"/>
      <c r="D10264" s="5"/>
      <c r="E10264" s="5"/>
      <c r="F10264" s="5"/>
      <c r="G10264" s="5"/>
      <c r="H10264" s="5"/>
      <c r="I10264" s="5"/>
      <c r="J10264" s="5"/>
      <c r="K10264" s="5"/>
      <c r="L10264" s="5"/>
    </row>
    <row r="10265" spans="1:12" ht="12" customHeight="1" x14ac:dyDescent="0.25">
      <c r="A10265" s="6"/>
      <c r="B10265" s="1"/>
      <c r="C10265" s="5"/>
      <c r="D10265" s="5"/>
      <c r="E10265" s="5"/>
      <c r="F10265" s="5"/>
      <c r="G10265" s="5"/>
      <c r="H10265" s="5"/>
      <c r="I10265" s="5"/>
      <c r="J10265" s="5"/>
      <c r="K10265" s="5"/>
      <c r="L10265" s="5"/>
    </row>
    <row r="10266" spans="1:12" ht="12" customHeight="1" x14ac:dyDescent="0.25">
      <c r="A10266" s="6"/>
      <c r="B10266" s="1"/>
      <c r="C10266" s="5"/>
      <c r="D10266" s="5"/>
      <c r="E10266" s="5"/>
      <c r="F10266" s="5"/>
      <c r="G10266" s="5"/>
      <c r="H10266" s="5"/>
      <c r="I10266" s="5"/>
      <c r="J10266" s="5"/>
      <c r="K10266" s="5"/>
      <c r="L10266" s="5"/>
    </row>
    <row r="10267" spans="1:12" ht="12" customHeight="1" x14ac:dyDescent="0.25">
      <c r="A10267" s="6"/>
      <c r="B10267" s="1"/>
      <c r="C10267" s="5"/>
      <c r="D10267" s="5"/>
      <c r="E10267" s="5"/>
      <c r="F10267" s="5"/>
      <c r="G10267" s="5"/>
      <c r="H10267" s="5"/>
      <c r="I10267" s="5"/>
      <c r="J10267" s="5"/>
      <c r="K10267" s="5"/>
      <c r="L10267" s="5"/>
    </row>
    <row r="10268" spans="1:12" ht="12" customHeight="1" x14ac:dyDescent="0.25">
      <c r="A10268" s="6"/>
      <c r="B10268" s="1"/>
      <c r="C10268" s="5"/>
      <c r="D10268" s="5"/>
      <c r="E10268" s="5"/>
      <c r="F10268" s="5"/>
      <c r="G10268" s="5"/>
      <c r="H10268" s="5"/>
      <c r="I10268" s="5"/>
      <c r="J10268" s="5"/>
      <c r="K10268" s="5"/>
      <c r="L10268" s="5"/>
    </row>
    <row r="10269" spans="1:12" ht="12" customHeight="1" x14ac:dyDescent="0.25">
      <c r="A10269" s="6"/>
      <c r="B10269" s="1"/>
      <c r="C10269" s="5"/>
      <c r="D10269" s="5"/>
      <c r="E10269" s="5"/>
      <c r="F10269" s="5"/>
      <c r="G10269" s="5"/>
      <c r="H10269" s="5"/>
      <c r="I10269" s="5"/>
      <c r="J10269" s="5"/>
      <c r="K10269" s="5"/>
      <c r="L10269" s="5"/>
    </row>
    <row r="10270" spans="1:12" ht="12" customHeight="1" x14ac:dyDescent="0.25">
      <c r="A10270" s="6"/>
      <c r="B10270" s="1"/>
      <c r="C10270" s="5"/>
      <c r="D10270" s="5"/>
      <c r="E10270" s="5"/>
      <c r="F10270" s="5"/>
      <c r="G10270" s="5"/>
      <c r="H10270" s="5"/>
      <c r="I10270" s="5"/>
      <c r="J10270" s="5"/>
      <c r="K10270" s="5"/>
      <c r="L10270" s="5"/>
    </row>
    <row r="10271" spans="1:12" ht="12" customHeight="1" x14ac:dyDescent="0.25">
      <c r="A10271" s="6"/>
      <c r="B10271" s="1"/>
      <c r="C10271" s="5"/>
      <c r="D10271" s="5"/>
      <c r="E10271" s="5"/>
      <c r="F10271" s="5"/>
      <c r="G10271" s="5"/>
      <c r="H10271" s="5"/>
      <c r="I10271" s="5"/>
      <c r="J10271" s="5"/>
      <c r="K10271" s="5"/>
      <c r="L10271" s="5"/>
    </row>
    <row r="10272" spans="1:12" ht="12" customHeight="1" x14ac:dyDescent="0.25">
      <c r="A10272" s="6"/>
      <c r="B10272" s="1"/>
      <c r="C10272" s="5"/>
      <c r="D10272" s="5"/>
      <c r="E10272" s="5"/>
      <c r="F10272" s="5"/>
      <c r="G10272" s="5"/>
      <c r="H10272" s="5"/>
      <c r="I10272" s="5"/>
      <c r="J10272" s="5"/>
      <c r="K10272" s="5"/>
      <c r="L10272" s="5"/>
    </row>
    <row r="10273" spans="1:12" ht="12" customHeight="1" x14ac:dyDescent="0.25">
      <c r="A10273" s="6"/>
      <c r="B10273" s="1"/>
      <c r="C10273" s="5"/>
      <c r="D10273" s="5"/>
      <c r="E10273" s="5"/>
      <c r="F10273" s="5"/>
      <c r="G10273" s="5"/>
      <c r="H10273" s="5"/>
      <c r="I10273" s="5"/>
      <c r="J10273" s="5"/>
      <c r="K10273" s="5"/>
      <c r="L10273" s="5"/>
    </row>
    <row r="10274" spans="1:12" ht="12" customHeight="1" x14ac:dyDescent="0.25">
      <c r="A10274" s="6"/>
      <c r="B10274" s="1"/>
      <c r="C10274" s="5"/>
      <c r="D10274" s="5"/>
      <c r="E10274" s="5"/>
      <c r="F10274" s="5"/>
      <c r="G10274" s="5"/>
      <c r="H10274" s="5"/>
      <c r="I10274" s="5"/>
      <c r="J10274" s="5"/>
      <c r="K10274" s="5"/>
      <c r="L10274" s="5"/>
    </row>
    <row r="10275" spans="1:12" ht="12" customHeight="1" x14ac:dyDescent="0.25">
      <c r="A10275" s="6"/>
      <c r="B10275" s="1"/>
      <c r="C10275" s="5"/>
      <c r="D10275" s="5"/>
      <c r="E10275" s="5"/>
      <c r="F10275" s="5"/>
      <c r="G10275" s="5"/>
      <c r="H10275" s="5"/>
      <c r="I10275" s="5"/>
      <c r="J10275" s="5"/>
      <c r="K10275" s="5"/>
      <c r="L10275" s="5"/>
    </row>
    <row r="10276" spans="1:12" ht="12" customHeight="1" x14ac:dyDescent="0.25">
      <c r="A10276" s="6"/>
      <c r="B10276" s="1"/>
      <c r="C10276" s="5"/>
      <c r="D10276" s="5"/>
      <c r="E10276" s="5"/>
      <c r="F10276" s="5"/>
      <c r="G10276" s="5"/>
      <c r="H10276" s="5"/>
      <c r="I10276" s="5"/>
      <c r="J10276" s="5"/>
      <c r="K10276" s="5"/>
      <c r="L10276" s="5"/>
    </row>
    <row r="10277" spans="1:12" ht="12" customHeight="1" x14ac:dyDescent="0.25">
      <c r="A10277" s="6"/>
      <c r="B10277" s="1"/>
      <c r="C10277" s="5"/>
      <c r="D10277" s="5"/>
      <c r="E10277" s="5"/>
      <c r="F10277" s="5"/>
      <c r="G10277" s="5"/>
      <c r="H10277" s="5"/>
      <c r="I10277" s="5"/>
      <c r="J10277" s="5"/>
      <c r="K10277" s="5"/>
      <c r="L10277" s="5"/>
    </row>
    <row r="10278" spans="1:12" ht="12" customHeight="1" x14ac:dyDescent="0.25">
      <c r="A10278" s="6"/>
      <c r="B10278" s="1"/>
      <c r="C10278" s="5"/>
      <c r="D10278" s="5"/>
      <c r="E10278" s="5"/>
      <c r="F10278" s="5"/>
      <c r="G10278" s="5"/>
      <c r="H10278" s="5"/>
      <c r="I10278" s="5"/>
      <c r="J10278" s="5"/>
      <c r="K10278" s="5"/>
      <c r="L10278" s="5"/>
    </row>
    <row r="10279" spans="1:12" ht="12" customHeight="1" x14ac:dyDescent="0.25">
      <c r="A10279" s="6"/>
      <c r="B10279" s="1"/>
      <c r="C10279" s="5"/>
      <c r="D10279" s="5"/>
      <c r="E10279" s="5"/>
      <c r="F10279" s="5"/>
      <c r="G10279" s="5"/>
      <c r="H10279" s="5"/>
      <c r="I10279" s="5"/>
      <c r="J10279" s="5"/>
      <c r="K10279" s="5"/>
      <c r="L10279" s="5"/>
    </row>
    <row r="10280" spans="1:12" ht="12" customHeight="1" x14ac:dyDescent="0.25">
      <c r="A10280" s="6"/>
      <c r="B10280" s="1"/>
      <c r="C10280" s="5"/>
      <c r="D10280" s="5"/>
      <c r="E10280" s="5"/>
      <c r="F10280" s="5"/>
      <c r="G10280" s="5"/>
      <c r="H10280" s="5"/>
      <c r="I10280" s="5"/>
      <c r="J10280" s="5"/>
      <c r="K10280" s="5"/>
      <c r="L10280" s="5"/>
    </row>
    <row r="10281" spans="1:12" ht="12" customHeight="1" x14ac:dyDescent="0.25">
      <c r="A10281" s="6"/>
      <c r="B10281" s="1"/>
      <c r="C10281" s="5"/>
      <c r="D10281" s="5"/>
      <c r="E10281" s="5"/>
      <c r="F10281" s="5"/>
      <c r="G10281" s="5"/>
      <c r="H10281" s="5"/>
      <c r="I10281" s="5"/>
      <c r="J10281" s="5"/>
      <c r="K10281" s="5"/>
      <c r="L10281" s="5"/>
    </row>
    <row r="10282" spans="1:12" ht="12" customHeight="1" x14ac:dyDescent="0.25">
      <c r="A10282" s="6"/>
      <c r="B10282" s="1"/>
      <c r="C10282" s="5"/>
      <c r="D10282" s="5"/>
      <c r="E10282" s="5"/>
      <c r="F10282" s="5"/>
      <c r="G10282" s="5"/>
      <c r="H10282" s="5"/>
      <c r="I10282" s="5"/>
      <c r="J10282" s="5"/>
      <c r="K10282" s="5"/>
      <c r="L10282" s="5"/>
    </row>
    <row r="10283" spans="1:12" ht="12" customHeight="1" x14ac:dyDescent="0.25">
      <c r="A10283" s="6"/>
      <c r="B10283" s="1"/>
      <c r="C10283" s="5"/>
      <c r="D10283" s="5"/>
      <c r="E10283" s="5"/>
      <c r="F10283" s="5"/>
      <c r="G10283" s="5"/>
      <c r="H10283" s="5"/>
      <c r="I10283" s="5"/>
      <c r="J10283" s="5"/>
      <c r="K10283" s="5"/>
      <c r="L10283" s="5"/>
    </row>
    <row r="10284" spans="1:12" ht="12" customHeight="1" x14ac:dyDescent="0.25">
      <c r="A10284" s="6"/>
      <c r="B10284" s="1"/>
      <c r="C10284" s="5"/>
      <c r="D10284" s="5"/>
      <c r="E10284" s="5"/>
      <c r="F10284" s="5"/>
      <c r="G10284" s="5"/>
      <c r="H10284" s="5"/>
      <c r="I10284" s="5"/>
      <c r="J10284" s="5"/>
      <c r="K10284" s="5"/>
      <c r="L10284" s="5"/>
    </row>
    <row r="10285" spans="1:12" ht="12" customHeight="1" x14ac:dyDescent="0.25">
      <c r="A10285" s="6"/>
      <c r="B10285" s="1"/>
      <c r="C10285" s="5"/>
      <c r="D10285" s="5"/>
      <c r="E10285" s="5"/>
      <c r="F10285" s="5"/>
      <c r="G10285" s="5"/>
      <c r="H10285" s="5"/>
      <c r="I10285" s="5"/>
      <c r="J10285" s="5"/>
      <c r="K10285" s="5"/>
      <c r="L10285" s="5"/>
    </row>
    <row r="10286" spans="1:12" ht="12" customHeight="1" x14ac:dyDescent="0.25">
      <c r="A10286" s="6"/>
      <c r="B10286" s="1"/>
      <c r="C10286" s="5"/>
      <c r="D10286" s="5"/>
      <c r="E10286" s="5"/>
      <c r="F10286" s="5"/>
      <c r="G10286" s="5"/>
      <c r="H10286" s="5"/>
      <c r="I10286" s="5"/>
      <c r="J10286" s="5"/>
      <c r="K10286" s="5"/>
      <c r="L10286" s="5"/>
    </row>
    <row r="10287" spans="1:12" ht="12" customHeight="1" x14ac:dyDescent="0.25">
      <c r="A10287" s="6"/>
      <c r="B10287" s="1"/>
      <c r="C10287" s="5"/>
      <c r="D10287" s="5"/>
      <c r="E10287" s="5"/>
      <c r="F10287" s="5"/>
      <c r="G10287" s="5"/>
      <c r="H10287" s="5"/>
      <c r="I10287" s="5"/>
      <c r="J10287" s="5"/>
      <c r="K10287" s="5"/>
      <c r="L10287" s="5"/>
    </row>
    <row r="10288" spans="1:12" ht="12" customHeight="1" x14ac:dyDescent="0.25">
      <c r="A10288" s="6"/>
      <c r="B10288" s="1"/>
      <c r="C10288" s="5"/>
      <c r="D10288" s="5"/>
      <c r="E10288" s="5"/>
      <c r="F10288" s="5"/>
      <c r="G10288" s="5"/>
      <c r="H10288" s="5"/>
      <c r="I10288" s="5"/>
      <c r="J10288" s="5"/>
      <c r="K10288" s="5"/>
      <c r="L10288" s="5"/>
    </row>
    <row r="10289" spans="1:12" ht="12" customHeight="1" x14ac:dyDescent="0.25">
      <c r="A10289" s="6"/>
      <c r="B10289" s="1"/>
      <c r="C10289" s="5"/>
      <c r="D10289" s="5"/>
      <c r="E10289" s="5"/>
      <c r="F10289" s="5"/>
      <c r="G10289" s="5"/>
      <c r="H10289" s="5"/>
      <c r="I10289" s="5"/>
      <c r="J10289" s="5"/>
      <c r="K10289" s="5"/>
      <c r="L10289" s="5"/>
    </row>
    <row r="10290" spans="1:12" ht="12" customHeight="1" x14ac:dyDescent="0.25">
      <c r="A10290" s="6"/>
      <c r="B10290" s="1"/>
      <c r="C10290" s="5"/>
      <c r="D10290" s="5"/>
      <c r="E10290" s="5"/>
      <c r="F10290" s="5"/>
      <c r="G10290" s="5"/>
      <c r="H10290" s="5"/>
      <c r="I10290" s="5"/>
      <c r="J10290" s="5"/>
      <c r="K10290" s="5"/>
      <c r="L10290" s="5"/>
    </row>
    <row r="10291" spans="1:12" ht="12" customHeight="1" x14ac:dyDescent="0.25">
      <c r="A10291" s="6"/>
      <c r="B10291" s="1"/>
      <c r="C10291" s="5"/>
      <c r="D10291" s="5"/>
      <c r="E10291" s="5"/>
      <c r="F10291" s="5"/>
      <c r="G10291" s="5"/>
      <c r="H10291" s="5"/>
      <c r="I10291" s="5"/>
      <c r="J10291" s="5"/>
      <c r="K10291" s="5"/>
      <c r="L10291" s="5"/>
    </row>
    <row r="10292" spans="1:12" ht="12" customHeight="1" x14ac:dyDescent="0.25">
      <c r="A10292" s="6"/>
      <c r="B10292" s="1"/>
      <c r="C10292" s="5"/>
      <c r="D10292" s="5"/>
      <c r="E10292" s="5"/>
      <c r="F10292" s="5"/>
      <c r="G10292" s="5"/>
      <c r="H10292" s="5"/>
      <c r="I10292" s="5"/>
      <c r="J10292" s="5"/>
      <c r="K10292" s="5"/>
      <c r="L10292" s="5"/>
    </row>
    <row r="10293" spans="1:12" ht="12" customHeight="1" x14ac:dyDescent="0.25">
      <c r="A10293" s="6"/>
      <c r="B10293" s="1"/>
      <c r="C10293" s="5"/>
      <c r="D10293" s="5"/>
      <c r="E10293" s="5"/>
      <c r="F10293" s="5"/>
      <c r="G10293" s="5"/>
      <c r="H10293" s="5"/>
      <c r="I10293" s="5"/>
      <c r="J10293" s="5"/>
      <c r="K10293" s="5"/>
      <c r="L10293" s="5"/>
    </row>
    <row r="10294" spans="1:12" ht="12" customHeight="1" x14ac:dyDescent="0.25">
      <c r="A10294" s="6"/>
      <c r="B10294" s="1"/>
      <c r="C10294" s="5"/>
      <c r="D10294" s="5"/>
      <c r="E10294" s="5"/>
      <c r="F10294" s="5"/>
      <c r="G10294" s="5"/>
      <c r="H10294" s="5"/>
      <c r="I10294" s="5"/>
      <c r="J10294" s="5"/>
      <c r="K10294" s="5"/>
      <c r="L10294" s="5"/>
    </row>
    <row r="10295" spans="1:12" ht="12" customHeight="1" x14ac:dyDescent="0.25">
      <c r="A10295" s="6"/>
      <c r="B10295" s="1"/>
      <c r="C10295" s="5"/>
      <c r="D10295" s="5"/>
      <c r="E10295" s="5"/>
      <c r="F10295" s="5"/>
      <c r="G10295" s="5"/>
      <c r="H10295" s="5"/>
      <c r="I10295" s="5"/>
      <c r="J10295" s="5"/>
      <c r="K10295" s="5"/>
      <c r="L10295" s="5"/>
    </row>
    <row r="10296" spans="1:12" ht="12" customHeight="1" x14ac:dyDescent="0.25">
      <c r="A10296" s="6"/>
      <c r="B10296" s="1"/>
      <c r="C10296" s="5"/>
      <c r="D10296" s="5"/>
      <c r="E10296" s="5"/>
      <c r="F10296" s="5"/>
      <c r="G10296" s="5"/>
      <c r="H10296" s="5"/>
      <c r="I10296" s="5"/>
      <c r="J10296" s="5"/>
      <c r="K10296" s="5"/>
      <c r="L10296" s="5"/>
    </row>
    <row r="10297" spans="1:12" ht="12" customHeight="1" x14ac:dyDescent="0.25">
      <c r="A10297" s="6"/>
      <c r="B10297" s="1"/>
      <c r="C10297" s="5"/>
      <c r="D10297" s="5"/>
      <c r="E10297" s="5"/>
      <c r="F10297" s="5"/>
      <c r="G10297" s="5"/>
      <c r="H10297" s="5"/>
      <c r="I10297" s="5"/>
      <c r="J10297" s="5"/>
      <c r="K10297" s="5"/>
      <c r="L10297" s="5"/>
    </row>
    <row r="10298" spans="1:12" ht="12" customHeight="1" x14ac:dyDescent="0.25">
      <c r="A10298" s="6"/>
      <c r="B10298" s="1"/>
      <c r="C10298" s="5"/>
      <c r="D10298" s="5"/>
      <c r="E10298" s="5"/>
      <c r="F10298" s="5"/>
      <c r="G10298" s="5"/>
      <c r="H10298" s="5"/>
      <c r="I10298" s="5"/>
      <c r="J10298" s="5"/>
      <c r="K10298" s="5"/>
      <c r="L10298" s="5"/>
    </row>
    <row r="10299" spans="1:12" ht="12" customHeight="1" x14ac:dyDescent="0.25">
      <c r="A10299" s="6"/>
      <c r="B10299" s="1"/>
      <c r="C10299" s="5"/>
      <c r="D10299" s="5"/>
      <c r="E10299" s="5"/>
      <c r="F10299" s="5"/>
      <c r="G10299" s="5"/>
      <c r="H10299" s="5"/>
      <c r="I10299" s="5"/>
      <c r="J10299" s="5"/>
      <c r="K10299" s="5"/>
      <c r="L10299" s="5"/>
    </row>
    <row r="10300" spans="1:12" ht="12" customHeight="1" x14ac:dyDescent="0.25">
      <c r="A10300" s="6"/>
      <c r="B10300" s="1"/>
      <c r="C10300" s="5"/>
      <c r="D10300" s="5"/>
      <c r="E10300" s="5"/>
      <c r="F10300" s="5"/>
      <c r="G10300" s="5"/>
      <c r="H10300" s="5"/>
      <c r="I10300" s="5"/>
      <c r="J10300" s="5"/>
      <c r="K10300" s="5"/>
      <c r="L10300" s="5"/>
    </row>
    <row r="10301" spans="1:12" ht="12" customHeight="1" x14ac:dyDescent="0.25">
      <c r="A10301" s="6"/>
      <c r="B10301" s="1"/>
      <c r="C10301" s="5"/>
      <c r="D10301" s="5"/>
      <c r="E10301" s="5"/>
      <c r="F10301" s="5"/>
      <c r="G10301" s="5"/>
      <c r="H10301" s="5"/>
      <c r="I10301" s="5"/>
      <c r="J10301" s="5"/>
      <c r="K10301" s="5"/>
      <c r="L10301" s="5"/>
    </row>
    <row r="10302" spans="1:12" ht="12" customHeight="1" x14ac:dyDescent="0.25">
      <c r="A10302" s="6"/>
      <c r="B10302" s="1"/>
      <c r="C10302" s="5"/>
      <c r="D10302" s="5"/>
      <c r="E10302" s="5"/>
      <c r="F10302" s="5"/>
      <c r="G10302" s="5"/>
      <c r="H10302" s="5"/>
      <c r="I10302" s="5"/>
      <c r="J10302" s="5"/>
      <c r="K10302" s="5"/>
      <c r="L10302" s="5"/>
    </row>
    <row r="10303" spans="1:12" ht="12" customHeight="1" x14ac:dyDescent="0.25">
      <c r="A10303" s="6"/>
      <c r="B10303" s="1"/>
      <c r="C10303" s="5"/>
      <c r="D10303" s="5"/>
      <c r="E10303" s="5"/>
      <c r="F10303" s="5"/>
      <c r="G10303" s="5"/>
      <c r="H10303" s="5"/>
      <c r="I10303" s="5"/>
      <c r="J10303" s="5"/>
      <c r="K10303" s="5"/>
      <c r="L10303" s="5"/>
    </row>
    <row r="10304" spans="1:12" ht="12" customHeight="1" x14ac:dyDescent="0.25">
      <c r="A10304" s="6"/>
      <c r="B10304" s="1"/>
      <c r="C10304" s="5"/>
      <c r="D10304" s="5"/>
      <c r="E10304" s="5"/>
      <c r="F10304" s="5"/>
      <c r="G10304" s="5"/>
      <c r="H10304" s="5"/>
      <c r="I10304" s="5"/>
      <c r="J10304" s="5"/>
      <c r="K10304" s="5"/>
      <c r="L10304" s="5"/>
    </row>
    <row r="10305" spans="1:12" ht="12" customHeight="1" x14ac:dyDescent="0.25">
      <c r="A10305" s="6"/>
      <c r="B10305" s="1"/>
      <c r="C10305" s="5"/>
      <c r="D10305" s="5"/>
      <c r="E10305" s="5"/>
      <c r="F10305" s="5"/>
      <c r="G10305" s="5"/>
      <c r="H10305" s="5"/>
      <c r="I10305" s="5"/>
      <c r="J10305" s="5"/>
      <c r="K10305" s="5"/>
      <c r="L10305" s="5"/>
    </row>
    <row r="10306" spans="1:12" ht="12" customHeight="1" x14ac:dyDescent="0.25">
      <c r="A10306" s="6"/>
      <c r="B10306" s="1"/>
      <c r="C10306" s="5"/>
      <c r="D10306" s="5"/>
      <c r="E10306" s="5"/>
      <c r="F10306" s="5"/>
      <c r="G10306" s="5"/>
      <c r="H10306" s="5"/>
      <c r="I10306" s="5"/>
      <c r="J10306" s="5"/>
      <c r="K10306" s="5"/>
      <c r="L10306" s="5"/>
    </row>
    <row r="10307" spans="1:12" ht="12" customHeight="1" x14ac:dyDescent="0.25">
      <c r="A10307" s="6"/>
      <c r="B10307" s="1"/>
      <c r="C10307" s="5"/>
      <c r="D10307" s="5"/>
      <c r="E10307" s="5"/>
      <c r="F10307" s="5"/>
      <c r="G10307" s="5"/>
      <c r="H10307" s="5"/>
      <c r="I10307" s="5"/>
      <c r="J10307" s="5"/>
      <c r="K10307" s="5"/>
      <c r="L10307" s="5"/>
    </row>
    <row r="10308" spans="1:12" ht="12" customHeight="1" x14ac:dyDescent="0.25">
      <c r="A10308" s="6"/>
      <c r="B10308" s="1"/>
      <c r="C10308" s="5"/>
      <c r="D10308" s="5"/>
      <c r="E10308" s="5"/>
      <c r="F10308" s="5"/>
      <c r="G10308" s="5"/>
      <c r="H10308" s="5"/>
      <c r="I10308" s="5"/>
      <c r="J10308" s="5"/>
      <c r="K10308" s="5"/>
      <c r="L10308" s="5"/>
    </row>
    <row r="10309" spans="1:12" ht="12" customHeight="1" x14ac:dyDescent="0.25">
      <c r="A10309" s="6"/>
      <c r="B10309" s="1"/>
      <c r="C10309" s="5"/>
      <c r="D10309" s="5"/>
      <c r="E10309" s="5"/>
      <c r="F10309" s="5"/>
      <c r="G10309" s="5"/>
      <c r="H10309" s="5"/>
      <c r="I10309" s="5"/>
      <c r="J10309" s="5"/>
      <c r="K10309" s="5"/>
      <c r="L10309" s="5"/>
    </row>
    <row r="10310" spans="1:12" ht="12" customHeight="1" x14ac:dyDescent="0.25">
      <c r="A10310" s="6"/>
      <c r="B10310" s="1"/>
      <c r="C10310" s="5"/>
      <c r="D10310" s="5"/>
      <c r="E10310" s="5"/>
      <c r="F10310" s="5"/>
      <c r="G10310" s="5"/>
      <c r="H10310" s="5"/>
      <c r="I10310" s="5"/>
      <c r="J10310" s="5"/>
      <c r="K10310" s="5"/>
      <c r="L10310" s="5"/>
    </row>
    <row r="10311" spans="1:12" ht="12" customHeight="1" x14ac:dyDescent="0.25">
      <c r="A10311" s="6"/>
      <c r="B10311" s="1"/>
      <c r="C10311" s="5"/>
      <c r="D10311" s="5"/>
      <c r="E10311" s="5"/>
      <c r="F10311" s="5"/>
      <c r="G10311" s="5"/>
      <c r="H10311" s="5"/>
      <c r="I10311" s="5"/>
      <c r="J10311" s="5"/>
      <c r="K10311" s="5"/>
      <c r="L10311" s="5"/>
    </row>
    <row r="10312" spans="1:12" ht="12" customHeight="1" x14ac:dyDescent="0.25">
      <c r="A10312" s="6"/>
      <c r="B10312" s="1"/>
      <c r="C10312" s="5"/>
      <c r="D10312" s="5"/>
      <c r="E10312" s="5"/>
      <c r="F10312" s="5"/>
      <c r="G10312" s="5"/>
      <c r="H10312" s="5"/>
      <c r="I10312" s="5"/>
      <c r="J10312" s="5"/>
      <c r="K10312" s="5"/>
      <c r="L10312" s="5"/>
    </row>
    <row r="10313" spans="1:12" ht="12" customHeight="1" x14ac:dyDescent="0.25">
      <c r="A10313" s="6"/>
      <c r="B10313" s="1"/>
      <c r="C10313" s="5"/>
      <c r="D10313" s="5"/>
      <c r="E10313" s="5"/>
      <c r="F10313" s="5"/>
      <c r="G10313" s="5"/>
      <c r="H10313" s="5"/>
      <c r="I10313" s="5"/>
      <c r="J10313" s="5"/>
      <c r="K10313" s="5"/>
      <c r="L10313" s="5"/>
    </row>
    <row r="10314" spans="1:12" ht="12" customHeight="1" x14ac:dyDescent="0.25">
      <c r="A10314" s="6"/>
      <c r="B10314" s="1"/>
      <c r="C10314" s="5"/>
      <c r="D10314" s="5"/>
      <c r="E10314" s="5"/>
      <c r="F10314" s="5"/>
      <c r="G10314" s="5"/>
      <c r="H10314" s="5"/>
      <c r="I10314" s="5"/>
      <c r="J10314" s="5"/>
      <c r="K10314" s="5"/>
      <c r="L10314" s="5"/>
    </row>
    <row r="10315" spans="1:12" ht="12" customHeight="1" x14ac:dyDescent="0.25">
      <c r="A10315" s="6"/>
      <c r="B10315" s="1"/>
      <c r="C10315" s="5"/>
      <c r="D10315" s="5"/>
      <c r="E10315" s="5"/>
      <c r="F10315" s="5"/>
      <c r="G10315" s="5"/>
      <c r="H10315" s="5"/>
      <c r="I10315" s="5"/>
      <c r="J10315" s="5"/>
      <c r="K10315" s="5"/>
      <c r="L10315" s="5"/>
    </row>
    <row r="10316" spans="1:12" ht="12" customHeight="1" x14ac:dyDescent="0.25">
      <c r="A10316" s="6"/>
      <c r="B10316" s="1"/>
      <c r="C10316" s="5"/>
      <c r="D10316" s="5"/>
      <c r="E10316" s="5"/>
      <c r="F10316" s="5"/>
      <c r="G10316" s="5"/>
      <c r="H10316" s="5"/>
      <c r="I10316" s="5"/>
      <c r="J10316" s="5"/>
      <c r="K10316" s="5"/>
      <c r="L10316" s="5"/>
    </row>
    <row r="10317" spans="1:12" ht="12" customHeight="1" x14ac:dyDescent="0.25">
      <c r="A10317" s="6"/>
      <c r="B10317" s="1"/>
      <c r="C10317" s="5"/>
      <c r="D10317" s="5"/>
      <c r="E10317" s="5"/>
      <c r="F10317" s="5"/>
      <c r="G10317" s="5"/>
      <c r="H10317" s="5"/>
      <c r="I10317" s="5"/>
      <c r="J10317" s="5"/>
      <c r="K10317" s="5"/>
      <c r="L10317" s="5"/>
    </row>
    <row r="10318" spans="1:12" ht="12" customHeight="1" x14ac:dyDescent="0.25">
      <c r="A10318" s="6"/>
      <c r="B10318" s="1"/>
      <c r="C10318" s="5"/>
      <c r="D10318" s="5"/>
      <c r="E10318" s="5"/>
      <c r="F10318" s="5"/>
      <c r="G10318" s="5"/>
      <c r="H10318" s="5"/>
      <c r="I10318" s="5"/>
      <c r="J10318" s="5"/>
      <c r="K10318" s="5"/>
      <c r="L10318" s="5"/>
    </row>
    <row r="10319" spans="1:12" ht="12" customHeight="1" x14ac:dyDescent="0.25">
      <c r="A10319" s="6"/>
      <c r="B10319" s="1"/>
      <c r="C10319" s="5"/>
      <c r="D10319" s="5"/>
      <c r="E10319" s="5"/>
      <c r="F10319" s="5"/>
      <c r="G10319" s="5"/>
      <c r="H10319" s="5"/>
      <c r="I10319" s="5"/>
      <c r="J10319" s="5"/>
      <c r="K10319" s="5"/>
      <c r="L10319" s="5"/>
    </row>
    <row r="10320" spans="1:12" ht="12" customHeight="1" x14ac:dyDescent="0.25">
      <c r="A10320" s="6"/>
      <c r="B10320" s="1"/>
      <c r="C10320" s="5"/>
      <c r="D10320" s="5"/>
      <c r="E10320" s="5"/>
      <c r="F10320" s="5"/>
      <c r="G10320" s="5"/>
      <c r="H10320" s="5"/>
      <c r="I10320" s="5"/>
      <c r="J10320" s="5"/>
      <c r="K10320" s="5"/>
      <c r="L10320" s="5"/>
    </row>
    <row r="10321" spans="1:12" ht="12" customHeight="1" x14ac:dyDescent="0.25">
      <c r="A10321" s="6"/>
      <c r="B10321" s="1"/>
      <c r="C10321" s="5"/>
      <c r="D10321" s="5"/>
      <c r="E10321" s="5"/>
      <c r="F10321" s="5"/>
      <c r="G10321" s="5"/>
      <c r="H10321" s="5"/>
      <c r="I10321" s="5"/>
      <c r="J10321" s="5"/>
      <c r="K10321" s="5"/>
      <c r="L10321" s="5"/>
    </row>
    <row r="10322" spans="1:12" ht="12" customHeight="1" x14ac:dyDescent="0.25">
      <c r="A10322" s="6"/>
      <c r="B10322" s="1"/>
      <c r="C10322" s="5"/>
      <c r="D10322" s="5"/>
      <c r="E10322" s="5"/>
      <c r="F10322" s="5"/>
      <c r="G10322" s="5"/>
      <c r="H10322" s="5"/>
      <c r="I10322" s="5"/>
      <c r="J10322" s="5"/>
      <c r="K10322" s="5"/>
      <c r="L10322" s="5"/>
    </row>
    <row r="10323" spans="1:12" ht="12" customHeight="1" x14ac:dyDescent="0.25">
      <c r="A10323" s="6"/>
      <c r="B10323" s="1"/>
      <c r="C10323" s="5"/>
      <c r="D10323" s="5"/>
      <c r="E10323" s="5"/>
      <c r="F10323" s="5"/>
      <c r="G10323" s="5"/>
      <c r="H10323" s="5"/>
      <c r="I10323" s="5"/>
      <c r="J10323" s="5"/>
      <c r="K10323" s="5"/>
      <c r="L10323" s="5"/>
    </row>
    <row r="10324" spans="1:12" ht="12" customHeight="1" x14ac:dyDescent="0.25">
      <c r="A10324" s="6"/>
      <c r="B10324" s="1"/>
      <c r="C10324" s="5"/>
      <c r="D10324" s="5"/>
      <c r="E10324" s="5"/>
      <c r="F10324" s="5"/>
      <c r="G10324" s="5"/>
      <c r="H10324" s="5"/>
      <c r="I10324" s="5"/>
      <c r="J10324" s="5"/>
      <c r="K10324" s="5"/>
      <c r="L10324" s="5"/>
    </row>
    <row r="10325" spans="1:12" ht="12" customHeight="1" x14ac:dyDescent="0.25">
      <c r="A10325" s="6"/>
      <c r="B10325" s="1"/>
      <c r="C10325" s="5"/>
      <c r="D10325" s="5"/>
      <c r="E10325" s="5"/>
      <c r="F10325" s="5"/>
      <c r="G10325" s="5"/>
      <c r="H10325" s="5"/>
      <c r="I10325" s="5"/>
      <c r="J10325" s="5"/>
      <c r="K10325" s="5"/>
      <c r="L10325" s="5"/>
    </row>
    <row r="10326" spans="1:12" ht="12" customHeight="1" x14ac:dyDescent="0.25">
      <c r="A10326" s="6"/>
      <c r="B10326" s="1"/>
      <c r="C10326" s="5"/>
      <c r="D10326" s="5"/>
      <c r="E10326" s="5"/>
      <c r="F10326" s="5"/>
      <c r="G10326" s="5"/>
      <c r="H10326" s="5"/>
      <c r="I10326" s="5"/>
      <c r="J10326" s="5"/>
      <c r="K10326" s="5"/>
      <c r="L10326" s="5"/>
    </row>
    <row r="10327" spans="1:12" ht="12" customHeight="1" x14ac:dyDescent="0.25">
      <c r="A10327" s="6"/>
      <c r="B10327" s="1"/>
      <c r="C10327" s="5"/>
      <c r="D10327" s="5"/>
      <c r="E10327" s="5"/>
      <c r="F10327" s="5"/>
      <c r="G10327" s="5"/>
      <c r="H10327" s="5"/>
      <c r="I10327" s="5"/>
      <c r="J10327" s="5"/>
      <c r="K10327" s="5"/>
      <c r="L10327" s="5"/>
    </row>
    <row r="10328" spans="1:12" ht="12" customHeight="1" x14ac:dyDescent="0.25">
      <c r="A10328" s="6"/>
      <c r="B10328" s="1"/>
      <c r="C10328" s="5"/>
      <c r="D10328" s="5"/>
      <c r="E10328" s="5"/>
      <c r="F10328" s="5"/>
      <c r="G10328" s="5"/>
      <c r="H10328" s="5"/>
      <c r="I10328" s="5"/>
      <c r="J10328" s="5"/>
      <c r="K10328" s="5"/>
      <c r="L10328" s="5"/>
    </row>
    <row r="10329" spans="1:12" ht="12" customHeight="1" x14ac:dyDescent="0.25">
      <c r="A10329" s="6"/>
      <c r="B10329" s="1"/>
      <c r="C10329" s="5"/>
      <c r="D10329" s="5"/>
      <c r="E10329" s="5"/>
      <c r="F10329" s="5"/>
      <c r="G10329" s="5"/>
      <c r="H10329" s="5"/>
      <c r="I10329" s="5"/>
      <c r="J10329" s="5"/>
      <c r="K10329" s="5"/>
      <c r="L10329" s="5"/>
    </row>
    <row r="10330" spans="1:12" ht="12" customHeight="1" x14ac:dyDescent="0.25">
      <c r="A10330" s="6"/>
      <c r="B10330" s="1"/>
      <c r="C10330" s="5"/>
      <c r="D10330" s="5"/>
      <c r="E10330" s="5"/>
      <c r="F10330" s="5"/>
      <c r="G10330" s="5"/>
      <c r="H10330" s="5"/>
      <c r="I10330" s="5"/>
      <c r="J10330" s="5"/>
      <c r="K10330" s="5"/>
      <c r="L10330" s="5"/>
    </row>
    <row r="10331" spans="1:12" ht="12" customHeight="1" x14ac:dyDescent="0.25">
      <c r="A10331" s="6"/>
      <c r="B10331" s="1"/>
      <c r="C10331" s="5"/>
      <c r="D10331" s="5"/>
      <c r="E10331" s="5"/>
      <c r="F10331" s="5"/>
      <c r="G10331" s="5"/>
      <c r="H10331" s="5"/>
      <c r="I10331" s="5"/>
      <c r="J10331" s="5"/>
      <c r="K10331" s="5"/>
      <c r="L10331" s="5"/>
    </row>
    <row r="10332" spans="1:12" ht="12" customHeight="1" x14ac:dyDescent="0.25">
      <c r="A10332" s="6"/>
      <c r="B10332" s="1"/>
      <c r="C10332" s="5"/>
      <c r="D10332" s="5"/>
      <c r="E10332" s="5"/>
      <c r="F10332" s="5"/>
      <c r="G10332" s="5"/>
      <c r="H10332" s="5"/>
      <c r="I10332" s="5"/>
      <c r="J10332" s="5"/>
      <c r="K10332" s="5"/>
      <c r="L10332" s="5"/>
    </row>
    <row r="10333" spans="1:12" ht="12" customHeight="1" x14ac:dyDescent="0.25">
      <c r="A10333" s="6"/>
      <c r="B10333" s="1"/>
      <c r="C10333" s="5"/>
      <c r="D10333" s="5"/>
      <c r="E10333" s="5"/>
      <c r="F10333" s="5"/>
      <c r="G10333" s="5"/>
      <c r="H10333" s="5"/>
      <c r="I10333" s="5"/>
      <c r="J10333" s="5"/>
      <c r="K10333" s="5"/>
      <c r="L10333" s="5"/>
    </row>
    <row r="10334" spans="1:12" ht="12" customHeight="1" x14ac:dyDescent="0.25">
      <c r="A10334" s="6"/>
      <c r="B10334" s="1"/>
      <c r="C10334" s="5"/>
      <c r="D10334" s="5"/>
      <c r="E10334" s="5"/>
      <c r="F10334" s="5"/>
      <c r="G10334" s="5"/>
      <c r="H10334" s="5"/>
      <c r="I10334" s="5"/>
      <c r="J10334" s="5"/>
      <c r="K10334" s="5"/>
      <c r="L10334" s="5"/>
    </row>
    <row r="10335" spans="1:12" ht="12" customHeight="1" x14ac:dyDescent="0.25">
      <c r="A10335" s="6"/>
      <c r="B10335" s="1"/>
      <c r="C10335" s="5"/>
      <c r="D10335" s="5"/>
      <c r="E10335" s="5"/>
      <c r="F10335" s="5"/>
      <c r="G10335" s="5"/>
      <c r="H10335" s="5"/>
      <c r="I10335" s="5"/>
      <c r="J10335" s="5"/>
      <c r="K10335" s="5"/>
      <c r="L10335" s="5"/>
    </row>
    <row r="10336" spans="1:12" ht="12" customHeight="1" x14ac:dyDescent="0.25">
      <c r="A10336" s="6"/>
      <c r="B10336" s="1"/>
      <c r="C10336" s="5"/>
      <c r="D10336" s="5"/>
      <c r="E10336" s="5"/>
      <c r="F10336" s="5"/>
      <c r="G10336" s="5"/>
      <c r="H10336" s="5"/>
      <c r="I10336" s="5"/>
      <c r="J10336" s="5"/>
      <c r="K10336" s="5"/>
      <c r="L10336" s="5"/>
    </row>
    <row r="10337" spans="1:12" ht="12" customHeight="1" x14ac:dyDescent="0.25">
      <c r="A10337" s="6"/>
      <c r="B10337" s="1"/>
      <c r="C10337" s="5"/>
      <c r="D10337" s="5"/>
      <c r="E10337" s="5"/>
      <c r="F10337" s="5"/>
      <c r="G10337" s="5"/>
      <c r="H10337" s="5"/>
      <c r="I10337" s="5"/>
      <c r="J10337" s="5"/>
      <c r="K10337" s="5"/>
      <c r="L10337" s="5"/>
    </row>
    <row r="10338" spans="1:12" ht="12" customHeight="1" x14ac:dyDescent="0.25">
      <c r="A10338" s="6"/>
      <c r="B10338" s="1"/>
      <c r="C10338" s="5"/>
      <c r="D10338" s="5"/>
      <c r="E10338" s="5"/>
      <c r="F10338" s="5"/>
      <c r="G10338" s="5"/>
      <c r="H10338" s="5"/>
      <c r="I10338" s="5"/>
      <c r="J10338" s="5"/>
      <c r="K10338" s="5"/>
      <c r="L10338" s="5"/>
    </row>
    <row r="10339" spans="1:12" ht="12" customHeight="1" x14ac:dyDescent="0.25">
      <c r="A10339" s="6"/>
      <c r="B10339" s="1"/>
      <c r="C10339" s="5"/>
      <c r="D10339" s="5"/>
      <c r="E10339" s="5"/>
      <c r="F10339" s="5"/>
      <c r="G10339" s="5"/>
      <c r="H10339" s="5"/>
      <c r="I10339" s="5"/>
      <c r="J10339" s="5"/>
      <c r="K10339" s="5"/>
      <c r="L10339" s="5"/>
    </row>
    <row r="10340" spans="1:12" ht="12" customHeight="1" x14ac:dyDescent="0.25">
      <c r="A10340" s="6"/>
      <c r="B10340" s="1"/>
      <c r="C10340" s="5"/>
      <c r="D10340" s="5"/>
      <c r="E10340" s="5"/>
      <c r="F10340" s="5"/>
      <c r="G10340" s="5"/>
      <c r="H10340" s="5"/>
      <c r="I10340" s="5"/>
      <c r="J10340" s="5"/>
      <c r="K10340" s="5"/>
      <c r="L10340" s="5"/>
    </row>
    <row r="10341" spans="1:12" ht="12" customHeight="1" x14ac:dyDescent="0.25">
      <c r="A10341" s="6"/>
      <c r="B10341" s="1"/>
      <c r="C10341" s="5"/>
      <c r="D10341" s="5"/>
      <c r="E10341" s="5"/>
      <c r="F10341" s="5"/>
      <c r="G10341" s="5"/>
      <c r="H10341" s="5"/>
      <c r="I10341" s="5"/>
      <c r="J10341" s="5"/>
      <c r="K10341" s="5"/>
      <c r="L10341" s="5"/>
    </row>
    <row r="10342" spans="1:12" ht="12" customHeight="1" x14ac:dyDescent="0.25">
      <c r="A10342" s="6"/>
      <c r="B10342" s="1"/>
      <c r="C10342" s="5"/>
      <c r="D10342" s="5"/>
      <c r="E10342" s="5"/>
      <c r="F10342" s="5"/>
      <c r="G10342" s="5"/>
      <c r="H10342" s="5"/>
      <c r="I10342" s="5"/>
      <c r="J10342" s="5"/>
      <c r="K10342" s="5"/>
      <c r="L10342" s="5"/>
    </row>
    <row r="10343" spans="1:12" ht="12" customHeight="1" x14ac:dyDescent="0.25">
      <c r="A10343" s="6"/>
      <c r="B10343" s="1"/>
      <c r="C10343" s="5"/>
      <c r="D10343" s="5"/>
      <c r="E10343" s="5"/>
      <c r="F10343" s="5"/>
      <c r="G10343" s="5"/>
      <c r="H10343" s="5"/>
      <c r="I10343" s="5"/>
      <c r="J10343" s="5"/>
      <c r="K10343" s="5"/>
      <c r="L10343" s="5"/>
    </row>
    <row r="10344" spans="1:12" ht="12" customHeight="1" x14ac:dyDescent="0.25">
      <c r="A10344" s="6"/>
      <c r="B10344" s="1"/>
      <c r="C10344" s="5"/>
      <c r="D10344" s="5"/>
      <c r="E10344" s="5"/>
      <c r="F10344" s="5"/>
      <c r="G10344" s="5"/>
      <c r="H10344" s="5"/>
      <c r="I10344" s="5"/>
      <c r="J10344" s="5"/>
      <c r="K10344" s="5"/>
      <c r="L10344" s="5"/>
    </row>
    <row r="10345" spans="1:12" ht="12" customHeight="1" x14ac:dyDescent="0.25">
      <c r="A10345" s="6"/>
      <c r="B10345" s="1"/>
      <c r="C10345" s="5"/>
      <c r="D10345" s="5"/>
      <c r="E10345" s="5"/>
      <c r="F10345" s="5"/>
      <c r="G10345" s="5"/>
      <c r="H10345" s="5"/>
      <c r="I10345" s="5"/>
      <c r="J10345" s="5"/>
      <c r="K10345" s="5"/>
      <c r="L10345" s="5"/>
    </row>
    <row r="10346" spans="1:12" ht="12" customHeight="1" x14ac:dyDescent="0.25">
      <c r="A10346" s="6"/>
      <c r="B10346" s="1"/>
      <c r="C10346" s="5"/>
      <c r="D10346" s="5"/>
      <c r="E10346" s="5"/>
      <c r="F10346" s="5"/>
      <c r="G10346" s="5"/>
      <c r="H10346" s="5"/>
      <c r="I10346" s="5"/>
      <c r="J10346" s="5"/>
      <c r="K10346" s="5"/>
      <c r="L10346" s="5"/>
    </row>
    <row r="10347" spans="1:12" ht="12" customHeight="1" x14ac:dyDescent="0.25">
      <c r="A10347" s="6"/>
      <c r="B10347" s="1"/>
      <c r="C10347" s="5"/>
      <c r="D10347" s="5"/>
      <c r="E10347" s="5"/>
      <c r="F10347" s="5"/>
      <c r="G10347" s="5"/>
      <c r="H10347" s="5"/>
      <c r="I10347" s="5"/>
      <c r="J10347" s="5"/>
      <c r="K10347" s="5"/>
      <c r="L10347" s="5"/>
    </row>
    <row r="10348" spans="1:12" ht="12" customHeight="1" x14ac:dyDescent="0.25">
      <c r="A10348" s="6"/>
      <c r="B10348" s="1"/>
      <c r="C10348" s="5"/>
      <c r="D10348" s="5"/>
      <c r="E10348" s="5"/>
      <c r="F10348" s="5"/>
      <c r="G10348" s="5"/>
      <c r="H10348" s="5"/>
      <c r="I10348" s="5"/>
      <c r="J10348" s="5"/>
      <c r="K10348" s="5"/>
      <c r="L10348" s="5"/>
    </row>
    <row r="10349" spans="1:12" ht="12" customHeight="1" x14ac:dyDescent="0.25">
      <c r="A10349" s="6"/>
      <c r="B10349" s="1"/>
      <c r="C10349" s="5"/>
      <c r="D10349" s="5"/>
      <c r="E10349" s="5"/>
      <c r="F10349" s="5"/>
      <c r="G10349" s="5"/>
      <c r="H10349" s="5"/>
      <c r="I10349" s="5"/>
      <c r="J10349" s="5"/>
      <c r="K10349" s="5"/>
      <c r="L10349" s="5"/>
    </row>
    <row r="10350" spans="1:12" ht="12" customHeight="1" x14ac:dyDescent="0.25">
      <c r="A10350" s="6"/>
      <c r="B10350" s="1"/>
      <c r="C10350" s="5"/>
      <c r="D10350" s="5"/>
      <c r="E10350" s="5"/>
      <c r="F10350" s="5"/>
      <c r="G10350" s="5"/>
      <c r="H10350" s="5"/>
      <c r="I10350" s="5"/>
      <c r="J10350" s="5"/>
      <c r="K10350" s="5"/>
      <c r="L10350" s="5"/>
    </row>
    <row r="10351" spans="1:12" ht="12" customHeight="1" x14ac:dyDescent="0.25">
      <c r="A10351" s="6"/>
      <c r="B10351" s="1"/>
      <c r="C10351" s="5"/>
      <c r="D10351" s="5"/>
      <c r="E10351" s="5"/>
      <c r="F10351" s="5"/>
      <c r="G10351" s="5"/>
      <c r="H10351" s="5"/>
      <c r="I10351" s="5"/>
      <c r="J10351" s="5"/>
      <c r="K10351" s="5"/>
      <c r="L10351" s="5"/>
    </row>
    <row r="10352" spans="1:12" ht="12" customHeight="1" x14ac:dyDescent="0.25">
      <c r="A10352" s="6"/>
      <c r="B10352" s="1"/>
      <c r="C10352" s="5"/>
      <c r="D10352" s="5"/>
      <c r="E10352" s="5"/>
      <c r="F10352" s="5"/>
      <c r="G10352" s="5"/>
      <c r="H10352" s="5"/>
      <c r="I10352" s="5"/>
      <c r="J10352" s="5"/>
      <c r="K10352" s="5"/>
      <c r="L10352" s="5"/>
    </row>
    <row r="10353" spans="1:12" ht="12" customHeight="1" x14ac:dyDescent="0.25">
      <c r="A10353" s="6"/>
      <c r="B10353" s="1"/>
      <c r="C10353" s="5"/>
      <c r="D10353" s="5"/>
      <c r="E10353" s="5"/>
      <c r="F10353" s="5"/>
      <c r="G10353" s="5"/>
      <c r="H10353" s="5"/>
      <c r="I10353" s="5"/>
      <c r="J10353" s="5"/>
      <c r="K10353" s="5"/>
      <c r="L10353" s="5"/>
    </row>
    <row r="10354" spans="1:12" ht="12" customHeight="1" x14ac:dyDescent="0.25">
      <c r="A10354" s="6"/>
      <c r="B10354" s="1"/>
      <c r="C10354" s="5"/>
      <c r="D10354" s="5"/>
      <c r="E10354" s="5"/>
      <c r="F10354" s="5"/>
      <c r="G10354" s="5"/>
      <c r="H10354" s="5"/>
      <c r="I10354" s="5"/>
      <c r="J10354" s="5"/>
      <c r="K10354" s="5"/>
      <c r="L10354" s="5"/>
    </row>
    <row r="10355" spans="1:12" ht="12" customHeight="1" x14ac:dyDescent="0.25">
      <c r="A10355" s="6"/>
      <c r="B10355" s="1"/>
      <c r="C10355" s="5"/>
      <c r="D10355" s="5"/>
      <c r="E10355" s="5"/>
      <c r="F10355" s="5"/>
      <c r="G10355" s="5"/>
      <c r="H10355" s="5"/>
      <c r="I10355" s="5"/>
      <c r="J10355" s="5"/>
      <c r="K10355" s="5"/>
      <c r="L10355" s="5"/>
    </row>
    <row r="10356" spans="1:12" ht="12" customHeight="1" x14ac:dyDescent="0.25">
      <c r="A10356" s="6"/>
      <c r="B10356" s="1"/>
      <c r="C10356" s="5"/>
      <c r="D10356" s="5"/>
      <c r="E10356" s="5"/>
      <c r="F10356" s="5"/>
      <c r="G10356" s="5"/>
      <c r="H10356" s="5"/>
      <c r="I10356" s="5"/>
      <c r="J10356" s="5"/>
      <c r="K10356" s="5"/>
      <c r="L10356" s="5"/>
    </row>
    <row r="10357" spans="1:12" ht="12" customHeight="1" x14ac:dyDescent="0.25">
      <c r="A10357" s="6"/>
      <c r="B10357" s="1"/>
      <c r="C10357" s="5"/>
      <c r="D10357" s="5"/>
      <c r="E10357" s="5"/>
      <c r="F10357" s="5"/>
      <c r="G10357" s="5"/>
      <c r="H10357" s="5"/>
      <c r="I10357" s="5"/>
      <c r="J10357" s="5"/>
      <c r="K10357" s="5"/>
      <c r="L10357" s="5"/>
    </row>
    <row r="10358" spans="1:12" ht="12" customHeight="1" x14ac:dyDescent="0.25">
      <c r="A10358" s="6"/>
      <c r="B10358" s="1"/>
      <c r="C10358" s="5"/>
      <c r="D10358" s="5"/>
      <c r="E10358" s="5"/>
      <c r="F10358" s="5"/>
      <c r="G10358" s="5"/>
      <c r="H10358" s="5"/>
      <c r="I10358" s="5"/>
      <c r="J10358" s="5"/>
      <c r="K10358" s="5"/>
      <c r="L10358" s="5"/>
    </row>
    <row r="10359" spans="1:12" ht="12" customHeight="1" x14ac:dyDescent="0.25">
      <c r="A10359" s="6"/>
      <c r="B10359" s="1"/>
      <c r="C10359" s="5"/>
      <c r="D10359" s="5"/>
      <c r="E10359" s="5"/>
      <c r="F10359" s="5"/>
      <c r="G10359" s="5"/>
      <c r="H10359" s="5"/>
      <c r="I10359" s="5"/>
      <c r="J10359" s="5"/>
      <c r="K10359" s="5"/>
      <c r="L10359" s="5"/>
    </row>
    <row r="10360" spans="1:12" ht="12" customHeight="1" x14ac:dyDescent="0.25">
      <c r="A10360" s="6"/>
      <c r="B10360" s="1"/>
      <c r="C10360" s="5"/>
      <c r="D10360" s="5"/>
      <c r="E10360" s="5"/>
      <c r="F10360" s="5"/>
      <c r="G10360" s="5"/>
      <c r="H10360" s="5"/>
      <c r="I10360" s="5"/>
      <c r="J10360" s="5"/>
      <c r="K10360" s="5"/>
      <c r="L10360" s="5"/>
    </row>
    <row r="10361" spans="1:12" ht="12" customHeight="1" x14ac:dyDescent="0.25">
      <c r="A10361" s="6"/>
      <c r="B10361" s="1"/>
      <c r="C10361" s="5"/>
      <c r="D10361" s="5"/>
      <c r="E10361" s="5"/>
      <c r="F10361" s="5"/>
      <c r="G10361" s="5"/>
      <c r="H10361" s="5"/>
      <c r="I10361" s="5"/>
      <c r="J10361" s="5"/>
      <c r="K10361" s="5"/>
      <c r="L10361" s="5"/>
    </row>
    <row r="10362" spans="1:12" ht="12" customHeight="1" x14ac:dyDescent="0.25">
      <c r="A10362" s="6"/>
      <c r="B10362" s="1"/>
      <c r="C10362" s="5"/>
      <c r="D10362" s="5"/>
      <c r="E10362" s="5"/>
      <c r="F10362" s="5"/>
      <c r="G10362" s="5"/>
      <c r="H10362" s="5"/>
      <c r="I10362" s="5"/>
      <c r="J10362" s="5"/>
      <c r="K10362" s="5"/>
      <c r="L10362" s="5"/>
    </row>
    <row r="10363" spans="1:12" ht="12" customHeight="1" x14ac:dyDescent="0.25">
      <c r="A10363" s="6"/>
      <c r="B10363" s="1"/>
      <c r="C10363" s="5"/>
      <c r="D10363" s="5"/>
      <c r="E10363" s="5"/>
      <c r="F10363" s="5"/>
      <c r="G10363" s="5"/>
      <c r="H10363" s="5"/>
      <c r="I10363" s="5"/>
      <c r="J10363" s="5"/>
      <c r="K10363" s="5"/>
      <c r="L10363" s="5"/>
    </row>
    <row r="10364" spans="1:12" ht="12" customHeight="1" x14ac:dyDescent="0.25">
      <c r="A10364" s="6"/>
      <c r="B10364" s="1"/>
      <c r="C10364" s="5"/>
      <c r="D10364" s="5"/>
      <c r="E10364" s="5"/>
      <c r="F10364" s="5"/>
      <c r="G10364" s="5"/>
      <c r="H10364" s="5"/>
      <c r="I10364" s="5"/>
      <c r="J10364" s="5"/>
      <c r="K10364" s="5"/>
      <c r="L10364" s="5"/>
    </row>
    <row r="10365" spans="1:12" ht="12" customHeight="1" x14ac:dyDescent="0.25">
      <c r="A10365" s="6"/>
      <c r="B10365" s="1"/>
      <c r="C10365" s="5"/>
      <c r="D10365" s="5"/>
      <c r="E10365" s="5"/>
      <c r="F10365" s="5"/>
      <c r="G10365" s="5"/>
      <c r="H10365" s="5"/>
      <c r="I10365" s="5"/>
      <c r="J10365" s="5"/>
      <c r="K10365" s="5"/>
      <c r="L10365" s="5"/>
    </row>
    <row r="10366" spans="1:12" ht="12" customHeight="1" x14ac:dyDescent="0.25">
      <c r="A10366" s="6"/>
      <c r="B10366" s="1"/>
      <c r="C10366" s="5"/>
      <c r="D10366" s="5"/>
      <c r="E10366" s="5"/>
      <c r="F10366" s="5"/>
      <c r="G10366" s="5"/>
      <c r="H10366" s="5"/>
      <c r="I10366" s="5"/>
      <c r="J10366" s="5"/>
      <c r="K10366" s="5"/>
      <c r="L10366" s="5"/>
    </row>
    <row r="10367" spans="1:12" ht="12" customHeight="1" x14ac:dyDescent="0.25">
      <c r="A10367" s="6"/>
      <c r="B10367" s="1"/>
      <c r="C10367" s="5"/>
      <c r="D10367" s="5"/>
      <c r="E10367" s="5"/>
      <c r="F10367" s="5"/>
      <c r="G10367" s="5"/>
      <c r="H10367" s="5"/>
      <c r="I10367" s="5"/>
      <c r="J10367" s="5"/>
      <c r="K10367" s="5"/>
      <c r="L10367" s="5"/>
    </row>
    <row r="10368" spans="1:12" ht="12" customHeight="1" x14ac:dyDescent="0.25">
      <c r="A10368" s="6"/>
      <c r="B10368" s="1"/>
      <c r="C10368" s="5"/>
      <c r="D10368" s="5"/>
      <c r="E10368" s="5"/>
      <c r="F10368" s="5"/>
      <c r="G10368" s="5"/>
      <c r="H10368" s="5"/>
      <c r="I10368" s="5"/>
      <c r="J10368" s="5"/>
      <c r="K10368" s="5"/>
      <c r="L10368" s="5"/>
    </row>
    <row r="10369" spans="1:12" ht="12" customHeight="1" x14ac:dyDescent="0.25">
      <c r="A10369" s="6"/>
      <c r="B10369" s="1"/>
      <c r="C10369" s="5"/>
      <c r="D10369" s="5"/>
      <c r="E10369" s="5"/>
      <c r="F10369" s="5"/>
      <c r="G10369" s="5"/>
      <c r="H10369" s="5"/>
      <c r="I10369" s="5"/>
      <c r="J10369" s="5"/>
      <c r="K10369" s="5"/>
      <c r="L10369" s="5"/>
    </row>
    <row r="10370" spans="1:12" ht="12" customHeight="1" x14ac:dyDescent="0.25">
      <c r="A10370" s="6"/>
      <c r="B10370" s="1"/>
      <c r="C10370" s="5"/>
      <c r="D10370" s="5"/>
      <c r="E10370" s="5"/>
      <c r="F10370" s="5"/>
      <c r="G10370" s="5"/>
      <c r="H10370" s="5"/>
      <c r="I10370" s="5"/>
      <c r="J10370" s="5"/>
      <c r="K10370" s="5"/>
      <c r="L10370" s="5"/>
    </row>
    <row r="10371" spans="1:12" ht="12" customHeight="1" x14ac:dyDescent="0.25">
      <c r="A10371" s="6"/>
      <c r="B10371" s="1"/>
      <c r="C10371" s="5"/>
      <c r="D10371" s="5"/>
      <c r="E10371" s="5"/>
      <c r="F10371" s="5"/>
      <c r="G10371" s="5"/>
      <c r="H10371" s="5"/>
      <c r="I10371" s="5"/>
      <c r="J10371" s="5"/>
      <c r="K10371" s="5"/>
      <c r="L10371" s="5"/>
    </row>
    <row r="10372" spans="1:12" ht="12" customHeight="1" x14ac:dyDescent="0.25">
      <c r="A10372" s="6"/>
      <c r="B10372" s="1"/>
      <c r="C10372" s="5"/>
      <c r="D10372" s="5"/>
      <c r="E10372" s="5"/>
      <c r="F10372" s="5"/>
      <c r="G10372" s="5"/>
      <c r="H10372" s="5"/>
      <c r="I10372" s="5"/>
      <c r="J10372" s="5"/>
      <c r="K10372" s="5"/>
      <c r="L10372" s="5"/>
    </row>
    <row r="10373" spans="1:12" ht="12" customHeight="1" x14ac:dyDescent="0.25">
      <c r="A10373" s="6"/>
      <c r="B10373" s="1"/>
      <c r="C10373" s="5"/>
      <c r="D10373" s="5"/>
      <c r="E10373" s="5"/>
      <c r="F10373" s="5"/>
      <c r="G10373" s="5"/>
      <c r="H10373" s="5"/>
      <c r="I10373" s="5"/>
      <c r="J10373" s="5"/>
      <c r="K10373" s="5"/>
      <c r="L10373" s="5"/>
    </row>
    <row r="10374" spans="1:12" ht="12" customHeight="1" x14ac:dyDescent="0.25">
      <c r="A10374" s="6"/>
      <c r="B10374" s="1"/>
      <c r="C10374" s="5"/>
      <c r="D10374" s="5"/>
      <c r="E10374" s="5"/>
      <c r="F10374" s="5"/>
      <c r="G10374" s="5"/>
      <c r="H10374" s="5"/>
      <c r="I10374" s="5"/>
      <c r="J10374" s="5"/>
      <c r="K10374" s="5"/>
      <c r="L10374" s="5"/>
    </row>
    <row r="10375" spans="1:12" ht="12" customHeight="1" x14ac:dyDescent="0.25">
      <c r="A10375" s="6"/>
      <c r="B10375" s="1"/>
      <c r="C10375" s="5"/>
      <c r="D10375" s="5"/>
      <c r="E10375" s="5"/>
      <c r="F10375" s="5"/>
      <c r="G10375" s="5"/>
      <c r="H10375" s="5"/>
      <c r="I10375" s="5"/>
      <c r="J10375" s="5"/>
      <c r="K10375" s="5"/>
      <c r="L10375" s="5"/>
    </row>
    <row r="10376" spans="1:12" ht="12" customHeight="1" x14ac:dyDescent="0.25">
      <c r="A10376" s="6"/>
      <c r="B10376" s="1"/>
      <c r="C10376" s="5"/>
      <c r="D10376" s="5"/>
      <c r="E10376" s="5"/>
      <c r="F10376" s="5"/>
      <c r="G10376" s="5"/>
      <c r="H10376" s="5"/>
      <c r="I10376" s="5"/>
      <c r="J10376" s="5"/>
      <c r="K10376" s="5"/>
      <c r="L10376" s="5"/>
    </row>
    <row r="10377" spans="1:12" ht="12" customHeight="1" x14ac:dyDescent="0.25">
      <c r="A10377" s="6"/>
      <c r="B10377" s="1"/>
      <c r="C10377" s="5"/>
      <c r="D10377" s="5"/>
      <c r="E10377" s="5"/>
      <c r="F10377" s="5"/>
      <c r="G10377" s="5"/>
      <c r="H10377" s="5"/>
      <c r="I10377" s="5"/>
      <c r="J10377" s="5"/>
      <c r="K10377" s="5"/>
      <c r="L10377" s="5"/>
    </row>
    <row r="10378" spans="1:12" ht="12" customHeight="1" x14ac:dyDescent="0.25">
      <c r="A10378" s="6"/>
      <c r="B10378" s="1"/>
      <c r="C10378" s="5"/>
      <c r="D10378" s="5"/>
      <c r="E10378" s="5"/>
      <c r="F10378" s="5"/>
      <c r="G10378" s="5"/>
      <c r="H10378" s="5"/>
      <c r="I10378" s="5"/>
      <c r="J10378" s="5"/>
      <c r="K10378" s="5"/>
      <c r="L10378" s="5"/>
    </row>
    <row r="10379" spans="1:12" ht="12" customHeight="1" x14ac:dyDescent="0.25">
      <c r="A10379" s="6"/>
      <c r="B10379" s="1"/>
      <c r="C10379" s="5"/>
      <c r="D10379" s="5"/>
      <c r="E10379" s="5"/>
      <c r="F10379" s="5"/>
      <c r="G10379" s="5"/>
      <c r="H10379" s="5"/>
      <c r="I10379" s="5"/>
      <c r="J10379" s="5"/>
      <c r="K10379" s="5"/>
      <c r="L10379" s="5"/>
    </row>
    <row r="10380" spans="1:12" ht="12" customHeight="1" x14ac:dyDescent="0.25">
      <c r="A10380" s="6"/>
      <c r="B10380" s="1"/>
      <c r="C10380" s="5"/>
      <c r="D10380" s="5"/>
      <c r="E10380" s="5"/>
      <c r="F10380" s="5"/>
      <c r="G10380" s="5"/>
      <c r="H10380" s="5"/>
      <c r="I10380" s="5"/>
      <c r="J10380" s="5"/>
      <c r="K10380" s="5"/>
      <c r="L10380" s="5"/>
    </row>
    <row r="10381" spans="1:12" ht="12" customHeight="1" x14ac:dyDescent="0.25">
      <c r="A10381" s="6"/>
      <c r="B10381" s="1"/>
      <c r="C10381" s="5"/>
      <c r="D10381" s="5"/>
      <c r="E10381" s="5"/>
      <c r="F10381" s="5"/>
      <c r="G10381" s="5"/>
      <c r="H10381" s="5"/>
      <c r="I10381" s="5"/>
      <c r="J10381" s="5"/>
      <c r="K10381" s="5"/>
      <c r="L10381" s="5"/>
    </row>
    <row r="10382" spans="1:12" ht="12" customHeight="1" x14ac:dyDescent="0.25">
      <c r="A10382" s="6"/>
      <c r="B10382" s="1"/>
      <c r="C10382" s="5"/>
      <c r="D10382" s="5"/>
      <c r="E10382" s="5"/>
      <c r="F10382" s="5"/>
      <c r="G10382" s="5"/>
      <c r="H10382" s="5"/>
      <c r="I10382" s="5"/>
      <c r="J10382" s="5"/>
      <c r="K10382" s="5"/>
      <c r="L10382" s="5"/>
    </row>
    <row r="10383" spans="1:12" ht="12" customHeight="1" x14ac:dyDescent="0.25">
      <c r="A10383" s="6"/>
      <c r="B10383" s="1"/>
      <c r="C10383" s="5"/>
      <c r="D10383" s="5"/>
      <c r="E10383" s="5"/>
      <c r="F10383" s="5"/>
      <c r="G10383" s="5"/>
      <c r="H10383" s="5"/>
      <c r="I10383" s="5"/>
      <c r="J10383" s="5"/>
      <c r="K10383" s="5"/>
      <c r="L10383" s="5"/>
    </row>
    <row r="10384" spans="1:12" ht="12" customHeight="1" x14ac:dyDescent="0.25">
      <c r="A10384" s="6"/>
      <c r="B10384" s="1"/>
      <c r="C10384" s="5"/>
      <c r="D10384" s="5"/>
      <c r="E10384" s="5"/>
      <c r="F10384" s="5"/>
      <c r="G10384" s="5"/>
      <c r="H10384" s="5"/>
      <c r="I10384" s="5"/>
      <c r="J10384" s="5"/>
      <c r="K10384" s="5"/>
      <c r="L10384" s="5"/>
    </row>
    <row r="10385" spans="1:12" ht="12" customHeight="1" x14ac:dyDescent="0.25">
      <c r="A10385" s="6"/>
      <c r="B10385" s="1"/>
      <c r="C10385" s="5"/>
      <c r="D10385" s="5"/>
      <c r="E10385" s="5"/>
      <c r="F10385" s="5"/>
      <c r="G10385" s="5"/>
      <c r="H10385" s="5"/>
      <c r="I10385" s="5"/>
      <c r="J10385" s="5"/>
      <c r="K10385" s="5"/>
      <c r="L10385" s="5"/>
    </row>
    <row r="10386" spans="1:12" ht="12" customHeight="1" x14ac:dyDescent="0.25">
      <c r="A10386" s="6"/>
      <c r="B10386" s="1"/>
      <c r="C10386" s="5"/>
      <c r="D10386" s="5"/>
      <c r="E10386" s="5"/>
      <c r="F10386" s="5"/>
      <c r="G10386" s="5"/>
      <c r="H10386" s="5"/>
      <c r="I10386" s="5"/>
      <c r="J10386" s="5"/>
      <c r="K10386" s="5"/>
      <c r="L10386" s="5"/>
    </row>
    <row r="10387" spans="1:12" ht="12" customHeight="1" x14ac:dyDescent="0.25">
      <c r="A10387" s="6"/>
      <c r="B10387" s="1"/>
      <c r="C10387" s="5"/>
      <c r="D10387" s="5"/>
      <c r="E10387" s="5"/>
      <c r="F10387" s="5"/>
      <c r="G10387" s="5"/>
      <c r="H10387" s="5"/>
      <c r="I10387" s="5"/>
      <c r="J10387" s="5"/>
      <c r="K10387" s="5"/>
      <c r="L10387" s="5"/>
    </row>
    <row r="10388" spans="1:12" ht="12" customHeight="1" x14ac:dyDescent="0.25">
      <c r="A10388" s="6"/>
      <c r="B10388" s="1"/>
      <c r="C10388" s="5"/>
      <c r="D10388" s="5"/>
      <c r="E10388" s="5"/>
      <c r="F10388" s="5"/>
      <c r="G10388" s="5"/>
      <c r="H10388" s="5"/>
      <c r="I10388" s="5"/>
      <c r="J10388" s="5"/>
      <c r="K10388" s="5"/>
      <c r="L10388" s="5"/>
    </row>
    <row r="10389" spans="1:12" ht="12" customHeight="1" x14ac:dyDescent="0.25">
      <c r="A10389" s="6"/>
      <c r="B10389" s="1"/>
      <c r="C10389" s="5"/>
      <c r="D10389" s="5"/>
      <c r="E10389" s="5"/>
      <c r="F10389" s="5"/>
      <c r="G10389" s="5"/>
      <c r="H10389" s="5"/>
      <c r="I10389" s="5"/>
      <c r="J10389" s="5"/>
      <c r="K10389" s="5"/>
      <c r="L10389" s="5"/>
    </row>
    <row r="10390" spans="1:12" ht="12" customHeight="1" x14ac:dyDescent="0.25">
      <c r="A10390" s="6"/>
      <c r="B10390" s="1"/>
      <c r="C10390" s="5"/>
      <c r="D10390" s="5"/>
      <c r="E10390" s="5"/>
      <c r="F10390" s="5"/>
      <c r="G10390" s="5"/>
      <c r="H10390" s="5"/>
      <c r="I10390" s="5"/>
      <c r="J10390" s="5"/>
      <c r="K10390" s="5"/>
      <c r="L10390" s="5"/>
    </row>
    <row r="10391" spans="1:12" ht="12" customHeight="1" x14ac:dyDescent="0.25">
      <c r="A10391" s="6"/>
      <c r="B10391" s="1"/>
      <c r="C10391" s="5"/>
      <c r="D10391" s="5"/>
      <c r="E10391" s="5"/>
      <c r="F10391" s="5"/>
      <c r="G10391" s="5"/>
      <c r="H10391" s="5"/>
      <c r="I10391" s="5"/>
      <c r="J10391" s="5"/>
      <c r="K10391" s="5"/>
      <c r="L10391" s="5"/>
    </row>
    <row r="10392" spans="1:12" ht="12" customHeight="1" x14ac:dyDescent="0.25">
      <c r="A10392" s="6"/>
      <c r="B10392" s="1"/>
      <c r="C10392" s="5"/>
      <c r="D10392" s="5"/>
      <c r="E10392" s="5"/>
      <c r="F10392" s="5"/>
      <c r="G10392" s="5"/>
      <c r="H10392" s="5"/>
      <c r="I10392" s="5"/>
      <c r="J10392" s="5"/>
      <c r="K10392" s="5"/>
      <c r="L10392" s="5"/>
    </row>
    <row r="10393" spans="1:12" ht="12" customHeight="1" x14ac:dyDescent="0.25">
      <c r="A10393" s="6"/>
      <c r="B10393" s="1"/>
      <c r="C10393" s="5"/>
      <c r="D10393" s="5"/>
      <c r="E10393" s="5"/>
      <c r="F10393" s="5"/>
      <c r="G10393" s="5"/>
      <c r="H10393" s="5"/>
      <c r="I10393" s="5"/>
      <c r="J10393" s="5"/>
      <c r="K10393" s="5"/>
      <c r="L10393" s="5"/>
    </row>
    <row r="10394" spans="1:12" ht="12" customHeight="1" x14ac:dyDescent="0.25">
      <c r="A10394" s="6"/>
      <c r="B10394" s="1"/>
      <c r="C10394" s="5"/>
      <c r="D10394" s="5"/>
      <c r="E10394" s="5"/>
      <c r="F10394" s="5"/>
      <c r="G10394" s="5"/>
      <c r="H10394" s="5"/>
      <c r="I10394" s="5"/>
      <c r="J10394" s="5"/>
      <c r="K10394" s="5"/>
      <c r="L10394" s="5"/>
    </row>
    <row r="10395" spans="1:12" ht="12" customHeight="1" x14ac:dyDescent="0.25">
      <c r="A10395" s="6"/>
      <c r="B10395" s="1"/>
      <c r="C10395" s="5"/>
      <c r="D10395" s="5"/>
      <c r="E10395" s="5"/>
      <c r="F10395" s="5"/>
      <c r="G10395" s="5"/>
      <c r="H10395" s="5"/>
      <c r="I10395" s="5"/>
      <c r="J10395" s="5"/>
      <c r="K10395" s="5"/>
      <c r="L10395" s="5"/>
    </row>
    <row r="10396" spans="1:12" ht="12" customHeight="1" x14ac:dyDescent="0.25">
      <c r="A10396" s="6"/>
      <c r="B10396" s="1"/>
      <c r="C10396" s="5"/>
      <c r="D10396" s="5"/>
      <c r="E10396" s="5"/>
      <c r="F10396" s="5"/>
      <c r="G10396" s="5"/>
      <c r="H10396" s="5"/>
      <c r="I10396" s="5"/>
      <c r="J10396" s="5"/>
      <c r="K10396" s="5"/>
      <c r="L10396" s="5"/>
    </row>
    <row r="10397" spans="1:12" ht="12" customHeight="1" x14ac:dyDescent="0.25">
      <c r="A10397" s="6"/>
      <c r="B10397" s="1"/>
      <c r="C10397" s="5"/>
      <c r="D10397" s="5"/>
      <c r="E10397" s="5"/>
      <c r="F10397" s="5"/>
      <c r="G10397" s="5"/>
      <c r="H10397" s="5"/>
      <c r="I10397" s="5"/>
      <c r="J10397" s="5"/>
      <c r="K10397" s="5"/>
      <c r="L10397" s="5"/>
    </row>
    <row r="10398" spans="1:12" ht="12" customHeight="1" x14ac:dyDescent="0.25">
      <c r="A10398" s="6"/>
      <c r="B10398" s="1"/>
      <c r="C10398" s="5"/>
      <c r="D10398" s="5"/>
      <c r="E10398" s="5"/>
      <c r="F10398" s="5"/>
      <c r="G10398" s="5"/>
      <c r="H10398" s="5"/>
      <c r="I10398" s="5"/>
      <c r="J10398" s="5"/>
      <c r="K10398" s="5"/>
      <c r="L10398" s="5"/>
    </row>
    <row r="10399" spans="1:12" ht="12" customHeight="1" x14ac:dyDescent="0.25">
      <c r="A10399" s="6"/>
      <c r="B10399" s="1"/>
      <c r="C10399" s="5"/>
      <c r="D10399" s="5"/>
      <c r="E10399" s="5"/>
      <c r="F10399" s="5"/>
      <c r="G10399" s="5"/>
      <c r="H10399" s="5"/>
      <c r="I10399" s="5"/>
      <c r="J10399" s="5"/>
      <c r="K10399" s="5"/>
      <c r="L10399" s="5"/>
    </row>
    <row r="10400" spans="1:12" ht="12" customHeight="1" x14ac:dyDescent="0.25">
      <c r="A10400" s="6"/>
      <c r="B10400" s="1"/>
      <c r="C10400" s="5"/>
      <c r="D10400" s="5"/>
      <c r="E10400" s="5"/>
      <c r="F10400" s="5"/>
      <c r="G10400" s="5"/>
      <c r="H10400" s="5"/>
      <c r="I10400" s="5"/>
      <c r="J10400" s="5"/>
      <c r="K10400" s="5"/>
      <c r="L10400" s="5"/>
    </row>
    <row r="10401" spans="1:12" ht="12" customHeight="1" x14ac:dyDescent="0.25">
      <c r="A10401" s="6"/>
      <c r="B10401" s="1"/>
      <c r="C10401" s="5"/>
      <c r="D10401" s="5"/>
      <c r="E10401" s="5"/>
      <c r="F10401" s="5"/>
      <c r="G10401" s="5"/>
      <c r="H10401" s="5"/>
      <c r="I10401" s="5"/>
      <c r="J10401" s="5"/>
      <c r="K10401" s="5"/>
      <c r="L10401" s="5"/>
    </row>
    <row r="10402" spans="1:12" ht="12" customHeight="1" x14ac:dyDescent="0.25">
      <c r="A10402" s="6"/>
      <c r="B10402" s="1"/>
      <c r="C10402" s="5"/>
      <c r="D10402" s="5"/>
      <c r="E10402" s="5"/>
      <c r="F10402" s="5"/>
      <c r="G10402" s="5"/>
      <c r="H10402" s="5"/>
      <c r="I10402" s="5"/>
      <c r="J10402" s="5"/>
      <c r="K10402" s="5"/>
      <c r="L10402" s="5"/>
    </row>
    <row r="10403" spans="1:12" ht="12" customHeight="1" x14ac:dyDescent="0.25">
      <c r="A10403" s="6"/>
      <c r="B10403" s="1"/>
      <c r="C10403" s="5"/>
      <c r="D10403" s="5"/>
      <c r="E10403" s="5"/>
      <c r="F10403" s="5"/>
      <c r="G10403" s="5"/>
      <c r="H10403" s="5"/>
      <c r="I10403" s="5"/>
      <c r="J10403" s="5"/>
      <c r="K10403" s="5"/>
      <c r="L10403" s="5"/>
    </row>
    <row r="10404" spans="1:12" ht="12" customHeight="1" x14ac:dyDescent="0.25">
      <c r="A10404" s="6"/>
      <c r="B10404" s="1"/>
      <c r="C10404" s="5"/>
      <c r="D10404" s="5"/>
      <c r="E10404" s="5"/>
      <c r="F10404" s="5"/>
      <c r="G10404" s="5"/>
      <c r="H10404" s="5"/>
      <c r="I10404" s="5"/>
      <c r="J10404" s="5"/>
      <c r="K10404" s="5"/>
      <c r="L10404" s="5"/>
    </row>
    <row r="10405" spans="1:12" ht="12" customHeight="1" x14ac:dyDescent="0.25">
      <c r="A10405" s="6"/>
      <c r="B10405" s="1"/>
      <c r="C10405" s="5"/>
      <c r="D10405" s="5"/>
      <c r="E10405" s="5"/>
      <c r="F10405" s="5"/>
      <c r="G10405" s="5"/>
      <c r="H10405" s="5"/>
      <c r="I10405" s="5"/>
      <c r="J10405" s="5"/>
      <c r="K10405" s="5"/>
      <c r="L10405" s="5"/>
    </row>
    <row r="10406" spans="1:12" ht="12" customHeight="1" x14ac:dyDescent="0.25">
      <c r="A10406" s="6"/>
      <c r="B10406" s="1"/>
      <c r="C10406" s="5"/>
      <c r="D10406" s="5"/>
      <c r="E10406" s="5"/>
      <c r="F10406" s="5"/>
      <c r="G10406" s="5"/>
      <c r="H10406" s="5"/>
      <c r="I10406" s="5"/>
      <c r="J10406" s="5"/>
      <c r="K10406" s="5"/>
      <c r="L10406" s="5"/>
    </row>
    <row r="10407" spans="1:12" ht="12" customHeight="1" x14ac:dyDescent="0.25">
      <c r="A10407" s="6"/>
      <c r="B10407" s="1"/>
      <c r="C10407" s="5"/>
      <c r="D10407" s="5"/>
      <c r="E10407" s="5"/>
      <c r="F10407" s="5"/>
      <c r="G10407" s="5"/>
      <c r="H10407" s="5"/>
      <c r="I10407" s="5"/>
      <c r="J10407" s="5"/>
      <c r="K10407" s="5"/>
      <c r="L10407" s="5"/>
    </row>
    <row r="10408" spans="1:12" ht="12" customHeight="1" x14ac:dyDescent="0.25">
      <c r="A10408" s="6"/>
      <c r="B10408" s="1"/>
      <c r="C10408" s="5"/>
      <c r="D10408" s="5"/>
      <c r="E10408" s="5"/>
      <c r="F10408" s="5"/>
      <c r="G10408" s="5"/>
      <c r="H10408" s="5"/>
      <c r="I10408" s="5"/>
      <c r="J10408" s="5"/>
      <c r="K10408" s="5"/>
      <c r="L10408" s="5"/>
    </row>
    <row r="10409" spans="1:12" ht="12" customHeight="1" x14ac:dyDescent="0.25">
      <c r="A10409" s="6"/>
      <c r="B10409" s="1"/>
      <c r="C10409" s="5"/>
      <c r="D10409" s="5"/>
      <c r="E10409" s="5"/>
      <c r="F10409" s="5"/>
      <c r="G10409" s="5"/>
      <c r="H10409" s="5"/>
      <c r="I10409" s="5"/>
      <c r="J10409" s="5"/>
      <c r="K10409" s="5"/>
      <c r="L10409" s="5"/>
    </row>
    <row r="10410" spans="1:12" ht="12" customHeight="1" x14ac:dyDescent="0.25">
      <c r="A10410" s="6"/>
      <c r="B10410" s="1"/>
      <c r="C10410" s="5"/>
      <c r="D10410" s="5"/>
      <c r="E10410" s="5"/>
      <c r="F10410" s="5"/>
      <c r="G10410" s="5"/>
      <c r="H10410" s="5"/>
      <c r="I10410" s="5"/>
      <c r="J10410" s="5"/>
      <c r="K10410" s="5"/>
      <c r="L10410" s="5"/>
    </row>
    <row r="10411" spans="1:12" ht="12" customHeight="1" x14ac:dyDescent="0.25">
      <c r="A10411" s="6"/>
      <c r="B10411" s="1"/>
      <c r="C10411" s="5"/>
      <c r="D10411" s="5"/>
      <c r="E10411" s="5"/>
      <c r="F10411" s="5"/>
      <c r="G10411" s="5"/>
      <c r="H10411" s="5"/>
      <c r="I10411" s="5"/>
      <c r="J10411" s="5"/>
      <c r="K10411" s="5"/>
      <c r="L10411" s="5"/>
    </row>
    <row r="10412" spans="1:12" ht="12" customHeight="1" x14ac:dyDescent="0.25">
      <c r="A10412" s="6"/>
      <c r="B10412" s="1"/>
      <c r="C10412" s="5"/>
      <c r="D10412" s="5"/>
      <c r="E10412" s="5"/>
      <c r="F10412" s="5"/>
      <c r="G10412" s="5"/>
      <c r="H10412" s="5"/>
      <c r="I10412" s="5"/>
      <c r="J10412" s="5"/>
      <c r="K10412" s="5"/>
      <c r="L10412" s="5"/>
    </row>
    <row r="10413" spans="1:12" ht="12" customHeight="1" x14ac:dyDescent="0.25">
      <c r="A10413" s="6"/>
      <c r="B10413" s="1"/>
      <c r="C10413" s="5"/>
      <c r="D10413" s="5"/>
      <c r="E10413" s="5"/>
      <c r="F10413" s="5"/>
      <c r="G10413" s="5"/>
      <c r="H10413" s="5"/>
      <c r="I10413" s="5"/>
      <c r="J10413" s="5"/>
      <c r="K10413" s="5"/>
      <c r="L10413" s="5"/>
    </row>
    <row r="10414" spans="1:12" ht="12" customHeight="1" x14ac:dyDescent="0.25">
      <c r="A10414" s="6"/>
      <c r="B10414" s="1"/>
      <c r="C10414" s="5"/>
      <c r="D10414" s="5"/>
      <c r="E10414" s="5"/>
      <c r="F10414" s="5"/>
      <c r="G10414" s="5"/>
      <c r="H10414" s="5"/>
      <c r="I10414" s="5"/>
      <c r="J10414" s="5"/>
      <c r="K10414" s="5"/>
      <c r="L10414" s="5"/>
    </row>
    <row r="10415" spans="1:12" ht="12" customHeight="1" x14ac:dyDescent="0.25">
      <c r="A10415" s="6"/>
      <c r="B10415" s="1"/>
      <c r="C10415" s="5"/>
      <c r="D10415" s="5"/>
      <c r="E10415" s="5"/>
      <c r="F10415" s="5"/>
      <c r="G10415" s="5"/>
      <c r="H10415" s="5"/>
      <c r="I10415" s="5"/>
      <c r="J10415" s="5"/>
      <c r="K10415" s="5"/>
      <c r="L10415" s="5"/>
    </row>
    <row r="10416" spans="1:12" ht="12" customHeight="1" x14ac:dyDescent="0.25">
      <c r="A10416" s="6"/>
      <c r="B10416" s="1"/>
      <c r="C10416" s="5"/>
      <c r="D10416" s="5"/>
      <c r="E10416" s="5"/>
      <c r="F10416" s="5"/>
      <c r="G10416" s="5"/>
      <c r="H10416" s="5"/>
      <c r="I10416" s="5"/>
      <c r="J10416" s="5"/>
      <c r="K10416" s="5"/>
      <c r="L10416" s="5"/>
    </row>
    <row r="10417" spans="1:12" ht="12" customHeight="1" x14ac:dyDescent="0.25">
      <c r="A10417" s="6"/>
      <c r="B10417" s="1"/>
      <c r="C10417" s="5"/>
      <c r="D10417" s="5"/>
      <c r="E10417" s="5"/>
      <c r="F10417" s="5"/>
      <c r="G10417" s="5"/>
      <c r="H10417" s="5"/>
      <c r="I10417" s="5"/>
      <c r="J10417" s="5"/>
      <c r="K10417" s="5"/>
      <c r="L10417" s="5"/>
    </row>
    <row r="10418" spans="1:12" ht="12" customHeight="1" x14ac:dyDescent="0.25">
      <c r="A10418" s="6"/>
      <c r="B10418" s="1"/>
      <c r="C10418" s="5"/>
      <c r="D10418" s="5"/>
      <c r="E10418" s="5"/>
      <c r="F10418" s="5"/>
      <c r="G10418" s="5"/>
      <c r="H10418" s="5"/>
      <c r="I10418" s="5"/>
      <c r="J10418" s="5"/>
      <c r="K10418" s="5"/>
      <c r="L10418" s="5"/>
    </row>
    <row r="10419" spans="1:12" ht="12" customHeight="1" x14ac:dyDescent="0.25">
      <c r="A10419" s="6"/>
      <c r="B10419" s="1"/>
      <c r="C10419" s="5"/>
      <c r="D10419" s="5"/>
      <c r="E10419" s="5"/>
      <c r="F10419" s="5"/>
      <c r="G10419" s="5"/>
      <c r="H10419" s="5"/>
      <c r="I10419" s="5"/>
      <c r="J10419" s="5"/>
      <c r="K10419" s="5"/>
      <c r="L10419" s="5"/>
    </row>
    <row r="10420" spans="1:12" ht="12" customHeight="1" x14ac:dyDescent="0.25">
      <c r="A10420" s="6"/>
      <c r="B10420" s="1"/>
      <c r="C10420" s="5"/>
      <c r="D10420" s="5"/>
      <c r="E10420" s="5"/>
      <c r="F10420" s="5"/>
      <c r="G10420" s="5"/>
      <c r="H10420" s="5"/>
      <c r="I10420" s="5"/>
      <c r="J10420" s="5"/>
      <c r="K10420" s="5"/>
      <c r="L10420" s="5"/>
    </row>
    <row r="10421" spans="1:12" ht="12" customHeight="1" x14ac:dyDescent="0.25">
      <c r="A10421" s="6"/>
      <c r="B10421" s="1"/>
      <c r="C10421" s="5"/>
      <c r="D10421" s="5"/>
      <c r="E10421" s="5"/>
      <c r="F10421" s="5"/>
      <c r="G10421" s="5"/>
      <c r="H10421" s="5"/>
      <c r="I10421" s="5"/>
      <c r="J10421" s="5"/>
      <c r="K10421" s="5"/>
      <c r="L10421" s="5"/>
    </row>
    <row r="10422" spans="1:12" ht="12" customHeight="1" x14ac:dyDescent="0.25">
      <c r="A10422" s="6"/>
      <c r="B10422" s="1"/>
      <c r="C10422" s="5"/>
      <c r="D10422" s="5"/>
      <c r="E10422" s="5"/>
      <c r="F10422" s="5"/>
      <c r="G10422" s="5"/>
      <c r="H10422" s="5"/>
      <c r="I10422" s="5"/>
      <c r="J10422" s="5"/>
      <c r="K10422" s="5"/>
      <c r="L10422" s="5"/>
    </row>
    <row r="10423" spans="1:12" ht="12" customHeight="1" x14ac:dyDescent="0.25">
      <c r="A10423" s="6"/>
      <c r="B10423" s="1"/>
      <c r="C10423" s="5"/>
      <c r="D10423" s="5"/>
      <c r="E10423" s="5"/>
      <c r="F10423" s="5"/>
      <c r="G10423" s="5"/>
      <c r="H10423" s="5"/>
      <c r="I10423" s="5"/>
      <c r="J10423" s="5"/>
      <c r="K10423" s="5"/>
      <c r="L10423" s="5"/>
    </row>
    <row r="10424" spans="1:12" ht="12" customHeight="1" x14ac:dyDescent="0.25">
      <c r="A10424" s="6"/>
      <c r="B10424" s="1"/>
      <c r="C10424" s="5"/>
      <c r="D10424" s="5"/>
      <c r="E10424" s="5"/>
      <c r="F10424" s="5"/>
      <c r="G10424" s="5"/>
      <c r="H10424" s="5"/>
      <c r="I10424" s="5"/>
      <c r="J10424" s="5"/>
      <c r="K10424" s="5"/>
      <c r="L10424" s="5"/>
    </row>
    <row r="10425" spans="1:12" ht="12" customHeight="1" x14ac:dyDescent="0.25">
      <c r="A10425" s="6"/>
      <c r="B10425" s="1"/>
      <c r="C10425" s="5"/>
      <c r="D10425" s="5"/>
      <c r="E10425" s="5"/>
      <c r="F10425" s="5"/>
      <c r="G10425" s="5"/>
      <c r="H10425" s="5"/>
      <c r="I10425" s="5"/>
      <c r="J10425" s="5"/>
      <c r="K10425" s="5"/>
      <c r="L10425" s="5"/>
    </row>
    <row r="10426" spans="1:12" ht="12" customHeight="1" x14ac:dyDescent="0.25">
      <c r="A10426" s="6"/>
      <c r="B10426" s="1"/>
      <c r="C10426" s="5"/>
      <c r="D10426" s="5"/>
      <c r="E10426" s="5"/>
      <c r="F10426" s="5"/>
      <c r="G10426" s="5"/>
      <c r="H10426" s="5"/>
      <c r="I10426" s="5"/>
      <c r="J10426" s="5"/>
      <c r="K10426" s="5"/>
      <c r="L10426" s="5"/>
    </row>
    <row r="10427" spans="1:12" ht="12" customHeight="1" x14ac:dyDescent="0.25">
      <c r="A10427" s="6"/>
      <c r="B10427" s="1"/>
      <c r="C10427" s="5"/>
      <c r="D10427" s="5"/>
      <c r="E10427" s="5"/>
      <c r="F10427" s="5"/>
      <c r="G10427" s="5"/>
      <c r="H10427" s="5"/>
      <c r="I10427" s="5"/>
      <c r="J10427" s="5"/>
      <c r="K10427" s="5"/>
      <c r="L10427" s="5"/>
    </row>
    <row r="10428" spans="1:12" ht="12" customHeight="1" x14ac:dyDescent="0.25">
      <c r="A10428" s="6"/>
      <c r="B10428" s="1"/>
      <c r="C10428" s="5"/>
      <c r="D10428" s="5"/>
      <c r="E10428" s="5"/>
      <c r="F10428" s="5"/>
      <c r="G10428" s="5"/>
      <c r="H10428" s="5"/>
      <c r="I10428" s="5"/>
      <c r="J10428" s="5"/>
      <c r="K10428" s="5"/>
      <c r="L10428" s="5"/>
    </row>
    <row r="10429" spans="1:12" ht="12" customHeight="1" x14ac:dyDescent="0.25">
      <c r="A10429" s="6"/>
      <c r="B10429" s="1"/>
      <c r="C10429" s="5"/>
      <c r="D10429" s="5"/>
      <c r="E10429" s="5"/>
      <c r="F10429" s="5"/>
      <c r="G10429" s="5"/>
      <c r="H10429" s="5"/>
      <c r="I10429" s="5"/>
      <c r="J10429" s="5"/>
      <c r="K10429" s="5"/>
      <c r="L10429" s="5"/>
    </row>
    <row r="10430" spans="1:12" ht="12" customHeight="1" x14ac:dyDescent="0.25">
      <c r="A10430" s="6"/>
      <c r="B10430" s="1"/>
      <c r="C10430" s="5"/>
      <c r="D10430" s="5"/>
      <c r="E10430" s="5"/>
      <c r="F10430" s="5"/>
      <c r="G10430" s="5"/>
      <c r="H10430" s="5"/>
      <c r="I10430" s="5"/>
      <c r="J10430" s="5"/>
      <c r="K10430" s="5"/>
      <c r="L10430" s="5"/>
    </row>
    <row r="10431" spans="1:12" ht="12" customHeight="1" x14ac:dyDescent="0.25">
      <c r="A10431" s="6"/>
      <c r="B10431" s="1"/>
      <c r="C10431" s="5"/>
      <c r="D10431" s="5"/>
      <c r="E10431" s="5"/>
      <c r="F10431" s="5"/>
      <c r="G10431" s="5"/>
      <c r="H10431" s="5"/>
      <c r="I10431" s="5"/>
      <c r="J10431" s="5"/>
      <c r="K10431" s="5"/>
      <c r="L10431" s="5"/>
    </row>
    <row r="10432" spans="1:12" ht="12" customHeight="1" x14ac:dyDescent="0.25">
      <c r="A10432" s="6"/>
      <c r="B10432" s="1"/>
      <c r="C10432" s="5"/>
      <c r="D10432" s="5"/>
      <c r="E10432" s="5"/>
      <c r="F10432" s="5"/>
      <c r="G10432" s="5"/>
      <c r="H10432" s="5"/>
      <c r="I10432" s="5"/>
      <c r="J10432" s="5"/>
      <c r="K10432" s="5"/>
      <c r="L10432" s="5"/>
    </row>
    <row r="10433" spans="1:12" ht="12" customHeight="1" x14ac:dyDescent="0.25">
      <c r="A10433" s="6"/>
      <c r="B10433" s="1"/>
      <c r="C10433" s="5"/>
      <c r="D10433" s="5"/>
      <c r="E10433" s="5"/>
      <c r="F10433" s="5"/>
      <c r="G10433" s="5"/>
      <c r="H10433" s="5"/>
      <c r="I10433" s="5"/>
      <c r="J10433" s="5"/>
      <c r="K10433" s="5"/>
      <c r="L10433" s="5"/>
    </row>
    <row r="10434" spans="1:12" ht="12" customHeight="1" x14ac:dyDescent="0.25">
      <c r="A10434" s="6"/>
      <c r="B10434" s="1"/>
      <c r="C10434" s="5"/>
      <c r="D10434" s="5"/>
      <c r="E10434" s="5"/>
      <c r="F10434" s="5"/>
      <c r="G10434" s="5"/>
      <c r="H10434" s="5"/>
      <c r="I10434" s="5"/>
      <c r="J10434" s="5"/>
      <c r="K10434" s="5"/>
      <c r="L10434" s="5"/>
    </row>
    <row r="10435" spans="1:12" ht="12" customHeight="1" x14ac:dyDescent="0.25">
      <c r="A10435" s="6"/>
      <c r="B10435" s="1"/>
      <c r="C10435" s="5"/>
      <c r="D10435" s="5"/>
      <c r="E10435" s="5"/>
      <c r="F10435" s="5"/>
      <c r="G10435" s="5"/>
      <c r="H10435" s="5"/>
      <c r="I10435" s="5"/>
      <c r="J10435" s="5"/>
      <c r="K10435" s="5"/>
      <c r="L10435" s="5"/>
    </row>
    <row r="10436" spans="1:12" ht="12" customHeight="1" x14ac:dyDescent="0.25">
      <c r="A10436" s="6"/>
      <c r="B10436" s="1"/>
      <c r="C10436" s="5"/>
      <c r="D10436" s="5"/>
      <c r="E10436" s="5"/>
      <c r="F10436" s="5"/>
      <c r="G10436" s="5"/>
      <c r="H10436" s="5"/>
      <c r="I10436" s="5"/>
      <c r="J10436" s="5"/>
      <c r="K10436" s="5"/>
      <c r="L10436" s="5"/>
    </row>
    <row r="10437" spans="1:12" ht="12" customHeight="1" x14ac:dyDescent="0.25">
      <c r="A10437" s="6"/>
      <c r="B10437" s="1"/>
      <c r="C10437" s="5"/>
      <c r="D10437" s="5"/>
      <c r="E10437" s="5"/>
      <c r="F10437" s="5"/>
      <c r="G10437" s="5"/>
      <c r="H10437" s="5"/>
      <c r="I10437" s="5"/>
      <c r="J10437" s="5"/>
      <c r="K10437" s="5"/>
      <c r="L10437" s="5"/>
    </row>
    <row r="10438" spans="1:12" ht="12" customHeight="1" x14ac:dyDescent="0.25">
      <c r="A10438" s="6"/>
      <c r="B10438" s="1"/>
      <c r="C10438" s="5"/>
      <c r="D10438" s="5"/>
      <c r="E10438" s="5"/>
      <c r="F10438" s="5"/>
      <c r="G10438" s="5"/>
      <c r="H10438" s="5"/>
      <c r="I10438" s="5"/>
      <c r="J10438" s="5"/>
      <c r="K10438" s="5"/>
      <c r="L10438" s="5"/>
    </row>
    <row r="10439" spans="1:12" ht="12" customHeight="1" x14ac:dyDescent="0.25">
      <c r="A10439" s="6"/>
      <c r="B10439" s="1"/>
      <c r="C10439" s="5"/>
      <c r="D10439" s="5"/>
      <c r="E10439" s="5"/>
      <c r="F10439" s="5"/>
      <c r="G10439" s="5"/>
      <c r="H10439" s="5"/>
      <c r="I10439" s="5"/>
      <c r="J10439" s="5"/>
      <c r="K10439" s="5"/>
      <c r="L10439" s="5"/>
    </row>
    <row r="10440" spans="1:12" ht="12" customHeight="1" x14ac:dyDescent="0.25">
      <c r="A10440" s="6"/>
      <c r="B10440" s="1"/>
      <c r="C10440" s="5"/>
      <c r="D10440" s="5"/>
      <c r="E10440" s="5"/>
      <c r="F10440" s="5"/>
      <c r="G10440" s="5"/>
      <c r="H10440" s="5"/>
      <c r="I10440" s="5"/>
      <c r="J10440" s="5"/>
      <c r="K10440" s="5"/>
      <c r="L10440" s="5"/>
    </row>
    <row r="10441" spans="1:12" ht="12" customHeight="1" x14ac:dyDescent="0.25">
      <c r="A10441" s="6"/>
      <c r="B10441" s="1"/>
      <c r="C10441" s="5"/>
      <c r="D10441" s="5"/>
      <c r="E10441" s="5"/>
      <c r="F10441" s="5"/>
      <c r="G10441" s="5"/>
      <c r="H10441" s="5"/>
      <c r="I10441" s="5"/>
      <c r="J10441" s="5"/>
      <c r="K10441" s="5"/>
      <c r="L10441" s="5"/>
    </row>
    <row r="10442" spans="1:12" ht="12" customHeight="1" x14ac:dyDescent="0.25">
      <c r="A10442" s="6"/>
      <c r="B10442" s="1"/>
      <c r="C10442" s="5"/>
      <c r="D10442" s="5"/>
      <c r="E10442" s="5"/>
      <c r="F10442" s="5"/>
      <c r="G10442" s="5"/>
      <c r="H10442" s="5"/>
      <c r="I10442" s="5"/>
      <c r="J10442" s="5"/>
      <c r="K10442" s="5"/>
      <c r="L10442" s="5"/>
    </row>
    <row r="10443" spans="1:12" ht="12" customHeight="1" x14ac:dyDescent="0.25">
      <c r="A10443" s="6"/>
      <c r="B10443" s="1"/>
      <c r="C10443" s="5"/>
      <c r="D10443" s="5"/>
      <c r="E10443" s="5"/>
      <c r="F10443" s="5"/>
      <c r="G10443" s="5"/>
      <c r="H10443" s="5"/>
      <c r="I10443" s="5"/>
      <c r="J10443" s="5"/>
      <c r="K10443" s="5"/>
      <c r="L10443" s="5"/>
    </row>
    <row r="10444" spans="1:12" ht="12" customHeight="1" x14ac:dyDescent="0.25">
      <c r="A10444" s="6"/>
      <c r="B10444" s="1"/>
      <c r="C10444" s="5"/>
      <c r="D10444" s="5"/>
      <c r="E10444" s="5"/>
      <c r="F10444" s="5"/>
      <c r="G10444" s="5"/>
      <c r="H10444" s="5"/>
      <c r="I10444" s="5"/>
      <c r="J10444" s="5"/>
      <c r="K10444" s="5"/>
      <c r="L10444" s="5"/>
    </row>
    <row r="10445" spans="1:12" ht="12" customHeight="1" x14ac:dyDescent="0.25">
      <c r="A10445" s="6"/>
      <c r="B10445" s="1"/>
      <c r="C10445" s="5"/>
      <c r="D10445" s="5"/>
      <c r="E10445" s="5"/>
      <c r="F10445" s="5"/>
      <c r="G10445" s="5"/>
      <c r="H10445" s="5"/>
      <c r="I10445" s="5"/>
      <c r="J10445" s="5"/>
      <c r="K10445" s="5"/>
      <c r="L10445" s="5"/>
    </row>
    <row r="10446" spans="1:12" ht="12" customHeight="1" x14ac:dyDescent="0.25">
      <c r="A10446" s="6"/>
      <c r="B10446" s="1"/>
      <c r="C10446" s="5"/>
      <c r="D10446" s="5"/>
      <c r="E10446" s="5"/>
      <c r="F10446" s="5"/>
      <c r="G10446" s="5"/>
      <c r="H10446" s="5"/>
      <c r="I10446" s="5"/>
      <c r="J10446" s="5"/>
      <c r="K10446" s="5"/>
      <c r="L10446" s="5"/>
    </row>
    <row r="10447" spans="1:12" ht="12" customHeight="1" x14ac:dyDescent="0.25">
      <c r="A10447" s="6"/>
      <c r="B10447" s="1"/>
      <c r="C10447" s="5"/>
      <c r="D10447" s="5"/>
      <c r="E10447" s="5"/>
      <c r="F10447" s="5"/>
      <c r="G10447" s="5"/>
      <c r="H10447" s="5"/>
      <c r="I10447" s="5"/>
      <c r="J10447" s="5"/>
      <c r="K10447" s="5"/>
      <c r="L10447" s="5"/>
    </row>
    <row r="10448" spans="1:12" ht="12" customHeight="1" x14ac:dyDescent="0.25">
      <c r="A10448" s="6"/>
      <c r="B10448" s="1"/>
      <c r="C10448" s="5"/>
      <c r="D10448" s="5"/>
      <c r="E10448" s="5"/>
      <c r="F10448" s="5"/>
      <c r="G10448" s="5"/>
      <c r="H10448" s="5"/>
      <c r="I10448" s="5"/>
      <c r="J10448" s="5"/>
      <c r="K10448" s="5"/>
      <c r="L10448" s="5"/>
    </row>
    <row r="10449" spans="1:12" ht="12" customHeight="1" x14ac:dyDescent="0.25">
      <c r="A10449" s="6"/>
      <c r="B10449" s="1"/>
      <c r="C10449" s="5"/>
      <c r="D10449" s="5"/>
      <c r="E10449" s="5"/>
      <c r="F10449" s="5"/>
      <c r="G10449" s="5"/>
      <c r="H10449" s="5"/>
      <c r="I10449" s="5"/>
      <c r="J10449" s="5"/>
      <c r="K10449" s="5"/>
      <c r="L10449" s="5"/>
    </row>
    <row r="10450" spans="1:12" ht="12" customHeight="1" x14ac:dyDescent="0.25">
      <c r="A10450" s="6"/>
      <c r="B10450" s="1"/>
      <c r="C10450" s="5"/>
      <c r="D10450" s="5"/>
      <c r="E10450" s="5"/>
      <c r="F10450" s="5"/>
      <c r="G10450" s="5"/>
      <c r="H10450" s="5"/>
      <c r="I10450" s="5"/>
      <c r="J10450" s="5"/>
      <c r="K10450" s="5"/>
      <c r="L10450" s="5"/>
    </row>
    <row r="10451" spans="1:12" ht="12" customHeight="1" x14ac:dyDescent="0.25">
      <c r="A10451" s="6"/>
      <c r="B10451" s="1"/>
      <c r="C10451" s="5"/>
      <c r="D10451" s="5"/>
      <c r="E10451" s="5"/>
      <c r="F10451" s="5"/>
      <c r="G10451" s="5"/>
      <c r="H10451" s="5"/>
      <c r="I10451" s="5"/>
      <c r="J10451" s="5"/>
      <c r="K10451" s="5"/>
      <c r="L10451" s="5"/>
    </row>
    <row r="10452" spans="1:12" ht="12" customHeight="1" x14ac:dyDescent="0.25">
      <c r="A10452" s="6"/>
      <c r="B10452" s="1"/>
      <c r="C10452" s="5"/>
      <c r="D10452" s="5"/>
      <c r="E10452" s="5"/>
      <c r="F10452" s="5"/>
      <c r="G10452" s="5"/>
      <c r="H10452" s="5"/>
      <c r="I10452" s="5"/>
      <c r="J10452" s="5"/>
      <c r="K10452" s="5"/>
      <c r="L10452" s="5"/>
    </row>
    <row r="10453" spans="1:12" ht="12" customHeight="1" x14ac:dyDescent="0.25">
      <c r="A10453" s="6"/>
      <c r="B10453" s="1"/>
      <c r="C10453" s="5"/>
      <c r="D10453" s="5"/>
      <c r="E10453" s="5"/>
      <c r="F10453" s="5"/>
      <c r="G10453" s="5"/>
      <c r="H10453" s="5"/>
      <c r="I10453" s="5"/>
      <c r="J10453" s="5"/>
      <c r="K10453" s="5"/>
      <c r="L10453" s="5"/>
    </row>
    <row r="10454" spans="1:12" ht="12" customHeight="1" x14ac:dyDescent="0.25">
      <c r="A10454" s="6"/>
      <c r="B10454" s="1"/>
      <c r="C10454" s="5"/>
      <c r="D10454" s="5"/>
      <c r="E10454" s="5"/>
      <c r="F10454" s="5"/>
      <c r="G10454" s="5"/>
      <c r="H10454" s="5"/>
      <c r="I10454" s="5"/>
      <c r="J10454" s="5"/>
      <c r="K10454" s="5"/>
      <c r="L10454" s="5"/>
    </row>
    <row r="10455" spans="1:12" ht="12" customHeight="1" x14ac:dyDescent="0.25">
      <c r="A10455" s="6"/>
      <c r="B10455" s="1"/>
      <c r="C10455" s="5"/>
      <c r="D10455" s="5"/>
      <c r="E10455" s="5"/>
      <c r="F10455" s="5"/>
      <c r="G10455" s="5"/>
      <c r="H10455" s="5"/>
      <c r="I10455" s="5"/>
      <c r="J10455" s="5"/>
      <c r="K10455" s="5"/>
      <c r="L10455" s="5"/>
    </row>
    <row r="10456" spans="1:12" ht="12" customHeight="1" x14ac:dyDescent="0.25">
      <c r="A10456" s="6"/>
      <c r="B10456" s="1"/>
      <c r="C10456" s="5"/>
      <c r="D10456" s="5"/>
      <c r="E10456" s="5"/>
      <c r="F10456" s="5"/>
      <c r="G10456" s="5"/>
      <c r="H10456" s="5"/>
      <c r="I10456" s="5"/>
      <c r="J10456" s="5"/>
      <c r="K10456" s="5"/>
      <c r="L10456" s="5"/>
    </row>
    <row r="10457" spans="1:12" ht="12" customHeight="1" x14ac:dyDescent="0.25">
      <c r="A10457" s="6"/>
      <c r="B10457" s="1"/>
      <c r="C10457" s="5"/>
      <c r="D10457" s="5"/>
      <c r="E10457" s="5"/>
      <c r="F10457" s="5"/>
      <c r="G10457" s="5"/>
      <c r="H10457" s="5"/>
      <c r="I10457" s="5"/>
      <c r="J10457" s="5"/>
      <c r="K10457" s="5"/>
      <c r="L10457" s="5"/>
    </row>
    <row r="10458" spans="1:12" ht="12" customHeight="1" x14ac:dyDescent="0.25">
      <c r="A10458" s="6"/>
      <c r="B10458" s="1"/>
      <c r="C10458" s="5"/>
      <c r="D10458" s="5"/>
      <c r="E10458" s="5"/>
      <c r="F10458" s="5"/>
      <c r="G10458" s="5"/>
      <c r="H10458" s="5"/>
      <c r="I10458" s="5"/>
      <c r="J10458" s="5"/>
      <c r="K10458" s="5"/>
      <c r="L10458" s="5"/>
    </row>
    <row r="10459" spans="1:12" ht="12" customHeight="1" x14ac:dyDescent="0.25">
      <c r="A10459" s="6"/>
      <c r="B10459" s="1"/>
      <c r="C10459" s="5"/>
      <c r="D10459" s="5"/>
      <c r="E10459" s="5"/>
      <c r="F10459" s="5"/>
      <c r="G10459" s="5"/>
      <c r="H10459" s="5"/>
      <c r="I10459" s="5"/>
      <c r="J10459" s="5"/>
      <c r="K10459" s="5"/>
      <c r="L10459" s="5"/>
    </row>
    <row r="10460" spans="1:12" ht="12" customHeight="1" x14ac:dyDescent="0.25">
      <c r="A10460" s="6"/>
      <c r="B10460" s="1"/>
      <c r="C10460" s="5"/>
      <c r="D10460" s="5"/>
      <c r="E10460" s="5"/>
      <c r="F10460" s="5"/>
      <c r="G10460" s="5"/>
      <c r="H10460" s="5"/>
      <c r="I10460" s="5"/>
      <c r="J10460" s="5"/>
      <c r="K10460" s="5"/>
      <c r="L10460" s="5"/>
    </row>
    <row r="10461" spans="1:12" ht="12" customHeight="1" x14ac:dyDescent="0.25">
      <c r="A10461" s="6"/>
      <c r="B10461" s="1"/>
      <c r="C10461" s="5"/>
      <c r="D10461" s="5"/>
      <c r="E10461" s="5"/>
      <c r="F10461" s="5"/>
      <c r="G10461" s="5"/>
      <c r="H10461" s="5"/>
      <c r="I10461" s="5"/>
      <c r="J10461" s="5"/>
      <c r="K10461" s="5"/>
      <c r="L10461" s="5"/>
    </row>
    <row r="10462" spans="1:12" ht="12" customHeight="1" x14ac:dyDescent="0.25">
      <c r="A10462" s="6"/>
      <c r="B10462" s="1"/>
      <c r="C10462" s="5"/>
      <c r="D10462" s="5"/>
      <c r="E10462" s="5"/>
      <c r="F10462" s="5"/>
      <c r="G10462" s="5"/>
      <c r="H10462" s="5"/>
      <c r="I10462" s="5"/>
      <c r="J10462" s="5"/>
      <c r="K10462" s="5"/>
      <c r="L10462" s="5"/>
    </row>
    <row r="10463" spans="1:12" ht="12" customHeight="1" x14ac:dyDescent="0.25">
      <c r="A10463" s="6"/>
      <c r="B10463" s="1"/>
      <c r="C10463" s="5"/>
      <c r="D10463" s="5"/>
      <c r="E10463" s="5"/>
      <c r="F10463" s="5"/>
      <c r="G10463" s="5"/>
      <c r="H10463" s="5"/>
      <c r="I10463" s="5"/>
      <c r="J10463" s="5"/>
      <c r="K10463" s="5"/>
      <c r="L10463" s="5"/>
    </row>
    <row r="10464" spans="1:12" ht="12" customHeight="1" x14ac:dyDescent="0.25">
      <c r="A10464" s="6"/>
      <c r="B10464" s="1"/>
      <c r="C10464" s="5"/>
      <c r="D10464" s="5"/>
      <c r="E10464" s="5"/>
      <c r="F10464" s="5"/>
      <c r="G10464" s="5"/>
      <c r="H10464" s="5"/>
      <c r="I10464" s="5"/>
      <c r="J10464" s="5"/>
      <c r="K10464" s="5"/>
      <c r="L10464" s="5"/>
    </row>
    <row r="10465" spans="1:12" ht="12" customHeight="1" x14ac:dyDescent="0.25">
      <c r="A10465" s="6"/>
      <c r="B10465" s="1"/>
      <c r="C10465" s="5"/>
      <c r="D10465" s="5"/>
      <c r="E10465" s="5"/>
      <c r="F10465" s="5"/>
      <c r="G10465" s="5"/>
      <c r="H10465" s="5"/>
      <c r="I10465" s="5"/>
      <c r="J10465" s="5"/>
      <c r="K10465" s="5"/>
      <c r="L10465" s="5"/>
    </row>
    <row r="10466" spans="1:12" ht="12" customHeight="1" x14ac:dyDescent="0.25">
      <c r="A10466" s="6"/>
      <c r="B10466" s="1"/>
      <c r="C10466" s="5"/>
      <c r="D10466" s="5"/>
      <c r="E10466" s="5"/>
      <c r="F10466" s="5"/>
      <c r="G10466" s="5"/>
      <c r="H10466" s="5"/>
      <c r="I10466" s="5"/>
      <c r="J10466" s="5"/>
      <c r="K10466" s="5"/>
      <c r="L10466" s="5"/>
    </row>
    <row r="10467" spans="1:12" ht="12" customHeight="1" x14ac:dyDescent="0.25">
      <c r="A10467" s="6"/>
      <c r="B10467" s="1"/>
      <c r="C10467" s="5"/>
      <c r="D10467" s="5"/>
      <c r="E10467" s="5"/>
      <c r="F10467" s="5"/>
      <c r="G10467" s="5"/>
      <c r="H10467" s="5"/>
      <c r="I10467" s="5"/>
      <c r="J10467" s="5"/>
      <c r="K10467" s="5"/>
      <c r="L10467" s="5"/>
    </row>
    <row r="10468" spans="1:12" ht="12" customHeight="1" x14ac:dyDescent="0.25">
      <c r="A10468" s="6"/>
      <c r="B10468" s="1"/>
      <c r="C10468" s="5"/>
      <c r="D10468" s="5"/>
      <c r="E10468" s="5"/>
      <c r="F10468" s="5"/>
      <c r="G10468" s="5"/>
      <c r="H10468" s="5"/>
      <c r="I10468" s="5"/>
      <c r="J10468" s="5"/>
      <c r="K10468" s="5"/>
      <c r="L10468" s="5"/>
    </row>
    <row r="10469" spans="1:12" ht="12" customHeight="1" x14ac:dyDescent="0.25">
      <c r="A10469" s="6"/>
      <c r="B10469" s="1"/>
      <c r="C10469" s="5"/>
      <c r="D10469" s="5"/>
      <c r="E10469" s="5"/>
      <c r="F10469" s="5"/>
      <c r="G10469" s="5"/>
      <c r="H10469" s="5"/>
      <c r="I10469" s="5"/>
      <c r="J10469" s="5"/>
      <c r="K10469" s="5"/>
      <c r="L10469" s="5"/>
    </row>
    <row r="10470" spans="1:12" ht="12" customHeight="1" x14ac:dyDescent="0.25">
      <c r="A10470" s="6"/>
      <c r="B10470" s="1"/>
      <c r="C10470" s="5"/>
      <c r="D10470" s="5"/>
      <c r="E10470" s="5"/>
      <c r="F10470" s="5"/>
      <c r="G10470" s="5"/>
      <c r="H10470" s="5"/>
      <c r="I10470" s="5"/>
      <c r="J10470" s="5"/>
      <c r="K10470" s="5"/>
      <c r="L10470" s="5"/>
    </row>
    <row r="10471" spans="1:12" ht="12" customHeight="1" x14ac:dyDescent="0.25">
      <c r="A10471" s="6"/>
      <c r="B10471" s="1"/>
      <c r="C10471" s="5"/>
      <c r="D10471" s="5"/>
      <c r="E10471" s="5"/>
      <c r="F10471" s="5"/>
      <c r="G10471" s="5"/>
      <c r="H10471" s="5"/>
      <c r="I10471" s="5"/>
      <c r="J10471" s="5"/>
      <c r="K10471" s="5"/>
      <c r="L10471" s="5"/>
    </row>
    <row r="10472" spans="1:12" ht="12" customHeight="1" x14ac:dyDescent="0.25">
      <c r="A10472" s="6"/>
      <c r="B10472" s="1"/>
      <c r="C10472" s="5"/>
      <c r="D10472" s="5"/>
      <c r="E10472" s="5"/>
      <c r="F10472" s="5"/>
      <c r="G10472" s="5"/>
      <c r="H10472" s="5"/>
      <c r="I10472" s="5"/>
      <c r="J10472" s="5"/>
      <c r="K10472" s="5"/>
      <c r="L10472" s="5"/>
    </row>
    <row r="10473" spans="1:12" ht="12" customHeight="1" x14ac:dyDescent="0.25">
      <c r="A10473" s="6"/>
      <c r="B10473" s="1"/>
      <c r="C10473" s="5"/>
      <c r="D10473" s="5"/>
      <c r="E10473" s="5"/>
      <c r="F10473" s="5"/>
      <c r="G10473" s="5"/>
      <c r="H10473" s="5"/>
      <c r="I10473" s="5"/>
      <c r="J10473" s="5"/>
      <c r="K10473" s="5"/>
      <c r="L10473" s="5"/>
    </row>
    <row r="10474" spans="1:12" ht="12" customHeight="1" x14ac:dyDescent="0.25">
      <c r="A10474" s="6"/>
      <c r="B10474" s="1"/>
      <c r="C10474" s="5"/>
      <c r="D10474" s="5"/>
      <c r="E10474" s="5"/>
      <c r="F10474" s="5"/>
      <c r="G10474" s="5"/>
      <c r="H10474" s="5"/>
      <c r="I10474" s="5"/>
      <c r="J10474" s="5"/>
      <c r="K10474" s="5"/>
      <c r="L10474" s="5"/>
    </row>
    <row r="10475" spans="1:12" ht="12" customHeight="1" x14ac:dyDescent="0.25">
      <c r="A10475" s="6"/>
      <c r="B10475" s="1"/>
      <c r="C10475" s="5"/>
      <c r="D10475" s="5"/>
      <c r="E10475" s="5"/>
      <c r="F10475" s="5"/>
      <c r="G10475" s="5"/>
      <c r="H10475" s="5"/>
      <c r="I10475" s="5"/>
      <c r="J10475" s="5"/>
      <c r="K10475" s="5"/>
      <c r="L10475" s="5"/>
    </row>
    <row r="10476" spans="1:12" ht="12" customHeight="1" x14ac:dyDescent="0.25">
      <c r="A10476" s="6"/>
      <c r="B10476" s="1"/>
      <c r="C10476" s="5"/>
      <c r="D10476" s="5"/>
      <c r="E10476" s="5"/>
      <c r="F10476" s="5"/>
      <c r="G10476" s="5"/>
      <c r="H10476" s="5"/>
      <c r="I10476" s="5"/>
      <c r="J10476" s="5"/>
      <c r="K10476" s="5"/>
      <c r="L10476" s="5"/>
    </row>
    <row r="10477" spans="1:12" ht="12" customHeight="1" x14ac:dyDescent="0.25">
      <c r="A10477" s="6"/>
      <c r="B10477" s="1"/>
      <c r="C10477" s="5"/>
      <c r="D10477" s="5"/>
      <c r="E10477" s="5"/>
      <c r="F10477" s="5"/>
      <c r="G10477" s="5"/>
      <c r="H10477" s="5"/>
      <c r="I10477" s="5"/>
      <c r="J10477" s="5"/>
      <c r="K10477" s="5"/>
      <c r="L10477" s="5"/>
    </row>
    <row r="10478" spans="1:12" ht="12" customHeight="1" x14ac:dyDescent="0.25">
      <c r="A10478" s="6"/>
      <c r="B10478" s="1"/>
      <c r="C10478" s="5"/>
      <c r="D10478" s="5"/>
      <c r="E10478" s="5"/>
      <c r="F10478" s="5"/>
      <c r="G10478" s="5"/>
      <c r="H10478" s="5"/>
      <c r="I10478" s="5"/>
      <c r="J10478" s="5"/>
      <c r="K10478" s="5"/>
      <c r="L10478" s="5"/>
    </row>
    <row r="10479" spans="1:12" ht="12" customHeight="1" x14ac:dyDescent="0.25">
      <c r="A10479" s="6"/>
      <c r="B10479" s="1"/>
      <c r="C10479" s="5"/>
      <c r="D10479" s="5"/>
      <c r="E10479" s="5"/>
      <c r="F10479" s="5"/>
      <c r="G10479" s="5"/>
      <c r="H10479" s="5"/>
      <c r="I10479" s="5"/>
      <c r="J10479" s="5"/>
      <c r="K10479" s="5"/>
      <c r="L10479" s="5"/>
    </row>
    <row r="10480" spans="1:12" ht="12" customHeight="1" x14ac:dyDescent="0.25">
      <c r="A10480" s="6"/>
      <c r="B10480" s="1"/>
      <c r="C10480" s="5"/>
      <c r="D10480" s="5"/>
      <c r="E10480" s="5"/>
      <c r="F10480" s="5"/>
      <c r="G10480" s="5"/>
      <c r="H10480" s="5"/>
      <c r="I10480" s="5"/>
      <c r="J10480" s="5"/>
      <c r="K10480" s="5"/>
      <c r="L10480" s="5"/>
    </row>
    <row r="10481" spans="1:12" ht="12" customHeight="1" x14ac:dyDescent="0.25">
      <c r="A10481" s="6"/>
      <c r="B10481" s="1"/>
      <c r="C10481" s="5"/>
      <c r="D10481" s="5"/>
      <c r="E10481" s="5"/>
      <c r="F10481" s="5"/>
      <c r="G10481" s="5"/>
      <c r="H10481" s="5"/>
      <c r="I10481" s="5"/>
      <c r="J10481" s="5"/>
      <c r="K10481" s="5"/>
      <c r="L10481" s="5"/>
    </row>
    <row r="10482" spans="1:12" ht="12" customHeight="1" x14ac:dyDescent="0.25">
      <c r="A10482" s="6"/>
      <c r="B10482" s="1"/>
      <c r="C10482" s="5"/>
      <c r="D10482" s="5"/>
      <c r="E10482" s="5"/>
      <c r="F10482" s="5"/>
      <c r="G10482" s="5"/>
      <c r="H10482" s="5"/>
      <c r="I10482" s="5"/>
      <c r="J10482" s="5"/>
      <c r="K10482" s="5"/>
      <c r="L10482" s="5"/>
    </row>
    <row r="10483" spans="1:12" ht="12" customHeight="1" x14ac:dyDescent="0.25">
      <c r="A10483" s="6"/>
      <c r="B10483" s="1"/>
      <c r="C10483" s="5"/>
      <c r="D10483" s="5"/>
      <c r="E10483" s="5"/>
      <c r="F10483" s="5"/>
      <c r="G10483" s="5"/>
      <c r="H10483" s="5"/>
      <c r="I10483" s="5"/>
      <c r="J10483" s="5"/>
      <c r="K10483" s="5"/>
      <c r="L10483" s="5"/>
    </row>
    <row r="10484" spans="1:12" ht="12" customHeight="1" x14ac:dyDescent="0.25">
      <c r="A10484" s="6"/>
      <c r="B10484" s="1"/>
      <c r="C10484" s="5"/>
      <c r="D10484" s="5"/>
      <c r="E10484" s="5"/>
      <c r="F10484" s="5"/>
      <c r="G10484" s="5"/>
      <c r="H10484" s="5"/>
      <c r="I10484" s="5"/>
      <c r="J10484" s="5"/>
      <c r="K10484" s="5"/>
      <c r="L10484" s="5"/>
    </row>
    <row r="10485" spans="1:12" ht="12" customHeight="1" x14ac:dyDescent="0.25">
      <c r="A10485" s="6"/>
      <c r="B10485" s="1"/>
      <c r="C10485" s="5"/>
      <c r="D10485" s="5"/>
      <c r="E10485" s="5"/>
      <c r="F10485" s="5"/>
      <c r="G10485" s="5"/>
      <c r="H10485" s="5"/>
      <c r="I10485" s="5"/>
      <c r="J10485" s="5"/>
      <c r="K10485" s="5"/>
      <c r="L10485" s="5"/>
    </row>
    <row r="10486" spans="1:12" ht="12" customHeight="1" x14ac:dyDescent="0.25">
      <c r="A10486" s="6"/>
      <c r="B10486" s="1"/>
      <c r="C10486" s="5"/>
      <c r="D10486" s="5"/>
      <c r="E10486" s="5"/>
      <c r="F10486" s="5"/>
      <c r="G10486" s="5"/>
      <c r="H10486" s="5"/>
      <c r="I10486" s="5"/>
      <c r="J10486" s="5"/>
      <c r="K10486" s="5"/>
      <c r="L10486" s="5"/>
    </row>
    <row r="10487" spans="1:12" ht="12" customHeight="1" x14ac:dyDescent="0.25">
      <c r="A10487" s="6"/>
      <c r="B10487" s="1"/>
      <c r="C10487" s="5"/>
      <c r="D10487" s="5"/>
      <c r="E10487" s="5"/>
      <c r="F10487" s="5"/>
      <c r="G10487" s="5"/>
      <c r="H10487" s="5"/>
      <c r="I10487" s="5"/>
      <c r="J10487" s="5"/>
      <c r="K10487" s="5"/>
      <c r="L10487" s="5"/>
    </row>
    <row r="10488" spans="1:12" ht="12" customHeight="1" x14ac:dyDescent="0.25">
      <c r="A10488" s="6"/>
      <c r="B10488" s="1"/>
      <c r="C10488" s="5"/>
      <c r="D10488" s="5"/>
      <c r="E10488" s="5"/>
      <c r="F10488" s="5"/>
      <c r="G10488" s="5"/>
      <c r="H10488" s="5"/>
      <c r="I10488" s="5"/>
      <c r="J10488" s="5"/>
      <c r="K10488" s="5"/>
      <c r="L10488" s="5"/>
    </row>
    <row r="10489" spans="1:12" ht="12" customHeight="1" x14ac:dyDescent="0.25">
      <c r="A10489" s="6"/>
      <c r="B10489" s="1"/>
      <c r="C10489" s="5"/>
      <c r="D10489" s="5"/>
      <c r="E10489" s="5"/>
      <c r="F10489" s="5"/>
      <c r="G10489" s="5"/>
      <c r="H10489" s="5"/>
      <c r="I10489" s="5"/>
      <c r="J10489" s="5"/>
      <c r="K10489" s="5"/>
      <c r="L10489" s="5"/>
    </row>
    <row r="10490" spans="1:12" ht="12" customHeight="1" x14ac:dyDescent="0.25">
      <c r="A10490" s="6"/>
      <c r="B10490" s="1"/>
      <c r="C10490" s="5"/>
      <c r="D10490" s="5"/>
      <c r="E10490" s="5"/>
      <c r="F10490" s="5"/>
      <c r="G10490" s="5"/>
      <c r="H10490" s="5"/>
      <c r="I10490" s="5"/>
      <c r="J10490" s="5"/>
      <c r="K10490" s="5"/>
      <c r="L10490" s="5"/>
    </row>
    <row r="10491" spans="1:12" ht="12" customHeight="1" x14ac:dyDescent="0.25">
      <c r="A10491" s="6"/>
      <c r="B10491" s="1"/>
      <c r="C10491" s="5"/>
      <c r="D10491" s="5"/>
      <c r="E10491" s="5"/>
      <c r="F10491" s="5"/>
      <c r="G10491" s="5"/>
      <c r="H10491" s="5"/>
      <c r="I10491" s="5"/>
      <c r="J10491" s="5"/>
      <c r="K10491" s="5"/>
      <c r="L10491" s="5"/>
    </row>
    <row r="10492" spans="1:12" ht="12" customHeight="1" x14ac:dyDescent="0.25">
      <c r="A10492" s="6"/>
      <c r="B10492" s="1"/>
      <c r="C10492" s="5"/>
      <c r="D10492" s="5"/>
      <c r="E10492" s="5"/>
      <c r="F10492" s="5"/>
      <c r="G10492" s="5"/>
      <c r="H10492" s="5"/>
      <c r="I10492" s="5"/>
      <c r="J10492" s="5"/>
      <c r="K10492" s="5"/>
      <c r="L10492" s="5"/>
    </row>
    <row r="10493" spans="1:12" ht="12" customHeight="1" x14ac:dyDescent="0.25">
      <c r="A10493" s="6"/>
      <c r="B10493" s="1"/>
      <c r="C10493" s="5"/>
      <c r="D10493" s="5"/>
      <c r="E10493" s="5"/>
      <c r="F10493" s="5"/>
      <c r="G10493" s="5"/>
      <c r="H10493" s="5"/>
      <c r="I10493" s="5"/>
      <c r="J10493" s="5"/>
      <c r="K10493" s="5"/>
      <c r="L10493" s="5"/>
    </row>
    <row r="10494" spans="1:12" ht="12" customHeight="1" x14ac:dyDescent="0.25">
      <c r="A10494" s="6"/>
      <c r="B10494" s="1"/>
      <c r="C10494" s="5"/>
      <c r="D10494" s="5"/>
      <c r="E10494" s="5"/>
      <c r="F10494" s="5"/>
      <c r="G10494" s="5"/>
      <c r="H10494" s="5"/>
      <c r="I10494" s="5"/>
      <c r="J10494" s="5"/>
      <c r="K10494" s="5"/>
      <c r="L10494" s="5"/>
    </row>
    <row r="10495" spans="1:12" ht="12" customHeight="1" x14ac:dyDescent="0.25">
      <c r="A10495" s="6"/>
      <c r="B10495" s="1"/>
      <c r="C10495" s="5"/>
      <c r="D10495" s="5"/>
      <c r="E10495" s="5"/>
      <c r="F10495" s="5"/>
      <c r="G10495" s="5"/>
      <c r="H10495" s="5"/>
      <c r="I10495" s="5"/>
      <c r="J10495" s="5"/>
      <c r="K10495" s="5"/>
      <c r="L10495" s="5"/>
    </row>
    <row r="10496" spans="1:12" ht="12" customHeight="1" x14ac:dyDescent="0.25">
      <c r="A10496" s="6"/>
      <c r="B10496" s="1"/>
      <c r="C10496" s="5"/>
      <c r="D10496" s="5"/>
      <c r="E10496" s="5"/>
      <c r="F10496" s="5"/>
      <c r="G10496" s="5"/>
      <c r="H10496" s="5"/>
      <c r="I10496" s="5"/>
      <c r="J10496" s="5"/>
      <c r="K10496" s="5"/>
      <c r="L10496" s="5"/>
    </row>
    <row r="10497" spans="1:12" ht="12" customHeight="1" x14ac:dyDescent="0.25">
      <c r="A10497" s="6"/>
      <c r="B10497" s="1"/>
      <c r="C10497" s="5"/>
      <c r="D10497" s="5"/>
      <c r="E10497" s="5"/>
      <c r="F10497" s="5"/>
      <c r="G10497" s="5"/>
      <c r="H10497" s="5"/>
      <c r="I10497" s="5"/>
      <c r="J10497" s="5"/>
      <c r="K10497" s="5"/>
      <c r="L10497" s="5"/>
    </row>
    <row r="10498" spans="1:12" ht="12" customHeight="1" x14ac:dyDescent="0.25">
      <c r="A10498" s="6"/>
      <c r="B10498" s="1"/>
      <c r="C10498" s="5"/>
      <c r="D10498" s="5"/>
      <c r="E10498" s="5"/>
      <c r="F10498" s="5"/>
      <c r="G10498" s="5"/>
      <c r="H10498" s="5"/>
      <c r="I10498" s="5"/>
      <c r="J10498" s="5"/>
      <c r="K10498" s="5"/>
      <c r="L10498" s="5"/>
    </row>
    <row r="10499" spans="1:12" ht="12" customHeight="1" x14ac:dyDescent="0.25">
      <c r="A10499" s="6"/>
      <c r="B10499" s="1"/>
      <c r="C10499" s="5"/>
      <c r="D10499" s="5"/>
      <c r="E10499" s="5"/>
      <c r="F10499" s="5"/>
      <c r="G10499" s="5"/>
      <c r="H10499" s="5"/>
      <c r="I10499" s="5"/>
      <c r="J10499" s="5"/>
      <c r="K10499" s="5"/>
      <c r="L10499" s="5"/>
    </row>
    <row r="10500" spans="1:12" ht="12" customHeight="1" x14ac:dyDescent="0.25">
      <c r="A10500" s="6"/>
      <c r="B10500" s="1"/>
      <c r="C10500" s="5"/>
      <c r="D10500" s="5"/>
      <c r="E10500" s="5"/>
      <c r="F10500" s="5"/>
      <c r="G10500" s="5"/>
      <c r="H10500" s="5"/>
      <c r="I10500" s="5"/>
      <c r="J10500" s="5"/>
      <c r="K10500" s="5"/>
      <c r="L10500" s="5"/>
    </row>
    <row r="10501" spans="1:12" ht="12" customHeight="1" x14ac:dyDescent="0.25">
      <c r="A10501" s="6"/>
      <c r="B10501" s="1"/>
      <c r="C10501" s="5"/>
      <c r="D10501" s="5"/>
      <c r="E10501" s="5"/>
      <c r="F10501" s="5"/>
      <c r="G10501" s="5"/>
      <c r="H10501" s="5"/>
      <c r="I10501" s="5"/>
      <c r="J10501" s="5"/>
      <c r="K10501" s="5"/>
      <c r="L10501" s="5"/>
    </row>
    <row r="10502" spans="1:12" ht="12" customHeight="1" x14ac:dyDescent="0.25">
      <c r="A10502" s="6"/>
      <c r="B10502" s="1"/>
      <c r="C10502" s="5"/>
      <c r="D10502" s="5"/>
      <c r="E10502" s="5"/>
      <c r="F10502" s="5"/>
      <c r="G10502" s="5"/>
      <c r="H10502" s="5"/>
      <c r="I10502" s="5"/>
      <c r="J10502" s="5"/>
      <c r="K10502" s="5"/>
      <c r="L10502" s="5"/>
    </row>
    <row r="10503" spans="1:12" ht="12" customHeight="1" x14ac:dyDescent="0.25">
      <c r="A10503" s="6"/>
      <c r="B10503" s="1"/>
      <c r="C10503" s="5"/>
      <c r="D10503" s="5"/>
      <c r="E10503" s="5"/>
      <c r="F10503" s="5"/>
      <c r="G10503" s="5"/>
      <c r="H10503" s="5"/>
      <c r="I10503" s="5"/>
      <c r="J10503" s="5"/>
      <c r="K10503" s="5"/>
      <c r="L10503" s="5"/>
    </row>
    <row r="10504" spans="1:12" ht="12" customHeight="1" x14ac:dyDescent="0.25">
      <c r="A10504" s="6"/>
      <c r="B10504" s="1"/>
      <c r="C10504" s="5"/>
      <c r="D10504" s="5"/>
      <c r="E10504" s="5"/>
      <c r="F10504" s="5"/>
      <c r="G10504" s="5"/>
      <c r="H10504" s="5"/>
      <c r="I10504" s="5"/>
      <c r="J10504" s="5"/>
      <c r="K10504" s="5"/>
      <c r="L10504" s="5"/>
    </row>
    <row r="10505" spans="1:12" ht="12" customHeight="1" x14ac:dyDescent="0.25">
      <c r="A10505" s="6"/>
      <c r="B10505" s="1"/>
      <c r="C10505" s="5"/>
      <c r="D10505" s="5"/>
      <c r="E10505" s="5"/>
      <c r="F10505" s="5"/>
      <c r="G10505" s="5"/>
      <c r="H10505" s="5"/>
      <c r="I10505" s="5"/>
      <c r="J10505" s="5"/>
      <c r="K10505" s="5"/>
      <c r="L10505" s="5"/>
    </row>
    <row r="10506" spans="1:12" ht="12" customHeight="1" x14ac:dyDescent="0.25">
      <c r="A10506" s="6"/>
      <c r="B10506" s="1"/>
      <c r="C10506" s="5"/>
      <c r="D10506" s="5"/>
      <c r="E10506" s="5"/>
      <c r="F10506" s="5"/>
      <c r="G10506" s="5"/>
      <c r="H10506" s="5"/>
      <c r="I10506" s="5"/>
      <c r="J10506" s="5"/>
      <c r="K10506" s="5"/>
      <c r="L10506" s="5"/>
    </row>
    <row r="10507" spans="1:12" ht="12" customHeight="1" x14ac:dyDescent="0.25">
      <c r="A10507" s="6"/>
      <c r="B10507" s="1"/>
      <c r="C10507" s="5"/>
      <c r="D10507" s="5"/>
      <c r="E10507" s="5"/>
      <c r="F10507" s="5"/>
      <c r="G10507" s="5"/>
      <c r="H10507" s="5"/>
      <c r="I10507" s="5"/>
      <c r="J10507" s="5"/>
      <c r="K10507" s="5"/>
      <c r="L10507" s="5"/>
    </row>
    <row r="10508" spans="1:12" ht="12" customHeight="1" x14ac:dyDescent="0.25">
      <c r="A10508" s="6"/>
      <c r="B10508" s="1"/>
      <c r="C10508" s="5"/>
      <c r="D10508" s="5"/>
      <c r="E10508" s="5"/>
      <c r="F10508" s="5"/>
      <c r="G10508" s="5"/>
      <c r="H10508" s="5"/>
      <c r="I10508" s="5"/>
      <c r="J10508" s="5"/>
      <c r="K10508" s="5"/>
      <c r="L10508" s="5"/>
    </row>
    <row r="10509" spans="1:12" ht="12" customHeight="1" x14ac:dyDescent="0.25">
      <c r="A10509" s="6"/>
      <c r="B10509" s="1"/>
      <c r="C10509" s="5"/>
      <c r="D10509" s="5"/>
      <c r="E10509" s="5"/>
      <c r="F10509" s="5"/>
      <c r="G10509" s="5"/>
      <c r="H10509" s="5"/>
      <c r="I10509" s="5"/>
      <c r="J10509" s="5"/>
      <c r="K10509" s="5"/>
      <c r="L10509" s="5"/>
    </row>
    <row r="10510" spans="1:12" ht="12" customHeight="1" x14ac:dyDescent="0.25">
      <c r="A10510" s="6"/>
      <c r="B10510" s="1"/>
      <c r="C10510" s="5"/>
      <c r="D10510" s="5"/>
      <c r="E10510" s="5"/>
      <c r="F10510" s="5"/>
      <c r="G10510" s="5"/>
      <c r="H10510" s="5"/>
      <c r="I10510" s="5"/>
      <c r="J10510" s="5"/>
      <c r="K10510" s="5"/>
      <c r="L10510" s="5"/>
    </row>
    <row r="10511" spans="1:12" ht="12" customHeight="1" x14ac:dyDescent="0.25">
      <c r="A10511" s="6"/>
      <c r="B10511" s="1"/>
      <c r="C10511" s="5"/>
      <c r="D10511" s="5"/>
      <c r="E10511" s="5"/>
      <c r="F10511" s="5"/>
      <c r="G10511" s="5"/>
      <c r="H10511" s="5"/>
      <c r="I10511" s="5"/>
      <c r="J10511" s="5"/>
      <c r="K10511" s="5"/>
      <c r="L10511" s="5"/>
    </row>
    <row r="10512" spans="1:12" ht="12" customHeight="1" x14ac:dyDescent="0.25">
      <c r="A10512" s="6"/>
      <c r="B10512" s="1"/>
      <c r="C10512" s="5"/>
      <c r="D10512" s="5"/>
      <c r="E10512" s="5"/>
      <c r="F10512" s="5"/>
      <c r="G10512" s="5"/>
      <c r="H10512" s="5"/>
      <c r="I10512" s="5"/>
      <c r="J10512" s="5"/>
      <c r="K10512" s="5"/>
      <c r="L10512" s="5"/>
    </row>
    <row r="10513" spans="1:12" ht="12" customHeight="1" x14ac:dyDescent="0.25">
      <c r="A10513" s="6"/>
      <c r="B10513" s="1"/>
      <c r="C10513" s="5"/>
      <c r="D10513" s="5"/>
      <c r="E10513" s="5"/>
      <c r="F10513" s="5"/>
      <c r="G10513" s="5"/>
      <c r="H10513" s="5"/>
      <c r="I10513" s="5"/>
      <c r="J10513" s="5"/>
      <c r="K10513" s="5"/>
      <c r="L10513" s="5"/>
    </row>
    <row r="10514" spans="1:12" ht="12" customHeight="1" x14ac:dyDescent="0.25">
      <c r="A10514" s="6"/>
      <c r="B10514" s="1"/>
      <c r="C10514" s="5"/>
      <c r="D10514" s="5"/>
      <c r="E10514" s="5"/>
      <c r="F10514" s="5"/>
      <c r="G10514" s="5"/>
      <c r="H10514" s="5"/>
      <c r="I10514" s="5"/>
      <c r="J10514" s="5"/>
      <c r="K10514" s="5"/>
      <c r="L10514" s="5"/>
    </row>
    <row r="10515" spans="1:12" ht="12" customHeight="1" x14ac:dyDescent="0.25">
      <c r="A10515" s="6"/>
      <c r="B10515" s="1"/>
      <c r="C10515" s="5"/>
      <c r="D10515" s="5"/>
      <c r="E10515" s="5"/>
      <c r="F10515" s="5"/>
      <c r="G10515" s="5"/>
      <c r="H10515" s="5"/>
      <c r="I10515" s="5"/>
      <c r="J10515" s="5"/>
      <c r="K10515" s="5"/>
      <c r="L10515" s="5"/>
    </row>
    <row r="10516" spans="1:12" ht="12" customHeight="1" x14ac:dyDescent="0.25">
      <c r="A10516" s="6"/>
      <c r="B10516" s="1"/>
      <c r="C10516" s="5"/>
      <c r="D10516" s="5"/>
      <c r="E10516" s="5"/>
      <c r="F10516" s="5"/>
      <c r="G10516" s="5"/>
      <c r="H10516" s="5"/>
      <c r="I10516" s="5"/>
      <c r="J10516" s="5"/>
      <c r="K10516" s="5"/>
      <c r="L10516" s="5"/>
    </row>
    <row r="10517" spans="1:12" ht="12" customHeight="1" x14ac:dyDescent="0.25">
      <c r="A10517" s="6"/>
      <c r="B10517" s="1"/>
      <c r="C10517" s="5"/>
      <c r="D10517" s="5"/>
      <c r="E10517" s="5"/>
      <c r="F10517" s="5"/>
      <c r="G10517" s="5"/>
      <c r="H10517" s="5"/>
      <c r="I10517" s="5"/>
      <c r="J10517" s="5"/>
      <c r="K10517" s="5"/>
      <c r="L10517" s="5"/>
    </row>
    <row r="10518" spans="1:12" ht="12" customHeight="1" x14ac:dyDescent="0.25">
      <c r="A10518" s="6"/>
      <c r="B10518" s="1"/>
      <c r="C10518" s="5"/>
      <c r="D10518" s="5"/>
      <c r="E10518" s="5"/>
      <c r="F10518" s="5"/>
      <c r="G10518" s="5"/>
      <c r="H10518" s="5"/>
      <c r="I10518" s="5"/>
      <c r="J10518" s="5"/>
      <c r="K10518" s="5"/>
      <c r="L10518" s="5"/>
    </row>
    <row r="10519" spans="1:12" ht="12" customHeight="1" x14ac:dyDescent="0.25">
      <c r="A10519" s="6"/>
      <c r="B10519" s="1"/>
      <c r="C10519" s="5"/>
      <c r="D10519" s="5"/>
      <c r="E10519" s="5"/>
      <c r="F10519" s="5"/>
      <c r="G10519" s="5"/>
      <c r="H10519" s="5"/>
      <c r="I10519" s="5"/>
      <c r="J10519" s="5"/>
      <c r="K10519" s="5"/>
      <c r="L10519" s="5"/>
    </row>
    <row r="10520" spans="1:12" ht="12" customHeight="1" x14ac:dyDescent="0.25">
      <c r="A10520" s="6"/>
      <c r="B10520" s="1"/>
      <c r="C10520" s="5"/>
      <c r="D10520" s="5"/>
      <c r="E10520" s="5"/>
      <c r="F10520" s="5"/>
      <c r="G10520" s="5"/>
      <c r="H10520" s="5"/>
      <c r="I10520" s="5"/>
      <c r="J10520" s="5"/>
      <c r="K10520" s="5"/>
      <c r="L10520" s="5"/>
    </row>
    <row r="10521" spans="1:12" ht="12" customHeight="1" x14ac:dyDescent="0.25">
      <c r="A10521" s="6"/>
      <c r="B10521" s="1"/>
      <c r="C10521" s="5"/>
      <c r="D10521" s="5"/>
      <c r="E10521" s="5"/>
      <c r="F10521" s="5"/>
      <c r="G10521" s="5"/>
      <c r="H10521" s="5"/>
      <c r="I10521" s="5"/>
      <c r="J10521" s="5"/>
      <c r="K10521" s="5"/>
      <c r="L10521" s="5"/>
    </row>
    <row r="10522" spans="1:12" ht="12" customHeight="1" x14ac:dyDescent="0.25">
      <c r="A10522" s="6"/>
      <c r="B10522" s="1"/>
      <c r="C10522" s="5"/>
      <c r="D10522" s="5"/>
      <c r="E10522" s="5"/>
      <c r="F10522" s="5"/>
      <c r="G10522" s="5"/>
      <c r="H10522" s="5"/>
      <c r="I10522" s="5"/>
      <c r="J10522" s="5"/>
      <c r="K10522" s="5"/>
      <c r="L10522" s="5"/>
    </row>
    <row r="10523" spans="1:12" ht="12" customHeight="1" x14ac:dyDescent="0.25">
      <c r="A10523" s="6"/>
      <c r="B10523" s="1"/>
      <c r="C10523" s="5"/>
      <c r="D10523" s="5"/>
      <c r="E10523" s="5"/>
      <c r="F10523" s="5"/>
      <c r="G10523" s="5"/>
      <c r="H10523" s="5"/>
      <c r="I10523" s="5"/>
      <c r="J10523" s="5"/>
      <c r="K10523" s="5"/>
      <c r="L10523" s="5"/>
    </row>
    <row r="10524" spans="1:12" ht="12" customHeight="1" x14ac:dyDescent="0.25">
      <c r="A10524" s="6"/>
      <c r="B10524" s="1"/>
      <c r="C10524" s="5"/>
      <c r="D10524" s="5"/>
      <c r="E10524" s="5"/>
      <c r="F10524" s="5"/>
      <c r="G10524" s="5"/>
      <c r="H10524" s="5"/>
      <c r="I10524" s="5"/>
      <c r="J10524" s="5"/>
      <c r="K10524" s="5"/>
      <c r="L10524" s="5"/>
    </row>
    <row r="10525" spans="1:12" ht="12" customHeight="1" x14ac:dyDescent="0.25">
      <c r="A10525" s="6"/>
      <c r="B10525" s="1"/>
      <c r="C10525" s="5"/>
      <c r="D10525" s="5"/>
      <c r="E10525" s="5"/>
      <c r="F10525" s="5"/>
      <c r="G10525" s="5"/>
      <c r="H10525" s="5"/>
      <c r="I10525" s="5"/>
      <c r="J10525" s="5"/>
      <c r="K10525" s="5"/>
      <c r="L10525" s="5"/>
    </row>
    <row r="10526" spans="1:12" ht="12" customHeight="1" x14ac:dyDescent="0.25">
      <c r="A10526" s="6"/>
      <c r="B10526" s="1"/>
      <c r="C10526" s="5"/>
      <c r="D10526" s="5"/>
      <c r="E10526" s="5"/>
      <c r="F10526" s="5"/>
      <c r="G10526" s="5"/>
      <c r="H10526" s="5"/>
      <c r="I10526" s="5"/>
      <c r="J10526" s="5"/>
      <c r="K10526" s="5"/>
      <c r="L10526" s="5"/>
    </row>
    <row r="10527" spans="1:12" ht="12" customHeight="1" x14ac:dyDescent="0.25">
      <c r="A10527" s="6"/>
      <c r="B10527" s="1"/>
      <c r="C10527" s="5"/>
      <c r="D10527" s="5"/>
      <c r="E10527" s="5"/>
      <c r="F10527" s="5"/>
      <c r="G10527" s="5"/>
      <c r="H10527" s="5"/>
      <c r="I10527" s="5"/>
      <c r="J10527" s="5"/>
      <c r="K10527" s="5"/>
      <c r="L10527" s="5"/>
    </row>
    <row r="10528" spans="1:12" ht="12" customHeight="1" x14ac:dyDescent="0.25">
      <c r="A10528" s="6"/>
      <c r="B10528" s="1"/>
      <c r="C10528" s="5"/>
      <c r="D10528" s="5"/>
      <c r="E10528" s="5"/>
      <c r="F10528" s="5"/>
      <c r="G10528" s="5"/>
      <c r="H10528" s="5"/>
      <c r="I10528" s="5"/>
      <c r="J10528" s="5"/>
      <c r="K10528" s="5"/>
      <c r="L10528" s="5"/>
    </row>
    <row r="10529" spans="1:12" ht="12" customHeight="1" x14ac:dyDescent="0.25">
      <c r="A10529" s="6"/>
      <c r="B10529" s="1"/>
      <c r="C10529" s="5"/>
      <c r="D10529" s="5"/>
      <c r="E10529" s="5"/>
      <c r="F10529" s="5"/>
      <c r="G10529" s="5"/>
      <c r="H10529" s="5"/>
      <c r="I10529" s="5"/>
      <c r="J10529" s="5"/>
      <c r="K10529" s="5"/>
      <c r="L10529" s="5"/>
    </row>
    <row r="10530" spans="1:12" ht="12" customHeight="1" x14ac:dyDescent="0.25">
      <c r="A10530" s="6"/>
      <c r="B10530" s="1"/>
      <c r="C10530" s="5"/>
      <c r="D10530" s="5"/>
      <c r="E10530" s="5"/>
      <c r="F10530" s="5"/>
      <c r="G10530" s="5"/>
      <c r="H10530" s="5"/>
      <c r="I10530" s="5"/>
      <c r="J10530" s="5"/>
      <c r="K10530" s="5"/>
      <c r="L10530" s="5"/>
    </row>
    <row r="10531" spans="1:12" ht="12" customHeight="1" x14ac:dyDescent="0.25">
      <c r="A10531" s="6"/>
      <c r="B10531" s="1"/>
      <c r="C10531" s="5"/>
      <c r="D10531" s="5"/>
      <c r="E10531" s="5"/>
      <c r="F10531" s="5"/>
      <c r="G10531" s="5"/>
      <c r="H10531" s="5"/>
      <c r="I10531" s="5"/>
      <c r="J10531" s="5"/>
      <c r="K10531" s="5"/>
      <c r="L10531" s="5"/>
    </row>
    <row r="10532" spans="1:12" ht="12" customHeight="1" x14ac:dyDescent="0.25">
      <c r="A10532" s="6"/>
      <c r="B10532" s="1"/>
      <c r="C10532" s="5"/>
      <c r="D10532" s="5"/>
      <c r="E10532" s="5"/>
      <c r="F10532" s="5"/>
      <c r="G10532" s="5"/>
      <c r="H10532" s="5"/>
      <c r="I10532" s="5"/>
      <c r="J10532" s="5"/>
      <c r="K10532" s="5"/>
      <c r="L10532" s="5"/>
    </row>
    <row r="10533" spans="1:12" ht="12" customHeight="1" x14ac:dyDescent="0.25">
      <c r="A10533" s="6"/>
      <c r="B10533" s="1"/>
      <c r="C10533" s="5"/>
      <c r="D10533" s="5"/>
      <c r="E10533" s="5"/>
      <c r="F10533" s="5"/>
      <c r="G10533" s="5"/>
      <c r="H10533" s="5"/>
      <c r="I10533" s="5"/>
      <c r="J10533" s="5"/>
      <c r="K10533" s="5"/>
      <c r="L10533" s="5"/>
    </row>
    <row r="10534" spans="1:12" ht="12" customHeight="1" x14ac:dyDescent="0.25">
      <c r="A10534" s="6"/>
      <c r="B10534" s="1"/>
      <c r="C10534" s="5"/>
      <c r="D10534" s="5"/>
      <c r="E10534" s="5"/>
      <c r="F10534" s="5"/>
      <c r="G10534" s="5"/>
      <c r="H10534" s="5"/>
      <c r="I10534" s="5"/>
      <c r="J10534" s="5"/>
      <c r="K10534" s="5"/>
      <c r="L10534" s="5"/>
    </row>
    <row r="10535" spans="1:12" ht="12" customHeight="1" x14ac:dyDescent="0.25">
      <c r="A10535" s="6"/>
      <c r="B10535" s="1"/>
      <c r="C10535" s="5"/>
      <c r="D10535" s="5"/>
      <c r="E10535" s="5"/>
      <c r="F10535" s="5"/>
      <c r="G10535" s="5"/>
      <c r="H10535" s="5"/>
      <c r="I10535" s="5"/>
      <c r="J10535" s="5"/>
      <c r="K10535" s="5"/>
      <c r="L10535" s="5"/>
    </row>
    <row r="10536" spans="1:12" ht="12" customHeight="1" x14ac:dyDescent="0.25">
      <c r="A10536" s="6"/>
      <c r="B10536" s="1"/>
      <c r="C10536" s="5"/>
      <c r="D10536" s="5"/>
      <c r="E10536" s="5"/>
      <c r="F10536" s="5"/>
      <c r="G10536" s="5"/>
      <c r="H10536" s="5"/>
      <c r="I10536" s="5"/>
      <c r="J10536" s="5"/>
      <c r="K10536" s="5"/>
      <c r="L10536" s="5"/>
    </row>
    <row r="10537" spans="1:12" ht="12" customHeight="1" x14ac:dyDescent="0.25">
      <c r="A10537" s="6"/>
      <c r="B10537" s="1"/>
      <c r="C10537" s="5"/>
      <c r="D10537" s="5"/>
      <c r="E10537" s="5"/>
      <c r="F10537" s="5"/>
      <c r="G10537" s="5"/>
      <c r="H10537" s="5"/>
      <c r="I10537" s="5"/>
      <c r="J10537" s="5"/>
      <c r="K10537" s="5"/>
      <c r="L10537" s="5"/>
    </row>
    <row r="10538" spans="1:12" ht="12" customHeight="1" x14ac:dyDescent="0.25">
      <c r="A10538" s="6"/>
      <c r="B10538" s="1"/>
      <c r="C10538" s="5"/>
      <c r="D10538" s="5"/>
      <c r="E10538" s="5"/>
      <c r="F10538" s="5"/>
      <c r="G10538" s="5"/>
      <c r="H10538" s="5"/>
      <c r="I10538" s="5"/>
      <c r="J10538" s="5"/>
      <c r="K10538" s="5"/>
      <c r="L10538" s="5"/>
    </row>
    <row r="10539" spans="1:12" ht="12" customHeight="1" x14ac:dyDescent="0.25">
      <c r="A10539" s="6"/>
      <c r="B10539" s="1"/>
      <c r="C10539" s="5"/>
      <c r="D10539" s="5"/>
      <c r="E10539" s="5"/>
      <c r="F10539" s="5"/>
      <c r="G10539" s="5"/>
      <c r="H10539" s="5"/>
      <c r="I10539" s="5"/>
      <c r="J10539" s="5"/>
      <c r="K10539" s="5"/>
      <c r="L10539" s="5"/>
    </row>
    <row r="10540" spans="1:12" ht="12" customHeight="1" x14ac:dyDescent="0.25">
      <c r="A10540" s="6"/>
      <c r="B10540" s="1"/>
      <c r="C10540" s="5"/>
      <c r="D10540" s="5"/>
      <c r="E10540" s="5"/>
      <c r="F10540" s="5"/>
      <c r="G10540" s="5"/>
      <c r="H10540" s="5"/>
      <c r="I10540" s="5"/>
      <c r="J10540" s="5"/>
      <c r="K10540" s="5"/>
      <c r="L10540" s="5"/>
    </row>
    <row r="10541" spans="1:12" ht="12" customHeight="1" x14ac:dyDescent="0.25">
      <c r="A10541" s="6"/>
      <c r="B10541" s="1"/>
      <c r="C10541" s="5"/>
      <c r="D10541" s="5"/>
      <c r="E10541" s="5"/>
      <c r="F10541" s="5"/>
      <c r="G10541" s="5"/>
      <c r="H10541" s="5"/>
      <c r="I10541" s="5"/>
      <c r="J10541" s="5"/>
      <c r="K10541" s="5"/>
      <c r="L10541" s="5"/>
    </row>
    <row r="10542" spans="1:12" ht="12" customHeight="1" x14ac:dyDescent="0.25">
      <c r="A10542" s="6"/>
      <c r="B10542" s="1"/>
      <c r="C10542" s="5"/>
      <c r="D10542" s="5"/>
      <c r="E10542" s="5"/>
      <c r="F10542" s="5"/>
      <c r="G10542" s="5"/>
      <c r="H10542" s="5"/>
      <c r="I10542" s="5"/>
      <c r="J10542" s="5"/>
      <c r="K10542" s="5"/>
      <c r="L10542" s="5"/>
    </row>
    <row r="10543" spans="1:12" ht="12" customHeight="1" x14ac:dyDescent="0.25">
      <c r="A10543" s="6"/>
      <c r="B10543" s="1"/>
      <c r="C10543" s="5"/>
      <c r="D10543" s="5"/>
      <c r="E10543" s="5"/>
      <c r="F10543" s="5"/>
      <c r="G10543" s="5"/>
      <c r="H10543" s="5"/>
      <c r="I10543" s="5"/>
      <c r="J10543" s="5"/>
      <c r="K10543" s="5"/>
      <c r="L10543" s="5"/>
    </row>
    <row r="10544" spans="1:12" ht="12" customHeight="1" x14ac:dyDescent="0.25">
      <c r="A10544" s="6"/>
      <c r="B10544" s="1"/>
      <c r="C10544" s="5"/>
      <c r="D10544" s="5"/>
      <c r="E10544" s="5"/>
      <c r="F10544" s="5"/>
      <c r="G10544" s="5"/>
      <c r="H10544" s="5"/>
      <c r="I10544" s="5"/>
      <c r="J10544" s="5"/>
      <c r="K10544" s="5"/>
      <c r="L10544" s="5"/>
    </row>
    <row r="10545" spans="1:12" ht="12" customHeight="1" x14ac:dyDescent="0.25">
      <c r="A10545" s="6"/>
      <c r="B10545" s="1"/>
      <c r="C10545" s="5"/>
      <c r="D10545" s="5"/>
      <c r="E10545" s="5"/>
      <c r="F10545" s="5"/>
      <c r="G10545" s="5"/>
      <c r="H10545" s="5"/>
      <c r="I10545" s="5"/>
      <c r="J10545" s="5"/>
      <c r="K10545" s="5"/>
      <c r="L10545" s="5"/>
    </row>
    <row r="10546" spans="1:12" ht="12" customHeight="1" x14ac:dyDescent="0.25">
      <c r="A10546" s="6"/>
      <c r="B10546" s="1"/>
      <c r="C10546" s="5"/>
      <c r="D10546" s="5"/>
      <c r="E10546" s="5"/>
      <c r="F10546" s="5"/>
      <c r="G10546" s="5"/>
      <c r="H10546" s="5"/>
      <c r="I10546" s="5"/>
      <c r="J10546" s="5"/>
      <c r="K10546" s="5"/>
      <c r="L10546" s="5"/>
    </row>
    <row r="10547" spans="1:12" ht="12" customHeight="1" x14ac:dyDescent="0.25">
      <c r="A10547" s="6"/>
      <c r="B10547" s="1"/>
      <c r="C10547" s="5"/>
      <c r="D10547" s="5"/>
      <c r="E10547" s="5"/>
      <c r="F10547" s="5"/>
      <c r="G10547" s="5"/>
      <c r="H10547" s="5"/>
      <c r="I10547" s="5"/>
      <c r="J10547" s="5"/>
      <c r="K10547" s="5"/>
      <c r="L10547" s="5"/>
    </row>
    <row r="10548" spans="1:12" ht="12" customHeight="1" x14ac:dyDescent="0.25">
      <c r="A10548" s="6"/>
      <c r="B10548" s="1"/>
      <c r="C10548" s="5"/>
      <c r="D10548" s="5"/>
      <c r="E10548" s="5"/>
      <c r="F10548" s="5"/>
      <c r="G10548" s="5"/>
      <c r="H10548" s="5"/>
      <c r="I10548" s="5"/>
      <c r="J10548" s="5"/>
      <c r="K10548" s="5"/>
      <c r="L10548" s="5"/>
    </row>
    <row r="10549" spans="1:12" ht="12" customHeight="1" x14ac:dyDescent="0.25">
      <c r="A10549" s="6"/>
      <c r="B10549" s="1"/>
      <c r="C10549" s="5"/>
      <c r="D10549" s="5"/>
      <c r="E10549" s="5"/>
      <c r="F10549" s="5"/>
      <c r="G10549" s="5"/>
      <c r="H10549" s="5"/>
      <c r="I10549" s="5"/>
      <c r="J10549" s="5"/>
      <c r="K10549" s="5"/>
      <c r="L10549" s="5"/>
    </row>
    <row r="10550" spans="1:12" ht="12" customHeight="1" x14ac:dyDescent="0.25">
      <c r="A10550" s="6"/>
      <c r="B10550" s="1"/>
      <c r="C10550" s="5"/>
      <c r="D10550" s="5"/>
      <c r="E10550" s="5"/>
      <c r="F10550" s="5"/>
      <c r="G10550" s="5"/>
      <c r="H10550" s="5"/>
      <c r="I10550" s="5"/>
      <c r="J10550" s="5"/>
      <c r="K10550" s="5"/>
      <c r="L10550" s="5"/>
    </row>
    <row r="10551" spans="1:12" ht="12" customHeight="1" x14ac:dyDescent="0.25">
      <c r="A10551" s="6"/>
      <c r="B10551" s="1"/>
      <c r="C10551" s="5"/>
      <c r="D10551" s="5"/>
      <c r="E10551" s="5"/>
      <c r="F10551" s="5"/>
      <c r="G10551" s="5"/>
      <c r="H10551" s="5"/>
      <c r="I10551" s="5"/>
      <c r="J10551" s="5"/>
      <c r="K10551" s="5"/>
      <c r="L10551" s="5"/>
    </row>
    <row r="10552" spans="1:12" ht="12" customHeight="1" x14ac:dyDescent="0.25">
      <c r="A10552" s="6"/>
      <c r="B10552" s="1"/>
      <c r="C10552" s="5"/>
      <c r="D10552" s="5"/>
      <c r="E10552" s="5"/>
      <c r="F10552" s="5"/>
      <c r="G10552" s="5"/>
      <c r="H10552" s="5"/>
      <c r="I10552" s="5"/>
      <c r="J10552" s="5"/>
      <c r="K10552" s="5"/>
      <c r="L10552" s="5"/>
    </row>
    <row r="10553" spans="1:12" ht="12" customHeight="1" x14ac:dyDescent="0.25">
      <c r="A10553" s="6"/>
      <c r="B10553" s="1"/>
      <c r="C10553" s="5"/>
      <c r="D10553" s="5"/>
      <c r="E10553" s="5"/>
      <c r="F10553" s="5"/>
      <c r="G10553" s="5"/>
      <c r="H10553" s="5"/>
      <c r="I10553" s="5"/>
      <c r="J10553" s="5"/>
      <c r="K10553" s="5"/>
      <c r="L10553" s="5"/>
    </row>
    <row r="10554" spans="1:12" ht="12" customHeight="1" x14ac:dyDescent="0.25">
      <c r="A10554" s="6"/>
      <c r="B10554" s="1"/>
      <c r="C10554" s="5"/>
      <c r="D10554" s="5"/>
      <c r="E10554" s="5"/>
      <c r="F10554" s="5"/>
      <c r="G10554" s="5"/>
      <c r="H10554" s="5"/>
      <c r="I10554" s="5"/>
      <c r="J10554" s="5"/>
      <c r="K10554" s="5"/>
      <c r="L10554" s="5"/>
    </row>
    <row r="10555" spans="1:12" ht="12" customHeight="1" x14ac:dyDescent="0.25">
      <c r="A10555" s="6"/>
      <c r="B10555" s="1"/>
      <c r="C10555" s="5"/>
      <c r="D10555" s="5"/>
      <c r="E10555" s="5"/>
      <c r="F10555" s="5"/>
      <c r="G10555" s="5"/>
      <c r="H10555" s="5"/>
      <c r="I10555" s="5"/>
      <c r="J10555" s="5"/>
      <c r="K10555" s="5"/>
      <c r="L10555" s="5"/>
    </row>
    <row r="10556" spans="1:12" ht="12" customHeight="1" x14ac:dyDescent="0.25">
      <c r="A10556" s="6"/>
      <c r="B10556" s="1"/>
      <c r="C10556" s="5"/>
      <c r="D10556" s="5"/>
      <c r="E10556" s="5"/>
      <c r="F10556" s="5"/>
      <c r="G10556" s="5"/>
      <c r="H10556" s="5"/>
      <c r="I10556" s="5"/>
      <c r="J10556" s="5"/>
      <c r="K10556" s="5"/>
      <c r="L10556" s="5"/>
    </row>
    <row r="10557" spans="1:12" ht="12" customHeight="1" x14ac:dyDescent="0.25">
      <c r="A10557" s="6"/>
      <c r="B10557" s="1"/>
      <c r="C10557" s="5"/>
      <c r="D10557" s="5"/>
      <c r="E10557" s="5"/>
      <c r="F10557" s="5"/>
      <c r="G10557" s="5"/>
      <c r="H10557" s="5"/>
      <c r="I10557" s="5"/>
      <c r="J10557" s="5"/>
      <c r="K10557" s="5"/>
      <c r="L10557" s="5"/>
    </row>
    <row r="10558" spans="1:12" ht="12" customHeight="1" x14ac:dyDescent="0.25">
      <c r="A10558" s="6"/>
      <c r="B10558" s="1"/>
      <c r="C10558" s="5"/>
      <c r="D10558" s="5"/>
      <c r="E10558" s="5"/>
      <c r="F10558" s="5"/>
      <c r="G10558" s="5"/>
      <c r="H10558" s="5"/>
      <c r="I10558" s="5"/>
      <c r="J10558" s="5"/>
      <c r="K10558" s="5"/>
      <c r="L10558" s="5"/>
    </row>
    <row r="10559" spans="1:12" ht="12" customHeight="1" x14ac:dyDescent="0.25">
      <c r="A10559" s="6"/>
      <c r="B10559" s="1"/>
      <c r="C10559" s="5"/>
      <c r="D10559" s="5"/>
      <c r="E10559" s="5"/>
      <c r="F10559" s="5"/>
      <c r="G10559" s="5"/>
      <c r="H10559" s="5"/>
      <c r="I10559" s="5"/>
      <c r="J10559" s="5"/>
      <c r="K10559" s="5"/>
      <c r="L10559" s="5"/>
    </row>
    <row r="10560" spans="1:12" ht="12" customHeight="1" x14ac:dyDescent="0.25">
      <c r="A10560" s="6"/>
      <c r="B10560" s="1"/>
      <c r="C10560" s="5"/>
      <c r="D10560" s="5"/>
      <c r="E10560" s="5"/>
      <c r="F10560" s="5"/>
      <c r="G10560" s="5"/>
      <c r="H10560" s="5"/>
      <c r="I10560" s="5"/>
      <c r="J10560" s="5"/>
      <c r="K10560" s="5"/>
      <c r="L10560" s="5"/>
    </row>
    <row r="10561" spans="1:12" ht="12" customHeight="1" x14ac:dyDescent="0.25">
      <c r="A10561" s="6"/>
      <c r="B10561" s="1"/>
      <c r="C10561" s="5"/>
      <c r="D10561" s="5"/>
      <c r="E10561" s="5"/>
      <c r="F10561" s="5"/>
      <c r="G10561" s="5"/>
      <c r="H10561" s="5"/>
      <c r="I10561" s="5"/>
      <c r="J10561" s="5"/>
      <c r="K10561" s="5"/>
      <c r="L10561" s="5"/>
    </row>
    <row r="10562" spans="1:12" ht="12" customHeight="1" x14ac:dyDescent="0.25">
      <c r="A10562" s="6"/>
      <c r="B10562" s="1"/>
      <c r="C10562" s="5"/>
      <c r="D10562" s="5"/>
      <c r="E10562" s="5"/>
      <c r="F10562" s="5"/>
      <c r="G10562" s="5"/>
      <c r="H10562" s="5"/>
      <c r="I10562" s="5"/>
      <c r="J10562" s="5"/>
      <c r="K10562" s="5"/>
      <c r="L10562" s="5"/>
    </row>
    <row r="10563" spans="1:12" ht="12" customHeight="1" x14ac:dyDescent="0.25">
      <c r="A10563" s="6"/>
      <c r="B10563" s="1"/>
      <c r="C10563" s="5"/>
      <c r="D10563" s="5"/>
      <c r="E10563" s="5"/>
      <c r="F10563" s="5"/>
      <c r="G10563" s="5"/>
      <c r="H10563" s="5"/>
      <c r="I10563" s="5"/>
      <c r="J10563" s="5"/>
      <c r="K10563" s="5"/>
      <c r="L10563" s="5"/>
    </row>
    <row r="10564" spans="1:12" ht="12" customHeight="1" x14ac:dyDescent="0.25">
      <c r="A10564" s="6"/>
      <c r="B10564" s="1"/>
      <c r="C10564" s="5"/>
      <c r="D10564" s="5"/>
      <c r="E10564" s="5"/>
      <c r="F10564" s="5"/>
      <c r="G10564" s="5"/>
      <c r="H10564" s="5"/>
      <c r="I10564" s="5"/>
      <c r="J10564" s="5"/>
      <c r="K10564" s="5"/>
      <c r="L10564" s="5"/>
    </row>
    <row r="10565" spans="1:12" ht="12" customHeight="1" x14ac:dyDescent="0.25">
      <c r="A10565" s="6"/>
      <c r="B10565" s="1"/>
      <c r="C10565" s="5"/>
      <c r="D10565" s="5"/>
      <c r="E10565" s="5"/>
      <c r="F10565" s="5"/>
      <c r="G10565" s="5"/>
      <c r="H10565" s="5"/>
      <c r="I10565" s="5"/>
      <c r="J10565" s="5"/>
      <c r="K10565" s="5"/>
      <c r="L10565" s="5"/>
    </row>
    <row r="10566" spans="1:12" ht="12" customHeight="1" x14ac:dyDescent="0.25">
      <c r="A10566" s="6"/>
      <c r="B10566" s="1"/>
      <c r="C10566" s="5"/>
      <c r="D10566" s="5"/>
      <c r="E10566" s="5"/>
      <c r="F10566" s="5"/>
      <c r="G10566" s="5"/>
      <c r="H10566" s="5"/>
      <c r="I10566" s="5"/>
      <c r="J10566" s="5"/>
      <c r="K10566" s="5"/>
      <c r="L10566" s="5"/>
    </row>
    <row r="10567" spans="1:12" ht="12" customHeight="1" x14ac:dyDescent="0.25">
      <c r="A10567" s="6"/>
      <c r="B10567" s="1"/>
      <c r="C10567" s="5"/>
      <c r="D10567" s="5"/>
      <c r="E10567" s="5"/>
      <c r="F10567" s="5"/>
      <c r="G10567" s="5"/>
      <c r="H10567" s="5"/>
      <c r="I10567" s="5"/>
      <c r="J10567" s="5"/>
      <c r="K10567" s="5"/>
      <c r="L10567" s="5"/>
    </row>
    <row r="10568" spans="1:12" ht="12" customHeight="1" x14ac:dyDescent="0.25">
      <c r="A10568" s="6"/>
      <c r="B10568" s="1"/>
      <c r="C10568" s="5"/>
      <c r="D10568" s="5"/>
      <c r="E10568" s="5"/>
      <c r="F10568" s="5"/>
      <c r="G10568" s="5"/>
      <c r="H10568" s="5"/>
      <c r="I10568" s="5"/>
      <c r="J10568" s="5"/>
      <c r="K10568" s="5"/>
      <c r="L10568" s="5"/>
    </row>
    <row r="10569" spans="1:12" ht="12" customHeight="1" x14ac:dyDescent="0.25">
      <c r="A10569" s="6"/>
      <c r="B10569" s="1"/>
      <c r="C10569" s="5"/>
      <c r="D10569" s="5"/>
      <c r="E10569" s="5"/>
      <c r="F10569" s="5"/>
      <c r="G10569" s="5"/>
      <c r="H10569" s="5"/>
      <c r="I10569" s="5"/>
      <c r="J10569" s="5"/>
      <c r="K10569" s="5"/>
      <c r="L10569" s="5"/>
    </row>
    <row r="10570" spans="1:12" ht="12" customHeight="1" x14ac:dyDescent="0.25">
      <c r="A10570" s="6"/>
      <c r="B10570" s="1"/>
      <c r="C10570" s="5"/>
      <c r="D10570" s="5"/>
      <c r="E10570" s="5"/>
      <c r="F10570" s="5"/>
      <c r="G10570" s="5"/>
      <c r="H10570" s="5"/>
      <c r="I10570" s="5"/>
      <c r="J10570" s="5"/>
      <c r="K10570" s="5"/>
      <c r="L10570" s="5"/>
    </row>
    <row r="10571" spans="1:12" ht="12" customHeight="1" x14ac:dyDescent="0.25">
      <c r="A10571" s="6"/>
      <c r="B10571" s="1"/>
      <c r="C10571" s="5"/>
      <c r="D10571" s="5"/>
      <c r="E10571" s="5"/>
      <c r="F10571" s="5"/>
      <c r="G10571" s="5"/>
      <c r="H10571" s="5"/>
      <c r="I10571" s="5"/>
      <c r="J10571" s="5"/>
      <c r="K10571" s="5"/>
      <c r="L10571" s="5"/>
    </row>
    <row r="10572" spans="1:12" ht="12" customHeight="1" x14ac:dyDescent="0.25">
      <c r="A10572" s="6"/>
      <c r="B10572" s="1"/>
      <c r="C10572" s="5"/>
      <c r="D10572" s="5"/>
      <c r="E10572" s="5"/>
      <c r="F10572" s="5"/>
      <c r="G10572" s="5"/>
      <c r="H10572" s="5"/>
      <c r="I10572" s="5"/>
      <c r="J10572" s="5"/>
      <c r="K10572" s="5"/>
      <c r="L10572" s="5"/>
    </row>
    <row r="10573" spans="1:12" ht="12" customHeight="1" x14ac:dyDescent="0.25">
      <c r="A10573" s="6"/>
      <c r="B10573" s="1"/>
      <c r="C10573" s="5"/>
      <c r="D10573" s="5"/>
      <c r="E10573" s="5"/>
      <c r="F10573" s="5"/>
      <c r="G10573" s="5"/>
      <c r="H10573" s="5"/>
      <c r="I10573" s="5"/>
      <c r="J10573" s="5"/>
      <c r="K10573" s="5"/>
      <c r="L10573" s="5"/>
    </row>
    <row r="10574" spans="1:12" ht="12" customHeight="1" x14ac:dyDescent="0.25">
      <c r="A10574" s="6"/>
      <c r="B10574" s="1"/>
      <c r="C10574" s="5"/>
      <c r="D10574" s="5"/>
      <c r="E10574" s="5"/>
      <c r="F10574" s="5"/>
      <c r="G10574" s="5"/>
      <c r="H10574" s="5"/>
      <c r="I10574" s="5"/>
      <c r="J10574" s="5"/>
      <c r="K10574" s="5"/>
      <c r="L10574" s="5"/>
    </row>
    <row r="10575" spans="1:12" ht="12" customHeight="1" x14ac:dyDescent="0.25">
      <c r="A10575" s="6"/>
      <c r="B10575" s="1"/>
      <c r="C10575" s="5"/>
      <c r="D10575" s="5"/>
      <c r="E10575" s="5"/>
      <c r="F10575" s="5"/>
      <c r="G10575" s="5"/>
      <c r="H10575" s="5"/>
      <c r="I10575" s="5"/>
      <c r="J10575" s="5"/>
      <c r="K10575" s="5"/>
      <c r="L10575" s="5"/>
    </row>
    <row r="10576" spans="1:12" ht="12" customHeight="1" x14ac:dyDescent="0.25">
      <c r="A10576" s="6"/>
      <c r="B10576" s="1"/>
      <c r="C10576" s="5"/>
      <c r="D10576" s="5"/>
      <c r="E10576" s="5"/>
      <c r="F10576" s="5"/>
      <c r="G10576" s="5"/>
      <c r="H10576" s="5"/>
      <c r="I10576" s="5"/>
      <c r="J10576" s="5"/>
      <c r="K10576" s="5"/>
      <c r="L10576" s="5"/>
    </row>
    <row r="10577" spans="1:12" ht="12" customHeight="1" x14ac:dyDescent="0.25">
      <c r="A10577" s="6"/>
      <c r="B10577" s="1"/>
      <c r="C10577" s="5"/>
      <c r="D10577" s="5"/>
      <c r="E10577" s="5"/>
      <c r="F10577" s="5"/>
      <c r="G10577" s="5"/>
      <c r="H10577" s="5"/>
      <c r="I10577" s="5"/>
      <c r="J10577" s="5"/>
      <c r="K10577" s="5"/>
      <c r="L10577" s="5"/>
    </row>
    <row r="10578" spans="1:12" ht="12" customHeight="1" x14ac:dyDescent="0.25">
      <c r="A10578" s="6"/>
      <c r="B10578" s="1"/>
      <c r="C10578" s="5"/>
      <c r="D10578" s="5"/>
      <c r="E10578" s="5"/>
      <c r="F10578" s="5"/>
      <c r="G10578" s="5"/>
      <c r="H10578" s="5"/>
      <c r="I10578" s="5"/>
      <c r="J10578" s="5"/>
      <c r="K10578" s="5"/>
      <c r="L10578" s="5"/>
    </row>
    <row r="10579" spans="1:12" ht="12" customHeight="1" x14ac:dyDescent="0.25">
      <c r="A10579" s="6"/>
      <c r="B10579" s="1"/>
      <c r="C10579" s="5"/>
      <c r="D10579" s="5"/>
      <c r="E10579" s="5"/>
      <c r="F10579" s="5"/>
      <c r="G10579" s="5"/>
      <c r="H10579" s="5"/>
      <c r="I10579" s="5"/>
      <c r="J10579" s="5"/>
      <c r="K10579" s="5"/>
      <c r="L10579" s="5"/>
    </row>
    <row r="10580" spans="1:12" ht="12" customHeight="1" x14ac:dyDescent="0.25">
      <c r="A10580" s="6"/>
      <c r="B10580" s="1"/>
      <c r="C10580" s="5"/>
      <c r="D10580" s="5"/>
      <c r="E10580" s="5"/>
      <c r="F10580" s="5"/>
      <c r="G10580" s="5"/>
      <c r="H10580" s="5"/>
      <c r="I10580" s="5"/>
      <c r="J10580" s="5"/>
      <c r="K10580" s="5"/>
      <c r="L10580" s="5"/>
    </row>
    <row r="10581" spans="1:12" ht="12" customHeight="1" x14ac:dyDescent="0.25">
      <c r="A10581" s="6"/>
      <c r="B10581" s="1"/>
      <c r="C10581" s="5"/>
      <c r="D10581" s="5"/>
      <c r="E10581" s="5"/>
      <c r="F10581" s="5"/>
      <c r="G10581" s="5"/>
      <c r="H10581" s="5"/>
      <c r="I10581" s="5"/>
      <c r="J10581" s="5"/>
      <c r="K10581" s="5"/>
      <c r="L10581" s="5"/>
    </row>
    <row r="10582" spans="1:12" ht="12" customHeight="1" x14ac:dyDescent="0.25">
      <c r="A10582" s="6"/>
      <c r="B10582" s="1"/>
      <c r="C10582" s="5"/>
      <c r="D10582" s="5"/>
      <c r="E10582" s="5"/>
      <c r="F10582" s="5"/>
      <c r="G10582" s="5"/>
      <c r="H10582" s="5"/>
      <c r="I10582" s="5"/>
      <c r="J10582" s="5"/>
      <c r="K10582" s="5"/>
      <c r="L10582" s="5"/>
    </row>
    <row r="10583" spans="1:12" ht="12" customHeight="1" x14ac:dyDescent="0.25">
      <c r="A10583" s="6"/>
      <c r="B10583" s="1"/>
      <c r="C10583" s="5"/>
      <c r="D10583" s="5"/>
      <c r="E10583" s="5"/>
      <c r="F10583" s="5"/>
      <c r="G10583" s="5"/>
      <c r="H10583" s="5"/>
      <c r="I10583" s="5"/>
      <c r="J10583" s="5"/>
      <c r="K10583" s="5"/>
      <c r="L10583" s="5"/>
    </row>
    <row r="10584" spans="1:12" ht="12" customHeight="1" x14ac:dyDescent="0.25">
      <c r="A10584" s="6"/>
      <c r="B10584" s="1"/>
      <c r="C10584" s="5"/>
      <c r="D10584" s="5"/>
      <c r="E10584" s="5"/>
      <c r="F10584" s="5"/>
      <c r="G10584" s="5"/>
      <c r="H10584" s="5"/>
      <c r="I10584" s="5"/>
      <c r="J10584" s="5"/>
      <c r="K10584" s="5"/>
      <c r="L10584" s="5"/>
    </row>
    <row r="10585" spans="1:12" ht="12" customHeight="1" x14ac:dyDescent="0.25">
      <c r="A10585" s="6"/>
      <c r="B10585" s="1"/>
      <c r="C10585" s="5"/>
      <c r="D10585" s="5"/>
      <c r="E10585" s="5"/>
      <c r="F10585" s="5"/>
      <c r="G10585" s="5"/>
      <c r="H10585" s="5"/>
      <c r="I10585" s="5"/>
      <c r="J10585" s="5"/>
      <c r="K10585" s="5"/>
      <c r="L10585" s="5"/>
    </row>
    <row r="10586" spans="1:12" ht="12" customHeight="1" x14ac:dyDescent="0.25">
      <c r="A10586" s="6"/>
      <c r="B10586" s="1"/>
      <c r="C10586" s="5"/>
      <c r="D10586" s="5"/>
      <c r="E10586" s="5"/>
      <c r="F10586" s="5"/>
      <c r="G10586" s="5"/>
      <c r="H10586" s="5"/>
      <c r="I10586" s="5"/>
      <c r="J10586" s="5"/>
      <c r="K10586" s="5"/>
      <c r="L10586" s="5"/>
    </row>
    <row r="10587" spans="1:12" ht="12" customHeight="1" x14ac:dyDescent="0.25">
      <c r="A10587" s="6"/>
      <c r="B10587" s="1"/>
      <c r="C10587" s="5"/>
      <c r="D10587" s="5"/>
      <c r="E10587" s="5"/>
      <c r="F10587" s="5"/>
      <c r="G10587" s="5"/>
      <c r="H10587" s="5"/>
      <c r="I10587" s="5"/>
      <c r="J10587" s="5"/>
      <c r="K10587" s="5"/>
      <c r="L10587" s="5"/>
    </row>
    <row r="10588" spans="1:12" ht="12" customHeight="1" x14ac:dyDescent="0.25">
      <c r="A10588" s="6"/>
      <c r="B10588" s="1"/>
      <c r="C10588" s="5"/>
      <c r="D10588" s="5"/>
      <c r="E10588" s="5"/>
      <c r="F10588" s="5"/>
      <c r="G10588" s="5"/>
      <c r="H10588" s="5"/>
      <c r="I10588" s="5"/>
      <c r="J10588" s="5"/>
      <c r="K10588" s="5"/>
      <c r="L10588" s="5"/>
    </row>
    <row r="10589" spans="1:12" ht="12" customHeight="1" x14ac:dyDescent="0.25">
      <c r="A10589" s="6"/>
      <c r="B10589" s="1"/>
      <c r="C10589" s="5"/>
      <c r="D10589" s="5"/>
      <c r="E10589" s="5"/>
      <c r="F10589" s="5"/>
      <c r="G10589" s="5"/>
      <c r="H10589" s="5"/>
      <c r="I10589" s="5"/>
      <c r="J10589" s="5"/>
      <c r="K10589" s="5"/>
      <c r="L10589" s="5"/>
    </row>
    <row r="10590" spans="1:12" ht="12" customHeight="1" x14ac:dyDescent="0.25">
      <c r="A10590" s="6"/>
      <c r="B10590" s="1"/>
      <c r="C10590" s="5"/>
      <c r="D10590" s="5"/>
      <c r="E10590" s="5"/>
      <c r="F10590" s="5"/>
      <c r="G10590" s="5"/>
      <c r="H10590" s="5"/>
      <c r="I10590" s="5"/>
      <c r="J10590" s="5"/>
      <c r="K10590" s="5"/>
      <c r="L10590" s="5"/>
    </row>
    <row r="10591" spans="1:12" ht="12" customHeight="1" x14ac:dyDescent="0.25">
      <c r="A10591" s="6"/>
      <c r="B10591" s="1"/>
      <c r="C10591" s="5"/>
      <c r="D10591" s="5"/>
      <c r="E10591" s="5"/>
      <c r="F10591" s="5"/>
      <c r="G10591" s="5"/>
      <c r="H10591" s="5"/>
      <c r="I10591" s="5"/>
      <c r="J10591" s="5"/>
      <c r="K10591" s="5"/>
      <c r="L10591" s="5"/>
    </row>
    <row r="10592" spans="1:12" ht="12" customHeight="1" x14ac:dyDescent="0.25">
      <c r="A10592" s="6"/>
      <c r="B10592" s="1"/>
      <c r="C10592" s="5"/>
      <c r="D10592" s="5"/>
      <c r="E10592" s="5"/>
      <c r="F10592" s="5"/>
      <c r="G10592" s="5"/>
      <c r="H10592" s="5"/>
      <c r="I10592" s="5"/>
      <c r="J10592" s="5"/>
      <c r="K10592" s="5"/>
      <c r="L10592" s="5"/>
    </row>
    <row r="10593" spans="1:12" ht="12" customHeight="1" x14ac:dyDescent="0.25">
      <c r="A10593" s="6"/>
      <c r="B10593" s="1"/>
      <c r="C10593" s="5"/>
      <c r="D10593" s="5"/>
      <c r="E10593" s="5"/>
      <c r="F10593" s="5"/>
      <c r="G10593" s="5"/>
      <c r="H10593" s="5"/>
      <c r="I10593" s="5"/>
      <c r="J10593" s="5"/>
      <c r="K10593" s="5"/>
      <c r="L10593" s="5"/>
    </row>
    <row r="10594" spans="1:12" ht="12" customHeight="1" x14ac:dyDescent="0.25">
      <c r="A10594" s="6"/>
      <c r="B10594" s="1"/>
      <c r="C10594" s="5"/>
      <c r="D10594" s="5"/>
      <c r="E10594" s="5"/>
      <c r="F10594" s="5"/>
      <c r="G10594" s="5"/>
      <c r="H10594" s="5"/>
      <c r="I10594" s="5"/>
      <c r="J10594" s="5"/>
      <c r="K10594" s="5"/>
      <c r="L10594" s="5"/>
    </row>
    <row r="10595" spans="1:12" ht="12" customHeight="1" x14ac:dyDescent="0.25">
      <c r="A10595" s="6"/>
      <c r="B10595" s="1"/>
      <c r="C10595" s="5"/>
      <c r="D10595" s="5"/>
      <c r="E10595" s="5"/>
      <c r="F10595" s="5"/>
      <c r="G10595" s="5"/>
      <c r="H10595" s="5"/>
      <c r="I10595" s="5"/>
      <c r="J10595" s="5"/>
      <c r="K10595" s="5"/>
      <c r="L10595" s="5"/>
    </row>
    <row r="10596" spans="1:12" ht="12" customHeight="1" x14ac:dyDescent="0.25">
      <c r="A10596" s="6"/>
      <c r="B10596" s="1"/>
      <c r="C10596" s="5"/>
      <c r="D10596" s="5"/>
      <c r="E10596" s="5"/>
      <c r="F10596" s="5"/>
      <c r="G10596" s="5"/>
      <c r="H10596" s="5"/>
      <c r="I10596" s="5"/>
      <c r="J10596" s="5"/>
      <c r="K10596" s="5"/>
      <c r="L10596" s="5"/>
    </row>
    <row r="10597" spans="1:12" ht="12" customHeight="1" x14ac:dyDescent="0.25">
      <c r="A10597" s="6"/>
      <c r="B10597" s="1"/>
      <c r="C10597" s="5"/>
      <c r="D10597" s="5"/>
      <c r="E10597" s="5"/>
      <c r="F10597" s="5"/>
      <c r="G10597" s="5"/>
      <c r="H10597" s="5"/>
      <c r="I10597" s="5"/>
      <c r="J10597" s="5"/>
      <c r="K10597" s="5"/>
      <c r="L10597" s="5"/>
    </row>
    <row r="10598" spans="1:12" ht="12" customHeight="1" x14ac:dyDescent="0.25">
      <c r="A10598" s="6"/>
      <c r="B10598" s="1"/>
      <c r="C10598" s="5"/>
      <c r="D10598" s="5"/>
      <c r="E10598" s="5"/>
      <c r="F10598" s="5"/>
      <c r="G10598" s="5"/>
      <c r="H10598" s="5"/>
      <c r="I10598" s="5"/>
      <c r="J10598" s="5"/>
      <c r="K10598" s="5"/>
      <c r="L10598" s="5"/>
    </row>
    <row r="10599" spans="1:12" ht="12" customHeight="1" x14ac:dyDescent="0.25">
      <c r="A10599" s="6"/>
      <c r="B10599" s="1"/>
      <c r="C10599" s="5"/>
      <c r="D10599" s="5"/>
      <c r="E10599" s="5"/>
      <c r="F10599" s="5"/>
      <c r="G10599" s="5"/>
      <c r="H10599" s="5"/>
      <c r="I10599" s="5"/>
      <c r="J10599" s="5"/>
      <c r="K10599" s="5"/>
      <c r="L10599" s="5"/>
    </row>
    <row r="10600" spans="1:12" ht="12" customHeight="1" x14ac:dyDescent="0.25">
      <c r="A10600" s="6"/>
      <c r="B10600" s="1"/>
      <c r="C10600" s="5"/>
      <c r="D10600" s="5"/>
      <c r="E10600" s="5"/>
      <c r="F10600" s="5"/>
      <c r="G10600" s="5"/>
      <c r="H10600" s="5"/>
      <c r="I10600" s="5"/>
      <c r="J10600" s="5"/>
      <c r="K10600" s="5"/>
      <c r="L10600" s="5"/>
    </row>
    <row r="10601" spans="1:12" ht="12" customHeight="1" x14ac:dyDescent="0.25">
      <c r="A10601" s="6"/>
      <c r="B10601" s="1"/>
      <c r="C10601" s="5"/>
      <c r="D10601" s="5"/>
      <c r="E10601" s="5"/>
      <c r="F10601" s="5"/>
      <c r="G10601" s="5"/>
      <c r="H10601" s="5"/>
      <c r="I10601" s="5"/>
      <c r="J10601" s="5"/>
      <c r="K10601" s="5"/>
      <c r="L10601" s="5"/>
    </row>
    <row r="10602" spans="1:12" ht="12" customHeight="1" x14ac:dyDescent="0.25">
      <c r="A10602" s="6"/>
      <c r="B10602" s="1"/>
      <c r="C10602" s="5"/>
      <c r="D10602" s="5"/>
      <c r="E10602" s="5"/>
      <c r="F10602" s="5"/>
      <c r="G10602" s="5"/>
      <c r="H10602" s="5"/>
      <c r="I10602" s="5"/>
      <c r="J10602" s="5"/>
      <c r="K10602" s="5"/>
      <c r="L10602" s="5"/>
    </row>
    <row r="10603" spans="1:12" ht="12" customHeight="1" x14ac:dyDescent="0.25">
      <c r="A10603" s="6"/>
      <c r="B10603" s="1"/>
      <c r="C10603" s="5"/>
      <c r="D10603" s="5"/>
      <c r="E10603" s="5"/>
      <c r="F10603" s="5"/>
      <c r="G10603" s="5"/>
      <c r="H10603" s="5"/>
      <c r="I10603" s="5"/>
      <c r="J10603" s="5"/>
      <c r="K10603" s="5"/>
      <c r="L10603" s="5"/>
    </row>
    <row r="10604" spans="1:12" ht="12" customHeight="1" x14ac:dyDescent="0.25">
      <c r="A10604" s="6"/>
      <c r="B10604" s="1"/>
      <c r="C10604" s="5"/>
      <c r="D10604" s="5"/>
      <c r="E10604" s="5"/>
      <c r="F10604" s="5"/>
      <c r="G10604" s="5"/>
      <c r="H10604" s="5"/>
      <c r="I10604" s="5"/>
      <c r="J10604" s="5"/>
      <c r="K10604" s="5"/>
      <c r="L10604" s="5"/>
    </row>
    <row r="10605" spans="1:12" ht="12" customHeight="1" x14ac:dyDescent="0.25">
      <c r="A10605" s="6"/>
      <c r="B10605" s="1"/>
      <c r="C10605" s="5"/>
      <c r="D10605" s="5"/>
      <c r="E10605" s="5"/>
      <c r="F10605" s="5"/>
      <c r="G10605" s="5"/>
      <c r="H10605" s="5"/>
      <c r="I10605" s="5"/>
      <c r="J10605" s="5"/>
      <c r="K10605" s="5"/>
      <c r="L10605" s="5"/>
    </row>
    <row r="10606" spans="1:12" ht="12" customHeight="1" x14ac:dyDescent="0.25">
      <c r="A10606" s="6"/>
      <c r="B10606" s="1"/>
      <c r="C10606" s="5"/>
      <c r="D10606" s="5"/>
      <c r="E10606" s="5"/>
      <c r="F10606" s="5"/>
      <c r="G10606" s="5"/>
      <c r="H10606" s="5"/>
      <c r="I10606" s="5"/>
      <c r="J10606" s="5"/>
      <c r="K10606" s="5"/>
      <c r="L10606" s="5"/>
    </row>
    <row r="10607" spans="1:12" ht="12" customHeight="1" x14ac:dyDescent="0.25">
      <c r="A10607" s="6"/>
      <c r="B10607" s="1"/>
      <c r="C10607" s="5"/>
      <c r="D10607" s="5"/>
      <c r="E10607" s="5"/>
      <c r="F10607" s="5"/>
      <c r="G10607" s="5"/>
      <c r="H10607" s="5"/>
      <c r="I10607" s="5"/>
      <c r="J10607" s="5"/>
      <c r="K10607" s="5"/>
      <c r="L10607" s="5"/>
    </row>
    <row r="10608" spans="1:12" ht="12" customHeight="1" x14ac:dyDescent="0.25">
      <c r="A10608" s="6"/>
      <c r="B10608" s="1"/>
      <c r="C10608" s="5"/>
      <c r="D10608" s="5"/>
      <c r="E10608" s="5"/>
      <c r="F10608" s="5"/>
      <c r="G10608" s="5"/>
      <c r="H10608" s="5"/>
      <c r="I10608" s="5"/>
      <c r="J10608" s="5"/>
      <c r="K10608" s="5"/>
      <c r="L10608" s="5"/>
    </row>
    <row r="10609" spans="1:12" ht="12" customHeight="1" x14ac:dyDescent="0.25">
      <c r="A10609" s="6"/>
      <c r="B10609" s="1"/>
      <c r="C10609" s="5"/>
      <c r="D10609" s="5"/>
      <c r="E10609" s="5"/>
      <c r="F10609" s="5"/>
      <c r="G10609" s="5"/>
      <c r="H10609" s="5"/>
      <c r="I10609" s="5"/>
      <c r="J10609" s="5"/>
      <c r="K10609" s="5"/>
      <c r="L10609" s="5"/>
    </row>
    <row r="10610" spans="1:12" ht="12" customHeight="1" x14ac:dyDescent="0.25">
      <c r="A10610" s="6"/>
      <c r="B10610" s="1"/>
      <c r="C10610" s="5"/>
      <c r="D10610" s="5"/>
      <c r="E10610" s="5"/>
      <c r="F10610" s="5"/>
      <c r="G10610" s="5"/>
      <c r="H10610" s="5"/>
      <c r="I10610" s="5"/>
      <c r="J10610" s="5"/>
      <c r="K10610" s="5"/>
      <c r="L10610" s="5"/>
    </row>
    <row r="10611" spans="1:12" ht="12" customHeight="1" x14ac:dyDescent="0.25">
      <c r="A10611" s="6"/>
      <c r="B10611" s="1"/>
      <c r="C10611" s="5"/>
      <c r="D10611" s="5"/>
      <c r="E10611" s="5"/>
      <c r="F10611" s="5"/>
      <c r="G10611" s="5"/>
      <c r="H10611" s="5"/>
      <c r="I10611" s="5"/>
      <c r="J10611" s="5"/>
      <c r="K10611" s="5"/>
      <c r="L10611" s="5"/>
    </row>
    <row r="10612" spans="1:12" ht="12" customHeight="1" x14ac:dyDescent="0.25">
      <c r="A10612" s="6"/>
      <c r="B10612" s="1"/>
      <c r="C10612" s="5"/>
      <c r="D10612" s="5"/>
      <c r="E10612" s="5"/>
      <c r="F10612" s="5"/>
      <c r="G10612" s="5"/>
      <c r="H10612" s="5"/>
      <c r="I10612" s="5"/>
      <c r="J10612" s="5"/>
      <c r="K10612" s="5"/>
      <c r="L10612" s="5"/>
    </row>
    <row r="10613" spans="1:12" ht="12" customHeight="1" x14ac:dyDescent="0.25">
      <c r="A10613" s="6"/>
      <c r="B10613" s="1"/>
      <c r="C10613" s="5"/>
      <c r="D10613" s="5"/>
      <c r="E10613" s="5"/>
      <c r="F10613" s="5"/>
      <c r="G10613" s="5"/>
      <c r="H10613" s="5"/>
      <c r="I10613" s="5"/>
      <c r="J10613" s="5"/>
      <c r="K10613" s="5"/>
      <c r="L10613" s="5"/>
    </row>
    <row r="10614" spans="1:12" ht="12" customHeight="1" x14ac:dyDescent="0.25">
      <c r="A10614" s="6"/>
      <c r="B10614" s="1"/>
      <c r="C10614" s="5"/>
      <c r="D10614" s="5"/>
      <c r="E10614" s="5"/>
      <c r="F10614" s="5"/>
      <c r="G10614" s="5"/>
      <c r="H10614" s="5"/>
      <c r="I10614" s="5"/>
      <c r="J10614" s="5"/>
      <c r="K10614" s="5"/>
      <c r="L10614" s="5"/>
    </row>
    <row r="10615" spans="1:12" ht="12" customHeight="1" x14ac:dyDescent="0.25">
      <c r="A10615" s="6"/>
      <c r="B10615" s="1"/>
      <c r="C10615" s="5"/>
      <c r="D10615" s="5"/>
      <c r="E10615" s="5"/>
      <c r="F10615" s="5"/>
      <c r="G10615" s="5"/>
      <c r="H10615" s="5"/>
      <c r="I10615" s="5"/>
      <c r="J10615" s="5"/>
      <c r="K10615" s="5"/>
      <c r="L10615" s="5"/>
    </row>
    <row r="10616" spans="1:12" ht="12" customHeight="1" x14ac:dyDescent="0.25">
      <c r="A10616" s="6"/>
      <c r="B10616" s="1"/>
      <c r="C10616" s="5"/>
      <c r="D10616" s="5"/>
      <c r="E10616" s="5"/>
      <c r="F10616" s="5"/>
      <c r="G10616" s="5"/>
      <c r="H10616" s="5"/>
      <c r="I10616" s="5"/>
      <c r="J10616" s="5"/>
      <c r="K10616" s="5"/>
      <c r="L10616" s="5"/>
    </row>
    <row r="10617" spans="1:12" ht="12" customHeight="1" x14ac:dyDescent="0.25">
      <c r="A10617" s="6"/>
      <c r="B10617" s="1"/>
      <c r="C10617" s="5"/>
      <c r="D10617" s="5"/>
      <c r="E10617" s="5"/>
      <c r="F10617" s="5"/>
      <c r="G10617" s="5"/>
      <c r="H10617" s="5"/>
      <c r="I10617" s="5"/>
      <c r="J10617" s="5"/>
      <c r="K10617" s="5"/>
      <c r="L10617" s="5"/>
    </row>
    <row r="10618" spans="1:12" ht="12" customHeight="1" x14ac:dyDescent="0.25">
      <c r="A10618" s="6"/>
      <c r="B10618" s="1"/>
      <c r="C10618" s="5"/>
      <c r="D10618" s="5"/>
      <c r="E10618" s="5"/>
      <c r="F10618" s="5"/>
      <c r="G10618" s="5"/>
      <c r="H10618" s="5"/>
      <c r="I10618" s="5"/>
      <c r="J10618" s="5"/>
      <c r="K10618" s="5"/>
      <c r="L10618" s="5"/>
    </row>
    <row r="10619" spans="1:12" ht="12" customHeight="1" x14ac:dyDescent="0.25">
      <c r="A10619" s="6"/>
      <c r="B10619" s="1"/>
      <c r="C10619" s="5"/>
      <c r="D10619" s="5"/>
      <c r="E10619" s="5"/>
      <c r="F10619" s="5"/>
      <c r="G10619" s="5"/>
      <c r="H10619" s="5"/>
      <c r="I10619" s="5"/>
      <c r="J10619" s="5"/>
      <c r="K10619" s="5"/>
      <c r="L10619" s="5"/>
    </row>
    <row r="10620" spans="1:12" ht="12" customHeight="1" x14ac:dyDescent="0.25">
      <c r="A10620" s="6"/>
      <c r="B10620" s="1"/>
      <c r="C10620" s="5"/>
      <c r="D10620" s="5"/>
      <c r="E10620" s="5"/>
      <c r="F10620" s="5"/>
      <c r="G10620" s="5"/>
      <c r="H10620" s="5"/>
      <c r="I10620" s="5"/>
      <c r="J10620" s="5"/>
      <c r="K10620" s="5"/>
      <c r="L10620" s="5"/>
    </row>
    <row r="10621" spans="1:12" ht="12" customHeight="1" x14ac:dyDescent="0.25">
      <c r="A10621" s="6"/>
      <c r="B10621" s="1"/>
      <c r="C10621" s="5"/>
      <c r="D10621" s="5"/>
      <c r="E10621" s="5"/>
      <c r="F10621" s="5"/>
      <c r="G10621" s="5"/>
      <c r="H10621" s="5"/>
      <c r="I10621" s="5"/>
      <c r="J10621" s="5"/>
      <c r="K10621" s="5"/>
      <c r="L10621" s="5"/>
    </row>
    <row r="10622" spans="1:12" ht="12" customHeight="1" x14ac:dyDescent="0.25">
      <c r="A10622" s="6"/>
      <c r="B10622" s="1"/>
      <c r="C10622" s="5"/>
      <c r="D10622" s="5"/>
      <c r="E10622" s="5"/>
      <c r="F10622" s="5"/>
      <c r="G10622" s="5"/>
      <c r="H10622" s="5"/>
      <c r="I10622" s="5"/>
      <c r="J10622" s="5"/>
      <c r="K10622" s="5"/>
      <c r="L10622" s="5"/>
    </row>
    <row r="10623" spans="1:12" ht="12" customHeight="1" x14ac:dyDescent="0.25">
      <c r="A10623" s="6"/>
      <c r="B10623" s="1"/>
      <c r="C10623" s="5"/>
      <c r="D10623" s="5"/>
      <c r="E10623" s="5"/>
      <c r="F10623" s="5"/>
      <c r="G10623" s="5"/>
      <c r="H10623" s="5"/>
      <c r="I10623" s="5"/>
      <c r="J10623" s="5"/>
      <c r="K10623" s="5"/>
      <c r="L10623" s="5"/>
    </row>
    <row r="10624" spans="1:12" ht="12" customHeight="1" x14ac:dyDescent="0.25">
      <c r="A10624" s="6"/>
      <c r="B10624" s="1"/>
      <c r="C10624" s="5"/>
      <c r="D10624" s="5"/>
      <c r="E10624" s="5"/>
      <c r="F10624" s="5"/>
      <c r="G10624" s="5"/>
      <c r="H10624" s="5"/>
      <c r="I10624" s="5"/>
      <c r="J10624" s="5"/>
      <c r="K10624" s="5"/>
      <c r="L10624" s="5"/>
    </row>
    <row r="10625" spans="1:12" ht="12" customHeight="1" x14ac:dyDescent="0.25">
      <c r="A10625" s="6"/>
      <c r="B10625" s="1"/>
      <c r="C10625" s="5"/>
      <c r="D10625" s="5"/>
      <c r="E10625" s="5"/>
      <c r="F10625" s="5"/>
      <c r="G10625" s="5"/>
      <c r="H10625" s="5"/>
      <c r="I10625" s="5"/>
      <c r="J10625" s="5"/>
      <c r="K10625" s="5"/>
      <c r="L10625" s="5"/>
    </row>
    <row r="10626" spans="1:12" ht="12" customHeight="1" x14ac:dyDescent="0.25">
      <c r="A10626" s="6"/>
      <c r="B10626" s="1"/>
      <c r="C10626" s="5"/>
      <c r="D10626" s="5"/>
      <c r="E10626" s="5"/>
      <c r="F10626" s="5"/>
      <c r="G10626" s="5"/>
      <c r="H10626" s="5"/>
      <c r="I10626" s="5"/>
      <c r="J10626" s="5"/>
      <c r="K10626" s="5"/>
      <c r="L10626" s="5"/>
    </row>
    <row r="10627" spans="1:12" ht="12" customHeight="1" x14ac:dyDescent="0.25">
      <c r="A10627" s="6"/>
      <c r="B10627" s="1"/>
      <c r="C10627" s="5"/>
      <c r="D10627" s="5"/>
      <c r="E10627" s="5"/>
      <c r="F10627" s="5"/>
      <c r="G10627" s="5"/>
      <c r="H10627" s="5"/>
      <c r="I10627" s="5"/>
      <c r="J10627" s="5"/>
      <c r="K10627" s="5"/>
      <c r="L10627" s="5"/>
    </row>
    <row r="10628" spans="1:12" ht="12" customHeight="1" x14ac:dyDescent="0.25">
      <c r="A10628" s="6"/>
      <c r="B10628" s="1"/>
      <c r="C10628" s="5"/>
      <c r="D10628" s="5"/>
      <c r="E10628" s="5"/>
      <c r="F10628" s="5"/>
      <c r="G10628" s="5"/>
      <c r="H10628" s="5"/>
      <c r="I10628" s="5"/>
      <c r="J10628" s="5"/>
      <c r="K10628" s="5"/>
      <c r="L10628" s="5"/>
    </row>
    <row r="10629" spans="1:12" ht="12" customHeight="1" x14ac:dyDescent="0.25">
      <c r="A10629" s="6"/>
      <c r="B10629" s="1"/>
      <c r="C10629" s="5"/>
      <c r="D10629" s="5"/>
      <c r="E10629" s="5"/>
      <c r="F10629" s="5"/>
      <c r="G10629" s="5"/>
      <c r="H10629" s="5"/>
      <c r="I10629" s="5"/>
      <c r="J10629" s="5"/>
      <c r="K10629" s="5"/>
      <c r="L10629" s="5"/>
    </row>
    <row r="10630" spans="1:12" ht="12" customHeight="1" x14ac:dyDescent="0.25">
      <c r="A10630" s="6"/>
      <c r="B10630" s="1"/>
      <c r="C10630" s="5"/>
      <c r="D10630" s="5"/>
      <c r="E10630" s="5"/>
      <c r="F10630" s="5"/>
      <c r="G10630" s="5"/>
      <c r="H10630" s="5"/>
      <c r="I10630" s="5"/>
      <c r="J10630" s="5"/>
      <c r="K10630" s="5"/>
      <c r="L10630" s="5"/>
    </row>
    <row r="10631" spans="1:12" ht="12" customHeight="1" x14ac:dyDescent="0.25">
      <c r="A10631" s="6"/>
      <c r="B10631" s="1"/>
      <c r="C10631" s="5"/>
      <c r="D10631" s="5"/>
      <c r="E10631" s="5"/>
      <c r="F10631" s="5"/>
      <c r="G10631" s="5"/>
      <c r="H10631" s="5"/>
      <c r="I10631" s="5"/>
      <c r="J10631" s="5"/>
      <c r="K10631" s="5"/>
      <c r="L10631" s="5"/>
    </row>
    <row r="10632" spans="1:12" ht="12" customHeight="1" x14ac:dyDescent="0.25">
      <c r="A10632" s="6"/>
      <c r="B10632" s="1"/>
      <c r="C10632" s="5"/>
      <c r="D10632" s="5"/>
      <c r="E10632" s="5"/>
      <c r="F10632" s="5"/>
      <c r="G10632" s="5"/>
      <c r="H10632" s="5"/>
      <c r="I10632" s="5"/>
      <c r="J10632" s="5"/>
      <c r="K10632" s="5"/>
      <c r="L10632" s="5"/>
    </row>
    <row r="10633" spans="1:12" ht="12" customHeight="1" x14ac:dyDescent="0.25">
      <c r="A10633" s="6"/>
      <c r="B10633" s="1"/>
      <c r="C10633" s="5"/>
      <c r="D10633" s="5"/>
      <c r="E10633" s="5"/>
      <c r="F10633" s="5"/>
      <c r="G10633" s="5"/>
      <c r="H10633" s="5"/>
      <c r="I10633" s="5"/>
      <c r="J10633" s="5"/>
      <c r="K10633" s="5"/>
      <c r="L10633" s="5"/>
    </row>
    <row r="10634" spans="1:12" ht="12" customHeight="1" x14ac:dyDescent="0.25">
      <c r="A10634" s="6"/>
      <c r="B10634" s="1"/>
      <c r="C10634" s="5"/>
      <c r="D10634" s="5"/>
      <c r="E10634" s="5"/>
      <c r="F10634" s="5"/>
      <c r="G10634" s="5"/>
      <c r="H10634" s="5"/>
      <c r="I10634" s="5"/>
      <c r="J10634" s="5"/>
      <c r="K10634" s="5"/>
      <c r="L10634" s="5"/>
    </row>
    <row r="10635" spans="1:12" ht="12" customHeight="1" x14ac:dyDescent="0.25">
      <c r="A10635" s="6"/>
      <c r="B10635" s="1"/>
      <c r="C10635" s="5"/>
      <c r="D10635" s="5"/>
      <c r="E10635" s="5"/>
      <c r="F10635" s="5"/>
      <c r="G10635" s="5"/>
      <c r="H10635" s="5"/>
      <c r="I10635" s="5"/>
      <c r="J10635" s="5"/>
      <c r="K10635" s="5"/>
      <c r="L10635" s="5"/>
    </row>
    <row r="10636" spans="1:12" ht="12" customHeight="1" x14ac:dyDescent="0.25">
      <c r="A10636" s="6"/>
      <c r="B10636" s="1"/>
      <c r="C10636" s="5"/>
      <c r="D10636" s="5"/>
      <c r="E10636" s="5"/>
      <c r="F10636" s="5"/>
      <c r="G10636" s="5"/>
      <c r="H10636" s="5"/>
      <c r="I10636" s="5"/>
      <c r="J10636" s="5"/>
      <c r="K10636" s="5"/>
      <c r="L10636" s="5"/>
    </row>
    <row r="10637" spans="1:12" ht="12" customHeight="1" x14ac:dyDescent="0.25">
      <c r="A10637" s="6"/>
      <c r="B10637" s="1"/>
      <c r="C10637" s="5"/>
      <c r="D10637" s="5"/>
      <c r="E10637" s="5"/>
      <c r="F10637" s="5"/>
      <c r="G10637" s="5"/>
      <c r="H10637" s="5"/>
      <c r="I10637" s="5"/>
      <c r="J10637" s="5"/>
      <c r="K10637" s="5"/>
      <c r="L10637" s="5"/>
    </row>
    <row r="10638" spans="1:12" ht="12" customHeight="1" x14ac:dyDescent="0.25">
      <c r="A10638" s="6"/>
      <c r="B10638" s="1"/>
      <c r="C10638" s="5"/>
      <c r="D10638" s="5"/>
      <c r="E10638" s="5"/>
      <c r="F10638" s="5"/>
      <c r="G10638" s="5"/>
      <c r="H10638" s="5"/>
      <c r="I10638" s="5"/>
      <c r="J10638" s="5"/>
      <c r="K10638" s="5"/>
      <c r="L10638" s="5"/>
    </row>
    <row r="10639" spans="1:12" ht="12" customHeight="1" x14ac:dyDescent="0.25">
      <c r="A10639" s="6"/>
      <c r="B10639" s="1"/>
      <c r="C10639" s="5"/>
      <c r="D10639" s="5"/>
      <c r="E10639" s="5"/>
      <c r="F10639" s="5"/>
      <c r="G10639" s="5"/>
      <c r="H10639" s="5"/>
      <c r="I10639" s="5"/>
      <c r="J10639" s="5"/>
      <c r="K10639" s="5"/>
      <c r="L10639" s="5"/>
    </row>
    <row r="10640" spans="1:12" ht="12" customHeight="1" x14ac:dyDescent="0.25">
      <c r="A10640" s="6"/>
      <c r="B10640" s="1"/>
      <c r="C10640" s="5"/>
      <c r="D10640" s="5"/>
      <c r="E10640" s="5"/>
      <c r="F10640" s="5"/>
      <c r="G10640" s="5"/>
      <c r="H10640" s="5"/>
      <c r="I10640" s="5"/>
      <c r="J10640" s="5"/>
      <c r="K10640" s="5"/>
      <c r="L10640" s="5"/>
    </row>
    <row r="10641" spans="1:12" ht="12" customHeight="1" x14ac:dyDescent="0.25">
      <c r="A10641" s="6"/>
      <c r="B10641" s="1"/>
      <c r="C10641" s="5"/>
      <c r="D10641" s="5"/>
      <c r="E10641" s="5"/>
      <c r="F10641" s="5"/>
      <c r="G10641" s="5"/>
      <c r="H10641" s="5"/>
      <c r="I10641" s="5"/>
      <c r="J10641" s="5"/>
      <c r="K10641" s="5"/>
      <c r="L10641" s="5"/>
    </row>
    <row r="10642" spans="1:12" ht="12" customHeight="1" x14ac:dyDescent="0.25">
      <c r="A10642" s="6"/>
      <c r="B10642" s="1"/>
      <c r="C10642" s="5"/>
      <c r="D10642" s="5"/>
      <c r="E10642" s="5"/>
      <c r="F10642" s="5"/>
      <c r="G10642" s="5"/>
      <c r="H10642" s="5"/>
      <c r="I10642" s="5"/>
      <c r="J10642" s="5"/>
      <c r="K10642" s="5"/>
      <c r="L10642" s="5"/>
    </row>
    <row r="10643" spans="1:12" ht="12" customHeight="1" x14ac:dyDescent="0.25">
      <c r="A10643" s="6"/>
      <c r="B10643" s="1"/>
      <c r="C10643" s="5"/>
      <c r="D10643" s="5"/>
      <c r="E10643" s="5"/>
      <c r="F10643" s="5"/>
      <c r="G10643" s="5"/>
      <c r="H10643" s="5"/>
      <c r="I10643" s="5"/>
      <c r="J10643" s="5"/>
      <c r="K10643" s="5"/>
      <c r="L10643" s="5"/>
    </row>
    <row r="10644" spans="1:12" ht="12" customHeight="1" x14ac:dyDescent="0.25">
      <c r="A10644" s="6"/>
      <c r="B10644" s="1"/>
      <c r="C10644" s="5"/>
      <c r="D10644" s="5"/>
      <c r="E10644" s="5"/>
      <c r="F10644" s="5"/>
      <c r="G10644" s="5"/>
      <c r="H10644" s="5"/>
      <c r="I10644" s="5"/>
      <c r="J10644" s="5"/>
      <c r="K10644" s="5"/>
      <c r="L10644" s="5"/>
    </row>
    <row r="10645" spans="1:12" ht="12" customHeight="1" x14ac:dyDescent="0.25">
      <c r="A10645" s="6"/>
      <c r="B10645" s="1"/>
      <c r="C10645" s="5"/>
      <c r="D10645" s="5"/>
      <c r="E10645" s="5"/>
      <c r="F10645" s="5"/>
      <c r="G10645" s="5"/>
      <c r="H10645" s="5"/>
      <c r="I10645" s="5"/>
      <c r="J10645" s="5"/>
      <c r="K10645" s="5"/>
      <c r="L10645" s="5"/>
    </row>
    <row r="10646" spans="1:12" ht="12" customHeight="1" x14ac:dyDescent="0.25">
      <c r="A10646" s="6"/>
      <c r="B10646" s="1"/>
      <c r="C10646" s="5"/>
      <c r="D10646" s="5"/>
      <c r="E10646" s="5"/>
      <c r="F10646" s="5"/>
      <c r="G10646" s="5"/>
      <c r="H10646" s="5"/>
      <c r="I10646" s="5"/>
      <c r="J10646" s="5"/>
      <c r="K10646" s="5"/>
      <c r="L10646" s="5"/>
    </row>
    <row r="10647" spans="1:12" ht="12" customHeight="1" x14ac:dyDescent="0.25">
      <c r="A10647" s="6"/>
      <c r="B10647" s="1"/>
      <c r="C10647" s="5"/>
      <c r="D10647" s="5"/>
      <c r="E10647" s="5"/>
      <c r="F10647" s="5"/>
      <c r="G10647" s="5"/>
      <c r="H10647" s="5"/>
      <c r="I10647" s="5"/>
      <c r="J10647" s="5"/>
      <c r="K10647" s="5"/>
      <c r="L10647" s="5"/>
    </row>
    <row r="10648" spans="1:12" ht="12" customHeight="1" x14ac:dyDescent="0.25">
      <c r="A10648" s="6"/>
      <c r="B10648" s="1"/>
      <c r="C10648" s="5"/>
      <c r="D10648" s="5"/>
      <c r="E10648" s="5"/>
      <c r="F10648" s="5"/>
      <c r="G10648" s="5"/>
      <c r="H10648" s="5"/>
      <c r="I10648" s="5"/>
      <c r="J10648" s="5"/>
      <c r="K10648" s="5"/>
      <c r="L10648" s="5"/>
    </row>
    <row r="10649" spans="1:12" ht="12" customHeight="1" x14ac:dyDescent="0.25">
      <c r="A10649" s="6"/>
      <c r="B10649" s="1"/>
      <c r="C10649" s="5"/>
      <c r="D10649" s="5"/>
      <c r="E10649" s="5"/>
      <c r="F10649" s="5"/>
      <c r="G10649" s="5"/>
      <c r="H10649" s="5"/>
      <c r="I10649" s="5"/>
      <c r="J10649" s="5"/>
      <c r="K10649" s="5"/>
      <c r="L10649" s="5"/>
    </row>
    <row r="10650" spans="1:12" ht="12" customHeight="1" x14ac:dyDescent="0.25">
      <c r="A10650" s="6"/>
      <c r="B10650" s="1"/>
      <c r="C10650" s="5"/>
      <c r="D10650" s="5"/>
      <c r="E10650" s="5"/>
      <c r="F10650" s="5"/>
      <c r="G10650" s="5"/>
      <c r="H10650" s="5"/>
      <c r="I10650" s="5"/>
      <c r="J10650" s="5"/>
      <c r="K10650" s="5"/>
      <c r="L10650" s="5"/>
    </row>
    <row r="10651" spans="1:12" ht="12" customHeight="1" x14ac:dyDescent="0.25">
      <c r="A10651" s="6"/>
      <c r="B10651" s="1"/>
      <c r="C10651" s="5"/>
      <c r="D10651" s="5"/>
      <c r="E10651" s="5"/>
      <c r="F10651" s="5"/>
      <c r="G10651" s="5"/>
      <c r="H10651" s="5"/>
      <c r="I10651" s="5"/>
      <c r="J10651" s="5"/>
      <c r="K10651" s="5"/>
      <c r="L10651" s="5"/>
    </row>
    <row r="10652" spans="1:12" ht="12" customHeight="1" x14ac:dyDescent="0.25">
      <c r="A10652" s="6"/>
      <c r="B10652" s="1"/>
      <c r="C10652" s="5"/>
      <c r="D10652" s="5"/>
      <c r="E10652" s="5"/>
      <c r="F10652" s="5"/>
      <c r="G10652" s="5"/>
      <c r="H10652" s="5"/>
      <c r="I10652" s="5"/>
      <c r="J10652" s="5"/>
      <c r="K10652" s="5"/>
      <c r="L10652" s="5"/>
    </row>
    <row r="10653" spans="1:12" ht="12" customHeight="1" x14ac:dyDescent="0.25">
      <c r="A10653" s="6"/>
      <c r="B10653" s="1"/>
      <c r="C10653" s="5"/>
      <c r="D10653" s="5"/>
      <c r="E10653" s="5"/>
      <c r="F10653" s="5"/>
      <c r="G10653" s="5"/>
      <c r="H10653" s="5"/>
      <c r="I10653" s="5"/>
      <c r="J10653" s="5"/>
      <c r="K10653" s="5"/>
      <c r="L10653" s="5"/>
    </row>
    <row r="10654" spans="1:12" ht="12" customHeight="1" x14ac:dyDescent="0.25">
      <c r="A10654" s="6"/>
      <c r="B10654" s="1"/>
      <c r="C10654" s="5"/>
      <c r="D10654" s="5"/>
      <c r="E10654" s="5"/>
      <c r="F10654" s="5"/>
      <c r="G10654" s="5"/>
      <c r="H10654" s="5"/>
      <c r="I10654" s="5"/>
      <c r="J10654" s="5"/>
      <c r="K10654" s="5"/>
      <c r="L10654" s="5"/>
    </row>
    <row r="10655" spans="1:12" ht="12" customHeight="1" x14ac:dyDescent="0.25">
      <c r="A10655" s="6"/>
      <c r="B10655" s="1"/>
      <c r="C10655" s="5"/>
      <c r="D10655" s="5"/>
      <c r="E10655" s="5"/>
      <c r="F10655" s="5"/>
      <c r="G10655" s="5"/>
      <c r="H10655" s="5"/>
      <c r="I10655" s="5"/>
      <c r="J10655" s="5"/>
      <c r="K10655" s="5"/>
      <c r="L10655" s="5"/>
    </row>
    <row r="10656" spans="1:12" ht="12" customHeight="1" x14ac:dyDescent="0.25">
      <c r="A10656" s="6"/>
      <c r="B10656" s="1"/>
      <c r="C10656" s="5"/>
      <c r="D10656" s="5"/>
      <c r="E10656" s="5"/>
      <c r="F10656" s="5"/>
      <c r="G10656" s="5"/>
      <c r="H10656" s="5"/>
      <c r="I10656" s="5"/>
      <c r="J10656" s="5"/>
      <c r="K10656" s="5"/>
      <c r="L10656" s="5"/>
    </row>
    <row r="10657" spans="1:12" ht="12" customHeight="1" x14ac:dyDescent="0.25">
      <c r="A10657" s="6"/>
      <c r="B10657" s="1"/>
      <c r="C10657" s="5"/>
      <c r="D10657" s="5"/>
      <c r="E10657" s="5"/>
      <c r="F10657" s="5"/>
      <c r="G10657" s="5"/>
      <c r="H10657" s="5"/>
      <c r="I10657" s="5"/>
      <c r="J10657" s="5"/>
      <c r="K10657" s="5"/>
      <c r="L10657" s="5"/>
    </row>
    <row r="10658" spans="1:12" ht="12" customHeight="1" x14ac:dyDescent="0.25">
      <c r="A10658" s="6"/>
      <c r="B10658" s="1"/>
      <c r="C10658" s="5"/>
      <c r="D10658" s="5"/>
      <c r="E10658" s="5"/>
      <c r="F10658" s="5"/>
      <c r="G10658" s="5"/>
      <c r="H10658" s="5"/>
      <c r="I10658" s="5"/>
      <c r="J10658" s="5"/>
      <c r="K10658" s="5"/>
      <c r="L10658" s="5"/>
    </row>
    <row r="10659" spans="1:12" ht="12" customHeight="1" x14ac:dyDescent="0.25">
      <c r="A10659" s="6"/>
      <c r="B10659" s="1"/>
      <c r="C10659" s="5"/>
      <c r="D10659" s="5"/>
      <c r="E10659" s="5"/>
      <c r="F10659" s="5"/>
      <c r="G10659" s="5"/>
      <c r="H10659" s="5"/>
      <c r="I10659" s="5"/>
      <c r="J10659" s="5"/>
      <c r="K10659" s="5"/>
      <c r="L10659" s="5"/>
    </row>
    <row r="10660" spans="1:12" ht="12" customHeight="1" x14ac:dyDescent="0.25">
      <c r="A10660" s="6"/>
      <c r="B10660" s="1"/>
      <c r="C10660" s="5"/>
      <c r="D10660" s="5"/>
      <c r="E10660" s="5"/>
      <c r="F10660" s="5"/>
      <c r="G10660" s="5"/>
      <c r="H10660" s="5"/>
      <c r="I10660" s="5"/>
      <c r="J10660" s="5"/>
      <c r="K10660" s="5"/>
      <c r="L10660" s="5"/>
    </row>
    <row r="10661" spans="1:12" ht="12" customHeight="1" x14ac:dyDescent="0.25">
      <c r="A10661" s="6"/>
      <c r="B10661" s="1"/>
      <c r="C10661" s="5"/>
      <c r="D10661" s="5"/>
      <c r="E10661" s="5"/>
      <c r="F10661" s="5"/>
      <c r="G10661" s="5"/>
      <c r="H10661" s="5"/>
      <c r="I10661" s="5"/>
      <c r="J10661" s="5"/>
      <c r="K10661" s="5"/>
      <c r="L10661" s="5"/>
    </row>
    <row r="10662" spans="1:12" ht="12" customHeight="1" x14ac:dyDescent="0.25">
      <c r="A10662" s="6"/>
      <c r="B10662" s="1"/>
      <c r="C10662" s="5"/>
      <c r="D10662" s="5"/>
      <c r="E10662" s="5"/>
      <c r="F10662" s="5"/>
      <c r="G10662" s="5"/>
      <c r="H10662" s="5"/>
      <c r="I10662" s="5"/>
      <c r="J10662" s="5"/>
      <c r="K10662" s="5"/>
      <c r="L10662" s="5"/>
    </row>
    <row r="10663" spans="1:12" ht="12" customHeight="1" x14ac:dyDescent="0.25">
      <c r="A10663" s="6"/>
      <c r="B10663" s="1"/>
      <c r="C10663" s="5"/>
      <c r="D10663" s="5"/>
      <c r="E10663" s="5"/>
      <c r="F10663" s="5"/>
      <c r="G10663" s="5"/>
      <c r="H10663" s="5"/>
      <c r="I10663" s="5"/>
      <c r="J10663" s="5"/>
      <c r="K10663" s="5"/>
      <c r="L10663" s="5"/>
    </row>
    <row r="10664" spans="1:12" ht="12" customHeight="1" x14ac:dyDescent="0.25">
      <c r="A10664" s="6"/>
      <c r="B10664" s="1"/>
      <c r="C10664" s="5"/>
      <c r="D10664" s="5"/>
      <c r="E10664" s="5"/>
      <c r="F10664" s="5"/>
      <c r="G10664" s="5"/>
      <c r="H10664" s="5"/>
      <c r="I10664" s="5"/>
      <c r="J10664" s="5"/>
      <c r="K10664" s="5"/>
      <c r="L10664" s="5"/>
    </row>
    <row r="10665" spans="1:12" ht="12" customHeight="1" x14ac:dyDescent="0.25">
      <c r="A10665" s="6"/>
      <c r="B10665" s="1"/>
      <c r="C10665" s="5"/>
      <c r="D10665" s="5"/>
      <c r="E10665" s="5"/>
      <c r="F10665" s="5"/>
      <c r="G10665" s="5"/>
      <c r="H10665" s="5"/>
      <c r="I10665" s="5"/>
      <c r="J10665" s="5"/>
      <c r="K10665" s="5"/>
      <c r="L10665" s="5"/>
    </row>
    <row r="10666" spans="1:12" ht="12" customHeight="1" x14ac:dyDescent="0.25">
      <c r="A10666" s="6"/>
      <c r="B10666" s="1"/>
      <c r="C10666" s="5"/>
      <c r="D10666" s="5"/>
      <c r="E10666" s="5"/>
      <c r="F10666" s="5"/>
      <c r="G10666" s="5"/>
      <c r="H10666" s="5"/>
      <c r="I10666" s="5"/>
      <c r="J10666" s="5"/>
      <c r="K10666" s="5"/>
      <c r="L10666" s="5"/>
    </row>
    <row r="10667" spans="1:12" ht="12" customHeight="1" x14ac:dyDescent="0.25">
      <c r="A10667" s="6"/>
      <c r="B10667" s="1"/>
      <c r="C10667" s="5"/>
      <c r="D10667" s="5"/>
      <c r="E10667" s="5"/>
      <c r="F10667" s="5"/>
      <c r="G10667" s="5"/>
      <c r="H10667" s="5"/>
      <c r="I10667" s="5"/>
      <c r="J10667" s="5"/>
      <c r="K10667" s="5"/>
      <c r="L10667" s="5"/>
    </row>
    <row r="10668" spans="1:12" ht="12" customHeight="1" x14ac:dyDescent="0.25">
      <c r="A10668" s="6"/>
      <c r="B10668" s="1"/>
      <c r="C10668" s="5"/>
      <c r="D10668" s="5"/>
      <c r="E10668" s="5"/>
      <c r="F10668" s="5"/>
      <c r="G10668" s="5"/>
      <c r="H10668" s="5"/>
      <c r="I10668" s="5"/>
      <c r="J10668" s="5"/>
      <c r="K10668" s="5"/>
      <c r="L10668" s="5"/>
    </row>
    <row r="10669" spans="1:12" ht="12" customHeight="1" x14ac:dyDescent="0.25">
      <c r="A10669" s="6"/>
      <c r="B10669" s="1"/>
      <c r="C10669" s="5"/>
      <c r="D10669" s="5"/>
      <c r="E10669" s="5"/>
      <c r="F10669" s="5"/>
      <c r="G10669" s="5"/>
      <c r="H10669" s="5"/>
      <c r="I10669" s="5"/>
      <c r="J10669" s="5"/>
      <c r="K10669" s="5"/>
      <c r="L10669" s="5"/>
    </row>
    <row r="10670" spans="1:12" ht="12" customHeight="1" x14ac:dyDescent="0.25">
      <c r="A10670" s="6"/>
      <c r="B10670" s="1"/>
      <c r="C10670" s="5"/>
      <c r="D10670" s="5"/>
      <c r="E10670" s="5"/>
      <c r="F10670" s="5"/>
      <c r="G10670" s="5"/>
      <c r="H10670" s="5"/>
      <c r="I10670" s="5"/>
      <c r="J10670" s="5"/>
      <c r="K10670" s="5"/>
      <c r="L10670" s="5"/>
    </row>
    <row r="10671" spans="1:12" ht="12" customHeight="1" x14ac:dyDescent="0.25">
      <c r="A10671" s="6"/>
      <c r="B10671" s="1"/>
      <c r="C10671" s="5"/>
      <c r="D10671" s="5"/>
      <c r="E10671" s="5"/>
      <c r="F10671" s="5"/>
      <c r="G10671" s="5"/>
      <c r="H10671" s="5"/>
      <c r="I10671" s="5"/>
      <c r="J10671" s="5"/>
      <c r="K10671" s="5"/>
      <c r="L10671" s="5"/>
    </row>
    <row r="10672" spans="1:12" ht="12" customHeight="1" x14ac:dyDescent="0.25">
      <c r="A10672" s="6"/>
      <c r="B10672" s="1"/>
      <c r="C10672" s="5"/>
      <c r="D10672" s="5"/>
      <c r="E10672" s="5"/>
      <c r="F10672" s="5"/>
      <c r="G10672" s="5"/>
      <c r="H10672" s="5"/>
      <c r="I10672" s="5"/>
      <c r="J10672" s="5"/>
      <c r="K10672" s="5"/>
      <c r="L10672" s="5"/>
    </row>
    <row r="10673" spans="1:12" ht="12" customHeight="1" x14ac:dyDescent="0.25">
      <c r="A10673" s="6"/>
      <c r="B10673" s="1"/>
      <c r="C10673" s="5"/>
      <c r="D10673" s="5"/>
      <c r="E10673" s="5"/>
      <c r="F10673" s="5"/>
      <c r="G10673" s="5"/>
      <c r="H10673" s="5"/>
      <c r="I10673" s="5"/>
      <c r="J10673" s="5"/>
      <c r="K10673" s="5"/>
      <c r="L10673" s="5"/>
    </row>
    <row r="10674" spans="1:12" ht="12" customHeight="1" x14ac:dyDescent="0.25">
      <c r="A10674" s="6"/>
      <c r="B10674" s="1"/>
      <c r="C10674" s="5"/>
      <c r="D10674" s="5"/>
      <c r="E10674" s="5"/>
      <c r="F10674" s="5"/>
      <c r="G10674" s="5"/>
      <c r="H10674" s="5"/>
      <c r="I10674" s="5"/>
      <c r="J10674" s="5"/>
      <c r="K10674" s="5"/>
      <c r="L10674" s="5"/>
    </row>
    <row r="10675" spans="1:12" ht="12" customHeight="1" x14ac:dyDescent="0.25">
      <c r="A10675" s="6"/>
      <c r="B10675" s="1"/>
      <c r="C10675" s="5"/>
      <c r="D10675" s="5"/>
      <c r="E10675" s="5"/>
      <c r="F10675" s="5"/>
      <c r="G10675" s="5"/>
      <c r="H10675" s="5"/>
      <c r="I10675" s="5"/>
      <c r="J10675" s="5"/>
      <c r="K10675" s="5"/>
      <c r="L10675" s="5"/>
    </row>
    <row r="10676" spans="1:12" ht="12" customHeight="1" x14ac:dyDescent="0.25">
      <c r="A10676" s="6"/>
      <c r="B10676" s="1"/>
      <c r="C10676" s="5"/>
      <c r="D10676" s="5"/>
      <c r="E10676" s="5"/>
      <c r="F10676" s="5"/>
      <c r="G10676" s="5"/>
      <c r="H10676" s="5"/>
      <c r="I10676" s="5"/>
      <c r="J10676" s="5"/>
      <c r="K10676" s="5"/>
      <c r="L10676" s="5"/>
    </row>
    <row r="10677" spans="1:12" ht="12" customHeight="1" x14ac:dyDescent="0.25">
      <c r="A10677" s="6"/>
      <c r="B10677" s="1"/>
      <c r="C10677" s="5"/>
      <c r="D10677" s="5"/>
      <c r="E10677" s="5"/>
      <c r="F10677" s="5"/>
      <c r="G10677" s="5"/>
      <c r="H10677" s="5"/>
      <c r="I10677" s="5"/>
      <c r="J10677" s="5"/>
      <c r="K10677" s="5"/>
      <c r="L10677" s="5"/>
    </row>
    <row r="10678" spans="1:12" ht="12" customHeight="1" x14ac:dyDescent="0.25">
      <c r="A10678" s="6"/>
      <c r="B10678" s="1"/>
      <c r="C10678" s="5"/>
      <c r="D10678" s="5"/>
      <c r="E10678" s="5"/>
      <c r="F10678" s="5"/>
      <c r="G10678" s="5"/>
      <c r="H10678" s="5"/>
      <c r="I10678" s="5"/>
      <c r="J10678" s="5"/>
      <c r="K10678" s="5"/>
      <c r="L10678" s="5"/>
    </row>
    <row r="10679" spans="1:12" ht="12" customHeight="1" x14ac:dyDescent="0.25">
      <c r="A10679" s="6"/>
      <c r="B10679" s="1"/>
      <c r="C10679" s="5"/>
      <c r="D10679" s="5"/>
      <c r="E10679" s="5"/>
      <c r="F10679" s="5"/>
      <c r="G10679" s="5"/>
      <c r="H10679" s="5"/>
      <c r="I10679" s="5"/>
      <c r="J10679" s="5"/>
      <c r="K10679" s="5"/>
      <c r="L10679" s="5"/>
    </row>
    <row r="10680" spans="1:12" ht="12" customHeight="1" x14ac:dyDescent="0.25">
      <c r="A10680" s="6"/>
      <c r="B10680" s="1"/>
      <c r="C10680" s="5"/>
      <c r="D10680" s="5"/>
      <c r="E10680" s="5"/>
      <c r="F10680" s="5"/>
      <c r="G10680" s="5"/>
      <c r="H10680" s="5"/>
      <c r="I10680" s="5"/>
      <c r="J10680" s="5"/>
      <c r="K10680" s="5"/>
      <c r="L10680" s="5"/>
    </row>
    <row r="10681" spans="1:12" ht="12" customHeight="1" x14ac:dyDescent="0.25">
      <c r="A10681" s="6"/>
      <c r="B10681" s="1"/>
      <c r="C10681" s="5"/>
      <c r="D10681" s="5"/>
      <c r="E10681" s="5"/>
      <c r="F10681" s="5"/>
      <c r="G10681" s="5"/>
      <c r="H10681" s="5"/>
      <c r="I10681" s="5"/>
      <c r="J10681" s="5"/>
      <c r="K10681" s="5"/>
      <c r="L10681" s="5"/>
    </row>
    <row r="10682" spans="1:12" ht="12" customHeight="1" x14ac:dyDescent="0.25">
      <c r="A10682" s="6"/>
      <c r="B10682" s="1"/>
      <c r="C10682" s="5"/>
      <c r="D10682" s="5"/>
      <c r="E10682" s="5"/>
      <c r="F10682" s="5"/>
      <c r="G10682" s="5"/>
      <c r="H10682" s="5"/>
      <c r="I10682" s="5"/>
      <c r="J10682" s="5"/>
      <c r="K10682" s="5"/>
      <c r="L10682" s="5"/>
    </row>
    <row r="10683" spans="1:12" ht="12" customHeight="1" x14ac:dyDescent="0.25">
      <c r="A10683" s="6"/>
      <c r="B10683" s="1"/>
      <c r="C10683" s="5"/>
      <c r="D10683" s="5"/>
      <c r="E10683" s="5"/>
      <c r="F10683" s="5"/>
      <c r="G10683" s="5"/>
      <c r="H10683" s="5"/>
      <c r="I10683" s="5"/>
      <c r="J10683" s="5"/>
      <c r="K10683" s="5"/>
      <c r="L10683" s="5"/>
    </row>
    <row r="10684" spans="1:12" ht="12" customHeight="1" x14ac:dyDescent="0.25">
      <c r="A10684" s="6"/>
      <c r="B10684" s="1"/>
      <c r="C10684" s="5"/>
      <c r="D10684" s="5"/>
      <c r="E10684" s="5"/>
      <c r="F10684" s="5"/>
      <c r="G10684" s="5"/>
      <c r="H10684" s="5"/>
      <c r="I10684" s="5"/>
      <c r="J10684" s="5"/>
      <c r="K10684" s="5"/>
      <c r="L10684" s="5"/>
    </row>
    <row r="10685" spans="1:12" ht="12" customHeight="1" x14ac:dyDescent="0.25">
      <c r="A10685" s="6"/>
      <c r="B10685" s="1"/>
      <c r="C10685" s="5"/>
      <c r="D10685" s="5"/>
      <c r="E10685" s="5"/>
      <c r="F10685" s="5"/>
      <c r="G10685" s="5"/>
      <c r="H10685" s="5"/>
      <c r="I10685" s="5"/>
      <c r="J10685" s="5"/>
      <c r="K10685" s="5"/>
      <c r="L10685" s="5"/>
    </row>
    <row r="10686" spans="1:12" ht="12" customHeight="1" x14ac:dyDescent="0.25">
      <c r="A10686" s="6"/>
      <c r="B10686" s="1"/>
      <c r="C10686" s="5"/>
      <c r="D10686" s="5"/>
      <c r="E10686" s="5"/>
      <c r="F10686" s="5"/>
      <c r="G10686" s="5"/>
      <c r="H10686" s="5"/>
      <c r="I10686" s="5"/>
      <c r="J10686" s="5"/>
      <c r="K10686" s="5"/>
      <c r="L10686" s="5"/>
    </row>
    <row r="10687" spans="1:12" ht="12" customHeight="1" x14ac:dyDescent="0.25">
      <c r="A10687" s="6"/>
      <c r="B10687" s="1"/>
      <c r="C10687" s="5"/>
      <c r="D10687" s="5"/>
      <c r="E10687" s="5"/>
      <c r="F10687" s="5"/>
      <c r="G10687" s="5"/>
      <c r="H10687" s="5"/>
      <c r="I10687" s="5"/>
      <c r="J10687" s="5"/>
      <c r="K10687" s="5"/>
      <c r="L10687" s="5"/>
    </row>
    <row r="10688" spans="1:12" ht="12" customHeight="1" x14ac:dyDescent="0.25">
      <c r="A10688" s="6"/>
      <c r="B10688" s="1"/>
      <c r="C10688" s="5"/>
      <c r="D10688" s="5"/>
      <c r="E10688" s="5"/>
      <c r="F10688" s="5"/>
      <c r="G10688" s="5"/>
      <c r="H10688" s="5"/>
      <c r="I10688" s="5"/>
      <c r="J10688" s="5"/>
      <c r="K10688" s="5"/>
      <c r="L10688" s="5"/>
    </row>
    <row r="10689" spans="1:12" ht="12" customHeight="1" x14ac:dyDescent="0.25">
      <c r="A10689" s="6"/>
      <c r="B10689" s="1"/>
      <c r="C10689" s="5"/>
      <c r="D10689" s="5"/>
      <c r="E10689" s="5"/>
      <c r="F10689" s="5"/>
      <c r="G10689" s="5"/>
      <c r="H10689" s="5"/>
      <c r="I10689" s="5"/>
      <c r="J10689" s="5"/>
      <c r="K10689" s="5"/>
      <c r="L10689" s="5"/>
    </row>
    <row r="10690" spans="1:12" ht="12" customHeight="1" x14ac:dyDescent="0.25">
      <c r="A10690" s="6"/>
      <c r="B10690" s="1"/>
      <c r="C10690" s="5"/>
      <c r="D10690" s="5"/>
      <c r="E10690" s="5"/>
      <c r="F10690" s="5"/>
      <c r="G10690" s="5"/>
      <c r="H10690" s="5"/>
      <c r="I10690" s="5"/>
      <c r="J10690" s="5"/>
      <c r="K10690" s="5"/>
      <c r="L10690" s="5"/>
    </row>
    <row r="10691" spans="1:12" ht="12" customHeight="1" x14ac:dyDescent="0.25">
      <c r="A10691" s="6"/>
      <c r="B10691" s="1"/>
      <c r="C10691" s="5"/>
      <c r="D10691" s="5"/>
      <c r="E10691" s="5"/>
      <c r="F10691" s="5"/>
      <c r="G10691" s="5"/>
      <c r="H10691" s="5"/>
      <c r="I10691" s="5"/>
      <c r="J10691" s="5"/>
      <c r="K10691" s="5"/>
      <c r="L10691" s="5"/>
    </row>
    <row r="10692" spans="1:12" ht="12" customHeight="1" x14ac:dyDescent="0.25">
      <c r="A10692" s="6"/>
      <c r="B10692" s="1"/>
      <c r="C10692" s="5"/>
      <c r="D10692" s="5"/>
      <c r="E10692" s="5"/>
      <c r="F10692" s="5"/>
      <c r="G10692" s="5"/>
      <c r="H10692" s="5"/>
      <c r="I10692" s="5"/>
      <c r="J10692" s="5"/>
      <c r="K10692" s="5"/>
      <c r="L10692" s="5"/>
    </row>
    <row r="10693" spans="1:12" ht="12" customHeight="1" x14ac:dyDescent="0.25">
      <c r="A10693" s="6"/>
      <c r="B10693" s="1"/>
      <c r="C10693" s="5"/>
      <c r="D10693" s="5"/>
      <c r="E10693" s="5"/>
      <c r="F10693" s="5"/>
      <c r="G10693" s="5"/>
      <c r="H10693" s="5"/>
      <c r="I10693" s="5"/>
      <c r="J10693" s="5"/>
      <c r="K10693" s="5"/>
      <c r="L10693" s="5"/>
    </row>
    <row r="10694" spans="1:12" ht="12" customHeight="1" x14ac:dyDescent="0.25">
      <c r="A10694" s="6"/>
      <c r="B10694" s="1"/>
      <c r="C10694" s="5"/>
      <c r="D10694" s="5"/>
      <c r="E10694" s="5"/>
      <c r="F10694" s="5"/>
      <c r="G10694" s="5"/>
      <c r="H10694" s="5"/>
      <c r="I10694" s="5"/>
      <c r="J10694" s="5"/>
      <c r="K10694" s="5"/>
      <c r="L10694" s="5"/>
    </row>
    <row r="10695" spans="1:12" ht="12" customHeight="1" x14ac:dyDescent="0.25">
      <c r="A10695" s="6"/>
      <c r="B10695" s="1"/>
      <c r="C10695" s="5"/>
      <c r="D10695" s="5"/>
      <c r="E10695" s="5"/>
      <c r="F10695" s="5"/>
      <c r="G10695" s="5"/>
      <c r="H10695" s="5"/>
      <c r="I10695" s="5"/>
      <c r="J10695" s="5"/>
      <c r="K10695" s="5"/>
      <c r="L10695" s="5"/>
    </row>
    <row r="10696" spans="1:12" ht="12" customHeight="1" x14ac:dyDescent="0.25">
      <c r="A10696" s="6"/>
      <c r="B10696" s="1"/>
      <c r="C10696" s="5"/>
      <c r="D10696" s="5"/>
      <c r="E10696" s="5"/>
      <c r="F10696" s="5"/>
      <c r="G10696" s="5"/>
      <c r="H10696" s="5"/>
      <c r="I10696" s="5"/>
      <c r="J10696" s="5"/>
      <c r="K10696" s="5"/>
      <c r="L10696" s="5"/>
    </row>
    <row r="10697" spans="1:12" ht="12" customHeight="1" x14ac:dyDescent="0.25">
      <c r="A10697" s="6"/>
      <c r="B10697" s="1"/>
      <c r="C10697" s="5"/>
      <c r="D10697" s="5"/>
      <c r="E10697" s="5"/>
      <c r="F10697" s="5"/>
      <c r="G10697" s="5"/>
      <c r="H10697" s="5"/>
      <c r="I10697" s="5"/>
      <c r="J10697" s="5"/>
      <c r="K10697" s="5"/>
      <c r="L10697" s="5"/>
    </row>
    <row r="10698" spans="1:12" ht="12" customHeight="1" x14ac:dyDescent="0.25">
      <c r="A10698" s="6"/>
      <c r="B10698" s="1"/>
      <c r="C10698" s="5"/>
      <c r="D10698" s="5"/>
      <c r="E10698" s="5"/>
      <c r="F10698" s="5"/>
      <c r="G10698" s="5"/>
      <c r="H10698" s="5"/>
      <c r="I10698" s="5"/>
      <c r="J10698" s="5"/>
      <c r="K10698" s="5"/>
      <c r="L10698" s="5"/>
    </row>
    <row r="10699" spans="1:12" ht="12" customHeight="1" x14ac:dyDescent="0.25">
      <c r="A10699" s="6"/>
      <c r="B10699" s="1"/>
      <c r="C10699" s="5"/>
      <c r="D10699" s="5"/>
      <c r="E10699" s="5"/>
      <c r="F10699" s="5"/>
      <c r="G10699" s="5"/>
      <c r="H10699" s="5"/>
      <c r="I10699" s="5"/>
      <c r="J10699" s="5"/>
      <c r="K10699" s="5"/>
      <c r="L10699" s="5"/>
    </row>
    <row r="10700" spans="1:12" ht="12" customHeight="1" x14ac:dyDescent="0.25">
      <c r="A10700" s="6"/>
      <c r="B10700" s="1"/>
      <c r="C10700" s="5"/>
      <c r="D10700" s="5"/>
      <c r="E10700" s="5"/>
      <c r="F10700" s="5"/>
      <c r="G10700" s="5"/>
      <c r="H10700" s="5"/>
      <c r="I10700" s="5"/>
      <c r="J10700" s="5"/>
      <c r="K10700" s="5"/>
      <c r="L10700" s="5"/>
    </row>
    <row r="10701" spans="1:12" ht="12" customHeight="1" x14ac:dyDescent="0.25">
      <c r="A10701" s="6"/>
      <c r="B10701" s="1"/>
      <c r="C10701" s="5"/>
      <c r="D10701" s="5"/>
      <c r="E10701" s="5"/>
      <c r="F10701" s="5"/>
      <c r="G10701" s="5"/>
      <c r="H10701" s="5"/>
      <c r="I10701" s="5"/>
      <c r="J10701" s="5"/>
      <c r="K10701" s="5"/>
      <c r="L10701" s="5"/>
    </row>
    <row r="10702" spans="1:12" ht="12" customHeight="1" x14ac:dyDescent="0.25">
      <c r="A10702" s="6"/>
      <c r="B10702" s="1"/>
      <c r="C10702" s="5"/>
      <c r="D10702" s="5"/>
      <c r="E10702" s="5"/>
      <c r="F10702" s="5"/>
      <c r="G10702" s="5"/>
      <c r="H10702" s="5"/>
      <c r="I10702" s="5"/>
      <c r="J10702" s="5"/>
      <c r="K10702" s="5"/>
      <c r="L10702" s="5"/>
    </row>
    <row r="10703" spans="1:12" ht="12" customHeight="1" x14ac:dyDescent="0.25">
      <c r="A10703" s="6"/>
      <c r="B10703" s="1"/>
      <c r="C10703" s="5"/>
      <c r="D10703" s="5"/>
      <c r="E10703" s="5"/>
      <c r="F10703" s="5"/>
      <c r="G10703" s="5"/>
      <c r="H10703" s="5"/>
      <c r="I10703" s="5"/>
      <c r="J10703" s="5"/>
      <c r="K10703" s="5"/>
      <c r="L10703" s="5"/>
    </row>
    <row r="10704" spans="1:12" ht="12" customHeight="1" x14ac:dyDescent="0.25">
      <c r="A10704" s="6"/>
      <c r="B10704" s="1"/>
      <c r="C10704" s="5"/>
      <c r="D10704" s="5"/>
      <c r="E10704" s="5"/>
      <c r="F10704" s="5"/>
      <c r="G10704" s="5"/>
      <c r="H10704" s="5"/>
      <c r="I10704" s="5"/>
      <c r="J10704" s="5"/>
      <c r="K10704" s="5"/>
      <c r="L10704" s="5"/>
    </row>
    <row r="10705" spans="1:12" ht="12" customHeight="1" x14ac:dyDescent="0.25">
      <c r="A10705" s="6"/>
      <c r="B10705" s="1"/>
      <c r="C10705" s="5"/>
      <c r="D10705" s="5"/>
      <c r="E10705" s="5"/>
      <c r="F10705" s="5"/>
      <c r="G10705" s="5"/>
      <c r="H10705" s="5"/>
      <c r="I10705" s="5"/>
      <c r="J10705" s="5"/>
      <c r="K10705" s="5"/>
      <c r="L10705" s="5"/>
    </row>
    <row r="10706" spans="1:12" ht="12" customHeight="1" x14ac:dyDescent="0.25">
      <c r="A10706" s="6"/>
      <c r="B10706" s="1"/>
      <c r="C10706" s="5"/>
      <c r="D10706" s="5"/>
      <c r="E10706" s="5"/>
      <c r="F10706" s="5"/>
      <c r="G10706" s="5"/>
      <c r="H10706" s="5"/>
      <c r="I10706" s="5"/>
      <c r="J10706" s="5"/>
      <c r="K10706" s="5"/>
      <c r="L10706" s="5"/>
    </row>
    <row r="10707" spans="1:12" ht="12" customHeight="1" x14ac:dyDescent="0.25">
      <c r="A10707" s="6"/>
      <c r="B10707" s="1"/>
      <c r="C10707" s="5"/>
      <c r="D10707" s="5"/>
      <c r="E10707" s="5"/>
      <c r="F10707" s="5"/>
      <c r="G10707" s="5"/>
      <c r="H10707" s="5"/>
      <c r="I10707" s="5"/>
      <c r="J10707" s="5"/>
      <c r="K10707" s="5"/>
      <c r="L10707" s="5"/>
    </row>
    <row r="10708" spans="1:12" ht="12" customHeight="1" x14ac:dyDescent="0.25">
      <c r="A10708" s="6"/>
      <c r="B10708" s="1"/>
      <c r="C10708" s="5"/>
      <c r="D10708" s="5"/>
      <c r="E10708" s="5"/>
      <c r="F10708" s="5"/>
      <c r="G10708" s="5"/>
      <c r="H10708" s="5"/>
      <c r="I10708" s="5"/>
      <c r="J10708" s="5"/>
      <c r="K10708" s="5"/>
      <c r="L10708" s="5"/>
    </row>
    <row r="10709" spans="1:12" ht="12" customHeight="1" x14ac:dyDescent="0.25">
      <c r="A10709" s="6"/>
      <c r="B10709" s="1"/>
      <c r="C10709" s="5"/>
      <c r="D10709" s="5"/>
      <c r="E10709" s="5"/>
      <c r="F10709" s="5"/>
      <c r="G10709" s="5"/>
      <c r="H10709" s="5"/>
      <c r="I10709" s="5"/>
      <c r="J10709" s="5"/>
      <c r="K10709" s="5"/>
      <c r="L10709" s="5"/>
    </row>
    <row r="10710" spans="1:12" ht="12" customHeight="1" x14ac:dyDescent="0.25">
      <c r="A10710" s="6"/>
      <c r="B10710" s="1"/>
      <c r="C10710" s="5"/>
      <c r="D10710" s="5"/>
      <c r="E10710" s="5"/>
      <c r="F10710" s="5"/>
      <c r="G10710" s="5"/>
      <c r="H10710" s="5"/>
      <c r="I10710" s="5"/>
      <c r="J10710" s="5"/>
      <c r="K10710" s="5"/>
      <c r="L10710" s="5"/>
    </row>
    <row r="10711" spans="1:12" ht="12" customHeight="1" x14ac:dyDescent="0.25">
      <c r="A10711" s="6"/>
      <c r="B10711" s="1"/>
      <c r="C10711" s="5"/>
      <c r="D10711" s="5"/>
      <c r="E10711" s="5"/>
      <c r="F10711" s="5"/>
      <c r="G10711" s="5"/>
      <c r="H10711" s="5"/>
      <c r="I10711" s="5"/>
      <c r="J10711" s="5"/>
      <c r="K10711" s="5"/>
      <c r="L10711" s="5"/>
    </row>
    <row r="10712" spans="1:12" ht="12" customHeight="1" x14ac:dyDescent="0.25">
      <c r="A10712" s="6"/>
      <c r="B10712" s="1"/>
      <c r="C10712" s="5"/>
      <c r="D10712" s="5"/>
      <c r="E10712" s="5"/>
      <c r="F10712" s="5"/>
      <c r="G10712" s="5"/>
      <c r="H10712" s="5"/>
      <c r="I10712" s="5"/>
      <c r="J10712" s="5"/>
      <c r="K10712" s="5"/>
      <c r="L10712" s="5"/>
    </row>
    <row r="10713" spans="1:12" ht="12" customHeight="1" x14ac:dyDescent="0.25">
      <c r="A10713" s="6"/>
      <c r="B10713" s="1"/>
      <c r="C10713" s="5"/>
      <c r="D10713" s="5"/>
      <c r="E10713" s="5"/>
      <c r="F10713" s="5"/>
      <c r="G10713" s="5"/>
      <c r="H10713" s="5"/>
      <c r="I10713" s="5"/>
      <c r="J10713" s="5"/>
      <c r="K10713" s="5"/>
      <c r="L10713" s="5"/>
    </row>
    <row r="10714" spans="1:12" ht="12" customHeight="1" x14ac:dyDescent="0.25">
      <c r="A10714" s="6"/>
      <c r="B10714" s="1"/>
      <c r="C10714" s="5"/>
      <c r="D10714" s="5"/>
      <c r="E10714" s="5"/>
      <c r="F10714" s="5"/>
      <c r="G10714" s="5"/>
      <c r="H10714" s="5"/>
      <c r="I10714" s="5"/>
      <c r="J10714" s="5"/>
      <c r="K10714" s="5"/>
      <c r="L10714" s="5"/>
    </row>
    <row r="10715" spans="1:12" ht="12" customHeight="1" x14ac:dyDescent="0.25">
      <c r="A10715" s="6"/>
      <c r="B10715" s="1"/>
      <c r="C10715" s="5"/>
      <c r="D10715" s="5"/>
      <c r="E10715" s="5"/>
      <c r="F10715" s="5"/>
      <c r="G10715" s="5"/>
      <c r="H10715" s="5"/>
      <c r="I10715" s="5"/>
      <c r="J10715" s="5"/>
      <c r="K10715" s="5"/>
      <c r="L10715" s="5"/>
    </row>
    <row r="10716" spans="1:12" ht="12" customHeight="1" x14ac:dyDescent="0.25">
      <c r="A10716" s="6"/>
      <c r="B10716" s="1"/>
      <c r="C10716" s="5"/>
      <c r="D10716" s="5"/>
      <c r="E10716" s="5"/>
      <c r="F10716" s="5"/>
      <c r="G10716" s="5"/>
      <c r="H10716" s="5"/>
      <c r="I10716" s="5"/>
      <c r="J10716" s="5"/>
      <c r="K10716" s="5"/>
      <c r="L10716" s="5"/>
    </row>
    <row r="10717" spans="1:12" ht="12" customHeight="1" x14ac:dyDescent="0.25">
      <c r="A10717" s="6"/>
      <c r="B10717" s="1"/>
      <c r="C10717" s="5"/>
      <c r="D10717" s="5"/>
      <c r="E10717" s="5"/>
      <c r="F10717" s="5"/>
      <c r="G10717" s="5"/>
      <c r="H10717" s="5"/>
      <c r="I10717" s="5"/>
      <c r="J10717" s="5"/>
      <c r="K10717" s="5"/>
      <c r="L10717" s="5"/>
    </row>
    <row r="10718" spans="1:12" ht="12" customHeight="1" x14ac:dyDescent="0.25">
      <c r="A10718" s="6"/>
      <c r="B10718" s="1"/>
      <c r="C10718" s="5"/>
      <c r="D10718" s="5"/>
      <c r="E10718" s="5"/>
      <c r="F10718" s="5"/>
      <c r="G10718" s="5"/>
      <c r="H10718" s="5"/>
      <c r="I10718" s="5"/>
      <c r="J10718" s="5"/>
      <c r="K10718" s="5"/>
      <c r="L10718" s="5"/>
    </row>
    <row r="10719" spans="1:12" ht="12" customHeight="1" x14ac:dyDescent="0.25">
      <c r="A10719" s="6"/>
      <c r="B10719" s="1"/>
      <c r="C10719" s="5"/>
      <c r="D10719" s="5"/>
      <c r="E10719" s="5"/>
      <c r="F10719" s="5"/>
      <c r="G10719" s="5"/>
      <c r="H10719" s="5"/>
      <c r="I10719" s="5"/>
      <c r="J10719" s="5"/>
      <c r="K10719" s="5"/>
      <c r="L10719" s="5"/>
    </row>
    <row r="10720" spans="1:12" ht="12" customHeight="1" x14ac:dyDescent="0.25">
      <c r="A10720" s="6"/>
      <c r="B10720" s="1"/>
      <c r="C10720" s="5"/>
      <c r="D10720" s="5"/>
      <c r="E10720" s="5"/>
      <c r="F10720" s="5"/>
      <c r="G10720" s="5"/>
      <c r="H10720" s="5"/>
      <c r="I10720" s="5"/>
      <c r="J10720" s="5"/>
      <c r="K10720" s="5"/>
      <c r="L10720" s="5"/>
    </row>
    <row r="10721" spans="1:12" ht="12" customHeight="1" x14ac:dyDescent="0.25">
      <c r="A10721" s="6"/>
      <c r="B10721" s="1"/>
      <c r="C10721" s="5"/>
      <c r="D10721" s="5"/>
      <c r="E10721" s="5"/>
      <c r="F10721" s="5"/>
      <c r="G10721" s="5"/>
      <c r="H10721" s="5"/>
      <c r="I10721" s="5"/>
      <c r="J10721" s="5"/>
      <c r="K10721" s="5"/>
      <c r="L10721" s="5"/>
    </row>
    <row r="10722" spans="1:12" ht="12" customHeight="1" x14ac:dyDescent="0.25">
      <c r="A10722" s="6"/>
      <c r="B10722" s="1"/>
      <c r="C10722" s="5"/>
      <c r="D10722" s="5"/>
      <c r="E10722" s="5"/>
      <c r="F10722" s="5"/>
      <c r="G10722" s="5"/>
      <c r="H10722" s="5"/>
      <c r="I10722" s="5"/>
      <c r="J10722" s="5"/>
      <c r="K10722" s="5"/>
      <c r="L10722" s="5"/>
    </row>
    <row r="10723" spans="1:12" ht="12" customHeight="1" x14ac:dyDescent="0.25">
      <c r="A10723" s="6"/>
      <c r="B10723" s="1"/>
      <c r="C10723" s="5"/>
      <c r="D10723" s="5"/>
      <c r="E10723" s="5"/>
      <c r="F10723" s="5"/>
      <c r="G10723" s="5"/>
      <c r="H10723" s="5"/>
      <c r="I10723" s="5"/>
      <c r="J10723" s="5"/>
      <c r="K10723" s="5"/>
      <c r="L10723" s="5"/>
    </row>
    <row r="10724" spans="1:12" ht="12" customHeight="1" x14ac:dyDescent="0.25">
      <c r="A10724" s="6"/>
      <c r="B10724" s="1"/>
      <c r="C10724" s="5"/>
      <c r="D10724" s="5"/>
      <c r="E10724" s="5"/>
      <c r="F10724" s="5"/>
      <c r="G10724" s="5"/>
      <c r="H10724" s="5"/>
      <c r="I10724" s="5"/>
      <c r="J10724" s="5"/>
      <c r="K10724" s="5"/>
      <c r="L10724" s="5"/>
    </row>
    <row r="10725" spans="1:12" ht="12" customHeight="1" x14ac:dyDescent="0.25">
      <c r="A10725" s="6"/>
      <c r="B10725" s="1"/>
      <c r="C10725" s="5"/>
      <c r="D10725" s="5"/>
      <c r="E10725" s="5"/>
      <c r="F10725" s="5"/>
      <c r="G10725" s="5"/>
      <c r="H10725" s="5"/>
      <c r="I10725" s="5"/>
      <c r="J10725" s="5"/>
      <c r="K10725" s="5"/>
      <c r="L10725" s="5"/>
    </row>
    <row r="10726" spans="1:12" ht="12" customHeight="1" x14ac:dyDescent="0.25">
      <c r="A10726" s="6"/>
      <c r="B10726" s="1"/>
      <c r="C10726" s="5"/>
      <c r="D10726" s="5"/>
      <c r="E10726" s="5"/>
      <c r="F10726" s="5"/>
      <c r="G10726" s="5"/>
      <c r="H10726" s="5"/>
      <c r="I10726" s="5"/>
      <c r="J10726" s="5"/>
      <c r="K10726" s="5"/>
      <c r="L10726" s="5"/>
    </row>
    <row r="10727" spans="1:12" ht="12" customHeight="1" x14ac:dyDescent="0.25">
      <c r="A10727" s="6"/>
      <c r="B10727" s="1"/>
      <c r="C10727" s="5"/>
      <c r="D10727" s="5"/>
      <c r="E10727" s="5"/>
      <c r="F10727" s="5"/>
      <c r="G10727" s="5"/>
      <c r="H10727" s="5"/>
      <c r="I10727" s="5"/>
      <c r="J10727" s="5"/>
      <c r="K10727" s="5"/>
      <c r="L10727" s="5"/>
    </row>
    <row r="10728" spans="1:12" ht="12" customHeight="1" x14ac:dyDescent="0.25">
      <c r="A10728" s="6"/>
      <c r="B10728" s="1"/>
      <c r="C10728" s="5"/>
      <c r="D10728" s="5"/>
      <c r="E10728" s="5"/>
      <c r="F10728" s="5"/>
      <c r="G10728" s="5"/>
      <c r="H10728" s="5"/>
      <c r="I10728" s="5"/>
      <c r="J10728" s="5"/>
      <c r="K10728" s="5"/>
      <c r="L10728" s="5"/>
    </row>
    <row r="10729" spans="1:12" ht="12" customHeight="1" x14ac:dyDescent="0.25">
      <c r="A10729" s="6"/>
      <c r="B10729" s="1"/>
      <c r="C10729" s="5"/>
      <c r="D10729" s="5"/>
      <c r="E10729" s="5"/>
      <c r="F10729" s="5"/>
      <c r="G10729" s="5"/>
      <c r="H10729" s="5"/>
      <c r="I10729" s="5"/>
      <c r="J10729" s="5"/>
      <c r="K10729" s="5"/>
      <c r="L10729" s="5"/>
    </row>
    <row r="10730" spans="1:12" ht="12" customHeight="1" x14ac:dyDescent="0.25">
      <c r="A10730" s="6"/>
      <c r="B10730" s="1"/>
      <c r="C10730" s="5"/>
      <c r="D10730" s="5"/>
      <c r="E10730" s="5"/>
      <c r="F10730" s="5"/>
      <c r="G10730" s="5"/>
      <c r="H10730" s="5"/>
      <c r="I10730" s="5"/>
      <c r="J10730" s="5"/>
      <c r="K10730" s="5"/>
      <c r="L10730" s="5"/>
    </row>
    <row r="10731" spans="1:12" ht="12" customHeight="1" x14ac:dyDescent="0.25">
      <c r="A10731" s="6"/>
      <c r="B10731" s="1"/>
      <c r="C10731" s="5"/>
      <c r="D10731" s="5"/>
      <c r="E10731" s="5"/>
      <c r="F10731" s="5"/>
      <c r="G10731" s="5"/>
      <c r="H10731" s="5"/>
      <c r="I10731" s="5"/>
      <c r="J10731" s="5"/>
      <c r="K10731" s="5"/>
      <c r="L10731" s="5"/>
    </row>
    <row r="10732" spans="1:12" ht="12" customHeight="1" x14ac:dyDescent="0.25">
      <c r="A10732" s="6"/>
      <c r="B10732" s="1"/>
      <c r="C10732" s="5"/>
      <c r="D10732" s="5"/>
      <c r="E10732" s="5"/>
      <c r="F10732" s="5"/>
      <c r="G10732" s="5"/>
      <c r="H10732" s="5"/>
      <c r="I10732" s="5"/>
      <c r="J10732" s="5"/>
      <c r="K10732" s="5"/>
      <c r="L10732" s="5"/>
    </row>
    <row r="10733" spans="1:12" ht="12" customHeight="1" x14ac:dyDescent="0.25">
      <c r="A10733" s="6"/>
      <c r="B10733" s="1"/>
      <c r="C10733" s="5"/>
      <c r="D10733" s="5"/>
      <c r="E10733" s="5"/>
      <c r="F10733" s="5"/>
      <c r="G10733" s="5"/>
      <c r="H10733" s="5"/>
      <c r="I10733" s="5"/>
      <c r="J10733" s="5"/>
      <c r="K10733" s="5"/>
      <c r="L10733" s="5"/>
    </row>
    <row r="10734" spans="1:12" ht="12" customHeight="1" x14ac:dyDescent="0.25">
      <c r="A10734" s="6"/>
      <c r="B10734" s="1"/>
      <c r="C10734" s="5"/>
      <c r="D10734" s="5"/>
      <c r="E10734" s="5"/>
      <c r="F10734" s="5"/>
      <c r="G10734" s="5"/>
      <c r="H10734" s="5"/>
      <c r="I10734" s="5"/>
      <c r="J10734" s="5"/>
      <c r="K10734" s="5"/>
      <c r="L10734" s="5"/>
    </row>
    <row r="10735" spans="1:12" ht="12" customHeight="1" x14ac:dyDescent="0.25">
      <c r="A10735" s="6"/>
      <c r="B10735" s="1"/>
      <c r="C10735" s="5"/>
      <c r="D10735" s="5"/>
      <c r="E10735" s="5"/>
      <c r="F10735" s="5"/>
      <c r="G10735" s="5"/>
      <c r="H10735" s="5"/>
      <c r="I10735" s="5"/>
      <c r="J10735" s="5"/>
      <c r="K10735" s="5"/>
      <c r="L10735" s="5"/>
    </row>
    <row r="10736" spans="1:12" ht="12" customHeight="1" x14ac:dyDescent="0.25">
      <c r="A10736" s="6"/>
      <c r="B10736" s="1"/>
      <c r="C10736" s="5"/>
      <c r="D10736" s="5"/>
      <c r="E10736" s="5"/>
      <c r="F10736" s="5"/>
      <c r="G10736" s="5"/>
      <c r="H10736" s="5"/>
      <c r="I10736" s="5"/>
      <c r="J10736" s="5"/>
      <c r="K10736" s="5"/>
      <c r="L10736" s="5"/>
    </row>
    <row r="10737" spans="1:12" ht="12" customHeight="1" x14ac:dyDescent="0.25">
      <c r="A10737" s="6"/>
      <c r="B10737" s="1"/>
      <c r="C10737" s="5"/>
      <c r="D10737" s="5"/>
      <c r="E10737" s="5"/>
      <c r="F10737" s="5"/>
      <c r="G10737" s="5"/>
      <c r="H10737" s="5"/>
      <c r="I10737" s="5"/>
      <c r="J10737" s="5"/>
      <c r="K10737" s="5"/>
      <c r="L10737" s="5"/>
    </row>
    <row r="10738" spans="1:12" ht="12" customHeight="1" x14ac:dyDescent="0.25">
      <c r="A10738" s="6"/>
      <c r="B10738" s="1"/>
      <c r="C10738" s="5"/>
      <c r="D10738" s="5"/>
      <c r="E10738" s="5"/>
      <c r="F10738" s="5"/>
      <c r="G10738" s="5"/>
      <c r="H10738" s="5"/>
      <c r="I10738" s="5"/>
      <c r="J10738" s="5"/>
      <c r="K10738" s="5"/>
      <c r="L10738" s="5"/>
    </row>
    <row r="10739" spans="1:12" ht="12" customHeight="1" x14ac:dyDescent="0.25">
      <c r="A10739" s="6"/>
      <c r="B10739" s="1"/>
      <c r="C10739" s="5"/>
      <c r="D10739" s="5"/>
      <c r="E10739" s="5"/>
      <c r="F10739" s="5"/>
      <c r="G10739" s="5"/>
      <c r="H10739" s="5"/>
      <c r="I10739" s="5"/>
      <c r="J10739" s="5"/>
      <c r="K10739" s="5"/>
      <c r="L10739" s="5"/>
    </row>
    <row r="10740" spans="1:12" ht="12" customHeight="1" x14ac:dyDescent="0.25">
      <c r="A10740" s="6"/>
      <c r="B10740" s="1"/>
      <c r="C10740" s="5"/>
      <c r="D10740" s="5"/>
      <c r="E10740" s="5"/>
      <c r="F10740" s="5"/>
      <c r="G10740" s="5"/>
      <c r="H10740" s="5"/>
      <c r="I10740" s="5"/>
      <c r="J10740" s="5"/>
      <c r="K10740" s="5"/>
      <c r="L10740" s="5"/>
    </row>
    <row r="10741" spans="1:12" ht="12" customHeight="1" x14ac:dyDescent="0.25">
      <c r="A10741" s="6"/>
      <c r="B10741" s="1"/>
      <c r="C10741" s="5"/>
      <c r="D10741" s="5"/>
      <c r="E10741" s="5"/>
      <c r="F10741" s="5"/>
      <c r="G10741" s="5"/>
      <c r="H10741" s="5"/>
      <c r="I10741" s="5"/>
      <c r="J10741" s="5"/>
      <c r="K10741" s="5"/>
      <c r="L10741" s="5"/>
    </row>
    <row r="10742" spans="1:12" ht="12" customHeight="1" x14ac:dyDescent="0.25">
      <c r="A10742" s="6"/>
      <c r="B10742" s="1"/>
      <c r="C10742" s="5"/>
      <c r="D10742" s="5"/>
      <c r="E10742" s="5"/>
      <c r="F10742" s="5"/>
      <c r="G10742" s="5"/>
      <c r="H10742" s="5"/>
      <c r="I10742" s="5"/>
      <c r="J10742" s="5"/>
      <c r="K10742" s="5"/>
      <c r="L10742" s="5"/>
    </row>
    <row r="10743" spans="1:12" ht="12" customHeight="1" x14ac:dyDescent="0.25">
      <c r="A10743" s="6"/>
      <c r="B10743" s="1"/>
      <c r="C10743" s="5"/>
      <c r="D10743" s="5"/>
      <c r="E10743" s="5"/>
      <c r="F10743" s="5"/>
      <c r="G10743" s="5"/>
      <c r="H10743" s="5"/>
      <c r="I10743" s="5"/>
      <c r="J10743" s="5"/>
      <c r="K10743" s="5"/>
      <c r="L10743" s="5"/>
    </row>
    <row r="10744" spans="1:12" ht="12" customHeight="1" x14ac:dyDescent="0.25">
      <c r="A10744" s="6"/>
      <c r="B10744" s="1"/>
      <c r="C10744" s="5"/>
      <c r="D10744" s="5"/>
      <c r="E10744" s="5"/>
      <c r="F10744" s="5"/>
      <c r="G10744" s="5"/>
      <c r="H10744" s="5"/>
      <c r="I10744" s="5"/>
      <c r="J10744" s="5"/>
      <c r="K10744" s="5"/>
      <c r="L10744" s="5"/>
    </row>
    <row r="10745" spans="1:12" ht="12" customHeight="1" x14ac:dyDescent="0.25">
      <c r="A10745" s="6"/>
      <c r="B10745" s="1"/>
      <c r="C10745" s="5"/>
      <c r="D10745" s="5"/>
      <c r="E10745" s="5"/>
      <c r="F10745" s="5"/>
      <c r="G10745" s="5"/>
      <c r="H10745" s="5"/>
      <c r="I10745" s="5"/>
      <c r="J10745" s="5"/>
      <c r="K10745" s="5"/>
      <c r="L10745" s="5"/>
    </row>
    <row r="10746" spans="1:12" ht="12" customHeight="1" x14ac:dyDescent="0.25">
      <c r="A10746" s="6"/>
      <c r="B10746" s="1"/>
      <c r="C10746" s="5"/>
      <c r="D10746" s="5"/>
      <c r="E10746" s="5"/>
      <c r="F10746" s="5"/>
      <c r="G10746" s="5"/>
      <c r="H10746" s="5"/>
      <c r="I10746" s="5"/>
      <c r="J10746" s="5"/>
      <c r="K10746" s="5"/>
      <c r="L10746" s="5"/>
    </row>
    <row r="10747" spans="1:12" ht="12" customHeight="1" x14ac:dyDescent="0.25">
      <c r="A10747" s="6"/>
      <c r="B10747" s="1"/>
      <c r="C10747" s="5"/>
      <c r="D10747" s="5"/>
      <c r="E10747" s="5"/>
      <c r="F10747" s="5"/>
      <c r="G10747" s="5"/>
      <c r="H10747" s="5"/>
      <c r="I10747" s="5"/>
      <c r="J10747" s="5"/>
      <c r="K10747" s="5"/>
      <c r="L10747" s="5"/>
    </row>
    <row r="10748" spans="1:12" ht="12" customHeight="1" x14ac:dyDescent="0.25">
      <c r="A10748" s="6"/>
      <c r="B10748" s="1"/>
      <c r="C10748" s="5"/>
      <c r="D10748" s="5"/>
      <c r="E10748" s="5"/>
      <c r="F10748" s="5"/>
      <c r="G10748" s="5"/>
      <c r="H10748" s="5"/>
      <c r="I10748" s="5"/>
      <c r="J10748" s="5"/>
      <c r="K10748" s="5"/>
      <c r="L10748" s="5"/>
    </row>
    <row r="10749" spans="1:12" ht="12" customHeight="1" x14ac:dyDescent="0.25">
      <c r="A10749" s="6"/>
      <c r="B10749" s="1"/>
      <c r="C10749" s="5"/>
      <c r="D10749" s="5"/>
      <c r="E10749" s="5"/>
      <c r="F10749" s="5"/>
      <c r="G10749" s="5"/>
      <c r="H10749" s="5"/>
      <c r="I10749" s="5"/>
      <c r="J10749" s="5"/>
      <c r="K10749" s="5"/>
      <c r="L10749" s="5"/>
    </row>
    <row r="10750" spans="1:12" ht="12" customHeight="1" x14ac:dyDescent="0.25">
      <c r="A10750" s="6"/>
      <c r="B10750" s="1"/>
      <c r="C10750" s="5"/>
      <c r="D10750" s="5"/>
      <c r="E10750" s="5"/>
      <c r="F10750" s="5"/>
      <c r="G10750" s="5"/>
      <c r="H10750" s="5"/>
      <c r="I10750" s="5"/>
      <c r="J10750" s="5"/>
      <c r="K10750" s="5"/>
      <c r="L10750" s="5"/>
    </row>
    <row r="10751" spans="1:12" ht="12" customHeight="1" x14ac:dyDescent="0.25">
      <c r="A10751" s="6"/>
      <c r="B10751" s="1"/>
      <c r="C10751" s="5"/>
      <c r="D10751" s="5"/>
      <c r="E10751" s="5"/>
      <c r="F10751" s="5"/>
      <c r="G10751" s="5"/>
      <c r="H10751" s="5"/>
      <c r="I10751" s="5"/>
      <c r="J10751" s="5"/>
      <c r="K10751" s="5"/>
      <c r="L10751" s="5"/>
    </row>
    <row r="10752" spans="1:12" ht="12" customHeight="1" x14ac:dyDescent="0.25">
      <c r="A10752" s="6"/>
      <c r="B10752" s="1"/>
      <c r="C10752" s="5"/>
      <c r="D10752" s="5"/>
      <c r="E10752" s="5"/>
      <c r="F10752" s="5"/>
      <c r="G10752" s="5"/>
      <c r="H10752" s="5"/>
      <c r="I10752" s="5"/>
      <c r="J10752" s="5"/>
      <c r="K10752" s="5"/>
      <c r="L10752" s="5"/>
    </row>
    <row r="10753" spans="1:12" ht="12" customHeight="1" x14ac:dyDescent="0.25">
      <c r="A10753" s="6"/>
      <c r="B10753" s="1"/>
      <c r="C10753" s="5"/>
      <c r="D10753" s="5"/>
      <c r="E10753" s="5"/>
      <c r="F10753" s="5"/>
      <c r="G10753" s="5"/>
      <c r="H10753" s="5"/>
      <c r="I10753" s="5"/>
      <c r="J10753" s="5"/>
      <c r="K10753" s="5"/>
      <c r="L10753" s="5"/>
    </row>
    <row r="10754" spans="1:12" ht="12" customHeight="1" x14ac:dyDescent="0.25">
      <c r="A10754" s="6"/>
      <c r="B10754" s="1"/>
      <c r="C10754" s="5"/>
      <c r="D10754" s="5"/>
      <c r="E10754" s="5"/>
      <c r="F10754" s="5"/>
      <c r="G10754" s="5"/>
      <c r="H10754" s="5"/>
      <c r="I10754" s="5"/>
      <c r="J10754" s="5"/>
      <c r="K10754" s="5"/>
      <c r="L10754" s="5"/>
    </row>
    <row r="10755" spans="1:12" ht="12" customHeight="1" x14ac:dyDescent="0.25">
      <c r="A10755" s="6"/>
      <c r="B10755" s="1"/>
      <c r="C10755" s="5"/>
      <c r="D10755" s="5"/>
      <c r="E10755" s="5"/>
      <c r="F10755" s="5"/>
      <c r="G10755" s="5"/>
      <c r="H10755" s="5"/>
      <c r="I10755" s="5"/>
      <c r="J10755" s="5"/>
      <c r="K10755" s="5"/>
      <c r="L10755" s="5"/>
    </row>
    <row r="10756" spans="1:12" ht="12" customHeight="1" x14ac:dyDescent="0.25">
      <c r="A10756" s="6"/>
      <c r="B10756" s="1"/>
      <c r="C10756" s="5"/>
      <c r="D10756" s="5"/>
      <c r="E10756" s="5"/>
      <c r="F10756" s="5"/>
      <c r="G10756" s="5"/>
      <c r="H10756" s="5"/>
      <c r="I10756" s="5"/>
      <c r="J10756" s="5"/>
      <c r="K10756" s="5"/>
      <c r="L10756" s="5"/>
    </row>
    <row r="10757" spans="1:12" ht="12" customHeight="1" x14ac:dyDescent="0.25">
      <c r="A10757" s="6"/>
      <c r="B10757" s="1"/>
      <c r="C10757" s="5"/>
      <c r="D10757" s="5"/>
      <c r="E10757" s="5"/>
      <c r="F10757" s="5"/>
      <c r="G10757" s="5"/>
      <c r="H10757" s="5"/>
      <c r="I10757" s="5"/>
      <c r="J10757" s="5"/>
      <c r="K10757" s="5"/>
      <c r="L10757" s="5"/>
    </row>
    <row r="10758" spans="1:12" ht="12" customHeight="1" x14ac:dyDescent="0.25">
      <c r="A10758" s="6"/>
      <c r="B10758" s="1"/>
      <c r="C10758" s="5"/>
      <c r="D10758" s="5"/>
      <c r="E10758" s="5"/>
      <c r="F10758" s="5"/>
      <c r="G10758" s="5"/>
      <c r="H10758" s="5"/>
      <c r="I10758" s="5"/>
      <c r="J10758" s="5"/>
      <c r="K10758" s="5"/>
      <c r="L10758" s="5"/>
    </row>
    <row r="10759" spans="1:12" ht="12" customHeight="1" x14ac:dyDescent="0.25">
      <c r="A10759" s="6"/>
      <c r="B10759" s="1"/>
      <c r="C10759" s="5"/>
      <c r="D10759" s="5"/>
      <c r="E10759" s="5"/>
      <c r="F10759" s="5"/>
      <c r="G10759" s="5"/>
      <c r="H10759" s="5"/>
      <c r="I10759" s="5"/>
      <c r="J10759" s="5"/>
      <c r="K10759" s="5"/>
      <c r="L10759" s="5"/>
    </row>
    <row r="10760" spans="1:12" ht="12" customHeight="1" x14ac:dyDescent="0.25">
      <c r="A10760" s="6"/>
      <c r="B10760" s="1"/>
      <c r="C10760" s="5"/>
      <c r="D10760" s="5"/>
      <c r="E10760" s="5"/>
      <c r="F10760" s="5"/>
      <c r="G10760" s="5"/>
      <c r="H10760" s="5"/>
      <c r="I10760" s="5"/>
      <c r="J10760" s="5"/>
      <c r="K10760" s="5"/>
      <c r="L10760" s="5"/>
    </row>
    <row r="10761" spans="1:12" ht="12" customHeight="1" x14ac:dyDescent="0.25">
      <c r="A10761" s="6"/>
      <c r="B10761" s="1"/>
      <c r="C10761" s="5"/>
      <c r="D10761" s="5"/>
      <c r="E10761" s="5"/>
      <c r="F10761" s="5"/>
      <c r="G10761" s="5"/>
      <c r="H10761" s="5"/>
      <c r="I10761" s="5"/>
      <c r="J10761" s="5"/>
      <c r="K10761" s="5"/>
      <c r="L10761" s="5"/>
    </row>
    <row r="10762" spans="1:12" ht="12" customHeight="1" x14ac:dyDescent="0.25">
      <c r="A10762" s="6"/>
      <c r="B10762" s="1"/>
      <c r="C10762" s="5"/>
      <c r="D10762" s="5"/>
      <c r="E10762" s="5"/>
      <c r="F10762" s="5"/>
      <c r="G10762" s="5"/>
      <c r="H10762" s="5"/>
      <c r="I10762" s="5"/>
      <c r="J10762" s="5"/>
      <c r="K10762" s="5"/>
      <c r="L10762" s="5"/>
    </row>
    <row r="10763" spans="1:12" ht="12" customHeight="1" x14ac:dyDescent="0.25">
      <c r="A10763" s="6"/>
      <c r="B10763" s="1"/>
      <c r="C10763" s="5"/>
      <c r="D10763" s="5"/>
      <c r="E10763" s="5"/>
      <c r="F10763" s="5"/>
      <c r="G10763" s="5"/>
      <c r="H10763" s="5"/>
      <c r="I10763" s="5"/>
      <c r="J10763" s="5"/>
      <c r="K10763" s="5"/>
      <c r="L10763" s="5"/>
    </row>
    <row r="10764" spans="1:12" ht="12" customHeight="1" x14ac:dyDescent="0.25">
      <c r="A10764" s="6"/>
      <c r="B10764" s="1"/>
      <c r="C10764" s="5"/>
      <c r="D10764" s="5"/>
      <c r="E10764" s="5"/>
      <c r="F10764" s="5"/>
      <c r="G10764" s="5"/>
      <c r="H10764" s="5"/>
      <c r="I10764" s="5"/>
      <c r="J10764" s="5"/>
      <c r="K10764" s="5"/>
      <c r="L10764" s="5"/>
    </row>
    <row r="10765" spans="1:12" ht="12" customHeight="1" x14ac:dyDescent="0.25">
      <c r="A10765" s="6"/>
      <c r="B10765" s="1"/>
      <c r="C10765" s="5"/>
      <c r="D10765" s="5"/>
      <c r="E10765" s="5"/>
      <c r="F10765" s="5"/>
      <c r="G10765" s="5"/>
      <c r="H10765" s="5"/>
      <c r="I10765" s="5"/>
      <c r="J10765" s="5"/>
      <c r="K10765" s="5"/>
      <c r="L10765" s="5"/>
    </row>
    <row r="10766" spans="1:12" ht="12" customHeight="1" x14ac:dyDescent="0.25">
      <c r="A10766" s="6"/>
      <c r="B10766" s="1"/>
      <c r="C10766" s="5"/>
      <c r="D10766" s="5"/>
      <c r="E10766" s="5"/>
      <c r="F10766" s="5"/>
      <c r="G10766" s="5"/>
      <c r="H10766" s="5"/>
      <c r="I10766" s="5"/>
      <c r="J10766" s="5"/>
      <c r="K10766" s="5"/>
      <c r="L10766" s="5"/>
    </row>
    <row r="10767" spans="1:12" ht="12" customHeight="1" x14ac:dyDescent="0.25">
      <c r="A10767" s="6"/>
      <c r="B10767" s="1"/>
      <c r="C10767" s="5"/>
      <c r="D10767" s="5"/>
      <c r="E10767" s="5"/>
      <c r="F10767" s="5"/>
      <c r="G10767" s="5"/>
      <c r="H10767" s="5"/>
      <c r="I10767" s="5"/>
      <c r="J10767" s="5"/>
      <c r="K10767" s="5"/>
      <c r="L10767" s="5"/>
    </row>
    <row r="10768" spans="1:12" ht="12" customHeight="1" x14ac:dyDescent="0.25">
      <c r="A10768" s="6"/>
      <c r="B10768" s="1"/>
      <c r="C10768" s="5"/>
      <c r="D10768" s="5"/>
      <c r="E10768" s="5"/>
      <c r="F10768" s="5"/>
      <c r="G10768" s="5"/>
      <c r="H10768" s="5"/>
      <c r="I10768" s="5"/>
      <c r="J10768" s="5"/>
      <c r="K10768" s="5"/>
      <c r="L10768" s="5"/>
    </row>
    <row r="10769" spans="1:12" ht="12" customHeight="1" x14ac:dyDescent="0.25">
      <c r="A10769" s="6"/>
      <c r="B10769" s="1"/>
      <c r="C10769" s="5"/>
      <c r="D10769" s="5"/>
      <c r="E10769" s="5"/>
      <c r="F10769" s="5"/>
      <c r="G10769" s="5"/>
      <c r="H10769" s="5"/>
      <c r="I10769" s="5"/>
      <c r="J10769" s="5"/>
      <c r="K10769" s="5"/>
      <c r="L10769" s="5"/>
    </row>
    <row r="10770" spans="1:12" ht="12" customHeight="1" x14ac:dyDescent="0.25">
      <c r="A10770" s="6"/>
      <c r="B10770" s="1"/>
      <c r="C10770" s="5"/>
      <c r="D10770" s="5"/>
      <c r="E10770" s="5"/>
      <c r="F10770" s="5"/>
      <c r="G10770" s="5"/>
      <c r="H10770" s="5"/>
      <c r="I10770" s="5"/>
      <c r="J10770" s="5"/>
      <c r="K10770" s="5"/>
      <c r="L10770" s="5"/>
    </row>
    <row r="10771" spans="1:12" ht="12" customHeight="1" x14ac:dyDescent="0.25">
      <c r="A10771" s="6"/>
      <c r="B10771" s="1"/>
      <c r="C10771" s="5"/>
      <c r="D10771" s="5"/>
      <c r="E10771" s="5"/>
      <c r="F10771" s="5"/>
      <c r="G10771" s="5"/>
      <c r="H10771" s="5"/>
      <c r="I10771" s="5"/>
      <c r="J10771" s="5"/>
      <c r="K10771" s="5"/>
      <c r="L10771" s="5"/>
    </row>
    <row r="10772" spans="1:12" ht="12" customHeight="1" x14ac:dyDescent="0.25">
      <c r="A10772" s="6"/>
      <c r="B10772" s="1"/>
      <c r="C10772" s="5"/>
      <c r="D10772" s="5"/>
      <c r="E10772" s="5"/>
      <c r="F10772" s="5"/>
      <c r="G10772" s="5"/>
      <c r="H10772" s="5"/>
      <c r="I10772" s="5"/>
      <c r="J10772" s="5"/>
      <c r="K10772" s="5"/>
      <c r="L10772" s="5"/>
    </row>
    <row r="10773" spans="1:12" ht="12" customHeight="1" x14ac:dyDescent="0.25">
      <c r="A10773" s="6"/>
      <c r="B10773" s="1"/>
      <c r="C10773" s="5"/>
      <c r="D10773" s="5"/>
      <c r="E10773" s="5"/>
      <c r="F10773" s="5"/>
      <c r="G10773" s="5"/>
      <c r="H10773" s="5"/>
      <c r="I10773" s="5"/>
      <c r="J10773" s="5"/>
      <c r="K10773" s="5"/>
      <c r="L10773" s="5"/>
    </row>
    <row r="10774" spans="1:12" ht="12" customHeight="1" x14ac:dyDescent="0.25">
      <c r="A10774" s="6"/>
      <c r="B10774" s="1"/>
      <c r="C10774" s="5"/>
      <c r="D10774" s="5"/>
      <c r="E10774" s="5"/>
      <c r="F10774" s="5"/>
      <c r="G10774" s="5"/>
      <c r="H10774" s="5"/>
      <c r="I10774" s="5"/>
      <c r="J10774" s="5"/>
      <c r="K10774" s="5"/>
      <c r="L10774" s="5"/>
    </row>
    <row r="10775" spans="1:12" ht="12" customHeight="1" x14ac:dyDescent="0.25">
      <c r="A10775" s="6"/>
      <c r="B10775" s="1"/>
      <c r="C10775" s="5"/>
      <c r="D10775" s="5"/>
      <c r="E10775" s="5"/>
      <c r="F10775" s="5"/>
      <c r="G10775" s="5"/>
      <c r="H10775" s="5"/>
      <c r="I10775" s="5"/>
      <c r="J10775" s="5"/>
      <c r="K10775" s="5"/>
      <c r="L10775" s="5"/>
    </row>
    <row r="10776" spans="1:12" ht="12" customHeight="1" x14ac:dyDescent="0.25">
      <c r="A10776" s="6"/>
      <c r="B10776" s="1"/>
      <c r="C10776" s="5"/>
      <c r="D10776" s="5"/>
      <c r="E10776" s="5"/>
      <c r="F10776" s="5"/>
      <c r="G10776" s="5"/>
      <c r="H10776" s="5"/>
      <c r="I10776" s="5"/>
      <c r="J10776" s="5"/>
      <c r="K10776" s="5"/>
      <c r="L10776" s="5"/>
    </row>
    <row r="10777" spans="1:12" ht="12" customHeight="1" x14ac:dyDescent="0.25">
      <c r="A10777" s="6"/>
      <c r="B10777" s="1"/>
      <c r="C10777" s="5"/>
      <c r="D10777" s="5"/>
      <c r="E10777" s="5"/>
      <c r="F10777" s="5"/>
      <c r="G10777" s="5"/>
      <c r="H10777" s="5"/>
      <c r="I10777" s="5"/>
      <c r="J10777" s="5"/>
      <c r="K10777" s="5"/>
      <c r="L10777" s="5"/>
    </row>
    <row r="10778" spans="1:12" ht="12" customHeight="1" x14ac:dyDescent="0.25">
      <c r="A10778" s="6"/>
      <c r="B10778" s="1"/>
      <c r="C10778" s="5"/>
      <c r="D10778" s="5"/>
      <c r="E10778" s="5"/>
      <c r="F10778" s="5"/>
      <c r="G10778" s="5"/>
      <c r="H10778" s="5"/>
      <c r="I10778" s="5"/>
      <c r="J10778" s="5"/>
      <c r="K10778" s="5"/>
      <c r="L10778" s="5"/>
    </row>
    <row r="10779" spans="1:12" ht="12" customHeight="1" x14ac:dyDescent="0.25">
      <c r="A10779" s="6"/>
      <c r="B10779" s="1"/>
      <c r="C10779" s="5"/>
      <c r="D10779" s="5"/>
      <c r="E10779" s="5"/>
      <c r="F10779" s="5"/>
      <c r="G10779" s="5"/>
      <c r="H10779" s="5"/>
      <c r="I10779" s="5"/>
      <c r="J10779" s="5"/>
      <c r="K10779" s="5"/>
      <c r="L10779" s="5"/>
    </row>
    <row r="10780" spans="1:12" ht="12" customHeight="1" x14ac:dyDescent="0.25">
      <c r="A10780" s="6"/>
      <c r="B10780" s="1"/>
      <c r="C10780" s="5"/>
      <c r="D10780" s="5"/>
      <c r="E10780" s="5"/>
      <c r="F10780" s="5"/>
      <c r="G10780" s="5"/>
      <c r="H10780" s="5"/>
      <c r="I10780" s="5"/>
      <c r="J10780" s="5"/>
      <c r="K10780" s="5"/>
      <c r="L10780" s="5"/>
    </row>
    <row r="10781" spans="1:12" ht="12" customHeight="1" x14ac:dyDescent="0.25">
      <c r="A10781" s="6"/>
      <c r="B10781" s="1"/>
      <c r="C10781" s="5"/>
      <c r="D10781" s="5"/>
      <c r="E10781" s="5"/>
      <c r="F10781" s="5"/>
      <c r="G10781" s="5"/>
      <c r="H10781" s="5"/>
      <c r="I10781" s="5"/>
      <c r="J10781" s="5"/>
      <c r="K10781" s="5"/>
      <c r="L10781" s="5"/>
    </row>
    <row r="10782" spans="1:12" ht="12" customHeight="1" x14ac:dyDescent="0.25">
      <c r="A10782" s="6"/>
      <c r="B10782" s="1"/>
      <c r="C10782" s="5"/>
      <c r="D10782" s="5"/>
      <c r="E10782" s="5"/>
      <c r="F10782" s="5"/>
      <c r="G10782" s="5"/>
      <c r="H10782" s="5"/>
      <c r="I10782" s="5"/>
      <c r="J10782" s="5"/>
      <c r="K10782" s="5"/>
      <c r="L10782" s="5"/>
    </row>
    <row r="10783" spans="1:12" ht="12" customHeight="1" x14ac:dyDescent="0.25">
      <c r="A10783" s="6"/>
      <c r="B10783" s="1"/>
      <c r="C10783" s="5"/>
      <c r="D10783" s="5"/>
      <c r="E10783" s="5"/>
      <c r="F10783" s="5"/>
      <c r="G10783" s="5"/>
      <c r="H10783" s="5"/>
      <c r="I10783" s="5"/>
      <c r="J10783" s="5"/>
      <c r="K10783" s="5"/>
      <c r="L10783" s="5"/>
    </row>
    <row r="10784" spans="1:12" ht="12" customHeight="1" x14ac:dyDescent="0.25">
      <c r="A10784" s="6"/>
      <c r="B10784" s="1"/>
      <c r="C10784" s="5"/>
      <c r="D10784" s="5"/>
      <c r="E10784" s="5"/>
      <c r="F10784" s="5"/>
      <c r="G10784" s="5"/>
      <c r="H10784" s="5"/>
      <c r="I10784" s="5"/>
      <c r="J10784" s="5"/>
      <c r="K10784" s="5"/>
      <c r="L10784" s="5"/>
    </row>
    <row r="10785" spans="1:12" ht="12" customHeight="1" x14ac:dyDescent="0.25">
      <c r="A10785" s="6"/>
      <c r="B10785" s="1"/>
      <c r="C10785" s="5"/>
      <c r="D10785" s="5"/>
      <c r="E10785" s="5"/>
      <c r="F10785" s="5"/>
      <c r="G10785" s="5"/>
      <c r="H10785" s="5"/>
      <c r="I10785" s="5"/>
      <c r="J10785" s="5"/>
      <c r="K10785" s="5"/>
      <c r="L10785" s="5"/>
    </row>
    <row r="10786" spans="1:12" ht="12" customHeight="1" x14ac:dyDescent="0.25">
      <c r="A10786" s="6"/>
      <c r="B10786" s="1"/>
      <c r="C10786" s="5"/>
      <c r="D10786" s="5"/>
      <c r="E10786" s="5"/>
      <c r="F10786" s="5"/>
      <c r="G10786" s="5"/>
      <c r="H10786" s="5"/>
      <c r="I10786" s="5"/>
      <c r="J10786" s="5"/>
      <c r="K10786" s="5"/>
      <c r="L10786" s="5"/>
    </row>
    <row r="10787" spans="1:12" ht="12" customHeight="1" x14ac:dyDescent="0.25">
      <c r="A10787" s="6"/>
      <c r="B10787" s="1"/>
      <c r="C10787" s="5"/>
      <c r="D10787" s="5"/>
      <c r="E10787" s="5"/>
      <c r="F10787" s="5"/>
      <c r="G10787" s="5"/>
      <c r="H10787" s="5"/>
      <c r="I10787" s="5"/>
      <c r="J10787" s="5"/>
      <c r="K10787" s="5"/>
      <c r="L10787" s="5"/>
    </row>
    <row r="10788" spans="1:12" ht="12" customHeight="1" x14ac:dyDescent="0.25">
      <c r="A10788" s="6"/>
      <c r="B10788" s="1"/>
      <c r="C10788" s="5"/>
      <c r="D10788" s="5"/>
      <c r="E10788" s="5"/>
      <c r="F10788" s="5"/>
      <c r="G10788" s="5"/>
      <c r="H10788" s="5"/>
      <c r="I10788" s="5"/>
      <c r="J10788" s="5"/>
      <c r="K10788" s="5"/>
      <c r="L10788" s="5"/>
    </row>
    <row r="10789" spans="1:12" ht="12" customHeight="1" x14ac:dyDescent="0.25">
      <c r="A10789" s="6"/>
      <c r="B10789" s="1"/>
      <c r="C10789" s="5"/>
      <c r="D10789" s="5"/>
      <c r="E10789" s="5"/>
      <c r="F10789" s="5"/>
      <c r="G10789" s="5"/>
      <c r="H10789" s="5"/>
      <c r="I10789" s="5"/>
      <c r="J10789" s="5"/>
      <c r="K10789" s="5"/>
      <c r="L10789" s="5"/>
    </row>
    <row r="10790" spans="1:12" ht="12" customHeight="1" x14ac:dyDescent="0.25">
      <c r="A10790" s="6"/>
      <c r="B10790" s="1"/>
      <c r="C10790" s="5"/>
      <c r="D10790" s="5"/>
      <c r="E10790" s="5"/>
      <c r="F10790" s="5"/>
      <c r="G10790" s="5"/>
      <c r="H10790" s="5"/>
      <c r="I10790" s="5"/>
      <c r="J10790" s="5"/>
      <c r="K10790" s="5"/>
      <c r="L10790" s="5"/>
    </row>
    <row r="10791" spans="1:12" ht="12" customHeight="1" x14ac:dyDescent="0.25">
      <c r="A10791" s="6"/>
      <c r="B10791" s="1"/>
      <c r="C10791" s="5"/>
      <c r="D10791" s="5"/>
      <c r="E10791" s="5"/>
      <c r="F10791" s="5"/>
      <c r="G10791" s="5"/>
      <c r="H10791" s="5"/>
      <c r="I10791" s="5"/>
      <c r="J10791" s="5"/>
      <c r="K10791" s="5"/>
      <c r="L10791" s="5"/>
    </row>
    <row r="10792" spans="1:12" ht="12" customHeight="1" x14ac:dyDescent="0.25">
      <c r="A10792" s="6"/>
      <c r="B10792" s="1"/>
      <c r="C10792" s="5"/>
      <c r="D10792" s="5"/>
      <c r="E10792" s="5"/>
      <c r="F10792" s="5"/>
      <c r="G10792" s="5"/>
      <c r="H10792" s="5"/>
      <c r="I10792" s="5"/>
      <c r="J10792" s="5"/>
      <c r="K10792" s="5"/>
      <c r="L10792" s="5"/>
    </row>
    <row r="10793" spans="1:12" ht="12" customHeight="1" x14ac:dyDescent="0.25">
      <c r="A10793" s="6"/>
      <c r="B10793" s="1"/>
      <c r="C10793" s="5"/>
      <c r="D10793" s="5"/>
      <c r="E10793" s="5"/>
      <c r="F10793" s="5"/>
      <c r="G10793" s="5"/>
      <c r="H10793" s="5"/>
      <c r="I10793" s="5"/>
      <c r="J10793" s="5"/>
      <c r="K10793" s="5"/>
      <c r="L10793" s="5"/>
    </row>
    <row r="10794" spans="1:12" ht="12" customHeight="1" x14ac:dyDescent="0.25">
      <c r="A10794" s="6"/>
      <c r="B10794" s="1"/>
      <c r="C10794" s="5"/>
      <c r="D10794" s="5"/>
      <c r="E10794" s="5"/>
      <c r="F10794" s="5"/>
      <c r="G10794" s="5"/>
      <c r="H10794" s="5"/>
      <c r="I10794" s="5"/>
      <c r="J10794" s="5"/>
      <c r="K10794" s="5"/>
      <c r="L10794" s="5"/>
    </row>
    <row r="10795" spans="1:12" ht="12" customHeight="1" x14ac:dyDescent="0.25">
      <c r="A10795" s="6"/>
      <c r="B10795" s="1"/>
      <c r="C10795" s="5"/>
      <c r="D10795" s="5"/>
      <c r="E10795" s="5"/>
      <c r="F10795" s="5"/>
      <c r="G10795" s="5"/>
      <c r="H10795" s="5"/>
      <c r="I10795" s="5"/>
      <c r="J10795" s="5"/>
      <c r="K10795" s="5"/>
      <c r="L10795" s="5"/>
    </row>
    <row r="10796" spans="1:12" ht="12" customHeight="1" x14ac:dyDescent="0.25">
      <c r="A10796" s="6"/>
      <c r="B10796" s="1"/>
      <c r="C10796" s="5"/>
      <c r="D10796" s="5"/>
      <c r="E10796" s="5"/>
      <c r="F10796" s="5"/>
      <c r="G10796" s="5"/>
      <c r="H10796" s="5"/>
      <c r="I10796" s="5"/>
      <c r="J10796" s="5"/>
      <c r="K10796" s="5"/>
      <c r="L10796" s="5"/>
    </row>
    <row r="10797" spans="1:12" ht="12" customHeight="1" x14ac:dyDescent="0.25">
      <c r="A10797" s="6"/>
      <c r="B10797" s="1"/>
      <c r="C10797" s="5"/>
      <c r="D10797" s="5"/>
      <c r="E10797" s="5"/>
      <c r="F10797" s="5"/>
      <c r="G10797" s="5"/>
      <c r="H10797" s="5"/>
      <c r="I10797" s="5"/>
      <c r="J10797" s="5"/>
      <c r="K10797" s="5"/>
      <c r="L10797" s="5"/>
    </row>
    <row r="10798" spans="1:12" ht="12" customHeight="1" x14ac:dyDescent="0.25">
      <c r="A10798" s="6"/>
      <c r="B10798" s="1"/>
      <c r="C10798" s="5"/>
      <c r="D10798" s="5"/>
      <c r="E10798" s="5"/>
      <c r="F10798" s="5"/>
      <c r="G10798" s="5"/>
      <c r="H10798" s="5"/>
      <c r="I10798" s="5"/>
      <c r="J10798" s="5"/>
      <c r="K10798" s="5"/>
      <c r="L10798" s="5"/>
    </row>
    <row r="10799" spans="1:12" ht="12" customHeight="1" x14ac:dyDescent="0.25">
      <c r="A10799" s="6"/>
      <c r="B10799" s="1"/>
      <c r="C10799" s="5"/>
      <c r="D10799" s="5"/>
      <c r="E10799" s="5"/>
      <c r="F10799" s="5"/>
      <c r="G10799" s="5"/>
      <c r="H10799" s="5"/>
      <c r="I10799" s="5"/>
      <c r="J10799" s="5"/>
      <c r="K10799" s="5"/>
      <c r="L10799" s="5"/>
    </row>
    <row r="10800" spans="1:12" ht="12" customHeight="1" x14ac:dyDescent="0.25">
      <c r="A10800" s="6"/>
      <c r="B10800" s="1"/>
      <c r="C10800" s="5"/>
      <c r="D10800" s="5"/>
      <c r="E10800" s="5"/>
      <c r="F10800" s="5"/>
      <c r="G10800" s="5"/>
      <c r="H10800" s="5"/>
      <c r="I10800" s="5"/>
      <c r="J10800" s="5"/>
      <c r="K10800" s="5"/>
      <c r="L10800" s="5"/>
    </row>
    <row r="10801" spans="1:12" ht="12" customHeight="1" x14ac:dyDescent="0.25">
      <c r="A10801" s="6"/>
      <c r="B10801" s="1"/>
      <c r="C10801" s="5"/>
      <c r="D10801" s="5"/>
      <c r="E10801" s="5"/>
      <c r="F10801" s="5"/>
      <c r="G10801" s="5"/>
      <c r="H10801" s="5"/>
      <c r="I10801" s="5"/>
      <c r="J10801" s="5"/>
      <c r="K10801" s="5"/>
      <c r="L10801" s="5"/>
    </row>
    <row r="10802" spans="1:12" ht="12" customHeight="1" x14ac:dyDescent="0.25">
      <c r="A10802" s="6"/>
      <c r="B10802" s="1"/>
      <c r="C10802" s="5"/>
      <c r="D10802" s="5"/>
      <c r="E10802" s="5"/>
      <c r="F10802" s="5"/>
      <c r="G10802" s="5"/>
      <c r="H10802" s="5"/>
      <c r="I10802" s="5"/>
      <c r="J10802" s="5"/>
      <c r="K10802" s="5"/>
      <c r="L10802" s="5"/>
    </row>
    <row r="10803" spans="1:12" ht="12" customHeight="1" x14ac:dyDescent="0.25">
      <c r="A10803" s="6"/>
      <c r="B10803" s="1"/>
      <c r="C10803" s="5"/>
      <c r="D10803" s="5"/>
      <c r="E10803" s="5"/>
      <c r="F10803" s="5"/>
      <c r="G10803" s="5"/>
      <c r="H10803" s="5"/>
      <c r="I10803" s="5"/>
      <c r="J10803" s="5"/>
      <c r="K10803" s="5"/>
      <c r="L10803" s="5"/>
    </row>
    <row r="10804" spans="1:12" ht="12" customHeight="1" x14ac:dyDescent="0.25">
      <c r="A10804" s="6"/>
      <c r="B10804" s="1"/>
      <c r="C10804" s="5"/>
      <c r="D10804" s="5"/>
      <c r="E10804" s="5"/>
      <c r="F10804" s="5"/>
      <c r="G10804" s="5"/>
      <c r="H10804" s="5"/>
      <c r="I10804" s="5"/>
      <c r="J10804" s="5"/>
      <c r="K10804" s="5"/>
      <c r="L10804" s="5"/>
    </row>
    <row r="10805" spans="1:12" ht="12" customHeight="1" x14ac:dyDescent="0.25">
      <c r="A10805" s="6"/>
      <c r="B10805" s="1"/>
      <c r="C10805" s="5"/>
      <c r="D10805" s="5"/>
      <c r="E10805" s="5"/>
      <c r="F10805" s="5"/>
      <c r="G10805" s="5"/>
      <c r="H10805" s="5"/>
      <c r="I10805" s="5"/>
      <c r="J10805" s="5"/>
      <c r="K10805" s="5"/>
      <c r="L10805" s="5"/>
    </row>
    <row r="10806" spans="1:12" ht="12" customHeight="1" x14ac:dyDescent="0.25">
      <c r="A10806" s="6"/>
      <c r="B10806" s="1"/>
      <c r="C10806" s="5"/>
      <c r="D10806" s="5"/>
      <c r="E10806" s="5"/>
      <c r="F10806" s="5"/>
      <c r="G10806" s="5"/>
      <c r="H10806" s="5"/>
      <c r="I10806" s="5"/>
      <c r="J10806" s="5"/>
      <c r="K10806" s="5"/>
      <c r="L10806" s="5"/>
    </row>
    <row r="10807" spans="1:12" ht="12" customHeight="1" x14ac:dyDescent="0.25">
      <c r="A10807" s="6"/>
      <c r="B10807" s="1"/>
      <c r="C10807" s="5"/>
      <c r="D10807" s="5"/>
      <c r="E10807" s="5"/>
      <c r="F10807" s="5"/>
      <c r="G10807" s="5"/>
      <c r="H10807" s="5"/>
      <c r="I10807" s="5"/>
      <c r="J10807" s="5"/>
      <c r="K10807" s="5"/>
      <c r="L10807" s="5"/>
    </row>
    <row r="10808" spans="1:12" ht="12" customHeight="1" x14ac:dyDescent="0.25">
      <c r="A10808" s="6"/>
      <c r="B10808" s="1"/>
      <c r="C10808" s="5"/>
      <c r="D10808" s="5"/>
      <c r="E10808" s="5"/>
      <c r="F10808" s="5"/>
      <c r="G10808" s="5"/>
      <c r="H10808" s="5"/>
      <c r="I10808" s="5"/>
      <c r="J10808" s="5"/>
      <c r="K10808" s="5"/>
      <c r="L10808" s="5"/>
    </row>
    <row r="10809" spans="1:12" ht="12" customHeight="1" x14ac:dyDescent="0.25">
      <c r="A10809" s="6"/>
      <c r="B10809" s="1"/>
      <c r="C10809" s="5"/>
      <c r="D10809" s="5"/>
      <c r="E10809" s="5"/>
      <c r="F10809" s="5"/>
      <c r="G10809" s="5"/>
      <c r="H10809" s="5"/>
      <c r="I10809" s="5"/>
      <c r="J10809" s="5"/>
      <c r="K10809" s="5"/>
      <c r="L10809" s="5"/>
    </row>
    <row r="10810" spans="1:12" ht="12" customHeight="1" x14ac:dyDescent="0.25">
      <c r="A10810" s="6"/>
      <c r="B10810" s="1"/>
      <c r="C10810" s="5"/>
      <c r="D10810" s="5"/>
      <c r="E10810" s="5"/>
      <c r="F10810" s="5"/>
      <c r="G10810" s="5"/>
      <c r="H10810" s="5"/>
      <c r="I10810" s="5"/>
      <c r="J10810" s="5"/>
      <c r="K10810" s="5"/>
      <c r="L10810" s="5"/>
    </row>
    <row r="10811" spans="1:12" ht="12" customHeight="1" x14ac:dyDescent="0.25">
      <c r="A10811" s="6"/>
      <c r="B10811" s="1"/>
      <c r="C10811" s="5"/>
      <c r="D10811" s="5"/>
      <c r="E10811" s="5"/>
      <c r="F10811" s="5"/>
      <c r="G10811" s="5"/>
      <c r="H10811" s="5"/>
      <c r="I10811" s="5"/>
      <c r="J10811" s="5"/>
      <c r="K10811" s="5"/>
      <c r="L10811" s="5"/>
    </row>
    <row r="10812" spans="1:12" ht="12" customHeight="1" x14ac:dyDescent="0.25">
      <c r="A10812" s="6"/>
      <c r="B10812" s="1"/>
      <c r="C10812" s="5"/>
      <c r="D10812" s="5"/>
      <c r="E10812" s="5"/>
      <c r="F10812" s="5"/>
      <c r="G10812" s="5"/>
      <c r="H10812" s="5"/>
      <c r="I10812" s="5"/>
      <c r="J10812" s="5"/>
      <c r="K10812" s="5"/>
      <c r="L10812" s="5"/>
    </row>
    <row r="10813" spans="1:12" ht="12" customHeight="1" x14ac:dyDescent="0.25">
      <c r="A10813" s="6"/>
      <c r="B10813" s="1"/>
      <c r="C10813" s="5"/>
      <c r="D10813" s="5"/>
      <c r="E10813" s="5"/>
      <c r="F10813" s="5"/>
      <c r="G10813" s="5"/>
      <c r="H10813" s="5"/>
      <c r="I10813" s="5"/>
      <c r="J10813" s="5"/>
      <c r="K10813" s="5"/>
      <c r="L10813" s="5"/>
    </row>
    <row r="10814" spans="1:12" ht="12" customHeight="1" x14ac:dyDescent="0.25">
      <c r="A10814" s="6"/>
      <c r="B10814" s="1"/>
      <c r="C10814" s="5"/>
      <c r="D10814" s="5"/>
      <c r="E10814" s="5"/>
      <c r="F10814" s="5"/>
      <c r="G10814" s="5"/>
      <c r="H10814" s="5"/>
      <c r="I10814" s="5"/>
      <c r="J10814" s="5"/>
      <c r="K10814" s="5"/>
      <c r="L10814" s="5"/>
    </row>
    <row r="10815" spans="1:12" ht="12" customHeight="1" x14ac:dyDescent="0.25">
      <c r="A10815" s="6"/>
      <c r="B10815" s="1"/>
      <c r="C10815" s="5"/>
      <c r="D10815" s="5"/>
      <c r="E10815" s="5"/>
      <c r="F10815" s="5"/>
      <c r="G10815" s="5"/>
      <c r="H10815" s="5"/>
      <c r="I10815" s="5"/>
      <c r="J10815" s="5"/>
      <c r="K10815" s="5"/>
      <c r="L10815" s="5"/>
    </row>
    <row r="10816" spans="1:12" ht="12" customHeight="1" x14ac:dyDescent="0.25">
      <c r="A10816" s="6"/>
      <c r="B10816" s="1"/>
      <c r="C10816" s="5"/>
      <c r="D10816" s="5"/>
      <c r="E10816" s="5"/>
      <c r="F10816" s="5"/>
      <c r="G10816" s="5"/>
      <c r="H10816" s="5"/>
      <c r="I10816" s="5"/>
      <c r="J10816" s="5"/>
      <c r="K10816" s="5"/>
      <c r="L10816" s="5"/>
    </row>
    <row r="10817" spans="1:12" ht="12" customHeight="1" x14ac:dyDescent="0.25">
      <c r="A10817" s="6"/>
      <c r="B10817" s="1"/>
      <c r="C10817" s="5"/>
      <c r="D10817" s="5"/>
      <c r="E10817" s="5"/>
      <c r="F10817" s="5"/>
      <c r="G10817" s="5"/>
      <c r="H10817" s="5"/>
      <c r="I10817" s="5"/>
      <c r="J10817" s="5"/>
      <c r="K10817" s="5"/>
      <c r="L10817" s="5"/>
    </row>
    <row r="10818" spans="1:12" ht="12" customHeight="1" x14ac:dyDescent="0.25">
      <c r="A10818" s="6"/>
      <c r="B10818" s="1"/>
      <c r="C10818" s="5"/>
      <c r="D10818" s="5"/>
      <c r="E10818" s="5"/>
      <c r="F10818" s="5"/>
      <c r="G10818" s="5"/>
      <c r="H10818" s="5"/>
      <c r="I10818" s="5"/>
      <c r="J10818" s="5"/>
      <c r="K10818" s="5"/>
      <c r="L10818" s="5"/>
    </row>
    <row r="10819" spans="1:12" ht="12" customHeight="1" x14ac:dyDescent="0.25">
      <c r="A10819" s="6"/>
      <c r="B10819" s="1"/>
      <c r="C10819" s="5"/>
      <c r="D10819" s="5"/>
      <c r="E10819" s="5"/>
      <c r="F10819" s="5"/>
      <c r="G10819" s="5"/>
      <c r="H10819" s="5"/>
      <c r="I10819" s="5"/>
      <c r="J10819" s="5"/>
      <c r="K10819" s="5"/>
      <c r="L10819" s="5"/>
    </row>
    <row r="10820" spans="1:12" ht="12" customHeight="1" x14ac:dyDescent="0.25">
      <c r="A10820" s="6"/>
      <c r="B10820" s="1"/>
      <c r="C10820" s="5"/>
      <c r="D10820" s="5"/>
      <c r="E10820" s="5"/>
      <c r="F10820" s="5"/>
      <c r="G10820" s="5"/>
      <c r="H10820" s="5"/>
      <c r="I10820" s="5"/>
      <c r="J10820" s="5"/>
      <c r="K10820" s="5"/>
      <c r="L10820" s="5"/>
    </row>
    <row r="10821" spans="1:12" ht="12" customHeight="1" x14ac:dyDescent="0.25">
      <c r="A10821" s="6"/>
      <c r="B10821" s="1"/>
      <c r="C10821" s="5"/>
      <c r="D10821" s="5"/>
      <c r="E10821" s="5"/>
      <c r="F10821" s="5"/>
      <c r="G10821" s="5"/>
      <c r="H10821" s="5"/>
      <c r="I10821" s="5"/>
      <c r="J10821" s="5"/>
      <c r="K10821" s="5"/>
      <c r="L10821" s="5"/>
    </row>
    <row r="10822" spans="1:12" ht="12" customHeight="1" x14ac:dyDescent="0.25">
      <c r="A10822" s="6"/>
      <c r="B10822" s="1"/>
      <c r="C10822" s="5"/>
      <c r="D10822" s="5"/>
      <c r="E10822" s="5"/>
      <c r="F10822" s="5"/>
      <c r="G10822" s="5"/>
      <c r="H10822" s="5"/>
      <c r="I10822" s="5"/>
      <c r="J10822" s="5"/>
      <c r="K10822" s="5"/>
      <c r="L10822" s="5"/>
    </row>
    <row r="10823" spans="1:12" ht="12" customHeight="1" x14ac:dyDescent="0.25">
      <c r="A10823" s="6"/>
      <c r="B10823" s="1"/>
      <c r="C10823" s="5"/>
      <c r="D10823" s="5"/>
      <c r="E10823" s="5"/>
      <c r="F10823" s="5"/>
      <c r="G10823" s="5"/>
      <c r="H10823" s="5"/>
      <c r="I10823" s="5"/>
      <c r="J10823" s="5"/>
      <c r="K10823" s="5"/>
      <c r="L10823" s="5"/>
    </row>
    <row r="10824" spans="1:12" ht="12" customHeight="1" x14ac:dyDescent="0.25">
      <c r="A10824" s="6"/>
      <c r="B10824" s="1"/>
      <c r="C10824" s="5"/>
      <c r="D10824" s="5"/>
      <c r="E10824" s="5"/>
      <c r="F10824" s="5"/>
      <c r="G10824" s="5"/>
      <c r="H10824" s="5"/>
      <c r="I10824" s="5"/>
      <c r="J10824" s="5"/>
      <c r="K10824" s="5"/>
      <c r="L10824" s="5"/>
    </row>
    <row r="10825" spans="1:12" ht="12" customHeight="1" x14ac:dyDescent="0.25">
      <c r="A10825" s="6"/>
      <c r="B10825" s="1"/>
      <c r="C10825" s="5"/>
      <c r="D10825" s="5"/>
      <c r="E10825" s="5"/>
      <c r="F10825" s="5"/>
      <c r="G10825" s="5"/>
      <c r="H10825" s="5"/>
      <c r="I10825" s="5"/>
      <c r="J10825" s="5"/>
      <c r="K10825" s="5"/>
      <c r="L10825" s="5"/>
    </row>
    <row r="10826" spans="1:12" ht="12" customHeight="1" x14ac:dyDescent="0.25">
      <c r="A10826" s="6"/>
      <c r="B10826" s="1"/>
      <c r="C10826" s="5"/>
      <c r="D10826" s="5"/>
      <c r="E10826" s="5"/>
      <c r="F10826" s="5"/>
      <c r="G10826" s="5"/>
      <c r="H10826" s="5"/>
      <c r="I10826" s="5"/>
      <c r="J10826" s="5"/>
      <c r="K10826" s="5"/>
      <c r="L10826" s="5"/>
    </row>
    <row r="10827" spans="1:12" ht="12" customHeight="1" x14ac:dyDescent="0.25">
      <c r="A10827" s="6"/>
      <c r="B10827" s="1"/>
      <c r="C10827" s="5"/>
      <c r="D10827" s="5"/>
      <c r="E10827" s="5"/>
      <c r="F10827" s="5"/>
      <c r="G10827" s="5"/>
      <c r="H10827" s="5"/>
      <c r="I10827" s="5"/>
      <c r="J10827" s="5"/>
      <c r="K10827" s="5"/>
      <c r="L10827" s="5"/>
    </row>
    <row r="10828" spans="1:12" ht="12" customHeight="1" x14ac:dyDescent="0.25">
      <c r="A10828" s="6"/>
      <c r="B10828" s="1"/>
      <c r="C10828" s="5"/>
      <c r="D10828" s="5"/>
      <c r="E10828" s="5"/>
      <c r="F10828" s="5"/>
      <c r="G10828" s="5"/>
      <c r="H10828" s="5"/>
      <c r="I10828" s="5"/>
      <c r="J10828" s="5"/>
      <c r="K10828" s="5"/>
      <c r="L10828" s="5"/>
    </row>
    <row r="10829" spans="1:12" ht="12" customHeight="1" x14ac:dyDescent="0.25">
      <c r="A10829" s="6"/>
      <c r="B10829" s="1"/>
      <c r="C10829" s="5"/>
      <c r="D10829" s="5"/>
      <c r="E10829" s="5"/>
      <c r="F10829" s="5"/>
      <c r="G10829" s="5"/>
      <c r="H10829" s="5"/>
      <c r="I10829" s="5"/>
      <c r="J10829" s="5"/>
      <c r="K10829" s="5"/>
      <c r="L10829" s="5"/>
    </row>
    <row r="10830" spans="1:12" ht="12" customHeight="1" x14ac:dyDescent="0.25">
      <c r="A10830" s="6"/>
      <c r="B10830" s="1"/>
      <c r="C10830" s="5"/>
      <c r="D10830" s="5"/>
      <c r="E10830" s="5"/>
      <c r="F10830" s="5"/>
      <c r="G10830" s="5"/>
      <c r="H10830" s="5"/>
      <c r="I10830" s="5"/>
      <c r="J10830" s="5"/>
      <c r="K10830" s="5"/>
      <c r="L10830" s="5"/>
    </row>
    <row r="10831" spans="1:12" ht="12" customHeight="1" x14ac:dyDescent="0.25">
      <c r="A10831" s="6"/>
      <c r="B10831" s="1"/>
      <c r="C10831" s="5"/>
      <c r="D10831" s="5"/>
      <c r="E10831" s="5"/>
      <c r="F10831" s="5"/>
      <c r="G10831" s="5"/>
      <c r="H10831" s="5"/>
      <c r="I10831" s="5"/>
      <c r="J10831" s="5"/>
      <c r="K10831" s="5"/>
      <c r="L10831" s="5"/>
    </row>
    <row r="10832" spans="1:12" ht="12" customHeight="1" x14ac:dyDescent="0.25">
      <c r="A10832" s="6"/>
      <c r="B10832" s="1"/>
      <c r="C10832" s="5"/>
      <c r="D10832" s="5"/>
      <c r="E10832" s="5"/>
      <c r="F10832" s="5"/>
      <c r="G10832" s="5"/>
      <c r="H10832" s="5"/>
      <c r="I10832" s="5"/>
      <c r="J10832" s="5"/>
      <c r="K10832" s="5"/>
      <c r="L10832" s="5"/>
    </row>
    <row r="10833" spans="1:12" ht="12" customHeight="1" x14ac:dyDescent="0.25">
      <c r="A10833" s="6"/>
      <c r="B10833" s="1"/>
      <c r="C10833" s="5"/>
      <c r="D10833" s="5"/>
      <c r="E10833" s="5"/>
      <c r="F10833" s="5"/>
      <c r="G10833" s="5"/>
      <c r="H10833" s="5"/>
      <c r="I10833" s="5"/>
      <c r="J10833" s="5"/>
      <c r="K10833" s="5"/>
      <c r="L10833" s="5"/>
    </row>
    <row r="10834" spans="1:12" ht="12" customHeight="1" x14ac:dyDescent="0.25">
      <c r="A10834" s="6"/>
      <c r="B10834" s="1"/>
      <c r="C10834" s="5"/>
      <c r="D10834" s="5"/>
      <c r="E10834" s="5"/>
      <c r="F10834" s="5"/>
      <c r="G10834" s="5"/>
      <c r="H10834" s="5"/>
      <c r="I10834" s="5"/>
      <c r="J10834" s="5"/>
      <c r="K10834" s="5"/>
      <c r="L10834" s="5"/>
    </row>
    <row r="10835" spans="1:12" ht="12" customHeight="1" x14ac:dyDescent="0.25">
      <c r="A10835" s="6"/>
      <c r="B10835" s="1"/>
      <c r="C10835" s="5"/>
      <c r="D10835" s="5"/>
      <c r="E10835" s="5"/>
      <c r="F10835" s="5"/>
      <c r="G10835" s="5"/>
      <c r="H10835" s="5"/>
      <c r="I10835" s="5"/>
      <c r="J10835" s="5"/>
      <c r="K10835" s="5"/>
      <c r="L10835" s="5"/>
    </row>
    <row r="10836" spans="1:12" ht="12" customHeight="1" x14ac:dyDescent="0.25">
      <c r="A10836" s="6"/>
      <c r="B10836" s="1"/>
      <c r="C10836" s="5"/>
      <c r="D10836" s="5"/>
      <c r="E10836" s="5"/>
      <c r="F10836" s="5"/>
      <c r="G10836" s="5"/>
      <c r="H10836" s="5"/>
      <c r="I10836" s="5"/>
      <c r="J10836" s="5"/>
      <c r="K10836" s="5"/>
      <c r="L10836" s="5"/>
    </row>
    <row r="10837" spans="1:12" ht="12" customHeight="1" x14ac:dyDescent="0.25">
      <c r="A10837" s="6"/>
      <c r="B10837" s="1"/>
      <c r="C10837" s="5"/>
      <c r="D10837" s="5"/>
      <c r="E10837" s="5"/>
      <c r="F10837" s="5"/>
      <c r="G10837" s="5"/>
      <c r="H10837" s="5"/>
      <c r="I10837" s="5"/>
      <c r="J10837" s="5"/>
      <c r="K10837" s="5"/>
      <c r="L10837" s="5"/>
    </row>
    <row r="10838" spans="1:12" ht="12" customHeight="1" x14ac:dyDescent="0.25">
      <c r="A10838" s="6"/>
      <c r="B10838" s="1"/>
      <c r="C10838" s="5"/>
      <c r="D10838" s="5"/>
      <c r="E10838" s="5"/>
      <c r="F10838" s="5"/>
      <c r="G10838" s="5"/>
      <c r="H10838" s="5"/>
      <c r="I10838" s="5"/>
      <c r="J10838" s="5"/>
      <c r="K10838" s="5"/>
      <c r="L10838" s="5"/>
    </row>
    <row r="10839" spans="1:12" ht="12" customHeight="1" x14ac:dyDescent="0.25">
      <c r="A10839" s="6"/>
      <c r="B10839" s="1"/>
      <c r="C10839" s="5"/>
      <c r="D10839" s="5"/>
      <c r="E10839" s="5"/>
      <c r="F10839" s="5"/>
      <c r="G10839" s="5"/>
      <c r="H10839" s="5"/>
      <c r="I10839" s="5"/>
      <c r="J10839" s="5"/>
      <c r="K10839" s="5"/>
      <c r="L10839" s="5"/>
    </row>
    <row r="10840" spans="1:12" ht="12" customHeight="1" x14ac:dyDescent="0.25">
      <c r="A10840" s="6"/>
      <c r="B10840" s="1"/>
      <c r="C10840" s="5"/>
      <c r="D10840" s="5"/>
      <c r="E10840" s="5"/>
      <c r="F10840" s="5"/>
      <c r="G10840" s="5"/>
      <c r="H10840" s="5"/>
      <c r="I10840" s="5"/>
      <c r="J10840" s="5"/>
      <c r="K10840" s="5"/>
      <c r="L10840" s="5"/>
    </row>
    <row r="10841" spans="1:12" ht="12" customHeight="1" x14ac:dyDescent="0.25">
      <c r="A10841" s="6"/>
      <c r="B10841" s="1"/>
      <c r="C10841" s="5"/>
      <c r="D10841" s="5"/>
      <c r="E10841" s="5"/>
      <c r="F10841" s="5"/>
      <c r="G10841" s="5"/>
      <c r="H10841" s="5"/>
      <c r="I10841" s="5"/>
      <c r="J10841" s="5"/>
      <c r="K10841" s="5"/>
      <c r="L10841" s="5"/>
    </row>
    <row r="10842" spans="1:12" ht="12" customHeight="1" x14ac:dyDescent="0.25">
      <c r="A10842" s="6"/>
      <c r="B10842" s="1"/>
      <c r="C10842" s="5"/>
      <c r="D10842" s="5"/>
      <c r="E10842" s="5"/>
      <c r="F10842" s="5"/>
      <c r="G10842" s="5"/>
      <c r="H10842" s="5"/>
      <c r="I10842" s="5"/>
      <c r="J10842" s="5"/>
      <c r="K10842" s="5"/>
      <c r="L10842" s="5"/>
    </row>
    <row r="10843" spans="1:12" ht="12" customHeight="1" x14ac:dyDescent="0.25">
      <c r="A10843" s="6"/>
      <c r="B10843" s="1"/>
      <c r="C10843" s="5"/>
      <c r="D10843" s="5"/>
      <c r="E10843" s="5"/>
      <c r="F10843" s="5"/>
      <c r="G10843" s="5"/>
      <c r="H10843" s="5"/>
      <c r="I10843" s="5"/>
      <c r="J10843" s="5"/>
      <c r="K10843" s="5"/>
      <c r="L10843" s="5"/>
    </row>
    <row r="10844" spans="1:12" ht="12" customHeight="1" x14ac:dyDescent="0.25">
      <c r="A10844" s="6"/>
      <c r="B10844" s="1"/>
      <c r="C10844" s="5"/>
      <c r="D10844" s="5"/>
      <c r="E10844" s="5"/>
      <c r="F10844" s="5"/>
      <c r="G10844" s="5"/>
      <c r="H10844" s="5"/>
      <c r="I10844" s="5"/>
      <c r="J10844" s="5"/>
      <c r="K10844" s="5"/>
      <c r="L10844" s="5"/>
    </row>
    <row r="10845" spans="1:12" ht="12" customHeight="1" x14ac:dyDescent="0.25">
      <c r="A10845" s="6"/>
      <c r="B10845" s="1"/>
      <c r="C10845" s="5"/>
      <c r="D10845" s="5"/>
      <c r="E10845" s="5"/>
      <c r="F10845" s="5"/>
      <c r="G10845" s="5"/>
      <c r="H10845" s="5"/>
      <c r="I10845" s="5"/>
      <c r="J10845" s="5"/>
      <c r="K10845" s="5"/>
      <c r="L10845" s="5"/>
    </row>
    <row r="10846" spans="1:12" ht="12" customHeight="1" x14ac:dyDescent="0.25">
      <c r="A10846" s="6"/>
      <c r="B10846" s="1"/>
      <c r="C10846" s="5"/>
      <c r="D10846" s="5"/>
      <c r="E10846" s="5"/>
      <c r="F10846" s="5"/>
      <c r="G10846" s="5"/>
      <c r="H10846" s="5"/>
      <c r="I10846" s="5"/>
      <c r="J10846" s="5"/>
      <c r="K10846" s="5"/>
      <c r="L10846" s="5"/>
    </row>
    <row r="10847" spans="1:12" ht="12" customHeight="1" x14ac:dyDescent="0.25">
      <c r="A10847" s="6"/>
      <c r="B10847" s="1"/>
      <c r="C10847" s="5"/>
      <c r="D10847" s="5"/>
      <c r="E10847" s="5"/>
      <c r="F10847" s="5"/>
      <c r="G10847" s="5"/>
      <c r="H10847" s="5"/>
      <c r="I10847" s="5"/>
      <c r="J10847" s="5"/>
      <c r="K10847" s="5"/>
      <c r="L10847" s="5"/>
    </row>
    <row r="10848" spans="1:12" ht="12" customHeight="1" x14ac:dyDescent="0.25">
      <c r="A10848" s="6"/>
      <c r="B10848" s="1"/>
      <c r="C10848" s="5"/>
      <c r="D10848" s="5"/>
      <c r="E10848" s="5"/>
      <c r="F10848" s="5"/>
      <c r="G10848" s="5"/>
      <c r="H10848" s="5"/>
      <c r="I10848" s="5"/>
      <c r="J10848" s="5"/>
      <c r="K10848" s="5"/>
      <c r="L10848" s="5"/>
    </row>
    <row r="10849" spans="1:12" ht="12" customHeight="1" x14ac:dyDescent="0.25">
      <c r="A10849" s="6"/>
      <c r="B10849" s="1"/>
      <c r="C10849" s="5"/>
      <c r="D10849" s="5"/>
      <c r="E10849" s="5"/>
      <c r="F10849" s="5"/>
      <c r="G10849" s="5"/>
      <c r="H10849" s="5"/>
      <c r="I10849" s="5"/>
      <c r="J10849" s="5"/>
      <c r="K10849" s="5"/>
      <c r="L10849" s="5"/>
    </row>
    <row r="10850" spans="1:12" ht="12" customHeight="1" x14ac:dyDescent="0.25">
      <c r="A10850" s="6"/>
      <c r="B10850" s="1"/>
      <c r="C10850" s="5"/>
      <c r="D10850" s="5"/>
      <c r="E10850" s="5"/>
      <c r="F10850" s="5"/>
      <c r="G10850" s="5"/>
      <c r="H10850" s="5"/>
      <c r="I10850" s="5"/>
      <c r="J10850" s="5"/>
      <c r="K10850" s="5"/>
      <c r="L10850" s="5"/>
    </row>
    <row r="10851" spans="1:12" ht="12" customHeight="1" x14ac:dyDescent="0.25">
      <c r="A10851" s="6"/>
      <c r="B10851" s="1"/>
      <c r="C10851" s="5"/>
      <c r="D10851" s="5"/>
      <c r="E10851" s="5"/>
      <c r="F10851" s="5"/>
      <c r="G10851" s="5"/>
      <c r="H10851" s="5"/>
      <c r="I10851" s="5"/>
      <c r="J10851" s="5"/>
      <c r="K10851" s="5"/>
      <c r="L10851" s="5"/>
    </row>
    <row r="10852" spans="1:12" ht="12" customHeight="1" x14ac:dyDescent="0.25">
      <c r="A10852" s="6"/>
      <c r="B10852" s="1"/>
      <c r="C10852" s="5"/>
      <c r="D10852" s="5"/>
      <c r="E10852" s="5"/>
      <c r="F10852" s="5"/>
      <c r="G10852" s="5"/>
      <c r="H10852" s="5"/>
      <c r="I10852" s="5"/>
      <c r="J10852" s="5"/>
      <c r="K10852" s="5"/>
      <c r="L10852" s="5"/>
    </row>
    <row r="10853" spans="1:12" ht="12" customHeight="1" x14ac:dyDescent="0.25">
      <c r="A10853" s="6"/>
      <c r="B10853" s="1"/>
      <c r="C10853" s="5"/>
      <c r="D10853" s="5"/>
      <c r="E10853" s="5"/>
      <c r="F10853" s="5"/>
      <c r="G10853" s="5"/>
      <c r="H10853" s="5"/>
      <c r="I10853" s="5"/>
      <c r="J10853" s="5"/>
      <c r="K10853" s="5"/>
      <c r="L10853" s="5"/>
    </row>
    <row r="10854" spans="1:12" ht="12" customHeight="1" x14ac:dyDescent="0.25">
      <c r="A10854" s="6"/>
      <c r="B10854" s="1"/>
      <c r="C10854" s="5"/>
      <c r="D10854" s="5"/>
      <c r="E10854" s="5"/>
      <c r="F10854" s="5"/>
      <c r="G10854" s="5"/>
      <c r="H10854" s="5"/>
      <c r="I10854" s="5"/>
      <c r="J10854" s="5"/>
      <c r="K10854" s="5"/>
      <c r="L10854" s="5"/>
    </row>
    <row r="10855" spans="1:12" ht="12" customHeight="1" x14ac:dyDescent="0.25">
      <c r="A10855" s="6"/>
      <c r="B10855" s="1"/>
      <c r="C10855" s="5"/>
      <c r="D10855" s="5"/>
      <c r="E10855" s="5"/>
      <c r="F10855" s="5"/>
      <c r="G10855" s="5"/>
      <c r="H10855" s="5"/>
      <c r="I10855" s="5"/>
      <c r="J10855" s="5"/>
      <c r="K10855" s="5"/>
      <c r="L10855" s="5"/>
    </row>
    <row r="10856" spans="1:12" ht="12" customHeight="1" x14ac:dyDescent="0.25">
      <c r="A10856" s="6"/>
      <c r="B10856" s="1"/>
      <c r="C10856" s="5"/>
      <c r="D10856" s="5"/>
      <c r="E10856" s="5"/>
      <c r="F10856" s="5"/>
      <c r="G10856" s="5"/>
      <c r="H10856" s="5"/>
      <c r="I10856" s="5"/>
      <c r="J10856" s="5"/>
      <c r="K10856" s="5"/>
      <c r="L10856" s="5"/>
    </row>
    <row r="10857" spans="1:12" ht="12" customHeight="1" x14ac:dyDescent="0.25">
      <c r="A10857" s="6"/>
      <c r="B10857" s="1"/>
      <c r="C10857" s="5"/>
      <c r="D10857" s="5"/>
      <c r="E10857" s="5"/>
      <c r="F10857" s="5"/>
      <c r="G10857" s="5"/>
      <c r="H10857" s="5"/>
      <c r="I10857" s="5"/>
      <c r="J10857" s="5"/>
      <c r="K10857" s="5"/>
      <c r="L10857" s="5"/>
    </row>
    <row r="10858" spans="1:12" ht="12" customHeight="1" x14ac:dyDescent="0.25">
      <c r="A10858" s="6"/>
      <c r="B10858" s="1"/>
      <c r="C10858" s="5"/>
      <c r="D10858" s="5"/>
      <c r="E10858" s="5"/>
      <c r="F10858" s="5"/>
      <c r="G10858" s="5"/>
      <c r="H10858" s="5"/>
      <c r="I10858" s="5"/>
      <c r="J10858" s="5"/>
      <c r="K10858" s="5"/>
      <c r="L10858" s="5"/>
    </row>
    <row r="10859" spans="1:12" ht="12" customHeight="1" x14ac:dyDescent="0.25">
      <c r="A10859" s="6"/>
      <c r="B10859" s="1"/>
      <c r="C10859" s="5"/>
      <c r="D10859" s="5"/>
      <c r="E10859" s="5"/>
      <c r="F10859" s="5"/>
      <c r="G10859" s="5"/>
      <c r="H10859" s="5"/>
      <c r="I10859" s="5"/>
      <c r="J10859" s="5"/>
      <c r="K10859" s="5"/>
      <c r="L10859" s="5"/>
    </row>
    <row r="10860" spans="1:12" ht="12" customHeight="1" x14ac:dyDescent="0.25">
      <c r="A10860" s="6"/>
      <c r="B10860" s="1"/>
      <c r="C10860" s="5"/>
      <c r="D10860" s="5"/>
      <c r="E10860" s="5"/>
      <c r="F10860" s="5"/>
      <c r="G10860" s="5"/>
      <c r="H10860" s="5"/>
      <c r="I10860" s="5"/>
      <c r="J10860" s="5"/>
      <c r="K10860" s="5"/>
      <c r="L10860" s="5"/>
    </row>
    <row r="10861" spans="1:12" ht="12" customHeight="1" x14ac:dyDescent="0.25">
      <c r="A10861" s="6"/>
      <c r="B10861" s="1"/>
      <c r="C10861" s="5"/>
      <c r="D10861" s="5"/>
      <c r="E10861" s="5"/>
      <c r="F10861" s="5"/>
      <c r="G10861" s="5"/>
      <c r="H10861" s="5"/>
      <c r="I10861" s="5"/>
      <c r="J10861" s="5"/>
      <c r="K10861" s="5"/>
      <c r="L10861" s="5"/>
    </row>
    <row r="10862" spans="1:12" ht="12" customHeight="1" x14ac:dyDescent="0.25">
      <c r="A10862" s="6"/>
      <c r="B10862" s="1"/>
      <c r="C10862" s="5"/>
      <c r="D10862" s="5"/>
      <c r="E10862" s="5"/>
      <c r="F10862" s="5"/>
      <c r="G10862" s="5"/>
      <c r="H10862" s="5"/>
      <c r="I10862" s="5"/>
      <c r="J10862" s="5"/>
      <c r="K10862" s="5"/>
      <c r="L10862" s="5"/>
    </row>
    <row r="10863" spans="1:12" ht="12" customHeight="1" x14ac:dyDescent="0.25">
      <c r="A10863" s="6"/>
      <c r="B10863" s="1"/>
      <c r="C10863" s="5"/>
      <c r="D10863" s="5"/>
      <c r="E10863" s="5"/>
      <c r="F10863" s="5"/>
      <c r="G10863" s="5"/>
      <c r="H10863" s="5"/>
      <c r="I10863" s="5"/>
      <c r="J10863" s="5"/>
      <c r="K10863" s="5"/>
      <c r="L10863" s="5"/>
    </row>
    <row r="10864" spans="1:12" ht="12" customHeight="1" x14ac:dyDescent="0.25">
      <c r="A10864" s="6"/>
      <c r="B10864" s="1"/>
      <c r="C10864" s="5"/>
      <c r="D10864" s="5"/>
      <c r="E10864" s="5"/>
      <c r="F10864" s="5"/>
      <c r="G10864" s="5"/>
      <c r="H10864" s="5"/>
      <c r="I10864" s="5"/>
      <c r="J10864" s="5"/>
      <c r="K10864" s="5"/>
      <c r="L10864" s="5"/>
    </row>
    <row r="10865" spans="1:12" ht="12" customHeight="1" x14ac:dyDescent="0.25">
      <c r="A10865" s="6"/>
      <c r="B10865" s="1"/>
      <c r="C10865" s="5"/>
      <c r="D10865" s="5"/>
      <c r="E10865" s="5"/>
      <c r="F10865" s="5"/>
      <c r="G10865" s="5"/>
      <c r="H10865" s="5"/>
      <c r="I10865" s="5"/>
      <c r="J10865" s="5"/>
      <c r="K10865" s="5"/>
      <c r="L10865" s="5"/>
    </row>
    <row r="10866" spans="1:12" ht="12" customHeight="1" x14ac:dyDescent="0.25">
      <c r="A10866" s="6"/>
      <c r="B10866" s="1"/>
      <c r="C10866" s="5"/>
      <c r="D10866" s="5"/>
      <c r="E10866" s="5"/>
      <c r="F10866" s="5"/>
      <c r="G10866" s="5"/>
      <c r="H10866" s="5"/>
      <c r="I10866" s="5"/>
      <c r="J10866" s="5"/>
      <c r="K10866" s="5"/>
      <c r="L10866" s="5"/>
    </row>
    <row r="10867" spans="1:12" ht="12" customHeight="1" x14ac:dyDescent="0.25">
      <c r="A10867" s="6"/>
      <c r="B10867" s="1"/>
      <c r="C10867" s="5"/>
      <c r="D10867" s="5"/>
      <c r="E10867" s="5"/>
      <c r="F10867" s="5"/>
      <c r="G10867" s="5"/>
      <c r="H10867" s="5"/>
      <c r="I10867" s="5"/>
      <c r="J10867" s="5"/>
      <c r="K10867" s="5"/>
      <c r="L10867" s="5"/>
    </row>
    <row r="10868" spans="1:12" ht="12" customHeight="1" x14ac:dyDescent="0.25">
      <c r="A10868" s="6"/>
      <c r="B10868" s="1"/>
      <c r="C10868" s="5"/>
      <c r="D10868" s="5"/>
      <c r="E10868" s="5"/>
      <c r="F10868" s="5"/>
      <c r="G10868" s="5"/>
      <c r="H10868" s="5"/>
      <c r="I10868" s="5"/>
      <c r="J10868" s="5"/>
      <c r="K10868" s="5"/>
      <c r="L10868" s="5"/>
    </row>
    <row r="10869" spans="1:12" ht="12" customHeight="1" x14ac:dyDescent="0.25">
      <c r="A10869" s="6"/>
      <c r="B10869" s="1"/>
      <c r="C10869" s="5"/>
      <c r="D10869" s="5"/>
      <c r="E10869" s="5"/>
      <c r="F10869" s="5"/>
      <c r="G10869" s="5"/>
      <c r="H10869" s="5"/>
      <c r="I10869" s="5"/>
      <c r="J10869" s="5"/>
      <c r="K10869" s="5"/>
      <c r="L10869" s="5"/>
    </row>
    <row r="10870" spans="1:12" ht="12" customHeight="1" x14ac:dyDescent="0.25">
      <c r="A10870" s="6"/>
      <c r="B10870" s="1"/>
      <c r="C10870" s="5"/>
      <c r="D10870" s="5"/>
      <c r="E10870" s="5"/>
      <c r="F10870" s="5"/>
      <c r="G10870" s="5"/>
      <c r="H10870" s="5"/>
      <c r="I10870" s="5"/>
      <c r="J10870" s="5"/>
      <c r="K10870" s="5"/>
      <c r="L10870" s="5"/>
    </row>
    <row r="10871" spans="1:12" ht="12" customHeight="1" x14ac:dyDescent="0.25">
      <c r="A10871" s="6"/>
      <c r="B10871" s="1"/>
      <c r="C10871" s="5"/>
      <c r="D10871" s="5"/>
      <c r="E10871" s="5"/>
      <c r="F10871" s="5"/>
      <c r="G10871" s="5"/>
      <c r="H10871" s="5"/>
      <c r="I10871" s="5"/>
      <c r="J10871" s="5"/>
      <c r="K10871" s="5"/>
      <c r="L10871" s="5"/>
    </row>
    <row r="10872" spans="1:12" ht="12" customHeight="1" x14ac:dyDescent="0.25">
      <c r="A10872" s="6"/>
      <c r="B10872" s="1"/>
      <c r="C10872" s="5"/>
      <c r="D10872" s="5"/>
      <c r="E10872" s="5"/>
      <c r="F10872" s="5"/>
      <c r="G10872" s="5"/>
      <c r="H10872" s="5"/>
      <c r="I10872" s="5"/>
      <c r="J10872" s="5"/>
      <c r="K10872" s="5"/>
      <c r="L10872" s="5"/>
    </row>
    <row r="10873" spans="1:12" ht="12" customHeight="1" x14ac:dyDescent="0.25">
      <c r="A10873" s="6"/>
      <c r="B10873" s="1"/>
      <c r="C10873" s="5"/>
      <c r="D10873" s="5"/>
      <c r="E10873" s="5"/>
      <c r="F10873" s="5"/>
      <c r="G10873" s="5"/>
      <c r="H10873" s="5"/>
      <c r="I10873" s="5"/>
      <c r="J10873" s="5"/>
      <c r="K10873" s="5"/>
      <c r="L10873" s="5"/>
    </row>
    <row r="10874" spans="1:12" ht="12" customHeight="1" x14ac:dyDescent="0.25">
      <c r="A10874" s="6"/>
      <c r="B10874" s="1"/>
      <c r="C10874" s="5"/>
      <c r="D10874" s="5"/>
      <c r="E10874" s="5"/>
      <c r="F10874" s="5"/>
      <c r="G10874" s="5"/>
      <c r="H10874" s="5"/>
      <c r="I10874" s="5"/>
      <c r="J10874" s="5"/>
      <c r="K10874" s="5"/>
      <c r="L10874" s="5"/>
    </row>
    <row r="10875" spans="1:12" ht="12" customHeight="1" x14ac:dyDescent="0.25">
      <c r="A10875" s="6"/>
      <c r="B10875" s="1"/>
      <c r="C10875" s="5"/>
      <c r="D10875" s="5"/>
      <c r="E10875" s="5"/>
      <c r="F10875" s="5"/>
      <c r="G10875" s="5"/>
      <c r="H10875" s="5"/>
      <c r="I10875" s="5"/>
      <c r="J10875" s="5"/>
      <c r="K10875" s="5"/>
      <c r="L10875" s="5"/>
    </row>
    <row r="10876" spans="1:12" ht="12" customHeight="1" x14ac:dyDescent="0.25">
      <c r="A10876" s="6"/>
      <c r="B10876" s="1"/>
      <c r="C10876" s="5"/>
      <c r="D10876" s="5"/>
      <c r="E10876" s="5"/>
      <c r="F10876" s="5"/>
      <c r="G10876" s="5"/>
      <c r="H10876" s="5"/>
      <c r="I10876" s="5"/>
      <c r="J10876" s="5"/>
      <c r="K10876" s="5"/>
      <c r="L10876" s="5"/>
    </row>
    <row r="10877" spans="1:12" ht="12" customHeight="1" x14ac:dyDescent="0.25">
      <c r="A10877" s="6"/>
      <c r="B10877" s="1"/>
      <c r="C10877" s="5"/>
      <c r="D10877" s="5"/>
      <c r="E10877" s="5"/>
      <c r="F10877" s="5"/>
      <c r="G10877" s="5"/>
      <c r="H10877" s="5"/>
      <c r="I10877" s="5"/>
      <c r="J10877" s="5"/>
      <c r="K10877" s="5"/>
      <c r="L10877" s="5"/>
    </row>
    <row r="10878" spans="1:12" ht="12" customHeight="1" x14ac:dyDescent="0.25">
      <c r="A10878" s="6"/>
      <c r="B10878" s="1"/>
      <c r="C10878" s="5"/>
      <c r="D10878" s="5"/>
      <c r="E10878" s="5"/>
      <c r="F10878" s="5"/>
      <c r="G10878" s="5"/>
      <c r="H10878" s="5"/>
      <c r="I10878" s="5"/>
      <c r="J10878" s="5"/>
      <c r="K10878" s="5"/>
      <c r="L10878" s="5"/>
    </row>
    <row r="10879" spans="1:12" ht="12" customHeight="1" x14ac:dyDescent="0.25">
      <c r="A10879" s="6"/>
      <c r="B10879" s="1"/>
      <c r="C10879" s="5"/>
      <c r="D10879" s="5"/>
      <c r="E10879" s="5"/>
      <c r="F10879" s="5"/>
      <c r="G10879" s="5"/>
      <c r="H10879" s="5"/>
      <c r="I10879" s="5"/>
      <c r="J10879" s="5"/>
      <c r="K10879" s="5"/>
      <c r="L10879" s="5"/>
    </row>
    <row r="10880" spans="1:12" ht="12" customHeight="1" x14ac:dyDescent="0.25">
      <c r="A10880" s="6"/>
      <c r="B10880" s="1"/>
      <c r="C10880" s="5"/>
      <c r="D10880" s="5"/>
      <c r="E10880" s="5"/>
      <c r="F10880" s="5"/>
      <c r="G10880" s="5"/>
      <c r="H10880" s="5"/>
      <c r="I10880" s="5"/>
      <c r="J10880" s="5"/>
      <c r="K10880" s="5"/>
      <c r="L10880" s="5"/>
    </row>
    <row r="10881" spans="1:12" ht="12" customHeight="1" x14ac:dyDescent="0.25">
      <c r="A10881" s="6"/>
      <c r="B10881" s="1"/>
      <c r="C10881" s="5"/>
      <c r="D10881" s="5"/>
      <c r="E10881" s="5"/>
      <c r="F10881" s="5"/>
      <c r="G10881" s="5"/>
      <c r="H10881" s="5"/>
      <c r="I10881" s="5"/>
      <c r="J10881" s="5"/>
      <c r="K10881" s="5"/>
      <c r="L10881" s="5"/>
    </row>
    <row r="10882" spans="1:12" ht="12" customHeight="1" x14ac:dyDescent="0.25">
      <c r="A10882" s="6"/>
      <c r="B10882" s="1"/>
      <c r="C10882" s="5"/>
      <c r="D10882" s="5"/>
      <c r="E10882" s="5"/>
      <c r="F10882" s="5"/>
      <c r="G10882" s="5"/>
      <c r="H10882" s="5"/>
      <c r="I10882" s="5"/>
      <c r="J10882" s="5"/>
      <c r="K10882" s="5"/>
      <c r="L10882" s="5"/>
    </row>
    <row r="10883" spans="1:12" ht="12" customHeight="1" x14ac:dyDescent="0.25">
      <c r="A10883" s="6"/>
      <c r="B10883" s="1"/>
      <c r="C10883" s="5"/>
      <c r="D10883" s="5"/>
      <c r="E10883" s="5"/>
      <c r="F10883" s="5"/>
      <c r="G10883" s="5"/>
      <c r="H10883" s="5"/>
      <c r="I10883" s="5"/>
      <c r="J10883" s="5"/>
      <c r="K10883" s="5"/>
      <c r="L10883" s="5"/>
    </row>
    <row r="10884" spans="1:12" ht="12" customHeight="1" x14ac:dyDescent="0.25">
      <c r="A10884" s="6"/>
      <c r="B10884" s="1"/>
      <c r="C10884" s="5"/>
      <c r="D10884" s="5"/>
      <c r="E10884" s="5"/>
      <c r="F10884" s="5"/>
      <c r="G10884" s="5"/>
      <c r="H10884" s="5"/>
      <c r="I10884" s="5"/>
      <c r="J10884" s="5"/>
      <c r="K10884" s="5"/>
      <c r="L10884" s="5"/>
    </row>
    <row r="10885" spans="1:12" ht="12" customHeight="1" x14ac:dyDescent="0.25">
      <c r="A10885" s="6"/>
      <c r="B10885" s="1"/>
      <c r="C10885" s="5"/>
      <c r="D10885" s="5"/>
      <c r="E10885" s="5"/>
      <c r="F10885" s="5"/>
      <c r="G10885" s="5"/>
      <c r="H10885" s="5"/>
      <c r="I10885" s="5"/>
      <c r="J10885" s="5"/>
      <c r="K10885" s="5"/>
      <c r="L10885" s="5"/>
    </row>
    <row r="10886" spans="1:12" ht="12" customHeight="1" x14ac:dyDescent="0.25">
      <c r="A10886" s="6"/>
      <c r="B10886" s="1"/>
      <c r="C10886" s="5"/>
      <c r="D10886" s="5"/>
      <c r="E10886" s="5"/>
      <c r="F10886" s="5"/>
      <c r="G10886" s="5"/>
      <c r="H10886" s="5"/>
      <c r="I10886" s="5"/>
      <c r="J10886" s="5"/>
      <c r="K10886" s="5"/>
      <c r="L10886" s="5"/>
    </row>
    <row r="10887" spans="1:12" ht="12" customHeight="1" x14ac:dyDescent="0.25">
      <c r="A10887" s="6"/>
      <c r="B10887" s="1"/>
      <c r="C10887" s="5"/>
      <c r="D10887" s="5"/>
      <c r="E10887" s="5"/>
      <c r="F10887" s="5"/>
      <c r="G10887" s="5"/>
      <c r="H10887" s="5"/>
      <c r="I10887" s="5"/>
      <c r="J10887" s="5"/>
      <c r="K10887" s="5"/>
      <c r="L10887" s="5"/>
    </row>
    <row r="10888" spans="1:12" ht="12" customHeight="1" x14ac:dyDescent="0.25">
      <c r="A10888" s="6"/>
      <c r="B10888" s="1"/>
      <c r="C10888" s="5"/>
      <c r="D10888" s="5"/>
      <c r="E10888" s="5"/>
      <c r="F10888" s="5"/>
      <c r="G10888" s="5"/>
      <c r="H10888" s="5"/>
      <c r="I10888" s="5"/>
      <c r="J10888" s="5"/>
      <c r="K10888" s="5"/>
      <c r="L10888" s="5"/>
    </row>
    <row r="10889" spans="1:12" ht="12" customHeight="1" x14ac:dyDescent="0.25">
      <c r="A10889" s="6"/>
      <c r="B10889" s="1"/>
      <c r="C10889" s="5"/>
      <c r="D10889" s="5"/>
      <c r="E10889" s="5"/>
      <c r="F10889" s="5"/>
      <c r="G10889" s="5"/>
      <c r="H10889" s="5"/>
      <c r="I10889" s="5"/>
      <c r="J10889" s="5"/>
      <c r="K10889" s="5"/>
      <c r="L10889" s="5"/>
    </row>
    <row r="10890" spans="1:12" ht="12" customHeight="1" x14ac:dyDescent="0.25">
      <c r="A10890" s="6"/>
      <c r="B10890" s="1"/>
      <c r="C10890" s="5"/>
      <c r="D10890" s="5"/>
      <c r="E10890" s="5"/>
      <c r="F10890" s="5"/>
      <c r="G10890" s="5"/>
      <c r="H10890" s="5"/>
      <c r="I10890" s="5"/>
      <c r="J10890" s="5"/>
      <c r="K10890" s="5"/>
      <c r="L10890" s="5"/>
    </row>
    <row r="10891" spans="1:12" ht="12" customHeight="1" x14ac:dyDescent="0.25">
      <c r="A10891" s="6"/>
      <c r="B10891" s="1"/>
      <c r="C10891" s="5"/>
      <c r="D10891" s="5"/>
      <c r="E10891" s="5"/>
      <c r="F10891" s="5"/>
      <c r="G10891" s="5"/>
      <c r="H10891" s="5"/>
      <c r="I10891" s="5"/>
      <c r="J10891" s="5"/>
      <c r="K10891" s="5"/>
      <c r="L10891" s="5"/>
    </row>
    <row r="10892" spans="1:12" ht="12" customHeight="1" x14ac:dyDescent="0.25">
      <c r="A10892" s="6"/>
      <c r="B10892" s="1"/>
      <c r="C10892" s="5"/>
      <c r="D10892" s="5"/>
      <c r="E10892" s="5"/>
      <c r="F10892" s="5"/>
      <c r="G10892" s="5"/>
      <c r="H10892" s="5"/>
      <c r="I10892" s="5"/>
      <c r="J10892" s="5"/>
      <c r="K10892" s="5"/>
      <c r="L10892" s="5"/>
    </row>
    <row r="10893" spans="1:12" ht="12" customHeight="1" x14ac:dyDescent="0.25">
      <c r="A10893" s="6"/>
      <c r="B10893" s="1"/>
      <c r="C10893" s="5"/>
      <c r="D10893" s="5"/>
      <c r="E10893" s="5"/>
      <c r="F10893" s="5"/>
      <c r="G10893" s="5"/>
      <c r="H10893" s="5"/>
      <c r="I10893" s="5"/>
      <c r="J10893" s="5"/>
      <c r="K10893" s="5"/>
      <c r="L10893" s="5"/>
    </row>
    <row r="10894" spans="1:12" ht="12" customHeight="1" x14ac:dyDescent="0.25">
      <c r="A10894" s="6"/>
      <c r="B10894" s="1"/>
      <c r="C10894" s="5"/>
      <c r="D10894" s="5"/>
      <c r="E10894" s="5"/>
      <c r="F10894" s="5"/>
      <c r="G10894" s="5"/>
      <c r="H10894" s="5"/>
      <c r="I10894" s="5"/>
      <c r="J10894" s="5"/>
      <c r="K10894" s="5"/>
      <c r="L10894" s="5"/>
    </row>
    <row r="10895" spans="1:12" ht="12" customHeight="1" x14ac:dyDescent="0.25">
      <c r="A10895" s="6"/>
      <c r="B10895" s="1"/>
      <c r="C10895" s="5"/>
      <c r="D10895" s="5"/>
      <c r="E10895" s="5"/>
      <c r="F10895" s="5"/>
      <c r="G10895" s="5"/>
      <c r="H10895" s="5"/>
      <c r="I10895" s="5"/>
      <c r="J10895" s="5"/>
      <c r="K10895" s="5"/>
      <c r="L10895" s="5"/>
    </row>
    <row r="10896" spans="1:12" ht="12" customHeight="1" x14ac:dyDescent="0.25">
      <c r="A10896" s="6"/>
      <c r="B10896" s="1"/>
      <c r="C10896" s="5"/>
      <c r="D10896" s="5"/>
      <c r="E10896" s="5"/>
      <c r="F10896" s="5"/>
      <c r="G10896" s="5"/>
      <c r="H10896" s="5"/>
      <c r="I10896" s="5"/>
      <c r="J10896" s="5"/>
      <c r="K10896" s="5"/>
      <c r="L10896" s="5"/>
    </row>
    <row r="10897" spans="1:12" ht="12" customHeight="1" x14ac:dyDescent="0.25">
      <c r="A10897" s="6"/>
      <c r="B10897" s="1"/>
      <c r="C10897" s="5"/>
      <c r="D10897" s="5"/>
      <c r="E10897" s="5"/>
      <c r="F10897" s="5"/>
      <c r="G10897" s="5"/>
      <c r="H10897" s="5"/>
      <c r="I10897" s="5"/>
      <c r="J10897" s="5"/>
      <c r="K10897" s="5"/>
      <c r="L10897" s="5"/>
    </row>
    <row r="10898" spans="1:12" ht="12" customHeight="1" x14ac:dyDescent="0.25">
      <c r="A10898" s="6"/>
      <c r="B10898" s="1"/>
      <c r="C10898" s="5"/>
      <c r="D10898" s="5"/>
      <c r="E10898" s="5"/>
      <c r="F10898" s="5"/>
      <c r="G10898" s="5"/>
      <c r="H10898" s="5"/>
      <c r="I10898" s="5"/>
      <c r="J10898" s="5"/>
      <c r="K10898" s="5"/>
      <c r="L10898" s="5"/>
    </row>
    <row r="10899" spans="1:12" ht="12" customHeight="1" x14ac:dyDescent="0.25">
      <c r="A10899" s="6"/>
      <c r="B10899" s="1"/>
      <c r="C10899" s="5"/>
      <c r="D10899" s="5"/>
      <c r="E10899" s="5"/>
      <c r="F10899" s="5"/>
      <c r="G10899" s="5"/>
      <c r="H10899" s="5"/>
      <c r="I10899" s="5"/>
      <c r="J10899" s="5"/>
      <c r="K10899" s="5"/>
      <c r="L10899" s="5"/>
    </row>
    <row r="10900" spans="1:12" ht="12" customHeight="1" x14ac:dyDescent="0.25">
      <c r="A10900" s="6"/>
      <c r="B10900" s="1"/>
      <c r="C10900" s="5"/>
      <c r="D10900" s="5"/>
      <c r="E10900" s="5"/>
      <c r="F10900" s="5"/>
      <c r="G10900" s="5"/>
      <c r="H10900" s="5"/>
      <c r="I10900" s="5"/>
      <c r="J10900" s="5"/>
      <c r="K10900" s="5"/>
      <c r="L10900" s="5"/>
    </row>
    <row r="10901" spans="1:12" ht="12" customHeight="1" x14ac:dyDescent="0.25">
      <c r="A10901" s="6"/>
      <c r="B10901" s="1"/>
      <c r="C10901" s="5"/>
      <c r="D10901" s="5"/>
      <c r="E10901" s="5"/>
      <c r="F10901" s="5"/>
      <c r="G10901" s="5"/>
      <c r="H10901" s="5"/>
      <c r="I10901" s="5"/>
      <c r="J10901" s="5"/>
      <c r="K10901" s="5"/>
      <c r="L10901" s="5"/>
    </row>
    <row r="10902" spans="1:12" ht="12" customHeight="1" x14ac:dyDescent="0.25">
      <c r="A10902" s="6"/>
      <c r="B10902" s="1"/>
      <c r="C10902" s="5"/>
      <c r="D10902" s="5"/>
      <c r="E10902" s="5"/>
      <c r="F10902" s="5"/>
      <c r="G10902" s="5"/>
      <c r="H10902" s="5"/>
      <c r="I10902" s="5"/>
      <c r="J10902" s="5"/>
      <c r="K10902" s="5"/>
      <c r="L10902" s="5"/>
    </row>
    <row r="10903" spans="1:12" ht="12" customHeight="1" x14ac:dyDescent="0.25">
      <c r="A10903" s="6"/>
      <c r="B10903" s="1"/>
      <c r="C10903" s="5"/>
      <c r="D10903" s="5"/>
      <c r="E10903" s="5"/>
      <c r="F10903" s="5"/>
      <c r="G10903" s="5"/>
      <c r="H10903" s="5"/>
      <c r="I10903" s="5"/>
      <c r="J10903" s="5"/>
      <c r="K10903" s="5"/>
      <c r="L10903" s="5"/>
    </row>
    <row r="10904" spans="1:12" ht="12" customHeight="1" x14ac:dyDescent="0.25">
      <c r="A10904" s="6"/>
      <c r="B10904" s="1"/>
      <c r="C10904" s="5"/>
      <c r="D10904" s="5"/>
      <c r="E10904" s="5"/>
      <c r="F10904" s="5"/>
      <c r="G10904" s="5"/>
      <c r="H10904" s="5"/>
      <c r="I10904" s="5"/>
      <c r="J10904" s="5"/>
      <c r="K10904" s="5"/>
      <c r="L10904" s="5"/>
    </row>
    <row r="10905" spans="1:12" ht="12" customHeight="1" x14ac:dyDescent="0.25">
      <c r="A10905" s="6"/>
      <c r="B10905" s="1"/>
      <c r="C10905" s="5"/>
      <c r="D10905" s="5"/>
      <c r="E10905" s="5"/>
      <c r="F10905" s="5"/>
      <c r="G10905" s="5"/>
      <c r="H10905" s="5"/>
      <c r="I10905" s="5"/>
      <c r="J10905" s="5"/>
      <c r="K10905" s="5"/>
      <c r="L10905" s="5"/>
    </row>
    <row r="10906" spans="1:12" ht="12" customHeight="1" x14ac:dyDescent="0.25">
      <c r="A10906" s="6"/>
      <c r="B10906" s="1"/>
      <c r="C10906" s="5"/>
      <c r="D10906" s="5"/>
      <c r="E10906" s="5"/>
      <c r="F10906" s="5"/>
      <c r="G10906" s="5"/>
      <c r="H10906" s="5"/>
      <c r="I10906" s="5"/>
      <c r="J10906" s="5"/>
      <c r="K10906" s="5"/>
      <c r="L10906" s="5"/>
    </row>
    <row r="10907" spans="1:12" ht="12" customHeight="1" x14ac:dyDescent="0.25">
      <c r="A10907" s="6"/>
      <c r="B10907" s="1"/>
      <c r="C10907" s="5"/>
      <c r="D10907" s="5"/>
      <c r="E10907" s="5"/>
      <c r="F10907" s="5"/>
      <c r="G10907" s="5"/>
      <c r="H10907" s="5"/>
      <c r="I10907" s="5"/>
      <c r="J10907" s="5"/>
      <c r="K10907" s="5"/>
      <c r="L10907" s="5"/>
    </row>
    <row r="10908" spans="1:12" ht="12" customHeight="1" x14ac:dyDescent="0.25">
      <c r="A10908" s="6"/>
      <c r="B10908" s="1"/>
      <c r="C10908" s="5"/>
      <c r="D10908" s="5"/>
      <c r="E10908" s="5"/>
      <c r="F10908" s="5"/>
      <c r="G10908" s="5"/>
      <c r="H10908" s="5"/>
      <c r="I10908" s="5"/>
      <c r="J10908" s="5"/>
      <c r="K10908" s="5"/>
      <c r="L10908" s="5"/>
    </row>
    <row r="10909" spans="1:12" ht="12" customHeight="1" x14ac:dyDescent="0.25">
      <c r="A10909" s="6"/>
      <c r="B10909" s="1"/>
      <c r="C10909" s="5"/>
      <c r="D10909" s="5"/>
      <c r="E10909" s="5"/>
      <c r="F10909" s="5"/>
      <c r="G10909" s="5"/>
      <c r="H10909" s="5"/>
      <c r="I10909" s="5"/>
      <c r="J10909" s="5"/>
      <c r="K10909" s="5"/>
      <c r="L10909" s="5"/>
    </row>
    <row r="10910" spans="1:12" ht="12" customHeight="1" x14ac:dyDescent="0.25">
      <c r="A10910" s="6"/>
      <c r="B10910" s="1"/>
      <c r="C10910" s="5"/>
      <c r="D10910" s="5"/>
      <c r="E10910" s="5"/>
      <c r="F10910" s="5"/>
      <c r="G10910" s="5"/>
      <c r="H10910" s="5"/>
      <c r="I10910" s="5"/>
      <c r="J10910" s="5"/>
      <c r="K10910" s="5"/>
      <c r="L10910" s="5"/>
    </row>
    <row r="10911" spans="1:12" ht="12" customHeight="1" x14ac:dyDescent="0.25">
      <c r="A10911" s="6"/>
      <c r="B10911" s="1"/>
      <c r="C10911" s="5"/>
      <c r="D10911" s="5"/>
      <c r="E10911" s="5"/>
      <c r="F10911" s="5"/>
      <c r="G10911" s="5"/>
      <c r="H10911" s="5"/>
      <c r="I10911" s="5"/>
      <c r="J10911" s="5"/>
      <c r="K10911" s="5"/>
      <c r="L10911" s="5"/>
    </row>
    <row r="10912" spans="1:12" ht="12" customHeight="1" x14ac:dyDescent="0.25">
      <c r="A10912" s="6"/>
      <c r="B10912" s="1"/>
      <c r="C10912" s="5"/>
      <c r="D10912" s="5"/>
      <c r="E10912" s="5"/>
      <c r="F10912" s="5"/>
      <c r="G10912" s="5"/>
      <c r="H10912" s="5"/>
      <c r="I10912" s="5"/>
      <c r="J10912" s="5"/>
      <c r="K10912" s="5"/>
      <c r="L10912" s="5"/>
    </row>
    <row r="10913" spans="1:12" ht="12" customHeight="1" x14ac:dyDescent="0.25">
      <c r="A10913" s="6"/>
      <c r="B10913" s="1"/>
      <c r="C10913" s="5"/>
      <c r="D10913" s="5"/>
      <c r="E10913" s="5"/>
      <c r="F10913" s="5"/>
      <c r="G10913" s="5"/>
      <c r="H10913" s="5"/>
      <c r="I10913" s="5"/>
      <c r="J10913" s="5"/>
      <c r="K10913" s="5"/>
      <c r="L10913" s="5"/>
    </row>
    <row r="10914" spans="1:12" ht="12" customHeight="1" x14ac:dyDescent="0.25">
      <c r="A10914" s="6"/>
      <c r="B10914" s="1"/>
      <c r="C10914" s="5"/>
      <c r="D10914" s="5"/>
      <c r="E10914" s="5"/>
      <c r="F10914" s="5"/>
      <c r="G10914" s="5"/>
      <c r="H10914" s="5"/>
      <c r="I10914" s="5"/>
      <c r="J10914" s="5"/>
      <c r="K10914" s="5"/>
      <c r="L10914" s="5"/>
    </row>
    <row r="10915" spans="1:12" ht="12" customHeight="1" x14ac:dyDescent="0.25">
      <c r="A10915" s="6"/>
      <c r="B10915" s="1"/>
      <c r="C10915" s="5"/>
      <c r="D10915" s="5"/>
      <c r="E10915" s="5"/>
      <c r="F10915" s="5"/>
      <c r="G10915" s="5"/>
      <c r="H10915" s="5"/>
      <c r="I10915" s="5"/>
      <c r="J10915" s="5"/>
      <c r="K10915" s="5"/>
      <c r="L10915" s="5"/>
    </row>
    <row r="10916" spans="1:12" ht="12" customHeight="1" x14ac:dyDescent="0.25">
      <c r="A10916" s="6"/>
      <c r="B10916" s="1"/>
      <c r="C10916" s="5"/>
      <c r="D10916" s="5"/>
      <c r="E10916" s="5"/>
      <c r="F10916" s="5"/>
      <c r="G10916" s="5"/>
      <c r="H10916" s="5"/>
      <c r="I10916" s="5"/>
      <c r="J10916" s="5"/>
      <c r="K10916" s="5"/>
      <c r="L10916" s="5"/>
    </row>
    <row r="10917" spans="1:12" ht="12" customHeight="1" x14ac:dyDescent="0.25">
      <c r="A10917" s="6"/>
      <c r="B10917" s="1"/>
      <c r="C10917" s="5"/>
      <c r="D10917" s="5"/>
      <c r="E10917" s="5"/>
      <c r="F10917" s="5"/>
      <c r="G10917" s="5"/>
      <c r="H10917" s="5"/>
      <c r="I10917" s="5"/>
      <c r="J10917" s="5"/>
      <c r="K10917" s="5"/>
      <c r="L10917" s="5"/>
    </row>
    <row r="10918" spans="1:12" ht="12" customHeight="1" x14ac:dyDescent="0.25">
      <c r="A10918" s="6"/>
      <c r="B10918" s="1"/>
      <c r="C10918" s="5"/>
      <c r="D10918" s="5"/>
      <c r="E10918" s="5"/>
      <c r="F10918" s="5"/>
      <c r="G10918" s="5"/>
      <c r="H10918" s="5"/>
      <c r="I10918" s="5"/>
      <c r="J10918" s="5"/>
      <c r="K10918" s="5"/>
      <c r="L10918" s="5"/>
    </row>
    <row r="10919" spans="1:12" ht="12" customHeight="1" x14ac:dyDescent="0.25">
      <c r="A10919" s="6"/>
      <c r="B10919" s="1"/>
      <c r="C10919" s="5"/>
      <c r="D10919" s="5"/>
      <c r="E10919" s="5"/>
      <c r="F10919" s="5"/>
      <c r="G10919" s="5"/>
      <c r="H10919" s="5"/>
      <c r="I10919" s="5"/>
      <c r="J10919" s="5"/>
      <c r="K10919" s="5"/>
      <c r="L10919" s="5"/>
    </row>
    <row r="10920" spans="1:12" ht="12" customHeight="1" x14ac:dyDescent="0.25">
      <c r="A10920" s="6"/>
      <c r="B10920" s="1"/>
      <c r="C10920" s="5"/>
      <c r="D10920" s="5"/>
      <c r="E10920" s="5"/>
      <c r="F10920" s="5"/>
      <c r="G10920" s="5"/>
      <c r="H10920" s="5"/>
      <c r="I10920" s="5"/>
      <c r="J10920" s="5"/>
      <c r="K10920" s="5"/>
      <c r="L10920" s="5"/>
    </row>
    <row r="10921" spans="1:12" ht="12" customHeight="1" x14ac:dyDescent="0.25">
      <c r="A10921" s="6"/>
      <c r="B10921" s="1"/>
      <c r="C10921" s="5"/>
      <c r="D10921" s="5"/>
      <c r="E10921" s="5"/>
      <c r="F10921" s="5"/>
      <c r="G10921" s="5"/>
      <c r="H10921" s="5"/>
      <c r="I10921" s="5"/>
      <c r="J10921" s="5"/>
      <c r="K10921" s="5"/>
      <c r="L10921" s="5"/>
    </row>
    <row r="10922" spans="1:12" ht="12" customHeight="1" x14ac:dyDescent="0.25">
      <c r="A10922" s="6"/>
      <c r="B10922" s="1"/>
      <c r="C10922" s="5"/>
      <c r="D10922" s="5"/>
      <c r="E10922" s="5"/>
      <c r="F10922" s="5"/>
      <c r="G10922" s="5"/>
      <c r="H10922" s="5"/>
      <c r="I10922" s="5"/>
      <c r="J10922" s="5"/>
      <c r="K10922" s="5"/>
      <c r="L10922" s="5"/>
    </row>
    <row r="10923" spans="1:12" ht="12" customHeight="1" x14ac:dyDescent="0.25">
      <c r="A10923" s="6"/>
      <c r="B10923" s="1"/>
      <c r="C10923" s="5"/>
      <c r="D10923" s="5"/>
      <c r="E10923" s="5"/>
      <c r="F10923" s="5"/>
      <c r="G10923" s="5"/>
      <c r="H10923" s="5"/>
      <c r="I10923" s="5"/>
      <c r="J10923" s="5"/>
      <c r="K10923" s="5"/>
      <c r="L10923" s="5"/>
    </row>
    <row r="10924" spans="1:12" ht="12" customHeight="1" x14ac:dyDescent="0.25">
      <c r="A10924" s="6"/>
      <c r="B10924" s="1"/>
      <c r="C10924" s="5"/>
      <c r="D10924" s="5"/>
      <c r="E10924" s="5"/>
      <c r="F10924" s="5"/>
      <c r="G10924" s="5"/>
      <c r="H10924" s="5"/>
      <c r="I10924" s="5"/>
      <c r="J10924" s="5"/>
      <c r="K10924" s="5"/>
      <c r="L10924" s="5"/>
    </row>
    <row r="10925" spans="1:12" ht="12" customHeight="1" x14ac:dyDescent="0.25">
      <c r="A10925" s="6"/>
      <c r="B10925" s="1"/>
      <c r="C10925" s="5"/>
      <c r="D10925" s="5"/>
      <c r="E10925" s="5"/>
      <c r="F10925" s="5"/>
      <c r="G10925" s="5"/>
      <c r="H10925" s="5"/>
      <c r="I10925" s="5"/>
      <c r="J10925" s="5"/>
      <c r="K10925" s="5"/>
      <c r="L10925" s="5"/>
    </row>
    <row r="10926" spans="1:12" ht="12" customHeight="1" x14ac:dyDescent="0.25">
      <c r="A10926" s="6"/>
      <c r="B10926" s="1"/>
      <c r="C10926" s="5"/>
      <c r="D10926" s="5"/>
      <c r="E10926" s="5"/>
      <c r="F10926" s="5"/>
      <c r="G10926" s="5"/>
      <c r="H10926" s="5"/>
      <c r="I10926" s="5"/>
      <c r="J10926" s="5"/>
      <c r="K10926" s="5"/>
      <c r="L10926" s="5"/>
    </row>
    <row r="10927" spans="1:12" ht="12" customHeight="1" x14ac:dyDescent="0.25">
      <c r="A10927" s="6"/>
      <c r="B10927" s="1"/>
      <c r="C10927" s="5"/>
      <c r="D10927" s="5"/>
      <c r="E10927" s="5"/>
      <c r="F10927" s="5"/>
      <c r="G10927" s="5"/>
      <c r="H10927" s="5"/>
      <c r="I10927" s="5"/>
      <c r="J10927" s="5"/>
      <c r="K10927" s="5"/>
      <c r="L10927" s="5"/>
    </row>
    <row r="10928" spans="1:12" ht="12" customHeight="1" x14ac:dyDescent="0.25">
      <c r="A10928" s="6"/>
      <c r="B10928" s="1"/>
      <c r="C10928" s="5"/>
      <c r="D10928" s="5"/>
      <c r="E10928" s="5"/>
      <c r="F10928" s="5"/>
      <c r="G10928" s="5"/>
      <c r="H10928" s="5"/>
      <c r="I10928" s="5"/>
      <c r="J10928" s="5"/>
      <c r="K10928" s="5"/>
      <c r="L10928" s="5"/>
    </row>
    <row r="10929" spans="1:12" ht="12" customHeight="1" x14ac:dyDescent="0.25">
      <c r="A10929" s="6"/>
      <c r="B10929" s="1"/>
      <c r="C10929" s="5"/>
      <c r="D10929" s="5"/>
      <c r="E10929" s="5"/>
      <c r="F10929" s="5"/>
      <c r="G10929" s="5"/>
      <c r="H10929" s="5"/>
      <c r="I10929" s="5"/>
      <c r="J10929" s="5"/>
      <c r="K10929" s="5"/>
      <c r="L10929" s="5"/>
    </row>
    <row r="10930" spans="1:12" ht="12" customHeight="1" x14ac:dyDescent="0.25">
      <c r="A10930" s="6"/>
      <c r="B10930" s="1"/>
      <c r="C10930" s="5"/>
      <c r="D10930" s="5"/>
      <c r="E10930" s="5"/>
      <c r="F10930" s="5"/>
      <c r="G10930" s="5"/>
      <c r="H10930" s="5"/>
      <c r="I10930" s="5"/>
      <c r="J10930" s="5"/>
      <c r="K10930" s="5"/>
      <c r="L10930" s="5"/>
    </row>
    <row r="10931" spans="1:12" ht="12" customHeight="1" x14ac:dyDescent="0.25">
      <c r="A10931" s="6"/>
      <c r="B10931" s="1"/>
      <c r="C10931" s="5"/>
      <c r="D10931" s="5"/>
      <c r="E10931" s="5"/>
      <c r="F10931" s="5"/>
      <c r="G10931" s="5"/>
      <c r="H10931" s="5"/>
      <c r="I10931" s="5"/>
      <c r="J10931" s="5"/>
      <c r="K10931" s="5"/>
      <c r="L10931" s="5"/>
    </row>
    <row r="10932" spans="1:12" ht="12" customHeight="1" x14ac:dyDescent="0.25">
      <c r="A10932" s="6"/>
      <c r="B10932" s="1"/>
      <c r="C10932" s="5"/>
      <c r="D10932" s="5"/>
      <c r="E10932" s="5"/>
      <c r="F10932" s="5"/>
      <c r="G10932" s="5"/>
      <c r="H10932" s="5"/>
      <c r="I10932" s="5"/>
      <c r="J10932" s="5"/>
      <c r="K10932" s="5"/>
      <c r="L10932" s="5"/>
    </row>
    <row r="10933" spans="1:12" ht="12" customHeight="1" x14ac:dyDescent="0.25">
      <c r="A10933" s="6"/>
      <c r="B10933" s="1"/>
      <c r="C10933" s="5"/>
      <c r="D10933" s="5"/>
      <c r="E10933" s="5"/>
      <c r="F10933" s="5"/>
      <c r="G10933" s="5"/>
      <c r="H10933" s="5"/>
      <c r="I10933" s="5"/>
      <c r="J10933" s="5"/>
      <c r="K10933" s="5"/>
      <c r="L10933" s="5"/>
    </row>
    <row r="10934" spans="1:12" ht="12" customHeight="1" x14ac:dyDescent="0.25">
      <c r="A10934" s="6"/>
      <c r="B10934" s="1"/>
      <c r="C10934" s="5"/>
      <c r="D10934" s="5"/>
      <c r="E10934" s="5"/>
      <c r="F10934" s="5"/>
      <c r="G10934" s="5"/>
      <c r="H10934" s="5"/>
      <c r="I10934" s="5"/>
      <c r="J10934" s="5"/>
      <c r="K10934" s="5"/>
      <c r="L10934" s="5"/>
    </row>
    <row r="10935" spans="1:12" ht="12" customHeight="1" x14ac:dyDescent="0.25">
      <c r="A10935" s="6"/>
      <c r="B10935" s="1"/>
      <c r="C10935" s="5"/>
      <c r="D10935" s="5"/>
      <c r="E10935" s="5"/>
      <c r="F10935" s="5"/>
      <c r="G10935" s="5"/>
      <c r="H10935" s="5"/>
      <c r="I10935" s="5"/>
      <c r="J10935" s="5"/>
      <c r="K10935" s="5"/>
      <c r="L10935" s="5"/>
    </row>
    <row r="10936" spans="1:12" ht="12" customHeight="1" x14ac:dyDescent="0.25">
      <c r="A10936" s="6"/>
      <c r="B10936" s="1"/>
      <c r="C10936" s="5"/>
      <c r="D10936" s="5"/>
      <c r="E10936" s="5"/>
      <c r="F10936" s="5"/>
      <c r="G10936" s="5"/>
      <c r="H10936" s="5"/>
      <c r="I10936" s="5"/>
      <c r="J10936" s="5"/>
      <c r="K10936" s="5"/>
      <c r="L10936" s="5"/>
    </row>
    <row r="10937" spans="1:12" ht="12" customHeight="1" x14ac:dyDescent="0.25">
      <c r="A10937" s="6"/>
      <c r="B10937" s="1"/>
      <c r="C10937" s="5"/>
      <c r="D10937" s="5"/>
      <c r="E10937" s="5"/>
      <c r="F10937" s="5"/>
      <c r="G10937" s="5"/>
      <c r="H10937" s="5"/>
      <c r="I10937" s="5"/>
      <c r="J10937" s="5"/>
      <c r="K10937" s="5"/>
      <c r="L10937" s="5"/>
    </row>
    <row r="10938" spans="1:12" ht="12" customHeight="1" x14ac:dyDescent="0.25">
      <c r="A10938" s="6"/>
      <c r="B10938" s="1"/>
      <c r="C10938" s="5"/>
      <c r="D10938" s="5"/>
      <c r="E10938" s="5"/>
      <c r="F10938" s="5"/>
      <c r="G10938" s="5"/>
      <c r="H10938" s="5"/>
      <c r="I10938" s="5"/>
      <c r="J10938" s="5"/>
      <c r="K10938" s="5"/>
      <c r="L10938" s="5"/>
    </row>
    <row r="10939" spans="1:12" ht="12" customHeight="1" x14ac:dyDescent="0.25">
      <c r="A10939" s="6"/>
      <c r="B10939" s="1"/>
      <c r="C10939" s="5"/>
      <c r="D10939" s="5"/>
      <c r="E10939" s="5"/>
      <c r="F10939" s="5"/>
      <c r="G10939" s="5"/>
      <c r="H10939" s="5"/>
      <c r="I10939" s="5"/>
      <c r="J10939" s="5"/>
      <c r="K10939" s="5"/>
      <c r="L10939" s="5"/>
    </row>
    <row r="10940" spans="1:12" ht="12" customHeight="1" x14ac:dyDescent="0.25">
      <c r="A10940" s="6"/>
      <c r="B10940" s="1"/>
      <c r="C10940" s="5"/>
      <c r="D10940" s="5"/>
      <c r="E10940" s="5"/>
      <c r="F10940" s="5"/>
      <c r="G10940" s="5"/>
      <c r="H10940" s="5"/>
      <c r="I10940" s="5"/>
      <c r="J10940" s="5"/>
      <c r="K10940" s="5"/>
      <c r="L10940" s="5"/>
    </row>
    <row r="10941" spans="1:12" ht="12" customHeight="1" x14ac:dyDescent="0.25">
      <c r="A10941" s="6"/>
      <c r="B10941" s="1"/>
      <c r="C10941" s="5"/>
      <c r="D10941" s="5"/>
      <c r="E10941" s="5"/>
      <c r="F10941" s="5"/>
      <c r="G10941" s="5"/>
      <c r="H10941" s="5"/>
      <c r="I10941" s="5"/>
      <c r="J10941" s="5"/>
      <c r="K10941" s="5"/>
      <c r="L10941" s="5"/>
    </row>
    <row r="10942" spans="1:12" ht="12" customHeight="1" x14ac:dyDescent="0.25">
      <c r="A10942" s="6"/>
      <c r="B10942" s="1"/>
      <c r="C10942" s="5"/>
      <c r="D10942" s="5"/>
      <c r="E10942" s="5"/>
      <c r="F10942" s="5"/>
      <c r="G10942" s="5"/>
      <c r="H10942" s="5"/>
      <c r="I10942" s="5"/>
      <c r="J10942" s="5"/>
      <c r="K10942" s="5"/>
      <c r="L10942" s="5"/>
    </row>
    <row r="10943" spans="1:12" ht="12" customHeight="1" x14ac:dyDescent="0.25">
      <c r="A10943" s="6"/>
      <c r="B10943" s="1"/>
      <c r="C10943" s="5"/>
      <c r="D10943" s="5"/>
      <c r="E10943" s="5"/>
      <c r="F10943" s="5"/>
      <c r="G10943" s="5"/>
      <c r="H10943" s="5"/>
      <c r="I10943" s="5"/>
      <c r="J10943" s="5"/>
      <c r="K10943" s="5"/>
      <c r="L10943" s="5"/>
    </row>
    <row r="10944" spans="1:12" ht="12" customHeight="1" x14ac:dyDescent="0.25">
      <c r="A10944" s="6"/>
      <c r="B10944" s="1"/>
      <c r="C10944" s="5"/>
      <c r="D10944" s="5"/>
      <c r="E10944" s="5"/>
      <c r="F10944" s="5"/>
      <c r="G10944" s="5"/>
      <c r="H10944" s="5"/>
      <c r="I10944" s="5"/>
      <c r="J10944" s="5"/>
      <c r="K10944" s="5"/>
      <c r="L10944" s="5"/>
    </row>
    <row r="10945" spans="1:12" ht="12" customHeight="1" x14ac:dyDescent="0.25">
      <c r="A10945" s="6"/>
      <c r="B10945" s="1"/>
      <c r="C10945" s="5"/>
      <c r="D10945" s="5"/>
      <c r="E10945" s="5"/>
      <c r="F10945" s="5"/>
      <c r="G10945" s="5"/>
      <c r="H10945" s="5"/>
      <c r="I10945" s="5"/>
      <c r="J10945" s="5"/>
      <c r="K10945" s="5"/>
      <c r="L10945" s="5"/>
    </row>
    <row r="10946" spans="1:12" ht="12" customHeight="1" x14ac:dyDescent="0.25">
      <c r="A10946" s="6"/>
      <c r="B10946" s="1"/>
      <c r="C10946" s="5"/>
      <c r="D10946" s="5"/>
      <c r="E10946" s="5"/>
      <c r="F10946" s="5"/>
      <c r="G10946" s="5"/>
      <c r="H10946" s="5"/>
      <c r="I10946" s="5"/>
      <c r="J10946" s="5"/>
      <c r="K10946" s="5"/>
      <c r="L10946" s="5"/>
    </row>
    <row r="10947" spans="1:12" ht="12" customHeight="1" x14ac:dyDescent="0.25">
      <c r="A10947" s="6"/>
      <c r="B10947" s="1"/>
      <c r="C10947" s="5"/>
      <c r="D10947" s="5"/>
      <c r="E10947" s="5"/>
      <c r="F10947" s="5"/>
      <c r="G10947" s="5"/>
      <c r="H10947" s="5"/>
      <c r="I10947" s="5"/>
      <c r="J10947" s="5"/>
      <c r="K10947" s="5"/>
      <c r="L10947" s="5"/>
    </row>
    <row r="10948" spans="1:12" ht="12" customHeight="1" x14ac:dyDescent="0.25">
      <c r="A10948" s="6"/>
      <c r="B10948" s="1"/>
      <c r="C10948" s="5"/>
      <c r="D10948" s="5"/>
      <c r="E10948" s="5"/>
      <c r="F10948" s="5"/>
      <c r="G10948" s="5"/>
      <c r="H10948" s="5"/>
      <c r="I10948" s="5"/>
      <c r="J10948" s="5"/>
      <c r="K10948" s="5"/>
      <c r="L10948" s="5"/>
    </row>
    <row r="10949" spans="1:12" ht="12" customHeight="1" x14ac:dyDescent="0.25">
      <c r="A10949" s="6"/>
      <c r="B10949" s="1"/>
      <c r="C10949" s="5"/>
      <c r="D10949" s="5"/>
      <c r="E10949" s="5"/>
      <c r="F10949" s="5"/>
      <c r="G10949" s="5"/>
      <c r="H10949" s="5"/>
      <c r="I10949" s="5"/>
      <c r="J10949" s="5"/>
      <c r="K10949" s="5"/>
      <c r="L10949" s="5"/>
    </row>
    <row r="10950" spans="1:12" ht="12" customHeight="1" x14ac:dyDescent="0.25">
      <c r="A10950" s="6"/>
      <c r="B10950" s="1"/>
      <c r="C10950" s="5"/>
      <c r="D10950" s="5"/>
      <c r="E10950" s="5"/>
      <c r="F10950" s="5"/>
      <c r="G10950" s="5"/>
      <c r="H10950" s="5"/>
      <c r="I10950" s="5"/>
      <c r="J10950" s="5"/>
      <c r="K10950" s="5"/>
      <c r="L10950" s="5"/>
    </row>
    <row r="10951" spans="1:12" ht="12" customHeight="1" x14ac:dyDescent="0.25">
      <c r="A10951" s="6"/>
      <c r="B10951" s="1"/>
      <c r="C10951" s="5"/>
      <c r="D10951" s="5"/>
      <c r="E10951" s="5"/>
      <c r="F10951" s="5"/>
      <c r="G10951" s="5"/>
      <c r="H10951" s="5"/>
      <c r="I10951" s="5"/>
      <c r="J10951" s="5"/>
      <c r="K10951" s="5"/>
      <c r="L10951" s="5"/>
    </row>
    <row r="10952" spans="1:12" ht="12" customHeight="1" x14ac:dyDescent="0.25">
      <c r="A10952" s="6"/>
      <c r="B10952" s="1"/>
      <c r="C10952" s="5"/>
      <c r="D10952" s="5"/>
      <c r="E10952" s="5"/>
      <c r="F10952" s="5"/>
      <c r="G10952" s="5"/>
      <c r="H10952" s="5"/>
      <c r="I10952" s="5"/>
      <c r="J10952" s="5"/>
      <c r="K10952" s="5"/>
      <c r="L10952" s="5"/>
    </row>
    <row r="10953" spans="1:12" ht="12" customHeight="1" x14ac:dyDescent="0.25">
      <c r="A10953" s="6"/>
      <c r="B10953" s="1"/>
      <c r="C10953" s="5"/>
      <c r="D10953" s="5"/>
      <c r="E10953" s="5"/>
      <c r="F10953" s="5"/>
      <c r="G10953" s="5"/>
      <c r="H10953" s="5"/>
      <c r="I10953" s="5"/>
      <c r="J10953" s="5"/>
      <c r="K10953" s="5"/>
      <c r="L10953" s="5"/>
    </row>
    <row r="10954" spans="1:12" ht="12" customHeight="1" x14ac:dyDescent="0.25">
      <c r="A10954" s="6"/>
      <c r="B10954" s="1"/>
      <c r="C10954" s="5"/>
      <c r="D10954" s="5"/>
      <c r="E10954" s="5"/>
      <c r="F10954" s="5"/>
      <c r="G10954" s="5"/>
      <c r="H10954" s="5"/>
      <c r="I10954" s="5"/>
      <c r="J10954" s="5"/>
      <c r="K10954" s="5"/>
      <c r="L10954" s="5"/>
    </row>
    <row r="10955" spans="1:12" ht="12" customHeight="1" x14ac:dyDescent="0.25">
      <c r="A10955" s="6"/>
      <c r="B10955" s="1"/>
      <c r="C10955" s="5"/>
      <c r="D10955" s="5"/>
      <c r="E10955" s="5"/>
      <c r="F10955" s="5"/>
      <c r="G10955" s="5"/>
      <c r="H10955" s="5"/>
      <c r="I10955" s="5"/>
      <c r="J10955" s="5"/>
      <c r="K10955" s="5"/>
      <c r="L10955" s="5"/>
    </row>
    <row r="10956" spans="1:12" ht="12" customHeight="1" x14ac:dyDescent="0.25">
      <c r="A10956" s="6"/>
      <c r="B10956" s="1"/>
      <c r="C10956" s="5"/>
      <c r="D10956" s="5"/>
      <c r="E10956" s="5"/>
      <c r="F10956" s="5"/>
      <c r="G10956" s="5"/>
      <c r="H10956" s="5"/>
      <c r="I10956" s="5"/>
      <c r="J10956" s="5"/>
      <c r="K10956" s="5"/>
      <c r="L10956" s="5"/>
    </row>
    <row r="10957" spans="1:12" ht="12" customHeight="1" x14ac:dyDescent="0.25">
      <c r="A10957" s="6"/>
      <c r="B10957" s="1"/>
      <c r="C10957" s="5"/>
      <c r="D10957" s="5"/>
      <c r="E10957" s="5"/>
      <c r="F10957" s="5"/>
      <c r="G10957" s="5"/>
      <c r="H10957" s="5"/>
      <c r="I10957" s="5"/>
      <c r="J10957" s="5"/>
      <c r="K10957" s="5"/>
      <c r="L10957" s="5"/>
    </row>
    <row r="10958" spans="1:12" ht="12" customHeight="1" x14ac:dyDescent="0.25">
      <c r="A10958" s="6"/>
      <c r="B10958" s="1"/>
      <c r="C10958" s="5"/>
      <c r="D10958" s="5"/>
      <c r="E10958" s="5"/>
      <c r="F10958" s="5"/>
      <c r="G10958" s="5"/>
      <c r="H10958" s="5"/>
      <c r="I10958" s="5"/>
      <c r="J10958" s="5"/>
      <c r="K10958" s="5"/>
      <c r="L10958" s="5"/>
    </row>
    <row r="10959" spans="1:12" ht="12" customHeight="1" x14ac:dyDescent="0.25">
      <c r="A10959" s="6"/>
      <c r="B10959" s="1"/>
      <c r="C10959" s="5"/>
      <c r="D10959" s="5"/>
      <c r="E10959" s="5"/>
      <c r="F10959" s="5"/>
      <c r="G10959" s="5"/>
      <c r="H10959" s="5"/>
      <c r="I10959" s="5"/>
      <c r="J10959" s="5"/>
      <c r="K10959" s="5"/>
      <c r="L10959" s="5"/>
    </row>
    <row r="10960" spans="1:12" ht="12" customHeight="1" x14ac:dyDescent="0.25">
      <c r="A10960" s="6"/>
      <c r="B10960" s="1"/>
      <c r="C10960" s="5"/>
      <c r="D10960" s="5"/>
      <c r="E10960" s="5"/>
      <c r="F10960" s="5"/>
      <c r="G10960" s="5"/>
      <c r="H10960" s="5"/>
      <c r="I10960" s="5"/>
      <c r="J10960" s="5"/>
      <c r="K10960" s="5"/>
      <c r="L10960" s="5"/>
    </row>
    <row r="10961" spans="1:12" ht="12" customHeight="1" x14ac:dyDescent="0.25">
      <c r="A10961" s="6"/>
      <c r="B10961" s="1"/>
      <c r="C10961" s="5"/>
      <c r="D10961" s="5"/>
      <c r="E10961" s="5"/>
      <c r="F10961" s="5"/>
      <c r="G10961" s="5"/>
      <c r="H10961" s="5"/>
      <c r="I10961" s="5"/>
      <c r="J10961" s="5"/>
      <c r="K10961" s="5"/>
      <c r="L10961" s="5"/>
    </row>
    <row r="10962" spans="1:12" ht="12" customHeight="1" x14ac:dyDescent="0.25">
      <c r="A10962" s="6"/>
      <c r="B10962" s="1"/>
      <c r="C10962" s="5"/>
      <c r="D10962" s="5"/>
      <c r="E10962" s="5"/>
      <c r="F10962" s="5"/>
      <c r="G10962" s="5"/>
      <c r="H10962" s="5"/>
      <c r="I10962" s="5"/>
      <c r="J10962" s="5"/>
      <c r="K10962" s="5"/>
      <c r="L10962" s="5"/>
    </row>
    <row r="10963" spans="1:12" ht="12" customHeight="1" x14ac:dyDescent="0.25">
      <c r="A10963" s="6"/>
      <c r="B10963" s="1"/>
      <c r="C10963" s="5"/>
      <c r="D10963" s="5"/>
      <c r="E10963" s="5"/>
      <c r="F10963" s="5"/>
      <c r="G10963" s="5"/>
      <c r="H10963" s="5"/>
      <c r="I10963" s="5"/>
      <c r="J10963" s="5"/>
      <c r="K10963" s="5"/>
      <c r="L10963" s="5"/>
    </row>
    <row r="10964" spans="1:12" ht="12" customHeight="1" x14ac:dyDescent="0.25">
      <c r="A10964" s="6"/>
      <c r="B10964" s="1"/>
      <c r="C10964" s="5"/>
      <c r="D10964" s="5"/>
      <c r="E10964" s="5"/>
      <c r="F10964" s="5"/>
      <c r="G10964" s="5"/>
      <c r="H10964" s="5"/>
      <c r="I10964" s="5"/>
      <c r="J10964" s="5"/>
      <c r="K10964" s="5"/>
      <c r="L10964" s="5"/>
    </row>
    <row r="10965" spans="1:12" ht="12" customHeight="1" x14ac:dyDescent="0.25">
      <c r="A10965" s="6"/>
      <c r="B10965" s="1"/>
      <c r="C10965" s="5"/>
      <c r="D10965" s="5"/>
      <c r="E10965" s="5"/>
      <c r="F10965" s="5"/>
      <c r="G10965" s="5"/>
      <c r="H10965" s="5"/>
      <c r="I10965" s="5"/>
      <c r="J10965" s="5"/>
      <c r="K10965" s="5"/>
      <c r="L10965" s="5"/>
    </row>
    <row r="10966" spans="1:12" ht="12" customHeight="1" x14ac:dyDescent="0.25">
      <c r="A10966" s="6"/>
      <c r="B10966" s="1"/>
      <c r="C10966" s="5"/>
      <c r="D10966" s="5"/>
      <c r="E10966" s="5"/>
      <c r="F10966" s="5"/>
      <c r="G10966" s="5"/>
      <c r="H10966" s="5"/>
      <c r="I10966" s="5"/>
      <c r="J10966" s="5"/>
      <c r="K10966" s="5"/>
      <c r="L10966" s="5"/>
    </row>
    <row r="10967" spans="1:12" ht="12" customHeight="1" x14ac:dyDescent="0.25">
      <c r="A10967" s="6"/>
      <c r="B10967" s="1"/>
      <c r="C10967" s="5"/>
      <c r="D10967" s="5"/>
      <c r="E10967" s="5"/>
      <c r="F10967" s="5"/>
      <c r="G10967" s="5"/>
      <c r="H10967" s="5"/>
      <c r="I10967" s="5"/>
      <c r="J10967" s="5"/>
      <c r="K10967" s="5"/>
      <c r="L10967" s="5"/>
    </row>
    <row r="10968" spans="1:12" ht="12" customHeight="1" x14ac:dyDescent="0.25">
      <c r="A10968" s="6"/>
      <c r="B10968" s="1"/>
      <c r="C10968" s="5"/>
      <c r="D10968" s="5"/>
      <c r="E10968" s="5"/>
      <c r="F10968" s="5"/>
      <c r="G10968" s="5"/>
      <c r="H10968" s="5"/>
      <c r="I10968" s="5"/>
      <c r="J10968" s="5"/>
      <c r="K10968" s="5"/>
      <c r="L10968" s="5"/>
    </row>
    <row r="10969" spans="1:12" ht="12" customHeight="1" x14ac:dyDescent="0.25">
      <c r="A10969" s="6"/>
      <c r="B10969" s="1"/>
      <c r="C10969" s="5"/>
      <c r="D10969" s="5"/>
      <c r="E10969" s="5"/>
      <c r="F10969" s="5"/>
      <c r="G10969" s="5"/>
      <c r="H10969" s="5"/>
      <c r="I10969" s="5"/>
      <c r="J10969" s="5"/>
      <c r="K10969" s="5"/>
      <c r="L10969" s="5"/>
    </row>
    <row r="10970" spans="1:12" ht="12" customHeight="1" x14ac:dyDescent="0.25">
      <c r="A10970" s="6"/>
      <c r="B10970" s="1"/>
      <c r="C10970" s="5"/>
      <c r="D10970" s="5"/>
      <c r="E10970" s="5"/>
      <c r="F10970" s="5"/>
      <c r="G10970" s="5"/>
      <c r="H10970" s="5"/>
      <c r="I10970" s="5"/>
      <c r="J10970" s="5"/>
      <c r="K10970" s="5"/>
      <c r="L10970" s="5"/>
    </row>
    <row r="10971" spans="1:12" ht="12" customHeight="1" x14ac:dyDescent="0.25">
      <c r="A10971" s="6"/>
      <c r="B10971" s="1"/>
      <c r="C10971" s="5"/>
      <c r="D10971" s="5"/>
      <c r="E10971" s="5"/>
      <c r="F10971" s="5"/>
      <c r="G10971" s="5"/>
      <c r="H10971" s="5"/>
      <c r="I10971" s="5"/>
      <c r="J10971" s="5"/>
      <c r="K10971" s="5"/>
      <c r="L10971" s="5"/>
    </row>
    <row r="10972" spans="1:12" ht="12" customHeight="1" x14ac:dyDescent="0.25">
      <c r="A10972" s="6"/>
      <c r="B10972" s="1"/>
      <c r="C10972" s="5"/>
      <c r="D10972" s="5"/>
      <c r="E10972" s="5"/>
      <c r="F10972" s="5"/>
      <c r="G10972" s="5"/>
      <c r="H10972" s="5"/>
      <c r="I10972" s="5"/>
      <c r="J10972" s="5"/>
      <c r="K10972" s="5"/>
      <c r="L10972" s="5"/>
    </row>
    <row r="10973" spans="1:12" ht="12" customHeight="1" x14ac:dyDescent="0.25">
      <c r="A10973" s="6"/>
      <c r="B10973" s="1"/>
      <c r="C10973" s="5"/>
      <c r="D10973" s="5"/>
      <c r="E10973" s="5"/>
      <c r="F10973" s="5"/>
      <c r="G10973" s="5"/>
      <c r="H10973" s="5"/>
      <c r="I10973" s="5"/>
      <c r="J10973" s="5"/>
      <c r="K10973" s="5"/>
      <c r="L10973" s="5"/>
    </row>
    <row r="10974" spans="1:12" ht="12" customHeight="1" x14ac:dyDescent="0.25">
      <c r="A10974" s="6"/>
      <c r="B10974" s="1"/>
      <c r="C10974" s="5"/>
      <c r="D10974" s="5"/>
      <c r="E10974" s="5"/>
      <c r="F10974" s="5"/>
      <c r="G10974" s="5"/>
      <c r="H10974" s="5"/>
      <c r="I10974" s="5"/>
      <c r="J10974" s="5"/>
      <c r="K10974" s="5"/>
      <c r="L10974" s="5"/>
    </row>
    <row r="10975" spans="1:12" ht="12" customHeight="1" x14ac:dyDescent="0.25">
      <c r="A10975" s="6"/>
      <c r="B10975" s="1"/>
      <c r="C10975" s="5"/>
      <c r="D10975" s="5"/>
      <c r="E10975" s="5"/>
      <c r="F10975" s="5"/>
      <c r="G10975" s="5"/>
      <c r="H10975" s="5"/>
      <c r="I10975" s="5"/>
      <c r="J10975" s="5"/>
      <c r="K10975" s="5"/>
      <c r="L10975" s="5"/>
    </row>
    <row r="10976" spans="1:12" ht="12" customHeight="1" x14ac:dyDescent="0.25">
      <c r="A10976" s="6"/>
      <c r="B10976" s="1"/>
      <c r="C10976" s="5"/>
      <c r="D10976" s="5"/>
      <c r="E10976" s="5"/>
      <c r="F10976" s="5"/>
      <c r="G10976" s="5"/>
      <c r="H10976" s="5"/>
      <c r="I10976" s="5"/>
      <c r="J10976" s="5"/>
      <c r="K10976" s="5"/>
      <c r="L10976" s="5"/>
    </row>
    <row r="10977" spans="1:12" ht="12" customHeight="1" x14ac:dyDescent="0.25">
      <c r="A10977" s="6"/>
      <c r="B10977" s="1"/>
      <c r="C10977" s="5"/>
      <c r="D10977" s="5"/>
      <c r="E10977" s="5"/>
      <c r="F10977" s="5"/>
      <c r="G10977" s="5"/>
      <c r="H10977" s="5"/>
      <c r="I10977" s="5"/>
      <c r="J10977" s="5"/>
      <c r="K10977" s="5"/>
      <c r="L10977" s="5"/>
    </row>
    <row r="10978" spans="1:12" ht="12" customHeight="1" x14ac:dyDescent="0.25">
      <c r="A10978" s="6"/>
      <c r="B10978" s="1"/>
      <c r="C10978" s="5"/>
      <c r="D10978" s="5"/>
      <c r="E10978" s="5"/>
      <c r="F10978" s="5"/>
      <c r="G10978" s="5"/>
      <c r="H10978" s="5"/>
      <c r="I10978" s="5"/>
      <c r="J10978" s="5"/>
      <c r="K10978" s="5"/>
      <c r="L10978" s="5"/>
    </row>
    <row r="10979" spans="1:12" ht="12" customHeight="1" x14ac:dyDescent="0.25">
      <c r="A10979" s="6"/>
      <c r="B10979" s="1"/>
      <c r="C10979" s="5"/>
      <c r="D10979" s="5"/>
      <c r="E10979" s="5"/>
      <c r="F10979" s="5"/>
      <c r="G10979" s="5"/>
      <c r="H10979" s="5"/>
      <c r="I10979" s="5"/>
      <c r="J10979" s="5"/>
      <c r="K10979" s="5"/>
      <c r="L10979" s="5"/>
    </row>
    <row r="10980" spans="1:12" ht="12" customHeight="1" x14ac:dyDescent="0.25">
      <c r="A10980" s="6"/>
      <c r="B10980" s="1"/>
      <c r="C10980" s="5"/>
      <c r="D10980" s="5"/>
      <c r="E10980" s="5"/>
      <c r="F10980" s="5"/>
      <c r="G10980" s="5"/>
      <c r="H10980" s="5"/>
      <c r="I10980" s="5"/>
      <c r="J10980" s="5"/>
      <c r="K10980" s="5"/>
      <c r="L10980" s="5"/>
    </row>
    <row r="10981" spans="1:12" ht="12" customHeight="1" x14ac:dyDescent="0.25">
      <c r="A10981" s="6"/>
      <c r="B10981" s="1"/>
      <c r="C10981" s="5"/>
      <c r="D10981" s="5"/>
      <c r="E10981" s="5"/>
      <c r="F10981" s="5"/>
      <c r="G10981" s="5"/>
      <c r="H10981" s="5"/>
      <c r="I10981" s="5"/>
      <c r="J10981" s="5"/>
      <c r="K10981" s="5"/>
      <c r="L10981" s="5"/>
    </row>
    <row r="10982" spans="1:12" ht="12" customHeight="1" x14ac:dyDescent="0.25">
      <c r="A10982" s="6"/>
      <c r="B10982" s="1"/>
      <c r="C10982" s="5"/>
      <c r="D10982" s="5"/>
      <c r="E10982" s="5"/>
      <c r="F10982" s="5"/>
      <c r="G10982" s="5"/>
      <c r="H10982" s="5"/>
      <c r="I10982" s="5"/>
      <c r="J10982" s="5"/>
      <c r="K10982" s="5"/>
      <c r="L10982" s="5"/>
    </row>
    <row r="10983" spans="1:12" ht="12" customHeight="1" x14ac:dyDescent="0.25">
      <c r="A10983" s="6"/>
      <c r="B10983" s="1"/>
      <c r="C10983" s="5"/>
      <c r="D10983" s="5"/>
      <c r="E10983" s="5"/>
      <c r="F10983" s="5"/>
      <c r="G10983" s="5"/>
      <c r="H10983" s="5"/>
      <c r="I10983" s="5"/>
      <c r="J10983" s="5"/>
      <c r="K10983" s="5"/>
      <c r="L10983" s="5"/>
    </row>
    <row r="10984" spans="1:12" ht="12" customHeight="1" x14ac:dyDescent="0.25">
      <c r="A10984" s="6"/>
      <c r="B10984" s="1"/>
      <c r="C10984" s="5"/>
      <c r="D10984" s="5"/>
      <c r="E10984" s="5"/>
      <c r="F10984" s="5"/>
      <c r="G10984" s="5"/>
      <c r="H10984" s="5"/>
      <c r="I10984" s="5"/>
      <c r="J10984" s="5"/>
      <c r="K10984" s="5"/>
      <c r="L10984" s="5"/>
    </row>
    <row r="10985" spans="1:12" ht="12" customHeight="1" x14ac:dyDescent="0.25">
      <c r="A10985" s="6"/>
      <c r="B10985" s="1"/>
      <c r="C10985" s="5"/>
      <c r="D10985" s="5"/>
      <c r="E10985" s="5"/>
      <c r="F10985" s="5"/>
      <c r="G10985" s="5"/>
      <c r="H10985" s="5"/>
      <c r="I10985" s="5"/>
      <c r="J10985" s="5"/>
      <c r="K10985" s="5"/>
      <c r="L10985" s="5"/>
    </row>
    <row r="10986" spans="1:12" ht="12" customHeight="1" x14ac:dyDescent="0.25">
      <c r="A10986" s="6"/>
      <c r="B10986" s="1"/>
      <c r="C10986" s="5"/>
      <c r="D10986" s="5"/>
      <c r="E10986" s="5"/>
      <c r="F10986" s="5"/>
      <c r="G10986" s="5"/>
      <c r="H10986" s="5"/>
      <c r="I10986" s="5"/>
      <c r="J10986" s="5"/>
      <c r="K10986" s="5"/>
      <c r="L10986" s="5"/>
    </row>
    <row r="10987" spans="1:12" ht="12" customHeight="1" x14ac:dyDescent="0.25">
      <c r="A10987" s="6"/>
      <c r="B10987" s="1"/>
      <c r="C10987" s="5"/>
      <c r="D10987" s="5"/>
      <c r="E10987" s="5"/>
      <c r="F10987" s="5"/>
      <c r="G10987" s="5"/>
      <c r="H10987" s="5"/>
      <c r="I10987" s="5"/>
      <c r="J10987" s="5"/>
      <c r="K10987" s="5"/>
      <c r="L10987" s="5"/>
    </row>
    <row r="10988" spans="1:12" ht="12" customHeight="1" x14ac:dyDescent="0.25">
      <c r="A10988" s="6"/>
      <c r="B10988" s="1"/>
      <c r="C10988" s="5"/>
      <c r="D10988" s="5"/>
      <c r="E10988" s="5"/>
      <c r="F10988" s="5"/>
      <c r="G10988" s="5"/>
      <c r="H10988" s="5"/>
      <c r="I10988" s="5"/>
      <c r="J10988" s="5"/>
      <c r="K10988" s="5"/>
      <c r="L10988" s="5"/>
    </row>
    <row r="10989" spans="1:12" ht="12" customHeight="1" x14ac:dyDescent="0.25">
      <c r="A10989" s="6"/>
      <c r="B10989" s="1"/>
      <c r="C10989" s="5"/>
      <c r="D10989" s="5"/>
      <c r="E10989" s="5"/>
      <c r="F10989" s="5"/>
      <c r="G10989" s="5"/>
      <c r="H10989" s="5"/>
      <c r="I10989" s="5"/>
      <c r="J10989" s="5"/>
      <c r="K10989" s="5"/>
      <c r="L10989" s="5"/>
    </row>
    <row r="10990" spans="1:12" ht="12" customHeight="1" x14ac:dyDescent="0.25">
      <c r="A10990" s="6"/>
      <c r="B10990" s="1"/>
      <c r="C10990" s="5"/>
      <c r="D10990" s="5"/>
      <c r="E10990" s="5"/>
      <c r="F10990" s="5"/>
      <c r="G10990" s="5"/>
      <c r="H10990" s="5"/>
      <c r="I10990" s="5"/>
      <c r="J10990" s="5"/>
      <c r="K10990" s="5"/>
      <c r="L10990" s="5"/>
    </row>
    <row r="10991" spans="1:12" ht="12" customHeight="1" x14ac:dyDescent="0.25">
      <c r="A10991" s="6"/>
      <c r="B10991" s="1"/>
      <c r="C10991" s="5"/>
      <c r="D10991" s="5"/>
      <c r="E10991" s="5"/>
      <c r="F10991" s="5"/>
      <c r="G10991" s="5"/>
      <c r="H10991" s="5"/>
      <c r="I10991" s="5"/>
      <c r="J10991" s="5"/>
      <c r="K10991" s="5"/>
      <c r="L10991" s="5"/>
    </row>
    <row r="10992" spans="1:12" ht="12" customHeight="1" x14ac:dyDescent="0.25">
      <c r="A10992" s="6"/>
      <c r="B10992" s="1"/>
      <c r="C10992" s="5"/>
      <c r="D10992" s="5"/>
      <c r="E10992" s="5"/>
      <c r="F10992" s="5"/>
      <c r="G10992" s="5"/>
      <c r="H10992" s="5"/>
      <c r="I10992" s="5"/>
      <c r="J10992" s="5"/>
      <c r="K10992" s="5"/>
      <c r="L10992" s="5"/>
    </row>
    <row r="10993" spans="1:12" ht="12" customHeight="1" x14ac:dyDescent="0.25">
      <c r="A10993" s="6"/>
      <c r="B10993" s="1"/>
      <c r="C10993" s="5"/>
      <c r="D10993" s="5"/>
      <c r="E10993" s="5"/>
      <c r="F10993" s="5"/>
      <c r="G10993" s="5"/>
      <c r="H10993" s="5"/>
      <c r="I10993" s="5"/>
      <c r="J10993" s="5"/>
      <c r="K10993" s="5"/>
      <c r="L10993" s="5"/>
    </row>
    <row r="10994" spans="1:12" ht="12" customHeight="1" x14ac:dyDescent="0.25">
      <c r="A10994" s="6"/>
      <c r="B10994" s="1"/>
      <c r="C10994" s="5"/>
      <c r="D10994" s="5"/>
      <c r="E10994" s="5"/>
      <c r="F10994" s="5"/>
      <c r="G10994" s="5"/>
      <c r="H10994" s="5"/>
      <c r="I10994" s="5"/>
      <c r="J10994" s="5"/>
      <c r="K10994" s="5"/>
      <c r="L10994" s="5"/>
    </row>
    <row r="10995" spans="1:12" ht="12" customHeight="1" x14ac:dyDescent="0.25">
      <c r="A10995" s="6"/>
      <c r="B10995" s="1"/>
      <c r="C10995" s="5"/>
      <c r="D10995" s="5"/>
      <c r="E10995" s="5"/>
      <c r="F10995" s="5"/>
      <c r="G10995" s="5"/>
      <c r="H10995" s="5"/>
      <c r="I10995" s="5"/>
      <c r="J10995" s="5"/>
      <c r="K10995" s="5"/>
      <c r="L10995" s="5"/>
    </row>
    <row r="10996" spans="1:12" ht="12" customHeight="1" x14ac:dyDescent="0.25">
      <c r="A10996" s="6"/>
      <c r="B10996" s="1"/>
      <c r="C10996" s="5"/>
      <c r="D10996" s="5"/>
      <c r="E10996" s="5"/>
      <c r="F10996" s="5"/>
      <c r="G10996" s="5"/>
      <c r="H10996" s="5"/>
      <c r="I10996" s="5"/>
      <c r="J10996" s="5"/>
      <c r="K10996" s="5"/>
      <c r="L10996" s="5"/>
    </row>
    <row r="10997" spans="1:12" ht="12" customHeight="1" x14ac:dyDescent="0.25">
      <c r="A10997" s="6"/>
      <c r="B10997" s="1"/>
      <c r="C10997" s="5"/>
      <c r="D10997" s="5"/>
      <c r="E10997" s="5"/>
      <c r="F10997" s="5"/>
      <c r="G10997" s="5"/>
      <c r="H10997" s="5"/>
      <c r="I10997" s="5"/>
      <c r="J10997" s="5"/>
      <c r="K10997" s="5"/>
      <c r="L10997" s="5"/>
    </row>
    <row r="10998" spans="1:12" ht="12" customHeight="1" x14ac:dyDescent="0.25">
      <c r="A10998" s="6"/>
      <c r="B10998" s="1"/>
      <c r="C10998" s="5"/>
      <c r="D10998" s="5"/>
      <c r="E10998" s="5"/>
      <c r="F10998" s="5"/>
      <c r="G10998" s="5"/>
      <c r="H10998" s="5"/>
      <c r="I10998" s="5"/>
      <c r="J10998" s="5"/>
      <c r="K10998" s="5"/>
      <c r="L10998" s="5"/>
    </row>
    <row r="10999" spans="1:12" ht="12" customHeight="1" x14ac:dyDescent="0.25">
      <c r="A10999" s="6"/>
      <c r="B10999" s="1"/>
      <c r="C10999" s="5"/>
      <c r="D10999" s="5"/>
      <c r="E10999" s="5"/>
      <c r="F10999" s="5"/>
      <c r="G10999" s="5"/>
      <c r="H10999" s="5"/>
      <c r="I10999" s="5"/>
      <c r="J10999" s="5"/>
      <c r="K10999" s="5"/>
      <c r="L10999" s="5"/>
    </row>
    <row r="11000" spans="1:12" ht="12" customHeight="1" x14ac:dyDescent="0.25">
      <c r="A11000" s="6"/>
      <c r="B11000" s="1"/>
      <c r="C11000" s="5"/>
      <c r="D11000" s="5"/>
      <c r="E11000" s="5"/>
      <c r="F11000" s="5"/>
      <c r="G11000" s="5"/>
      <c r="H11000" s="5"/>
      <c r="I11000" s="5"/>
      <c r="J11000" s="5"/>
      <c r="K11000" s="5"/>
      <c r="L11000" s="5"/>
    </row>
    <row r="11001" spans="1:12" ht="12" customHeight="1" x14ac:dyDescent="0.25">
      <c r="A11001" s="6"/>
      <c r="B11001" s="1"/>
      <c r="C11001" s="5"/>
      <c r="D11001" s="5"/>
      <c r="E11001" s="5"/>
      <c r="F11001" s="5"/>
      <c r="G11001" s="5"/>
      <c r="H11001" s="5"/>
      <c r="I11001" s="5"/>
      <c r="J11001" s="5"/>
      <c r="K11001" s="5"/>
      <c r="L11001" s="5"/>
    </row>
    <row r="11002" spans="1:12" ht="12" customHeight="1" x14ac:dyDescent="0.25">
      <c r="A11002" s="6"/>
      <c r="B11002" s="1"/>
      <c r="C11002" s="5"/>
      <c r="D11002" s="5"/>
      <c r="E11002" s="5"/>
      <c r="F11002" s="5"/>
      <c r="G11002" s="5"/>
      <c r="H11002" s="5"/>
      <c r="I11002" s="5"/>
      <c r="J11002" s="5"/>
      <c r="K11002" s="5"/>
      <c r="L11002" s="5"/>
    </row>
    <row r="11003" spans="1:12" ht="12" customHeight="1" x14ac:dyDescent="0.25">
      <c r="A11003" s="6"/>
      <c r="B11003" s="1"/>
      <c r="C11003" s="5"/>
      <c r="D11003" s="5"/>
      <c r="E11003" s="5"/>
      <c r="F11003" s="5"/>
      <c r="G11003" s="5"/>
      <c r="H11003" s="5"/>
      <c r="I11003" s="5"/>
      <c r="J11003" s="5"/>
      <c r="K11003" s="5"/>
      <c r="L11003" s="5"/>
    </row>
    <row r="11004" spans="1:12" ht="12" customHeight="1" x14ac:dyDescent="0.25">
      <c r="A11004" s="6"/>
      <c r="B11004" s="1"/>
      <c r="C11004" s="5"/>
      <c r="D11004" s="5"/>
      <c r="E11004" s="5"/>
      <c r="F11004" s="5"/>
      <c r="G11004" s="5"/>
      <c r="H11004" s="5"/>
      <c r="I11004" s="5"/>
      <c r="J11004" s="5"/>
      <c r="K11004" s="5"/>
      <c r="L11004" s="5"/>
    </row>
    <row r="11005" spans="1:12" ht="12" customHeight="1" x14ac:dyDescent="0.25">
      <c r="A11005" s="6"/>
      <c r="B11005" s="1"/>
      <c r="C11005" s="5"/>
      <c r="D11005" s="5"/>
      <c r="E11005" s="5"/>
      <c r="F11005" s="5"/>
      <c r="G11005" s="5"/>
      <c r="H11005" s="5"/>
      <c r="I11005" s="5"/>
      <c r="J11005" s="5"/>
      <c r="K11005" s="5"/>
      <c r="L11005" s="5"/>
    </row>
    <row r="11006" spans="1:12" ht="12" customHeight="1" x14ac:dyDescent="0.25">
      <c r="A11006" s="6"/>
      <c r="B11006" s="1"/>
      <c r="C11006" s="5"/>
      <c r="D11006" s="5"/>
      <c r="E11006" s="5"/>
      <c r="F11006" s="5"/>
      <c r="G11006" s="5"/>
      <c r="H11006" s="5"/>
      <c r="I11006" s="5"/>
      <c r="J11006" s="5"/>
      <c r="K11006" s="5"/>
      <c r="L11006" s="5"/>
    </row>
    <row r="11007" spans="1:12" ht="12" customHeight="1" x14ac:dyDescent="0.25">
      <c r="A11007" s="6"/>
      <c r="B11007" s="1"/>
      <c r="C11007" s="5"/>
      <c r="D11007" s="5"/>
      <c r="E11007" s="5"/>
      <c r="F11007" s="5"/>
      <c r="G11007" s="5"/>
      <c r="H11007" s="5"/>
      <c r="I11007" s="5"/>
      <c r="J11007" s="5"/>
      <c r="K11007" s="5"/>
      <c r="L11007" s="5"/>
    </row>
    <row r="11008" spans="1:12" ht="12" customHeight="1" x14ac:dyDescent="0.25">
      <c r="A11008" s="6"/>
      <c r="B11008" s="1"/>
      <c r="C11008" s="5"/>
      <c r="D11008" s="5"/>
      <c r="E11008" s="5"/>
      <c r="F11008" s="5"/>
      <c r="G11008" s="5"/>
      <c r="H11008" s="5"/>
      <c r="I11008" s="5"/>
      <c r="J11008" s="5"/>
      <c r="K11008" s="5"/>
      <c r="L11008" s="5"/>
    </row>
    <row r="11009" spans="1:12" ht="12" customHeight="1" x14ac:dyDescent="0.25">
      <c r="A11009" s="6"/>
      <c r="B11009" s="1"/>
      <c r="C11009" s="5"/>
      <c r="D11009" s="5"/>
      <c r="E11009" s="5"/>
      <c r="F11009" s="5"/>
      <c r="G11009" s="5"/>
      <c r="H11009" s="5"/>
      <c r="I11009" s="5"/>
      <c r="J11009" s="5"/>
      <c r="K11009" s="5"/>
      <c r="L11009" s="5"/>
    </row>
    <row r="11010" spans="1:12" ht="12" customHeight="1" x14ac:dyDescent="0.25">
      <c r="A11010" s="6"/>
      <c r="B11010" s="1"/>
      <c r="C11010" s="5"/>
      <c r="D11010" s="5"/>
      <c r="E11010" s="5"/>
      <c r="F11010" s="5"/>
      <c r="G11010" s="5"/>
      <c r="H11010" s="5"/>
      <c r="I11010" s="5"/>
      <c r="J11010" s="5"/>
      <c r="K11010" s="5"/>
      <c r="L11010" s="5"/>
    </row>
    <row r="11011" spans="1:12" ht="12" customHeight="1" x14ac:dyDescent="0.25">
      <c r="A11011" s="6"/>
      <c r="B11011" s="1"/>
      <c r="C11011" s="5"/>
      <c r="D11011" s="5"/>
      <c r="E11011" s="5"/>
      <c r="F11011" s="5"/>
      <c r="G11011" s="5"/>
      <c r="H11011" s="5"/>
      <c r="I11011" s="5"/>
      <c r="J11011" s="5"/>
      <c r="K11011" s="5"/>
      <c r="L11011" s="5"/>
    </row>
    <row r="11012" spans="1:12" ht="12" customHeight="1" x14ac:dyDescent="0.25">
      <c r="A11012" s="6"/>
      <c r="B11012" s="1"/>
      <c r="C11012" s="5"/>
      <c r="D11012" s="5"/>
      <c r="E11012" s="5"/>
      <c r="F11012" s="5"/>
      <c r="G11012" s="5"/>
      <c r="H11012" s="5"/>
      <c r="I11012" s="5"/>
      <c r="J11012" s="5"/>
      <c r="K11012" s="5"/>
      <c r="L11012" s="5"/>
    </row>
    <row r="11013" spans="1:12" ht="12" customHeight="1" x14ac:dyDescent="0.25">
      <c r="A11013" s="6"/>
      <c r="B11013" s="1"/>
      <c r="C11013" s="5"/>
      <c r="D11013" s="5"/>
      <c r="E11013" s="5"/>
      <c r="F11013" s="5"/>
      <c r="G11013" s="5"/>
      <c r="H11013" s="5"/>
      <c r="I11013" s="5"/>
      <c r="J11013" s="5"/>
      <c r="K11013" s="5"/>
      <c r="L11013" s="5"/>
    </row>
    <row r="11014" spans="1:12" ht="12" customHeight="1" x14ac:dyDescent="0.25">
      <c r="A11014" s="6"/>
      <c r="B11014" s="1"/>
      <c r="C11014" s="5"/>
      <c r="D11014" s="5"/>
      <c r="E11014" s="5"/>
      <c r="F11014" s="5"/>
      <c r="G11014" s="5"/>
      <c r="H11014" s="5"/>
      <c r="I11014" s="5"/>
      <c r="J11014" s="5"/>
      <c r="K11014" s="5"/>
      <c r="L11014" s="5"/>
    </row>
    <row r="11015" spans="1:12" ht="12" customHeight="1" x14ac:dyDescent="0.25">
      <c r="A11015" s="6"/>
      <c r="B11015" s="1"/>
      <c r="C11015" s="5"/>
      <c r="D11015" s="5"/>
      <c r="E11015" s="5"/>
      <c r="F11015" s="5"/>
      <c r="G11015" s="5"/>
      <c r="H11015" s="5"/>
      <c r="I11015" s="5"/>
      <c r="J11015" s="5"/>
      <c r="K11015" s="5"/>
      <c r="L11015" s="5"/>
    </row>
    <row r="11016" spans="1:12" ht="12" customHeight="1" x14ac:dyDescent="0.25">
      <c r="A11016" s="6"/>
      <c r="B11016" s="1"/>
      <c r="C11016" s="5"/>
      <c r="D11016" s="5"/>
      <c r="E11016" s="5"/>
      <c r="F11016" s="5"/>
      <c r="G11016" s="5"/>
      <c r="H11016" s="5"/>
      <c r="I11016" s="5"/>
      <c r="J11016" s="5"/>
      <c r="K11016" s="5"/>
      <c r="L11016" s="5"/>
    </row>
    <row r="11017" spans="1:12" ht="12" customHeight="1" x14ac:dyDescent="0.25">
      <c r="A11017" s="6"/>
      <c r="B11017" s="1"/>
      <c r="C11017" s="5"/>
      <c r="D11017" s="5"/>
      <c r="E11017" s="5"/>
      <c r="F11017" s="5"/>
      <c r="G11017" s="5"/>
      <c r="H11017" s="5"/>
      <c r="I11017" s="5"/>
      <c r="J11017" s="5"/>
      <c r="K11017" s="5"/>
      <c r="L11017" s="5"/>
    </row>
    <row r="11018" spans="1:12" ht="12" customHeight="1" x14ac:dyDescent="0.25">
      <c r="A11018" s="6"/>
      <c r="B11018" s="1"/>
      <c r="C11018" s="5"/>
      <c r="D11018" s="5"/>
      <c r="E11018" s="5"/>
      <c r="F11018" s="5"/>
      <c r="G11018" s="5"/>
      <c r="H11018" s="5"/>
      <c r="I11018" s="5"/>
      <c r="J11018" s="5"/>
      <c r="K11018" s="5"/>
      <c r="L11018" s="5"/>
    </row>
    <row r="11019" spans="1:12" ht="12" customHeight="1" x14ac:dyDescent="0.25">
      <c r="A11019" s="6"/>
      <c r="B11019" s="1"/>
      <c r="C11019" s="5"/>
      <c r="D11019" s="5"/>
      <c r="E11019" s="5"/>
      <c r="F11019" s="5"/>
      <c r="G11019" s="5"/>
      <c r="H11019" s="5"/>
      <c r="I11019" s="5"/>
      <c r="J11019" s="5"/>
      <c r="K11019" s="5"/>
      <c r="L11019" s="5"/>
    </row>
    <row r="11020" spans="1:12" ht="12" customHeight="1" x14ac:dyDescent="0.25">
      <c r="A11020" s="6"/>
      <c r="B11020" s="1"/>
      <c r="C11020" s="5"/>
      <c r="D11020" s="5"/>
      <c r="E11020" s="5"/>
      <c r="F11020" s="5"/>
      <c r="G11020" s="5"/>
      <c r="H11020" s="5"/>
      <c r="I11020" s="5"/>
      <c r="J11020" s="5"/>
      <c r="K11020" s="5"/>
      <c r="L11020" s="5"/>
    </row>
    <row r="11021" spans="1:12" ht="12" customHeight="1" x14ac:dyDescent="0.25">
      <c r="A11021" s="6"/>
      <c r="B11021" s="1"/>
      <c r="C11021" s="5"/>
      <c r="D11021" s="5"/>
      <c r="E11021" s="5"/>
      <c r="F11021" s="5"/>
      <c r="G11021" s="5"/>
      <c r="H11021" s="5"/>
      <c r="I11021" s="5"/>
      <c r="J11021" s="5"/>
      <c r="K11021" s="5"/>
      <c r="L11021" s="5"/>
    </row>
    <row r="11022" spans="1:12" ht="12" customHeight="1" x14ac:dyDescent="0.25">
      <c r="A11022" s="6"/>
      <c r="B11022" s="1"/>
      <c r="C11022" s="5"/>
      <c r="D11022" s="5"/>
      <c r="E11022" s="5"/>
      <c r="F11022" s="5"/>
      <c r="G11022" s="5"/>
      <c r="H11022" s="5"/>
      <c r="I11022" s="5"/>
      <c r="J11022" s="5"/>
      <c r="K11022" s="5"/>
      <c r="L11022" s="5"/>
    </row>
    <row r="11023" spans="1:12" ht="12" customHeight="1" x14ac:dyDescent="0.25">
      <c r="A11023" s="6"/>
      <c r="B11023" s="1"/>
      <c r="C11023" s="5"/>
      <c r="D11023" s="5"/>
      <c r="E11023" s="5"/>
      <c r="F11023" s="5"/>
      <c r="G11023" s="5"/>
      <c r="H11023" s="5"/>
      <c r="I11023" s="5"/>
      <c r="J11023" s="5"/>
      <c r="K11023" s="5"/>
      <c r="L11023" s="5"/>
    </row>
    <row r="11024" spans="1:12" ht="12" customHeight="1" x14ac:dyDescent="0.25">
      <c r="A11024" s="6"/>
      <c r="B11024" s="1"/>
      <c r="C11024" s="5"/>
      <c r="D11024" s="5"/>
      <c r="E11024" s="5"/>
      <c r="F11024" s="5"/>
      <c r="G11024" s="5"/>
      <c r="H11024" s="5"/>
      <c r="I11024" s="5"/>
      <c r="J11024" s="5"/>
      <c r="K11024" s="5"/>
      <c r="L11024" s="5"/>
    </row>
    <row r="11025" spans="1:12" ht="12" customHeight="1" x14ac:dyDescent="0.25">
      <c r="A11025" s="6"/>
      <c r="B11025" s="1"/>
      <c r="C11025" s="5"/>
      <c r="D11025" s="5"/>
      <c r="E11025" s="5"/>
      <c r="F11025" s="5"/>
      <c r="G11025" s="5"/>
      <c r="H11025" s="5"/>
      <c r="I11025" s="5"/>
      <c r="J11025" s="5"/>
      <c r="K11025" s="5"/>
      <c r="L11025" s="5"/>
    </row>
    <row r="11026" spans="1:12" ht="12" customHeight="1" x14ac:dyDescent="0.25">
      <c r="A11026" s="6"/>
      <c r="B11026" s="1"/>
      <c r="C11026" s="5"/>
      <c r="D11026" s="5"/>
      <c r="E11026" s="5"/>
      <c r="F11026" s="5"/>
      <c r="G11026" s="5"/>
      <c r="H11026" s="5"/>
      <c r="I11026" s="5"/>
      <c r="J11026" s="5"/>
      <c r="K11026" s="5"/>
      <c r="L11026" s="5"/>
    </row>
    <row r="11027" spans="1:12" ht="12" customHeight="1" x14ac:dyDescent="0.25">
      <c r="A11027" s="6"/>
      <c r="B11027" s="1"/>
      <c r="C11027" s="5"/>
      <c r="D11027" s="5"/>
      <c r="E11027" s="5"/>
      <c r="F11027" s="5"/>
      <c r="G11027" s="5"/>
      <c r="H11027" s="5"/>
      <c r="I11027" s="5"/>
      <c r="J11027" s="5"/>
      <c r="K11027" s="5"/>
      <c r="L11027" s="5"/>
    </row>
    <row r="11028" spans="1:12" ht="12" customHeight="1" x14ac:dyDescent="0.25">
      <c r="A11028" s="6"/>
      <c r="B11028" s="1"/>
      <c r="C11028" s="5"/>
      <c r="D11028" s="5"/>
      <c r="E11028" s="5"/>
      <c r="F11028" s="5"/>
      <c r="G11028" s="5"/>
      <c r="H11028" s="5"/>
      <c r="I11028" s="5"/>
      <c r="J11028" s="5"/>
      <c r="K11028" s="5"/>
      <c r="L11028" s="5"/>
    </row>
    <row r="11029" spans="1:12" ht="12" customHeight="1" x14ac:dyDescent="0.25">
      <c r="A11029" s="6"/>
      <c r="B11029" s="1"/>
      <c r="C11029" s="5"/>
      <c r="D11029" s="5"/>
      <c r="E11029" s="5"/>
      <c r="F11029" s="5"/>
      <c r="G11029" s="5"/>
      <c r="H11029" s="5"/>
      <c r="I11029" s="5"/>
      <c r="J11029" s="5"/>
      <c r="K11029" s="5"/>
      <c r="L11029" s="5"/>
    </row>
    <row r="11030" spans="1:12" ht="12" customHeight="1" x14ac:dyDescent="0.25">
      <c r="A11030" s="6"/>
      <c r="B11030" s="1"/>
      <c r="C11030" s="5"/>
      <c r="D11030" s="5"/>
      <c r="E11030" s="5"/>
      <c r="F11030" s="5"/>
      <c r="G11030" s="5"/>
      <c r="H11030" s="5"/>
      <c r="I11030" s="5"/>
      <c r="J11030" s="5"/>
      <c r="K11030" s="5"/>
      <c r="L11030" s="5"/>
    </row>
    <row r="11031" spans="1:12" ht="12" customHeight="1" x14ac:dyDescent="0.25">
      <c r="A11031" s="6"/>
      <c r="B11031" s="1"/>
      <c r="C11031" s="5"/>
      <c r="D11031" s="5"/>
      <c r="E11031" s="5"/>
      <c r="F11031" s="5"/>
      <c r="G11031" s="5"/>
      <c r="H11031" s="5"/>
      <c r="I11031" s="5"/>
      <c r="J11031" s="5"/>
      <c r="K11031" s="5"/>
      <c r="L11031" s="5"/>
    </row>
    <row r="11032" spans="1:12" ht="12" customHeight="1" x14ac:dyDescent="0.25">
      <c r="A11032" s="6"/>
      <c r="B11032" s="1"/>
      <c r="C11032" s="5"/>
      <c r="D11032" s="5"/>
      <c r="E11032" s="5"/>
      <c r="F11032" s="5"/>
      <c r="G11032" s="5"/>
      <c r="H11032" s="5"/>
      <c r="I11032" s="5"/>
      <c r="J11032" s="5"/>
      <c r="K11032" s="5"/>
      <c r="L11032" s="5"/>
    </row>
    <row r="11033" spans="1:12" ht="12" customHeight="1" x14ac:dyDescent="0.25">
      <c r="A11033" s="6"/>
      <c r="B11033" s="1"/>
      <c r="C11033" s="5"/>
      <c r="D11033" s="5"/>
      <c r="E11033" s="5"/>
      <c r="F11033" s="5"/>
      <c r="G11033" s="5"/>
      <c r="H11033" s="5"/>
      <c r="I11033" s="5"/>
      <c r="J11033" s="5"/>
      <c r="K11033" s="5"/>
      <c r="L11033" s="5"/>
    </row>
    <row r="11034" spans="1:12" ht="12" customHeight="1" x14ac:dyDescent="0.25">
      <c r="A11034" s="6"/>
      <c r="B11034" s="1"/>
      <c r="C11034" s="5"/>
      <c r="D11034" s="5"/>
      <c r="E11034" s="5"/>
      <c r="F11034" s="5"/>
      <c r="G11034" s="5"/>
      <c r="H11034" s="5"/>
      <c r="I11034" s="5"/>
      <c r="J11034" s="5"/>
      <c r="K11034" s="5"/>
      <c r="L11034" s="5"/>
    </row>
    <row r="11035" spans="1:12" ht="12" customHeight="1" x14ac:dyDescent="0.25">
      <c r="A11035" s="6"/>
      <c r="B11035" s="1"/>
      <c r="C11035" s="5"/>
      <c r="D11035" s="5"/>
      <c r="E11035" s="5"/>
      <c r="F11035" s="5"/>
      <c r="G11035" s="5"/>
      <c r="H11035" s="5"/>
      <c r="I11035" s="5"/>
      <c r="J11035" s="5"/>
      <c r="K11035" s="5"/>
      <c r="L11035" s="5"/>
    </row>
    <row r="11036" spans="1:12" ht="12" customHeight="1" x14ac:dyDescent="0.25">
      <c r="A11036" s="6"/>
      <c r="B11036" s="1"/>
      <c r="C11036" s="5"/>
      <c r="D11036" s="5"/>
      <c r="E11036" s="5"/>
      <c r="F11036" s="5"/>
      <c r="G11036" s="5"/>
      <c r="H11036" s="5"/>
      <c r="I11036" s="5"/>
      <c r="J11036" s="5"/>
      <c r="K11036" s="5"/>
      <c r="L11036" s="5"/>
    </row>
    <row r="11037" spans="1:12" ht="12" customHeight="1" x14ac:dyDescent="0.25">
      <c r="A11037" s="6"/>
      <c r="B11037" s="1"/>
      <c r="C11037" s="5"/>
      <c r="D11037" s="5"/>
      <c r="E11037" s="5"/>
      <c r="F11037" s="5"/>
      <c r="G11037" s="5"/>
      <c r="H11037" s="5"/>
      <c r="I11037" s="5"/>
      <c r="J11037" s="5"/>
      <c r="K11037" s="5"/>
      <c r="L11037" s="5"/>
    </row>
    <row r="11038" spans="1:12" ht="12" customHeight="1" x14ac:dyDescent="0.25">
      <c r="A11038" s="6"/>
      <c r="B11038" s="1"/>
      <c r="C11038" s="5"/>
      <c r="D11038" s="5"/>
      <c r="E11038" s="5"/>
      <c r="F11038" s="5"/>
      <c r="G11038" s="5"/>
      <c r="H11038" s="5"/>
      <c r="I11038" s="5"/>
      <c r="J11038" s="5"/>
      <c r="K11038" s="5"/>
      <c r="L11038" s="5"/>
    </row>
    <row r="11039" spans="1:12" ht="12" customHeight="1" x14ac:dyDescent="0.25">
      <c r="A11039" s="6"/>
      <c r="B11039" s="1"/>
      <c r="C11039" s="5"/>
      <c r="D11039" s="5"/>
      <c r="E11039" s="5"/>
      <c r="F11039" s="5"/>
      <c r="G11039" s="5"/>
      <c r="H11039" s="5"/>
      <c r="I11039" s="5"/>
      <c r="J11039" s="5"/>
      <c r="K11039" s="5"/>
      <c r="L11039" s="5"/>
    </row>
    <row r="11040" spans="1:12" ht="12" customHeight="1" x14ac:dyDescent="0.25">
      <c r="A11040" s="6"/>
      <c r="B11040" s="1"/>
      <c r="C11040" s="5"/>
      <c r="D11040" s="5"/>
      <c r="E11040" s="5"/>
      <c r="F11040" s="5"/>
      <c r="G11040" s="5"/>
      <c r="H11040" s="5"/>
      <c r="I11040" s="5"/>
      <c r="J11040" s="5"/>
      <c r="K11040" s="5"/>
      <c r="L11040" s="5"/>
    </row>
    <row r="11041" spans="1:12" ht="12" customHeight="1" x14ac:dyDescent="0.25">
      <c r="A11041" s="6"/>
      <c r="B11041" s="1"/>
      <c r="C11041" s="5"/>
      <c r="D11041" s="5"/>
      <c r="E11041" s="5"/>
      <c r="F11041" s="5"/>
      <c r="G11041" s="5"/>
      <c r="H11041" s="5"/>
      <c r="I11041" s="5"/>
      <c r="J11041" s="5"/>
      <c r="K11041" s="5"/>
      <c r="L11041" s="5"/>
    </row>
    <row r="11042" spans="1:12" ht="12" customHeight="1" x14ac:dyDescent="0.25">
      <c r="A11042" s="6"/>
      <c r="B11042" s="1"/>
      <c r="C11042" s="5"/>
      <c r="D11042" s="5"/>
      <c r="E11042" s="5"/>
      <c r="F11042" s="5"/>
      <c r="G11042" s="5"/>
      <c r="H11042" s="5"/>
      <c r="I11042" s="5"/>
      <c r="J11042" s="5"/>
      <c r="K11042" s="5"/>
      <c r="L11042" s="5"/>
    </row>
    <row r="11043" spans="1:12" ht="12" customHeight="1" x14ac:dyDescent="0.25">
      <c r="A11043" s="6"/>
      <c r="B11043" s="1"/>
      <c r="C11043" s="5"/>
      <c r="D11043" s="5"/>
      <c r="E11043" s="5"/>
      <c r="F11043" s="5"/>
      <c r="G11043" s="5"/>
      <c r="H11043" s="5"/>
      <c r="I11043" s="5"/>
      <c r="J11043" s="5"/>
      <c r="K11043" s="5"/>
      <c r="L11043" s="5"/>
    </row>
    <row r="11044" spans="1:12" ht="12" customHeight="1" x14ac:dyDescent="0.25">
      <c r="A11044" s="6"/>
      <c r="B11044" s="1"/>
      <c r="C11044" s="5"/>
      <c r="D11044" s="5"/>
      <c r="E11044" s="5"/>
      <c r="F11044" s="5"/>
      <c r="G11044" s="5"/>
      <c r="H11044" s="5"/>
      <c r="I11044" s="5"/>
      <c r="J11044" s="5"/>
      <c r="K11044" s="5"/>
      <c r="L11044" s="5"/>
    </row>
    <row r="11045" spans="1:12" ht="12" customHeight="1" x14ac:dyDescent="0.25">
      <c r="A11045" s="6"/>
      <c r="B11045" s="1"/>
      <c r="C11045" s="5"/>
      <c r="D11045" s="5"/>
      <c r="E11045" s="5"/>
      <c r="F11045" s="5"/>
      <c r="G11045" s="5"/>
      <c r="H11045" s="5"/>
      <c r="I11045" s="5"/>
      <c r="J11045" s="5"/>
      <c r="K11045" s="5"/>
      <c r="L11045" s="5"/>
    </row>
    <row r="11046" spans="1:12" ht="12" customHeight="1" x14ac:dyDescent="0.25">
      <c r="A11046" s="6"/>
      <c r="B11046" s="1"/>
      <c r="C11046" s="5"/>
      <c r="D11046" s="5"/>
      <c r="E11046" s="5"/>
      <c r="F11046" s="5"/>
      <c r="G11046" s="5"/>
      <c r="H11046" s="5"/>
      <c r="I11046" s="5"/>
      <c r="J11046" s="5"/>
      <c r="K11046" s="5"/>
      <c r="L11046" s="5"/>
    </row>
    <row r="11047" spans="1:12" ht="12" customHeight="1" x14ac:dyDescent="0.25">
      <c r="A11047" s="6"/>
      <c r="B11047" s="1"/>
      <c r="C11047" s="5"/>
      <c r="D11047" s="5"/>
      <c r="E11047" s="5"/>
      <c r="F11047" s="5"/>
      <c r="G11047" s="5"/>
      <c r="H11047" s="5"/>
      <c r="I11047" s="5"/>
      <c r="J11047" s="5"/>
      <c r="K11047" s="5"/>
      <c r="L11047" s="5"/>
    </row>
    <row r="11048" spans="1:12" ht="12" customHeight="1" x14ac:dyDescent="0.25">
      <c r="A11048" s="6"/>
      <c r="B11048" s="1"/>
      <c r="C11048" s="5"/>
      <c r="D11048" s="5"/>
      <c r="E11048" s="5"/>
      <c r="F11048" s="5"/>
      <c r="G11048" s="5"/>
      <c r="H11048" s="5"/>
      <c r="I11048" s="5"/>
      <c r="J11048" s="5"/>
      <c r="K11048" s="5"/>
      <c r="L11048" s="5"/>
    </row>
    <row r="11049" spans="1:12" ht="12" customHeight="1" x14ac:dyDescent="0.25">
      <c r="A11049" s="6"/>
      <c r="B11049" s="1"/>
      <c r="C11049" s="5"/>
      <c r="D11049" s="5"/>
      <c r="E11049" s="5"/>
      <c r="F11049" s="5"/>
      <c r="G11049" s="5"/>
      <c r="H11049" s="5"/>
      <c r="I11049" s="5"/>
      <c r="J11049" s="5"/>
      <c r="K11049" s="5"/>
      <c r="L11049" s="5"/>
    </row>
    <row r="11050" spans="1:12" ht="12" customHeight="1" x14ac:dyDescent="0.25">
      <c r="A11050" s="6"/>
      <c r="B11050" s="1"/>
      <c r="C11050" s="5"/>
      <c r="D11050" s="5"/>
      <c r="E11050" s="5"/>
      <c r="F11050" s="5"/>
      <c r="G11050" s="5"/>
      <c r="H11050" s="5"/>
      <c r="I11050" s="5"/>
      <c r="J11050" s="5"/>
      <c r="K11050" s="5"/>
      <c r="L11050" s="5"/>
    </row>
    <row r="11051" spans="1:12" ht="12" customHeight="1" x14ac:dyDescent="0.25">
      <c r="A11051" s="6"/>
      <c r="B11051" s="1"/>
      <c r="C11051" s="5"/>
      <c r="D11051" s="5"/>
      <c r="E11051" s="5"/>
      <c r="F11051" s="5"/>
      <c r="G11051" s="5"/>
      <c r="H11051" s="5"/>
      <c r="I11051" s="5"/>
      <c r="J11051" s="5"/>
      <c r="K11051" s="5"/>
      <c r="L11051" s="5"/>
    </row>
    <row r="11052" spans="1:12" ht="12" customHeight="1" x14ac:dyDescent="0.25">
      <c r="A11052" s="6"/>
      <c r="B11052" s="1"/>
      <c r="C11052" s="5"/>
      <c r="D11052" s="5"/>
      <c r="E11052" s="5"/>
      <c r="F11052" s="5"/>
      <c r="G11052" s="5"/>
      <c r="H11052" s="5"/>
      <c r="I11052" s="5"/>
      <c r="J11052" s="5"/>
      <c r="K11052" s="5"/>
      <c r="L11052" s="5"/>
    </row>
    <row r="11053" spans="1:12" ht="12" customHeight="1" x14ac:dyDescent="0.25">
      <c r="A11053" s="6"/>
      <c r="B11053" s="1"/>
      <c r="C11053" s="5"/>
      <c r="D11053" s="5"/>
      <c r="E11053" s="5"/>
      <c r="F11053" s="5"/>
      <c r="G11053" s="5"/>
      <c r="H11053" s="5"/>
      <c r="I11053" s="5"/>
      <c r="J11053" s="5"/>
      <c r="K11053" s="5"/>
      <c r="L11053" s="5"/>
    </row>
    <row r="11054" spans="1:12" ht="12" customHeight="1" x14ac:dyDescent="0.25">
      <c r="A11054" s="6"/>
      <c r="B11054" s="1"/>
      <c r="C11054" s="5"/>
      <c r="D11054" s="5"/>
      <c r="E11054" s="5"/>
      <c r="F11054" s="5"/>
      <c r="G11054" s="5"/>
      <c r="H11054" s="5"/>
      <c r="I11054" s="5"/>
      <c r="J11054" s="5"/>
      <c r="K11054" s="5"/>
      <c r="L11054" s="5"/>
    </row>
    <row r="11055" spans="1:12" ht="12" customHeight="1" x14ac:dyDescent="0.25">
      <c r="A11055" s="6"/>
      <c r="B11055" s="1"/>
      <c r="C11055" s="5"/>
      <c r="D11055" s="5"/>
      <c r="E11055" s="5"/>
      <c r="F11055" s="5"/>
      <c r="G11055" s="5"/>
      <c r="H11055" s="5"/>
      <c r="I11055" s="5"/>
      <c r="J11055" s="5"/>
      <c r="K11055" s="5"/>
      <c r="L11055" s="5"/>
    </row>
    <row r="11056" spans="1:12" ht="12" customHeight="1" x14ac:dyDescent="0.25">
      <c r="A11056" s="6"/>
      <c r="B11056" s="1"/>
      <c r="C11056" s="5"/>
      <c r="D11056" s="5"/>
      <c r="E11056" s="5"/>
      <c r="F11056" s="5"/>
      <c r="G11056" s="5"/>
      <c r="H11056" s="5"/>
      <c r="I11056" s="5"/>
      <c r="J11056" s="5"/>
      <c r="K11056" s="5"/>
      <c r="L11056" s="5"/>
    </row>
    <row r="11057" spans="1:12" ht="12" customHeight="1" x14ac:dyDescent="0.25">
      <c r="A11057" s="6"/>
      <c r="B11057" s="1"/>
      <c r="C11057" s="5"/>
      <c r="D11057" s="5"/>
      <c r="E11057" s="5"/>
      <c r="F11057" s="5"/>
      <c r="G11057" s="5"/>
      <c r="H11057" s="5"/>
      <c r="I11057" s="5"/>
      <c r="J11057" s="5"/>
      <c r="K11057" s="5"/>
      <c r="L11057" s="5"/>
    </row>
    <row r="11058" spans="1:12" ht="12" customHeight="1" x14ac:dyDescent="0.25">
      <c r="A11058" s="6"/>
      <c r="B11058" s="1"/>
      <c r="C11058" s="5"/>
      <c r="D11058" s="5"/>
      <c r="E11058" s="5"/>
      <c r="F11058" s="5"/>
      <c r="G11058" s="5"/>
      <c r="H11058" s="5"/>
      <c r="I11058" s="5"/>
      <c r="J11058" s="5"/>
      <c r="K11058" s="5"/>
      <c r="L11058" s="5"/>
    </row>
    <row r="11059" spans="1:12" ht="12" customHeight="1" x14ac:dyDescent="0.25">
      <c r="A11059" s="6"/>
      <c r="B11059" s="1"/>
      <c r="C11059" s="5"/>
      <c r="D11059" s="5"/>
      <c r="E11059" s="5"/>
      <c r="F11059" s="5"/>
      <c r="G11059" s="5"/>
      <c r="H11059" s="5"/>
      <c r="I11059" s="5"/>
      <c r="J11059" s="5"/>
      <c r="K11059" s="5"/>
      <c r="L11059" s="5"/>
    </row>
    <row r="11060" spans="1:12" ht="12" customHeight="1" x14ac:dyDescent="0.25">
      <c r="A11060" s="6"/>
      <c r="B11060" s="1"/>
      <c r="C11060" s="5"/>
      <c r="D11060" s="5"/>
      <c r="E11060" s="5"/>
      <c r="F11060" s="5"/>
      <c r="G11060" s="5"/>
      <c r="H11060" s="5"/>
      <c r="I11060" s="5"/>
      <c r="J11060" s="5"/>
      <c r="K11060" s="5"/>
      <c r="L11060" s="5"/>
    </row>
    <row r="11061" spans="1:12" ht="12" customHeight="1" x14ac:dyDescent="0.25">
      <c r="A11061" s="6"/>
      <c r="B11061" s="1"/>
      <c r="C11061" s="5"/>
      <c r="D11061" s="5"/>
      <c r="E11061" s="5"/>
      <c r="F11061" s="5"/>
      <c r="G11061" s="5"/>
      <c r="H11061" s="5"/>
      <c r="I11061" s="5"/>
      <c r="J11061" s="5"/>
      <c r="K11061" s="5"/>
      <c r="L11061" s="5"/>
    </row>
    <row r="11062" spans="1:12" ht="12" customHeight="1" x14ac:dyDescent="0.25">
      <c r="A11062" s="6"/>
      <c r="B11062" s="1"/>
      <c r="C11062" s="5"/>
      <c r="D11062" s="5"/>
      <c r="E11062" s="5"/>
      <c r="F11062" s="5"/>
      <c r="G11062" s="5"/>
      <c r="H11062" s="5"/>
      <c r="I11062" s="5"/>
      <c r="J11062" s="5"/>
      <c r="K11062" s="5"/>
      <c r="L11062" s="5"/>
    </row>
    <row r="11063" spans="1:12" ht="12" customHeight="1" x14ac:dyDescent="0.25">
      <c r="A11063" s="6"/>
      <c r="B11063" s="1"/>
      <c r="C11063" s="5"/>
      <c r="D11063" s="5"/>
      <c r="E11063" s="5"/>
      <c r="F11063" s="5"/>
      <c r="G11063" s="5"/>
      <c r="H11063" s="5"/>
      <c r="I11063" s="5"/>
      <c r="J11063" s="5"/>
      <c r="K11063" s="5"/>
      <c r="L11063" s="5"/>
    </row>
    <row r="11064" spans="1:12" ht="12" customHeight="1" x14ac:dyDescent="0.25">
      <c r="A11064" s="6"/>
      <c r="B11064" s="1"/>
      <c r="C11064" s="5"/>
      <c r="D11064" s="5"/>
      <c r="E11064" s="5"/>
      <c r="F11064" s="5"/>
      <c r="G11064" s="5"/>
      <c r="H11064" s="5"/>
      <c r="I11064" s="5"/>
      <c r="J11064" s="5"/>
      <c r="K11064" s="5"/>
      <c r="L11064" s="5"/>
    </row>
    <row r="11065" spans="1:12" ht="12" customHeight="1" x14ac:dyDescent="0.25">
      <c r="A11065" s="6"/>
      <c r="B11065" s="1"/>
      <c r="C11065" s="5"/>
      <c r="D11065" s="5"/>
      <c r="E11065" s="5"/>
      <c r="F11065" s="5"/>
      <c r="G11065" s="5"/>
      <c r="H11065" s="5"/>
      <c r="I11065" s="5"/>
      <c r="J11065" s="5"/>
      <c r="K11065" s="5"/>
      <c r="L11065" s="5"/>
    </row>
    <row r="11066" spans="1:12" ht="12" customHeight="1" x14ac:dyDescent="0.25">
      <c r="A11066" s="6"/>
      <c r="B11066" s="1"/>
      <c r="C11066" s="5"/>
      <c r="D11066" s="5"/>
      <c r="E11066" s="5"/>
      <c r="F11066" s="5"/>
      <c r="G11066" s="5"/>
      <c r="H11066" s="5"/>
      <c r="I11066" s="5"/>
      <c r="J11066" s="5"/>
      <c r="K11066" s="5"/>
      <c r="L11066" s="5"/>
    </row>
    <row r="11067" spans="1:12" ht="12" customHeight="1" x14ac:dyDescent="0.25">
      <c r="A11067" s="6"/>
      <c r="B11067" s="1"/>
      <c r="C11067" s="5"/>
      <c r="D11067" s="5"/>
      <c r="E11067" s="5"/>
      <c r="F11067" s="5"/>
      <c r="G11067" s="5"/>
      <c r="H11067" s="5"/>
      <c r="I11067" s="5"/>
      <c r="J11067" s="5"/>
      <c r="K11067" s="5"/>
      <c r="L11067" s="5"/>
    </row>
    <row r="11068" spans="1:12" ht="12" customHeight="1" x14ac:dyDescent="0.25">
      <c r="A11068" s="6"/>
      <c r="B11068" s="1"/>
      <c r="C11068" s="5"/>
      <c r="D11068" s="5"/>
      <c r="E11068" s="5"/>
      <c r="F11068" s="5"/>
      <c r="G11068" s="5"/>
      <c r="H11068" s="5"/>
      <c r="I11068" s="5"/>
      <c r="J11068" s="5"/>
      <c r="K11068" s="5"/>
      <c r="L11068" s="5"/>
    </row>
    <row r="11069" spans="1:12" ht="12" customHeight="1" x14ac:dyDescent="0.25">
      <c r="A11069" s="6"/>
      <c r="B11069" s="1"/>
      <c r="C11069" s="5"/>
      <c r="D11069" s="5"/>
      <c r="E11069" s="5"/>
      <c r="F11069" s="5"/>
      <c r="G11069" s="5"/>
      <c r="H11069" s="5"/>
      <c r="I11069" s="5"/>
      <c r="J11069" s="5"/>
      <c r="K11069" s="5"/>
      <c r="L11069" s="5"/>
    </row>
    <row r="11070" spans="1:12" ht="12" customHeight="1" x14ac:dyDescent="0.25">
      <c r="A11070" s="6"/>
      <c r="B11070" s="1"/>
      <c r="C11070" s="5"/>
      <c r="D11070" s="5"/>
      <c r="E11070" s="5"/>
      <c r="F11070" s="5"/>
      <c r="G11070" s="5"/>
      <c r="H11070" s="5"/>
      <c r="I11070" s="5"/>
      <c r="J11070" s="5"/>
      <c r="K11070" s="5"/>
      <c r="L11070" s="5"/>
    </row>
    <row r="11071" spans="1:12" ht="12" customHeight="1" x14ac:dyDescent="0.25">
      <c r="A11071" s="6"/>
      <c r="B11071" s="1"/>
      <c r="C11071" s="5"/>
      <c r="D11071" s="5"/>
      <c r="E11071" s="5"/>
      <c r="F11071" s="5"/>
      <c r="G11071" s="5"/>
      <c r="H11071" s="5"/>
      <c r="I11071" s="5"/>
      <c r="J11071" s="5"/>
      <c r="K11071" s="5"/>
      <c r="L11071" s="5"/>
    </row>
    <row r="11072" spans="1:12" ht="12" customHeight="1" x14ac:dyDescent="0.25">
      <c r="A11072" s="6"/>
      <c r="B11072" s="1"/>
      <c r="C11072" s="5"/>
      <c r="D11072" s="5"/>
      <c r="E11072" s="5"/>
      <c r="F11072" s="5"/>
      <c r="G11072" s="5"/>
      <c r="H11072" s="5"/>
      <c r="I11072" s="5"/>
      <c r="J11072" s="5"/>
      <c r="K11072" s="5"/>
      <c r="L11072" s="5"/>
    </row>
    <row r="11073" spans="1:12" ht="12" customHeight="1" x14ac:dyDescent="0.25">
      <c r="A11073" s="6"/>
      <c r="B11073" s="1"/>
      <c r="C11073" s="5"/>
      <c r="D11073" s="5"/>
      <c r="E11073" s="5"/>
      <c r="F11073" s="5"/>
      <c r="G11073" s="5"/>
      <c r="H11073" s="5"/>
      <c r="I11073" s="5"/>
      <c r="J11073" s="5"/>
      <c r="K11073" s="5"/>
      <c r="L11073" s="5"/>
    </row>
    <row r="11074" spans="1:12" ht="12" customHeight="1" x14ac:dyDescent="0.25">
      <c r="A11074" s="6"/>
      <c r="B11074" s="1"/>
      <c r="C11074" s="5"/>
      <c r="D11074" s="5"/>
      <c r="E11074" s="5"/>
      <c r="F11074" s="5"/>
      <c r="G11074" s="5"/>
      <c r="H11074" s="5"/>
      <c r="I11074" s="5"/>
      <c r="J11074" s="5"/>
      <c r="K11074" s="5"/>
      <c r="L11074" s="5"/>
    </row>
    <row r="11075" spans="1:12" ht="12" customHeight="1" x14ac:dyDescent="0.25">
      <c r="A11075" s="6"/>
      <c r="B11075" s="1"/>
      <c r="C11075" s="5"/>
      <c r="D11075" s="5"/>
      <c r="E11075" s="5"/>
      <c r="F11075" s="5"/>
      <c r="G11075" s="5"/>
      <c r="H11075" s="5"/>
      <c r="I11075" s="5"/>
      <c r="J11075" s="5"/>
      <c r="K11075" s="5"/>
      <c r="L11075" s="5"/>
    </row>
    <row r="11076" spans="1:12" ht="12" customHeight="1" x14ac:dyDescent="0.25">
      <c r="A11076" s="6"/>
      <c r="B11076" s="1"/>
      <c r="C11076" s="5"/>
      <c r="D11076" s="5"/>
      <c r="E11076" s="5"/>
      <c r="F11076" s="5"/>
      <c r="G11076" s="5"/>
      <c r="H11076" s="5"/>
      <c r="I11076" s="5"/>
      <c r="J11076" s="5"/>
      <c r="K11076" s="5"/>
      <c r="L11076" s="5"/>
    </row>
    <row r="11077" spans="1:12" ht="12" customHeight="1" x14ac:dyDescent="0.25">
      <c r="A11077" s="6"/>
      <c r="B11077" s="1"/>
      <c r="C11077" s="5"/>
      <c r="D11077" s="5"/>
      <c r="E11077" s="5"/>
      <c r="F11077" s="5"/>
      <c r="G11077" s="5"/>
      <c r="H11077" s="5"/>
      <c r="I11077" s="5"/>
      <c r="J11077" s="5"/>
      <c r="K11077" s="5"/>
      <c r="L11077" s="5"/>
    </row>
    <row r="11078" spans="1:12" ht="12" customHeight="1" x14ac:dyDescent="0.25">
      <c r="A11078" s="6"/>
      <c r="B11078" s="1"/>
      <c r="C11078" s="5"/>
      <c r="D11078" s="5"/>
      <c r="E11078" s="5"/>
      <c r="F11078" s="5"/>
      <c r="G11078" s="5"/>
      <c r="H11078" s="5"/>
      <c r="I11078" s="5"/>
      <c r="J11078" s="5"/>
      <c r="K11078" s="5"/>
      <c r="L11078" s="5"/>
    </row>
    <row r="11079" spans="1:12" ht="12" customHeight="1" x14ac:dyDescent="0.25">
      <c r="A11079" s="6"/>
      <c r="B11079" s="1"/>
      <c r="C11079" s="5"/>
      <c r="D11079" s="5"/>
      <c r="E11079" s="5"/>
      <c r="F11079" s="5"/>
      <c r="G11079" s="5"/>
      <c r="H11079" s="5"/>
      <c r="I11079" s="5"/>
      <c r="J11079" s="5"/>
      <c r="K11079" s="5"/>
      <c r="L11079" s="5"/>
    </row>
    <row r="11080" spans="1:12" ht="12" customHeight="1" x14ac:dyDescent="0.25">
      <c r="A11080" s="6"/>
      <c r="B11080" s="1"/>
      <c r="C11080" s="5"/>
      <c r="D11080" s="5"/>
      <c r="E11080" s="5"/>
      <c r="F11080" s="5"/>
      <c r="G11080" s="5"/>
      <c r="H11080" s="5"/>
      <c r="I11080" s="5"/>
      <c r="J11080" s="5"/>
      <c r="K11080" s="5"/>
      <c r="L11080" s="5"/>
    </row>
    <row r="11081" spans="1:12" ht="12" customHeight="1" x14ac:dyDescent="0.25">
      <c r="A11081" s="6"/>
      <c r="B11081" s="1"/>
      <c r="C11081" s="5"/>
      <c r="D11081" s="5"/>
      <c r="E11081" s="5"/>
      <c r="F11081" s="5"/>
      <c r="G11081" s="5"/>
      <c r="H11081" s="5"/>
      <c r="I11081" s="5"/>
      <c r="J11081" s="5"/>
      <c r="K11081" s="5"/>
      <c r="L11081" s="5"/>
    </row>
    <row r="11082" spans="1:12" ht="12" customHeight="1" x14ac:dyDescent="0.25">
      <c r="A11082" s="6"/>
      <c r="B11082" s="1"/>
      <c r="C11082" s="5"/>
      <c r="D11082" s="5"/>
      <c r="E11082" s="5"/>
      <c r="F11082" s="5"/>
      <c r="G11082" s="5"/>
      <c r="H11082" s="5"/>
      <c r="I11082" s="5"/>
      <c r="J11082" s="5"/>
      <c r="K11082" s="5"/>
      <c r="L11082" s="5"/>
    </row>
    <row r="11083" spans="1:12" ht="12" customHeight="1" x14ac:dyDescent="0.25">
      <c r="A11083" s="6"/>
      <c r="B11083" s="1"/>
      <c r="C11083" s="5"/>
      <c r="D11083" s="5"/>
      <c r="E11083" s="5"/>
      <c r="F11083" s="5"/>
      <c r="G11083" s="5"/>
      <c r="H11083" s="5"/>
      <c r="I11083" s="5"/>
      <c r="J11083" s="5"/>
      <c r="K11083" s="5"/>
      <c r="L11083" s="5"/>
    </row>
    <row r="11084" spans="1:12" ht="12" customHeight="1" x14ac:dyDescent="0.25">
      <c r="A11084" s="6"/>
      <c r="B11084" s="1"/>
      <c r="C11084" s="5"/>
      <c r="D11084" s="5"/>
      <c r="E11084" s="5"/>
      <c r="F11084" s="5"/>
      <c r="G11084" s="5"/>
      <c r="H11084" s="5"/>
      <c r="I11084" s="5"/>
      <c r="J11084" s="5"/>
      <c r="K11084" s="5"/>
      <c r="L11084" s="5"/>
    </row>
    <row r="11085" spans="1:12" ht="12" customHeight="1" x14ac:dyDescent="0.25">
      <c r="A11085" s="6"/>
      <c r="B11085" s="1"/>
      <c r="C11085" s="5"/>
      <c r="D11085" s="5"/>
      <c r="E11085" s="5"/>
      <c r="F11085" s="5"/>
      <c r="G11085" s="5"/>
      <c r="H11085" s="5"/>
      <c r="I11085" s="5"/>
      <c r="J11085" s="5"/>
      <c r="K11085" s="5"/>
      <c r="L11085" s="5"/>
    </row>
    <row r="11086" spans="1:12" ht="12" customHeight="1" x14ac:dyDescent="0.25">
      <c r="A11086" s="6"/>
      <c r="B11086" s="1"/>
      <c r="C11086" s="5"/>
      <c r="D11086" s="5"/>
      <c r="E11086" s="5"/>
      <c r="F11086" s="5"/>
      <c r="G11086" s="5"/>
      <c r="H11086" s="5"/>
      <c r="I11086" s="5"/>
      <c r="J11086" s="5"/>
      <c r="K11086" s="5"/>
      <c r="L11086" s="5"/>
    </row>
    <row r="11087" spans="1:12" ht="12" customHeight="1" x14ac:dyDescent="0.25">
      <c r="A11087" s="6"/>
      <c r="B11087" s="1"/>
      <c r="C11087" s="5"/>
      <c r="D11087" s="5"/>
      <c r="E11087" s="5"/>
      <c r="F11087" s="5"/>
      <c r="G11087" s="5"/>
      <c r="H11087" s="5"/>
      <c r="I11087" s="5"/>
      <c r="J11087" s="5"/>
      <c r="K11087" s="5"/>
      <c r="L11087" s="5"/>
    </row>
    <row r="11088" spans="1:12" ht="12" customHeight="1" x14ac:dyDescent="0.25">
      <c r="A11088" s="6"/>
      <c r="B11088" s="1"/>
      <c r="C11088" s="5"/>
      <c r="D11088" s="5"/>
      <c r="E11088" s="5"/>
      <c r="F11088" s="5"/>
      <c r="G11088" s="5"/>
      <c r="H11088" s="5"/>
      <c r="I11088" s="5"/>
      <c r="J11088" s="5"/>
      <c r="K11088" s="5"/>
      <c r="L11088" s="5"/>
    </row>
    <row r="11089" spans="1:12" ht="12" customHeight="1" x14ac:dyDescent="0.25">
      <c r="A11089" s="6"/>
      <c r="B11089" s="1"/>
      <c r="C11089" s="5"/>
      <c r="D11089" s="5"/>
      <c r="E11089" s="5"/>
      <c r="F11089" s="5"/>
      <c r="G11089" s="5"/>
      <c r="H11089" s="5"/>
      <c r="I11089" s="5"/>
      <c r="J11089" s="5"/>
      <c r="K11089" s="5"/>
      <c r="L11089" s="5"/>
    </row>
    <row r="11090" spans="1:12" ht="12" customHeight="1" x14ac:dyDescent="0.25">
      <c r="A11090" s="6"/>
      <c r="B11090" s="1"/>
      <c r="C11090" s="5"/>
      <c r="D11090" s="5"/>
      <c r="E11090" s="5"/>
      <c r="F11090" s="5"/>
      <c r="G11090" s="5"/>
      <c r="H11090" s="5"/>
      <c r="I11090" s="5"/>
      <c r="J11090" s="5"/>
      <c r="K11090" s="5"/>
      <c r="L11090" s="5"/>
    </row>
    <row r="11091" spans="1:12" ht="12" customHeight="1" x14ac:dyDescent="0.25">
      <c r="A11091" s="6"/>
      <c r="B11091" s="1"/>
      <c r="C11091" s="5"/>
      <c r="D11091" s="5"/>
      <c r="E11091" s="5"/>
      <c r="F11091" s="5"/>
      <c r="G11091" s="5"/>
      <c r="H11091" s="5"/>
      <c r="I11091" s="5"/>
      <c r="J11091" s="5"/>
      <c r="K11091" s="5"/>
      <c r="L11091" s="5"/>
    </row>
    <row r="11092" spans="1:12" ht="12" customHeight="1" x14ac:dyDescent="0.25">
      <c r="A11092" s="6"/>
      <c r="B11092" s="1"/>
      <c r="C11092" s="5"/>
      <c r="D11092" s="5"/>
      <c r="E11092" s="5"/>
      <c r="F11092" s="5"/>
      <c r="G11092" s="5"/>
      <c r="H11092" s="5"/>
      <c r="I11092" s="5"/>
      <c r="J11092" s="5"/>
      <c r="K11092" s="5"/>
      <c r="L11092" s="5"/>
    </row>
    <row r="11093" spans="1:12" ht="12" customHeight="1" x14ac:dyDescent="0.25">
      <c r="A11093" s="6"/>
      <c r="B11093" s="1"/>
      <c r="C11093" s="5"/>
      <c r="D11093" s="5"/>
      <c r="E11093" s="5"/>
      <c r="F11093" s="5"/>
      <c r="G11093" s="5"/>
      <c r="H11093" s="5"/>
      <c r="I11093" s="5"/>
      <c r="J11093" s="5"/>
      <c r="K11093" s="5"/>
      <c r="L11093" s="5"/>
    </row>
    <row r="11094" spans="1:12" ht="12" customHeight="1" x14ac:dyDescent="0.25">
      <c r="A11094" s="6"/>
      <c r="B11094" s="1"/>
      <c r="C11094" s="5"/>
      <c r="D11094" s="5"/>
      <c r="E11094" s="5"/>
      <c r="F11094" s="5"/>
      <c r="G11094" s="5"/>
      <c r="H11094" s="5"/>
      <c r="I11094" s="5"/>
      <c r="J11094" s="5"/>
      <c r="K11094" s="5"/>
      <c r="L11094" s="5"/>
    </row>
    <row r="11095" spans="1:12" ht="12" customHeight="1" x14ac:dyDescent="0.25">
      <c r="A11095" s="6"/>
      <c r="B11095" s="1"/>
      <c r="C11095" s="5"/>
      <c r="D11095" s="5"/>
      <c r="E11095" s="5"/>
      <c r="F11095" s="5"/>
      <c r="G11095" s="5"/>
      <c r="H11095" s="5"/>
      <c r="I11095" s="5"/>
      <c r="J11095" s="5"/>
      <c r="K11095" s="5"/>
      <c r="L11095" s="5"/>
    </row>
    <row r="11096" spans="1:12" ht="12" customHeight="1" x14ac:dyDescent="0.25">
      <c r="A11096" s="6"/>
      <c r="B11096" s="1"/>
      <c r="C11096" s="5"/>
      <c r="D11096" s="5"/>
      <c r="E11096" s="5"/>
      <c r="F11096" s="5"/>
      <c r="G11096" s="5"/>
      <c r="H11096" s="5"/>
      <c r="I11096" s="5"/>
      <c r="J11096" s="5"/>
      <c r="K11096" s="5"/>
      <c r="L11096" s="5"/>
    </row>
    <row r="11097" spans="1:12" ht="12" customHeight="1" x14ac:dyDescent="0.25">
      <c r="A11097" s="6"/>
      <c r="B11097" s="1"/>
      <c r="C11097" s="5"/>
      <c r="D11097" s="5"/>
      <c r="E11097" s="5"/>
      <c r="F11097" s="5"/>
      <c r="G11097" s="5"/>
      <c r="H11097" s="5"/>
      <c r="I11097" s="5"/>
      <c r="J11097" s="5"/>
      <c r="K11097" s="5"/>
      <c r="L11097" s="5"/>
    </row>
    <row r="11098" spans="1:12" ht="12" customHeight="1" x14ac:dyDescent="0.25">
      <c r="A11098" s="6"/>
      <c r="B11098" s="1"/>
      <c r="C11098" s="5"/>
      <c r="D11098" s="5"/>
      <c r="E11098" s="5"/>
      <c r="F11098" s="5"/>
      <c r="G11098" s="5"/>
      <c r="H11098" s="5"/>
      <c r="I11098" s="5"/>
      <c r="J11098" s="5"/>
      <c r="K11098" s="5"/>
      <c r="L11098" s="5"/>
    </row>
    <row r="11099" spans="1:12" ht="12" customHeight="1" x14ac:dyDescent="0.25">
      <c r="A11099" s="6"/>
      <c r="B11099" s="1"/>
      <c r="C11099" s="5"/>
      <c r="D11099" s="5"/>
      <c r="E11099" s="5"/>
      <c r="F11099" s="5"/>
      <c r="G11099" s="5"/>
      <c r="H11099" s="5"/>
      <c r="I11099" s="5"/>
      <c r="J11099" s="5"/>
      <c r="K11099" s="5"/>
      <c r="L11099" s="5"/>
    </row>
    <row r="11100" spans="1:12" ht="12" customHeight="1" x14ac:dyDescent="0.25">
      <c r="A11100" s="6"/>
      <c r="B11100" s="1"/>
      <c r="C11100" s="5"/>
      <c r="D11100" s="5"/>
      <c r="E11100" s="5"/>
      <c r="F11100" s="5"/>
      <c r="G11100" s="5"/>
      <c r="H11100" s="5"/>
      <c r="I11100" s="5"/>
      <c r="J11100" s="5"/>
      <c r="K11100" s="5"/>
      <c r="L11100" s="5"/>
    </row>
    <row r="11101" spans="1:12" ht="12" customHeight="1" x14ac:dyDescent="0.25">
      <c r="A11101" s="6"/>
      <c r="B11101" s="1"/>
      <c r="C11101" s="5"/>
      <c r="D11101" s="5"/>
      <c r="E11101" s="5"/>
      <c r="F11101" s="5"/>
      <c r="G11101" s="5"/>
      <c r="H11101" s="5"/>
      <c r="I11101" s="5"/>
      <c r="J11101" s="5"/>
      <c r="K11101" s="5"/>
      <c r="L11101" s="5"/>
    </row>
    <row r="11102" spans="1:12" ht="12" customHeight="1" x14ac:dyDescent="0.25">
      <c r="A11102" s="6"/>
      <c r="B11102" s="1"/>
      <c r="C11102" s="5"/>
      <c r="D11102" s="5"/>
      <c r="E11102" s="5"/>
      <c r="F11102" s="5"/>
      <c r="G11102" s="5"/>
      <c r="H11102" s="5"/>
      <c r="I11102" s="5"/>
      <c r="J11102" s="5"/>
      <c r="K11102" s="5"/>
      <c r="L11102" s="5"/>
    </row>
    <row r="11103" spans="1:12" ht="12" customHeight="1" x14ac:dyDescent="0.25">
      <c r="A11103" s="6"/>
      <c r="B11103" s="1"/>
      <c r="C11103" s="5"/>
      <c r="D11103" s="5"/>
      <c r="E11103" s="5"/>
      <c r="F11103" s="5"/>
      <c r="G11103" s="5"/>
      <c r="H11103" s="5"/>
      <c r="I11103" s="5"/>
      <c r="J11103" s="5"/>
      <c r="K11103" s="5"/>
      <c r="L11103" s="5"/>
    </row>
    <row r="11104" spans="1:12" ht="12" customHeight="1" x14ac:dyDescent="0.25">
      <c r="A11104" s="6"/>
      <c r="B11104" s="1"/>
      <c r="C11104" s="5"/>
      <c r="D11104" s="5"/>
      <c r="E11104" s="5"/>
      <c r="F11104" s="5"/>
      <c r="G11104" s="5"/>
      <c r="H11104" s="5"/>
      <c r="I11104" s="5"/>
      <c r="J11104" s="5"/>
      <c r="K11104" s="5"/>
      <c r="L11104" s="5"/>
    </row>
    <row r="11105" spans="1:12" ht="12" customHeight="1" x14ac:dyDescent="0.25">
      <c r="A11105" s="6"/>
      <c r="B11105" s="1"/>
      <c r="C11105" s="5"/>
      <c r="D11105" s="5"/>
      <c r="E11105" s="5"/>
      <c r="F11105" s="5"/>
      <c r="G11105" s="5"/>
      <c r="H11105" s="5"/>
      <c r="I11105" s="5"/>
      <c r="J11105" s="5"/>
      <c r="K11105" s="5"/>
      <c r="L11105" s="5"/>
    </row>
    <row r="11106" spans="1:12" ht="12" customHeight="1" x14ac:dyDescent="0.25">
      <c r="A11106" s="6"/>
      <c r="B11106" s="1"/>
      <c r="C11106" s="5"/>
      <c r="D11106" s="5"/>
      <c r="E11106" s="5"/>
      <c r="F11106" s="5"/>
      <c r="G11106" s="5"/>
      <c r="H11106" s="5"/>
      <c r="I11106" s="5"/>
      <c r="J11106" s="5"/>
      <c r="K11106" s="5"/>
      <c r="L11106" s="5"/>
    </row>
    <row r="11107" spans="1:12" ht="12" customHeight="1" x14ac:dyDescent="0.25">
      <c r="A11107" s="6"/>
      <c r="B11107" s="1"/>
      <c r="C11107" s="5"/>
      <c r="D11107" s="5"/>
      <c r="E11107" s="5"/>
      <c r="F11107" s="5"/>
      <c r="G11107" s="5"/>
      <c r="H11107" s="5"/>
      <c r="I11107" s="5"/>
      <c r="J11107" s="5"/>
      <c r="K11107" s="5"/>
      <c r="L11107" s="5"/>
    </row>
    <row r="11108" spans="1:12" ht="12" customHeight="1" x14ac:dyDescent="0.25">
      <c r="A11108" s="6"/>
      <c r="B11108" s="1"/>
      <c r="C11108" s="5"/>
      <c r="D11108" s="5"/>
      <c r="E11108" s="5"/>
      <c r="F11108" s="5"/>
      <c r="G11108" s="5"/>
      <c r="H11108" s="5"/>
      <c r="I11108" s="5"/>
      <c r="J11108" s="5"/>
      <c r="K11108" s="5"/>
      <c r="L11108" s="5"/>
    </row>
    <row r="11109" spans="1:12" ht="12" customHeight="1" x14ac:dyDescent="0.25">
      <c r="A11109" s="6"/>
      <c r="B11109" s="1"/>
      <c r="C11109" s="5"/>
      <c r="D11109" s="5"/>
      <c r="E11109" s="5"/>
      <c r="F11109" s="5"/>
      <c r="G11109" s="5"/>
      <c r="H11109" s="5"/>
      <c r="I11109" s="5"/>
      <c r="J11109" s="5"/>
      <c r="K11109" s="5"/>
      <c r="L11109" s="5"/>
    </row>
    <row r="11110" spans="1:12" ht="12" customHeight="1" x14ac:dyDescent="0.25">
      <c r="A11110" s="6"/>
      <c r="B11110" s="1"/>
      <c r="C11110" s="5"/>
      <c r="D11110" s="5"/>
      <c r="E11110" s="5"/>
      <c r="F11110" s="5"/>
      <c r="G11110" s="5"/>
      <c r="H11110" s="5"/>
      <c r="I11110" s="5"/>
      <c r="J11110" s="5"/>
      <c r="K11110" s="5"/>
      <c r="L11110" s="5"/>
    </row>
    <row r="11111" spans="1:12" ht="12" customHeight="1" x14ac:dyDescent="0.25">
      <c r="A11111" s="6"/>
      <c r="B11111" s="1"/>
      <c r="C11111" s="5"/>
      <c r="D11111" s="5"/>
      <c r="E11111" s="5"/>
      <c r="F11111" s="5"/>
      <c r="G11111" s="5"/>
      <c r="H11111" s="5"/>
      <c r="I11111" s="5"/>
      <c r="J11111" s="5"/>
      <c r="K11111" s="5"/>
      <c r="L11111" s="5"/>
    </row>
    <row r="11112" spans="1:12" ht="12" customHeight="1" x14ac:dyDescent="0.25">
      <c r="A11112" s="6"/>
      <c r="B11112" s="1"/>
      <c r="C11112" s="5"/>
      <c r="D11112" s="5"/>
      <c r="E11112" s="5"/>
      <c r="F11112" s="5"/>
      <c r="G11112" s="5"/>
      <c r="H11112" s="5"/>
      <c r="I11112" s="5"/>
      <c r="J11112" s="5"/>
      <c r="K11112" s="5"/>
      <c r="L11112" s="5"/>
    </row>
    <row r="11113" spans="1:12" ht="12" customHeight="1" x14ac:dyDescent="0.25">
      <c r="A11113" s="6"/>
      <c r="B11113" s="1"/>
      <c r="C11113" s="5"/>
      <c r="D11113" s="5"/>
      <c r="E11113" s="5"/>
      <c r="F11113" s="5"/>
      <c r="G11113" s="5"/>
      <c r="H11113" s="5"/>
      <c r="I11113" s="5"/>
      <c r="J11113" s="5"/>
      <c r="K11113" s="5"/>
      <c r="L11113" s="5"/>
    </row>
    <row r="11114" spans="1:12" ht="12" customHeight="1" x14ac:dyDescent="0.25">
      <c r="A11114" s="6"/>
      <c r="B11114" s="1"/>
      <c r="C11114" s="5"/>
      <c r="D11114" s="5"/>
      <c r="E11114" s="5"/>
      <c r="F11114" s="5"/>
      <c r="G11114" s="5"/>
      <c r="H11114" s="5"/>
      <c r="I11114" s="5"/>
      <c r="J11114" s="5"/>
      <c r="K11114" s="5"/>
      <c r="L11114" s="5"/>
    </row>
    <row r="11115" spans="1:12" ht="12" customHeight="1" x14ac:dyDescent="0.25">
      <c r="A11115" s="6"/>
      <c r="B11115" s="1"/>
      <c r="C11115" s="5"/>
      <c r="D11115" s="5"/>
      <c r="E11115" s="5"/>
      <c r="F11115" s="5"/>
      <c r="G11115" s="5"/>
      <c r="H11115" s="5"/>
      <c r="I11115" s="5"/>
      <c r="J11115" s="5"/>
      <c r="K11115" s="5"/>
      <c r="L11115" s="5"/>
    </row>
    <row r="11116" spans="1:12" ht="12" customHeight="1" x14ac:dyDescent="0.25">
      <c r="A11116" s="6"/>
      <c r="B11116" s="1"/>
      <c r="C11116" s="5"/>
      <c r="D11116" s="5"/>
      <c r="E11116" s="5"/>
      <c r="F11116" s="5"/>
      <c r="G11116" s="5"/>
      <c r="H11116" s="5"/>
      <c r="I11116" s="5"/>
      <c r="J11116" s="5"/>
      <c r="K11116" s="5"/>
      <c r="L11116" s="5"/>
    </row>
    <row r="11117" spans="1:12" ht="12" customHeight="1" x14ac:dyDescent="0.25">
      <c r="A11117" s="6"/>
      <c r="B11117" s="1"/>
      <c r="C11117" s="5"/>
      <c r="D11117" s="5"/>
      <c r="E11117" s="5"/>
      <c r="F11117" s="5"/>
      <c r="G11117" s="5"/>
      <c r="H11117" s="5"/>
      <c r="I11117" s="5"/>
      <c r="J11117" s="5"/>
      <c r="K11117" s="5"/>
      <c r="L11117" s="5"/>
    </row>
    <row r="11118" spans="1:12" ht="12" customHeight="1" x14ac:dyDescent="0.25">
      <c r="A11118" s="6"/>
      <c r="B11118" s="1"/>
      <c r="C11118" s="5"/>
      <c r="D11118" s="5"/>
      <c r="E11118" s="5"/>
      <c r="F11118" s="5"/>
      <c r="G11118" s="5"/>
      <c r="H11118" s="5"/>
      <c r="I11118" s="5"/>
      <c r="J11118" s="5"/>
      <c r="K11118" s="5"/>
      <c r="L11118" s="5"/>
    </row>
    <row r="11119" spans="1:12" ht="12" customHeight="1" x14ac:dyDescent="0.25">
      <c r="A11119" s="6"/>
      <c r="B11119" s="1"/>
      <c r="C11119" s="5"/>
      <c r="D11119" s="5"/>
      <c r="E11119" s="5"/>
      <c r="F11119" s="5"/>
      <c r="G11119" s="5"/>
      <c r="H11119" s="5"/>
      <c r="I11119" s="5"/>
      <c r="J11119" s="5"/>
      <c r="K11119" s="5"/>
      <c r="L11119" s="5"/>
    </row>
    <row r="11120" spans="1:12" ht="12" customHeight="1" x14ac:dyDescent="0.25">
      <c r="A11120" s="6"/>
      <c r="B11120" s="1"/>
      <c r="C11120" s="5"/>
      <c r="D11120" s="5"/>
      <c r="E11120" s="5"/>
      <c r="F11120" s="5"/>
      <c r="G11120" s="5"/>
      <c r="H11120" s="5"/>
      <c r="I11120" s="5"/>
      <c r="J11120" s="5"/>
      <c r="K11120" s="5"/>
      <c r="L11120" s="5"/>
    </row>
    <row r="11121" spans="1:12" ht="12" customHeight="1" x14ac:dyDescent="0.25">
      <c r="A11121" s="6"/>
      <c r="B11121" s="1"/>
      <c r="C11121" s="5"/>
      <c r="D11121" s="5"/>
      <c r="E11121" s="5"/>
      <c r="F11121" s="5"/>
      <c r="G11121" s="5"/>
      <c r="H11121" s="5"/>
      <c r="I11121" s="5"/>
      <c r="J11121" s="5"/>
      <c r="K11121" s="5"/>
      <c r="L11121" s="5"/>
    </row>
    <row r="11122" spans="1:12" ht="12" customHeight="1" x14ac:dyDescent="0.25">
      <c r="A11122" s="6"/>
      <c r="B11122" s="1"/>
      <c r="C11122" s="5"/>
      <c r="D11122" s="5"/>
      <c r="E11122" s="5"/>
      <c r="F11122" s="5"/>
      <c r="G11122" s="5"/>
      <c r="H11122" s="5"/>
      <c r="I11122" s="5"/>
      <c r="J11122" s="5"/>
      <c r="K11122" s="5"/>
      <c r="L11122" s="5"/>
    </row>
    <row r="11123" spans="1:12" ht="12" customHeight="1" x14ac:dyDescent="0.25">
      <c r="A11123" s="6"/>
      <c r="B11123" s="1"/>
      <c r="C11123" s="5"/>
      <c r="D11123" s="5"/>
      <c r="E11123" s="5"/>
      <c r="F11123" s="5"/>
      <c r="G11123" s="5"/>
      <c r="H11123" s="5"/>
      <c r="I11123" s="5"/>
      <c r="J11123" s="5"/>
      <c r="K11123" s="5"/>
      <c r="L11123" s="5"/>
    </row>
    <row r="11124" spans="1:12" ht="12" customHeight="1" x14ac:dyDescent="0.25">
      <c r="A11124" s="6"/>
      <c r="B11124" s="1"/>
      <c r="C11124" s="5"/>
      <c r="D11124" s="5"/>
      <c r="E11124" s="5"/>
      <c r="F11124" s="5"/>
      <c r="G11124" s="5"/>
      <c r="H11124" s="5"/>
      <c r="I11124" s="5"/>
      <c r="J11124" s="5"/>
      <c r="K11124" s="5"/>
      <c r="L11124" s="5"/>
    </row>
    <row r="11125" spans="1:12" ht="12" customHeight="1" x14ac:dyDescent="0.25">
      <c r="A11125" s="6"/>
      <c r="B11125" s="1"/>
      <c r="C11125" s="5"/>
      <c r="D11125" s="5"/>
      <c r="E11125" s="5"/>
      <c r="F11125" s="5"/>
      <c r="G11125" s="5"/>
      <c r="H11125" s="5"/>
      <c r="I11125" s="5"/>
      <c r="J11125" s="5"/>
      <c r="K11125" s="5"/>
      <c r="L11125" s="5"/>
    </row>
    <row r="11126" spans="1:12" ht="12" customHeight="1" x14ac:dyDescent="0.25">
      <c r="A11126" s="6"/>
      <c r="B11126" s="1"/>
      <c r="C11126" s="5"/>
      <c r="D11126" s="5"/>
      <c r="E11126" s="5"/>
      <c r="F11126" s="5"/>
      <c r="G11126" s="5"/>
      <c r="H11126" s="5"/>
      <c r="I11126" s="5"/>
      <c r="J11126" s="5"/>
      <c r="K11126" s="5"/>
      <c r="L11126" s="5"/>
    </row>
    <row r="11127" spans="1:12" ht="12" customHeight="1" x14ac:dyDescent="0.25">
      <c r="A11127" s="6"/>
      <c r="B11127" s="1"/>
      <c r="C11127" s="5"/>
      <c r="D11127" s="5"/>
      <c r="E11127" s="5"/>
      <c r="F11127" s="5"/>
      <c r="G11127" s="5"/>
      <c r="H11127" s="5"/>
      <c r="I11127" s="5"/>
      <c r="J11127" s="5"/>
      <c r="K11127" s="5"/>
      <c r="L11127" s="5"/>
    </row>
    <row r="11128" spans="1:12" ht="12" customHeight="1" x14ac:dyDescent="0.25">
      <c r="A11128" s="6"/>
      <c r="B11128" s="1"/>
      <c r="C11128" s="5"/>
      <c r="D11128" s="5"/>
      <c r="E11128" s="5"/>
      <c r="F11128" s="5"/>
      <c r="G11128" s="5"/>
      <c r="H11128" s="5"/>
      <c r="I11128" s="5"/>
      <c r="J11128" s="5"/>
      <c r="K11128" s="5"/>
      <c r="L11128" s="5"/>
    </row>
    <row r="11129" spans="1:12" ht="12" customHeight="1" x14ac:dyDescent="0.25">
      <c r="A11129" s="6"/>
      <c r="B11129" s="1"/>
      <c r="C11129" s="5"/>
      <c r="D11129" s="5"/>
      <c r="E11129" s="5"/>
      <c r="F11129" s="5"/>
      <c r="G11129" s="5"/>
      <c r="H11129" s="5"/>
      <c r="I11129" s="5"/>
      <c r="J11129" s="5"/>
      <c r="K11129" s="5"/>
      <c r="L11129" s="5"/>
    </row>
    <row r="11130" spans="1:12" ht="12" customHeight="1" x14ac:dyDescent="0.25">
      <c r="A11130" s="6"/>
      <c r="B11130" s="1"/>
      <c r="C11130" s="5"/>
      <c r="D11130" s="5"/>
      <c r="E11130" s="5"/>
      <c r="F11130" s="5"/>
      <c r="G11130" s="5"/>
      <c r="H11130" s="5"/>
      <c r="I11130" s="5"/>
      <c r="J11130" s="5"/>
      <c r="K11130" s="5"/>
      <c r="L11130" s="5"/>
    </row>
    <row r="11131" spans="1:12" ht="12" customHeight="1" x14ac:dyDescent="0.25">
      <c r="A11131" s="6"/>
      <c r="B11131" s="1"/>
      <c r="C11131" s="5"/>
      <c r="D11131" s="5"/>
      <c r="E11131" s="5"/>
      <c r="F11131" s="5"/>
      <c r="G11131" s="5"/>
      <c r="H11131" s="5"/>
      <c r="I11131" s="5"/>
      <c r="J11131" s="5"/>
      <c r="K11131" s="5"/>
      <c r="L11131" s="5"/>
    </row>
    <row r="11132" spans="1:12" ht="12" customHeight="1" x14ac:dyDescent="0.25">
      <c r="A11132" s="6"/>
      <c r="B11132" s="1"/>
      <c r="C11132" s="5"/>
      <c r="D11132" s="5"/>
      <c r="E11132" s="5"/>
      <c r="F11132" s="5"/>
      <c r="G11132" s="5"/>
      <c r="H11132" s="5"/>
      <c r="I11132" s="5"/>
      <c r="J11132" s="5"/>
      <c r="K11132" s="5"/>
      <c r="L11132" s="5"/>
    </row>
    <row r="11133" spans="1:12" ht="12" customHeight="1" x14ac:dyDescent="0.25">
      <c r="A11133" s="6"/>
      <c r="B11133" s="1"/>
      <c r="C11133" s="5"/>
      <c r="D11133" s="5"/>
      <c r="E11133" s="5"/>
      <c r="F11133" s="5"/>
      <c r="G11133" s="5"/>
      <c r="H11133" s="5"/>
      <c r="I11133" s="5"/>
      <c r="J11133" s="5"/>
      <c r="K11133" s="5"/>
      <c r="L11133" s="5"/>
    </row>
    <row r="11134" spans="1:12" ht="12" customHeight="1" x14ac:dyDescent="0.25">
      <c r="A11134" s="6"/>
      <c r="B11134" s="1"/>
      <c r="C11134" s="5"/>
      <c r="D11134" s="5"/>
      <c r="E11134" s="5"/>
      <c r="F11134" s="5"/>
      <c r="G11134" s="5"/>
      <c r="H11134" s="5"/>
      <c r="I11134" s="5"/>
      <c r="J11134" s="5"/>
      <c r="K11134" s="5"/>
      <c r="L11134" s="5"/>
    </row>
    <row r="11135" spans="1:12" ht="12" customHeight="1" x14ac:dyDescent="0.25">
      <c r="A11135" s="6"/>
      <c r="B11135" s="1"/>
      <c r="C11135" s="5"/>
      <c r="D11135" s="5"/>
      <c r="E11135" s="5"/>
      <c r="F11135" s="5"/>
      <c r="G11135" s="5"/>
      <c r="H11135" s="5"/>
      <c r="I11135" s="5"/>
      <c r="J11135" s="5"/>
      <c r="K11135" s="5"/>
      <c r="L11135" s="5"/>
    </row>
    <row r="11136" spans="1:12" ht="12" customHeight="1" x14ac:dyDescent="0.25">
      <c r="A11136" s="6"/>
      <c r="B11136" s="1"/>
      <c r="C11136" s="5"/>
      <c r="D11136" s="5"/>
      <c r="E11136" s="5"/>
      <c r="F11136" s="5"/>
      <c r="G11136" s="5"/>
      <c r="H11136" s="5"/>
      <c r="I11136" s="5"/>
      <c r="J11136" s="5"/>
      <c r="K11136" s="5"/>
      <c r="L11136" s="5"/>
    </row>
    <row r="11137" spans="1:12" ht="12" customHeight="1" x14ac:dyDescent="0.25">
      <c r="A11137" s="6"/>
      <c r="B11137" s="1"/>
      <c r="C11137" s="5"/>
      <c r="D11137" s="5"/>
      <c r="E11137" s="5"/>
      <c r="F11137" s="5"/>
      <c r="G11137" s="5"/>
      <c r="H11137" s="5"/>
      <c r="I11137" s="5"/>
      <c r="J11137" s="5"/>
      <c r="K11137" s="5"/>
      <c r="L11137" s="5"/>
    </row>
    <row r="11138" spans="1:12" ht="12" customHeight="1" x14ac:dyDescent="0.25">
      <c r="A11138" s="6"/>
      <c r="B11138" s="1"/>
      <c r="C11138" s="5"/>
      <c r="D11138" s="5"/>
      <c r="E11138" s="5"/>
      <c r="F11138" s="5"/>
      <c r="G11138" s="5"/>
      <c r="H11138" s="5"/>
      <c r="I11138" s="5"/>
      <c r="J11138" s="5"/>
      <c r="K11138" s="5"/>
      <c r="L11138" s="5"/>
    </row>
    <row r="11139" spans="1:12" ht="12" customHeight="1" x14ac:dyDescent="0.25">
      <c r="A11139" s="6"/>
      <c r="B11139" s="1"/>
      <c r="C11139" s="5"/>
      <c r="D11139" s="5"/>
      <c r="E11139" s="5"/>
      <c r="F11139" s="5"/>
      <c r="G11139" s="5"/>
      <c r="H11139" s="5"/>
      <c r="I11139" s="5"/>
      <c r="J11139" s="5"/>
      <c r="K11139" s="5"/>
      <c r="L11139" s="5"/>
    </row>
    <row r="11140" spans="1:12" ht="12" customHeight="1" x14ac:dyDescent="0.25">
      <c r="A11140" s="6"/>
      <c r="B11140" s="1"/>
      <c r="C11140" s="5"/>
      <c r="D11140" s="5"/>
      <c r="E11140" s="5"/>
      <c r="F11140" s="5"/>
      <c r="G11140" s="5"/>
      <c r="H11140" s="5"/>
      <c r="I11140" s="5"/>
      <c r="J11140" s="5"/>
      <c r="K11140" s="5"/>
      <c r="L11140" s="5"/>
    </row>
    <row r="11141" spans="1:12" ht="12" customHeight="1" x14ac:dyDescent="0.25">
      <c r="A11141" s="6"/>
      <c r="B11141" s="1"/>
      <c r="C11141" s="5"/>
      <c r="D11141" s="5"/>
      <c r="E11141" s="5"/>
      <c r="F11141" s="5"/>
      <c r="G11141" s="5"/>
      <c r="H11141" s="5"/>
      <c r="I11141" s="5"/>
      <c r="J11141" s="5"/>
      <c r="K11141" s="5"/>
      <c r="L11141" s="5"/>
    </row>
    <row r="11142" spans="1:12" ht="12" customHeight="1" x14ac:dyDescent="0.25">
      <c r="A11142" s="6"/>
      <c r="B11142" s="1"/>
      <c r="C11142" s="5"/>
      <c r="D11142" s="5"/>
      <c r="E11142" s="5"/>
      <c r="F11142" s="5"/>
      <c r="G11142" s="5"/>
      <c r="H11142" s="5"/>
      <c r="I11142" s="5"/>
      <c r="J11142" s="5"/>
      <c r="K11142" s="5"/>
      <c r="L11142" s="5"/>
    </row>
    <row r="11143" spans="1:12" ht="12" customHeight="1" x14ac:dyDescent="0.25">
      <c r="A11143" s="6"/>
      <c r="B11143" s="1"/>
      <c r="C11143" s="5"/>
      <c r="D11143" s="5"/>
      <c r="E11143" s="5"/>
      <c r="F11143" s="5"/>
      <c r="G11143" s="5"/>
      <c r="H11143" s="5"/>
      <c r="I11143" s="5"/>
      <c r="J11143" s="5"/>
      <c r="K11143" s="5"/>
      <c r="L11143" s="5"/>
    </row>
    <row r="11144" spans="1:12" ht="12" customHeight="1" x14ac:dyDescent="0.25">
      <c r="A11144" s="6"/>
      <c r="B11144" s="1"/>
      <c r="C11144" s="5"/>
      <c r="D11144" s="5"/>
      <c r="E11144" s="5"/>
      <c r="F11144" s="5"/>
      <c r="G11144" s="5"/>
      <c r="H11144" s="5"/>
      <c r="I11144" s="5"/>
      <c r="J11144" s="5"/>
      <c r="K11144" s="5"/>
      <c r="L11144" s="5"/>
    </row>
    <row r="11145" spans="1:12" ht="12" customHeight="1" x14ac:dyDescent="0.25">
      <c r="A11145" s="6"/>
      <c r="B11145" s="1"/>
      <c r="C11145" s="5"/>
      <c r="D11145" s="5"/>
      <c r="E11145" s="5"/>
      <c r="F11145" s="5"/>
      <c r="G11145" s="5"/>
      <c r="H11145" s="5"/>
      <c r="I11145" s="5"/>
      <c r="J11145" s="5"/>
      <c r="K11145" s="5"/>
      <c r="L11145" s="5"/>
    </row>
    <row r="11146" spans="1:12" ht="12" customHeight="1" x14ac:dyDescent="0.25">
      <c r="A11146" s="6"/>
      <c r="B11146" s="1"/>
      <c r="C11146" s="5"/>
      <c r="D11146" s="5"/>
      <c r="E11146" s="5"/>
      <c r="F11146" s="5"/>
      <c r="G11146" s="5"/>
      <c r="H11146" s="5"/>
      <c r="I11146" s="5"/>
      <c r="J11146" s="5"/>
      <c r="K11146" s="5"/>
      <c r="L11146" s="5"/>
    </row>
    <row r="11147" spans="1:12" ht="12" customHeight="1" x14ac:dyDescent="0.25">
      <c r="A11147" s="6"/>
      <c r="B11147" s="1"/>
      <c r="C11147" s="5"/>
      <c r="D11147" s="5"/>
      <c r="E11147" s="5"/>
      <c r="F11147" s="5"/>
      <c r="G11147" s="5"/>
      <c r="H11147" s="5"/>
      <c r="I11147" s="5"/>
      <c r="J11147" s="5"/>
      <c r="K11147" s="5"/>
      <c r="L11147" s="5"/>
    </row>
    <row r="11148" spans="1:12" ht="12" customHeight="1" x14ac:dyDescent="0.25">
      <c r="A11148" s="6"/>
      <c r="B11148" s="1"/>
      <c r="C11148" s="5"/>
      <c r="D11148" s="5"/>
      <c r="E11148" s="5"/>
      <c r="F11148" s="5"/>
      <c r="G11148" s="5"/>
      <c r="H11148" s="5"/>
      <c r="I11148" s="5"/>
      <c r="J11148" s="5"/>
      <c r="K11148" s="5"/>
      <c r="L11148" s="5"/>
    </row>
    <row r="11149" spans="1:12" ht="12" customHeight="1" x14ac:dyDescent="0.25">
      <c r="A11149" s="6"/>
      <c r="B11149" s="1"/>
      <c r="C11149" s="5"/>
      <c r="D11149" s="5"/>
      <c r="E11149" s="5"/>
      <c r="F11149" s="5"/>
      <c r="G11149" s="5"/>
      <c r="H11149" s="5"/>
      <c r="I11149" s="5"/>
      <c r="J11149" s="5"/>
      <c r="K11149" s="5"/>
      <c r="L11149" s="5"/>
    </row>
    <row r="11150" spans="1:12" ht="12" customHeight="1" x14ac:dyDescent="0.25">
      <c r="A11150" s="6"/>
      <c r="B11150" s="1"/>
      <c r="C11150" s="5"/>
      <c r="D11150" s="5"/>
      <c r="E11150" s="5"/>
      <c r="F11150" s="5"/>
      <c r="G11150" s="5"/>
      <c r="H11150" s="5"/>
      <c r="I11150" s="5"/>
      <c r="J11150" s="5"/>
      <c r="K11150" s="5"/>
      <c r="L11150" s="5"/>
    </row>
    <row r="11151" spans="1:12" ht="12" customHeight="1" x14ac:dyDescent="0.25">
      <c r="A11151" s="6"/>
      <c r="B11151" s="1"/>
      <c r="C11151" s="5"/>
      <c r="D11151" s="5"/>
      <c r="E11151" s="5"/>
      <c r="F11151" s="5"/>
      <c r="G11151" s="5"/>
      <c r="H11151" s="5"/>
      <c r="I11151" s="5"/>
      <c r="J11151" s="5"/>
      <c r="K11151" s="5"/>
      <c r="L11151" s="5"/>
    </row>
    <row r="11152" spans="1:12" ht="12" customHeight="1" x14ac:dyDescent="0.25">
      <c r="A11152" s="6"/>
      <c r="B11152" s="1"/>
      <c r="C11152" s="5"/>
      <c r="D11152" s="5"/>
      <c r="E11152" s="5"/>
      <c r="F11152" s="5"/>
      <c r="G11152" s="5"/>
      <c r="H11152" s="5"/>
      <c r="I11152" s="5"/>
      <c r="J11152" s="5"/>
      <c r="K11152" s="5"/>
      <c r="L11152" s="5"/>
    </row>
    <row r="11153" spans="1:12" ht="12" customHeight="1" x14ac:dyDescent="0.25">
      <c r="A11153" s="6"/>
      <c r="B11153" s="1"/>
      <c r="C11153" s="5"/>
      <c r="D11153" s="5"/>
      <c r="E11153" s="5"/>
      <c r="F11153" s="5"/>
      <c r="G11153" s="5"/>
      <c r="H11153" s="5"/>
      <c r="I11153" s="5"/>
      <c r="J11153" s="5"/>
      <c r="K11153" s="5"/>
      <c r="L11153" s="5"/>
    </row>
    <row r="11154" spans="1:12" ht="12" customHeight="1" x14ac:dyDescent="0.25">
      <c r="A11154" s="6"/>
      <c r="B11154" s="1"/>
      <c r="C11154" s="5"/>
      <c r="D11154" s="5"/>
      <c r="E11154" s="5"/>
      <c r="F11154" s="5"/>
      <c r="G11154" s="5"/>
      <c r="H11154" s="5"/>
      <c r="I11154" s="5"/>
      <c r="J11154" s="5"/>
      <c r="K11154" s="5"/>
      <c r="L11154" s="5"/>
    </row>
    <row r="11155" spans="1:12" ht="12" customHeight="1" x14ac:dyDescent="0.25">
      <c r="A11155" s="6"/>
      <c r="B11155" s="1"/>
      <c r="C11155" s="5"/>
      <c r="D11155" s="5"/>
      <c r="E11155" s="5"/>
      <c r="F11155" s="5"/>
      <c r="G11155" s="5"/>
      <c r="H11155" s="5"/>
      <c r="I11155" s="5"/>
      <c r="J11155" s="5"/>
      <c r="K11155" s="5"/>
      <c r="L11155" s="5"/>
    </row>
    <row r="11156" spans="1:12" ht="12" customHeight="1" x14ac:dyDescent="0.25">
      <c r="A11156" s="6"/>
      <c r="B11156" s="1"/>
      <c r="C11156" s="5"/>
      <c r="D11156" s="5"/>
      <c r="E11156" s="5"/>
      <c r="F11156" s="5"/>
      <c r="G11156" s="5"/>
      <c r="H11156" s="5"/>
      <c r="I11156" s="5"/>
      <c r="J11156" s="5"/>
      <c r="K11156" s="5"/>
      <c r="L11156" s="5"/>
    </row>
    <row r="11157" spans="1:12" ht="12" customHeight="1" x14ac:dyDescent="0.25">
      <c r="A11157" s="6"/>
      <c r="B11157" s="1"/>
      <c r="C11157" s="5"/>
      <c r="D11157" s="5"/>
      <c r="E11157" s="5"/>
      <c r="F11157" s="5"/>
      <c r="G11157" s="5"/>
      <c r="H11157" s="5"/>
      <c r="I11157" s="5"/>
      <c r="J11157" s="5"/>
      <c r="K11157" s="5"/>
      <c r="L11157" s="5"/>
    </row>
    <row r="11158" spans="1:12" ht="12" customHeight="1" x14ac:dyDescent="0.25">
      <c r="A11158" s="6"/>
      <c r="B11158" s="1"/>
      <c r="C11158" s="5"/>
      <c r="D11158" s="5"/>
      <c r="E11158" s="5"/>
      <c r="F11158" s="5"/>
      <c r="G11158" s="5"/>
      <c r="H11158" s="5"/>
      <c r="I11158" s="5"/>
      <c r="J11158" s="5"/>
      <c r="K11158" s="5"/>
      <c r="L11158" s="5"/>
    </row>
    <row r="11159" spans="1:12" ht="12" customHeight="1" x14ac:dyDescent="0.25">
      <c r="A11159" s="6"/>
      <c r="B11159" s="1"/>
      <c r="C11159" s="5"/>
      <c r="D11159" s="5"/>
      <c r="E11159" s="5"/>
      <c r="F11159" s="5"/>
      <c r="G11159" s="5"/>
      <c r="H11159" s="5"/>
      <c r="I11159" s="5"/>
      <c r="J11159" s="5"/>
      <c r="K11159" s="5"/>
      <c r="L11159" s="5"/>
    </row>
    <row r="11160" spans="1:12" ht="12" customHeight="1" x14ac:dyDescent="0.25">
      <c r="A11160" s="6"/>
      <c r="B11160" s="1"/>
      <c r="C11160" s="5"/>
      <c r="D11160" s="5"/>
      <c r="E11160" s="5"/>
      <c r="F11160" s="5"/>
      <c r="G11160" s="5"/>
      <c r="H11160" s="5"/>
      <c r="I11160" s="5"/>
      <c r="J11160" s="5"/>
      <c r="K11160" s="5"/>
      <c r="L11160" s="5"/>
    </row>
    <row r="11161" spans="1:12" ht="12" customHeight="1" x14ac:dyDescent="0.25">
      <c r="A11161" s="6"/>
      <c r="B11161" s="1"/>
      <c r="C11161" s="5"/>
      <c r="D11161" s="5"/>
      <c r="E11161" s="5"/>
      <c r="F11161" s="5"/>
      <c r="G11161" s="5"/>
      <c r="H11161" s="5"/>
      <c r="I11161" s="5"/>
      <c r="J11161" s="5"/>
      <c r="K11161" s="5"/>
      <c r="L11161" s="5"/>
    </row>
    <row r="11162" spans="1:12" ht="12" customHeight="1" x14ac:dyDescent="0.25">
      <c r="A11162" s="6"/>
      <c r="B11162" s="1"/>
      <c r="C11162" s="5"/>
      <c r="D11162" s="5"/>
      <c r="E11162" s="5"/>
      <c r="F11162" s="5"/>
      <c r="G11162" s="5"/>
      <c r="H11162" s="5"/>
      <c r="I11162" s="5"/>
      <c r="J11162" s="5"/>
      <c r="K11162" s="5"/>
      <c r="L11162" s="5"/>
    </row>
    <row r="11163" spans="1:12" ht="12" customHeight="1" x14ac:dyDescent="0.25">
      <c r="A11163" s="6"/>
      <c r="B11163" s="1"/>
      <c r="C11163" s="5"/>
      <c r="D11163" s="5"/>
      <c r="E11163" s="5"/>
      <c r="F11163" s="5"/>
      <c r="G11163" s="5"/>
      <c r="H11163" s="5"/>
      <c r="I11163" s="5"/>
      <c r="J11163" s="5"/>
      <c r="K11163" s="5"/>
      <c r="L11163" s="5"/>
    </row>
    <row r="11164" spans="1:12" ht="12" customHeight="1" x14ac:dyDescent="0.25">
      <c r="A11164" s="6"/>
      <c r="B11164" s="1"/>
      <c r="C11164" s="5"/>
      <c r="D11164" s="5"/>
      <c r="E11164" s="5"/>
      <c r="F11164" s="5"/>
      <c r="G11164" s="5"/>
      <c r="H11164" s="5"/>
      <c r="I11164" s="5"/>
      <c r="J11164" s="5"/>
      <c r="K11164" s="5"/>
      <c r="L11164" s="5"/>
    </row>
    <row r="11165" spans="1:12" ht="12" customHeight="1" x14ac:dyDescent="0.25">
      <c r="A11165" s="6"/>
      <c r="B11165" s="1"/>
      <c r="C11165" s="5"/>
      <c r="D11165" s="5"/>
      <c r="E11165" s="5"/>
      <c r="F11165" s="5"/>
      <c r="G11165" s="5"/>
      <c r="H11165" s="5"/>
      <c r="I11165" s="5"/>
      <c r="J11165" s="5"/>
      <c r="K11165" s="5"/>
      <c r="L11165" s="5"/>
    </row>
    <row r="11166" spans="1:12" ht="12" customHeight="1" x14ac:dyDescent="0.25">
      <c r="A11166" s="6"/>
      <c r="B11166" s="1"/>
      <c r="C11166" s="5"/>
      <c r="D11166" s="5"/>
      <c r="E11166" s="5"/>
      <c r="F11166" s="5"/>
      <c r="G11166" s="5"/>
      <c r="H11166" s="5"/>
      <c r="I11166" s="5"/>
      <c r="J11166" s="5"/>
      <c r="K11166" s="5"/>
      <c r="L11166" s="5"/>
    </row>
    <row r="11167" spans="1:12" ht="12" customHeight="1" x14ac:dyDescent="0.25">
      <c r="A11167" s="6"/>
      <c r="B11167" s="1"/>
      <c r="C11167" s="5"/>
      <c r="D11167" s="5"/>
      <c r="E11167" s="5"/>
      <c r="F11167" s="5"/>
      <c r="G11167" s="5"/>
      <c r="H11167" s="5"/>
      <c r="I11167" s="5"/>
      <c r="J11167" s="5"/>
      <c r="K11167" s="5"/>
      <c r="L11167" s="5"/>
    </row>
    <row r="11168" spans="1:12" ht="12" customHeight="1" x14ac:dyDescent="0.25">
      <c r="A11168" s="6"/>
      <c r="B11168" s="1"/>
      <c r="C11168" s="5"/>
      <c r="D11168" s="5"/>
      <c r="E11168" s="5"/>
      <c r="F11168" s="5"/>
      <c r="G11168" s="5"/>
      <c r="H11168" s="5"/>
      <c r="I11168" s="5"/>
      <c r="J11168" s="5"/>
      <c r="K11168" s="5"/>
      <c r="L11168" s="5"/>
    </row>
    <row r="11169" spans="1:12" ht="12" customHeight="1" x14ac:dyDescent="0.25">
      <c r="A11169" s="6"/>
      <c r="B11169" s="1"/>
      <c r="C11169" s="5"/>
      <c r="D11169" s="5"/>
      <c r="E11169" s="5"/>
      <c r="F11169" s="5"/>
      <c r="G11169" s="5"/>
      <c r="H11169" s="5"/>
      <c r="I11169" s="5"/>
      <c r="J11169" s="5"/>
      <c r="K11169" s="5"/>
      <c r="L11169" s="5"/>
    </row>
    <row r="11170" spans="1:12" ht="12" customHeight="1" x14ac:dyDescent="0.25">
      <c r="A11170" s="6"/>
      <c r="B11170" s="1"/>
      <c r="C11170" s="5"/>
      <c r="D11170" s="5"/>
      <c r="E11170" s="5"/>
      <c r="F11170" s="5"/>
      <c r="G11170" s="5"/>
      <c r="H11170" s="5"/>
      <c r="I11170" s="5"/>
      <c r="J11170" s="5"/>
      <c r="K11170" s="5"/>
      <c r="L11170" s="5"/>
    </row>
    <row r="11171" spans="1:12" ht="12" customHeight="1" x14ac:dyDescent="0.25">
      <c r="A11171" s="6"/>
      <c r="B11171" s="1"/>
      <c r="C11171" s="5"/>
      <c r="D11171" s="5"/>
      <c r="E11171" s="5"/>
      <c r="F11171" s="5"/>
      <c r="G11171" s="5"/>
      <c r="H11171" s="5"/>
      <c r="I11171" s="5"/>
      <c r="J11171" s="5"/>
      <c r="K11171" s="5"/>
      <c r="L11171" s="5"/>
    </row>
    <row r="11172" spans="1:12" ht="12" customHeight="1" x14ac:dyDescent="0.25">
      <c r="A11172" s="6"/>
      <c r="B11172" s="1"/>
      <c r="C11172" s="5"/>
      <c r="D11172" s="5"/>
      <c r="E11172" s="5"/>
      <c r="F11172" s="5"/>
      <c r="G11172" s="5"/>
      <c r="H11172" s="5"/>
      <c r="I11172" s="5"/>
      <c r="J11172" s="5"/>
      <c r="K11172" s="5"/>
      <c r="L11172" s="5"/>
    </row>
    <row r="11173" spans="1:12" ht="12" customHeight="1" x14ac:dyDescent="0.25">
      <c r="A11173" s="6"/>
      <c r="B11173" s="1"/>
      <c r="C11173" s="5"/>
      <c r="D11173" s="5"/>
      <c r="E11173" s="5"/>
      <c r="F11173" s="5"/>
      <c r="G11173" s="5"/>
      <c r="H11173" s="5"/>
      <c r="I11173" s="5"/>
      <c r="J11173" s="5"/>
      <c r="K11173" s="5"/>
      <c r="L11173" s="5"/>
    </row>
    <row r="11174" spans="1:12" ht="12" customHeight="1" x14ac:dyDescent="0.25">
      <c r="A11174" s="6"/>
      <c r="B11174" s="1"/>
      <c r="C11174" s="5"/>
      <c r="D11174" s="5"/>
      <c r="E11174" s="5"/>
      <c r="F11174" s="5"/>
      <c r="G11174" s="5"/>
      <c r="H11174" s="5"/>
      <c r="I11174" s="5"/>
      <c r="J11174" s="5"/>
      <c r="K11174" s="5"/>
      <c r="L11174" s="5"/>
    </row>
    <row r="11175" spans="1:12" ht="12" customHeight="1" x14ac:dyDescent="0.25">
      <c r="A11175" s="6"/>
      <c r="B11175" s="1"/>
      <c r="C11175" s="5"/>
      <c r="D11175" s="5"/>
      <c r="E11175" s="5"/>
      <c r="F11175" s="5"/>
      <c r="G11175" s="5"/>
      <c r="H11175" s="5"/>
      <c r="I11175" s="5"/>
      <c r="J11175" s="5"/>
      <c r="K11175" s="5"/>
      <c r="L11175" s="5"/>
    </row>
    <row r="11176" spans="1:12" ht="12" customHeight="1" x14ac:dyDescent="0.25">
      <c r="A11176" s="6"/>
      <c r="B11176" s="1"/>
      <c r="C11176" s="5"/>
      <c r="D11176" s="5"/>
      <c r="E11176" s="5"/>
      <c r="F11176" s="5"/>
      <c r="G11176" s="5"/>
      <c r="H11176" s="5"/>
      <c r="I11176" s="5"/>
      <c r="J11176" s="5"/>
      <c r="K11176" s="5"/>
      <c r="L11176" s="5"/>
    </row>
    <row r="11177" spans="1:12" ht="12" customHeight="1" x14ac:dyDescent="0.25">
      <c r="A11177" s="6"/>
      <c r="B11177" s="1"/>
      <c r="C11177" s="5"/>
      <c r="D11177" s="5"/>
      <c r="E11177" s="5"/>
      <c r="F11177" s="5"/>
      <c r="G11177" s="5"/>
      <c r="H11177" s="5"/>
      <c r="I11177" s="5"/>
      <c r="J11177" s="5"/>
      <c r="K11177" s="5"/>
      <c r="L11177" s="5"/>
    </row>
    <row r="11178" spans="1:12" ht="12" customHeight="1" x14ac:dyDescent="0.25">
      <c r="A11178" s="6"/>
      <c r="B11178" s="1"/>
      <c r="C11178" s="5"/>
      <c r="D11178" s="5"/>
      <c r="E11178" s="5"/>
      <c r="F11178" s="5"/>
      <c r="G11178" s="5"/>
      <c r="H11178" s="5"/>
      <c r="I11178" s="5"/>
      <c r="J11178" s="5"/>
      <c r="K11178" s="5"/>
      <c r="L11178" s="5"/>
    </row>
    <row r="11179" spans="1:12" ht="12" customHeight="1" x14ac:dyDescent="0.25">
      <c r="A11179" s="6"/>
      <c r="B11179" s="1"/>
      <c r="C11179" s="5"/>
      <c r="D11179" s="5"/>
      <c r="E11179" s="5"/>
      <c r="F11179" s="5"/>
      <c r="G11179" s="5"/>
      <c r="H11179" s="5"/>
      <c r="I11179" s="5"/>
      <c r="J11179" s="5"/>
      <c r="K11179" s="5"/>
      <c r="L11179" s="5"/>
    </row>
    <row r="11180" spans="1:12" ht="12" customHeight="1" x14ac:dyDescent="0.25">
      <c r="A11180" s="6"/>
      <c r="B11180" s="1"/>
      <c r="C11180" s="5"/>
      <c r="D11180" s="5"/>
      <c r="E11180" s="5"/>
      <c r="F11180" s="5"/>
      <c r="G11180" s="5"/>
      <c r="H11180" s="5"/>
      <c r="I11180" s="5"/>
      <c r="J11180" s="5"/>
      <c r="K11180" s="5"/>
      <c r="L11180" s="5"/>
    </row>
    <row r="11181" spans="1:12" ht="12" customHeight="1" x14ac:dyDescent="0.25">
      <c r="A11181" s="6"/>
      <c r="B11181" s="1"/>
      <c r="C11181" s="5"/>
      <c r="D11181" s="5"/>
      <c r="E11181" s="5"/>
      <c r="F11181" s="5"/>
      <c r="G11181" s="5"/>
      <c r="H11181" s="5"/>
      <c r="I11181" s="5"/>
      <c r="J11181" s="5"/>
      <c r="K11181" s="5"/>
      <c r="L11181" s="5"/>
    </row>
    <row r="11182" spans="1:12" ht="12" customHeight="1" x14ac:dyDescent="0.25">
      <c r="A11182" s="6"/>
      <c r="B11182" s="1"/>
      <c r="C11182" s="5"/>
      <c r="D11182" s="5"/>
      <c r="E11182" s="5"/>
      <c r="F11182" s="5"/>
      <c r="G11182" s="5"/>
      <c r="H11182" s="5"/>
      <c r="I11182" s="5"/>
      <c r="J11182" s="5"/>
      <c r="K11182" s="5"/>
      <c r="L11182" s="5"/>
    </row>
    <row r="11183" spans="1:12" ht="12" customHeight="1" x14ac:dyDescent="0.25">
      <c r="A11183" s="6"/>
      <c r="B11183" s="1"/>
      <c r="C11183" s="5"/>
      <c r="D11183" s="5"/>
      <c r="E11183" s="5"/>
      <c r="F11183" s="5"/>
      <c r="G11183" s="5"/>
      <c r="H11183" s="5"/>
      <c r="I11183" s="5"/>
      <c r="J11183" s="5"/>
      <c r="K11183" s="5"/>
      <c r="L11183" s="5"/>
    </row>
    <row r="11184" spans="1:12" ht="12" customHeight="1" x14ac:dyDescent="0.25">
      <c r="A11184" s="6"/>
      <c r="B11184" s="1"/>
      <c r="C11184" s="5"/>
      <c r="D11184" s="5"/>
      <c r="E11184" s="5"/>
      <c r="F11184" s="5"/>
      <c r="G11184" s="5"/>
      <c r="H11184" s="5"/>
      <c r="I11184" s="5"/>
      <c r="J11184" s="5"/>
      <c r="K11184" s="5"/>
      <c r="L11184" s="5"/>
    </row>
    <row r="11185" spans="1:12" ht="12" customHeight="1" x14ac:dyDescent="0.25">
      <c r="A11185" s="6"/>
      <c r="B11185" s="1"/>
      <c r="C11185" s="5"/>
      <c r="D11185" s="5"/>
      <c r="E11185" s="5"/>
      <c r="F11185" s="5"/>
      <c r="G11185" s="5"/>
      <c r="H11185" s="5"/>
      <c r="I11185" s="5"/>
      <c r="J11185" s="5"/>
      <c r="K11185" s="5"/>
      <c r="L11185" s="5"/>
    </row>
    <row r="11186" spans="1:12" ht="12" customHeight="1" x14ac:dyDescent="0.25">
      <c r="A11186" s="6"/>
      <c r="B11186" s="1"/>
      <c r="C11186" s="5"/>
      <c r="D11186" s="5"/>
      <c r="E11186" s="5"/>
      <c r="F11186" s="5"/>
      <c r="G11186" s="5"/>
      <c r="H11186" s="5"/>
      <c r="I11186" s="5"/>
      <c r="J11186" s="5"/>
      <c r="K11186" s="5"/>
      <c r="L11186" s="5"/>
    </row>
    <row r="11187" spans="1:12" ht="12" customHeight="1" x14ac:dyDescent="0.25">
      <c r="A11187" s="6"/>
      <c r="B11187" s="1"/>
      <c r="C11187" s="5"/>
      <c r="D11187" s="5"/>
      <c r="E11187" s="5"/>
      <c r="F11187" s="5"/>
      <c r="G11187" s="5"/>
      <c r="H11187" s="5"/>
      <c r="I11187" s="5"/>
      <c r="J11187" s="5"/>
      <c r="K11187" s="5"/>
      <c r="L11187" s="5"/>
    </row>
    <row r="11188" spans="1:12" ht="12" customHeight="1" x14ac:dyDescent="0.25">
      <c r="A11188" s="6"/>
      <c r="B11188" s="1"/>
      <c r="C11188" s="5"/>
      <c r="D11188" s="5"/>
      <c r="E11188" s="5"/>
      <c r="F11188" s="5"/>
      <c r="G11188" s="5"/>
      <c r="H11188" s="5"/>
      <c r="I11188" s="5"/>
      <c r="J11188" s="5"/>
      <c r="K11188" s="5"/>
      <c r="L11188" s="5"/>
    </row>
    <row r="11189" spans="1:12" ht="12" customHeight="1" x14ac:dyDescent="0.25">
      <c r="A11189" s="6"/>
      <c r="B11189" s="1"/>
      <c r="C11189" s="5"/>
      <c r="D11189" s="5"/>
      <c r="E11189" s="5"/>
      <c r="F11189" s="5"/>
      <c r="G11189" s="5"/>
      <c r="H11189" s="5"/>
      <c r="I11189" s="5"/>
      <c r="J11189" s="5"/>
      <c r="K11189" s="5"/>
      <c r="L11189" s="5"/>
    </row>
    <row r="11190" spans="1:12" ht="12" customHeight="1" x14ac:dyDescent="0.25">
      <c r="A11190" s="6"/>
      <c r="B11190" s="1"/>
      <c r="C11190" s="5"/>
      <c r="D11190" s="5"/>
      <c r="E11190" s="5"/>
      <c r="F11190" s="5"/>
      <c r="G11190" s="5"/>
      <c r="H11190" s="5"/>
      <c r="I11190" s="5"/>
      <c r="J11190" s="5"/>
      <c r="K11190" s="5"/>
      <c r="L11190" s="5"/>
    </row>
    <row r="11191" spans="1:12" ht="12" customHeight="1" x14ac:dyDescent="0.25">
      <c r="A11191" s="6"/>
      <c r="B11191" s="1"/>
      <c r="C11191" s="5"/>
      <c r="D11191" s="5"/>
      <c r="E11191" s="5"/>
      <c r="F11191" s="5"/>
      <c r="G11191" s="5"/>
      <c r="H11191" s="5"/>
      <c r="I11191" s="5"/>
      <c r="J11191" s="5"/>
      <c r="K11191" s="5"/>
      <c r="L11191" s="5"/>
    </row>
    <row r="11192" spans="1:12" ht="12" customHeight="1" x14ac:dyDescent="0.25">
      <c r="A11192" s="6"/>
      <c r="B11192" s="1"/>
      <c r="C11192" s="5"/>
      <c r="D11192" s="5"/>
      <c r="E11192" s="5"/>
      <c r="F11192" s="5"/>
      <c r="G11192" s="5"/>
      <c r="H11192" s="5"/>
      <c r="I11192" s="5"/>
      <c r="J11192" s="5"/>
      <c r="K11192" s="5"/>
      <c r="L11192" s="5"/>
    </row>
    <row r="11193" spans="1:12" ht="12" customHeight="1" x14ac:dyDescent="0.25">
      <c r="A11193" s="6"/>
      <c r="B11193" s="1"/>
      <c r="C11193" s="5"/>
      <c r="D11193" s="5"/>
      <c r="E11193" s="5"/>
      <c r="F11193" s="5"/>
      <c r="G11193" s="5"/>
      <c r="H11193" s="5"/>
      <c r="I11193" s="5"/>
      <c r="J11193" s="5"/>
      <c r="K11193" s="5"/>
      <c r="L11193" s="5"/>
    </row>
    <row r="11194" spans="1:12" ht="12" customHeight="1" x14ac:dyDescent="0.25">
      <c r="A11194" s="6"/>
      <c r="B11194" s="1"/>
      <c r="C11194" s="5"/>
      <c r="D11194" s="5"/>
      <c r="E11194" s="5"/>
      <c r="F11194" s="5"/>
      <c r="G11194" s="5"/>
      <c r="H11194" s="5"/>
      <c r="I11194" s="5"/>
      <c r="J11194" s="5"/>
      <c r="K11194" s="5"/>
      <c r="L11194" s="5"/>
    </row>
    <row r="11195" spans="1:12" ht="12" customHeight="1" x14ac:dyDescent="0.25">
      <c r="A11195" s="6"/>
      <c r="B11195" s="1"/>
      <c r="C11195" s="5"/>
      <c r="D11195" s="5"/>
      <c r="E11195" s="5"/>
      <c r="F11195" s="5"/>
      <c r="G11195" s="5"/>
      <c r="H11195" s="5"/>
      <c r="I11195" s="5"/>
      <c r="J11195" s="5"/>
      <c r="K11195" s="5"/>
      <c r="L11195" s="5"/>
    </row>
    <row r="11196" spans="1:12" ht="12" customHeight="1" x14ac:dyDescent="0.25">
      <c r="A11196" s="6"/>
      <c r="B11196" s="1"/>
      <c r="C11196" s="5"/>
      <c r="D11196" s="5"/>
      <c r="E11196" s="5"/>
      <c r="F11196" s="5"/>
      <c r="G11196" s="5"/>
      <c r="H11196" s="5"/>
      <c r="I11196" s="5"/>
      <c r="J11196" s="5"/>
      <c r="K11196" s="5"/>
      <c r="L11196" s="5"/>
    </row>
    <row r="11197" spans="1:12" ht="12" customHeight="1" x14ac:dyDescent="0.25">
      <c r="A11197" s="6"/>
      <c r="B11197" s="1"/>
      <c r="C11197" s="5"/>
      <c r="D11197" s="5"/>
      <c r="E11197" s="5"/>
      <c r="F11197" s="5"/>
      <c r="G11197" s="5"/>
      <c r="H11197" s="5"/>
      <c r="I11197" s="5"/>
      <c r="J11197" s="5"/>
      <c r="K11197" s="5"/>
      <c r="L11197" s="5"/>
    </row>
    <row r="11198" spans="1:12" ht="12" customHeight="1" x14ac:dyDescent="0.25">
      <c r="A11198" s="6"/>
      <c r="B11198" s="1"/>
      <c r="C11198" s="5"/>
      <c r="D11198" s="5"/>
      <c r="E11198" s="5"/>
      <c r="F11198" s="5"/>
      <c r="G11198" s="5"/>
      <c r="H11198" s="5"/>
      <c r="I11198" s="5"/>
      <c r="J11198" s="5"/>
      <c r="K11198" s="5"/>
      <c r="L11198" s="5"/>
    </row>
    <row r="11199" spans="1:12" ht="12" customHeight="1" x14ac:dyDescent="0.25">
      <c r="A11199" s="6"/>
      <c r="B11199" s="1"/>
      <c r="C11199" s="5"/>
      <c r="D11199" s="5"/>
      <c r="E11199" s="5"/>
      <c r="F11199" s="5"/>
      <c r="G11199" s="5"/>
      <c r="H11199" s="5"/>
      <c r="I11199" s="5"/>
      <c r="J11199" s="5"/>
      <c r="K11199" s="5"/>
      <c r="L11199" s="5"/>
    </row>
    <row r="11200" spans="1:12" ht="12" customHeight="1" x14ac:dyDescent="0.25">
      <c r="A11200" s="6"/>
      <c r="B11200" s="1"/>
      <c r="C11200" s="5"/>
      <c r="D11200" s="5"/>
      <c r="E11200" s="5"/>
      <c r="F11200" s="5"/>
      <c r="G11200" s="5"/>
      <c r="H11200" s="5"/>
      <c r="I11200" s="5"/>
      <c r="J11200" s="5"/>
      <c r="K11200" s="5"/>
      <c r="L11200" s="5"/>
    </row>
    <row r="11201" spans="1:12" ht="12" customHeight="1" x14ac:dyDescent="0.25">
      <c r="A11201" s="6"/>
      <c r="B11201" s="1"/>
      <c r="C11201" s="5"/>
      <c r="D11201" s="5"/>
      <c r="E11201" s="5"/>
      <c r="F11201" s="5"/>
      <c r="G11201" s="5"/>
      <c r="H11201" s="5"/>
      <c r="I11201" s="5"/>
      <c r="J11201" s="5"/>
      <c r="K11201" s="5"/>
      <c r="L11201" s="5"/>
    </row>
    <row r="11202" spans="1:12" ht="12" customHeight="1" x14ac:dyDescent="0.25">
      <c r="A11202" s="6"/>
      <c r="B11202" s="1"/>
      <c r="C11202" s="5"/>
      <c r="D11202" s="5"/>
      <c r="E11202" s="5"/>
      <c r="F11202" s="5"/>
      <c r="G11202" s="5"/>
      <c r="H11202" s="5"/>
      <c r="I11202" s="5"/>
      <c r="J11202" s="5"/>
      <c r="K11202" s="5"/>
      <c r="L11202" s="5"/>
    </row>
    <row r="11203" spans="1:12" ht="12" customHeight="1" x14ac:dyDescent="0.25">
      <c r="A11203" s="6"/>
      <c r="B11203" s="1"/>
      <c r="C11203" s="5"/>
      <c r="D11203" s="5"/>
      <c r="E11203" s="5"/>
      <c r="F11203" s="5"/>
      <c r="G11203" s="5"/>
      <c r="H11203" s="5"/>
      <c r="I11203" s="5"/>
      <c r="J11203" s="5"/>
      <c r="K11203" s="5"/>
      <c r="L11203" s="5"/>
    </row>
    <row r="11204" spans="1:12" ht="12" customHeight="1" x14ac:dyDescent="0.25">
      <c r="A11204" s="6"/>
      <c r="B11204" s="1"/>
      <c r="C11204" s="5"/>
      <c r="D11204" s="5"/>
      <c r="E11204" s="5"/>
      <c r="F11204" s="5"/>
      <c r="G11204" s="5"/>
      <c r="H11204" s="5"/>
      <c r="I11204" s="5"/>
      <c r="J11204" s="5"/>
      <c r="K11204" s="5"/>
      <c r="L11204" s="5"/>
    </row>
    <row r="11205" spans="1:12" ht="12" customHeight="1" x14ac:dyDescent="0.25">
      <c r="A11205" s="6"/>
      <c r="B11205" s="1"/>
      <c r="C11205" s="5"/>
      <c r="D11205" s="5"/>
      <c r="E11205" s="5"/>
      <c r="F11205" s="5"/>
      <c r="G11205" s="5"/>
      <c r="H11205" s="5"/>
      <c r="I11205" s="5"/>
      <c r="J11205" s="5"/>
      <c r="K11205" s="5"/>
      <c r="L11205" s="5"/>
    </row>
    <row r="11206" spans="1:12" ht="12" customHeight="1" x14ac:dyDescent="0.25">
      <c r="A11206" s="6"/>
      <c r="B11206" s="1"/>
      <c r="C11206" s="5"/>
      <c r="D11206" s="5"/>
      <c r="E11206" s="5"/>
      <c r="F11206" s="5"/>
      <c r="G11206" s="5"/>
      <c r="H11206" s="5"/>
      <c r="I11206" s="5"/>
      <c r="J11206" s="5"/>
      <c r="K11206" s="5"/>
      <c r="L11206" s="5"/>
    </row>
    <row r="11207" spans="1:12" ht="12" customHeight="1" x14ac:dyDescent="0.25">
      <c r="A11207" s="6"/>
      <c r="B11207" s="1"/>
      <c r="C11207" s="5"/>
      <c r="D11207" s="5"/>
      <c r="E11207" s="5"/>
      <c r="F11207" s="5"/>
      <c r="G11207" s="5"/>
      <c r="H11207" s="5"/>
      <c r="I11207" s="5"/>
      <c r="J11207" s="5"/>
      <c r="K11207" s="5"/>
      <c r="L11207" s="5"/>
    </row>
    <row r="11208" spans="1:12" ht="12" customHeight="1" x14ac:dyDescent="0.25">
      <c r="A11208" s="6"/>
      <c r="B11208" s="1"/>
      <c r="C11208" s="5"/>
      <c r="D11208" s="5"/>
      <c r="E11208" s="5"/>
      <c r="F11208" s="5"/>
      <c r="G11208" s="5"/>
      <c r="H11208" s="5"/>
      <c r="I11208" s="5"/>
      <c r="J11208" s="5"/>
      <c r="K11208" s="5"/>
      <c r="L11208" s="5"/>
    </row>
    <row r="11209" spans="1:12" ht="12" customHeight="1" x14ac:dyDescent="0.25">
      <c r="A11209" s="6"/>
      <c r="B11209" s="1"/>
      <c r="C11209" s="5"/>
      <c r="D11209" s="5"/>
      <c r="E11209" s="5"/>
      <c r="F11209" s="5"/>
      <c r="G11209" s="5"/>
      <c r="H11209" s="5"/>
      <c r="I11209" s="5"/>
      <c r="J11209" s="5"/>
      <c r="K11209" s="5"/>
      <c r="L11209" s="5"/>
    </row>
    <row r="11210" spans="1:12" ht="12" customHeight="1" x14ac:dyDescent="0.25">
      <c r="A11210" s="6"/>
      <c r="B11210" s="1"/>
      <c r="C11210" s="5"/>
      <c r="D11210" s="5"/>
      <c r="E11210" s="5"/>
      <c r="F11210" s="5"/>
      <c r="G11210" s="5"/>
      <c r="H11210" s="5"/>
      <c r="I11210" s="5"/>
      <c r="J11210" s="5"/>
      <c r="K11210" s="5"/>
      <c r="L11210" s="5"/>
    </row>
    <row r="11211" spans="1:12" ht="12" customHeight="1" x14ac:dyDescent="0.25">
      <c r="A11211" s="6"/>
      <c r="B11211" s="1"/>
      <c r="C11211" s="5"/>
      <c r="D11211" s="5"/>
      <c r="E11211" s="5"/>
      <c r="F11211" s="5"/>
      <c r="G11211" s="5"/>
      <c r="H11211" s="5"/>
      <c r="I11211" s="5"/>
      <c r="J11211" s="5"/>
      <c r="K11211" s="5"/>
      <c r="L11211" s="5"/>
    </row>
    <row r="11212" spans="1:12" ht="12" customHeight="1" x14ac:dyDescent="0.25">
      <c r="A11212" s="6"/>
      <c r="B11212" s="1"/>
      <c r="C11212" s="5"/>
      <c r="D11212" s="5"/>
      <c r="E11212" s="5"/>
      <c r="F11212" s="5"/>
      <c r="G11212" s="5"/>
      <c r="H11212" s="5"/>
      <c r="I11212" s="5"/>
      <c r="J11212" s="5"/>
      <c r="K11212" s="5"/>
      <c r="L11212" s="5"/>
    </row>
    <row r="11213" spans="1:12" ht="12" customHeight="1" x14ac:dyDescent="0.25">
      <c r="A11213" s="6"/>
      <c r="B11213" s="1"/>
      <c r="C11213" s="5"/>
      <c r="D11213" s="5"/>
      <c r="E11213" s="5"/>
      <c r="F11213" s="5"/>
      <c r="G11213" s="5"/>
      <c r="H11213" s="5"/>
      <c r="I11213" s="5"/>
      <c r="J11213" s="5"/>
      <c r="K11213" s="5"/>
      <c r="L11213" s="5"/>
    </row>
    <row r="11214" spans="1:12" ht="12" customHeight="1" x14ac:dyDescent="0.25">
      <c r="A11214" s="6"/>
      <c r="B11214" s="1"/>
      <c r="C11214" s="5"/>
      <c r="D11214" s="5"/>
      <c r="E11214" s="5"/>
      <c r="F11214" s="5"/>
      <c r="G11214" s="5"/>
      <c r="H11214" s="5"/>
      <c r="I11214" s="5"/>
      <c r="J11214" s="5"/>
      <c r="K11214" s="5"/>
      <c r="L11214" s="5"/>
    </row>
    <row r="11215" spans="1:12" ht="12" customHeight="1" x14ac:dyDescent="0.25">
      <c r="A11215" s="6"/>
      <c r="B11215" s="1"/>
      <c r="C11215" s="5"/>
      <c r="D11215" s="5"/>
      <c r="E11215" s="5"/>
      <c r="F11215" s="5"/>
      <c r="G11215" s="5"/>
      <c r="H11215" s="5"/>
      <c r="I11215" s="5"/>
      <c r="J11215" s="5"/>
      <c r="K11215" s="5"/>
      <c r="L11215" s="5"/>
    </row>
    <row r="11216" spans="1:12" ht="12" customHeight="1" x14ac:dyDescent="0.25">
      <c r="A11216" s="6"/>
      <c r="B11216" s="1"/>
      <c r="C11216" s="5"/>
      <c r="D11216" s="5"/>
      <c r="E11216" s="5"/>
      <c r="F11216" s="5"/>
      <c r="G11216" s="5"/>
      <c r="H11216" s="5"/>
      <c r="I11216" s="5"/>
      <c r="J11216" s="5"/>
      <c r="K11216" s="5"/>
      <c r="L11216" s="5"/>
    </row>
    <row r="11217" spans="1:12" ht="12" customHeight="1" x14ac:dyDescent="0.25">
      <c r="A11217" s="6"/>
      <c r="B11217" s="1"/>
      <c r="C11217" s="5"/>
      <c r="D11217" s="5"/>
      <c r="E11217" s="5"/>
      <c r="F11217" s="5"/>
      <c r="G11217" s="5"/>
      <c r="H11217" s="5"/>
      <c r="I11217" s="5"/>
      <c r="J11217" s="5"/>
      <c r="K11217" s="5"/>
      <c r="L11217" s="5"/>
    </row>
    <row r="11218" spans="1:12" ht="12" customHeight="1" x14ac:dyDescent="0.25">
      <c r="A11218" s="6"/>
      <c r="B11218" s="1"/>
      <c r="C11218" s="5"/>
      <c r="D11218" s="5"/>
      <c r="E11218" s="5"/>
      <c r="F11218" s="5"/>
      <c r="G11218" s="5"/>
      <c r="H11218" s="5"/>
      <c r="I11218" s="5"/>
      <c r="J11218" s="5"/>
      <c r="K11218" s="5"/>
      <c r="L11218" s="5"/>
    </row>
    <row r="11219" spans="1:12" ht="12" customHeight="1" x14ac:dyDescent="0.25">
      <c r="A11219" s="6"/>
      <c r="B11219" s="1"/>
      <c r="C11219" s="5"/>
      <c r="D11219" s="5"/>
      <c r="E11219" s="5"/>
      <c r="F11219" s="5"/>
      <c r="G11219" s="5"/>
      <c r="H11219" s="5"/>
      <c r="I11219" s="5"/>
      <c r="J11219" s="5"/>
      <c r="K11219" s="5"/>
      <c r="L11219" s="5"/>
    </row>
    <row r="11220" spans="1:12" ht="12" customHeight="1" x14ac:dyDescent="0.25">
      <c r="A11220" s="6"/>
      <c r="B11220" s="1"/>
      <c r="C11220" s="5"/>
      <c r="D11220" s="5"/>
      <c r="E11220" s="5"/>
      <c r="F11220" s="5"/>
      <c r="G11220" s="5"/>
      <c r="H11220" s="5"/>
      <c r="I11220" s="5"/>
      <c r="J11220" s="5"/>
      <c r="K11220" s="5"/>
      <c r="L11220" s="5"/>
    </row>
    <row r="11221" spans="1:12" ht="12" customHeight="1" x14ac:dyDescent="0.25">
      <c r="A11221" s="6"/>
      <c r="B11221" s="1"/>
      <c r="C11221" s="5"/>
      <c r="D11221" s="5"/>
      <c r="E11221" s="5"/>
      <c r="F11221" s="5"/>
      <c r="G11221" s="5"/>
      <c r="H11221" s="5"/>
      <c r="I11221" s="5"/>
      <c r="J11221" s="5"/>
      <c r="K11221" s="5"/>
      <c r="L11221" s="5"/>
    </row>
    <row r="11222" spans="1:12" ht="12" customHeight="1" x14ac:dyDescent="0.25">
      <c r="A11222" s="6"/>
      <c r="B11222" s="1"/>
      <c r="C11222" s="5"/>
      <c r="D11222" s="5"/>
      <c r="E11222" s="5"/>
      <c r="F11222" s="5"/>
      <c r="G11222" s="5"/>
      <c r="H11222" s="5"/>
      <c r="I11222" s="5"/>
      <c r="J11222" s="5"/>
      <c r="K11222" s="5"/>
      <c r="L11222" s="5"/>
    </row>
    <row r="11223" spans="1:12" ht="12" customHeight="1" x14ac:dyDescent="0.25">
      <c r="A11223" s="6"/>
      <c r="B11223" s="1"/>
      <c r="C11223" s="5"/>
      <c r="D11223" s="5"/>
      <c r="E11223" s="5"/>
      <c r="F11223" s="5"/>
      <c r="G11223" s="5"/>
      <c r="H11223" s="5"/>
      <c r="I11223" s="5"/>
      <c r="J11223" s="5"/>
      <c r="K11223" s="5"/>
      <c r="L11223" s="5"/>
    </row>
    <row r="11224" spans="1:12" ht="12" customHeight="1" x14ac:dyDescent="0.25">
      <c r="A11224" s="6"/>
      <c r="B11224" s="1"/>
      <c r="C11224" s="5"/>
      <c r="D11224" s="5"/>
      <c r="E11224" s="5"/>
      <c r="F11224" s="5"/>
      <c r="G11224" s="5"/>
      <c r="H11224" s="5"/>
      <c r="I11224" s="5"/>
      <c r="J11224" s="5"/>
      <c r="K11224" s="5"/>
      <c r="L11224" s="5"/>
    </row>
    <row r="11225" spans="1:12" ht="12" customHeight="1" x14ac:dyDescent="0.25">
      <c r="A11225" s="6"/>
      <c r="B11225" s="1"/>
      <c r="C11225" s="5"/>
      <c r="D11225" s="5"/>
      <c r="E11225" s="5"/>
      <c r="F11225" s="5"/>
      <c r="G11225" s="5"/>
      <c r="H11225" s="5"/>
      <c r="I11225" s="5"/>
      <c r="J11225" s="5"/>
      <c r="K11225" s="5"/>
      <c r="L11225" s="5"/>
    </row>
    <row r="11226" spans="1:12" ht="12" customHeight="1" x14ac:dyDescent="0.25">
      <c r="A11226" s="6"/>
      <c r="B11226" s="1"/>
      <c r="C11226" s="5"/>
      <c r="D11226" s="5"/>
      <c r="E11226" s="5"/>
      <c r="F11226" s="5"/>
      <c r="G11226" s="5"/>
      <c r="H11226" s="5"/>
      <c r="I11226" s="5"/>
      <c r="J11226" s="5"/>
      <c r="K11226" s="5"/>
      <c r="L11226" s="5"/>
    </row>
    <row r="11227" spans="1:12" ht="12" customHeight="1" x14ac:dyDescent="0.25">
      <c r="A11227" s="6"/>
      <c r="B11227" s="1"/>
      <c r="C11227" s="5"/>
      <c r="D11227" s="5"/>
      <c r="E11227" s="5"/>
      <c r="F11227" s="5"/>
      <c r="G11227" s="5"/>
      <c r="H11227" s="5"/>
      <c r="I11227" s="5"/>
      <c r="J11227" s="5"/>
      <c r="K11227" s="5"/>
      <c r="L11227" s="5"/>
    </row>
    <row r="11228" spans="1:12" ht="12" customHeight="1" x14ac:dyDescent="0.25">
      <c r="A11228" s="6"/>
      <c r="B11228" s="1"/>
      <c r="C11228" s="5"/>
      <c r="D11228" s="5"/>
      <c r="E11228" s="5"/>
      <c r="F11228" s="5"/>
      <c r="G11228" s="5"/>
      <c r="H11228" s="5"/>
      <c r="I11228" s="5"/>
      <c r="J11228" s="5"/>
      <c r="K11228" s="5"/>
      <c r="L11228" s="5"/>
    </row>
    <row r="11229" spans="1:12" ht="12" customHeight="1" x14ac:dyDescent="0.25">
      <c r="A11229" s="6"/>
      <c r="B11229" s="1"/>
      <c r="C11229" s="5"/>
      <c r="D11229" s="5"/>
      <c r="E11229" s="5"/>
      <c r="F11229" s="5"/>
      <c r="G11229" s="5"/>
      <c r="H11229" s="5"/>
      <c r="I11229" s="5"/>
      <c r="J11229" s="5"/>
      <c r="K11229" s="5"/>
      <c r="L11229" s="5"/>
    </row>
    <row r="11230" spans="1:12" ht="12" customHeight="1" x14ac:dyDescent="0.25">
      <c r="A11230" s="6"/>
      <c r="B11230" s="1"/>
      <c r="C11230" s="5"/>
      <c r="D11230" s="5"/>
      <c r="E11230" s="5"/>
      <c r="F11230" s="5"/>
      <c r="G11230" s="5"/>
      <c r="H11230" s="5"/>
      <c r="I11230" s="5"/>
      <c r="J11230" s="5"/>
      <c r="K11230" s="5"/>
      <c r="L11230" s="5"/>
    </row>
    <row r="11231" spans="1:12" ht="12" customHeight="1" x14ac:dyDescent="0.25">
      <c r="A11231" s="6"/>
      <c r="B11231" s="1"/>
      <c r="C11231" s="5"/>
      <c r="D11231" s="5"/>
      <c r="E11231" s="5"/>
      <c r="F11231" s="5"/>
      <c r="G11231" s="5"/>
      <c r="H11231" s="5"/>
      <c r="I11231" s="5"/>
      <c r="J11231" s="5"/>
      <c r="K11231" s="5"/>
      <c r="L11231" s="5"/>
    </row>
    <row r="11232" spans="1:12" ht="12" customHeight="1" x14ac:dyDescent="0.25">
      <c r="A11232" s="6"/>
      <c r="B11232" s="1"/>
      <c r="C11232" s="5"/>
      <c r="D11232" s="5"/>
      <c r="E11232" s="5"/>
      <c r="F11232" s="5"/>
      <c r="G11232" s="5"/>
      <c r="H11232" s="5"/>
      <c r="I11232" s="5"/>
      <c r="J11232" s="5"/>
      <c r="K11232" s="5"/>
      <c r="L11232" s="5"/>
    </row>
    <row r="11233" spans="1:12" ht="12" customHeight="1" x14ac:dyDescent="0.25">
      <c r="A11233" s="6"/>
      <c r="B11233" s="1"/>
      <c r="C11233" s="5"/>
      <c r="D11233" s="5"/>
      <c r="E11233" s="5"/>
      <c r="F11233" s="5"/>
      <c r="G11233" s="5"/>
      <c r="H11233" s="5"/>
      <c r="I11233" s="5"/>
      <c r="J11233" s="5"/>
      <c r="K11233" s="5"/>
      <c r="L11233" s="5"/>
    </row>
    <row r="11234" spans="1:12" ht="12" customHeight="1" x14ac:dyDescent="0.25">
      <c r="A11234" s="6"/>
      <c r="B11234" s="1"/>
      <c r="C11234" s="5"/>
      <c r="D11234" s="5"/>
      <c r="E11234" s="5"/>
      <c r="F11234" s="5"/>
      <c r="G11234" s="5"/>
      <c r="H11234" s="5"/>
      <c r="I11234" s="5"/>
      <c r="J11234" s="5"/>
      <c r="K11234" s="5"/>
      <c r="L11234" s="5"/>
    </row>
    <row r="11235" spans="1:12" ht="12" customHeight="1" x14ac:dyDescent="0.25">
      <c r="A11235" s="6"/>
      <c r="B11235" s="1"/>
      <c r="C11235" s="5"/>
      <c r="D11235" s="5"/>
      <c r="E11235" s="5"/>
      <c r="F11235" s="5"/>
      <c r="G11235" s="5"/>
      <c r="H11235" s="5"/>
      <c r="I11235" s="5"/>
      <c r="J11235" s="5"/>
      <c r="K11235" s="5"/>
      <c r="L11235" s="5"/>
    </row>
    <row r="11236" spans="1:12" ht="12" customHeight="1" x14ac:dyDescent="0.25">
      <c r="A11236" s="6"/>
      <c r="B11236" s="1"/>
      <c r="C11236" s="5"/>
      <c r="D11236" s="5"/>
      <c r="E11236" s="5"/>
      <c r="F11236" s="5"/>
      <c r="G11236" s="5"/>
      <c r="H11236" s="5"/>
      <c r="I11236" s="5"/>
      <c r="J11236" s="5"/>
      <c r="K11236" s="5"/>
      <c r="L11236" s="5"/>
    </row>
    <row r="11237" spans="1:12" ht="12" customHeight="1" x14ac:dyDescent="0.25">
      <c r="A11237" s="6"/>
      <c r="B11237" s="1"/>
      <c r="C11237" s="5"/>
      <c r="D11237" s="5"/>
      <c r="E11237" s="5"/>
      <c r="F11237" s="5"/>
      <c r="G11237" s="5"/>
      <c r="H11237" s="5"/>
      <c r="I11237" s="5"/>
      <c r="J11237" s="5"/>
      <c r="K11237" s="5"/>
      <c r="L11237" s="5"/>
    </row>
    <row r="11238" spans="1:12" ht="12" customHeight="1" x14ac:dyDescent="0.25">
      <c r="A11238" s="6"/>
      <c r="B11238" s="1"/>
      <c r="C11238" s="5"/>
      <c r="D11238" s="5"/>
      <c r="E11238" s="5"/>
      <c r="F11238" s="5"/>
      <c r="G11238" s="5"/>
      <c r="H11238" s="5"/>
      <c r="I11238" s="5"/>
      <c r="J11238" s="5"/>
      <c r="K11238" s="5"/>
      <c r="L11238" s="5"/>
    </row>
    <row r="11239" spans="1:12" ht="12" customHeight="1" x14ac:dyDescent="0.25">
      <c r="A11239" s="6"/>
      <c r="B11239" s="1"/>
      <c r="C11239" s="5"/>
      <c r="D11239" s="5"/>
      <c r="E11239" s="5"/>
      <c r="F11239" s="5"/>
      <c r="G11239" s="5"/>
      <c r="H11239" s="5"/>
      <c r="I11239" s="5"/>
      <c r="J11239" s="5"/>
      <c r="K11239" s="5"/>
      <c r="L11239" s="5"/>
    </row>
    <row r="11240" spans="1:12" ht="12" customHeight="1" x14ac:dyDescent="0.25">
      <c r="A11240" s="6"/>
      <c r="B11240" s="1"/>
      <c r="C11240" s="5"/>
      <c r="D11240" s="5"/>
      <c r="E11240" s="5"/>
      <c r="F11240" s="5"/>
      <c r="G11240" s="5"/>
      <c r="H11240" s="5"/>
      <c r="I11240" s="5"/>
      <c r="J11240" s="5"/>
      <c r="K11240" s="5"/>
      <c r="L11240" s="5"/>
    </row>
    <row r="11241" spans="1:12" ht="12" customHeight="1" x14ac:dyDescent="0.25">
      <c r="A11241" s="6"/>
      <c r="B11241" s="1"/>
      <c r="C11241" s="5"/>
      <c r="D11241" s="5"/>
      <c r="E11241" s="5"/>
      <c r="F11241" s="5"/>
      <c r="G11241" s="5"/>
      <c r="H11241" s="5"/>
      <c r="I11241" s="5"/>
      <c r="J11241" s="5"/>
      <c r="K11241" s="5"/>
      <c r="L11241" s="5"/>
    </row>
    <row r="11242" spans="1:12" ht="12" customHeight="1" x14ac:dyDescent="0.25">
      <c r="A11242" s="6"/>
      <c r="B11242" s="1"/>
      <c r="C11242" s="5"/>
      <c r="D11242" s="5"/>
      <c r="E11242" s="5"/>
      <c r="F11242" s="5"/>
      <c r="G11242" s="5"/>
      <c r="H11242" s="5"/>
      <c r="I11242" s="5"/>
      <c r="J11242" s="5"/>
      <c r="K11242" s="5"/>
      <c r="L11242" s="5"/>
    </row>
    <row r="11243" spans="1:12" ht="12" customHeight="1" x14ac:dyDescent="0.25">
      <c r="A11243" s="6"/>
      <c r="B11243" s="1"/>
      <c r="C11243" s="5"/>
      <c r="D11243" s="5"/>
      <c r="E11243" s="5"/>
      <c r="F11243" s="5"/>
      <c r="G11243" s="5"/>
      <c r="H11243" s="5"/>
      <c r="I11243" s="5"/>
      <c r="J11243" s="5"/>
      <c r="K11243" s="5"/>
      <c r="L11243" s="5"/>
    </row>
    <row r="11244" spans="1:12" ht="12" customHeight="1" x14ac:dyDescent="0.25">
      <c r="A11244" s="6"/>
      <c r="B11244" s="1"/>
      <c r="C11244" s="5"/>
      <c r="D11244" s="5"/>
      <c r="E11244" s="5"/>
      <c r="F11244" s="5"/>
      <c r="G11244" s="5"/>
      <c r="H11244" s="5"/>
      <c r="I11244" s="5"/>
      <c r="J11244" s="5"/>
      <c r="K11244" s="5"/>
      <c r="L11244" s="5"/>
    </row>
    <row r="11245" spans="1:12" ht="12" customHeight="1" x14ac:dyDescent="0.25">
      <c r="A11245" s="6"/>
      <c r="B11245" s="1"/>
      <c r="C11245" s="5"/>
      <c r="D11245" s="5"/>
      <c r="E11245" s="5"/>
      <c r="F11245" s="5"/>
      <c r="G11245" s="5"/>
      <c r="H11245" s="5"/>
      <c r="I11245" s="5"/>
      <c r="J11245" s="5"/>
      <c r="K11245" s="5"/>
      <c r="L11245" s="5"/>
    </row>
    <row r="11246" spans="1:12" ht="12" customHeight="1" x14ac:dyDescent="0.25">
      <c r="A11246" s="6"/>
      <c r="B11246" s="1"/>
      <c r="C11246" s="5"/>
      <c r="D11246" s="5"/>
      <c r="E11246" s="5"/>
      <c r="F11246" s="5"/>
      <c r="G11246" s="5"/>
      <c r="H11246" s="5"/>
      <c r="I11246" s="5"/>
      <c r="J11246" s="5"/>
      <c r="K11246" s="5"/>
      <c r="L11246" s="5"/>
    </row>
    <row r="11247" spans="1:12" ht="12" customHeight="1" x14ac:dyDescent="0.25">
      <c r="A11247" s="6"/>
      <c r="B11247" s="1"/>
      <c r="C11247" s="5"/>
      <c r="D11247" s="5"/>
      <c r="E11247" s="5"/>
      <c r="F11247" s="5"/>
      <c r="G11247" s="5"/>
      <c r="H11247" s="5"/>
      <c r="I11247" s="5"/>
      <c r="J11247" s="5"/>
      <c r="K11247" s="5"/>
      <c r="L11247" s="5"/>
    </row>
    <row r="11248" spans="1:12" ht="12" customHeight="1" x14ac:dyDescent="0.25">
      <c r="A11248" s="6"/>
      <c r="B11248" s="1"/>
      <c r="C11248" s="5"/>
      <c r="D11248" s="5"/>
      <c r="E11248" s="5"/>
      <c r="F11248" s="5"/>
      <c r="G11248" s="5"/>
      <c r="H11248" s="5"/>
      <c r="I11248" s="5"/>
      <c r="J11248" s="5"/>
      <c r="K11248" s="5"/>
      <c r="L11248" s="5"/>
    </row>
    <row r="11249" spans="1:12" ht="12" customHeight="1" x14ac:dyDescent="0.25">
      <c r="A11249" s="6"/>
      <c r="B11249" s="1"/>
      <c r="C11249" s="5"/>
      <c r="D11249" s="5"/>
      <c r="E11249" s="5"/>
      <c r="F11249" s="5"/>
      <c r="G11249" s="5"/>
      <c r="H11249" s="5"/>
      <c r="I11249" s="5"/>
      <c r="J11249" s="5"/>
      <c r="K11249" s="5"/>
      <c r="L11249" s="5"/>
    </row>
    <row r="11250" spans="1:12" ht="12" customHeight="1" x14ac:dyDescent="0.25">
      <c r="A11250" s="6"/>
      <c r="B11250" s="1"/>
      <c r="C11250" s="5"/>
      <c r="D11250" s="5"/>
      <c r="E11250" s="5"/>
      <c r="F11250" s="5"/>
      <c r="G11250" s="5"/>
      <c r="H11250" s="5"/>
      <c r="I11250" s="5"/>
      <c r="J11250" s="5"/>
      <c r="K11250" s="5"/>
      <c r="L11250" s="5"/>
    </row>
    <row r="11251" spans="1:12" ht="12" customHeight="1" x14ac:dyDescent="0.25">
      <c r="A11251" s="6"/>
      <c r="B11251" s="1"/>
      <c r="C11251" s="5"/>
      <c r="D11251" s="5"/>
      <c r="E11251" s="5"/>
      <c r="F11251" s="5"/>
      <c r="G11251" s="5"/>
      <c r="H11251" s="5"/>
      <c r="I11251" s="5"/>
      <c r="J11251" s="5"/>
      <c r="K11251" s="5"/>
      <c r="L11251" s="5"/>
    </row>
    <row r="11252" spans="1:12" ht="12" customHeight="1" x14ac:dyDescent="0.25">
      <c r="A11252" s="6"/>
      <c r="B11252" s="1"/>
      <c r="C11252" s="5"/>
      <c r="D11252" s="5"/>
      <c r="E11252" s="5"/>
      <c r="F11252" s="5"/>
      <c r="G11252" s="5"/>
      <c r="H11252" s="5"/>
      <c r="I11252" s="5"/>
      <c r="J11252" s="5"/>
      <c r="K11252" s="5"/>
      <c r="L11252" s="5"/>
    </row>
    <row r="11253" spans="1:12" ht="12" customHeight="1" x14ac:dyDescent="0.25">
      <c r="A11253" s="6"/>
      <c r="B11253" s="1"/>
      <c r="C11253" s="5"/>
      <c r="D11253" s="5"/>
      <c r="E11253" s="5"/>
      <c r="F11253" s="5"/>
      <c r="G11253" s="5"/>
      <c r="H11253" s="5"/>
      <c r="I11253" s="5"/>
      <c r="J11253" s="5"/>
      <c r="K11253" s="5"/>
      <c r="L11253" s="5"/>
    </row>
    <row r="11254" spans="1:12" ht="12" customHeight="1" x14ac:dyDescent="0.25">
      <c r="A11254" s="6"/>
      <c r="B11254" s="1"/>
      <c r="C11254" s="5"/>
      <c r="D11254" s="5"/>
      <c r="E11254" s="5"/>
      <c r="F11254" s="5"/>
      <c r="G11254" s="5"/>
      <c r="H11254" s="5"/>
      <c r="I11254" s="5"/>
      <c r="J11254" s="5"/>
      <c r="K11254" s="5"/>
      <c r="L11254" s="5"/>
    </row>
    <row r="11255" spans="1:12" ht="12" customHeight="1" x14ac:dyDescent="0.25">
      <c r="A11255" s="6"/>
      <c r="B11255" s="1"/>
      <c r="C11255" s="5"/>
      <c r="D11255" s="5"/>
      <c r="E11255" s="5"/>
      <c r="F11255" s="5"/>
      <c r="G11255" s="5"/>
      <c r="H11255" s="5"/>
      <c r="I11255" s="5"/>
      <c r="J11255" s="5"/>
      <c r="K11255" s="5"/>
      <c r="L11255" s="5"/>
    </row>
    <row r="11256" spans="1:12" ht="12" customHeight="1" x14ac:dyDescent="0.25">
      <c r="A11256" s="6"/>
      <c r="B11256" s="1"/>
      <c r="C11256" s="5"/>
      <c r="D11256" s="5"/>
      <c r="E11256" s="5"/>
      <c r="F11256" s="5"/>
      <c r="G11256" s="5"/>
      <c r="H11256" s="5"/>
      <c r="I11256" s="5"/>
      <c r="J11256" s="5"/>
      <c r="K11256" s="5"/>
      <c r="L11256" s="5"/>
    </row>
    <row r="11257" spans="1:12" ht="12" customHeight="1" x14ac:dyDescent="0.25">
      <c r="A11257" s="6"/>
      <c r="B11257" s="1"/>
      <c r="C11257" s="5"/>
      <c r="D11257" s="5"/>
      <c r="E11257" s="5"/>
      <c r="F11257" s="5"/>
      <c r="G11257" s="5"/>
      <c r="H11257" s="5"/>
      <c r="I11257" s="5"/>
      <c r="J11257" s="5"/>
      <c r="K11257" s="5"/>
      <c r="L11257" s="5"/>
    </row>
    <row r="11258" spans="1:12" ht="12" customHeight="1" x14ac:dyDescent="0.25">
      <c r="A11258" s="6"/>
      <c r="B11258" s="1"/>
      <c r="C11258" s="5"/>
      <c r="D11258" s="5"/>
      <c r="E11258" s="5"/>
      <c r="F11258" s="5"/>
      <c r="G11258" s="5"/>
      <c r="H11258" s="5"/>
      <c r="I11258" s="5"/>
      <c r="J11258" s="5"/>
      <c r="K11258" s="5"/>
      <c r="L11258" s="5"/>
    </row>
    <row r="11259" spans="1:12" ht="12" customHeight="1" x14ac:dyDescent="0.25">
      <c r="A11259" s="6"/>
      <c r="B11259" s="1"/>
      <c r="C11259" s="5"/>
      <c r="D11259" s="5"/>
      <c r="E11259" s="5"/>
      <c r="F11259" s="5"/>
      <c r="G11259" s="5"/>
      <c r="H11259" s="5"/>
      <c r="I11259" s="5"/>
      <c r="J11259" s="5"/>
      <c r="K11259" s="5"/>
      <c r="L11259" s="5"/>
    </row>
    <row r="11260" spans="1:12" ht="12" customHeight="1" x14ac:dyDescent="0.25">
      <c r="A11260" s="6"/>
      <c r="B11260" s="1"/>
      <c r="C11260" s="5"/>
      <c r="D11260" s="5"/>
      <c r="E11260" s="5"/>
      <c r="F11260" s="5"/>
      <c r="G11260" s="5"/>
      <c r="H11260" s="5"/>
      <c r="I11260" s="5"/>
      <c r="J11260" s="5"/>
      <c r="K11260" s="5"/>
      <c r="L11260" s="5"/>
    </row>
    <row r="11261" spans="1:12" ht="12" customHeight="1" x14ac:dyDescent="0.25">
      <c r="A11261" s="6"/>
      <c r="B11261" s="1"/>
      <c r="C11261" s="5"/>
      <c r="D11261" s="5"/>
      <c r="E11261" s="5"/>
      <c r="F11261" s="5"/>
      <c r="G11261" s="5"/>
      <c r="H11261" s="5"/>
      <c r="I11261" s="5"/>
      <c r="J11261" s="5"/>
      <c r="K11261" s="5"/>
      <c r="L11261" s="5"/>
    </row>
    <row r="11262" spans="1:12" ht="12" customHeight="1" x14ac:dyDescent="0.25">
      <c r="A11262" s="6"/>
      <c r="B11262" s="1"/>
      <c r="C11262" s="5"/>
      <c r="D11262" s="5"/>
      <c r="E11262" s="5"/>
      <c r="F11262" s="5"/>
      <c r="G11262" s="5"/>
      <c r="H11262" s="5"/>
      <c r="I11262" s="5"/>
      <c r="J11262" s="5"/>
      <c r="K11262" s="5"/>
      <c r="L11262" s="5"/>
    </row>
    <row r="11263" spans="1:12" ht="12" customHeight="1" x14ac:dyDescent="0.25">
      <c r="A11263" s="6"/>
      <c r="B11263" s="1"/>
      <c r="C11263" s="5"/>
      <c r="D11263" s="5"/>
      <c r="E11263" s="5"/>
      <c r="F11263" s="5"/>
      <c r="G11263" s="5"/>
      <c r="H11263" s="5"/>
      <c r="I11263" s="5"/>
      <c r="J11263" s="5"/>
      <c r="K11263" s="5"/>
      <c r="L11263" s="5"/>
    </row>
    <row r="11264" spans="1:12" ht="12" customHeight="1" x14ac:dyDescent="0.25">
      <c r="A11264" s="6"/>
      <c r="B11264" s="1"/>
      <c r="C11264" s="5"/>
      <c r="D11264" s="5"/>
      <c r="E11264" s="5"/>
      <c r="F11264" s="5"/>
      <c r="G11264" s="5"/>
      <c r="H11264" s="5"/>
      <c r="I11264" s="5"/>
      <c r="J11264" s="5"/>
      <c r="K11264" s="5"/>
      <c r="L11264" s="5"/>
    </row>
    <row r="11265" spans="1:12" ht="12" customHeight="1" x14ac:dyDescent="0.25">
      <c r="A11265" s="6"/>
      <c r="B11265" s="1"/>
      <c r="C11265" s="5"/>
      <c r="D11265" s="5"/>
      <c r="E11265" s="5"/>
      <c r="F11265" s="5"/>
      <c r="G11265" s="5"/>
      <c r="H11265" s="5"/>
      <c r="I11265" s="5"/>
      <c r="J11265" s="5"/>
      <c r="K11265" s="5"/>
      <c r="L11265" s="5"/>
    </row>
    <row r="11266" spans="1:12" ht="12" customHeight="1" x14ac:dyDescent="0.25">
      <c r="A11266" s="6"/>
      <c r="B11266" s="1"/>
      <c r="C11266" s="5"/>
      <c r="D11266" s="5"/>
      <c r="E11266" s="5"/>
      <c r="F11266" s="5"/>
      <c r="G11266" s="5"/>
      <c r="H11266" s="5"/>
      <c r="I11266" s="5"/>
      <c r="J11266" s="5"/>
      <c r="K11266" s="5"/>
      <c r="L11266" s="5"/>
    </row>
    <row r="11267" spans="1:12" ht="12" customHeight="1" x14ac:dyDescent="0.25">
      <c r="A11267" s="6"/>
      <c r="B11267" s="1"/>
      <c r="C11267" s="5"/>
      <c r="D11267" s="5"/>
      <c r="E11267" s="5"/>
      <c r="F11267" s="5"/>
      <c r="G11267" s="5"/>
      <c r="H11267" s="5"/>
      <c r="I11267" s="5"/>
      <c r="J11267" s="5"/>
      <c r="K11267" s="5"/>
      <c r="L11267" s="5"/>
    </row>
    <row r="11268" spans="1:12" ht="12" customHeight="1" x14ac:dyDescent="0.25">
      <c r="A11268" s="6"/>
      <c r="B11268" s="1"/>
      <c r="C11268" s="5"/>
      <c r="D11268" s="5"/>
      <c r="E11268" s="5"/>
      <c r="F11268" s="5"/>
      <c r="G11268" s="5"/>
      <c r="H11268" s="5"/>
      <c r="I11268" s="5"/>
      <c r="J11268" s="5"/>
      <c r="K11268" s="5"/>
      <c r="L11268" s="5"/>
    </row>
    <row r="11269" spans="1:12" ht="12" customHeight="1" x14ac:dyDescent="0.25">
      <c r="A11269" s="6"/>
      <c r="B11269" s="1"/>
      <c r="C11269" s="5"/>
      <c r="D11269" s="5"/>
      <c r="E11269" s="5"/>
      <c r="F11269" s="5"/>
      <c r="G11269" s="5"/>
      <c r="H11269" s="5"/>
      <c r="I11269" s="5"/>
      <c r="J11269" s="5"/>
      <c r="K11269" s="5"/>
      <c r="L11269" s="5"/>
    </row>
    <row r="11270" spans="1:12" ht="12" customHeight="1" x14ac:dyDescent="0.25">
      <c r="A11270" s="6"/>
      <c r="B11270" s="1"/>
      <c r="C11270" s="5"/>
      <c r="D11270" s="5"/>
      <c r="E11270" s="5"/>
      <c r="F11270" s="5"/>
      <c r="G11270" s="5"/>
      <c r="H11270" s="5"/>
      <c r="I11270" s="5"/>
      <c r="J11270" s="5"/>
      <c r="K11270" s="5"/>
      <c r="L11270" s="5"/>
    </row>
    <row r="11271" spans="1:12" ht="12" customHeight="1" x14ac:dyDescent="0.25">
      <c r="A11271" s="6"/>
      <c r="B11271" s="1"/>
      <c r="C11271" s="5"/>
      <c r="D11271" s="5"/>
      <c r="E11271" s="5"/>
      <c r="F11271" s="5"/>
      <c r="G11271" s="5"/>
      <c r="H11271" s="5"/>
      <c r="I11271" s="5"/>
      <c r="J11271" s="5"/>
      <c r="K11271" s="5"/>
      <c r="L11271" s="5"/>
    </row>
    <row r="11272" spans="1:12" ht="12" customHeight="1" x14ac:dyDescent="0.25">
      <c r="A11272" s="6"/>
      <c r="B11272" s="1"/>
      <c r="C11272" s="5"/>
      <c r="D11272" s="5"/>
      <c r="E11272" s="5"/>
      <c r="F11272" s="5"/>
      <c r="G11272" s="5"/>
      <c r="H11272" s="5"/>
      <c r="I11272" s="5"/>
      <c r="J11272" s="5"/>
      <c r="K11272" s="5"/>
      <c r="L11272" s="5"/>
    </row>
    <row r="11273" spans="1:12" ht="12" customHeight="1" x14ac:dyDescent="0.25">
      <c r="A11273" s="6"/>
      <c r="B11273" s="1"/>
      <c r="C11273" s="5"/>
      <c r="D11273" s="5"/>
      <c r="E11273" s="5"/>
      <c r="F11273" s="5"/>
      <c r="G11273" s="5"/>
      <c r="H11273" s="5"/>
      <c r="I11273" s="5"/>
      <c r="J11273" s="5"/>
      <c r="K11273" s="5"/>
      <c r="L11273" s="5"/>
    </row>
    <row r="11274" spans="1:12" ht="12" customHeight="1" x14ac:dyDescent="0.25">
      <c r="A11274" s="6"/>
      <c r="B11274" s="1"/>
      <c r="C11274" s="5"/>
      <c r="D11274" s="5"/>
      <c r="E11274" s="5"/>
      <c r="F11274" s="5"/>
      <c r="G11274" s="5"/>
      <c r="H11274" s="5"/>
      <c r="I11274" s="5"/>
      <c r="J11274" s="5"/>
      <c r="K11274" s="5"/>
      <c r="L11274" s="5"/>
    </row>
    <row r="11275" spans="1:12" ht="12" customHeight="1" x14ac:dyDescent="0.25">
      <c r="A11275" s="6"/>
      <c r="B11275" s="1"/>
      <c r="C11275" s="5"/>
      <c r="D11275" s="5"/>
      <c r="E11275" s="5"/>
      <c r="F11275" s="5"/>
      <c r="G11275" s="5"/>
      <c r="H11275" s="5"/>
      <c r="I11275" s="5"/>
      <c r="J11275" s="5"/>
      <c r="K11275" s="5"/>
      <c r="L11275" s="5"/>
    </row>
    <row r="11276" spans="1:12" ht="12" customHeight="1" x14ac:dyDescent="0.25">
      <c r="A11276" s="6"/>
      <c r="B11276" s="1"/>
      <c r="C11276" s="5"/>
      <c r="D11276" s="5"/>
      <c r="E11276" s="5"/>
      <c r="F11276" s="5"/>
      <c r="G11276" s="5"/>
      <c r="H11276" s="5"/>
      <c r="I11276" s="5"/>
      <c r="J11276" s="5"/>
      <c r="K11276" s="5"/>
      <c r="L11276" s="5"/>
    </row>
    <row r="11277" spans="1:12" ht="12" customHeight="1" x14ac:dyDescent="0.25">
      <c r="A11277" s="6"/>
      <c r="B11277" s="1"/>
      <c r="C11277" s="5"/>
      <c r="D11277" s="5"/>
      <c r="E11277" s="5"/>
      <c r="F11277" s="5"/>
      <c r="G11277" s="5"/>
      <c r="H11277" s="5"/>
      <c r="I11277" s="5"/>
      <c r="J11277" s="5"/>
      <c r="K11277" s="5"/>
      <c r="L11277" s="5"/>
    </row>
    <row r="11278" spans="1:12" ht="12" customHeight="1" x14ac:dyDescent="0.25">
      <c r="A11278" s="6"/>
      <c r="B11278" s="1"/>
      <c r="C11278" s="5"/>
      <c r="D11278" s="5"/>
      <c r="E11278" s="5"/>
      <c r="F11278" s="5"/>
      <c r="G11278" s="5"/>
      <c r="H11278" s="5"/>
      <c r="I11278" s="5"/>
      <c r="J11278" s="5"/>
      <c r="K11278" s="5"/>
      <c r="L11278" s="5"/>
    </row>
    <row r="11279" spans="1:12" ht="12" customHeight="1" x14ac:dyDescent="0.25">
      <c r="A11279" s="6"/>
      <c r="B11279" s="1"/>
      <c r="C11279" s="5"/>
      <c r="D11279" s="5"/>
      <c r="E11279" s="5"/>
      <c r="F11279" s="5"/>
      <c r="G11279" s="5"/>
      <c r="H11279" s="5"/>
      <c r="I11279" s="5"/>
      <c r="J11279" s="5"/>
      <c r="K11279" s="5"/>
      <c r="L11279" s="5"/>
    </row>
    <row r="11280" spans="1:12" ht="12" customHeight="1" x14ac:dyDescent="0.25">
      <c r="A11280" s="6"/>
      <c r="B11280" s="1"/>
      <c r="C11280" s="5"/>
      <c r="D11280" s="5"/>
      <c r="E11280" s="5"/>
      <c r="F11280" s="5"/>
      <c r="G11280" s="5"/>
      <c r="H11280" s="5"/>
      <c r="I11280" s="5"/>
      <c r="J11280" s="5"/>
      <c r="K11280" s="5"/>
      <c r="L11280" s="5"/>
    </row>
    <row r="11281" spans="1:12" ht="12" customHeight="1" x14ac:dyDescent="0.25">
      <c r="A11281" s="6"/>
      <c r="B11281" s="1"/>
      <c r="C11281" s="5"/>
      <c r="D11281" s="5"/>
      <c r="E11281" s="5"/>
      <c r="F11281" s="5"/>
      <c r="G11281" s="5"/>
      <c r="H11281" s="5"/>
      <c r="I11281" s="5"/>
      <c r="J11281" s="5"/>
      <c r="K11281" s="5"/>
      <c r="L11281" s="5"/>
    </row>
    <row r="11282" spans="1:12" ht="12" customHeight="1" x14ac:dyDescent="0.25">
      <c r="A11282" s="6"/>
      <c r="B11282" s="1"/>
      <c r="C11282" s="5"/>
      <c r="D11282" s="5"/>
      <c r="E11282" s="5"/>
      <c r="F11282" s="5"/>
      <c r="G11282" s="5"/>
      <c r="H11282" s="5"/>
      <c r="I11282" s="5"/>
      <c r="J11282" s="5"/>
      <c r="K11282" s="5"/>
      <c r="L11282" s="5"/>
    </row>
    <row r="11283" spans="1:12" ht="12" customHeight="1" x14ac:dyDescent="0.25">
      <c r="A11283" s="6"/>
      <c r="B11283" s="1"/>
      <c r="C11283" s="5"/>
      <c r="D11283" s="5"/>
      <c r="E11283" s="5"/>
      <c r="F11283" s="5"/>
      <c r="G11283" s="5"/>
      <c r="H11283" s="5"/>
      <c r="I11283" s="5"/>
      <c r="J11283" s="5"/>
      <c r="K11283" s="5"/>
      <c r="L11283" s="5"/>
    </row>
    <row r="11284" spans="1:12" ht="12" customHeight="1" x14ac:dyDescent="0.25">
      <c r="A11284" s="6"/>
      <c r="B11284" s="1"/>
      <c r="C11284" s="5"/>
      <c r="D11284" s="5"/>
      <c r="E11284" s="5"/>
      <c r="F11284" s="5"/>
      <c r="G11284" s="5"/>
      <c r="H11284" s="5"/>
      <c r="I11284" s="5"/>
      <c r="J11284" s="5"/>
      <c r="K11284" s="5"/>
      <c r="L11284" s="5"/>
    </row>
    <row r="11285" spans="1:12" ht="12" customHeight="1" x14ac:dyDescent="0.25">
      <c r="A11285" s="6"/>
      <c r="B11285" s="1"/>
      <c r="C11285" s="5"/>
      <c r="D11285" s="5"/>
      <c r="E11285" s="5"/>
      <c r="F11285" s="5"/>
      <c r="G11285" s="5"/>
      <c r="H11285" s="5"/>
      <c r="I11285" s="5"/>
      <c r="J11285" s="5"/>
      <c r="K11285" s="5"/>
      <c r="L11285" s="5"/>
    </row>
    <row r="11286" spans="1:12" ht="12" customHeight="1" x14ac:dyDescent="0.25">
      <c r="A11286" s="6"/>
      <c r="B11286" s="1"/>
      <c r="C11286" s="5"/>
      <c r="D11286" s="5"/>
      <c r="E11286" s="5"/>
      <c r="F11286" s="5"/>
      <c r="G11286" s="5"/>
      <c r="H11286" s="5"/>
      <c r="I11286" s="5"/>
      <c r="J11286" s="5"/>
      <c r="K11286" s="5"/>
      <c r="L11286" s="5"/>
    </row>
    <row r="11287" spans="1:12" ht="12" customHeight="1" x14ac:dyDescent="0.25">
      <c r="A11287" s="6"/>
      <c r="B11287" s="1"/>
      <c r="C11287" s="5"/>
      <c r="D11287" s="5"/>
      <c r="E11287" s="5"/>
      <c r="F11287" s="5"/>
      <c r="G11287" s="5"/>
      <c r="H11287" s="5"/>
      <c r="I11287" s="5"/>
      <c r="J11287" s="5"/>
      <c r="K11287" s="5"/>
      <c r="L11287" s="5"/>
    </row>
    <row r="11288" spans="1:12" ht="12" customHeight="1" x14ac:dyDescent="0.25">
      <c r="A11288" s="6"/>
      <c r="B11288" s="1"/>
      <c r="C11288" s="5"/>
      <c r="D11288" s="5"/>
      <c r="E11288" s="5"/>
      <c r="F11288" s="5"/>
      <c r="G11288" s="5"/>
      <c r="H11288" s="5"/>
      <c r="I11288" s="5"/>
      <c r="J11288" s="5"/>
      <c r="K11288" s="5"/>
      <c r="L11288" s="5"/>
    </row>
    <row r="11289" spans="1:12" ht="12" customHeight="1" x14ac:dyDescent="0.25">
      <c r="A11289" s="6"/>
      <c r="B11289" s="1"/>
      <c r="C11289" s="5"/>
      <c r="D11289" s="5"/>
      <c r="E11289" s="5"/>
      <c r="F11289" s="5"/>
      <c r="G11289" s="5"/>
      <c r="H11289" s="5"/>
      <c r="I11289" s="5"/>
      <c r="J11289" s="5"/>
      <c r="K11289" s="5"/>
      <c r="L11289" s="5"/>
    </row>
    <row r="11290" spans="1:12" ht="12" customHeight="1" x14ac:dyDescent="0.25">
      <c r="A11290" s="6"/>
      <c r="B11290" s="1"/>
      <c r="C11290" s="5"/>
      <c r="D11290" s="5"/>
      <c r="E11290" s="5"/>
      <c r="F11290" s="5"/>
      <c r="G11290" s="5"/>
      <c r="H11290" s="5"/>
      <c r="I11290" s="5"/>
      <c r="J11290" s="5"/>
      <c r="K11290" s="5"/>
      <c r="L11290" s="5"/>
    </row>
    <row r="11291" spans="1:12" ht="12" customHeight="1" x14ac:dyDescent="0.25">
      <c r="A11291" s="6"/>
      <c r="B11291" s="1"/>
      <c r="C11291" s="5"/>
      <c r="D11291" s="5"/>
      <c r="E11291" s="5"/>
      <c r="F11291" s="5"/>
      <c r="G11291" s="5"/>
      <c r="H11291" s="5"/>
      <c r="I11291" s="5"/>
      <c r="J11291" s="5"/>
      <c r="K11291" s="5"/>
      <c r="L11291" s="5"/>
    </row>
    <row r="11292" spans="1:12" ht="12" customHeight="1" x14ac:dyDescent="0.25">
      <c r="A11292" s="6"/>
      <c r="B11292" s="1"/>
      <c r="C11292" s="5"/>
      <c r="D11292" s="5"/>
      <c r="E11292" s="5"/>
      <c r="F11292" s="5"/>
      <c r="G11292" s="5"/>
      <c r="H11292" s="5"/>
      <c r="I11292" s="5"/>
      <c r="J11292" s="5"/>
      <c r="K11292" s="5"/>
      <c r="L11292" s="5"/>
    </row>
    <row r="11293" spans="1:12" ht="12" customHeight="1" x14ac:dyDescent="0.25">
      <c r="A11293" s="6"/>
      <c r="B11293" s="1"/>
      <c r="C11293" s="5"/>
      <c r="D11293" s="5"/>
      <c r="E11293" s="5"/>
      <c r="F11293" s="5"/>
      <c r="G11293" s="5"/>
      <c r="H11293" s="5"/>
      <c r="I11293" s="5"/>
      <c r="J11293" s="5"/>
      <c r="K11293" s="5"/>
      <c r="L11293" s="5"/>
    </row>
    <row r="11294" spans="1:12" ht="12" customHeight="1" x14ac:dyDescent="0.25">
      <c r="A11294" s="6"/>
      <c r="B11294" s="1"/>
      <c r="C11294" s="5"/>
      <c r="D11294" s="5"/>
      <c r="E11294" s="5"/>
      <c r="F11294" s="5"/>
      <c r="G11294" s="5"/>
      <c r="H11294" s="5"/>
      <c r="I11294" s="5"/>
      <c r="J11294" s="5"/>
      <c r="K11294" s="5"/>
      <c r="L11294" s="5"/>
    </row>
    <row r="11295" spans="1:12" ht="12" customHeight="1" x14ac:dyDescent="0.25">
      <c r="A11295" s="6"/>
      <c r="B11295" s="1"/>
      <c r="C11295" s="5"/>
      <c r="D11295" s="5"/>
      <c r="E11295" s="5"/>
      <c r="F11295" s="5"/>
      <c r="G11295" s="5"/>
      <c r="H11295" s="5"/>
      <c r="I11295" s="5"/>
      <c r="J11295" s="5"/>
      <c r="K11295" s="5"/>
      <c r="L11295" s="5"/>
    </row>
    <row r="11296" spans="1:12" ht="12" customHeight="1" x14ac:dyDescent="0.25">
      <c r="A11296" s="6"/>
      <c r="B11296" s="1"/>
      <c r="C11296" s="5"/>
      <c r="D11296" s="5"/>
      <c r="E11296" s="5"/>
      <c r="F11296" s="5"/>
      <c r="G11296" s="5"/>
      <c r="H11296" s="5"/>
      <c r="I11296" s="5"/>
      <c r="J11296" s="5"/>
      <c r="K11296" s="5"/>
      <c r="L11296" s="5"/>
    </row>
    <row r="11297" spans="1:12" ht="12" customHeight="1" x14ac:dyDescent="0.25">
      <c r="A11297" s="6"/>
      <c r="B11297" s="1"/>
      <c r="C11297" s="5"/>
      <c r="D11297" s="5"/>
      <c r="E11297" s="5"/>
      <c r="F11297" s="5"/>
      <c r="G11297" s="5"/>
      <c r="H11297" s="5"/>
      <c r="I11297" s="5"/>
      <c r="J11297" s="5"/>
      <c r="K11297" s="5"/>
      <c r="L11297" s="5"/>
    </row>
    <row r="11298" spans="1:12" ht="12" customHeight="1" x14ac:dyDescent="0.25">
      <c r="A11298" s="6"/>
      <c r="B11298" s="1"/>
      <c r="C11298" s="5"/>
      <c r="D11298" s="5"/>
      <c r="E11298" s="5"/>
      <c r="F11298" s="5"/>
      <c r="G11298" s="5"/>
      <c r="H11298" s="5"/>
      <c r="I11298" s="5"/>
      <c r="J11298" s="5"/>
      <c r="K11298" s="5"/>
      <c r="L11298" s="5"/>
    </row>
    <row r="11299" spans="1:12" ht="12" customHeight="1" x14ac:dyDescent="0.25">
      <c r="A11299" s="6"/>
      <c r="B11299" s="1"/>
      <c r="C11299" s="5"/>
      <c r="D11299" s="5"/>
      <c r="E11299" s="5"/>
      <c r="F11299" s="5"/>
      <c r="G11299" s="5"/>
      <c r="H11299" s="5"/>
      <c r="I11299" s="5"/>
      <c r="J11299" s="5"/>
      <c r="K11299" s="5"/>
      <c r="L11299" s="5"/>
    </row>
    <row r="11300" spans="1:12" ht="12" customHeight="1" x14ac:dyDescent="0.25">
      <c r="A11300" s="6"/>
      <c r="B11300" s="1"/>
      <c r="C11300" s="5"/>
      <c r="D11300" s="5"/>
      <c r="E11300" s="5"/>
      <c r="F11300" s="5"/>
      <c r="G11300" s="5"/>
      <c r="H11300" s="5"/>
      <c r="I11300" s="5"/>
      <c r="J11300" s="5"/>
      <c r="K11300" s="5"/>
      <c r="L11300" s="5"/>
    </row>
    <row r="11301" spans="1:12" ht="12" customHeight="1" x14ac:dyDescent="0.25">
      <c r="A11301" s="6"/>
      <c r="B11301" s="1"/>
      <c r="C11301" s="5"/>
      <c r="D11301" s="5"/>
      <c r="E11301" s="5"/>
      <c r="F11301" s="5"/>
      <c r="G11301" s="5"/>
      <c r="H11301" s="5"/>
      <c r="I11301" s="5"/>
      <c r="J11301" s="5"/>
      <c r="K11301" s="5"/>
      <c r="L11301" s="5"/>
    </row>
    <row r="11302" spans="1:12" ht="12" customHeight="1" x14ac:dyDescent="0.25">
      <c r="A11302" s="6"/>
      <c r="B11302" s="1"/>
      <c r="C11302" s="5"/>
      <c r="D11302" s="5"/>
      <c r="E11302" s="5"/>
      <c r="F11302" s="5"/>
      <c r="G11302" s="5"/>
      <c r="H11302" s="5"/>
      <c r="I11302" s="5"/>
      <c r="J11302" s="5"/>
      <c r="K11302" s="5"/>
      <c r="L11302" s="5"/>
    </row>
    <row r="11303" spans="1:12" ht="12" customHeight="1" x14ac:dyDescent="0.25">
      <c r="A11303" s="6"/>
      <c r="B11303" s="1"/>
      <c r="C11303" s="5"/>
      <c r="D11303" s="5"/>
      <c r="E11303" s="5"/>
      <c r="F11303" s="5"/>
      <c r="G11303" s="5"/>
      <c r="H11303" s="5"/>
      <c r="I11303" s="5"/>
      <c r="J11303" s="5"/>
      <c r="K11303" s="5"/>
      <c r="L11303" s="5"/>
    </row>
    <row r="11304" spans="1:12" ht="12" customHeight="1" x14ac:dyDescent="0.25">
      <c r="A11304" s="6"/>
      <c r="B11304" s="1"/>
      <c r="C11304" s="5"/>
      <c r="D11304" s="5"/>
      <c r="E11304" s="5"/>
      <c r="F11304" s="5"/>
      <c r="G11304" s="5"/>
      <c r="H11304" s="5"/>
      <c r="I11304" s="5"/>
      <c r="J11304" s="5"/>
      <c r="K11304" s="5"/>
      <c r="L11304" s="5"/>
    </row>
    <row r="11305" spans="1:12" ht="12" customHeight="1" x14ac:dyDescent="0.25">
      <c r="A11305" s="6"/>
      <c r="B11305" s="1"/>
      <c r="C11305" s="5"/>
      <c r="D11305" s="5"/>
      <c r="E11305" s="5"/>
      <c r="F11305" s="5"/>
      <c r="G11305" s="5"/>
      <c r="H11305" s="5"/>
      <c r="I11305" s="5"/>
      <c r="J11305" s="5"/>
      <c r="K11305" s="5"/>
      <c r="L11305" s="5"/>
    </row>
    <row r="11306" spans="1:12" ht="12" customHeight="1" x14ac:dyDescent="0.25">
      <c r="A11306" s="6"/>
      <c r="B11306" s="1"/>
      <c r="C11306" s="5"/>
      <c r="D11306" s="5"/>
      <c r="E11306" s="5"/>
      <c r="F11306" s="5"/>
      <c r="G11306" s="5"/>
      <c r="H11306" s="5"/>
      <c r="I11306" s="5"/>
      <c r="J11306" s="5"/>
      <c r="K11306" s="5"/>
      <c r="L11306" s="5"/>
    </row>
    <row r="11307" spans="1:12" ht="12" customHeight="1" x14ac:dyDescent="0.25">
      <c r="A11307" s="6"/>
      <c r="B11307" s="1"/>
      <c r="C11307" s="5"/>
      <c r="D11307" s="5"/>
      <c r="E11307" s="5"/>
      <c r="F11307" s="5"/>
      <c r="G11307" s="5"/>
      <c r="H11307" s="5"/>
      <c r="I11307" s="5"/>
      <c r="J11307" s="5"/>
      <c r="K11307" s="5"/>
      <c r="L11307" s="5"/>
    </row>
    <row r="11308" spans="1:12" ht="12" customHeight="1" x14ac:dyDescent="0.25">
      <c r="A11308" s="6"/>
      <c r="B11308" s="1"/>
      <c r="C11308" s="5"/>
      <c r="D11308" s="5"/>
      <c r="E11308" s="5"/>
      <c r="F11308" s="5"/>
      <c r="G11308" s="5"/>
      <c r="H11308" s="5"/>
      <c r="I11308" s="5"/>
      <c r="J11308" s="5"/>
      <c r="K11308" s="5"/>
      <c r="L11308" s="5"/>
    </row>
    <row r="11309" spans="1:12" ht="12" customHeight="1" x14ac:dyDescent="0.25">
      <c r="A11309" s="6"/>
      <c r="B11309" s="1"/>
      <c r="C11309" s="5"/>
      <c r="D11309" s="5"/>
      <c r="E11309" s="5"/>
      <c r="F11309" s="5"/>
      <c r="G11309" s="5"/>
      <c r="H11309" s="5"/>
      <c r="I11309" s="5"/>
      <c r="J11309" s="5"/>
      <c r="K11309" s="5"/>
      <c r="L11309" s="5"/>
    </row>
    <row r="11310" spans="1:12" ht="12" customHeight="1" x14ac:dyDescent="0.25">
      <c r="A11310" s="6"/>
      <c r="B11310" s="1"/>
      <c r="C11310" s="5"/>
      <c r="D11310" s="5"/>
      <c r="E11310" s="5"/>
      <c r="F11310" s="5"/>
      <c r="G11310" s="5"/>
      <c r="H11310" s="5"/>
      <c r="I11310" s="5"/>
      <c r="J11310" s="5"/>
      <c r="K11310" s="5"/>
      <c r="L11310" s="5"/>
    </row>
    <row r="11311" spans="1:12" ht="12" customHeight="1" x14ac:dyDescent="0.25">
      <c r="A11311" s="6"/>
      <c r="B11311" s="1"/>
      <c r="C11311" s="5"/>
      <c r="D11311" s="5"/>
      <c r="E11311" s="5"/>
      <c r="F11311" s="5"/>
      <c r="G11311" s="5"/>
      <c r="H11311" s="5"/>
      <c r="I11311" s="5"/>
      <c r="J11311" s="5"/>
      <c r="K11311" s="5"/>
      <c r="L11311" s="5"/>
    </row>
    <row r="11312" spans="1:12" ht="12" customHeight="1" x14ac:dyDescent="0.25">
      <c r="A11312" s="6"/>
      <c r="B11312" s="1"/>
      <c r="C11312" s="5"/>
      <c r="D11312" s="5"/>
      <c r="E11312" s="5"/>
      <c r="F11312" s="5"/>
      <c r="G11312" s="5"/>
      <c r="H11312" s="5"/>
      <c r="I11312" s="5"/>
      <c r="J11312" s="5"/>
      <c r="K11312" s="5"/>
      <c r="L11312" s="5"/>
    </row>
    <row r="11313" spans="1:12" ht="12" customHeight="1" x14ac:dyDescent="0.25">
      <c r="A11313" s="6"/>
      <c r="B11313" s="1"/>
      <c r="C11313" s="5"/>
      <c r="D11313" s="5"/>
      <c r="E11313" s="5"/>
      <c r="F11313" s="5"/>
      <c r="G11313" s="5"/>
      <c r="H11313" s="5"/>
      <c r="I11313" s="5"/>
      <c r="J11313" s="5"/>
      <c r="K11313" s="5"/>
      <c r="L11313" s="5"/>
    </row>
    <row r="11314" spans="1:12" ht="12" customHeight="1" x14ac:dyDescent="0.25">
      <c r="A11314" s="6"/>
      <c r="B11314" s="1"/>
      <c r="C11314" s="5"/>
      <c r="D11314" s="5"/>
      <c r="E11314" s="5"/>
      <c r="F11314" s="5"/>
      <c r="G11314" s="5"/>
      <c r="H11314" s="5"/>
      <c r="I11314" s="5"/>
      <c r="J11314" s="5"/>
      <c r="K11314" s="5"/>
      <c r="L11314" s="5"/>
    </row>
    <row r="11315" spans="1:12" ht="12" customHeight="1" x14ac:dyDescent="0.25">
      <c r="A11315" s="6"/>
      <c r="B11315" s="1"/>
      <c r="C11315" s="5"/>
      <c r="D11315" s="5"/>
      <c r="E11315" s="5"/>
      <c r="F11315" s="5"/>
      <c r="G11315" s="5"/>
      <c r="H11315" s="5"/>
      <c r="I11315" s="5"/>
      <c r="J11315" s="5"/>
      <c r="K11315" s="5"/>
      <c r="L11315" s="5"/>
    </row>
    <row r="11316" spans="1:12" ht="12" customHeight="1" x14ac:dyDescent="0.25">
      <c r="A11316" s="6"/>
      <c r="B11316" s="1"/>
      <c r="C11316" s="5"/>
      <c r="D11316" s="5"/>
      <c r="E11316" s="5"/>
      <c r="F11316" s="5"/>
      <c r="G11316" s="5"/>
      <c r="H11316" s="5"/>
      <c r="I11316" s="5"/>
      <c r="J11316" s="5"/>
      <c r="K11316" s="5"/>
      <c r="L11316" s="5"/>
    </row>
    <row r="11317" spans="1:12" ht="12" customHeight="1" x14ac:dyDescent="0.25">
      <c r="A11317" s="6"/>
      <c r="B11317" s="1"/>
      <c r="C11317" s="5"/>
      <c r="D11317" s="5"/>
      <c r="E11317" s="5"/>
      <c r="F11317" s="5"/>
      <c r="G11317" s="5"/>
      <c r="H11317" s="5"/>
      <c r="I11317" s="5"/>
      <c r="J11317" s="5"/>
      <c r="K11317" s="5"/>
      <c r="L11317" s="5"/>
    </row>
    <row r="11318" spans="1:12" ht="12" customHeight="1" x14ac:dyDescent="0.25">
      <c r="A11318" s="6"/>
      <c r="B11318" s="1"/>
      <c r="C11318" s="5"/>
      <c r="D11318" s="5"/>
      <c r="E11318" s="5"/>
      <c r="F11318" s="5"/>
      <c r="G11318" s="5"/>
      <c r="H11318" s="5"/>
      <c r="I11318" s="5"/>
      <c r="J11318" s="5"/>
      <c r="K11318" s="5"/>
      <c r="L11318" s="5"/>
    </row>
    <row r="11319" spans="1:12" ht="12" customHeight="1" x14ac:dyDescent="0.25">
      <c r="A11319" s="6"/>
      <c r="B11319" s="1"/>
      <c r="C11319" s="5"/>
      <c r="D11319" s="5"/>
      <c r="E11319" s="5"/>
      <c r="F11319" s="5"/>
      <c r="G11319" s="5"/>
      <c r="H11319" s="5"/>
      <c r="I11319" s="5"/>
      <c r="J11319" s="5"/>
      <c r="K11319" s="5"/>
      <c r="L11319" s="5"/>
    </row>
    <row r="11320" spans="1:12" ht="12" customHeight="1" x14ac:dyDescent="0.25">
      <c r="A11320" s="6"/>
      <c r="B11320" s="1"/>
      <c r="C11320" s="5"/>
      <c r="D11320" s="5"/>
      <c r="E11320" s="5"/>
      <c r="F11320" s="5"/>
      <c r="G11320" s="5"/>
      <c r="H11320" s="5"/>
      <c r="I11320" s="5"/>
      <c r="J11320" s="5"/>
      <c r="K11320" s="5"/>
      <c r="L11320" s="5"/>
    </row>
    <row r="11321" spans="1:12" ht="12" customHeight="1" x14ac:dyDescent="0.25">
      <c r="A11321" s="6"/>
      <c r="B11321" s="1"/>
      <c r="C11321" s="5"/>
      <c r="D11321" s="5"/>
      <c r="E11321" s="5"/>
      <c r="F11321" s="5"/>
      <c r="G11321" s="5"/>
      <c r="H11321" s="5"/>
      <c r="I11321" s="5"/>
      <c r="J11321" s="5"/>
      <c r="K11321" s="5"/>
      <c r="L11321" s="5"/>
    </row>
    <row r="11322" spans="1:12" ht="12" customHeight="1" x14ac:dyDescent="0.25">
      <c r="A11322" s="6"/>
      <c r="B11322" s="1"/>
      <c r="C11322" s="5"/>
      <c r="D11322" s="5"/>
      <c r="E11322" s="5"/>
      <c r="F11322" s="5"/>
      <c r="G11322" s="5"/>
      <c r="H11322" s="5"/>
      <c r="I11322" s="5"/>
      <c r="J11322" s="5"/>
      <c r="K11322" s="5"/>
      <c r="L11322" s="5"/>
    </row>
    <row r="11323" spans="1:12" ht="12" customHeight="1" x14ac:dyDescent="0.25">
      <c r="A11323" s="6"/>
      <c r="B11323" s="1"/>
      <c r="C11323" s="5"/>
      <c r="D11323" s="5"/>
      <c r="E11323" s="5"/>
      <c r="F11323" s="5"/>
      <c r="G11323" s="5"/>
      <c r="H11323" s="5"/>
      <c r="I11323" s="5"/>
      <c r="J11323" s="5"/>
      <c r="K11323" s="5"/>
      <c r="L11323" s="5"/>
    </row>
    <row r="11324" spans="1:12" ht="12" customHeight="1" x14ac:dyDescent="0.25">
      <c r="A11324" s="6"/>
      <c r="B11324" s="1"/>
      <c r="C11324" s="5"/>
      <c r="D11324" s="5"/>
      <c r="E11324" s="5"/>
      <c r="F11324" s="5"/>
      <c r="G11324" s="5"/>
      <c r="H11324" s="5"/>
      <c r="I11324" s="5"/>
      <c r="J11324" s="5"/>
      <c r="K11324" s="5"/>
      <c r="L11324" s="5"/>
    </row>
    <row r="11325" spans="1:12" ht="12" customHeight="1" x14ac:dyDescent="0.25">
      <c r="A11325" s="6"/>
      <c r="B11325" s="1"/>
      <c r="C11325" s="5"/>
      <c r="D11325" s="5"/>
      <c r="E11325" s="5"/>
      <c r="F11325" s="5"/>
      <c r="G11325" s="5"/>
      <c r="H11325" s="5"/>
      <c r="I11325" s="5"/>
      <c r="J11325" s="5"/>
      <c r="K11325" s="5"/>
      <c r="L11325" s="5"/>
    </row>
    <row r="11326" spans="1:12" ht="12" customHeight="1" x14ac:dyDescent="0.25">
      <c r="A11326" s="6"/>
      <c r="B11326" s="1"/>
      <c r="C11326" s="5"/>
      <c r="D11326" s="5"/>
      <c r="E11326" s="5"/>
      <c r="F11326" s="5"/>
      <c r="G11326" s="5"/>
      <c r="H11326" s="5"/>
      <c r="I11326" s="5"/>
      <c r="J11326" s="5"/>
      <c r="K11326" s="5"/>
      <c r="L11326" s="5"/>
    </row>
    <row r="11327" spans="1:12" ht="12" customHeight="1" x14ac:dyDescent="0.25">
      <c r="A11327" s="6"/>
      <c r="B11327" s="1"/>
      <c r="C11327" s="5"/>
      <c r="D11327" s="5"/>
      <c r="E11327" s="5"/>
      <c r="F11327" s="5"/>
      <c r="G11327" s="5"/>
      <c r="H11327" s="5"/>
      <c r="I11327" s="5"/>
      <c r="J11327" s="5"/>
      <c r="K11327" s="5"/>
      <c r="L11327" s="5"/>
    </row>
    <row r="11328" spans="1:12" ht="12" customHeight="1" x14ac:dyDescent="0.25">
      <c r="A11328" s="6"/>
      <c r="B11328" s="1"/>
      <c r="C11328" s="5"/>
      <c r="D11328" s="5"/>
      <c r="E11328" s="5"/>
      <c r="F11328" s="5"/>
      <c r="G11328" s="5"/>
      <c r="H11328" s="5"/>
      <c r="I11328" s="5"/>
      <c r="J11328" s="5"/>
      <c r="K11328" s="5"/>
      <c r="L11328" s="5"/>
    </row>
    <row r="11329" spans="1:12" ht="12" customHeight="1" x14ac:dyDescent="0.25">
      <c r="A11329" s="6"/>
      <c r="B11329" s="1"/>
      <c r="C11329" s="5"/>
      <c r="D11329" s="5"/>
      <c r="E11329" s="5"/>
      <c r="F11329" s="5"/>
      <c r="G11329" s="5"/>
      <c r="H11329" s="5"/>
      <c r="I11329" s="5"/>
      <c r="J11329" s="5"/>
      <c r="K11329" s="5"/>
      <c r="L11329" s="5"/>
    </row>
    <row r="11330" spans="1:12" ht="12" customHeight="1" x14ac:dyDescent="0.25">
      <c r="A11330" s="6"/>
      <c r="B11330" s="1"/>
      <c r="C11330" s="5"/>
      <c r="D11330" s="5"/>
      <c r="E11330" s="5"/>
      <c r="F11330" s="5"/>
      <c r="G11330" s="5"/>
      <c r="H11330" s="5"/>
      <c r="I11330" s="5"/>
      <c r="J11330" s="5"/>
      <c r="K11330" s="5"/>
      <c r="L11330" s="5"/>
    </row>
    <row r="11331" spans="1:12" ht="12" customHeight="1" x14ac:dyDescent="0.25">
      <c r="A11331" s="6"/>
      <c r="B11331" s="1"/>
      <c r="C11331" s="5"/>
      <c r="D11331" s="5"/>
      <c r="E11331" s="5"/>
      <c r="F11331" s="5"/>
      <c r="G11331" s="5"/>
      <c r="H11331" s="5"/>
      <c r="I11331" s="5"/>
      <c r="J11331" s="5"/>
      <c r="K11331" s="5"/>
      <c r="L11331" s="5"/>
    </row>
    <row r="11332" spans="1:12" ht="12" customHeight="1" x14ac:dyDescent="0.25">
      <c r="A11332" s="6"/>
      <c r="B11332" s="1"/>
      <c r="C11332" s="5"/>
      <c r="D11332" s="5"/>
      <c r="E11332" s="5"/>
      <c r="F11332" s="5"/>
      <c r="G11332" s="5"/>
      <c r="H11332" s="5"/>
      <c r="I11332" s="5"/>
      <c r="J11332" s="5"/>
      <c r="K11332" s="5"/>
      <c r="L11332" s="5"/>
    </row>
    <row r="11333" spans="1:12" ht="12" customHeight="1" x14ac:dyDescent="0.25">
      <c r="A11333" s="6"/>
      <c r="B11333" s="1"/>
      <c r="C11333" s="5"/>
      <c r="D11333" s="5"/>
      <c r="E11333" s="5"/>
      <c r="F11333" s="5"/>
      <c r="G11333" s="5"/>
      <c r="H11333" s="5"/>
      <c r="I11333" s="5"/>
      <c r="J11333" s="5"/>
      <c r="K11333" s="5"/>
      <c r="L11333" s="5"/>
    </row>
    <row r="11334" spans="1:12" ht="12" customHeight="1" x14ac:dyDescent="0.25">
      <c r="A11334" s="6"/>
      <c r="B11334" s="1"/>
      <c r="C11334" s="5"/>
      <c r="D11334" s="5"/>
      <c r="E11334" s="5"/>
      <c r="F11334" s="5"/>
      <c r="G11334" s="5"/>
      <c r="H11334" s="5"/>
      <c r="I11334" s="5"/>
      <c r="J11334" s="5"/>
      <c r="K11334" s="5"/>
      <c r="L11334" s="5"/>
    </row>
    <row r="11335" spans="1:12" ht="12" customHeight="1" x14ac:dyDescent="0.25">
      <c r="A11335" s="6"/>
      <c r="B11335" s="1"/>
      <c r="C11335" s="5"/>
      <c r="D11335" s="5"/>
      <c r="E11335" s="5"/>
      <c r="F11335" s="5"/>
      <c r="G11335" s="5"/>
      <c r="H11335" s="5"/>
      <c r="I11335" s="5"/>
      <c r="J11335" s="5"/>
      <c r="K11335" s="5"/>
      <c r="L11335" s="5"/>
    </row>
    <row r="11336" spans="1:12" ht="12" customHeight="1" x14ac:dyDescent="0.25">
      <c r="A11336" s="6"/>
      <c r="B11336" s="1"/>
      <c r="C11336" s="5"/>
      <c r="D11336" s="5"/>
      <c r="E11336" s="5"/>
      <c r="F11336" s="5"/>
      <c r="G11336" s="5"/>
      <c r="H11336" s="5"/>
      <c r="I11336" s="5"/>
      <c r="J11336" s="5"/>
      <c r="K11336" s="5"/>
      <c r="L11336" s="5"/>
    </row>
    <row r="11337" spans="1:12" ht="12" customHeight="1" x14ac:dyDescent="0.25">
      <c r="A11337" s="6"/>
      <c r="B11337" s="1"/>
      <c r="C11337" s="5"/>
      <c r="D11337" s="5"/>
      <c r="E11337" s="5"/>
      <c r="F11337" s="5"/>
      <c r="G11337" s="5"/>
      <c r="H11337" s="5"/>
      <c r="I11337" s="5"/>
      <c r="J11337" s="5"/>
      <c r="K11337" s="5"/>
      <c r="L11337" s="5"/>
    </row>
    <row r="11338" spans="1:12" ht="12" customHeight="1" x14ac:dyDescent="0.25">
      <c r="A11338" s="6"/>
      <c r="B11338" s="1"/>
      <c r="C11338" s="5"/>
      <c r="D11338" s="5"/>
      <c r="E11338" s="5"/>
      <c r="F11338" s="5"/>
      <c r="G11338" s="5"/>
      <c r="H11338" s="5"/>
      <c r="I11338" s="5"/>
      <c r="J11338" s="5"/>
      <c r="K11338" s="5"/>
      <c r="L11338" s="5"/>
    </row>
    <row r="11339" spans="1:12" ht="12" customHeight="1" x14ac:dyDescent="0.25">
      <c r="A11339" s="6"/>
      <c r="B11339" s="1"/>
      <c r="C11339" s="5"/>
      <c r="D11339" s="5"/>
      <c r="E11339" s="5"/>
      <c r="F11339" s="5"/>
      <c r="G11339" s="5"/>
      <c r="H11339" s="5"/>
      <c r="I11339" s="5"/>
      <c r="J11339" s="5"/>
      <c r="K11339" s="5"/>
      <c r="L11339" s="5"/>
    </row>
    <row r="11340" spans="1:12" ht="12" customHeight="1" x14ac:dyDescent="0.25">
      <c r="A11340" s="6"/>
      <c r="B11340" s="1"/>
      <c r="C11340" s="5"/>
      <c r="D11340" s="5"/>
      <c r="E11340" s="5"/>
      <c r="F11340" s="5"/>
      <c r="G11340" s="5"/>
      <c r="H11340" s="5"/>
      <c r="I11340" s="5"/>
      <c r="J11340" s="5"/>
      <c r="K11340" s="5"/>
      <c r="L11340" s="5"/>
    </row>
    <row r="11341" spans="1:12" ht="12" customHeight="1" x14ac:dyDescent="0.25">
      <c r="A11341" s="6"/>
      <c r="B11341" s="1"/>
      <c r="C11341" s="5"/>
      <c r="D11341" s="5"/>
      <c r="E11341" s="5"/>
      <c r="F11341" s="5"/>
      <c r="G11341" s="5"/>
      <c r="H11341" s="5"/>
      <c r="I11341" s="5"/>
      <c r="J11341" s="5"/>
      <c r="K11341" s="5"/>
      <c r="L11341" s="5"/>
    </row>
    <row r="11342" spans="1:12" ht="12" customHeight="1" x14ac:dyDescent="0.25">
      <c r="A11342" s="6"/>
      <c r="B11342" s="1"/>
      <c r="C11342" s="5"/>
      <c r="D11342" s="5"/>
      <c r="E11342" s="5"/>
      <c r="F11342" s="5"/>
      <c r="G11342" s="5"/>
      <c r="H11342" s="5"/>
      <c r="I11342" s="5"/>
      <c r="J11342" s="5"/>
      <c r="K11342" s="5"/>
      <c r="L11342" s="5"/>
    </row>
    <row r="11343" spans="1:12" ht="12" customHeight="1" x14ac:dyDescent="0.25">
      <c r="A11343" s="6"/>
      <c r="B11343" s="1"/>
      <c r="C11343" s="5"/>
      <c r="D11343" s="5"/>
      <c r="E11343" s="5"/>
      <c r="F11343" s="5"/>
      <c r="G11343" s="5"/>
      <c r="H11343" s="5"/>
      <c r="I11343" s="5"/>
      <c r="J11343" s="5"/>
      <c r="K11343" s="5"/>
      <c r="L11343" s="5"/>
    </row>
    <row r="11344" spans="1:12" ht="12" customHeight="1" x14ac:dyDescent="0.25">
      <c r="A11344" s="6"/>
      <c r="B11344" s="1"/>
      <c r="C11344" s="5"/>
      <c r="D11344" s="5"/>
      <c r="E11344" s="5"/>
      <c r="F11344" s="5"/>
      <c r="G11344" s="5"/>
      <c r="H11344" s="5"/>
      <c r="I11344" s="5"/>
      <c r="J11344" s="5"/>
      <c r="K11344" s="5"/>
      <c r="L11344" s="5"/>
    </row>
    <row r="11345" spans="1:12" ht="12" customHeight="1" x14ac:dyDescent="0.25">
      <c r="A11345" s="6"/>
      <c r="B11345" s="1"/>
      <c r="C11345" s="5"/>
      <c r="D11345" s="5"/>
      <c r="E11345" s="5"/>
      <c r="F11345" s="5"/>
      <c r="G11345" s="5"/>
      <c r="H11345" s="5"/>
      <c r="I11345" s="5"/>
      <c r="J11345" s="5"/>
      <c r="K11345" s="5"/>
      <c r="L11345" s="5"/>
    </row>
    <row r="11346" spans="1:12" ht="12" customHeight="1" x14ac:dyDescent="0.25">
      <c r="A11346" s="6"/>
      <c r="B11346" s="1"/>
      <c r="C11346" s="5"/>
      <c r="D11346" s="5"/>
      <c r="E11346" s="5"/>
      <c r="F11346" s="5"/>
      <c r="G11346" s="5"/>
      <c r="H11346" s="5"/>
      <c r="I11346" s="5"/>
      <c r="J11346" s="5"/>
      <c r="K11346" s="5"/>
      <c r="L11346" s="5"/>
    </row>
    <row r="11347" spans="1:12" ht="12" customHeight="1" x14ac:dyDescent="0.25">
      <c r="A11347" s="6"/>
      <c r="B11347" s="1"/>
      <c r="C11347" s="5"/>
      <c r="D11347" s="5"/>
      <c r="E11347" s="5"/>
      <c r="F11347" s="5"/>
      <c r="G11347" s="5"/>
      <c r="H11347" s="5"/>
      <c r="I11347" s="5"/>
      <c r="J11347" s="5"/>
      <c r="K11347" s="5"/>
      <c r="L11347" s="5"/>
    </row>
    <row r="11348" spans="1:12" ht="12" customHeight="1" x14ac:dyDescent="0.25">
      <c r="A11348" s="6"/>
      <c r="B11348" s="1"/>
      <c r="C11348" s="5"/>
      <c r="D11348" s="5"/>
      <c r="E11348" s="5"/>
      <c r="F11348" s="5"/>
      <c r="G11348" s="5"/>
      <c r="H11348" s="5"/>
      <c r="I11348" s="5"/>
      <c r="J11348" s="5"/>
      <c r="K11348" s="5"/>
      <c r="L11348" s="5"/>
    </row>
    <row r="11349" spans="1:12" ht="12" customHeight="1" x14ac:dyDescent="0.25">
      <c r="A11349" s="6"/>
      <c r="B11349" s="1"/>
      <c r="C11349" s="5"/>
      <c r="D11349" s="5"/>
      <c r="E11349" s="5"/>
      <c r="F11349" s="5"/>
      <c r="G11349" s="5"/>
      <c r="H11349" s="5"/>
      <c r="I11349" s="5"/>
      <c r="J11349" s="5"/>
      <c r="K11349" s="5"/>
      <c r="L11349" s="5"/>
    </row>
    <row r="11350" spans="1:12" ht="12" customHeight="1" x14ac:dyDescent="0.25">
      <c r="A11350" s="6"/>
      <c r="B11350" s="1"/>
      <c r="C11350" s="5"/>
      <c r="D11350" s="5"/>
      <c r="E11350" s="5"/>
      <c r="F11350" s="5"/>
      <c r="G11350" s="5"/>
      <c r="H11350" s="5"/>
      <c r="I11350" s="5"/>
      <c r="J11350" s="5"/>
      <c r="K11350" s="5"/>
      <c r="L11350" s="5"/>
    </row>
    <row r="11351" spans="1:12" ht="12" customHeight="1" x14ac:dyDescent="0.25">
      <c r="A11351" s="6"/>
      <c r="B11351" s="1"/>
      <c r="C11351" s="5"/>
      <c r="D11351" s="5"/>
      <c r="E11351" s="5"/>
      <c r="F11351" s="5"/>
      <c r="G11351" s="5"/>
      <c r="H11351" s="5"/>
      <c r="I11351" s="5"/>
      <c r="J11351" s="5"/>
      <c r="K11351" s="5"/>
      <c r="L11351" s="5"/>
    </row>
    <row r="11352" spans="1:12" ht="12" customHeight="1" x14ac:dyDescent="0.25">
      <c r="A11352" s="6"/>
      <c r="B11352" s="1"/>
      <c r="C11352" s="5"/>
      <c r="D11352" s="5"/>
      <c r="E11352" s="5"/>
      <c r="F11352" s="5"/>
      <c r="G11352" s="5"/>
      <c r="H11352" s="5"/>
      <c r="I11352" s="5"/>
      <c r="J11352" s="5"/>
      <c r="K11352" s="5"/>
      <c r="L11352" s="5"/>
    </row>
    <row r="11353" spans="1:12" ht="12" customHeight="1" x14ac:dyDescent="0.25">
      <c r="A11353" s="6"/>
      <c r="B11353" s="1"/>
      <c r="C11353" s="5"/>
      <c r="D11353" s="5"/>
      <c r="E11353" s="5"/>
      <c r="F11353" s="5"/>
      <c r="G11353" s="5"/>
      <c r="H11353" s="5"/>
      <c r="I11353" s="5"/>
      <c r="J11353" s="5"/>
      <c r="K11353" s="5"/>
      <c r="L11353" s="5"/>
    </row>
    <row r="11354" spans="1:12" ht="12" customHeight="1" x14ac:dyDescent="0.25">
      <c r="A11354" s="6"/>
      <c r="B11354" s="1"/>
      <c r="C11354" s="5"/>
      <c r="D11354" s="5"/>
      <c r="E11354" s="5"/>
      <c r="F11354" s="5"/>
      <c r="G11354" s="5"/>
      <c r="H11354" s="5"/>
      <c r="I11354" s="5"/>
      <c r="J11354" s="5"/>
      <c r="K11354" s="5"/>
      <c r="L11354" s="5"/>
    </row>
    <row r="11355" spans="1:12" ht="12" customHeight="1" x14ac:dyDescent="0.25">
      <c r="A11355" s="6"/>
      <c r="B11355" s="1"/>
      <c r="C11355" s="5"/>
      <c r="D11355" s="5"/>
      <c r="E11355" s="5"/>
      <c r="F11355" s="5"/>
      <c r="G11355" s="5"/>
      <c r="H11355" s="5"/>
      <c r="I11355" s="5"/>
      <c r="J11355" s="5"/>
      <c r="K11355" s="5"/>
      <c r="L11355" s="5"/>
    </row>
    <row r="11356" spans="1:12" ht="12" customHeight="1" x14ac:dyDescent="0.25">
      <c r="A11356" s="6"/>
      <c r="B11356" s="1"/>
      <c r="C11356" s="5"/>
      <c r="D11356" s="5"/>
      <c r="E11356" s="5"/>
      <c r="F11356" s="5"/>
      <c r="G11356" s="5"/>
      <c r="H11356" s="5"/>
      <c r="I11356" s="5"/>
      <c r="J11356" s="5"/>
      <c r="K11356" s="5"/>
      <c r="L11356" s="5"/>
    </row>
    <row r="11357" spans="1:12" ht="12" customHeight="1" x14ac:dyDescent="0.25">
      <c r="A11357" s="6"/>
      <c r="B11357" s="1"/>
      <c r="C11357" s="5"/>
      <c r="D11357" s="5"/>
      <c r="E11357" s="5"/>
      <c r="F11357" s="5"/>
      <c r="G11357" s="5"/>
      <c r="H11357" s="5"/>
      <c r="I11357" s="5"/>
      <c r="J11357" s="5"/>
      <c r="K11357" s="5"/>
      <c r="L11357" s="5"/>
    </row>
    <row r="11358" spans="1:12" ht="12" customHeight="1" x14ac:dyDescent="0.25">
      <c r="A11358" s="6"/>
      <c r="B11358" s="1"/>
      <c r="C11358" s="5"/>
      <c r="D11358" s="5"/>
      <c r="E11358" s="5"/>
      <c r="F11358" s="5"/>
      <c r="G11358" s="5"/>
      <c r="H11358" s="5"/>
      <c r="I11358" s="5"/>
      <c r="J11358" s="5"/>
      <c r="K11358" s="5"/>
      <c r="L11358" s="5"/>
    </row>
    <row r="11359" spans="1:12" ht="12" customHeight="1" x14ac:dyDescent="0.25">
      <c r="A11359" s="6"/>
      <c r="B11359" s="1"/>
      <c r="C11359" s="5"/>
      <c r="D11359" s="5"/>
      <c r="E11359" s="5"/>
      <c r="F11359" s="5"/>
      <c r="G11359" s="5"/>
      <c r="H11359" s="5"/>
      <c r="I11359" s="5"/>
      <c r="J11359" s="5"/>
      <c r="K11359" s="5"/>
      <c r="L11359" s="5"/>
    </row>
    <row r="11360" spans="1:12" ht="12" customHeight="1" x14ac:dyDescent="0.25">
      <c r="A11360" s="6"/>
      <c r="B11360" s="1"/>
      <c r="C11360" s="5"/>
      <c r="D11360" s="5"/>
      <c r="E11360" s="5"/>
      <c r="F11360" s="5"/>
      <c r="G11360" s="5"/>
      <c r="H11360" s="5"/>
      <c r="I11360" s="5"/>
      <c r="J11360" s="5"/>
      <c r="K11360" s="5"/>
      <c r="L11360" s="5"/>
    </row>
    <row r="11361" spans="1:12" ht="12" customHeight="1" x14ac:dyDescent="0.25">
      <c r="A11361" s="6"/>
      <c r="B11361" s="1"/>
      <c r="C11361" s="5"/>
      <c r="D11361" s="5"/>
      <c r="E11361" s="5"/>
      <c r="F11361" s="5"/>
      <c r="G11361" s="5"/>
      <c r="H11361" s="5"/>
      <c r="I11361" s="5"/>
      <c r="J11361" s="5"/>
      <c r="K11361" s="5"/>
      <c r="L11361" s="5"/>
    </row>
    <row r="11362" spans="1:12" ht="12" customHeight="1" x14ac:dyDescent="0.25">
      <c r="A11362" s="6"/>
      <c r="B11362" s="1"/>
      <c r="C11362" s="5"/>
      <c r="D11362" s="5"/>
      <c r="E11362" s="5"/>
      <c r="F11362" s="5"/>
      <c r="G11362" s="5"/>
      <c r="H11362" s="5"/>
      <c r="I11362" s="5"/>
      <c r="J11362" s="5"/>
      <c r="K11362" s="5"/>
      <c r="L11362" s="5"/>
    </row>
    <row r="11363" spans="1:12" ht="12" customHeight="1" x14ac:dyDescent="0.25">
      <c r="A11363" s="6"/>
      <c r="B11363" s="1"/>
      <c r="C11363" s="5"/>
      <c r="D11363" s="5"/>
      <c r="E11363" s="5"/>
      <c r="F11363" s="5"/>
      <c r="G11363" s="5"/>
      <c r="H11363" s="5"/>
      <c r="I11363" s="5"/>
      <c r="J11363" s="5"/>
      <c r="K11363" s="5"/>
      <c r="L11363" s="5"/>
    </row>
    <row r="11364" spans="1:12" ht="12" customHeight="1" x14ac:dyDescent="0.25">
      <c r="A11364" s="6"/>
      <c r="B11364" s="1"/>
      <c r="C11364" s="5"/>
      <c r="D11364" s="5"/>
      <c r="E11364" s="5"/>
      <c r="F11364" s="5"/>
      <c r="G11364" s="5"/>
      <c r="H11364" s="5"/>
      <c r="I11364" s="5"/>
      <c r="J11364" s="5"/>
      <c r="K11364" s="5"/>
      <c r="L11364" s="5"/>
    </row>
    <row r="11365" spans="1:12" ht="12" customHeight="1" x14ac:dyDescent="0.25">
      <c r="A11365" s="6"/>
      <c r="B11365" s="1"/>
      <c r="C11365" s="5"/>
      <c r="D11365" s="5"/>
      <c r="E11365" s="5"/>
      <c r="F11365" s="5"/>
      <c r="G11365" s="5"/>
      <c r="H11365" s="5"/>
      <c r="I11365" s="5"/>
      <c r="J11365" s="5"/>
      <c r="K11365" s="5"/>
      <c r="L11365" s="5"/>
    </row>
    <row r="11366" spans="1:12" ht="12" customHeight="1" x14ac:dyDescent="0.25">
      <c r="A11366" s="6"/>
      <c r="B11366" s="1"/>
      <c r="C11366" s="5"/>
      <c r="D11366" s="5"/>
      <c r="E11366" s="5"/>
      <c r="F11366" s="5"/>
      <c r="G11366" s="5"/>
      <c r="H11366" s="5"/>
      <c r="I11366" s="5"/>
      <c r="J11366" s="5"/>
      <c r="K11366" s="5"/>
      <c r="L11366" s="5"/>
    </row>
    <row r="11367" spans="1:12" ht="12" customHeight="1" x14ac:dyDescent="0.25">
      <c r="A11367" s="6"/>
      <c r="B11367" s="1"/>
      <c r="C11367" s="5"/>
      <c r="D11367" s="5"/>
      <c r="E11367" s="5"/>
      <c r="F11367" s="5"/>
      <c r="G11367" s="5"/>
      <c r="H11367" s="5"/>
      <c r="I11367" s="5"/>
      <c r="J11367" s="5"/>
      <c r="K11367" s="5"/>
      <c r="L11367" s="5"/>
    </row>
    <row r="11368" spans="1:12" ht="12" customHeight="1" x14ac:dyDescent="0.25">
      <c r="A11368" s="6"/>
      <c r="B11368" s="1"/>
      <c r="C11368" s="5"/>
      <c r="D11368" s="5"/>
      <c r="E11368" s="5"/>
      <c r="F11368" s="5"/>
      <c r="G11368" s="5"/>
      <c r="H11368" s="5"/>
      <c r="I11368" s="5"/>
      <c r="J11368" s="5"/>
      <c r="K11368" s="5"/>
      <c r="L11368" s="5"/>
    </row>
    <row r="11369" spans="1:12" ht="12" customHeight="1" x14ac:dyDescent="0.25">
      <c r="A11369" s="6"/>
      <c r="B11369" s="1"/>
      <c r="C11369" s="5"/>
      <c r="D11369" s="5"/>
      <c r="E11369" s="5"/>
      <c r="F11369" s="5"/>
      <c r="G11369" s="5"/>
      <c r="H11369" s="5"/>
      <c r="I11369" s="5"/>
      <c r="J11369" s="5"/>
      <c r="K11369" s="5"/>
      <c r="L11369" s="5"/>
    </row>
    <row r="11370" spans="1:12" ht="12" customHeight="1" x14ac:dyDescent="0.25">
      <c r="A11370" s="6"/>
      <c r="B11370" s="1"/>
      <c r="C11370" s="5"/>
      <c r="D11370" s="5"/>
      <c r="E11370" s="5"/>
      <c r="F11370" s="5"/>
      <c r="G11370" s="5"/>
      <c r="H11370" s="5"/>
      <c r="I11370" s="5"/>
      <c r="J11370" s="5"/>
      <c r="K11370" s="5"/>
      <c r="L11370" s="5"/>
    </row>
    <row r="11371" spans="1:12" ht="12" customHeight="1" x14ac:dyDescent="0.25">
      <c r="A11371" s="6"/>
      <c r="B11371" s="1"/>
      <c r="C11371" s="5"/>
      <c r="D11371" s="5"/>
      <c r="E11371" s="5"/>
      <c r="F11371" s="5"/>
      <c r="G11371" s="5"/>
      <c r="H11371" s="5"/>
      <c r="I11371" s="5"/>
      <c r="J11371" s="5"/>
      <c r="K11371" s="5"/>
      <c r="L11371" s="5"/>
    </row>
    <row r="11372" spans="1:12" ht="12" customHeight="1" x14ac:dyDescent="0.25">
      <c r="A11372" s="6"/>
      <c r="B11372" s="1"/>
      <c r="C11372" s="5"/>
      <c r="D11372" s="5"/>
      <c r="E11372" s="5"/>
      <c r="F11372" s="5"/>
      <c r="G11372" s="5"/>
      <c r="H11372" s="5"/>
      <c r="I11372" s="5"/>
      <c r="J11372" s="5"/>
      <c r="K11372" s="5"/>
      <c r="L11372" s="5"/>
    </row>
    <row r="11373" spans="1:12" ht="12" customHeight="1" x14ac:dyDescent="0.25">
      <c r="A11373" s="6"/>
      <c r="B11373" s="1"/>
      <c r="C11373" s="5"/>
      <c r="D11373" s="5"/>
      <c r="E11373" s="5"/>
      <c r="F11373" s="5"/>
      <c r="G11373" s="5"/>
      <c r="H11373" s="5"/>
      <c r="I11373" s="5"/>
      <c r="J11373" s="5"/>
      <c r="K11373" s="5"/>
      <c r="L11373" s="5"/>
    </row>
    <row r="11374" spans="1:12" ht="12" customHeight="1" x14ac:dyDescent="0.25">
      <c r="A11374" s="6"/>
      <c r="B11374" s="1"/>
      <c r="C11374" s="5"/>
      <c r="D11374" s="5"/>
      <c r="E11374" s="5"/>
      <c r="F11374" s="5"/>
      <c r="G11374" s="5"/>
      <c r="H11374" s="5"/>
      <c r="I11374" s="5"/>
      <c r="J11374" s="5"/>
      <c r="K11374" s="5"/>
      <c r="L11374" s="5"/>
    </row>
    <row r="11375" spans="1:12" ht="12" customHeight="1" x14ac:dyDescent="0.25">
      <c r="A11375" s="6"/>
      <c r="B11375" s="1"/>
      <c r="C11375" s="5"/>
      <c r="D11375" s="5"/>
      <c r="E11375" s="5"/>
      <c r="F11375" s="5"/>
      <c r="G11375" s="5"/>
      <c r="H11375" s="5"/>
      <c r="I11375" s="5"/>
      <c r="J11375" s="5"/>
      <c r="K11375" s="5"/>
      <c r="L11375" s="5"/>
    </row>
    <row r="11376" spans="1:12" ht="12" customHeight="1" x14ac:dyDescent="0.25">
      <c r="A11376" s="6"/>
      <c r="B11376" s="1"/>
      <c r="C11376" s="5"/>
      <c r="D11376" s="5"/>
      <c r="E11376" s="5"/>
      <c r="F11376" s="5"/>
      <c r="G11376" s="5"/>
      <c r="H11376" s="5"/>
      <c r="I11376" s="5"/>
      <c r="J11376" s="5"/>
      <c r="K11376" s="5"/>
      <c r="L11376" s="5"/>
    </row>
    <row r="11377" spans="1:12" ht="12" customHeight="1" x14ac:dyDescent="0.25">
      <c r="A11377" s="6"/>
      <c r="B11377" s="1"/>
      <c r="C11377" s="5"/>
      <c r="D11377" s="5"/>
      <c r="E11377" s="5"/>
      <c r="F11377" s="5"/>
      <c r="G11377" s="5"/>
      <c r="H11377" s="5"/>
      <c r="I11377" s="5"/>
      <c r="J11377" s="5"/>
      <c r="K11377" s="5"/>
      <c r="L11377" s="5"/>
    </row>
    <row r="11378" spans="1:12" ht="12" customHeight="1" x14ac:dyDescent="0.25">
      <c r="A11378" s="6"/>
      <c r="B11378" s="1"/>
      <c r="C11378" s="5"/>
      <c r="D11378" s="5"/>
      <c r="E11378" s="5"/>
      <c r="F11378" s="5"/>
      <c r="G11378" s="5"/>
      <c r="H11378" s="5"/>
      <c r="I11378" s="5"/>
      <c r="J11378" s="5"/>
      <c r="K11378" s="5"/>
      <c r="L11378" s="5"/>
    </row>
    <row r="11379" spans="1:12" ht="12" customHeight="1" x14ac:dyDescent="0.25">
      <c r="A11379" s="6"/>
      <c r="B11379" s="1"/>
      <c r="C11379" s="5"/>
      <c r="D11379" s="5"/>
      <c r="E11379" s="5"/>
      <c r="F11379" s="5"/>
      <c r="G11379" s="5"/>
      <c r="H11379" s="5"/>
      <c r="I11379" s="5"/>
      <c r="J11379" s="5"/>
      <c r="K11379" s="5"/>
      <c r="L11379" s="5"/>
    </row>
    <row r="11380" spans="1:12" ht="12" customHeight="1" x14ac:dyDescent="0.25">
      <c r="A11380" s="6"/>
      <c r="B11380" s="1"/>
      <c r="C11380" s="5"/>
      <c r="D11380" s="5"/>
      <c r="E11380" s="5"/>
      <c r="F11380" s="5"/>
      <c r="G11380" s="5"/>
      <c r="H11380" s="5"/>
      <c r="I11380" s="5"/>
      <c r="J11380" s="5"/>
      <c r="K11380" s="5"/>
      <c r="L11380" s="5"/>
    </row>
    <row r="11381" spans="1:12" ht="12" customHeight="1" x14ac:dyDescent="0.25">
      <c r="A11381" s="6"/>
      <c r="B11381" s="1"/>
      <c r="C11381" s="5"/>
      <c r="D11381" s="5"/>
      <c r="E11381" s="5"/>
      <c r="F11381" s="5"/>
      <c r="G11381" s="5"/>
      <c r="H11381" s="5"/>
      <c r="I11381" s="5"/>
      <c r="J11381" s="5"/>
      <c r="K11381" s="5"/>
      <c r="L11381" s="5"/>
    </row>
    <row r="11382" spans="1:12" ht="12" customHeight="1" x14ac:dyDescent="0.25">
      <c r="A11382" s="6"/>
      <c r="B11382" s="1"/>
      <c r="C11382" s="5"/>
      <c r="D11382" s="5"/>
      <c r="E11382" s="5"/>
      <c r="F11382" s="5"/>
      <c r="G11382" s="5"/>
      <c r="H11382" s="5"/>
      <c r="I11382" s="5"/>
      <c r="J11382" s="5"/>
      <c r="K11382" s="5"/>
      <c r="L11382" s="5"/>
    </row>
    <row r="11383" spans="1:12" ht="12" customHeight="1" x14ac:dyDescent="0.25">
      <c r="A11383" s="6"/>
      <c r="B11383" s="1"/>
      <c r="C11383" s="5"/>
      <c r="D11383" s="5"/>
      <c r="E11383" s="5"/>
      <c r="F11383" s="5"/>
      <c r="G11383" s="5"/>
      <c r="H11383" s="5"/>
      <c r="I11383" s="5"/>
      <c r="J11383" s="5"/>
      <c r="K11383" s="5"/>
      <c r="L11383" s="5"/>
    </row>
    <row r="11384" spans="1:12" ht="12" customHeight="1" x14ac:dyDescent="0.25">
      <c r="A11384" s="6"/>
      <c r="B11384" s="1"/>
      <c r="C11384" s="5"/>
      <c r="D11384" s="5"/>
      <c r="E11384" s="5"/>
      <c r="F11384" s="5"/>
      <c r="G11384" s="5"/>
      <c r="H11384" s="5"/>
      <c r="I11384" s="5"/>
      <c r="J11384" s="5"/>
      <c r="K11384" s="5"/>
      <c r="L11384" s="5"/>
    </row>
    <row r="11385" spans="1:12" ht="12" customHeight="1" x14ac:dyDescent="0.25">
      <c r="A11385" s="6"/>
      <c r="B11385" s="1"/>
      <c r="C11385" s="5"/>
      <c r="D11385" s="5"/>
      <c r="E11385" s="5"/>
      <c r="F11385" s="5"/>
      <c r="G11385" s="5"/>
      <c r="H11385" s="5"/>
      <c r="I11385" s="5"/>
      <c r="J11385" s="5"/>
      <c r="K11385" s="5"/>
      <c r="L11385" s="5"/>
    </row>
    <row r="11386" spans="1:12" ht="12" customHeight="1" x14ac:dyDescent="0.25">
      <c r="A11386" s="6"/>
      <c r="B11386" s="1"/>
      <c r="C11386" s="5"/>
      <c r="D11386" s="5"/>
      <c r="E11386" s="5"/>
      <c r="F11386" s="5"/>
      <c r="G11386" s="5"/>
      <c r="H11386" s="5"/>
      <c r="I11386" s="5"/>
      <c r="J11386" s="5"/>
      <c r="K11386" s="5"/>
      <c r="L11386" s="5"/>
    </row>
    <row r="11387" spans="1:12" ht="12" customHeight="1" x14ac:dyDescent="0.25">
      <c r="A11387" s="6"/>
      <c r="B11387" s="1"/>
      <c r="C11387" s="5"/>
      <c r="D11387" s="5"/>
      <c r="E11387" s="5"/>
      <c r="F11387" s="5"/>
      <c r="G11387" s="5"/>
      <c r="H11387" s="5"/>
      <c r="I11387" s="5"/>
      <c r="J11387" s="5"/>
      <c r="K11387" s="5"/>
      <c r="L11387" s="5"/>
    </row>
    <row r="11388" spans="1:12" ht="12" customHeight="1" x14ac:dyDescent="0.25">
      <c r="A11388" s="6"/>
      <c r="B11388" s="1"/>
      <c r="C11388" s="5"/>
      <c r="D11388" s="5"/>
      <c r="E11388" s="5"/>
      <c r="F11388" s="5"/>
      <c r="G11388" s="5"/>
      <c r="H11388" s="5"/>
      <c r="I11388" s="5"/>
      <c r="J11388" s="5"/>
      <c r="K11388" s="5"/>
      <c r="L11388" s="5"/>
    </row>
    <row r="11389" spans="1:12" ht="12" customHeight="1" x14ac:dyDescent="0.25">
      <c r="A11389" s="6"/>
      <c r="B11389" s="1"/>
      <c r="C11389" s="5"/>
      <c r="D11389" s="5"/>
      <c r="E11389" s="5"/>
      <c r="F11389" s="5"/>
      <c r="G11389" s="5"/>
      <c r="H11389" s="5"/>
      <c r="I11389" s="5"/>
      <c r="J11389" s="5"/>
      <c r="K11389" s="5"/>
      <c r="L11389" s="5"/>
    </row>
    <row r="11390" spans="1:12" ht="12" customHeight="1" x14ac:dyDescent="0.25">
      <c r="A11390" s="6"/>
      <c r="B11390" s="1"/>
      <c r="C11390" s="5"/>
      <c r="D11390" s="5"/>
      <c r="E11390" s="5"/>
      <c r="F11390" s="5"/>
      <c r="G11390" s="5"/>
      <c r="H11390" s="5"/>
      <c r="I11390" s="5"/>
      <c r="J11390" s="5"/>
      <c r="K11390" s="5"/>
      <c r="L11390" s="5"/>
    </row>
    <row r="11391" spans="1:12" ht="12" customHeight="1" x14ac:dyDescent="0.25">
      <c r="A11391" s="6"/>
      <c r="B11391" s="1"/>
      <c r="C11391" s="5"/>
      <c r="D11391" s="5"/>
      <c r="E11391" s="5"/>
      <c r="F11391" s="5"/>
      <c r="G11391" s="5"/>
      <c r="H11391" s="5"/>
      <c r="I11391" s="5"/>
      <c r="J11391" s="5"/>
      <c r="K11391" s="5"/>
      <c r="L11391" s="5"/>
    </row>
    <row r="11392" spans="1:12" ht="12" customHeight="1" x14ac:dyDescent="0.25">
      <c r="A11392" s="6"/>
      <c r="B11392" s="1"/>
      <c r="C11392" s="5"/>
      <c r="D11392" s="5"/>
      <c r="E11392" s="5"/>
      <c r="F11392" s="5"/>
      <c r="G11392" s="5"/>
      <c r="H11392" s="5"/>
      <c r="I11392" s="5"/>
      <c r="J11392" s="5"/>
      <c r="K11392" s="5"/>
      <c r="L11392" s="5"/>
    </row>
    <row r="11393" spans="1:12" ht="12" customHeight="1" x14ac:dyDescent="0.25">
      <c r="A11393" s="6"/>
      <c r="B11393" s="1"/>
      <c r="C11393" s="5"/>
      <c r="D11393" s="5"/>
      <c r="E11393" s="5"/>
      <c r="F11393" s="5"/>
      <c r="G11393" s="5"/>
      <c r="H11393" s="5"/>
      <c r="I11393" s="5"/>
      <c r="J11393" s="5"/>
      <c r="K11393" s="5"/>
      <c r="L11393" s="5"/>
    </row>
    <row r="11394" spans="1:12" ht="12" customHeight="1" x14ac:dyDescent="0.25">
      <c r="A11394" s="6"/>
      <c r="B11394" s="1"/>
      <c r="C11394" s="5"/>
      <c r="D11394" s="5"/>
      <c r="E11394" s="5"/>
      <c r="F11394" s="5"/>
      <c r="G11394" s="5"/>
      <c r="H11394" s="5"/>
      <c r="I11394" s="5"/>
      <c r="J11394" s="5"/>
      <c r="K11394" s="5"/>
      <c r="L11394" s="5"/>
    </row>
    <row r="11395" spans="1:12" ht="12" customHeight="1" x14ac:dyDescent="0.25">
      <c r="A11395" s="6"/>
      <c r="B11395" s="1"/>
      <c r="C11395" s="5"/>
      <c r="D11395" s="5"/>
      <c r="E11395" s="5"/>
      <c r="F11395" s="5"/>
      <c r="G11395" s="5"/>
      <c r="H11395" s="5"/>
      <c r="I11395" s="5"/>
      <c r="J11395" s="5"/>
      <c r="K11395" s="5"/>
      <c r="L11395" s="5"/>
    </row>
    <row r="11396" spans="1:12" ht="12" customHeight="1" x14ac:dyDescent="0.25">
      <c r="A11396" s="6"/>
      <c r="B11396" s="1"/>
      <c r="C11396" s="5"/>
      <c r="D11396" s="5"/>
      <c r="E11396" s="5"/>
      <c r="F11396" s="5"/>
      <c r="G11396" s="5"/>
      <c r="H11396" s="5"/>
      <c r="I11396" s="5"/>
      <c r="J11396" s="5"/>
      <c r="K11396" s="5"/>
      <c r="L11396" s="5"/>
    </row>
    <row r="11397" spans="1:12" ht="12" customHeight="1" x14ac:dyDescent="0.25">
      <c r="A11397" s="6"/>
      <c r="B11397" s="1"/>
      <c r="C11397" s="5"/>
      <c r="D11397" s="5"/>
      <c r="E11397" s="5"/>
      <c r="F11397" s="5"/>
      <c r="G11397" s="5"/>
      <c r="H11397" s="5"/>
      <c r="I11397" s="5"/>
      <c r="J11397" s="5"/>
      <c r="K11397" s="5"/>
      <c r="L11397" s="5"/>
    </row>
    <row r="11398" spans="1:12" ht="12" customHeight="1" x14ac:dyDescent="0.25">
      <c r="A11398" s="6"/>
      <c r="B11398" s="1"/>
      <c r="C11398" s="5"/>
      <c r="D11398" s="5"/>
      <c r="E11398" s="5"/>
      <c r="F11398" s="5"/>
      <c r="G11398" s="5"/>
      <c r="H11398" s="5"/>
      <c r="I11398" s="5"/>
      <c r="J11398" s="5"/>
      <c r="K11398" s="5"/>
      <c r="L11398" s="5"/>
    </row>
    <row r="11399" spans="1:12" ht="12" customHeight="1" x14ac:dyDescent="0.25">
      <c r="A11399" s="6"/>
      <c r="B11399" s="1"/>
      <c r="C11399" s="5"/>
      <c r="D11399" s="5"/>
      <c r="E11399" s="5"/>
      <c r="F11399" s="5"/>
      <c r="G11399" s="5"/>
      <c r="H11399" s="5"/>
      <c r="I11399" s="5"/>
      <c r="J11399" s="5"/>
      <c r="K11399" s="5"/>
      <c r="L11399" s="5"/>
    </row>
    <row r="11400" spans="1:12" ht="12" customHeight="1" x14ac:dyDescent="0.25">
      <c r="A11400" s="6"/>
      <c r="B11400" s="1"/>
      <c r="C11400" s="5"/>
      <c r="D11400" s="5"/>
      <c r="E11400" s="5"/>
      <c r="F11400" s="5"/>
      <c r="G11400" s="5"/>
      <c r="H11400" s="5"/>
      <c r="I11400" s="5"/>
      <c r="J11400" s="5"/>
      <c r="K11400" s="5"/>
      <c r="L11400" s="5"/>
    </row>
    <row r="11401" spans="1:12" ht="12" customHeight="1" x14ac:dyDescent="0.25">
      <c r="A11401" s="6"/>
      <c r="B11401" s="1"/>
      <c r="C11401" s="5"/>
      <c r="D11401" s="5"/>
      <c r="E11401" s="5"/>
      <c r="F11401" s="5"/>
      <c r="G11401" s="5"/>
      <c r="H11401" s="5"/>
      <c r="I11401" s="5"/>
      <c r="J11401" s="5"/>
      <c r="K11401" s="5"/>
      <c r="L11401" s="5"/>
    </row>
    <row r="11402" spans="1:12" ht="12" customHeight="1" x14ac:dyDescent="0.25">
      <c r="A11402" s="6"/>
      <c r="B11402" s="1"/>
      <c r="C11402" s="5"/>
      <c r="D11402" s="5"/>
      <c r="E11402" s="5"/>
      <c r="F11402" s="5"/>
      <c r="G11402" s="5"/>
      <c r="H11402" s="5"/>
      <c r="I11402" s="5"/>
      <c r="J11402" s="5"/>
      <c r="K11402" s="5"/>
      <c r="L11402" s="5"/>
    </row>
    <row r="11403" spans="1:12" ht="12" customHeight="1" x14ac:dyDescent="0.25">
      <c r="A11403" s="6"/>
      <c r="B11403" s="1"/>
      <c r="C11403" s="5"/>
      <c r="D11403" s="5"/>
      <c r="E11403" s="5"/>
      <c r="F11403" s="5"/>
      <c r="G11403" s="5"/>
      <c r="H11403" s="5"/>
      <c r="I11403" s="5"/>
      <c r="J11403" s="5"/>
      <c r="K11403" s="5"/>
      <c r="L11403" s="5"/>
    </row>
    <row r="11404" spans="1:12" ht="12" customHeight="1" x14ac:dyDescent="0.25">
      <c r="A11404" s="6"/>
      <c r="B11404" s="1"/>
      <c r="C11404" s="5"/>
      <c r="D11404" s="5"/>
      <c r="E11404" s="5"/>
      <c r="F11404" s="5"/>
      <c r="G11404" s="5"/>
      <c r="H11404" s="5"/>
      <c r="I11404" s="5"/>
      <c r="J11404" s="5"/>
      <c r="K11404" s="5"/>
      <c r="L11404" s="5"/>
    </row>
    <row r="11405" spans="1:12" ht="12" customHeight="1" x14ac:dyDescent="0.25">
      <c r="A11405" s="6"/>
      <c r="B11405" s="1"/>
      <c r="C11405" s="5"/>
      <c r="D11405" s="5"/>
      <c r="E11405" s="5"/>
      <c r="F11405" s="5"/>
      <c r="G11405" s="5"/>
      <c r="H11405" s="5"/>
      <c r="I11405" s="5"/>
      <c r="J11405" s="5"/>
      <c r="K11405" s="5"/>
      <c r="L11405" s="5"/>
    </row>
    <row r="11406" spans="1:12" ht="12" customHeight="1" x14ac:dyDescent="0.25">
      <c r="A11406" s="6"/>
      <c r="B11406" s="1"/>
      <c r="C11406" s="5"/>
      <c r="D11406" s="5"/>
      <c r="E11406" s="5"/>
      <c r="F11406" s="5"/>
      <c r="G11406" s="5"/>
      <c r="H11406" s="5"/>
      <c r="I11406" s="5"/>
      <c r="J11406" s="5"/>
      <c r="K11406" s="5"/>
      <c r="L11406" s="5"/>
    </row>
    <row r="11407" spans="1:12" ht="12" customHeight="1" x14ac:dyDescent="0.25">
      <c r="A11407" s="6"/>
      <c r="B11407" s="1"/>
      <c r="C11407" s="5"/>
      <c r="D11407" s="5"/>
      <c r="E11407" s="5"/>
      <c r="F11407" s="5"/>
      <c r="G11407" s="5"/>
      <c r="H11407" s="5"/>
      <c r="I11407" s="5"/>
      <c r="J11407" s="5"/>
      <c r="K11407" s="5"/>
      <c r="L11407" s="5"/>
    </row>
    <row r="11408" spans="1:12" ht="12" customHeight="1" x14ac:dyDescent="0.25">
      <c r="A11408" s="6"/>
      <c r="B11408" s="1"/>
      <c r="C11408" s="5"/>
      <c r="D11408" s="5"/>
      <c r="E11408" s="5"/>
      <c r="F11408" s="5"/>
      <c r="G11408" s="5"/>
      <c r="H11408" s="5"/>
      <c r="I11408" s="5"/>
      <c r="J11408" s="5"/>
      <c r="K11408" s="5"/>
      <c r="L11408" s="5"/>
    </row>
    <row r="11409" spans="1:12" ht="12" customHeight="1" x14ac:dyDescent="0.25">
      <c r="A11409" s="6"/>
      <c r="B11409" s="1"/>
      <c r="C11409" s="5"/>
      <c r="D11409" s="5"/>
      <c r="E11409" s="5"/>
      <c r="F11409" s="5"/>
      <c r="G11409" s="5"/>
      <c r="H11409" s="5"/>
      <c r="I11409" s="5"/>
      <c r="J11409" s="5"/>
      <c r="K11409" s="5"/>
      <c r="L11409" s="5"/>
    </row>
    <row r="11410" spans="1:12" ht="12" customHeight="1" x14ac:dyDescent="0.25">
      <c r="A11410" s="6"/>
      <c r="B11410" s="1"/>
      <c r="C11410" s="5"/>
      <c r="D11410" s="5"/>
      <c r="E11410" s="5"/>
      <c r="F11410" s="5"/>
      <c r="G11410" s="5"/>
      <c r="H11410" s="5"/>
      <c r="I11410" s="5"/>
      <c r="J11410" s="5"/>
      <c r="K11410" s="5"/>
      <c r="L11410" s="5"/>
    </row>
    <row r="11411" spans="1:12" ht="12" customHeight="1" x14ac:dyDescent="0.25">
      <c r="A11411" s="6"/>
      <c r="B11411" s="1"/>
      <c r="C11411" s="5"/>
      <c r="D11411" s="5"/>
      <c r="E11411" s="5"/>
      <c r="F11411" s="5"/>
      <c r="G11411" s="5"/>
      <c r="H11411" s="5"/>
      <c r="I11411" s="5"/>
      <c r="J11411" s="5"/>
      <c r="K11411" s="5"/>
      <c r="L11411" s="5"/>
    </row>
    <row r="11412" spans="1:12" ht="12" customHeight="1" x14ac:dyDescent="0.25">
      <c r="A11412" s="6"/>
      <c r="B11412" s="1"/>
      <c r="C11412" s="5"/>
      <c r="D11412" s="5"/>
      <c r="E11412" s="5"/>
      <c r="F11412" s="5"/>
      <c r="G11412" s="5"/>
      <c r="H11412" s="5"/>
      <c r="I11412" s="5"/>
      <c r="J11412" s="5"/>
      <c r="K11412" s="5"/>
      <c r="L11412" s="5"/>
    </row>
    <row r="11413" spans="1:12" ht="12" customHeight="1" x14ac:dyDescent="0.25">
      <c r="A11413" s="6"/>
      <c r="B11413" s="1"/>
      <c r="C11413" s="5"/>
      <c r="D11413" s="5"/>
      <c r="E11413" s="5"/>
      <c r="F11413" s="5"/>
      <c r="G11413" s="5"/>
      <c r="H11413" s="5"/>
      <c r="I11413" s="5"/>
      <c r="J11413" s="5"/>
      <c r="K11413" s="5"/>
      <c r="L11413" s="5"/>
    </row>
    <row r="11414" spans="1:12" ht="12" customHeight="1" x14ac:dyDescent="0.25">
      <c r="A11414" s="6"/>
      <c r="B11414" s="1"/>
      <c r="C11414" s="5"/>
      <c r="D11414" s="5"/>
      <c r="E11414" s="5"/>
      <c r="F11414" s="5"/>
      <c r="G11414" s="5"/>
      <c r="H11414" s="5"/>
      <c r="I11414" s="5"/>
      <c r="J11414" s="5"/>
      <c r="K11414" s="5"/>
      <c r="L11414" s="5"/>
    </row>
    <row r="11415" spans="1:12" ht="12" customHeight="1" x14ac:dyDescent="0.25">
      <c r="A11415" s="6"/>
      <c r="B11415" s="1"/>
      <c r="C11415" s="5"/>
      <c r="D11415" s="5"/>
      <c r="E11415" s="5"/>
      <c r="F11415" s="5"/>
      <c r="G11415" s="5"/>
      <c r="H11415" s="5"/>
      <c r="I11415" s="5"/>
      <c r="J11415" s="5"/>
      <c r="K11415" s="5"/>
      <c r="L11415" s="5"/>
    </row>
    <row r="11416" spans="1:12" ht="12" customHeight="1" x14ac:dyDescent="0.25">
      <c r="A11416" s="6"/>
      <c r="B11416" s="1"/>
      <c r="C11416" s="5"/>
      <c r="D11416" s="5"/>
      <c r="E11416" s="5"/>
      <c r="F11416" s="5"/>
      <c r="G11416" s="5"/>
      <c r="H11416" s="5"/>
      <c r="I11416" s="5"/>
      <c r="J11416" s="5"/>
      <c r="K11416" s="5"/>
      <c r="L11416" s="5"/>
    </row>
    <row r="11417" spans="1:12" ht="12" customHeight="1" x14ac:dyDescent="0.25">
      <c r="A11417" s="6"/>
      <c r="B11417" s="1"/>
      <c r="C11417" s="5"/>
      <c r="D11417" s="5"/>
      <c r="E11417" s="5"/>
      <c r="F11417" s="5"/>
      <c r="G11417" s="5"/>
      <c r="H11417" s="5"/>
      <c r="I11417" s="5"/>
      <c r="J11417" s="5"/>
      <c r="K11417" s="5"/>
      <c r="L11417" s="5"/>
    </row>
    <row r="11418" spans="1:12" ht="12" customHeight="1" x14ac:dyDescent="0.25">
      <c r="A11418" s="6"/>
      <c r="B11418" s="1"/>
      <c r="C11418" s="5"/>
      <c r="D11418" s="5"/>
      <c r="E11418" s="5"/>
      <c r="F11418" s="5"/>
      <c r="G11418" s="5"/>
      <c r="H11418" s="5"/>
      <c r="I11418" s="5"/>
      <c r="J11418" s="5"/>
      <c r="K11418" s="5"/>
      <c r="L11418" s="5"/>
    </row>
    <row r="11419" spans="1:12" ht="12" customHeight="1" x14ac:dyDescent="0.25">
      <c r="A11419" s="6"/>
      <c r="B11419" s="1"/>
      <c r="C11419" s="5"/>
      <c r="D11419" s="5"/>
      <c r="E11419" s="5"/>
      <c r="F11419" s="5"/>
      <c r="G11419" s="5"/>
      <c r="H11419" s="5"/>
      <c r="I11419" s="5"/>
      <c r="J11419" s="5"/>
      <c r="K11419" s="5"/>
      <c r="L11419" s="5"/>
    </row>
    <row r="11420" spans="1:12" ht="12" customHeight="1" x14ac:dyDescent="0.25">
      <c r="A11420" s="6"/>
      <c r="B11420" s="1"/>
      <c r="C11420" s="5"/>
      <c r="D11420" s="5"/>
      <c r="E11420" s="5"/>
      <c r="F11420" s="5"/>
      <c r="G11420" s="5"/>
      <c r="H11420" s="5"/>
      <c r="I11420" s="5"/>
      <c r="J11420" s="5"/>
      <c r="K11420" s="5"/>
      <c r="L11420" s="5"/>
    </row>
    <row r="11421" spans="1:12" ht="12" customHeight="1" x14ac:dyDescent="0.25">
      <c r="A11421" s="6"/>
      <c r="B11421" s="1"/>
      <c r="C11421" s="5"/>
      <c r="D11421" s="5"/>
      <c r="E11421" s="5"/>
      <c r="F11421" s="5"/>
      <c r="G11421" s="5"/>
      <c r="H11421" s="5"/>
      <c r="I11421" s="5"/>
      <c r="J11421" s="5"/>
      <c r="K11421" s="5"/>
      <c r="L11421" s="5"/>
    </row>
    <row r="11422" spans="1:12" ht="12" customHeight="1" x14ac:dyDescent="0.25">
      <c r="A11422" s="6"/>
      <c r="B11422" s="1"/>
      <c r="C11422" s="5"/>
      <c r="D11422" s="5"/>
      <c r="E11422" s="5"/>
      <c r="F11422" s="5"/>
      <c r="G11422" s="5"/>
      <c r="H11422" s="5"/>
      <c r="I11422" s="5"/>
      <c r="J11422" s="5"/>
      <c r="K11422" s="5"/>
      <c r="L11422" s="5"/>
    </row>
    <row r="11423" spans="1:12" ht="12" customHeight="1" x14ac:dyDescent="0.25">
      <c r="A11423" s="6"/>
      <c r="B11423" s="1"/>
      <c r="C11423" s="5"/>
      <c r="D11423" s="5"/>
      <c r="E11423" s="5"/>
      <c r="F11423" s="5"/>
      <c r="G11423" s="5"/>
      <c r="H11423" s="5"/>
      <c r="I11423" s="5"/>
      <c r="J11423" s="5"/>
      <c r="K11423" s="5"/>
      <c r="L11423" s="5"/>
    </row>
    <row r="11424" spans="1:12" ht="12" customHeight="1" x14ac:dyDescent="0.25">
      <c r="A11424" s="6"/>
      <c r="B11424" s="1"/>
      <c r="C11424" s="5"/>
      <c r="D11424" s="5"/>
      <c r="E11424" s="5"/>
      <c r="F11424" s="5"/>
      <c r="G11424" s="5"/>
      <c r="H11424" s="5"/>
      <c r="I11424" s="5"/>
      <c r="J11424" s="5"/>
      <c r="K11424" s="5"/>
      <c r="L11424" s="5"/>
    </row>
    <row r="11425" spans="1:12" ht="12" customHeight="1" x14ac:dyDescent="0.25">
      <c r="A11425" s="6"/>
      <c r="B11425" s="1"/>
      <c r="C11425" s="5"/>
      <c r="D11425" s="5"/>
      <c r="E11425" s="5"/>
      <c r="F11425" s="5"/>
      <c r="G11425" s="5"/>
      <c r="H11425" s="5"/>
      <c r="I11425" s="5"/>
      <c r="J11425" s="5"/>
      <c r="K11425" s="5"/>
      <c r="L11425" s="5"/>
    </row>
    <row r="11426" spans="1:12" ht="12" customHeight="1" x14ac:dyDescent="0.25">
      <c r="A11426" s="6"/>
      <c r="B11426" s="1"/>
      <c r="C11426" s="5"/>
      <c r="D11426" s="5"/>
      <c r="E11426" s="5"/>
      <c r="F11426" s="5"/>
      <c r="G11426" s="5"/>
      <c r="H11426" s="5"/>
      <c r="I11426" s="5"/>
      <c r="J11426" s="5"/>
      <c r="K11426" s="5"/>
      <c r="L11426" s="5"/>
    </row>
    <row r="11427" spans="1:12" ht="12" customHeight="1" x14ac:dyDescent="0.25">
      <c r="A11427" s="6"/>
      <c r="B11427" s="1"/>
      <c r="C11427" s="5"/>
      <c r="D11427" s="5"/>
      <c r="E11427" s="5"/>
      <c r="F11427" s="5"/>
      <c r="G11427" s="5"/>
      <c r="H11427" s="5"/>
      <c r="I11427" s="5"/>
      <c r="J11427" s="5"/>
      <c r="K11427" s="5"/>
      <c r="L11427" s="5"/>
    </row>
    <row r="11428" spans="1:12" ht="12" customHeight="1" x14ac:dyDescent="0.25">
      <c r="A11428" s="6"/>
      <c r="B11428" s="1"/>
      <c r="C11428" s="5"/>
      <c r="D11428" s="5"/>
      <c r="E11428" s="5"/>
      <c r="F11428" s="5"/>
      <c r="G11428" s="5"/>
      <c r="H11428" s="5"/>
      <c r="I11428" s="5"/>
      <c r="J11428" s="5"/>
      <c r="K11428" s="5"/>
      <c r="L11428" s="5"/>
    </row>
    <row r="11429" spans="1:12" ht="12" customHeight="1" x14ac:dyDescent="0.25">
      <c r="A11429" s="6"/>
      <c r="B11429" s="1"/>
      <c r="C11429" s="5"/>
      <c r="D11429" s="5"/>
      <c r="E11429" s="5"/>
      <c r="F11429" s="5"/>
      <c r="G11429" s="5"/>
      <c r="H11429" s="5"/>
      <c r="I11429" s="5"/>
      <c r="J11429" s="5"/>
      <c r="K11429" s="5"/>
      <c r="L11429" s="5"/>
    </row>
    <row r="11430" spans="1:12" ht="12" customHeight="1" x14ac:dyDescent="0.25">
      <c r="A11430" s="6"/>
      <c r="B11430" s="1"/>
      <c r="C11430" s="5"/>
      <c r="D11430" s="5"/>
      <c r="E11430" s="5"/>
      <c r="F11430" s="5"/>
      <c r="G11430" s="5"/>
      <c r="H11430" s="5"/>
      <c r="I11430" s="5"/>
      <c r="J11430" s="5"/>
      <c r="K11430" s="5"/>
      <c r="L11430" s="5"/>
    </row>
    <row r="11431" spans="1:12" ht="12" customHeight="1" x14ac:dyDescent="0.25">
      <c r="A11431" s="6"/>
      <c r="B11431" s="1"/>
      <c r="C11431" s="5"/>
      <c r="D11431" s="5"/>
      <c r="E11431" s="5"/>
      <c r="F11431" s="5"/>
      <c r="G11431" s="5"/>
      <c r="H11431" s="5"/>
      <c r="I11431" s="5"/>
      <c r="J11431" s="5"/>
      <c r="K11431" s="5"/>
      <c r="L11431" s="5"/>
    </row>
    <row r="11432" spans="1:12" ht="12" customHeight="1" x14ac:dyDescent="0.25">
      <c r="A11432" s="6"/>
      <c r="B11432" s="1"/>
      <c r="C11432" s="5"/>
      <c r="D11432" s="5"/>
      <c r="E11432" s="5"/>
      <c r="F11432" s="5"/>
      <c r="G11432" s="5"/>
      <c r="H11432" s="5"/>
      <c r="I11432" s="5"/>
      <c r="J11432" s="5"/>
      <c r="K11432" s="5"/>
      <c r="L11432" s="5"/>
    </row>
    <row r="11433" spans="1:12" ht="12" customHeight="1" x14ac:dyDescent="0.25">
      <c r="A11433" s="6"/>
      <c r="B11433" s="1"/>
      <c r="C11433" s="5"/>
      <c r="D11433" s="5"/>
      <c r="E11433" s="5"/>
      <c r="F11433" s="5"/>
      <c r="G11433" s="5"/>
      <c r="H11433" s="5"/>
      <c r="I11433" s="5"/>
      <c r="J11433" s="5"/>
      <c r="K11433" s="5"/>
      <c r="L11433" s="5"/>
    </row>
    <row r="11434" spans="1:12" ht="12" customHeight="1" x14ac:dyDescent="0.25">
      <c r="A11434" s="6"/>
      <c r="B11434" s="1"/>
      <c r="C11434" s="5"/>
      <c r="D11434" s="5"/>
      <c r="E11434" s="5"/>
      <c r="F11434" s="5"/>
      <c r="G11434" s="5"/>
      <c r="H11434" s="5"/>
      <c r="I11434" s="5"/>
      <c r="J11434" s="5"/>
      <c r="K11434" s="5"/>
      <c r="L11434" s="5"/>
    </row>
    <row r="11435" spans="1:12" ht="12" customHeight="1" x14ac:dyDescent="0.25">
      <c r="A11435" s="6"/>
      <c r="B11435" s="1"/>
      <c r="C11435" s="5"/>
      <c r="D11435" s="5"/>
      <c r="E11435" s="5"/>
      <c r="F11435" s="5"/>
      <c r="G11435" s="5"/>
      <c r="H11435" s="5"/>
      <c r="I11435" s="5"/>
      <c r="J11435" s="5"/>
      <c r="K11435" s="5"/>
      <c r="L11435" s="5"/>
    </row>
    <row r="11436" spans="1:12" ht="12" customHeight="1" x14ac:dyDescent="0.25">
      <c r="A11436" s="6"/>
      <c r="B11436" s="1"/>
      <c r="C11436" s="5"/>
      <c r="D11436" s="5"/>
      <c r="E11436" s="5"/>
      <c r="F11436" s="5"/>
      <c r="G11436" s="5"/>
      <c r="H11436" s="5"/>
      <c r="I11436" s="5"/>
      <c r="J11436" s="5"/>
      <c r="K11436" s="5"/>
      <c r="L11436" s="5"/>
    </row>
    <row r="11437" spans="1:12" ht="12" customHeight="1" x14ac:dyDescent="0.25">
      <c r="A11437" s="6"/>
      <c r="B11437" s="1"/>
      <c r="C11437" s="5"/>
      <c r="D11437" s="5"/>
      <c r="E11437" s="5"/>
      <c r="F11437" s="5"/>
      <c r="G11437" s="5"/>
      <c r="H11437" s="5"/>
      <c r="I11437" s="5"/>
      <c r="J11437" s="5"/>
      <c r="K11437" s="5"/>
      <c r="L11437" s="5"/>
    </row>
    <row r="11438" spans="1:12" ht="12" customHeight="1" x14ac:dyDescent="0.25">
      <c r="A11438" s="6"/>
      <c r="B11438" s="1"/>
      <c r="C11438" s="5"/>
      <c r="D11438" s="5"/>
      <c r="E11438" s="5"/>
      <c r="F11438" s="5"/>
      <c r="G11438" s="5"/>
      <c r="H11438" s="5"/>
      <c r="I11438" s="5"/>
      <c r="J11438" s="5"/>
      <c r="K11438" s="5"/>
      <c r="L11438" s="5"/>
    </row>
    <row r="11439" spans="1:12" ht="12" customHeight="1" x14ac:dyDescent="0.25">
      <c r="A11439" s="6"/>
      <c r="B11439" s="1"/>
      <c r="C11439" s="5"/>
      <c r="D11439" s="5"/>
      <c r="E11439" s="5"/>
      <c r="F11439" s="5"/>
      <c r="G11439" s="5"/>
      <c r="H11439" s="5"/>
      <c r="I11439" s="5"/>
      <c r="J11439" s="5"/>
      <c r="K11439" s="5"/>
      <c r="L11439" s="5"/>
    </row>
    <row r="11440" spans="1:12" ht="12" customHeight="1" x14ac:dyDescent="0.25">
      <c r="A11440" s="6"/>
      <c r="B11440" s="1"/>
      <c r="C11440" s="5"/>
      <c r="D11440" s="5"/>
      <c r="E11440" s="5"/>
      <c r="F11440" s="5"/>
      <c r="G11440" s="5"/>
      <c r="H11440" s="5"/>
      <c r="I11440" s="5"/>
      <c r="J11440" s="5"/>
      <c r="K11440" s="5"/>
      <c r="L11440" s="5"/>
    </row>
    <row r="11441" spans="1:12" ht="12" customHeight="1" x14ac:dyDescent="0.25">
      <c r="A11441" s="6"/>
      <c r="B11441" s="1"/>
      <c r="C11441" s="5"/>
      <c r="D11441" s="5"/>
      <c r="E11441" s="5"/>
      <c r="F11441" s="5"/>
      <c r="G11441" s="5"/>
      <c r="H11441" s="5"/>
      <c r="I11441" s="5"/>
      <c r="J11441" s="5"/>
      <c r="K11441" s="5"/>
      <c r="L11441" s="5"/>
    </row>
    <row r="11442" spans="1:12" ht="12" customHeight="1" x14ac:dyDescent="0.25">
      <c r="A11442" s="6"/>
      <c r="B11442" s="1"/>
      <c r="C11442" s="5"/>
      <c r="D11442" s="5"/>
      <c r="E11442" s="5"/>
      <c r="F11442" s="5"/>
      <c r="G11442" s="5"/>
      <c r="H11442" s="5"/>
      <c r="I11442" s="5"/>
      <c r="J11442" s="5"/>
      <c r="K11442" s="5"/>
      <c r="L11442" s="5"/>
    </row>
    <row r="11443" spans="1:12" ht="12" customHeight="1" x14ac:dyDescent="0.25">
      <c r="A11443" s="6"/>
      <c r="B11443" s="1"/>
      <c r="C11443" s="5"/>
      <c r="D11443" s="5"/>
      <c r="E11443" s="5"/>
      <c r="F11443" s="5"/>
      <c r="G11443" s="5"/>
      <c r="H11443" s="5"/>
      <c r="I11443" s="5"/>
      <c r="J11443" s="5"/>
      <c r="K11443" s="5"/>
      <c r="L11443" s="5"/>
    </row>
    <row r="11444" spans="1:12" ht="12" customHeight="1" x14ac:dyDescent="0.25">
      <c r="A11444" s="6"/>
      <c r="B11444" s="1"/>
      <c r="C11444" s="5"/>
      <c r="D11444" s="5"/>
      <c r="E11444" s="5"/>
      <c r="F11444" s="5"/>
      <c r="G11444" s="5"/>
      <c r="H11444" s="5"/>
      <c r="I11444" s="5"/>
      <c r="J11444" s="5"/>
      <c r="K11444" s="5"/>
      <c r="L11444" s="5"/>
    </row>
    <row r="11445" spans="1:12" ht="12" customHeight="1" x14ac:dyDescent="0.25">
      <c r="A11445" s="6"/>
      <c r="B11445" s="1"/>
      <c r="C11445" s="5"/>
      <c r="D11445" s="5"/>
      <c r="E11445" s="5"/>
      <c r="F11445" s="5"/>
      <c r="G11445" s="5"/>
      <c r="H11445" s="5"/>
      <c r="I11445" s="5"/>
      <c r="J11445" s="5"/>
      <c r="K11445" s="5"/>
      <c r="L11445" s="5"/>
    </row>
    <row r="11446" spans="1:12" ht="12" customHeight="1" x14ac:dyDescent="0.25">
      <c r="A11446" s="6"/>
      <c r="B11446" s="1"/>
      <c r="C11446" s="5"/>
      <c r="D11446" s="5"/>
      <c r="E11446" s="5"/>
      <c r="F11446" s="5"/>
      <c r="G11446" s="5"/>
      <c r="H11446" s="5"/>
      <c r="I11446" s="5"/>
      <c r="J11446" s="5"/>
      <c r="K11446" s="5"/>
      <c r="L11446" s="5"/>
    </row>
    <row r="11447" spans="1:12" ht="12" customHeight="1" x14ac:dyDescent="0.25">
      <c r="A11447" s="6"/>
      <c r="B11447" s="1"/>
      <c r="C11447" s="5"/>
      <c r="D11447" s="5"/>
      <c r="E11447" s="5"/>
      <c r="F11447" s="5"/>
      <c r="G11447" s="5"/>
      <c r="H11447" s="5"/>
      <c r="I11447" s="5"/>
      <c r="J11447" s="5"/>
      <c r="K11447" s="5"/>
      <c r="L11447" s="5"/>
    </row>
    <row r="11448" spans="1:12" ht="12" customHeight="1" x14ac:dyDescent="0.25">
      <c r="A11448" s="6"/>
      <c r="B11448" s="1"/>
      <c r="C11448" s="5"/>
      <c r="D11448" s="5"/>
      <c r="E11448" s="5"/>
      <c r="F11448" s="5"/>
      <c r="G11448" s="5"/>
      <c r="H11448" s="5"/>
      <c r="I11448" s="5"/>
      <c r="J11448" s="5"/>
      <c r="K11448" s="5"/>
      <c r="L11448" s="5"/>
    </row>
    <row r="11449" spans="1:12" ht="12" customHeight="1" x14ac:dyDescent="0.25">
      <c r="A11449" s="6"/>
      <c r="B11449" s="1"/>
      <c r="C11449" s="5"/>
      <c r="D11449" s="5"/>
      <c r="E11449" s="5"/>
      <c r="F11449" s="5"/>
      <c r="G11449" s="5"/>
      <c r="H11449" s="5"/>
      <c r="I11449" s="5"/>
      <c r="J11449" s="5"/>
      <c r="K11449" s="5"/>
      <c r="L11449" s="5"/>
    </row>
    <row r="11450" spans="1:12" ht="12" customHeight="1" x14ac:dyDescent="0.25">
      <c r="A11450" s="6"/>
      <c r="B11450" s="1"/>
      <c r="C11450" s="5"/>
      <c r="D11450" s="5"/>
      <c r="E11450" s="5"/>
      <c r="F11450" s="5"/>
      <c r="G11450" s="5"/>
      <c r="H11450" s="5"/>
      <c r="I11450" s="5"/>
      <c r="J11450" s="5"/>
      <c r="K11450" s="5"/>
      <c r="L11450" s="5"/>
    </row>
    <row r="11451" spans="1:12" ht="12" customHeight="1" x14ac:dyDescent="0.25">
      <c r="A11451" s="6"/>
      <c r="B11451" s="1"/>
      <c r="C11451" s="5"/>
      <c r="D11451" s="5"/>
      <c r="E11451" s="5"/>
      <c r="F11451" s="5"/>
      <c r="G11451" s="5"/>
      <c r="H11451" s="5"/>
      <c r="I11451" s="5"/>
      <c r="J11451" s="5"/>
      <c r="K11451" s="5"/>
      <c r="L11451" s="5"/>
    </row>
    <row r="11452" spans="1:12" ht="12" customHeight="1" x14ac:dyDescent="0.25">
      <c r="A11452" s="6"/>
      <c r="B11452" s="1"/>
      <c r="C11452" s="5"/>
      <c r="D11452" s="5"/>
      <c r="E11452" s="5"/>
      <c r="F11452" s="5"/>
      <c r="G11452" s="5"/>
      <c r="H11452" s="5"/>
      <c r="I11452" s="5"/>
      <c r="J11452" s="5"/>
      <c r="K11452" s="5"/>
      <c r="L11452" s="5"/>
    </row>
    <row r="11453" spans="1:12" ht="12" customHeight="1" x14ac:dyDescent="0.25">
      <c r="A11453" s="6"/>
      <c r="B11453" s="1"/>
      <c r="C11453" s="5"/>
      <c r="D11453" s="5"/>
      <c r="E11453" s="5"/>
      <c r="F11453" s="5"/>
      <c r="G11453" s="5"/>
      <c r="H11453" s="5"/>
      <c r="I11453" s="5"/>
      <c r="J11453" s="5"/>
      <c r="K11453" s="5"/>
      <c r="L11453" s="5"/>
    </row>
    <row r="11454" spans="1:12" ht="12" customHeight="1" x14ac:dyDescent="0.25">
      <c r="A11454" s="6"/>
      <c r="B11454" s="1"/>
      <c r="C11454" s="5"/>
      <c r="D11454" s="5"/>
      <c r="E11454" s="5"/>
      <c r="F11454" s="5"/>
      <c r="G11454" s="5"/>
      <c r="H11454" s="5"/>
      <c r="I11454" s="5"/>
      <c r="J11454" s="5"/>
      <c r="K11454" s="5"/>
      <c r="L11454" s="5"/>
    </row>
    <row r="11455" spans="1:12" ht="12" customHeight="1" x14ac:dyDescent="0.25">
      <c r="A11455" s="6"/>
      <c r="B11455" s="1"/>
      <c r="C11455" s="5"/>
      <c r="D11455" s="5"/>
      <c r="E11455" s="5"/>
      <c r="F11455" s="5"/>
      <c r="G11455" s="5"/>
      <c r="H11455" s="5"/>
      <c r="I11455" s="5"/>
      <c r="J11455" s="5"/>
      <c r="K11455" s="5"/>
      <c r="L11455" s="5"/>
    </row>
    <row r="11456" spans="1:12" ht="12" customHeight="1" x14ac:dyDescent="0.25">
      <c r="A11456" s="6"/>
      <c r="B11456" s="1"/>
      <c r="C11456" s="5"/>
      <c r="D11456" s="5"/>
      <c r="E11456" s="5"/>
      <c r="F11456" s="5"/>
      <c r="G11456" s="5"/>
      <c r="H11456" s="5"/>
      <c r="I11456" s="5"/>
      <c r="J11456" s="5"/>
      <c r="K11456" s="5"/>
      <c r="L11456" s="5"/>
    </row>
    <row r="11457" spans="1:12" ht="12" customHeight="1" x14ac:dyDescent="0.25">
      <c r="A11457" s="6"/>
      <c r="B11457" s="1"/>
      <c r="C11457" s="5"/>
      <c r="D11457" s="5"/>
      <c r="E11457" s="5"/>
      <c r="F11457" s="5"/>
      <c r="G11457" s="5"/>
      <c r="H11457" s="5"/>
      <c r="I11457" s="5"/>
      <c r="J11457" s="5"/>
      <c r="K11457" s="5"/>
      <c r="L11457" s="5"/>
    </row>
    <row r="11458" spans="1:12" ht="12" customHeight="1" x14ac:dyDescent="0.25">
      <c r="A11458" s="6"/>
      <c r="B11458" s="1"/>
      <c r="C11458" s="5"/>
      <c r="D11458" s="5"/>
      <c r="E11458" s="5"/>
      <c r="F11458" s="5"/>
      <c r="G11458" s="5"/>
      <c r="H11458" s="5"/>
      <c r="I11458" s="5"/>
      <c r="J11458" s="5"/>
      <c r="K11458" s="5"/>
      <c r="L11458" s="5"/>
    </row>
    <row r="11459" spans="1:12" ht="12" customHeight="1" x14ac:dyDescent="0.25">
      <c r="A11459" s="6"/>
      <c r="B11459" s="1"/>
      <c r="C11459" s="5"/>
      <c r="D11459" s="5"/>
      <c r="E11459" s="5"/>
      <c r="F11459" s="5"/>
      <c r="G11459" s="5"/>
      <c r="H11459" s="5"/>
      <c r="I11459" s="5"/>
      <c r="J11459" s="5"/>
      <c r="K11459" s="5"/>
      <c r="L11459" s="5"/>
    </row>
    <row r="11460" spans="1:12" ht="12" customHeight="1" x14ac:dyDescent="0.25">
      <c r="A11460" s="6"/>
      <c r="B11460" s="1"/>
      <c r="C11460" s="5"/>
      <c r="D11460" s="5"/>
      <c r="E11460" s="5"/>
      <c r="F11460" s="5"/>
      <c r="G11460" s="5"/>
      <c r="H11460" s="5"/>
      <c r="I11460" s="5"/>
      <c r="J11460" s="5"/>
      <c r="K11460" s="5"/>
      <c r="L11460" s="5"/>
    </row>
    <row r="11461" spans="1:12" ht="12" customHeight="1" x14ac:dyDescent="0.25">
      <c r="A11461" s="6"/>
      <c r="B11461" s="1"/>
      <c r="C11461" s="5"/>
      <c r="D11461" s="5"/>
      <c r="E11461" s="5"/>
      <c r="F11461" s="5"/>
      <c r="G11461" s="5"/>
      <c r="H11461" s="5"/>
      <c r="I11461" s="5"/>
      <c r="J11461" s="5"/>
      <c r="K11461" s="5"/>
      <c r="L11461" s="5"/>
    </row>
    <row r="11462" spans="1:12" ht="12" customHeight="1" x14ac:dyDescent="0.25">
      <c r="A11462" s="6"/>
      <c r="B11462" s="1"/>
      <c r="C11462" s="5"/>
      <c r="D11462" s="5"/>
      <c r="E11462" s="5"/>
      <c r="F11462" s="5"/>
      <c r="G11462" s="5"/>
      <c r="H11462" s="5"/>
      <c r="I11462" s="5"/>
      <c r="J11462" s="5"/>
      <c r="K11462" s="5"/>
      <c r="L11462" s="5"/>
    </row>
    <row r="11463" spans="1:12" ht="12" customHeight="1" x14ac:dyDescent="0.25">
      <c r="A11463" s="6"/>
      <c r="B11463" s="1"/>
      <c r="C11463" s="5"/>
      <c r="D11463" s="5"/>
      <c r="E11463" s="5"/>
      <c r="F11463" s="5"/>
      <c r="G11463" s="5"/>
      <c r="H11463" s="5"/>
      <c r="I11463" s="5"/>
      <c r="J11463" s="5"/>
      <c r="K11463" s="5"/>
      <c r="L11463" s="5"/>
    </row>
    <row r="11464" spans="1:12" ht="12" customHeight="1" x14ac:dyDescent="0.25">
      <c r="A11464" s="6"/>
      <c r="B11464" s="1"/>
      <c r="C11464" s="5"/>
      <c r="D11464" s="5"/>
      <c r="E11464" s="5"/>
      <c r="F11464" s="5"/>
      <c r="G11464" s="5"/>
      <c r="H11464" s="5"/>
      <c r="I11464" s="5"/>
      <c r="J11464" s="5"/>
      <c r="K11464" s="5"/>
      <c r="L11464" s="5"/>
    </row>
    <row r="11465" spans="1:12" ht="12" customHeight="1" x14ac:dyDescent="0.25">
      <c r="A11465" s="6"/>
      <c r="B11465" s="1"/>
      <c r="C11465" s="5"/>
      <c r="D11465" s="5"/>
      <c r="E11465" s="5"/>
      <c r="F11465" s="5"/>
      <c r="G11465" s="5"/>
      <c r="H11465" s="5"/>
      <c r="I11465" s="5"/>
      <c r="J11465" s="5"/>
      <c r="K11465" s="5"/>
      <c r="L11465" s="5"/>
    </row>
    <row r="11466" spans="1:12" ht="12" customHeight="1" x14ac:dyDescent="0.25">
      <c r="A11466" s="6"/>
      <c r="B11466" s="1"/>
      <c r="C11466" s="5"/>
      <c r="D11466" s="5"/>
      <c r="E11466" s="5"/>
      <c r="F11466" s="5"/>
      <c r="G11466" s="5"/>
      <c r="H11466" s="5"/>
      <c r="I11466" s="5"/>
      <c r="J11466" s="5"/>
      <c r="K11466" s="5"/>
      <c r="L11466" s="5"/>
    </row>
    <row r="11467" spans="1:12" ht="12" customHeight="1" x14ac:dyDescent="0.25">
      <c r="A11467" s="6"/>
      <c r="B11467" s="1"/>
      <c r="C11467" s="5"/>
      <c r="D11467" s="5"/>
      <c r="E11467" s="5"/>
      <c r="F11467" s="5"/>
      <c r="G11467" s="5"/>
      <c r="H11467" s="5"/>
      <c r="I11467" s="5"/>
      <c r="J11467" s="5"/>
      <c r="K11467" s="5"/>
      <c r="L11467" s="5"/>
    </row>
    <row r="11468" spans="1:12" ht="12" customHeight="1" x14ac:dyDescent="0.25">
      <c r="A11468" s="6"/>
      <c r="B11468" s="1"/>
      <c r="C11468" s="5"/>
      <c r="D11468" s="5"/>
      <c r="E11468" s="5"/>
      <c r="F11468" s="5"/>
      <c r="G11468" s="5"/>
      <c r="H11468" s="5"/>
      <c r="I11468" s="5"/>
      <c r="J11468" s="5"/>
      <c r="K11468" s="5"/>
      <c r="L11468" s="5"/>
    </row>
    <row r="11469" spans="1:12" ht="12" customHeight="1" x14ac:dyDescent="0.25">
      <c r="A11469" s="6"/>
      <c r="B11469" s="1"/>
      <c r="C11469" s="5"/>
      <c r="D11469" s="5"/>
      <c r="E11469" s="5"/>
      <c r="F11469" s="5"/>
      <c r="G11469" s="5"/>
      <c r="H11469" s="5"/>
      <c r="I11469" s="5"/>
      <c r="J11469" s="5"/>
      <c r="K11469" s="5"/>
      <c r="L11469" s="5"/>
    </row>
    <row r="11470" spans="1:12" ht="12" customHeight="1" x14ac:dyDescent="0.25">
      <c r="A11470" s="6"/>
      <c r="B11470" s="1"/>
      <c r="C11470" s="5"/>
      <c r="D11470" s="5"/>
      <c r="E11470" s="5"/>
      <c r="F11470" s="5"/>
      <c r="G11470" s="5"/>
      <c r="H11470" s="5"/>
      <c r="I11470" s="5"/>
      <c r="J11470" s="5"/>
      <c r="K11470" s="5"/>
      <c r="L11470" s="5"/>
    </row>
    <row r="11471" spans="1:12" ht="12" customHeight="1" x14ac:dyDescent="0.25">
      <c r="A11471" s="6"/>
      <c r="B11471" s="1"/>
      <c r="C11471" s="5"/>
      <c r="D11471" s="5"/>
      <c r="E11471" s="5"/>
      <c r="F11471" s="5"/>
      <c r="G11471" s="5"/>
      <c r="H11471" s="5"/>
      <c r="I11471" s="5"/>
      <c r="J11471" s="5"/>
      <c r="K11471" s="5"/>
      <c r="L11471" s="5"/>
    </row>
    <row r="11472" spans="1:12" ht="12" customHeight="1" x14ac:dyDescent="0.25">
      <c r="A11472" s="6"/>
      <c r="B11472" s="1"/>
      <c r="C11472" s="5"/>
      <c r="D11472" s="5"/>
      <c r="E11472" s="5"/>
      <c r="F11472" s="5"/>
      <c r="G11472" s="5"/>
      <c r="H11472" s="5"/>
      <c r="I11472" s="5"/>
      <c r="J11472" s="5"/>
      <c r="K11472" s="5"/>
      <c r="L11472" s="5"/>
    </row>
    <row r="11473" spans="1:12" ht="12" customHeight="1" x14ac:dyDescent="0.25">
      <c r="A11473" s="6"/>
      <c r="B11473" s="1"/>
      <c r="C11473" s="5"/>
      <c r="D11473" s="5"/>
      <c r="E11473" s="5"/>
      <c r="F11473" s="5"/>
      <c r="G11473" s="5"/>
      <c r="H11473" s="5"/>
      <c r="I11473" s="5"/>
      <c r="J11473" s="5"/>
      <c r="K11473" s="5"/>
      <c r="L11473" s="5"/>
    </row>
    <row r="11474" spans="1:12" ht="12" customHeight="1" x14ac:dyDescent="0.25">
      <c r="A11474" s="6"/>
      <c r="B11474" s="1"/>
      <c r="C11474" s="5"/>
      <c r="D11474" s="5"/>
      <c r="E11474" s="5"/>
      <c r="F11474" s="5"/>
      <c r="G11474" s="5"/>
      <c r="H11474" s="5"/>
      <c r="I11474" s="5"/>
      <c r="J11474" s="5"/>
      <c r="K11474" s="5"/>
      <c r="L11474" s="5"/>
    </row>
    <row r="11475" spans="1:12" ht="12" customHeight="1" x14ac:dyDescent="0.25">
      <c r="A11475" s="6"/>
      <c r="B11475" s="1"/>
      <c r="C11475" s="5"/>
      <c r="D11475" s="5"/>
      <c r="E11475" s="5"/>
      <c r="F11475" s="5"/>
      <c r="G11475" s="5"/>
      <c r="H11475" s="5"/>
      <c r="I11475" s="5"/>
      <c r="J11475" s="5"/>
      <c r="K11475" s="5"/>
      <c r="L11475" s="5"/>
    </row>
    <row r="11476" spans="1:12" ht="12" customHeight="1" x14ac:dyDescent="0.25">
      <c r="A11476" s="6"/>
      <c r="B11476" s="1"/>
      <c r="C11476" s="5"/>
      <c r="D11476" s="5"/>
      <c r="E11476" s="5"/>
      <c r="F11476" s="5"/>
      <c r="G11476" s="5"/>
      <c r="H11476" s="5"/>
      <c r="I11476" s="5"/>
      <c r="J11476" s="5"/>
      <c r="K11476" s="5"/>
      <c r="L11476" s="5"/>
    </row>
    <row r="11477" spans="1:12" ht="12" customHeight="1" x14ac:dyDescent="0.25">
      <c r="A11477" s="6"/>
      <c r="B11477" s="1"/>
      <c r="C11477" s="5"/>
      <c r="D11477" s="5"/>
      <c r="E11477" s="5"/>
      <c r="F11477" s="5"/>
      <c r="G11477" s="5"/>
      <c r="H11477" s="5"/>
      <c r="I11477" s="5"/>
      <c r="J11477" s="5"/>
      <c r="K11477" s="5"/>
      <c r="L11477" s="5"/>
    </row>
    <row r="11478" spans="1:12" ht="12" customHeight="1" x14ac:dyDescent="0.25">
      <c r="A11478" s="6"/>
      <c r="B11478" s="1"/>
      <c r="C11478" s="5"/>
      <c r="D11478" s="5"/>
      <c r="E11478" s="5"/>
      <c r="F11478" s="5"/>
      <c r="G11478" s="5"/>
      <c r="H11478" s="5"/>
      <c r="I11478" s="5"/>
      <c r="J11478" s="5"/>
      <c r="K11478" s="5"/>
      <c r="L11478" s="5"/>
    </row>
    <row r="11479" spans="1:12" ht="12" customHeight="1" x14ac:dyDescent="0.25">
      <c r="A11479" s="6"/>
      <c r="B11479" s="1"/>
      <c r="C11479" s="5"/>
      <c r="D11479" s="5"/>
      <c r="E11479" s="5"/>
      <c r="F11479" s="5"/>
      <c r="G11479" s="5"/>
      <c r="H11479" s="5"/>
      <c r="I11479" s="5"/>
      <c r="J11479" s="5"/>
      <c r="K11479" s="5"/>
      <c r="L11479" s="5"/>
    </row>
    <row r="11480" spans="1:12" ht="12" customHeight="1" x14ac:dyDescent="0.25">
      <c r="A11480" s="6"/>
      <c r="B11480" s="1"/>
      <c r="C11480" s="5"/>
      <c r="D11480" s="5"/>
      <c r="E11480" s="5"/>
      <c r="F11480" s="5"/>
      <c r="G11480" s="5"/>
      <c r="H11480" s="5"/>
      <c r="I11480" s="5"/>
      <c r="J11480" s="5"/>
      <c r="K11480" s="5"/>
      <c r="L11480" s="5"/>
    </row>
    <row r="11481" spans="1:12" ht="12" customHeight="1" x14ac:dyDescent="0.25">
      <c r="A11481" s="6"/>
      <c r="B11481" s="1"/>
      <c r="C11481" s="5"/>
      <c r="D11481" s="5"/>
      <c r="E11481" s="5"/>
      <c r="F11481" s="5"/>
      <c r="G11481" s="5"/>
      <c r="H11481" s="5"/>
      <c r="I11481" s="5"/>
      <c r="J11481" s="5"/>
      <c r="K11481" s="5"/>
      <c r="L11481" s="5"/>
    </row>
    <row r="11482" spans="1:12" ht="12" customHeight="1" x14ac:dyDescent="0.25">
      <c r="A11482" s="6"/>
      <c r="B11482" s="1"/>
      <c r="C11482" s="5"/>
      <c r="D11482" s="5"/>
      <c r="E11482" s="5"/>
      <c r="F11482" s="5"/>
      <c r="G11482" s="5"/>
      <c r="H11482" s="5"/>
      <c r="I11482" s="5"/>
      <c r="J11482" s="5"/>
      <c r="K11482" s="5"/>
      <c r="L11482" s="5"/>
    </row>
    <row r="11483" spans="1:12" ht="12" customHeight="1" x14ac:dyDescent="0.25">
      <c r="A11483" s="6"/>
      <c r="B11483" s="1"/>
      <c r="C11483" s="5"/>
      <c r="D11483" s="5"/>
      <c r="E11483" s="5"/>
      <c r="F11483" s="5"/>
      <c r="G11483" s="5"/>
      <c r="H11483" s="5"/>
      <c r="I11483" s="5"/>
      <c r="J11483" s="5"/>
      <c r="K11483" s="5"/>
      <c r="L11483" s="5"/>
    </row>
    <row r="11484" spans="1:12" ht="12" customHeight="1" x14ac:dyDescent="0.25">
      <c r="A11484" s="6"/>
      <c r="B11484" s="1"/>
      <c r="C11484" s="5"/>
      <c r="D11484" s="5"/>
      <c r="E11484" s="5"/>
      <c r="F11484" s="5"/>
      <c r="G11484" s="5"/>
      <c r="H11484" s="5"/>
      <c r="I11484" s="5"/>
      <c r="J11484" s="5"/>
      <c r="K11484" s="5"/>
      <c r="L11484" s="5"/>
    </row>
    <row r="11485" spans="1:12" ht="12" customHeight="1" x14ac:dyDescent="0.25">
      <c r="A11485" s="6"/>
      <c r="B11485" s="1"/>
      <c r="C11485" s="5"/>
      <c r="D11485" s="5"/>
      <c r="E11485" s="5"/>
      <c r="F11485" s="5"/>
      <c r="G11485" s="5"/>
      <c r="H11485" s="5"/>
      <c r="I11485" s="5"/>
      <c r="J11485" s="5"/>
      <c r="K11485" s="5"/>
      <c r="L11485" s="5"/>
    </row>
    <row r="11486" spans="1:12" ht="12" customHeight="1" x14ac:dyDescent="0.25">
      <c r="A11486" s="6"/>
      <c r="B11486" s="1"/>
      <c r="C11486" s="5"/>
      <c r="D11486" s="5"/>
      <c r="E11486" s="5"/>
      <c r="F11486" s="5"/>
      <c r="G11486" s="5"/>
      <c r="H11486" s="5"/>
      <c r="I11486" s="5"/>
      <c r="J11486" s="5"/>
      <c r="K11486" s="5"/>
      <c r="L11486" s="5"/>
    </row>
    <row r="11487" spans="1:12" ht="12" customHeight="1" x14ac:dyDescent="0.25">
      <c r="A11487" s="6"/>
      <c r="B11487" s="1"/>
      <c r="C11487" s="5"/>
      <c r="D11487" s="5"/>
      <c r="E11487" s="5"/>
      <c r="F11487" s="5"/>
      <c r="G11487" s="5"/>
      <c r="H11487" s="5"/>
      <c r="I11487" s="5"/>
      <c r="J11487" s="5"/>
      <c r="K11487" s="5"/>
      <c r="L11487" s="5"/>
    </row>
    <row r="11488" spans="1:12" ht="12" customHeight="1" x14ac:dyDescent="0.25">
      <c r="A11488" s="6"/>
      <c r="B11488" s="1"/>
      <c r="C11488" s="5"/>
      <c r="D11488" s="5"/>
      <c r="E11488" s="5"/>
      <c r="F11488" s="5"/>
      <c r="G11488" s="5"/>
      <c r="H11488" s="5"/>
      <c r="I11488" s="5"/>
      <c r="J11488" s="5"/>
      <c r="K11488" s="5"/>
      <c r="L11488" s="5"/>
    </row>
    <row r="11489" spans="1:12" ht="12" customHeight="1" x14ac:dyDescent="0.25">
      <c r="A11489" s="6"/>
      <c r="B11489" s="1"/>
      <c r="C11489" s="5"/>
      <c r="D11489" s="5"/>
      <c r="E11489" s="5"/>
      <c r="F11489" s="5"/>
      <c r="G11489" s="5"/>
      <c r="H11489" s="5"/>
      <c r="I11489" s="5"/>
      <c r="J11489" s="5"/>
      <c r="K11489" s="5"/>
      <c r="L11489" s="5"/>
    </row>
    <row r="11490" spans="1:12" ht="12" customHeight="1" x14ac:dyDescent="0.25">
      <c r="A11490" s="6"/>
      <c r="B11490" s="1"/>
      <c r="C11490" s="5"/>
      <c r="D11490" s="5"/>
      <c r="E11490" s="5"/>
      <c r="F11490" s="5"/>
      <c r="G11490" s="5"/>
      <c r="H11490" s="5"/>
      <c r="I11490" s="5"/>
      <c r="J11490" s="5"/>
      <c r="K11490" s="5"/>
      <c r="L11490" s="5"/>
    </row>
    <row r="11491" spans="1:12" ht="12" customHeight="1" x14ac:dyDescent="0.25">
      <c r="A11491" s="6"/>
      <c r="B11491" s="1"/>
      <c r="C11491" s="5"/>
      <c r="D11491" s="5"/>
      <c r="E11491" s="5"/>
      <c r="F11491" s="5"/>
      <c r="G11491" s="5"/>
      <c r="H11491" s="5"/>
      <c r="I11491" s="5"/>
      <c r="J11491" s="5"/>
      <c r="K11491" s="5"/>
      <c r="L11491" s="5"/>
    </row>
    <row r="11492" spans="1:12" ht="12" customHeight="1" x14ac:dyDescent="0.25">
      <c r="A11492" s="6"/>
      <c r="B11492" s="1"/>
      <c r="C11492" s="5"/>
      <c r="D11492" s="5"/>
      <c r="E11492" s="5"/>
      <c r="F11492" s="5"/>
      <c r="G11492" s="5"/>
      <c r="H11492" s="5"/>
      <c r="I11492" s="5"/>
      <c r="J11492" s="5"/>
      <c r="K11492" s="5"/>
      <c r="L11492" s="5"/>
    </row>
    <row r="11493" spans="1:12" ht="12" customHeight="1" x14ac:dyDescent="0.25">
      <c r="A11493" s="6"/>
      <c r="B11493" s="1"/>
      <c r="C11493" s="5"/>
      <c r="D11493" s="5"/>
      <c r="E11493" s="5"/>
      <c r="F11493" s="5"/>
      <c r="G11493" s="5"/>
      <c r="H11493" s="5"/>
      <c r="I11493" s="5"/>
      <c r="J11493" s="5"/>
      <c r="K11493" s="5"/>
      <c r="L11493" s="5"/>
    </row>
    <row r="11494" spans="1:12" ht="12" customHeight="1" x14ac:dyDescent="0.25">
      <c r="A11494" s="6"/>
      <c r="B11494" s="1"/>
      <c r="C11494" s="5"/>
      <c r="D11494" s="5"/>
      <c r="E11494" s="5"/>
      <c r="F11494" s="5"/>
      <c r="G11494" s="5"/>
      <c r="H11494" s="5"/>
      <c r="I11494" s="5"/>
      <c r="J11494" s="5"/>
      <c r="K11494" s="5"/>
      <c r="L11494" s="5"/>
    </row>
    <row r="11495" spans="1:12" ht="12" customHeight="1" x14ac:dyDescent="0.25">
      <c r="A11495" s="6"/>
      <c r="B11495" s="1"/>
      <c r="C11495" s="5"/>
      <c r="D11495" s="5"/>
      <c r="E11495" s="5"/>
      <c r="F11495" s="5"/>
      <c r="G11495" s="5"/>
      <c r="H11495" s="5"/>
      <c r="I11495" s="5"/>
      <c r="J11495" s="5"/>
      <c r="K11495" s="5"/>
      <c r="L11495" s="5"/>
    </row>
    <row r="11496" spans="1:12" ht="12" customHeight="1" x14ac:dyDescent="0.25">
      <c r="A11496" s="6"/>
      <c r="B11496" s="1"/>
      <c r="C11496" s="5"/>
      <c r="D11496" s="5"/>
      <c r="E11496" s="5"/>
      <c r="F11496" s="5"/>
      <c r="G11496" s="5"/>
      <c r="H11496" s="5"/>
      <c r="I11496" s="5"/>
      <c r="J11496" s="5"/>
      <c r="K11496" s="5"/>
      <c r="L11496" s="5"/>
    </row>
    <row r="11497" spans="1:12" ht="12" customHeight="1" x14ac:dyDescent="0.25">
      <c r="A11497" s="6"/>
      <c r="B11497" s="1"/>
      <c r="C11497" s="5"/>
      <c r="D11497" s="5"/>
      <c r="E11497" s="5"/>
      <c r="F11497" s="5"/>
      <c r="G11497" s="5"/>
      <c r="H11497" s="5"/>
      <c r="I11497" s="5"/>
      <c r="J11497" s="5"/>
      <c r="K11497" s="5"/>
      <c r="L11497" s="5"/>
    </row>
    <row r="11498" spans="1:12" ht="12" customHeight="1" x14ac:dyDescent="0.25">
      <c r="A11498" s="6"/>
      <c r="B11498" s="1"/>
      <c r="C11498" s="5"/>
      <c r="D11498" s="5"/>
      <c r="E11498" s="5"/>
      <c r="F11498" s="5"/>
      <c r="G11498" s="5"/>
      <c r="H11498" s="5"/>
      <c r="I11498" s="5"/>
      <c r="J11498" s="5"/>
      <c r="K11498" s="5"/>
      <c r="L11498" s="5"/>
    </row>
    <row r="11499" spans="1:12" ht="12" customHeight="1" x14ac:dyDescent="0.25">
      <c r="A11499" s="6"/>
      <c r="B11499" s="1"/>
      <c r="C11499" s="5"/>
      <c r="D11499" s="5"/>
      <c r="E11499" s="5"/>
      <c r="F11499" s="5"/>
      <c r="G11499" s="5"/>
      <c r="H11499" s="5"/>
      <c r="I11499" s="5"/>
      <c r="J11499" s="5"/>
      <c r="K11499" s="5"/>
      <c r="L11499" s="5"/>
    </row>
    <row r="11500" spans="1:12" ht="12" customHeight="1" x14ac:dyDescent="0.25">
      <c r="A11500" s="6"/>
      <c r="B11500" s="1"/>
      <c r="C11500" s="5"/>
      <c r="D11500" s="5"/>
      <c r="E11500" s="5"/>
      <c r="F11500" s="5"/>
      <c r="G11500" s="5"/>
      <c r="H11500" s="5"/>
      <c r="I11500" s="5"/>
      <c r="J11500" s="5"/>
      <c r="K11500" s="5"/>
      <c r="L11500" s="5"/>
    </row>
    <row r="11501" spans="1:12" ht="12" customHeight="1" x14ac:dyDescent="0.25">
      <c r="A11501" s="6"/>
      <c r="B11501" s="1"/>
      <c r="C11501" s="5"/>
      <c r="D11501" s="5"/>
      <c r="E11501" s="5"/>
      <c r="F11501" s="5"/>
      <c r="G11501" s="5"/>
      <c r="H11501" s="5"/>
      <c r="I11501" s="5"/>
      <c r="J11501" s="5"/>
      <c r="K11501" s="5"/>
      <c r="L11501" s="5"/>
    </row>
    <row r="11502" spans="1:12" ht="12" customHeight="1" x14ac:dyDescent="0.25">
      <c r="A11502" s="6"/>
      <c r="B11502" s="1"/>
      <c r="C11502" s="5"/>
      <c r="D11502" s="5"/>
      <c r="E11502" s="5"/>
      <c r="F11502" s="5"/>
      <c r="G11502" s="5"/>
      <c r="H11502" s="5"/>
      <c r="I11502" s="5"/>
      <c r="J11502" s="5"/>
      <c r="K11502" s="5"/>
      <c r="L11502" s="5"/>
    </row>
    <row r="11503" spans="1:12" ht="12" customHeight="1" x14ac:dyDescent="0.25">
      <c r="A11503" s="6"/>
      <c r="B11503" s="1"/>
      <c r="C11503" s="5"/>
      <c r="D11503" s="5"/>
      <c r="E11503" s="5"/>
      <c r="F11503" s="5"/>
      <c r="G11503" s="5"/>
      <c r="H11503" s="5"/>
      <c r="I11503" s="5"/>
      <c r="J11503" s="5"/>
      <c r="K11503" s="5"/>
      <c r="L11503" s="5"/>
    </row>
    <row r="11504" spans="1:12" ht="12" customHeight="1" x14ac:dyDescent="0.25">
      <c r="A11504" s="6"/>
      <c r="B11504" s="1"/>
      <c r="C11504" s="5"/>
      <c r="D11504" s="5"/>
      <c r="E11504" s="5"/>
      <c r="F11504" s="5"/>
      <c r="G11504" s="5"/>
      <c r="H11504" s="5"/>
      <c r="I11504" s="5"/>
      <c r="J11504" s="5"/>
      <c r="K11504" s="5"/>
      <c r="L11504" s="5"/>
    </row>
    <row r="11505" spans="1:12" ht="12" customHeight="1" x14ac:dyDescent="0.25">
      <c r="A11505" s="6"/>
      <c r="B11505" s="1"/>
      <c r="C11505" s="5"/>
      <c r="D11505" s="5"/>
      <c r="E11505" s="5"/>
      <c r="F11505" s="5"/>
      <c r="G11505" s="5"/>
      <c r="H11505" s="5"/>
      <c r="I11505" s="5"/>
      <c r="J11505" s="5"/>
      <c r="K11505" s="5"/>
      <c r="L11505" s="5"/>
    </row>
    <row r="11506" spans="1:12" ht="12" customHeight="1" x14ac:dyDescent="0.25">
      <c r="A11506" s="6"/>
      <c r="B11506" s="1"/>
      <c r="C11506" s="5"/>
      <c r="D11506" s="5"/>
      <c r="E11506" s="5"/>
      <c r="F11506" s="5"/>
      <c r="G11506" s="5"/>
      <c r="H11506" s="5"/>
      <c r="I11506" s="5"/>
      <c r="J11506" s="5"/>
      <c r="K11506" s="5"/>
      <c r="L11506" s="5"/>
    </row>
    <row r="11507" spans="1:12" ht="12" customHeight="1" x14ac:dyDescent="0.25">
      <c r="A11507" s="6"/>
      <c r="B11507" s="1"/>
      <c r="C11507" s="5"/>
      <c r="D11507" s="5"/>
      <c r="E11507" s="5"/>
      <c r="F11507" s="5"/>
      <c r="G11507" s="5"/>
      <c r="H11507" s="5"/>
      <c r="I11507" s="5"/>
      <c r="J11507" s="5"/>
      <c r="K11507" s="5"/>
      <c r="L11507" s="5"/>
    </row>
    <row r="11508" spans="1:12" ht="12" customHeight="1" x14ac:dyDescent="0.25">
      <c r="A11508" s="6"/>
      <c r="B11508" s="1"/>
      <c r="C11508" s="5"/>
      <c r="D11508" s="5"/>
      <c r="E11508" s="5"/>
      <c r="F11508" s="5"/>
      <c r="G11508" s="5"/>
      <c r="H11508" s="5"/>
      <c r="I11508" s="5"/>
      <c r="J11508" s="5"/>
      <c r="K11508" s="5"/>
      <c r="L11508" s="5"/>
    </row>
    <row r="11509" spans="1:12" ht="12" customHeight="1" x14ac:dyDescent="0.25">
      <c r="A11509" s="6"/>
      <c r="B11509" s="1"/>
      <c r="C11509" s="5"/>
      <c r="D11509" s="5"/>
      <c r="E11509" s="5"/>
      <c r="F11509" s="5"/>
      <c r="G11509" s="5"/>
      <c r="H11509" s="5"/>
      <c r="I11509" s="5"/>
      <c r="J11509" s="5"/>
      <c r="K11509" s="5"/>
      <c r="L11509" s="5"/>
    </row>
    <row r="11510" spans="1:12" ht="12" customHeight="1" x14ac:dyDescent="0.25">
      <c r="A11510" s="6"/>
      <c r="B11510" s="1"/>
      <c r="C11510" s="5"/>
      <c r="D11510" s="5"/>
      <c r="E11510" s="5"/>
      <c r="F11510" s="5"/>
      <c r="G11510" s="5"/>
      <c r="H11510" s="5"/>
      <c r="I11510" s="5"/>
      <c r="J11510" s="5"/>
      <c r="K11510" s="5"/>
      <c r="L11510" s="5"/>
    </row>
    <row r="11511" spans="1:12" ht="12" customHeight="1" x14ac:dyDescent="0.25">
      <c r="A11511" s="6"/>
      <c r="B11511" s="1"/>
      <c r="C11511" s="5"/>
      <c r="D11511" s="5"/>
      <c r="E11511" s="5"/>
      <c r="F11511" s="5"/>
      <c r="G11511" s="5"/>
      <c r="H11511" s="5"/>
      <c r="I11511" s="5"/>
      <c r="J11511" s="5"/>
      <c r="K11511" s="5"/>
      <c r="L11511" s="5"/>
    </row>
    <row r="11512" spans="1:12" ht="12" customHeight="1" x14ac:dyDescent="0.25">
      <c r="A11512" s="6"/>
      <c r="B11512" s="1"/>
      <c r="C11512" s="5"/>
      <c r="D11512" s="5"/>
      <c r="E11512" s="5"/>
      <c r="F11512" s="5"/>
      <c r="G11512" s="5"/>
      <c r="H11512" s="5"/>
      <c r="I11512" s="5"/>
      <c r="J11512" s="5"/>
      <c r="K11512" s="5"/>
      <c r="L11512" s="5"/>
    </row>
    <row r="11513" spans="1:12" ht="12" customHeight="1" x14ac:dyDescent="0.25">
      <c r="A11513" s="6"/>
      <c r="B11513" s="1"/>
      <c r="C11513" s="5"/>
      <c r="D11513" s="5"/>
      <c r="E11513" s="5"/>
      <c r="F11513" s="5"/>
      <c r="G11513" s="5"/>
      <c r="H11513" s="5"/>
      <c r="I11513" s="5"/>
      <c r="J11513" s="5"/>
      <c r="K11513" s="5"/>
      <c r="L11513" s="5"/>
    </row>
    <row r="11514" spans="1:12" ht="12" customHeight="1" x14ac:dyDescent="0.25">
      <c r="A11514" s="6"/>
      <c r="B11514" s="1"/>
      <c r="C11514" s="5"/>
      <c r="D11514" s="5"/>
      <c r="E11514" s="5"/>
      <c r="F11514" s="5"/>
      <c r="G11514" s="5"/>
      <c r="H11514" s="5"/>
      <c r="I11514" s="5"/>
      <c r="J11514" s="5"/>
      <c r="K11514" s="5"/>
      <c r="L11514" s="5"/>
    </row>
    <row r="11515" spans="1:12" ht="12" customHeight="1" x14ac:dyDescent="0.25">
      <c r="A11515" s="6"/>
      <c r="B11515" s="1"/>
      <c r="C11515" s="5"/>
      <c r="D11515" s="5"/>
      <c r="E11515" s="5"/>
      <c r="F11515" s="5"/>
      <c r="G11515" s="5"/>
      <c r="H11515" s="5"/>
      <c r="I11515" s="5"/>
      <c r="J11515" s="5"/>
      <c r="K11515" s="5"/>
      <c r="L11515" s="5"/>
    </row>
    <row r="11516" spans="1:12" ht="12" customHeight="1" x14ac:dyDescent="0.25">
      <c r="A11516" s="6"/>
      <c r="B11516" s="1"/>
      <c r="C11516" s="5"/>
      <c r="D11516" s="5"/>
      <c r="E11516" s="5"/>
      <c r="F11516" s="5"/>
      <c r="G11516" s="5"/>
      <c r="H11516" s="5"/>
      <c r="I11516" s="5"/>
      <c r="J11516" s="5"/>
      <c r="K11516" s="5"/>
      <c r="L11516" s="5"/>
    </row>
    <row r="11517" spans="1:12" ht="12" customHeight="1" x14ac:dyDescent="0.25">
      <c r="A11517" s="6"/>
      <c r="B11517" s="1"/>
      <c r="C11517" s="5"/>
      <c r="D11517" s="5"/>
      <c r="E11517" s="5"/>
      <c r="F11517" s="5"/>
      <c r="G11517" s="5"/>
      <c r="H11517" s="5"/>
      <c r="I11517" s="5"/>
      <c r="J11517" s="5"/>
      <c r="K11517" s="5"/>
      <c r="L11517" s="5"/>
    </row>
    <row r="11518" spans="1:12" ht="12" customHeight="1" x14ac:dyDescent="0.25">
      <c r="A11518" s="6"/>
      <c r="B11518" s="1"/>
      <c r="C11518" s="5"/>
      <c r="D11518" s="5"/>
      <c r="E11518" s="5"/>
      <c r="F11518" s="5"/>
      <c r="G11518" s="5"/>
      <c r="H11518" s="5"/>
      <c r="I11518" s="5"/>
      <c r="J11518" s="5"/>
      <c r="K11518" s="5"/>
      <c r="L11518" s="5"/>
    </row>
    <row r="11519" spans="1:12" ht="12" customHeight="1" x14ac:dyDescent="0.25">
      <c r="A11519" s="6"/>
      <c r="B11519" s="1"/>
      <c r="C11519" s="5"/>
      <c r="D11519" s="5"/>
      <c r="E11519" s="5"/>
      <c r="F11519" s="5"/>
      <c r="G11519" s="5"/>
      <c r="H11519" s="5"/>
      <c r="I11519" s="5"/>
      <c r="J11519" s="5"/>
      <c r="K11519" s="5"/>
      <c r="L11519" s="5"/>
    </row>
    <row r="11520" spans="1:12" ht="12" customHeight="1" x14ac:dyDescent="0.25">
      <c r="A11520" s="6"/>
      <c r="B11520" s="1"/>
      <c r="C11520" s="5"/>
      <c r="D11520" s="5"/>
      <c r="E11520" s="5"/>
      <c r="F11520" s="5"/>
      <c r="G11520" s="5"/>
      <c r="H11520" s="5"/>
      <c r="I11520" s="5"/>
      <c r="J11520" s="5"/>
      <c r="K11520" s="5"/>
      <c r="L11520" s="5"/>
    </row>
    <row r="11521" spans="1:12" ht="12" customHeight="1" x14ac:dyDescent="0.25">
      <c r="A11521" s="6"/>
      <c r="B11521" s="1"/>
      <c r="C11521" s="5"/>
      <c r="D11521" s="5"/>
      <c r="E11521" s="5"/>
      <c r="F11521" s="5"/>
      <c r="G11521" s="5"/>
      <c r="H11521" s="5"/>
      <c r="I11521" s="5"/>
      <c r="J11521" s="5"/>
      <c r="K11521" s="5"/>
      <c r="L11521" s="5"/>
    </row>
    <row r="11522" spans="1:12" ht="12" customHeight="1" x14ac:dyDescent="0.25">
      <c r="A11522" s="6"/>
      <c r="B11522" s="1"/>
      <c r="C11522" s="5"/>
      <c r="D11522" s="5"/>
      <c r="E11522" s="5"/>
      <c r="F11522" s="5"/>
      <c r="G11522" s="5"/>
      <c r="H11522" s="5"/>
      <c r="I11522" s="5"/>
      <c r="J11522" s="5"/>
      <c r="K11522" s="5"/>
      <c r="L11522" s="5"/>
    </row>
    <row r="11523" spans="1:12" ht="12" customHeight="1" x14ac:dyDescent="0.25">
      <c r="A11523" s="6"/>
      <c r="B11523" s="1"/>
      <c r="C11523" s="5"/>
      <c r="D11523" s="5"/>
      <c r="E11523" s="5"/>
      <c r="F11523" s="5"/>
      <c r="G11523" s="5"/>
      <c r="H11523" s="5"/>
      <c r="I11523" s="5"/>
      <c r="J11523" s="5"/>
      <c r="K11523" s="5"/>
      <c r="L11523" s="5"/>
    </row>
    <row r="11524" spans="1:12" ht="12" customHeight="1" x14ac:dyDescent="0.25">
      <c r="A11524" s="6"/>
      <c r="B11524" s="1"/>
      <c r="C11524" s="5"/>
      <c r="D11524" s="5"/>
      <c r="E11524" s="5"/>
      <c r="F11524" s="5"/>
      <c r="G11524" s="5"/>
      <c r="H11524" s="5"/>
      <c r="I11524" s="5"/>
      <c r="J11524" s="5"/>
      <c r="K11524" s="5"/>
      <c r="L11524" s="5"/>
    </row>
    <row r="11525" spans="1:12" ht="12" customHeight="1" x14ac:dyDescent="0.25">
      <c r="A11525" s="6"/>
      <c r="B11525" s="1"/>
      <c r="C11525" s="5"/>
      <c r="D11525" s="5"/>
      <c r="E11525" s="5"/>
      <c r="F11525" s="5"/>
      <c r="G11525" s="5"/>
      <c r="H11525" s="5"/>
      <c r="I11525" s="5"/>
      <c r="J11525" s="5"/>
      <c r="K11525" s="5"/>
      <c r="L11525" s="5"/>
    </row>
    <row r="11526" spans="1:12" ht="12" customHeight="1" x14ac:dyDescent="0.25">
      <c r="A11526" s="6"/>
      <c r="B11526" s="1"/>
      <c r="C11526" s="5"/>
      <c r="D11526" s="5"/>
      <c r="E11526" s="5"/>
      <c r="F11526" s="5"/>
      <c r="G11526" s="5"/>
      <c r="H11526" s="5"/>
      <c r="I11526" s="5"/>
      <c r="J11526" s="5"/>
      <c r="K11526" s="5"/>
      <c r="L11526" s="5"/>
    </row>
    <row r="11527" spans="1:12" ht="12" customHeight="1" x14ac:dyDescent="0.25">
      <c r="A11527" s="6"/>
      <c r="B11527" s="1"/>
      <c r="C11527" s="5"/>
      <c r="D11527" s="5"/>
      <c r="E11527" s="5"/>
      <c r="F11527" s="5"/>
      <c r="G11527" s="5"/>
      <c r="H11527" s="5"/>
      <c r="I11527" s="5"/>
      <c r="J11527" s="5"/>
      <c r="K11527" s="5"/>
      <c r="L11527" s="5"/>
    </row>
    <row r="11528" spans="1:12" ht="12" customHeight="1" x14ac:dyDescent="0.25">
      <c r="A11528" s="6"/>
      <c r="B11528" s="1"/>
      <c r="C11528" s="5"/>
      <c r="D11528" s="5"/>
      <c r="E11528" s="5"/>
      <c r="F11528" s="5"/>
      <c r="G11528" s="5"/>
      <c r="H11528" s="5"/>
      <c r="I11528" s="5"/>
      <c r="J11528" s="5"/>
      <c r="K11528" s="5"/>
      <c r="L11528" s="5"/>
    </row>
    <row r="11529" spans="1:12" ht="12" customHeight="1" x14ac:dyDescent="0.25">
      <c r="A11529" s="6"/>
      <c r="B11529" s="1"/>
      <c r="C11529" s="5"/>
      <c r="D11529" s="5"/>
      <c r="E11529" s="5"/>
      <c r="F11529" s="5"/>
      <c r="G11529" s="5"/>
      <c r="H11529" s="5"/>
      <c r="I11529" s="5"/>
      <c r="J11529" s="5"/>
      <c r="K11529" s="5"/>
      <c r="L11529" s="5"/>
    </row>
    <row r="11530" spans="1:12" ht="12" customHeight="1" x14ac:dyDescent="0.25">
      <c r="A11530" s="6"/>
      <c r="B11530" s="1"/>
      <c r="C11530" s="5"/>
      <c r="D11530" s="5"/>
      <c r="E11530" s="5"/>
      <c r="F11530" s="5"/>
      <c r="G11530" s="5"/>
      <c r="H11530" s="5"/>
      <c r="I11530" s="5"/>
      <c r="J11530" s="5"/>
      <c r="K11530" s="5"/>
      <c r="L11530" s="5"/>
    </row>
    <row r="11531" spans="1:12" ht="12" customHeight="1" x14ac:dyDescent="0.25">
      <c r="A11531" s="6"/>
      <c r="B11531" s="1"/>
      <c r="C11531" s="5"/>
      <c r="D11531" s="5"/>
      <c r="E11531" s="5"/>
      <c r="F11531" s="5"/>
      <c r="G11531" s="5"/>
      <c r="H11531" s="5"/>
      <c r="I11531" s="5"/>
      <c r="J11531" s="5"/>
      <c r="K11531" s="5"/>
      <c r="L11531" s="5"/>
    </row>
    <row r="11532" spans="1:12" ht="12" customHeight="1" x14ac:dyDescent="0.25">
      <c r="A11532" s="6"/>
      <c r="B11532" s="1"/>
      <c r="C11532" s="5"/>
      <c r="D11532" s="5"/>
      <c r="E11532" s="5"/>
      <c r="F11532" s="5"/>
      <c r="G11532" s="5"/>
      <c r="H11532" s="5"/>
      <c r="I11532" s="5"/>
      <c r="J11532" s="5"/>
      <c r="K11532" s="5"/>
      <c r="L11532" s="5"/>
    </row>
    <row r="11533" spans="1:12" ht="12" customHeight="1" x14ac:dyDescent="0.25">
      <c r="A11533" s="6"/>
      <c r="B11533" s="1"/>
      <c r="C11533" s="5"/>
      <c r="D11533" s="5"/>
      <c r="E11533" s="5"/>
      <c r="F11533" s="5"/>
      <c r="G11533" s="5"/>
      <c r="H11533" s="5"/>
      <c r="I11533" s="5"/>
      <c r="J11533" s="5"/>
      <c r="K11533" s="5"/>
      <c r="L11533" s="5"/>
    </row>
    <row r="11534" spans="1:12" ht="12" customHeight="1" x14ac:dyDescent="0.25">
      <c r="A11534" s="6"/>
      <c r="B11534" s="1"/>
      <c r="C11534" s="5"/>
      <c r="D11534" s="5"/>
      <c r="E11534" s="5"/>
      <c r="F11534" s="5"/>
      <c r="G11534" s="5"/>
      <c r="H11534" s="5"/>
      <c r="I11534" s="5"/>
      <c r="J11534" s="5"/>
      <c r="K11534" s="5"/>
      <c r="L11534" s="5"/>
    </row>
    <row r="11535" spans="1:12" ht="12" customHeight="1" x14ac:dyDescent="0.25">
      <c r="A11535" s="6"/>
      <c r="B11535" s="1"/>
      <c r="C11535" s="5"/>
      <c r="D11535" s="5"/>
      <c r="E11535" s="5"/>
      <c r="F11535" s="5"/>
      <c r="G11535" s="5"/>
      <c r="H11535" s="5"/>
      <c r="I11535" s="5"/>
      <c r="J11535" s="5"/>
      <c r="K11535" s="5"/>
      <c r="L11535" s="5"/>
    </row>
    <row r="11536" spans="1:12" ht="12" customHeight="1" x14ac:dyDescent="0.25">
      <c r="A11536" s="6"/>
      <c r="B11536" s="1"/>
      <c r="C11536" s="5"/>
      <c r="D11536" s="5"/>
      <c r="E11536" s="5"/>
      <c r="F11536" s="5"/>
      <c r="G11536" s="5"/>
      <c r="H11536" s="5"/>
      <c r="I11536" s="5"/>
      <c r="J11536" s="5"/>
      <c r="K11536" s="5"/>
      <c r="L11536" s="5"/>
    </row>
    <row r="11537" spans="1:12" ht="12" customHeight="1" x14ac:dyDescent="0.25">
      <c r="A11537" s="6"/>
      <c r="B11537" s="1"/>
      <c r="C11537" s="5"/>
      <c r="D11537" s="5"/>
      <c r="E11537" s="5"/>
      <c r="F11537" s="5"/>
      <c r="G11537" s="5"/>
      <c r="H11537" s="5"/>
      <c r="I11537" s="5"/>
      <c r="J11537" s="5"/>
      <c r="K11537" s="5"/>
      <c r="L11537" s="5"/>
    </row>
    <row r="11538" spans="1:12" ht="12" customHeight="1" x14ac:dyDescent="0.25">
      <c r="A11538" s="6"/>
      <c r="B11538" s="1"/>
      <c r="C11538" s="5"/>
      <c r="D11538" s="5"/>
      <c r="E11538" s="5"/>
      <c r="F11538" s="5"/>
      <c r="G11538" s="5"/>
      <c r="H11538" s="5"/>
      <c r="I11538" s="5"/>
      <c r="J11538" s="5"/>
      <c r="K11538" s="5"/>
      <c r="L11538" s="5"/>
    </row>
    <row r="11539" spans="1:12" ht="12" customHeight="1" x14ac:dyDescent="0.25">
      <c r="A11539" s="6"/>
      <c r="B11539" s="1"/>
      <c r="C11539" s="5"/>
      <c r="D11539" s="5"/>
      <c r="E11539" s="5"/>
      <c r="F11539" s="5"/>
      <c r="G11539" s="5"/>
      <c r="H11539" s="5"/>
      <c r="I11539" s="5"/>
      <c r="J11539" s="5"/>
      <c r="K11539" s="5"/>
      <c r="L11539" s="5"/>
    </row>
    <row r="11540" spans="1:12" ht="12" customHeight="1" x14ac:dyDescent="0.25">
      <c r="A11540" s="6"/>
      <c r="B11540" s="1"/>
      <c r="C11540" s="5"/>
      <c r="D11540" s="5"/>
      <c r="E11540" s="5"/>
      <c r="F11540" s="5"/>
      <c r="G11540" s="5"/>
      <c r="H11540" s="5"/>
      <c r="I11540" s="5"/>
      <c r="J11540" s="5"/>
      <c r="K11540" s="5"/>
      <c r="L11540" s="5"/>
    </row>
    <row r="11541" spans="1:12" ht="12" customHeight="1" x14ac:dyDescent="0.25">
      <c r="A11541" s="6"/>
      <c r="B11541" s="1"/>
      <c r="C11541" s="5"/>
      <c r="D11541" s="5"/>
      <c r="E11541" s="5"/>
      <c r="F11541" s="5"/>
      <c r="G11541" s="5"/>
      <c r="H11541" s="5"/>
      <c r="I11541" s="5"/>
      <c r="J11541" s="5"/>
      <c r="K11541" s="5"/>
      <c r="L11541" s="5"/>
    </row>
    <row r="11542" spans="1:12" ht="12" customHeight="1" x14ac:dyDescent="0.25">
      <c r="A11542" s="6"/>
      <c r="B11542" s="1"/>
      <c r="C11542" s="5"/>
      <c r="D11542" s="5"/>
      <c r="E11542" s="5"/>
      <c r="F11542" s="5"/>
      <c r="G11542" s="5"/>
      <c r="H11542" s="5"/>
      <c r="I11542" s="5"/>
      <c r="J11542" s="5"/>
      <c r="K11542" s="5"/>
      <c r="L11542" s="5"/>
    </row>
    <row r="11543" spans="1:12" ht="12" customHeight="1" x14ac:dyDescent="0.25">
      <c r="A11543" s="6"/>
      <c r="B11543" s="1"/>
      <c r="C11543" s="5"/>
      <c r="D11543" s="5"/>
      <c r="E11543" s="5"/>
      <c r="F11543" s="5"/>
      <c r="G11543" s="5"/>
      <c r="H11543" s="5"/>
      <c r="I11543" s="5"/>
      <c r="J11543" s="5"/>
      <c r="K11543" s="5"/>
      <c r="L11543" s="5"/>
    </row>
    <row r="11544" spans="1:12" ht="12" customHeight="1" x14ac:dyDescent="0.25">
      <c r="A11544" s="6"/>
      <c r="B11544" s="1"/>
      <c r="C11544" s="5"/>
      <c r="D11544" s="5"/>
      <c r="E11544" s="5"/>
      <c r="F11544" s="5"/>
      <c r="G11544" s="5"/>
      <c r="H11544" s="5"/>
      <c r="I11544" s="5"/>
      <c r="J11544" s="5"/>
      <c r="K11544" s="5"/>
      <c r="L11544" s="5"/>
    </row>
    <row r="11545" spans="1:12" ht="12" customHeight="1" x14ac:dyDescent="0.25">
      <c r="A11545" s="6"/>
      <c r="B11545" s="1"/>
      <c r="C11545" s="5"/>
      <c r="D11545" s="5"/>
      <c r="E11545" s="5"/>
      <c r="F11545" s="5"/>
      <c r="G11545" s="5"/>
      <c r="H11545" s="5"/>
      <c r="I11545" s="5"/>
      <c r="J11545" s="5"/>
      <c r="K11545" s="5"/>
      <c r="L11545" s="5"/>
    </row>
    <row r="11546" spans="1:12" ht="12" customHeight="1" x14ac:dyDescent="0.25">
      <c r="A11546" s="6"/>
      <c r="B11546" s="1"/>
      <c r="C11546" s="5"/>
      <c r="D11546" s="5"/>
      <c r="E11546" s="5"/>
      <c r="F11546" s="5"/>
      <c r="G11546" s="5"/>
      <c r="H11546" s="5"/>
      <c r="I11546" s="5"/>
      <c r="J11546" s="5"/>
      <c r="K11546" s="5"/>
      <c r="L11546" s="5"/>
    </row>
    <row r="11547" spans="1:12" ht="12" customHeight="1" x14ac:dyDescent="0.25">
      <c r="A11547" s="6"/>
      <c r="B11547" s="1"/>
      <c r="C11547" s="5"/>
      <c r="D11547" s="5"/>
      <c r="E11547" s="5"/>
      <c r="F11547" s="5"/>
      <c r="G11547" s="5"/>
      <c r="H11547" s="5"/>
      <c r="I11547" s="5"/>
      <c r="J11547" s="5"/>
      <c r="K11547" s="5"/>
      <c r="L11547" s="5"/>
    </row>
    <row r="11548" spans="1:12" ht="12" customHeight="1" x14ac:dyDescent="0.25">
      <c r="A11548" s="6"/>
      <c r="B11548" s="1"/>
      <c r="C11548" s="5"/>
      <c r="D11548" s="5"/>
      <c r="E11548" s="5"/>
      <c r="F11548" s="5"/>
      <c r="G11548" s="5"/>
      <c r="H11548" s="5"/>
      <c r="I11548" s="5"/>
      <c r="J11548" s="5"/>
      <c r="K11548" s="5"/>
      <c r="L11548" s="5"/>
    </row>
    <row r="11549" spans="1:12" ht="12" customHeight="1" x14ac:dyDescent="0.25">
      <c r="A11549" s="6"/>
      <c r="B11549" s="1"/>
      <c r="C11549" s="5"/>
      <c r="D11549" s="5"/>
      <c r="E11549" s="5"/>
      <c r="F11549" s="5"/>
      <c r="G11549" s="5"/>
      <c r="H11549" s="5"/>
      <c r="I11549" s="5"/>
      <c r="J11549" s="5"/>
      <c r="K11549" s="5"/>
      <c r="L11549" s="5"/>
    </row>
    <row r="11550" spans="1:12" ht="12" customHeight="1" x14ac:dyDescent="0.25">
      <c r="A11550" s="6"/>
      <c r="B11550" s="1"/>
      <c r="C11550" s="5"/>
      <c r="D11550" s="5"/>
      <c r="E11550" s="5"/>
      <c r="F11550" s="5"/>
      <c r="G11550" s="5"/>
      <c r="H11550" s="5"/>
      <c r="I11550" s="5"/>
      <c r="J11550" s="5"/>
      <c r="K11550" s="5"/>
      <c r="L11550" s="5"/>
    </row>
    <row r="11551" spans="1:12" ht="12" customHeight="1" x14ac:dyDescent="0.25">
      <c r="A11551" s="6"/>
      <c r="B11551" s="1"/>
      <c r="C11551" s="5"/>
      <c r="D11551" s="5"/>
      <c r="E11551" s="5"/>
      <c r="F11551" s="5"/>
      <c r="G11551" s="5"/>
      <c r="H11551" s="5"/>
      <c r="I11551" s="5"/>
      <c r="J11551" s="5"/>
      <c r="K11551" s="5"/>
      <c r="L11551" s="5"/>
    </row>
    <row r="11552" spans="1:12" ht="12" customHeight="1" x14ac:dyDescent="0.25">
      <c r="A11552" s="6"/>
      <c r="B11552" s="1"/>
      <c r="C11552" s="5"/>
      <c r="D11552" s="5"/>
      <c r="E11552" s="5"/>
      <c r="F11552" s="5"/>
      <c r="G11552" s="5"/>
      <c r="H11552" s="5"/>
      <c r="I11552" s="5"/>
      <c r="J11552" s="5"/>
      <c r="K11552" s="5"/>
      <c r="L11552" s="5"/>
    </row>
    <row r="11553" spans="1:12" ht="12" customHeight="1" x14ac:dyDescent="0.25">
      <c r="A11553" s="6"/>
      <c r="B11553" s="1"/>
      <c r="C11553" s="5"/>
      <c r="D11553" s="5"/>
      <c r="E11553" s="5"/>
      <c r="F11553" s="5"/>
      <c r="G11553" s="5"/>
      <c r="H11553" s="5"/>
      <c r="I11553" s="5"/>
      <c r="J11553" s="5"/>
      <c r="K11553" s="5"/>
      <c r="L11553" s="5"/>
    </row>
    <row r="11554" spans="1:12" ht="12" customHeight="1" x14ac:dyDescent="0.25">
      <c r="A11554" s="6"/>
      <c r="B11554" s="1"/>
      <c r="C11554" s="5"/>
      <c r="D11554" s="5"/>
      <c r="E11554" s="5"/>
      <c r="F11554" s="5"/>
      <c r="G11554" s="5"/>
      <c r="H11554" s="5"/>
      <c r="I11554" s="5"/>
      <c r="J11554" s="5"/>
      <c r="K11554" s="5"/>
      <c r="L11554" s="5"/>
    </row>
    <row r="11555" spans="1:12" ht="12" customHeight="1" x14ac:dyDescent="0.25">
      <c r="A11555" s="6"/>
      <c r="B11555" s="1"/>
      <c r="C11555" s="5"/>
      <c r="D11555" s="5"/>
      <c r="E11555" s="5"/>
      <c r="F11555" s="5"/>
      <c r="G11555" s="5"/>
      <c r="H11555" s="5"/>
      <c r="I11555" s="5"/>
      <c r="J11555" s="5"/>
      <c r="K11555" s="5"/>
      <c r="L11555" s="5"/>
    </row>
    <row r="11556" spans="1:12" ht="12" customHeight="1" x14ac:dyDescent="0.25">
      <c r="A11556" s="6"/>
      <c r="B11556" s="1"/>
      <c r="C11556" s="5"/>
      <c r="D11556" s="5"/>
      <c r="E11556" s="5"/>
      <c r="F11556" s="5"/>
      <c r="G11556" s="5"/>
      <c r="H11556" s="5"/>
      <c r="I11556" s="5"/>
      <c r="J11556" s="5"/>
      <c r="K11556" s="5"/>
      <c r="L11556" s="5"/>
    </row>
    <row r="11557" spans="1:12" ht="12" customHeight="1" x14ac:dyDescent="0.25">
      <c r="A11557" s="6"/>
      <c r="B11557" s="1"/>
      <c r="C11557" s="5"/>
      <c r="D11557" s="5"/>
      <c r="E11557" s="5"/>
      <c r="F11557" s="5"/>
      <c r="G11557" s="5"/>
      <c r="H11557" s="5"/>
      <c r="I11557" s="5"/>
      <c r="J11557" s="5"/>
      <c r="K11557" s="5"/>
      <c r="L11557" s="5"/>
    </row>
    <row r="11558" spans="1:12" ht="12" customHeight="1" x14ac:dyDescent="0.25">
      <c r="A11558" s="6"/>
      <c r="B11558" s="1"/>
      <c r="C11558" s="5"/>
      <c r="D11558" s="5"/>
      <c r="E11558" s="5"/>
      <c r="F11558" s="5"/>
      <c r="G11558" s="5"/>
      <c r="H11558" s="5"/>
      <c r="I11558" s="5"/>
      <c r="J11558" s="5"/>
      <c r="K11558" s="5"/>
      <c r="L11558" s="5"/>
    </row>
    <row r="11559" spans="1:12" ht="12" customHeight="1" x14ac:dyDescent="0.25">
      <c r="A11559" s="6"/>
      <c r="B11559" s="1"/>
      <c r="C11559" s="5"/>
      <c r="D11559" s="5"/>
      <c r="E11559" s="5"/>
      <c r="F11559" s="5"/>
      <c r="G11559" s="5"/>
      <c r="H11559" s="5"/>
      <c r="I11559" s="5"/>
      <c r="J11559" s="5"/>
      <c r="K11559" s="5"/>
      <c r="L11559" s="5"/>
    </row>
    <row r="11560" spans="1:12" ht="12" customHeight="1" x14ac:dyDescent="0.25">
      <c r="A11560" s="6"/>
      <c r="B11560" s="1"/>
      <c r="C11560" s="5"/>
      <c r="D11560" s="5"/>
      <c r="E11560" s="5"/>
      <c r="F11560" s="5"/>
      <c r="G11560" s="5"/>
      <c r="H11560" s="5"/>
      <c r="I11560" s="5"/>
      <c r="J11560" s="5"/>
      <c r="K11560" s="5"/>
      <c r="L11560" s="5"/>
    </row>
    <row r="11561" spans="1:12" ht="12" customHeight="1" x14ac:dyDescent="0.25">
      <c r="A11561" s="6"/>
      <c r="B11561" s="1"/>
      <c r="C11561" s="5"/>
      <c r="D11561" s="5"/>
      <c r="E11561" s="5"/>
      <c r="F11561" s="5"/>
      <c r="G11561" s="5"/>
      <c r="H11561" s="5"/>
      <c r="I11561" s="5"/>
      <c r="J11561" s="5"/>
      <c r="K11561" s="5"/>
      <c r="L11561" s="5"/>
    </row>
    <row r="11562" spans="1:12" ht="12" customHeight="1" x14ac:dyDescent="0.25">
      <c r="A11562" s="6"/>
      <c r="B11562" s="1"/>
      <c r="C11562" s="5"/>
      <c r="D11562" s="5"/>
      <c r="E11562" s="5"/>
      <c r="F11562" s="5"/>
      <c r="G11562" s="5"/>
      <c r="H11562" s="5"/>
      <c r="I11562" s="5"/>
      <c r="J11562" s="5"/>
      <c r="K11562" s="5"/>
      <c r="L11562" s="5"/>
    </row>
    <row r="11563" spans="1:12" ht="12" customHeight="1" x14ac:dyDescent="0.25">
      <c r="A11563" s="6"/>
      <c r="B11563" s="1"/>
      <c r="C11563" s="5"/>
      <c r="D11563" s="5"/>
      <c r="E11563" s="5"/>
      <c r="F11563" s="5"/>
      <c r="G11563" s="5"/>
      <c r="H11563" s="5"/>
      <c r="I11563" s="5"/>
      <c r="J11563" s="5"/>
      <c r="K11563" s="5"/>
      <c r="L11563" s="5"/>
    </row>
    <row r="11564" spans="1:12" ht="12" customHeight="1" x14ac:dyDescent="0.25">
      <c r="A11564" s="6"/>
      <c r="B11564" s="1"/>
      <c r="C11564" s="5"/>
      <c r="D11564" s="5"/>
      <c r="E11564" s="5"/>
      <c r="F11564" s="5"/>
      <c r="G11564" s="5"/>
      <c r="H11564" s="5"/>
      <c r="I11564" s="5"/>
      <c r="J11564" s="5"/>
      <c r="K11564" s="5"/>
      <c r="L11564" s="5"/>
    </row>
    <row r="11565" spans="1:12" ht="12" customHeight="1" x14ac:dyDescent="0.25">
      <c r="A11565" s="6"/>
      <c r="B11565" s="1"/>
      <c r="C11565" s="5"/>
      <c r="D11565" s="5"/>
      <c r="E11565" s="5"/>
      <c r="F11565" s="5"/>
      <c r="G11565" s="5"/>
      <c r="H11565" s="5"/>
      <c r="I11565" s="5"/>
      <c r="J11565" s="5"/>
      <c r="K11565" s="5"/>
      <c r="L11565" s="5"/>
    </row>
    <row r="11566" spans="1:12" ht="12" customHeight="1" x14ac:dyDescent="0.25">
      <c r="A11566" s="6"/>
      <c r="B11566" s="1"/>
      <c r="C11566" s="5"/>
      <c r="D11566" s="5"/>
      <c r="E11566" s="5"/>
      <c r="F11566" s="5"/>
      <c r="G11566" s="5"/>
      <c r="H11566" s="5"/>
      <c r="I11566" s="5"/>
      <c r="J11566" s="5"/>
      <c r="K11566" s="5"/>
      <c r="L11566" s="5"/>
    </row>
    <row r="11567" spans="1:12" ht="12" customHeight="1" x14ac:dyDescent="0.25">
      <c r="A11567" s="6"/>
      <c r="B11567" s="1"/>
      <c r="C11567" s="5"/>
      <c r="D11567" s="5"/>
      <c r="E11567" s="5"/>
      <c r="F11567" s="5"/>
      <c r="G11567" s="5"/>
      <c r="H11567" s="5"/>
      <c r="I11567" s="5"/>
      <c r="J11567" s="5"/>
      <c r="K11567" s="5"/>
      <c r="L11567" s="5"/>
    </row>
    <row r="11568" spans="1:12" ht="12" customHeight="1" x14ac:dyDescent="0.25">
      <c r="A11568" s="6"/>
      <c r="B11568" s="1"/>
      <c r="C11568" s="5"/>
      <c r="D11568" s="5"/>
      <c r="E11568" s="5"/>
      <c r="F11568" s="5"/>
      <c r="G11568" s="5"/>
      <c r="H11568" s="5"/>
      <c r="I11568" s="5"/>
      <c r="J11568" s="5"/>
      <c r="K11568" s="5"/>
      <c r="L11568" s="5"/>
    </row>
    <row r="11569" spans="1:12" ht="12" customHeight="1" x14ac:dyDescent="0.25">
      <c r="A11569" s="6"/>
      <c r="B11569" s="1"/>
      <c r="C11569" s="5"/>
      <c r="D11569" s="5"/>
      <c r="E11569" s="5"/>
      <c r="F11569" s="5"/>
      <c r="G11569" s="5"/>
      <c r="H11569" s="5"/>
      <c r="I11569" s="5"/>
      <c r="J11569" s="5"/>
      <c r="K11569" s="5"/>
      <c r="L11569" s="5"/>
    </row>
    <row r="11570" spans="1:12" ht="12" customHeight="1" x14ac:dyDescent="0.25">
      <c r="A11570" s="6"/>
      <c r="B11570" s="1"/>
      <c r="C11570" s="5"/>
      <c r="D11570" s="5"/>
      <c r="E11570" s="5"/>
      <c r="F11570" s="5"/>
      <c r="G11570" s="5"/>
      <c r="H11570" s="5"/>
      <c r="I11570" s="5"/>
      <c r="J11570" s="5"/>
      <c r="K11570" s="5"/>
      <c r="L11570" s="5"/>
    </row>
    <row r="11571" spans="1:12" ht="12" customHeight="1" x14ac:dyDescent="0.25">
      <c r="A11571" s="6"/>
      <c r="B11571" s="1"/>
      <c r="C11571" s="5"/>
      <c r="D11571" s="5"/>
      <c r="E11571" s="5"/>
      <c r="F11571" s="5"/>
      <c r="G11571" s="5"/>
      <c r="H11571" s="5"/>
      <c r="I11571" s="5"/>
      <c r="J11571" s="5"/>
      <c r="K11571" s="5"/>
      <c r="L11571" s="5"/>
    </row>
    <row r="11572" spans="1:12" ht="12" customHeight="1" x14ac:dyDescent="0.25">
      <c r="A11572" s="6"/>
      <c r="B11572" s="1"/>
      <c r="C11572" s="5"/>
      <c r="D11572" s="5"/>
      <c r="E11572" s="5"/>
      <c r="F11572" s="5"/>
      <c r="G11572" s="5"/>
      <c r="H11572" s="5"/>
      <c r="I11572" s="5"/>
      <c r="J11572" s="5"/>
      <c r="K11572" s="5"/>
      <c r="L11572" s="5"/>
    </row>
    <row r="11573" spans="1:12" ht="12" customHeight="1" x14ac:dyDescent="0.25">
      <c r="A11573" s="6"/>
      <c r="B11573" s="1"/>
      <c r="C11573" s="5"/>
      <c r="D11573" s="5"/>
      <c r="E11573" s="5"/>
      <c r="F11573" s="5"/>
      <c r="G11573" s="5"/>
      <c r="H11573" s="5"/>
      <c r="I11573" s="5"/>
      <c r="J11573" s="5"/>
      <c r="K11573" s="5"/>
      <c r="L11573" s="5"/>
    </row>
    <row r="11574" spans="1:12" ht="12" customHeight="1" x14ac:dyDescent="0.25">
      <c r="A11574" s="6"/>
      <c r="B11574" s="1"/>
      <c r="C11574" s="5"/>
      <c r="D11574" s="5"/>
      <c r="E11574" s="5"/>
      <c r="F11574" s="5"/>
      <c r="G11574" s="5"/>
      <c r="H11574" s="5"/>
      <c r="I11574" s="5"/>
      <c r="J11574" s="5"/>
      <c r="K11574" s="5"/>
      <c r="L11574" s="5"/>
    </row>
    <row r="11575" spans="1:12" ht="12" customHeight="1" x14ac:dyDescent="0.25">
      <c r="A11575" s="6"/>
      <c r="B11575" s="1"/>
      <c r="C11575" s="5"/>
      <c r="D11575" s="5"/>
      <c r="E11575" s="5"/>
      <c r="F11575" s="5"/>
      <c r="G11575" s="5"/>
      <c r="H11575" s="5"/>
      <c r="I11575" s="5"/>
      <c r="J11575" s="5"/>
      <c r="K11575" s="5"/>
      <c r="L11575" s="5"/>
    </row>
    <row r="11576" spans="1:12" ht="12" customHeight="1" x14ac:dyDescent="0.25">
      <c r="A11576" s="6"/>
      <c r="B11576" s="1"/>
      <c r="C11576" s="5"/>
      <c r="D11576" s="5"/>
      <c r="E11576" s="5"/>
      <c r="F11576" s="5"/>
      <c r="G11576" s="5"/>
      <c r="H11576" s="5"/>
      <c r="I11576" s="5"/>
      <c r="J11576" s="5"/>
      <c r="K11576" s="5"/>
      <c r="L11576" s="5"/>
    </row>
    <row r="11577" spans="1:12" ht="12" customHeight="1" x14ac:dyDescent="0.25">
      <c r="A11577" s="6"/>
      <c r="B11577" s="1"/>
      <c r="C11577" s="5"/>
      <c r="D11577" s="5"/>
      <c r="E11577" s="5"/>
      <c r="F11577" s="5"/>
      <c r="G11577" s="5"/>
      <c r="H11577" s="5"/>
      <c r="I11577" s="5"/>
      <c r="J11577" s="5"/>
      <c r="K11577" s="5"/>
      <c r="L11577" s="5"/>
    </row>
    <row r="11578" spans="1:12" ht="12" customHeight="1" x14ac:dyDescent="0.25">
      <c r="A11578" s="6"/>
      <c r="B11578" s="1"/>
      <c r="C11578" s="5"/>
      <c r="D11578" s="5"/>
      <c r="E11578" s="5"/>
      <c r="F11578" s="5"/>
      <c r="G11578" s="5"/>
      <c r="H11578" s="5"/>
      <c r="I11578" s="5"/>
      <c r="J11578" s="5"/>
      <c r="K11578" s="5"/>
      <c r="L11578" s="5"/>
    </row>
    <row r="11579" spans="1:12" ht="12" customHeight="1" x14ac:dyDescent="0.25">
      <c r="A11579" s="6"/>
      <c r="B11579" s="1"/>
      <c r="C11579" s="5"/>
      <c r="D11579" s="5"/>
      <c r="E11579" s="5"/>
      <c r="F11579" s="5"/>
      <c r="G11579" s="5"/>
      <c r="H11579" s="5"/>
      <c r="I11579" s="5"/>
      <c r="J11579" s="5"/>
      <c r="K11579" s="5"/>
      <c r="L11579" s="5"/>
    </row>
    <row r="11580" spans="1:12" ht="12" customHeight="1" x14ac:dyDescent="0.25">
      <c r="A11580" s="6"/>
      <c r="B11580" s="1"/>
      <c r="C11580" s="5"/>
      <c r="D11580" s="5"/>
      <c r="E11580" s="5"/>
      <c r="F11580" s="5"/>
      <c r="G11580" s="5"/>
      <c r="H11580" s="5"/>
      <c r="I11580" s="5"/>
      <c r="J11580" s="5"/>
      <c r="K11580" s="5"/>
      <c r="L11580" s="5"/>
    </row>
    <row r="11581" spans="1:12" ht="12" customHeight="1" x14ac:dyDescent="0.25">
      <c r="A11581" s="6"/>
      <c r="B11581" s="1"/>
      <c r="C11581" s="5"/>
      <c r="D11581" s="5"/>
      <c r="E11581" s="5"/>
      <c r="F11581" s="5"/>
      <c r="G11581" s="5"/>
      <c r="H11581" s="5"/>
      <c r="I11581" s="5"/>
      <c r="J11581" s="5"/>
      <c r="K11581" s="5"/>
      <c r="L11581" s="5"/>
    </row>
    <row r="11582" spans="1:12" ht="12" customHeight="1" x14ac:dyDescent="0.25">
      <c r="A11582" s="6"/>
      <c r="B11582" s="1"/>
      <c r="C11582" s="5"/>
      <c r="D11582" s="5"/>
      <c r="E11582" s="5"/>
      <c r="F11582" s="5"/>
      <c r="G11582" s="5"/>
      <c r="H11582" s="5"/>
      <c r="I11582" s="5"/>
      <c r="J11582" s="5"/>
      <c r="K11582" s="5"/>
      <c r="L11582" s="5"/>
    </row>
    <row r="11583" spans="1:12" ht="12" customHeight="1" x14ac:dyDescent="0.25">
      <c r="A11583" s="6"/>
      <c r="B11583" s="1"/>
      <c r="C11583" s="5"/>
      <c r="D11583" s="5"/>
      <c r="E11583" s="5"/>
      <c r="F11583" s="5"/>
      <c r="G11583" s="5"/>
      <c r="H11583" s="5"/>
      <c r="I11583" s="5"/>
      <c r="J11583" s="5"/>
      <c r="K11583" s="5"/>
      <c r="L11583" s="5"/>
    </row>
    <row r="11584" spans="1:12" ht="12" customHeight="1" x14ac:dyDescent="0.25">
      <c r="A11584" s="6"/>
      <c r="B11584" s="1"/>
      <c r="C11584" s="5"/>
      <c r="D11584" s="5"/>
      <c r="E11584" s="5"/>
      <c r="F11584" s="5"/>
      <c r="G11584" s="5"/>
      <c r="H11584" s="5"/>
      <c r="I11584" s="5"/>
      <c r="J11584" s="5"/>
      <c r="K11584" s="5"/>
      <c r="L11584" s="5"/>
    </row>
    <row r="11585" spans="1:12" ht="12" customHeight="1" x14ac:dyDescent="0.25">
      <c r="A11585" s="6"/>
      <c r="B11585" s="1"/>
      <c r="C11585" s="5"/>
      <c r="D11585" s="5"/>
      <c r="E11585" s="5"/>
      <c r="F11585" s="5"/>
      <c r="G11585" s="5"/>
      <c r="H11585" s="5"/>
      <c r="I11585" s="5"/>
      <c r="J11585" s="5"/>
      <c r="K11585" s="5"/>
      <c r="L11585" s="5"/>
    </row>
    <row r="11586" spans="1:12" ht="12" customHeight="1" x14ac:dyDescent="0.25">
      <c r="A11586" s="6"/>
      <c r="B11586" s="1"/>
      <c r="C11586" s="5"/>
      <c r="D11586" s="5"/>
      <c r="E11586" s="5"/>
      <c r="F11586" s="5"/>
      <c r="G11586" s="5"/>
      <c r="H11586" s="5"/>
      <c r="I11586" s="5"/>
      <c r="J11586" s="5"/>
      <c r="K11586" s="5"/>
      <c r="L11586" s="5"/>
    </row>
    <row r="11587" spans="1:12" ht="12" customHeight="1" x14ac:dyDescent="0.25">
      <c r="A11587" s="6"/>
      <c r="B11587" s="1"/>
      <c r="C11587" s="5"/>
      <c r="D11587" s="5"/>
      <c r="E11587" s="5"/>
      <c r="F11587" s="5"/>
      <c r="G11587" s="5"/>
      <c r="H11587" s="5"/>
      <c r="I11587" s="5"/>
      <c r="J11587" s="5"/>
      <c r="K11587" s="5"/>
      <c r="L11587" s="5"/>
    </row>
    <row r="11588" spans="1:12" ht="12" customHeight="1" x14ac:dyDescent="0.25">
      <c r="A11588" s="6"/>
      <c r="B11588" s="1"/>
      <c r="C11588" s="5"/>
      <c r="D11588" s="5"/>
      <c r="E11588" s="5"/>
      <c r="F11588" s="5"/>
      <c r="G11588" s="5"/>
      <c r="H11588" s="5"/>
      <c r="I11588" s="5"/>
      <c r="J11588" s="5"/>
      <c r="K11588" s="5"/>
      <c r="L11588" s="5"/>
    </row>
    <row r="11589" spans="1:12" ht="12" customHeight="1" x14ac:dyDescent="0.25">
      <c r="A11589" s="6"/>
      <c r="B11589" s="1"/>
      <c r="C11589" s="5"/>
      <c r="D11589" s="5"/>
      <c r="E11589" s="5"/>
      <c r="F11589" s="5"/>
      <c r="G11589" s="5"/>
      <c r="H11589" s="5"/>
      <c r="I11589" s="5"/>
      <c r="J11589" s="5"/>
      <c r="K11589" s="5"/>
      <c r="L11589" s="5"/>
    </row>
    <row r="11590" spans="1:12" ht="12" customHeight="1" x14ac:dyDescent="0.25">
      <c r="A11590" s="6"/>
      <c r="B11590" s="1"/>
      <c r="C11590" s="5"/>
      <c r="D11590" s="5"/>
      <c r="E11590" s="5"/>
      <c r="F11590" s="5"/>
      <c r="G11590" s="5"/>
      <c r="H11590" s="5"/>
      <c r="I11590" s="5"/>
      <c r="J11590" s="5"/>
      <c r="K11590" s="5"/>
      <c r="L11590" s="5"/>
    </row>
    <row r="11591" spans="1:12" ht="12" customHeight="1" x14ac:dyDescent="0.25">
      <c r="A11591" s="6"/>
      <c r="B11591" s="1"/>
      <c r="C11591" s="5"/>
      <c r="D11591" s="5"/>
      <c r="E11591" s="5"/>
      <c r="F11591" s="5"/>
      <c r="G11591" s="5"/>
      <c r="H11591" s="5"/>
      <c r="I11591" s="5"/>
      <c r="J11591" s="5"/>
      <c r="K11591" s="5"/>
      <c r="L11591" s="5"/>
    </row>
    <row r="11592" spans="1:12" ht="12" customHeight="1" x14ac:dyDescent="0.25">
      <c r="A11592" s="6"/>
      <c r="B11592" s="1"/>
      <c r="C11592" s="5"/>
      <c r="D11592" s="5"/>
      <c r="E11592" s="5"/>
      <c r="F11592" s="5"/>
      <c r="G11592" s="5"/>
      <c r="H11592" s="5"/>
      <c r="I11592" s="5"/>
      <c r="J11592" s="5"/>
      <c r="K11592" s="5"/>
      <c r="L11592" s="5"/>
    </row>
    <row r="11593" spans="1:12" ht="12" customHeight="1" x14ac:dyDescent="0.25">
      <c r="A11593" s="6"/>
      <c r="B11593" s="1"/>
      <c r="C11593" s="5"/>
      <c r="D11593" s="5"/>
      <c r="E11593" s="5"/>
      <c r="F11593" s="5"/>
      <c r="G11593" s="5"/>
      <c r="H11593" s="5"/>
      <c r="I11593" s="5"/>
      <c r="J11593" s="5"/>
      <c r="K11593" s="5"/>
      <c r="L11593" s="5"/>
    </row>
    <row r="11594" spans="1:12" ht="12" customHeight="1" x14ac:dyDescent="0.25">
      <c r="A11594" s="6"/>
      <c r="B11594" s="1"/>
      <c r="C11594" s="5"/>
      <c r="D11594" s="5"/>
      <c r="E11594" s="5"/>
      <c r="F11594" s="5"/>
      <c r="G11594" s="5"/>
      <c r="H11594" s="5"/>
      <c r="I11594" s="5"/>
      <c r="J11594" s="5"/>
      <c r="K11594" s="5"/>
      <c r="L11594" s="5"/>
    </row>
    <row r="11595" spans="1:12" ht="12" customHeight="1" x14ac:dyDescent="0.25">
      <c r="A11595" s="6"/>
      <c r="B11595" s="1"/>
      <c r="C11595" s="5"/>
      <c r="D11595" s="5"/>
      <c r="E11595" s="5"/>
      <c r="F11595" s="5"/>
      <c r="G11595" s="5"/>
      <c r="H11595" s="5"/>
      <c r="I11595" s="5"/>
      <c r="J11595" s="5"/>
      <c r="K11595" s="5"/>
      <c r="L11595" s="5"/>
    </row>
    <row r="11596" spans="1:12" ht="12" customHeight="1" x14ac:dyDescent="0.25">
      <c r="A11596" s="6"/>
      <c r="B11596" s="1"/>
      <c r="C11596" s="5"/>
      <c r="D11596" s="5"/>
      <c r="E11596" s="5"/>
      <c r="F11596" s="5"/>
      <c r="G11596" s="5"/>
      <c r="H11596" s="5"/>
      <c r="I11596" s="5"/>
      <c r="J11596" s="5"/>
      <c r="K11596" s="5"/>
      <c r="L11596" s="5"/>
    </row>
    <row r="11597" spans="1:12" ht="12" customHeight="1" x14ac:dyDescent="0.25">
      <c r="A11597" s="6"/>
      <c r="B11597" s="1"/>
      <c r="C11597" s="5"/>
      <c r="D11597" s="5"/>
      <c r="E11597" s="5"/>
      <c r="F11597" s="5"/>
      <c r="G11597" s="5"/>
      <c r="H11597" s="5"/>
      <c r="I11597" s="5"/>
      <c r="J11597" s="5"/>
      <c r="K11597" s="5"/>
      <c r="L11597" s="5"/>
    </row>
    <row r="11598" spans="1:12" ht="12" customHeight="1" x14ac:dyDescent="0.25">
      <c r="A11598" s="6"/>
      <c r="B11598" s="1"/>
      <c r="C11598" s="5"/>
      <c r="D11598" s="5"/>
      <c r="E11598" s="5"/>
      <c r="F11598" s="5"/>
      <c r="G11598" s="5"/>
      <c r="H11598" s="5"/>
      <c r="I11598" s="5"/>
      <c r="J11598" s="5"/>
      <c r="K11598" s="5"/>
      <c r="L11598" s="5"/>
    </row>
    <row r="11599" spans="1:12" ht="12" customHeight="1" x14ac:dyDescent="0.25">
      <c r="A11599" s="6"/>
      <c r="B11599" s="1"/>
      <c r="C11599" s="5"/>
      <c r="D11599" s="5"/>
      <c r="E11599" s="5"/>
      <c r="F11599" s="5"/>
      <c r="G11599" s="5"/>
      <c r="H11599" s="5"/>
      <c r="I11599" s="5"/>
      <c r="J11599" s="5"/>
      <c r="K11599" s="5"/>
      <c r="L11599" s="5"/>
    </row>
    <row r="11600" spans="1:12" ht="12" customHeight="1" x14ac:dyDescent="0.25">
      <c r="A11600" s="6"/>
      <c r="B11600" s="1"/>
      <c r="C11600" s="5"/>
      <c r="D11600" s="5"/>
      <c r="E11600" s="5"/>
      <c r="F11600" s="5"/>
      <c r="G11600" s="5"/>
      <c r="H11600" s="5"/>
      <c r="I11600" s="5"/>
      <c r="J11600" s="5"/>
      <c r="K11600" s="5"/>
      <c r="L11600" s="5"/>
    </row>
    <row r="11601" spans="1:12" ht="12" customHeight="1" x14ac:dyDescent="0.25">
      <c r="A11601" s="6"/>
      <c r="B11601" s="1"/>
      <c r="C11601" s="5"/>
      <c r="D11601" s="5"/>
      <c r="E11601" s="5"/>
      <c r="F11601" s="5"/>
      <c r="G11601" s="5"/>
      <c r="H11601" s="5"/>
      <c r="I11601" s="5"/>
      <c r="J11601" s="5"/>
      <c r="K11601" s="5"/>
      <c r="L11601" s="5"/>
    </row>
    <row r="11602" spans="1:12" ht="12" customHeight="1" x14ac:dyDescent="0.25">
      <c r="A11602" s="6"/>
      <c r="B11602" s="1"/>
      <c r="C11602" s="5"/>
      <c r="D11602" s="5"/>
      <c r="E11602" s="5"/>
      <c r="F11602" s="5"/>
      <c r="G11602" s="5"/>
      <c r="H11602" s="5"/>
      <c r="I11602" s="5"/>
      <c r="J11602" s="5"/>
      <c r="K11602" s="5"/>
      <c r="L11602" s="5"/>
    </row>
    <row r="11603" spans="1:12" ht="12" customHeight="1" x14ac:dyDescent="0.25">
      <c r="A11603" s="6"/>
      <c r="B11603" s="1"/>
      <c r="C11603" s="5"/>
      <c r="D11603" s="5"/>
      <c r="E11603" s="5"/>
      <c r="F11603" s="5"/>
      <c r="G11603" s="5"/>
      <c r="H11603" s="5"/>
      <c r="I11603" s="5"/>
      <c r="J11603" s="5"/>
      <c r="K11603" s="5"/>
      <c r="L11603" s="5"/>
    </row>
    <row r="11604" spans="1:12" ht="12" customHeight="1" x14ac:dyDescent="0.25">
      <c r="A11604" s="6"/>
      <c r="B11604" s="1"/>
      <c r="C11604" s="5"/>
      <c r="D11604" s="5"/>
      <c r="E11604" s="5"/>
      <c r="F11604" s="5"/>
      <c r="G11604" s="5"/>
      <c r="H11604" s="5"/>
      <c r="I11604" s="5"/>
      <c r="J11604" s="5"/>
      <c r="K11604" s="5"/>
      <c r="L11604" s="5"/>
    </row>
    <row r="11605" spans="1:12" ht="12" customHeight="1" x14ac:dyDescent="0.25">
      <c r="A11605" s="6"/>
      <c r="B11605" s="1"/>
      <c r="C11605" s="5"/>
      <c r="D11605" s="5"/>
      <c r="E11605" s="5"/>
      <c r="F11605" s="5"/>
      <c r="G11605" s="5"/>
      <c r="H11605" s="5"/>
      <c r="I11605" s="5"/>
      <c r="J11605" s="5"/>
      <c r="K11605" s="5"/>
      <c r="L11605" s="5"/>
    </row>
    <row r="11606" spans="1:12" ht="12" customHeight="1" x14ac:dyDescent="0.25">
      <c r="A11606" s="6"/>
      <c r="B11606" s="1"/>
      <c r="C11606" s="5"/>
      <c r="D11606" s="5"/>
      <c r="E11606" s="5"/>
      <c r="F11606" s="5"/>
      <c r="G11606" s="5"/>
      <c r="H11606" s="5"/>
      <c r="I11606" s="5"/>
      <c r="J11606" s="5"/>
      <c r="K11606" s="5"/>
      <c r="L11606" s="5"/>
    </row>
    <row r="11607" spans="1:12" ht="12" customHeight="1" x14ac:dyDescent="0.25">
      <c r="A11607" s="6"/>
      <c r="B11607" s="1"/>
      <c r="C11607" s="5"/>
      <c r="D11607" s="5"/>
      <c r="E11607" s="5"/>
      <c r="F11607" s="5"/>
      <c r="G11607" s="5"/>
      <c r="H11607" s="5"/>
      <c r="I11607" s="5"/>
      <c r="J11607" s="5"/>
      <c r="K11607" s="5"/>
      <c r="L11607" s="5"/>
    </row>
    <row r="11608" spans="1:12" ht="12" customHeight="1" x14ac:dyDescent="0.25">
      <c r="A11608" s="6"/>
      <c r="B11608" s="1"/>
      <c r="C11608" s="5"/>
      <c r="D11608" s="5"/>
      <c r="E11608" s="5"/>
      <c r="F11608" s="5"/>
      <c r="G11608" s="5"/>
      <c r="H11608" s="5"/>
      <c r="I11608" s="5"/>
      <c r="J11608" s="5"/>
      <c r="K11608" s="5"/>
      <c r="L11608" s="5"/>
    </row>
    <row r="11609" spans="1:12" ht="12" customHeight="1" x14ac:dyDescent="0.25">
      <c r="A11609" s="6"/>
      <c r="B11609" s="1"/>
      <c r="C11609" s="5"/>
      <c r="D11609" s="5"/>
      <c r="E11609" s="5"/>
      <c r="F11609" s="5"/>
      <c r="G11609" s="5"/>
      <c r="H11609" s="5"/>
      <c r="I11609" s="5"/>
      <c r="J11609" s="5"/>
      <c r="K11609" s="5"/>
      <c r="L11609" s="5"/>
    </row>
    <row r="11610" spans="1:12" ht="12" customHeight="1" x14ac:dyDescent="0.25">
      <c r="A11610" s="6"/>
      <c r="B11610" s="1"/>
      <c r="C11610" s="5"/>
      <c r="D11610" s="5"/>
      <c r="E11610" s="5"/>
      <c r="F11610" s="5"/>
      <c r="G11610" s="5"/>
      <c r="H11610" s="5"/>
      <c r="I11610" s="5"/>
      <c r="J11610" s="5"/>
      <c r="K11610" s="5"/>
      <c r="L11610" s="5"/>
    </row>
    <row r="11611" spans="1:12" ht="12" customHeight="1" x14ac:dyDescent="0.25">
      <c r="A11611" s="6"/>
      <c r="B11611" s="1"/>
      <c r="C11611" s="5"/>
      <c r="D11611" s="5"/>
      <c r="E11611" s="5"/>
      <c r="F11611" s="5"/>
      <c r="G11611" s="5"/>
      <c r="H11611" s="5"/>
      <c r="I11611" s="5"/>
      <c r="J11611" s="5"/>
      <c r="K11611" s="5"/>
      <c r="L11611" s="5"/>
    </row>
    <row r="11612" spans="1:12" ht="12" customHeight="1" x14ac:dyDescent="0.25">
      <c r="A11612" s="6"/>
      <c r="B11612" s="1"/>
      <c r="C11612" s="5"/>
      <c r="D11612" s="5"/>
      <c r="E11612" s="5"/>
      <c r="F11612" s="5"/>
      <c r="G11612" s="5"/>
      <c r="H11612" s="5"/>
      <c r="I11612" s="5"/>
      <c r="J11612" s="5"/>
      <c r="K11612" s="5"/>
      <c r="L11612" s="5"/>
    </row>
    <row r="11613" spans="1:12" ht="12" customHeight="1" x14ac:dyDescent="0.25">
      <c r="A11613" s="6"/>
      <c r="B11613" s="1"/>
      <c r="C11613" s="5"/>
      <c r="D11613" s="5"/>
      <c r="E11613" s="5"/>
      <c r="F11613" s="5"/>
      <c r="G11613" s="5"/>
      <c r="H11613" s="5"/>
      <c r="I11613" s="5"/>
      <c r="J11613" s="5"/>
      <c r="K11613" s="5"/>
      <c r="L11613" s="5"/>
    </row>
    <row r="11614" spans="1:12" ht="12" customHeight="1" x14ac:dyDescent="0.25">
      <c r="A11614" s="6"/>
      <c r="B11614" s="1"/>
      <c r="C11614" s="5"/>
      <c r="D11614" s="5"/>
      <c r="E11614" s="5"/>
      <c r="F11614" s="5"/>
      <c r="G11614" s="5"/>
      <c r="H11614" s="5"/>
      <c r="I11614" s="5"/>
      <c r="J11614" s="5"/>
      <c r="K11614" s="5"/>
      <c r="L11614" s="5"/>
    </row>
    <row r="11615" spans="1:12" ht="12" customHeight="1" x14ac:dyDescent="0.25">
      <c r="A11615" s="6"/>
      <c r="B11615" s="1"/>
      <c r="C11615" s="5"/>
      <c r="D11615" s="5"/>
      <c r="E11615" s="5"/>
      <c r="F11615" s="5"/>
      <c r="G11615" s="5"/>
      <c r="H11615" s="5"/>
      <c r="I11615" s="5"/>
      <c r="J11615" s="5"/>
      <c r="K11615" s="5"/>
      <c r="L11615" s="5"/>
    </row>
    <row r="11616" spans="1:12" ht="12" customHeight="1" x14ac:dyDescent="0.25">
      <c r="A11616" s="6"/>
      <c r="B11616" s="1"/>
      <c r="C11616" s="5"/>
      <c r="D11616" s="5"/>
      <c r="E11616" s="5"/>
      <c r="F11616" s="5"/>
      <c r="G11616" s="5"/>
      <c r="H11616" s="5"/>
      <c r="I11616" s="5"/>
      <c r="J11616" s="5"/>
      <c r="K11616" s="5"/>
      <c r="L11616" s="5"/>
    </row>
    <row r="11617" spans="1:12" ht="12" customHeight="1" x14ac:dyDescent="0.25">
      <c r="A11617" s="6"/>
      <c r="B11617" s="1"/>
      <c r="C11617" s="5"/>
      <c r="D11617" s="5"/>
      <c r="E11617" s="5"/>
      <c r="F11617" s="5"/>
      <c r="G11617" s="5"/>
      <c r="H11617" s="5"/>
      <c r="I11617" s="5"/>
      <c r="J11617" s="5"/>
      <c r="K11617" s="5"/>
      <c r="L11617" s="5"/>
    </row>
    <row r="11618" spans="1:12" ht="12" customHeight="1" x14ac:dyDescent="0.25">
      <c r="A11618" s="6"/>
      <c r="B11618" s="1"/>
      <c r="C11618" s="5"/>
      <c r="D11618" s="5"/>
      <c r="E11618" s="5"/>
      <c r="F11618" s="5"/>
      <c r="G11618" s="5"/>
      <c r="H11618" s="5"/>
      <c r="I11618" s="5"/>
      <c r="J11618" s="5"/>
      <c r="K11618" s="5"/>
      <c r="L11618" s="5"/>
    </row>
    <row r="11619" spans="1:12" ht="12" customHeight="1" x14ac:dyDescent="0.25">
      <c r="A11619" s="6"/>
      <c r="B11619" s="1"/>
      <c r="C11619" s="5"/>
      <c r="D11619" s="5"/>
      <c r="E11619" s="5"/>
      <c r="F11619" s="5"/>
      <c r="G11619" s="5"/>
      <c r="H11619" s="5"/>
      <c r="I11619" s="5"/>
      <c r="J11619" s="5"/>
      <c r="K11619" s="5"/>
      <c r="L11619" s="5"/>
    </row>
    <row r="11620" spans="1:12" ht="12" customHeight="1" x14ac:dyDescent="0.25">
      <c r="A11620" s="6"/>
      <c r="B11620" s="1"/>
      <c r="C11620" s="5"/>
      <c r="D11620" s="5"/>
      <c r="E11620" s="5"/>
      <c r="F11620" s="5"/>
      <c r="G11620" s="5"/>
      <c r="H11620" s="5"/>
      <c r="I11620" s="5"/>
      <c r="J11620" s="5"/>
      <c r="K11620" s="5"/>
      <c r="L11620" s="5"/>
    </row>
    <row r="11621" spans="1:12" ht="12" customHeight="1" x14ac:dyDescent="0.25">
      <c r="A11621" s="6"/>
      <c r="B11621" s="1"/>
      <c r="C11621" s="5"/>
      <c r="D11621" s="5"/>
      <c r="E11621" s="5"/>
      <c r="F11621" s="5"/>
      <c r="G11621" s="5"/>
      <c r="H11621" s="5"/>
      <c r="I11621" s="5"/>
      <c r="J11621" s="5"/>
      <c r="K11621" s="5"/>
      <c r="L11621" s="5"/>
    </row>
    <row r="11622" spans="1:12" ht="12" customHeight="1" x14ac:dyDescent="0.25">
      <c r="A11622" s="6"/>
      <c r="B11622" s="1"/>
      <c r="C11622" s="5"/>
      <c r="D11622" s="5"/>
      <c r="E11622" s="5"/>
      <c r="F11622" s="5"/>
      <c r="G11622" s="5"/>
      <c r="H11622" s="5"/>
      <c r="I11622" s="5"/>
      <c r="J11622" s="5"/>
      <c r="K11622" s="5"/>
      <c r="L11622" s="5"/>
    </row>
    <row r="11623" spans="1:12" ht="12" customHeight="1" x14ac:dyDescent="0.25">
      <c r="A11623" s="6"/>
      <c r="B11623" s="1"/>
      <c r="C11623" s="5"/>
      <c r="D11623" s="5"/>
      <c r="E11623" s="5"/>
      <c r="F11623" s="5"/>
      <c r="G11623" s="5"/>
      <c r="H11623" s="5"/>
      <c r="I11623" s="5"/>
      <c r="J11623" s="5"/>
      <c r="K11623" s="5"/>
      <c r="L11623" s="5"/>
    </row>
    <row r="11624" spans="1:12" ht="12" customHeight="1" x14ac:dyDescent="0.25">
      <c r="A11624" s="6"/>
      <c r="B11624" s="1"/>
      <c r="C11624" s="5"/>
      <c r="D11624" s="5"/>
      <c r="E11624" s="5"/>
      <c r="F11624" s="5"/>
      <c r="G11624" s="5"/>
      <c r="H11624" s="5"/>
      <c r="I11624" s="5"/>
      <c r="J11624" s="5"/>
      <c r="K11624" s="5"/>
      <c r="L11624" s="5"/>
    </row>
    <row r="11625" spans="1:12" ht="12" customHeight="1" x14ac:dyDescent="0.25">
      <c r="A11625" s="6"/>
      <c r="B11625" s="1"/>
      <c r="C11625" s="5"/>
      <c r="D11625" s="5"/>
      <c r="E11625" s="5"/>
      <c r="F11625" s="5"/>
      <c r="G11625" s="5"/>
      <c r="H11625" s="5"/>
      <c r="I11625" s="5"/>
      <c r="J11625" s="5"/>
      <c r="K11625" s="5"/>
      <c r="L11625" s="5"/>
    </row>
    <row r="11626" spans="1:12" ht="12" customHeight="1" x14ac:dyDescent="0.25">
      <c r="A11626" s="6"/>
      <c r="B11626" s="1"/>
      <c r="C11626" s="5"/>
      <c r="D11626" s="5"/>
      <c r="E11626" s="5"/>
      <c r="F11626" s="5"/>
      <c r="G11626" s="5"/>
      <c r="H11626" s="5"/>
      <c r="I11626" s="5"/>
      <c r="J11626" s="5"/>
      <c r="K11626" s="5"/>
      <c r="L11626" s="5"/>
    </row>
    <row r="11627" spans="1:12" ht="12" customHeight="1" x14ac:dyDescent="0.25">
      <c r="A11627" s="6"/>
      <c r="B11627" s="1"/>
      <c r="C11627" s="5"/>
      <c r="D11627" s="5"/>
      <c r="E11627" s="5"/>
      <c r="F11627" s="5"/>
      <c r="G11627" s="5"/>
      <c r="H11627" s="5"/>
      <c r="I11627" s="5"/>
      <c r="J11627" s="5"/>
      <c r="K11627" s="5"/>
      <c r="L11627" s="5"/>
    </row>
    <row r="11628" spans="1:12" ht="12" customHeight="1" x14ac:dyDescent="0.25">
      <c r="A11628" s="6"/>
      <c r="B11628" s="1"/>
      <c r="C11628" s="5"/>
      <c r="D11628" s="5"/>
      <c r="E11628" s="5"/>
      <c r="F11628" s="5"/>
      <c r="G11628" s="5"/>
      <c r="H11628" s="5"/>
      <c r="I11628" s="5"/>
      <c r="J11628" s="5"/>
      <c r="K11628" s="5"/>
      <c r="L11628" s="5"/>
    </row>
    <row r="11629" spans="1:12" ht="12" customHeight="1" x14ac:dyDescent="0.25">
      <c r="A11629" s="6"/>
      <c r="B11629" s="1"/>
      <c r="C11629" s="5"/>
      <c r="D11629" s="5"/>
      <c r="E11629" s="5"/>
      <c r="F11629" s="5"/>
      <c r="G11629" s="5"/>
      <c r="H11629" s="5"/>
      <c r="I11629" s="5"/>
      <c r="J11629" s="5"/>
      <c r="K11629" s="5"/>
      <c r="L11629" s="5"/>
    </row>
    <row r="11630" spans="1:12" ht="12" customHeight="1" x14ac:dyDescent="0.25">
      <c r="A11630" s="6"/>
      <c r="B11630" s="1"/>
      <c r="C11630" s="5"/>
      <c r="D11630" s="5"/>
      <c r="E11630" s="5"/>
      <c r="F11630" s="5"/>
      <c r="G11630" s="5"/>
      <c r="H11630" s="5"/>
      <c r="I11630" s="5"/>
      <c r="J11630" s="5"/>
      <c r="K11630" s="5"/>
      <c r="L11630" s="5"/>
    </row>
    <row r="11631" spans="1:12" ht="12" customHeight="1" x14ac:dyDescent="0.25">
      <c r="A11631" s="6"/>
      <c r="B11631" s="1"/>
      <c r="C11631" s="5"/>
      <c r="D11631" s="5"/>
      <c r="E11631" s="5"/>
      <c r="F11631" s="5"/>
      <c r="G11631" s="5"/>
      <c r="H11631" s="5"/>
      <c r="I11631" s="5"/>
      <c r="J11631" s="5"/>
      <c r="K11631" s="5"/>
      <c r="L11631" s="5"/>
    </row>
    <row r="11632" spans="1:12" ht="12" customHeight="1" x14ac:dyDescent="0.25">
      <c r="A11632" s="6"/>
      <c r="B11632" s="1"/>
      <c r="C11632" s="5"/>
      <c r="D11632" s="5"/>
      <c r="E11632" s="5"/>
      <c r="F11632" s="5"/>
      <c r="G11632" s="5"/>
      <c r="H11632" s="5"/>
      <c r="I11632" s="5"/>
      <c r="J11632" s="5"/>
      <c r="K11632" s="5"/>
      <c r="L11632" s="5"/>
    </row>
    <row r="11633" spans="1:12" ht="12" customHeight="1" x14ac:dyDescent="0.25">
      <c r="A11633" s="6"/>
      <c r="B11633" s="1"/>
      <c r="C11633" s="5"/>
      <c r="D11633" s="5"/>
      <c r="E11633" s="5"/>
      <c r="F11633" s="5"/>
      <c r="G11633" s="5"/>
      <c r="H11633" s="5"/>
      <c r="I11633" s="5"/>
      <c r="J11633" s="5"/>
      <c r="K11633" s="5"/>
      <c r="L11633" s="5"/>
    </row>
    <row r="11634" spans="1:12" ht="12" customHeight="1" x14ac:dyDescent="0.25">
      <c r="A11634" s="6"/>
      <c r="B11634" s="1"/>
      <c r="C11634" s="5"/>
      <c r="D11634" s="5"/>
      <c r="E11634" s="5"/>
      <c r="F11634" s="5"/>
      <c r="G11634" s="5"/>
      <c r="H11634" s="5"/>
      <c r="I11634" s="5"/>
      <c r="J11634" s="5"/>
      <c r="K11634" s="5"/>
      <c r="L11634" s="5"/>
    </row>
    <row r="11635" spans="1:12" ht="12" customHeight="1" x14ac:dyDescent="0.25">
      <c r="A11635" s="6"/>
      <c r="B11635" s="1"/>
      <c r="C11635" s="5"/>
      <c r="D11635" s="5"/>
      <c r="E11635" s="5"/>
      <c r="F11635" s="5"/>
      <c r="G11635" s="5"/>
      <c r="H11635" s="5"/>
      <c r="I11635" s="5"/>
      <c r="J11635" s="5"/>
      <c r="K11635" s="5"/>
      <c r="L11635" s="5"/>
    </row>
    <row r="11636" spans="1:12" ht="12" customHeight="1" x14ac:dyDescent="0.25">
      <c r="A11636" s="6"/>
      <c r="B11636" s="1"/>
      <c r="C11636" s="5"/>
      <c r="D11636" s="5"/>
      <c r="E11636" s="5"/>
      <c r="F11636" s="5"/>
      <c r="G11636" s="5"/>
      <c r="H11636" s="5"/>
      <c r="I11636" s="5"/>
      <c r="J11636" s="5"/>
      <c r="K11636" s="5"/>
      <c r="L11636" s="5"/>
    </row>
    <row r="11637" spans="1:12" ht="12" customHeight="1" x14ac:dyDescent="0.25">
      <c r="A11637" s="6"/>
      <c r="B11637" s="1"/>
      <c r="C11637" s="5"/>
      <c r="D11637" s="5"/>
      <c r="E11637" s="5"/>
      <c r="F11637" s="5"/>
      <c r="G11637" s="5"/>
      <c r="H11637" s="5"/>
      <c r="I11637" s="5"/>
      <c r="J11637" s="5"/>
      <c r="K11637" s="5"/>
      <c r="L11637" s="5"/>
    </row>
    <row r="11638" spans="1:12" ht="12" customHeight="1" x14ac:dyDescent="0.25">
      <c r="A11638" s="6"/>
      <c r="B11638" s="1"/>
      <c r="C11638" s="5"/>
      <c r="D11638" s="5"/>
      <c r="E11638" s="5"/>
      <c r="F11638" s="5"/>
      <c r="G11638" s="5"/>
      <c r="H11638" s="5"/>
      <c r="I11638" s="5"/>
      <c r="J11638" s="5"/>
      <c r="K11638" s="5"/>
      <c r="L11638" s="5"/>
    </row>
    <row r="11639" spans="1:12" ht="12" customHeight="1" x14ac:dyDescent="0.25">
      <c r="A11639" s="6"/>
      <c r="B11639" s="1"/>
      <c r="C11639" s="5"/>
      <c r="D11639" s="5"/>
      <c r="E11639" s="5"/>
      <c r="F11639" s="5"/>
      <c r="G11639" s="5"/>
      <c r="H11639" s="5"/>
      <c r="I11639" s="5"/>
      <c r="J11639" s="5"/>
      <c r="K11639" s="5"/>
      <c r="L11639" s="5"/>
    </row>
    <row r="11640" spans="1:12" ht="12" customHeight="1" x14ac:dyDescent="0.25">
      <c r="A11640" s="6"/>
      <c r="B11640" s="1"/>
      <c r="C11640" s="5"/>
      <c r="D11640" s="5"/>
      <c r="E11640" s="5"/>
      <c r="F11640" s="5"/>
      <c r="G11640" s="5"/>
      <c r="H11640" s="5"/>
      <c r="I11640" s="5"/>
      <c r="J11640" s="5"/>
      <c r="K11640" s="5"/>
      <c r="L11640" s="5"/>
    </row>
    <row r="11641" spans="1:12" ht="12" customHeight="1" x14ac:dyDescent="0.25">
      <c r="A11641" s="6"/>
      <c r="B11641" s="1"/>
      <c r="C11641" s="5"/>
      <c r="D11641" s="5"/>
      <c r="E11641" s="5"/>
      <c r="F11641" s="5"/>
      <c r="G11641" s="5"/>
      <c r="H11641" s="5"/>
      <c r="I11641" s="5"/>
      <c r="J11641" s="5"/>
      <c r="K11641" s="5"/>
      <c r="L11641" s="5"/>
    </row>
    <row r="11642" spans="1:12" ht="12" customHeight="1" x14ac:dyDescent="0.25">
      <c r="A11642" s="6"/>
      <c r="B11642" s="1"/>
      <c r="C11642" s="5"/>
      <c r="D11642" s="5"/>
      <c r="E11642" s="5"/>
      <c r="F11642" s="5"/>
      <c r="G11642" s="5"/>
      <c r="H11642" s="5"/>
      <c r="I11642" s="5"/>
      <c r="J11642" s="5"/>
      <c r="K11642" s="5"/>
      <c r="L11642" s="5"/>
    </row>
    <row r="11643" spans="1:12" ht="12" customHeight="1" x14ac:dyDescent="0.25">
      <c r="A11643" s="6"/>
      <c r="B11643" s="1"/>
      <c r="C11643" s="5"/>
      <c r="D11643" s="5"/>
      <c r="E11643" s="5"/>
      <c r="F11643" s="5"/>
      <c r="G11643" s="5"/>
      <c r="H11643" s="5"/>
      <c r="I11643" s="5"/>
      <c r="J11643" s="5"/>
      <c r="K11643" s="5"/>
      <c r="L11643" s="5"/>
    </row>
    <row r="11644" spans="1:12" ht="12" customHeight="1" x14ac:dyDescent="0.25">
      <c r="A11644" s="6"/>
      <c r="B11644" s="1"/>
      <c r="C11644" s="5"/>
      <c r="D11644" s="5"/>
      <c r="E11644" s="5"/>
      <c r="F11644" s="5"/>
      <c r="G11644" s="5"/>
      <c r="H11644" s="5"/>
      <c r="I11644" s="5"/>
      <c r="J11644" s="5"/>
      <c r="K11644" s="5"/>
      <c r="L11644" s="5"/>
    </row>
    <row r="11645" spans="1:12" ht="12" customHeight="1" x14ac:dyDescent="0.25">
      <c r="A11645" s="6"/>
      <c r="B11645" s="1"/>
      <c r="C11645" s="5"/>
      <c r="D11645" s="5"/>
      <c r="E11645" s="5"/>
      <c r="F11645" s="5"/>
      <c r="G11645" s="5"/>
      <c r="H11645" s="5"/>
      <c r="I11645" s="5"/>
      <c r="J11645" s="5"/>
      <c r="K11645" s="5"/>
      <c r="L11645" s="5"/>
    </row>
    <row r="11646" spans="1:12" ht="12" customHeight="1" x14ac:dyDescent="0.25">
      <c r="A11646" s="6"/>
      <c r="B11646" s="1"/>
      <c r="C11646" s="5"/>
      <c r="D11646" s="5"/>
      <c r="E11646" s="5"/>
      <c r="F11646" s="5"/>
      <c r="G11646" s="5"/>
      <c r="H11646" s="5"/>
      <c r="I11646" s="5"/>
      <c r="J11646" s="5"/>
      <c r="K11646" s="5"/>
      <c r="L11646" s="5"/>
    </row>
    <row r="11647" spans="1:12" ht="12" customHeight="1" x14ac:dyDescent="0.25">
      <c r="A11647" s="6"/>
      <c r="B11647" s="1"/>
      <c r="C11647" s="5"/>
      <c r="D11647" s="5"/>
      <c r="E11647" s="5"/>
      <c r="F11647" s="5"/>
      <c r="G11647" s="5"/>
      <c r="H11647" s="5"/>
      <c r="I11647" s="5"/>
      <c r="J11647" s="5"/>
      <c r="K11647" s="5"/>
      <c r="L11647" s="5"/>
    </row>
    <row r="11648" spans="1:12" ht="12" customHeight="1" x14ac:dyDescent="0.25">
      <c r="A11648" s="6"/>
      <c r="B11648" s="1"/>
      <c r="C11648" s="5"/>
      <c r="D11648" s="5"/>
      <c r="E11648" s="5"/>
      <c r="F11648" s="5"/>
      <c r="G11648" s="5"/>
      <c r="H11648" s="5"/>
      <c r="I11648" s="5"/>
      <c r="J11648" s="5"/>
      <c r="K11648" s="5"/>
      <c r="L11648" s="5"/>
    </row>
    <row r="11649" spans="1:12" ht="12" customHeight="1" x14ac:dyDescent="0.25">
      <c r="A11649" s="6"/>
      <c r="B11649" s="1"/>
      <c r="C11649" s="5"/>
      <c r="D11649" s="5"/>
      <c r="E11649" s="5"/>
      <c r="F11649" s="5"/>
      <c r="G11649" s="5"/>
      <c r="H11649" s="5"/>
      <c r="I11649" s="5"/>
      <c r="J11649" s="5"/>
      <c r="K11649" s="5"/>
      <c r="L11649" s="5"/>
    </row>
    <row r="11650" spans="1:12" ht="12" customHeight="1" x14ac:dyDescent="0.25">
      <c r="A11650" s="6"/>
      <c r="B11650" s="1"/>
      <c r="C11650" s="5"/>
      <c r="D11650" s="5"/>
      <c r="E11650" s="5"/>
      <c r="F11650" s="5"/>
      <c r="G11650" s="5"/>
      <c r="H11650" s="5"/>
      <c r="I11650" s="5"/>
      <c r="J11650" s="5"/>
      <c r="K11650" s="5"/>
      <c r="L11650" s="5"/>
    </row>
    <row r="11651" spans="1:12" ht="12" customHeight="1" x14ac:dyDescent="0.25">
      <c r="A11651" s="6"/>
      <c r="B11651" s="1"/>
      <c r="C11651" s="5"/>
      <c r="D11651" s="5"/>
      <c r="E11651" s="5"/>
      <c r="F11651" s="5"/>
      <c r="G11651" s="5"/>
      <c r="H11651" s="5"/>
      <c r="I11651" s="5"/>
      <c r="J11651" s="5"/>
      <c r="K11651" s="5"/>
      <c r="L11651" s="5"/>
    </row>
    <row r="11652" spans="1:12" ht="12" customHeight="1" x14ac:dyDescent="0.25">
      <c r="A11652" s="6"/>
      <c r="B11652" s="1"/>
      <c r="C11652" s="5"/>
      <c r="D11652" s="5"/>
      <c r="E11652" s="5"/>
      <c r="F11652" s="5"/>
      <c r="G11652" s="5"/>
      <c r="H11652" s="5"/>
      <c r="I11652" s="5"/>
      <c r="J11652" s="5"/>
      <c r="K11652" s="5"/>
      <c r="L11652" s="5"/>
    </row>
    <row r="11653" spans="1:12" ht="12" customHeight="1" x14ac:dyDescent="0.25">
      <c r="A11653" s="6"/>
      <c r="B11653" s="1"/>
      <c r="C11653" s="5"/>
      <c r="D11653" s="5"/>
      <c r="E11653" s="5"/>
      <c r="F11653" s="5"/>
      <c r="G11653" s="5"/>
      <c r="H11653" s="5"/>
      <c r="I11653" s="5"/>
      <c r="J11653" s="5"/>
      <c r="K11653" s="5"/>
      <c r="L11653" s="5"/>
    </row>
    <row r="11654" spans="1:12" ht="12" customHeight="1" x14ac:dyDescent="0.25">
      <c r="A11654" s="6"/>
      <c r="B11654" s="1"/>
      <c r="C11654" s="5"/>
      <c r="D11654" s="5"/>
      <c r="E11654" s="5"/>
      <c r="F11654" s="5"/>
      <c r="G11654" s="5"/>
      <c r="H11654" s="5"/>
      <c r="I11654" s="5"/>
      <c r="J11654" s="5"/>
      <c r="K11654" s="5"/>
      <c r="L11654" s="5"/>
    </row>
    <row r="11655" spans="1:12" ht="12" customHeight="1" x14ac:dyDescent="0.25">
      <c r="A11655" s="6"/>
      <c r="B11655" s="1"/>
      <c r="C11655" s="5"/>
      <c r="D11655" s="5"/>
      <c r="E11655" s="5"/>
      <c r="F11655" s="5"/>
      <c r="G11655" s="5"/>
      <c r="H11655" s="5"/>
      <c r="I11655" s="5"/>
      <c r="J11655" s="5"/>
      <c r="K11655" s="5"/>
      <c r="L11655" s="5"/>
    </row>
    <row r="11656" spans="1:12" ht="12" customHeight="1" x14ac:dyDescent="0.25">
      <c r="A11656" s="6"/>
      <c r="B11656" s="1"/>
      <c r="C11656" s="5"/>
      <c r="D11656" s="5"/>
      <c r="E11656" s="5"/>
      <c r="F11656" s="5"/>
      <c r="G11656" s="5"/>
      <c r="H11656" s="5"/>
      <c r="I11656" s="5"/>
      <c r="J11656" s="5"/>
      <c r="K11656" s="5"/>
      <c r="L11656" s="5"/>
    </row>
    <row r="11657" spans="1:12" ht="12" customHeight="1" x14ac:dyDescent="0.25">
      <c r="A11657" s="6"/>
      <c r="B11657" s="1"/>
      <c r="C11657" s="5"/>
      <c r="D11657" s="5"/>
      <c r="E11657" s="5"/>
      <c r="F11657" s="5"/>
      <c r="G11657" s="5"/>
      <c r="H11657" s="5"/>
      <c r="I11657" s="5"/>
      <c r="J11657" s="5"/>
      <c r="K11657" s="5"/>
      <c r="L11657" s="5"/>
    </row>
    <row r="11658" spans="1:12" ht="12" customHeight="1" x14ac:dyDescent="0.25">
      <c r="A11658" s="6"/>
      <c r="B11658" s="1"/>
      <c r="C11658" s="5"/>
      <c r="D11658" s="5"/>
      <c r="E11658" s="5"/>
      <c r="F11658" s="5"/>
      <c r="G11658" s="5"/>
      <c r="H11658" s="5"/>
      <c r="I11658" s="5"/>
      <c r="J11658" s="5"/>
      <c r="K11658" s="5"/>
      <c r="L11658" s="5"/>
    </row>
    <row r="11659" spans="1:12" ht="12" customHeight="1" x14ac:dyDescent="0.25">
      <c r="A11659" s="6"/>
      <c r="B11659" s="1"/>
      <c r="C11659" s="5"/>
      <c r="D11659" s="5"/>
      <c r="E11659" s="5"/>
      <c r="F11659" s="5"/>
      <c r="G11659" s="5"/>
      <c r="H11659" s="5"/>
      <c r="I11659" s="5"/>
      <c r="J11659" s="5"/>
      <c r="K11659" s="5"/>
      <c r="L11659" s="5"/>
    </row>
    <row r="11660" spans="1:12" ht="12" customHeight="1" x14ac:dyDescent="0.25">
      <c r="A11660" s="6"/>
      <c r="B11660" s="1"/>
      <c r="C11660" s="5"/>
      <c r="D11660" s="5"/>
      <c r="E11660" s="5"/>
      <c r="F11660" s="5"/>
      <c r="G11660" s="5"/>
      <c r="H11660" s="5"/>
      <c r="I11660" s="5"/>
      <c r="J11660" s="5"/>
      <c r="K11660" s="5"/>
      <c r="L11660" s="5"/>
    </row>
    <row r="11661" spans="1:12" ht="12" customHeight="1" x14ac:dyDescent="0.25">
      <c r="A11661" s="6"/>
      <c r="B11661" s="1"/>
      <c r="C11661" s="5"/>
      <c r="D11661" s="5"/>
      <c r="E11661" s="5"/>
      <c r="F11661" s="5"/>
      <c r="G11661" s="5"/>
      <c r="H11661" s="5"/>
      <c r="I11661" s="5"/>
      <c r="J11661" s="5"/>
      <c r="K11661" s="5"/>
      <c r="L11661" s="5"/>
    </row>
    <row r="11662" spans="1:12" ht="12" customHeight="1" x14ac:dyDescent="0.25">
      <c r="A11662" s="6"/>
      <c r="B11662" s="1"/>
      <c r="C11662" s="5"/>
      <c r="D11662" s="5"/>
      <c r="E11662" s="5"/>
      <c r="F11662" s="5"/>
      <c r="G11662" s="5"/>
      <c r="H11662" s="5"/>
      <c r="I11662" s="5"/>
      <c r="J11662" s="5"/>
      <c r="K11662" s="5"/>
      <c r="L11662" s="5"/>
    </row>
    <row r="11663" spans="1:12" ht="12" customHeight="1" x14ac:dyDescent="0.25">
      <c r="A11663" s="6"/>
      <c r="B11663" s="1"/>
      <c r="C11663" s="5"/>
      <c r="D11663" s="5"/>
      <c r="E11663" s="5"/>
      <c r="F11663" s="5"/>
      <c r="G11663" s="5"/>
      <c r="H11663" s="5"/>
      <c r="I11663" s="5"/>
      <c r="J11663" s="5"/>
      <c r="K11663" s="5"/>
      <c r="L11663" s="5"/>
    </row>
    <row r="11664" spans="1:12" ht="12" customHeight="1" x14ac:dyDescent="0.25">
      <c r="A11664" s="6"/>
      <c r="B11664" s="1"/>
      <c r="C11664" s="5"/>
      <c r="D11664" s="5"/>
      <c r="E11664" s="5"/>
      <c r="F11664" s="5"/>
      <c r="G11664" s="5"/>
      <c r="H11664" s="5"/>
      <c r="I11664" s="5"/>
      <c r="J11664" s="5"/>
      <c r="K11664" s="5"/>
      <c r="L11664" s="5"/>
    </row>
    <row r="11665" spans="1:12" ht="12" customHeight="1" x14ac:dyDescent="0.25">
      <c r="A11665" s="6"/>
      <c r="B11665" s="1"/>
      <c r="C11665" s="5"/>
      <c r="D11665" s="5"/>
      <c r="E11665" s="5"/>
      <c r="F11665" s="5"/>
      <c r="G11665" s="5"/>
      <c r="H11665" s="5"/>
      <c r="I11665" s="5"/>
      <c r="J11665" s="5"/>
      <c r="K11665" s="5"/>
      <c r="L11665" s="5"/>
    </row>
    <row r="11666" spans="1:12" ht="12" customHeight="1" x14ac:dyDescent="0.25">
      <c r="A11666" s="6"/>
      <c r="B11666" s="1"/>
      <c r="C11666" s="5"/>
      <c r="D11666" s="5"/>
      <c r="E11666" s="5"/>
      <c r="F11666" s="5"/>
      <c r="G11666" s="5"/>
      <c r="H11666" s="5"/>
      <c r="I11666" s="5"/>
      <c r="J11666" s="5"/>
      <c r="K11666" s="5"/>
      <c r="L11666" s="5"/>
    </row>
    <row r="11667" spans="1:12" ht="12" customHeight="1" x14ac:dyDescent="0.25">
      <c r="A11667" s="6"/>
      <c r="B11667" s="1"/>
      <c r="C11667" s="5"/>
      <c r="D11667" s="5"/>
      <c r="E11667" s="5"/>
      <c r="F11667" s="5"/>
      <c r="G11667" s="5"/>
      <c r="H11667" s="5"/>
      <c r="I11667" s="5"/>
      <c r="J11667" s="5"/>
      <c r="K11667" s="5"/>
      <c r="L11667" s="5"/>
    </row>
    <row r="11668" spans="1:12" ht="12" customHeight="1" x14ac:dyDescent="0.25">
      <c r="A11668" s="6"/>
      <c r="B11668" s="1"/>
      <c r="C11668" s="5"/>
      <c r="D11668" s="5"/>
      <c r="E11668" s="5"/>
      <c r="F11668" s="5"/>
      <c r="G11668" s="5"/>
      <c r="H11668" s="5"/>
      <c r="I11668" s="5"/>
      <c r="J11668" s="5"/>
      <c r="K11668" s="5"/>
      <c r="L11668" s="5"/>
    </row>
    <row r="11669" spans="1:12" ht="12" customHeight="1" x14ac:dyDescent="0.25">
      <c r="A11669" s="6"/>
      <c r="B11669" s="1"/>
      <c r="C11669" s="5"/>
      <c r="D11669" s="5"/>
      <c r="E11669" s="5"/>
      <c r="F11669" s="5"/>
      <c r="G11669" s="5"/>
      <c r="H11669" s="5"/>
      <c r="I11669" s="5"/>
      <c r="J11669" s="5"/>
      <c r="K11669" s="5"/>
      <c r="L11669" s="5"/>
    </row>
    <row r="11670" spans="1:12" ht="12" customHeight="1" x14ac:dyDescent="0.25">
      <c r="A11670" s="6"/>
      <c r="B11670" s="1"/>
      <c r="C11670" s="5"/>
      <c r="D11670" s="5"/>
      <c r="E11670" s="5"/>
      <c r="F11670" s="5"/>
      <c r="G11670" s="5"/>
      <c r="H11670" s="5"/>
      <c r="I11670" s="5"/>
      <c r="J11670" s="5"/>
      <c r="K11670" s="5"/>
      <c r="L11670" s="5"/>
    </row>
    <row r="11671" spans="1:12" ht="12" customHeight="1" x14ac:dyDescent="0.25">
      <c r="A11671" s="6"/>
      <c r="B11671" s="1"/>
      <c r="C11671" s="5"/>
      <c r="D11671" s="5"/>
      <c r="E11671" s="5"/>
      <c r="F11671" s="5"/>
      <c r="G11671" s="5"/>
      <c r="H11671" s="5"/>
      <c r="I11671" s="5"/>
      <c r="J11671" s="5"/>
      <c r="K11671" s="5"/>
      <c r="L11671" s="5"/>
    </row>
    <row r="11672" spans="1:12" ht="12" customHeight="1" x14ac:dyDescent="0.25">
      <c r="A11672" s="6"/>
      <c r="B11672" s="1"/>
      <c r="C11672" s="5"/>
      <c r="D11672" s="5"/>
      <c r="E11672" s="5"/>
      <c r="F11672" s="5"/>
      <c r="G11672" s="5"/>
      <c r="H11672" s="5"/>
      <c r="I11672" s="5"/>
      <c r="J11672" s="5"/>
      <c r="K11672" s="5"/>
      <c r="L11672" s="5"/>
    </row>
    <row r="11673" spans="1:12" ht="12" customHeight="1" x14ac:dyDescent="0.25">
      <c r="A11673" s="6"/>
      <c r="B11673" s="1"/>
      <c r="C11673" s="5"/>
      <c r="D11673" s="5"/>
      <c r="E11673" s="5"/>
      <c r="F11673" s="5"/>
      <c r="G11673" s="5"/>
      <c r="H11673" s="5"/>
      <c r="I11673" s="5"/>
      <c r="J11673" s="5"/>
      <c r="K11673" s="5"/>
      <c r="L11673" s="5"/>
    </row>
    <row r="11674" spans="1:12" ht="12" customHeight="1" x14ac:dyDescent="0.25">
      <c r="A11674" s="6"/>
      <c r="B11674" s="1"/>
      <c r="C11674" s="5"/>
      <c r="D11674" s="5"/>
      <c r="E11674" s="5"/>
      <c r="F11674" s="5"/>
      <c r="G11674" s="5"/>
      <c r="H11674" s="5"/>
      <c r="I11674" s="5"/>
      <c r="J11674" s="5"/>
      <c r="K11674" s="5"/>
      <c r="L11674" s="5"/>
    </row>
    <row r="11675" spans="1:12" ht="12" customHeight="1" x14ac:dyDescent="0.25">
      <c r="A11675" s="6"/>
      <c r="B11675" s="1"/>
      <c r="C11675" s="5"/>
      <c r="D11675" s="5"/>
      <c r="E11675" s="5"/>
      <c r="F11675" s="5"/>
      <c r="G11675" s="5"/>
      <c r="H11675" s="5"/>
      <c r="I11675" s="5"/>
      <c r="J11675" s="5"/>
      <c r="K11675" s="5"/>
      <c r="L11675" s="5"/>
    </row>
    <row r="11676" spans="1:12" ht="12" customHeight="1" x14ac:dyDescent="0.25">
      <c r="A11676" s="6"/>
      <c r="B11676" s="1"/>
      <c r="C11676" s="5"/>
      <c r="D11676" s="5"/>
      <c r="E11676" s="5"/>
      <c r="F11676" s="5"/>
      <c r="G11676" s="5"/>
      <c r="H11676" s="5"/>
      <c r="I11676" s="5"/>
      <c r="J11676" s="5"/>
      <c r="K11676" s="5"/>
      <c r="L11676" s="5"/>
    </row>
    <row r="11677" spans="1:12" ht="12" customHeight="1" x14ac:dyDescent="0.25">
      <c r="A11677" s="6"/>
      <c r="B11677" s="1"/>
      <c r="C11677" s="5"/>
      <c r="D11677" s="5"/>
      <c r="E11677" s="5"/>
      <c r="F11677" s="5"/>
      <c r="G11677" s="5"/>
      <c r="H11677" s="5"/>
      <c r="I11677" s="5"/>
      <c r="J11677" s="5"/>
      <c r="K11677" s="5"/>
      <c r="L11677" s="5"/>
    </row>
    <row r="11678" spans="1:12" ht="12" customHeight="1" x14ac:dyDescent="0.25">
      <c r="A11678" s="6"/>
      <c r="B11678" s="1"/>
      <c r="C11678" s="5"/>
      <c r="D11678" s="5"/>
      <c r="E11678" s="5"/>
      <c r="F11678" s="5"/>
      <c r="G11678" s="5"/>
      <c r="H11678" s="5"/>
      <c r="I11678" s="5"/>
      <c r="J11678" s="5"/>
      <c r="K11678" s="5"/>
      <c r="L11678" s="5"/>
    </row>
    <row r="11679" spans="1:12" ht="12" customHeight="1" x14ac:dyDescent="0.25">
      <c r="A11679" s="6"/>
      <c r="B11679" s="1"/>
      <c r="C11679" s="5"/>
      <c r="D11679" s="5"/>
      <c r="E11679" s="5"/>
      <c r="F11679" s="5"/>
      <c r="G11679" s="5"/>
      <c r="H11679" s="5"/>
      <c r="I11679" s="5"/>
      <c r="J11679" s="5"/>
      <c r="K11679" s="5"/>
      <c r="L11679" s="5"/>
    </row>
    <row r="11680" spans="1:12" ht="12" customHeight="1" x14ac:dyDescent="0.25">
      <c r="A11680" s="6"/>
      <c r="B11680" s="1"/>
      <c r="C11680" s="5"/>
      <c r="D11680" s="5"/>
      <c r="E11680" s="5"/>
      <c r="F11680" s="5"/>
      <c r="G11680" s="5"/>
      <c r="H11680" s="5"/>
      <c r="I11680" s="5"/>
      <c r="J11680" s="5"/>
      <c r="K11680" s="5"/>
      <c r="L11680" s="5"/>
    </row>
    <row r="11681" spans="1:12" ht="12" customHeight="1" x14ac:dyDescent="0.25">
      <c r="A11681" s="6"/>
      <c r="B11681" s="1"/>
      <c r="C11681" s="5"/>
      <c r="D11681" s="5"/>
      <c r="E11681" s="5"/>
      <c r="F11681" s="5"/>
      <c r="G11681" s="5"/>
      <c r="H11681" s="5"/>
      <c r="I11681" s="5"/>
      <c r="J11681" s="5"/>
      <c r="K11681" s="5"/>
      <c r="L11681" s="5"/>
    </row>
    <row r="11682" spans="1:12" ht="12" customHeight="1" x14ac:dyDescent="0.25">
      <c r="A11682" s="6"/>
      <c r="B11682" s="1"/>
      <c r="C11682" s="5"/>
      <c r="D11682" s="5"/>
      <c r="E11682" s="5"/>
      <c r="F11682" s="5"/>
      <c r="G11682" s="5"/>
      <c r="H11682" s="5"/>
      <c r="I11682" s="5"/>
      <c r="J11682" s="5"/>
      <c r="K11682" s="5"/>
      <c r="L11682" s="5"/>
    </row>
    <row r="11683" spans="1:12" ht="12" customHeight="1" x14ac:dyDescent="0.25">
      <c r="A11683" s="6"/>
      <c r="B11683" s="1"/>
      <c r="C11683" s="5"/>
      <c r="D11683" s="5"/>
      <c r="E11683" s="5"/>
      <c r="F11683" s="5"/>
      <c r="G11683" s="5"/>
      <c r="H11683" s="5"/>
      <c r="I11683" s="5"/>
      <c r="J11683" s="5"/>
      <c r="K11683" s="5"/>
      <c r="L11683" s="5"/>
    </row>
    <row r="11684" spans="1:12" ht="12" customHeight="1" x14ac:dyDescent="0.25">
      <c r="A11684" s="6"/>
      <c r="B11684" s="1"/>
      <c r="C11684" s="5"/>
      <c r="D11684" s="5"/>
      <c r="E11684" s="5"/>
      <c r="F11684" s="5"/>
      <c r="G11684" s="5"/>
      <c r="H11684" s="5"/>
      <c r="I11684" s="5"/>
      <c r="J11684" s="5"/>
      <c r="K11684" s="5"/>
      <c r="L11684" s="5"/>
    </row>
    <row r="11685" spans="1:12" ht="12" customHeight="1" x14ac:dyDescent="0.25">
      <c r="A11685" s="6"/>
      <c r="B11685" s="1"/>
      <c r="C11685" s="5"/>
      <c r="D11685" s="5"/>
      <c r="E11685" s="5"/>
      <c r="F11685" s="5"/>
      <c r="G11685" s="5"/>
      <c r="H11685" s="5"/>
      <c r="I11685" s="5"/>
      <c r="J11685" s="5"/>
      <c r="K11685" s="5"/>
      <c r="L11685" s="5"/>
    </row>
    <row r="11686" spans="1:12" ht="12" customHeight="1" x14ac:dyDescent="0.25">
      <c r="A11686" s="6"/>
      <c r="B11686" s="1"/>
      <c r="C11686" s="5"/>
      <c r="D11686" s="5"/>
      <c r="E11686" s="5"/>
      <c r="F11686" s="5"/>
      <c r="G11686" s="5"/>
      <c r="H11686" s="5"/>
      <c r="I11686" s="5"/>
      <c r="J11686" s="5"/>
      <c r="K11686" s="5"/>
      <c r="L11686" s="5"/>
    </row>
    <row r="11687" spans="1:12" ht="12" customHeight="1" x14ac:dyDescent="0.25">
      <c r="A11687" s="6"/>
      <c r="B11687" s="1"/>
      <c r="C11687" s="5"/>
      <c r="D11687" s="5"/>
      <c r="E11687" s="5"/>
      <c r="F11687" s="5"/>
      <c r="G11687" s="5"/>
      <c r="H11687" s="5"/>
      <c r="I11687" s="5"/>
      <c r="J11687" s="5"/>
      <c r="K11687" s="5"/>
      <c r="L11687" s="5"/>
    </row>
    <row r="11688" spans="1:12" ht="12" customHeight="1" x14ac:dyDescent="0.25">
      <c r="A11688" s="6"/>
      <c r="B11688" s="1"/>
      <c r="C11688" s="5"/>
      <c r="D11688" s="5"/>
      <c r="E11688" s="5"/>
      <c r="F11688" s="5"/>
      <c r="G11688" s="5"/>
      <c r="H11688" s="5"/>
      <c r="I11688" s="5"/>
      <c r="J11688" s="5"/>
      <c r="K11688" s="5"/>
      <c r="L11688" s="5"/>
    </row>
    <row r="11689" spans="1:12" ht="12" customHeight="1" x14ac:dyDescent="0.25">
      <c r="A11689" s="6"/>
      <c r="B11689" s="1"/>
      <c r="C11689" s="5"/>
      <c r="D11689" s="5"/>
      <c r="E11689" s="5"/>
      <c r="F11689" s="5"/>
      <c r="G11689" s="5"/>
      <c r="H11689" s="5"/>
      <c r="I11689" s="5"/>
      <c r="J11689" s="5"/>
      <c r="K11689" s="5"/>
      <c r="L11689" s="5"/>
    </row>
    <row r="11690" spans="1:12" ht="12" customHeight="1" x14ac:dyDescent="0.25">
      <c r="A11690" s="6"/>
      <c r="B11690" s="1"/>
      <c r="C11690" s="5"/>
      <c r="D11690" s="5"/>
      <c r="E11690" s="5"/>
      <c r="F11690" s="5"/>
      <c r="G11690" s="5"/>
      <c r="H11690" s="5"/>
      <c r="I11690" s="5"/>
      <c r="J11690" s="5"/>
      <c r="K11690" s="5"/>
      <c r="L11690" s="5"/>
    </row>
    <row r="11691" spans="1:12" ht="12" customHeight="1" x14ac:dyDescent="0.25">
      <c r="A11691" s="6"/>
      <c r="B11691" s="1"/>
      <c r="C11691" s="5"/>
      <c r="D11691" s="5"/>
      <c r="E11691" s="5"/>
      <c r="F11691" s="5"/>
      <c r="G11691" s="5"/>
      <c r="H11691" s="5"/>
      <c r="I11691" s="5"/>
      <c r="J11691" s="5"/>
      <c r="K11691" s="5"/>
      <c r="L11691" s="5"/>
    </row>
    <row r="11692" spans="1:12" ht="12" customHeight="1" x14ac:dyDescent="0.25">
      <c r="A11692" s="6"/>
      <c r="B11692" s="1"/>
      <c r="C11692" s="5"/>
      <c r="D11692" s="5"/>
      <c r="E11692" s="5"/>
      <c r="F11692" s="5"/>
      <c r="G11692" s="5"/>
      <c r="H11692" s="5"/>
      <c r="I11692" s="5"/>
      <c r="J11692" s="5"/>
      <c r="K11692" s="5"/>
      <c r="L11692" s="5"/>
    </row>
    <row r="11693" spans="1:12" ht="12" customHeight="1" x14ac:dyDescent="0.25">
      <c r="A11693" s="6"/>
      <c r="B11693" s="1"/>
      <c r="C11693" s="5"/>
      <c r="D11693" s="5"/>
      <c r="E11693" s="5"/>
      <c r="F11693" s="5"/>
      <c r="G11693" s="5"/>
      <c r="H11693" s="5"/>
      <c r="I11693" s="5"/>
      <c r="J11693" s="5"/>
      <c r="K11693" s="5"/>
      <c r="L11693" s="5"/>
    </row>
    <row r="11694" spans="1:12" ht="12" customHeight="1" x14ac:dyDescent="0.25">
      <c r="A11694" s="6"/>
      <c r="B11694" s="1"/>
      <c r="C11694" s="5"/>
      <c r="D11694" s="5"/>
      <c r="E11694" s="5"/>
      <c r="F11694" s="5"/>
      <c r="G11694" s="5"/>
      <c r="H11694" s="5"/>
      <c r="I11694" s="5"/>
      <c r="J11694" s="5"/>
      <c r="K11694" s="5"/>
      <c r="L11694" s="5"/>
    </row>
    <row r="11695" spans="1:12" ht="12" customHeight="1" x14ac:dyDescent="0.25">
      <c r="A11695" s="6"/>
      <c r="B11695" s="1"/>
      <c r="C11695" s="5"/>
      <c r="D11695" s="5"/>
      <c r="E11695" s="5"/>
      <c r="F11695" s="5"/>
      <c r="G11695" s="5"/>
      <c r="H11695" s="5"/>
      <c r="I11695" s="5"/>
      <c r="J11695" s="5"/>
      <c r="K11695" s="5"/>
      <c r="L11695" s="5"/>
    </row>
    <row r="11696" spans="1:12" ht="12" customHeight="1" x14ac:dyDescent="0.25">
      <c r="A11696" s="6"/>
      <c r="B11696" s="1"/>
      <c r="C11696" s="5"/>
      <c r="D11696" s="5"/>
      <c r="E11696" s="5"/>
      <c r="F11696" s="5"/>
      <c r="G11696" s="5"/>
      <c r="H11696" s="5"/>
      <c r="I11696" s="5"/>
      <c r="J11696" s="5"/>
      <c r="K11696" s="5"/>
      <c r="L11696" s="5"/>
    </row>
    <row r="11697" spans="1:12" ht="12" customHeight="1" x14ac:dyDescent="0.25">
      <c r="A11697" s="6"/>
      <c r="B11697" s="1"/>
      <c r="C11697" s="5"/>
      <c r="D11697" s="5"/>
      <c r="E11697" s="5"/>
      <c r="F11697" s="5"/>
      <c r="G11697" s="5"/>
      <c r="H11697" s="5"/>
      <c r="I11697" s="5"/>
      <c r="J11697" s="5"/>
      <c r="K11697" s="5"/>
      <c r="L11697" s="5"/>
    </row>
    <row r="11698" spans="1:12" ht="12" customHeight="1" x14ac:dyDescent="0.25">
      <c r="A11698" s="6"/>
      <c r="B11698" s="1"/>
      <c r="C11698" s="5"/>
      <c r="D11698" s="5"/>
      <c r="E11698" s="5"/>
      <c r="F11698" s="5"/>
      <c r="G11698" s="5"/>
      <c r="H11698" s="5"/>
      <c r="I11698" s="5"/>
      <c r="J11698" s="5"/>
      <c r="K11698" s="5"/>
      <c r="L11698" s="5"/>
    </row>
    <row r="11699" spans="1:12" ht="12" customHeight="1" x14ac:dyDescent="0.25">
      <c r="A11699" s="6"/>
      <c r="B11699" s="1"/>
      <c r="C11699" s="5"/>
      <c r="D11699" s="5"/>
      <c r="E11699" s="5"/>
      <c r="F11699" s="5"/>
      <c r="G11699" s="5"/>
      <c r="H11699" s="5"/>
      <c r="I11699" s="5"/>
      <c r="J11699" s="5"/>
      <c r="K11699" s="5"/>
      <c r="L11699" s="5"/>
    </row>
    <row r="11700" spans="1:12" ht="12" customHeight="1" x14ac:dyDescent="0.25">
      <c r="A11700" s="6"/>
      <c r="B11700" s="1"/>
      <c r="C11700" s="5"/>
      <c r="D11700" s="5"/>
      <c r="E11700" s="5"/>
      <c r="F11700" s="5"/>
      <c r="G11700" s="5"/>
      <c r="H11700" s="5"/>
      <c r="I11700" s="5"/>
      <c r="J11700" s="5"/>
      <c r="K11700" s="5"/>
      <c r="L11700" s="5"/>
    </row>
    <row r="11701" spans="1:12" ht="12" customHeight="1" x14ac:dyDescent="0.25">
      <c r="A11701" s="6"/>
      <c r="B11701" s="1"/>
      <c r="C11701" s="5"/>
      <c r="D11701" s="5"/>
      <c r="E11701" s="5"/>
      <c r="F11701" s="5"/>
      <c r="G11701" s="5"/>
      <c r="H11701" s="5"/>
      <c r="I11701" s="5"/>
      <c r="J11701" s="5"/>
      <c r="K11701" s="5"/>
      <c r="L11701" s="5"/>
    </row>
    <row r="11702" spans="1:12" ht="12" customHeight="1" x14ac:dyDescent="0.25">
      <c r="A11702" s="6"/>
      <c r="B11702" s="1"/>
      <c r="C11702" s="5"/>
      <c r="D11702" s="5"/>
      <c r="E11702" s="5"/>
      <c r="F11702" s="5"/>
      <c r="G11702" s="5"/>
      <c r="H11702" s="5"/>
      <c r="I11702" s="5"/>
      <c r="J11702" s="5"/>
      <c r="K11702" s="5"/>
      <c r="L11702" s="5"/>
    </row>
    <row r="11703" spans="1:12" ht="12" customHeight="1" x14ac:dyDescent="0.25">
      <c r="A11703" s="6"/>
      <c r="B11703" s="1"/>
      <c r="C11703" s="5"/>
      <c r="D11703" s="5"/>
      <c r="E11703" s="5"/>
      <c r="F11703" s="5"/>
      <c r="G11703" s="5"/>
      <c r="H11703" s="5"/>
      <c r="I11703" s="5"/>
      <c r="J11703" s="5"/>
      <c r="K11703" s="5"/>
      <c r="L11703" s="5"/>
    </row>
    <row r="11704" spans="1:12" ht="12" customHeight="1" x14ac:dyDescent="0.25">
      <c r="A11704" s="6"/>
      <c r="B11704" s="1"/>
      <c r="C11704" s="5"/>
      <c r="D11704" s="5"/>
      <c r="E11704" s="5"/>
      <c r="F11704" s="5"/>
      <c r="G11704" s="5"/>
      <c r="H11704" s="5"/>
      <c r="I11704" s="5"/>
      <c r="J11704" s="5"/>
      <c r="K11704" s="5"/>
      <c r="L11704" s="5"/>
    </row>
    <row r="11705" spans="1:12" ht="12" customHeight="1" x14ac:dyDescent="0.25">
      <c r="A11705" s="6"/>
      <c r="B11705" s="1"/>
      <c r="C11705" s="5"/>
      <c r="D11705" s="5"/>
      <c r="E11705" s="5"/>
      <c r="F11705" s="5"/>
      <c r="G11705" s="5"/>
      <c r="H11705" s="5"/>
      <c r="I11705" s="5"/>
      <c r="J11705" s="5"/>
      <c r="K11705" s="5"/>
      <c r="L11705" s="5"/>
    </row>
    <row r="11706" spans="1:12" ht="12" customHeight="1" x14ac:dyDescent="0.25">
      <c r="A11706" s="6"/>
      <c r="B11706" s="1"/>
      <c r="C11706" s="5"/>
      <c r="D11706" s="5"/>
      <c r="E11706" s="5"/>
      <c r="F11706" s="5"/>
      <c r="G11706" s="5"/>
      <c r="H11706" s="5"/>
      <c r="I11706" s="5"/>
      <c r="J11706" s="5"/>
      <c r="K11706" s="5"/>
      <c r="L11706" s="5"/>
    </row>
    <row r="11707" spans="1:12" ht="12" customHeight="1" x14ac:dyDescent="0.25">
      <c r="A11707" s="6"/>
      <c r="B11707" s="1"/>
      <c r="C11707" s="5"/>
      <c r="D11707" s="5"/>
      <c r="E11707" s="5"/>
      <c r="F11707" s="5"/>
      <c r="G11707" s="5"/>
      <c r="H11707" s="5"/>
      <c r="I11707" s="5"/>
      <c r="J11707" s="5"/>
      <c r="K11707" s="5"/>
      <c r="L11707" s="5"/>
    </row>
    <row r="11708" spans="1:12" ht="12" customHeight="1" x14ac:dyDescent="0.25">
      <c r="A11708" s="6"/>
      <c r="B11708" s="1"/>
      <c r="C11708" s="5"/>
      <c r="D11708" s="5"/>
      <c r="E11708" s="5"/>
      <c r="F11708" s="5"/>
      <c r="G11708" s="5"/>
      <c r="H11708" s="5"/>
      <c r="I11708" s="5"/>
      <c r="J11708" s="5"/>
      <c r="K11708" s="5"/>
      <c r="L11708" s="5"/>
    </row>
    <row r="11709" spans="1:12" ht="12" customHeight="1" x14ac:dyDescent="0.25">
      <c r="A11709" s="6"/>
      <c r="B11709" s="1"/>
      <c r="C11709" s="5"/>
      <c r="D11709" s="5"/>
      <c r="E11709" s="5"/>
      <c r="F11709" s="5"/>
      <c r="G11709" s="5"/>
      <c r="H11709" s="5"/>
      <c r="I11709" s="5"/>
      <c r="J11709" s="5"/>
      <c r="K11709" s="5"/>
      <c r="L11709" s="5"/>
    </row>
    <row r="11710" spans="1:12" ht="12" customHeight="1" x14ac:dyDescent="0.25">
      <c r="A11710" s="6"/>
      <c r="B11710" s="1"/>
      <c r="C11710" s="5"/>
      <c r="D11710" s="5"/>
      <c r="E11710" s="5"/>
      <c r="F11710" s="5"/>
      <c r="G11710" s="5"/>
      <c r="H11710" s="5"/>
      <c r="I11710" s="5"/>
      <c r="J11710" s="5"/>
      <c r="K11710" s="5"/>
      <c r="L11710" s="5"/>
    </row>
    <row r="11711" spans="1:12" ht="12" customHeight="1" x14ac:dyDescent="0.25">
      <c r="A11711" s="6"/>
      <c r="B11711" s="1"/>
      <c r="C11711" s="5"/>
      <c r="D11711" s="5"/>
      <c r="E11711" s="5"/>
      <c r="F11711" s="5"/>
      <c r="G11711" s="5"/>
      <c r="H11711" s="5"/>
      <c r="I11711" s="5"/>
      <c r="J11711" s="5"/>
      <c r="K11711" s="5"/>
      <c r="L11711" s="5"/>
    </row>
    <row r="11712" spans="1:12" ht="12" customHeight="1" x14ac:dyDescent="0.25">
      <c r="A11712" s="6"/>
      <c r="B11712" s="1"/>
      <c r="C11712" s="5"/>
      <c r="D11712" s="5"/>
      <c r="E11712" s="5"/>
      <c r="F11712" s="5"/>
      <c r="G11712" s="5"/>
      <c r="H11712" s="5"/>
      <c r="I11712" s="5"/>
      <c r="J11712" s="5"/>
      <c r="K11712" s="5"/>
      <c r="L11712" s="5"/>
    </row>
    <row r="11713" spans="1:12" ht="12" customHeight="1" x14ac:dyDescent="0.25">
      <c r="A11713" s="6"/>
      <c r="B11713" s="1"/>
      <c r="C11713" s="5"/>
      <c r="D11713" s="5"/>
      <c r="E11713" s="5"/>
      <c r="F11713" s="5"/>
      <c r="G11713" s="5"/>
      <c r="H11713" s="5"/>
      <c r="I11713" s="5"/>
      <c r="J11713" s="5"/>
      <c r="K11713" s="5"/>
      <c r="L11713" s="5"/>
    </row>
    <row r="11714" spans="1:12" ht="12" customHeight="1" x14ac:dyDescent="0.25">
      <c r="A11714" s="6"/>
      <c r="B11714" s="1"/>
      <c r="C11714" s="5"/>
      <c r="D11714" s="5"/>
      <c r="E11714" s="5"/>
      <c r="F11714" s="5"/>
      <c r="G11714" s="5"/>
      <c r="H11714" s="5"/>
      <c r="I11714" s="5"/>
      <c r="J11714" s="5"/>
      <c r="K11714" s="5"/>
      <c r="L11714" s="5"/>
    </row>
    <row r="11715" spans="1:12" ht="12" customHeight="1" x14ac:dyDescent="0.25">
      <c r="A11715" s="6"/>
      <c r="B11715" s="1"/>
      <c r="C11715" s="5"/>
      <c r="D11715" s="5"/>
      <c r="E11715" s="5"/>
      <c r="F11715" s="5"/>
      <c r="G11715" s="5"/>
      <c r="H11715" s="5"/>
      <c r="I11715" s="5"/>
      <c r="J11715" s="5"/>
      <c r="K11715" s="5"/>
      <c r="L11715" s="5"/>
    </row>
    <row r="11716" spans="1:12" ht="12" customHeight="1" x14ac:dyDescent="0.25">
      <c r="A11716" s="6"/>
      <c r="B11716" s="1"/>
      <c r="C11716" s="5"/>
      <c r="D11716" s="5"/>
      <c r="E11716" s="5"/>
      <c r="F11716" s="5"/>
      <c r="G11716" s="5"/>
      <c r="H11716" s="5"/>
      <c r="I11716" s="5"/>
      <c r="J11716" s="5"/>
      <c r="K11716" s="5"/>
      <c r="L11716" s="5"/>
    </row>
    <row r="11717" spans="1:12" ht="12" customHeight="1" x14ac:dyDescent="0.25">
      <c r="A11717" s="6"/>
      <c r="B11717" s="1"/>
      <c r="C11717" s="5"/>
      <c r="D11717" s="5"/>
      <c r="E11717" s="5"/>
      <c r="F11717" s="5"/>
      <c r="G11717" s="5"/>
      <c r="H11717" s="5"/>
      <c r="I11717" s="5"/>
      <c r="J11717" s="5"/>
      <c r="K11717" s="5"/>
      <c r="L11717" s="5"/>
    </row>
    <row r="11718" spans="1:12" ht="12" customHeight="1" x14ac:dyDescent="0.25">
      <c r="A11718" s="6"/>
      <c r="B11718" s="1"/>
      <c r="C11718" s="5"/>
      <c r="D11718" s="5"/>
      <c r="E11718" s="5"/>
      <c r="F11718" s="5"/>
      <c r="G11718" s="5"/>
      <c r="H11718" s="5"/>
      <c r="I11718" s="5"/>
      <c r="J11718" s="5"/>
      <c r="K11718" s="5"/>
      <c r="L11718" s="5"/>
    </row>
    <row r="11719" spans="1:12" ht="12" customHeight="1" x14ac:dyDescent="0.25">
      <c r="A11719" s="6"/>
      <c r="B11719" s="1"/>
      <c r="C11719" s="5"/>
      <c r="D11719" s="5"/>
      <c r="E11719" s="5"/>
      <c r="F11719" s="5"/>
      <c r="G11719" s="5"/>
      <c r="H11719" s="5"/>
      <c r="I11719" s="5"/>
      <c r="J11719" s="5"/>
      <c r="K11719" s="5"/>
      <c r="L11719" s="5"/>
    </row>
    <row r="11720" spans="1:12" ht="12" customHeight="1" x14ac:dyDescent="0.25">
      <c r="A11720" s="6"/>
      <c r="B11720" s="1"/>
      <c r="C11720" s="5"/>
      <c r="D11720" s="5"/>
      <c r="E11720" s="5"/>
      <c r="F11720" s="5"/>
      <c r="G11720" s="5"/>
      <c r="H11720" s="5"/>
      <c r="I11720" s="5"/>
      <c r="J11720" s="5"/>
      <c r="K11720" s="5"/>
      <c r="L11720" s="5"/>
    </row>
    <row r="11721" spans="1:12" ht="12" customHeight="1" x14ac:dyDescent="0.25">
      <c r="A11721" s="6"/>
      <c r="B11721" s="1"/>
      <c r="C11721" s="5"/>
      <c r="D11721" s="5"/>
      <c r="E11721" s="5"/>
      <c r="F11721" s="5"/>
      <c r="G11721" s="5"/>
      <c r="H11721" s="5"/>
      <c r="I11721" s="5"/>
      <c r="J11721" s="5"/>
      <c r="K11721" s="5"/>
      <c r="L11721" s="5"/>
    </row>
    <row r="11722" spans="1:12" ht="12" customHeight="1" x14ac:dyDescent="0.25">
      <c r="A11722" s="6"/>
      <c r="B11722" s="1"/>
      <c r="C11722" s="5"/>
      <c r="D11722" s="5"/>
      <c r="E11722" s="5"/>
      <c r="F11722" s="5"/>
      <c r="G11722" s="5"/>
      <c r="H11722" s="5"/>
      <c r="I11722" s="5"/>
      <c r="J11722" s="5"/>
      <c r="K11722" s="5"/>
      <c r="L11722" s="5"/>
    </row>
    <row r="11723" spans="1:12" ht="12" customHeight="1" x14ac:dyDescent="0.25">
      <c r="A11723" s="6"/>
      <c r="B11723" s="1"/>
      <c r="C11723" s="5"/>
      <c r="D11723" s="5"/>
      <c r="E11723" s="5"/>
      <c r="F11723" s="5"/>
      <c r="G11723" s="5"/>
      <c r="H11723" s="5"/>
      <c r="I11723" s="5"/>
      <c r="J11723" s="5"/>
      <c r="K11723" s="5"/>
      <c r="L11723" s="5"/>
    </row>
    <row r="11724" spans="1:12" ht="12" customHeight="1" x14ac:dyDescent="0.25">
      <c r="A11724" s="6"/>
      <c r="B11724" s="1"/>
      <c r="C11724" s="5"/>
      <c r="D11724" s="5"/>
      <c r="E11724" s="5"/>
      <c r="F11724" s="5"/>
      <c r="G11724" s="5"/>
      <c r="H11724" s="5"/>
      <c r="I11724" s="5"/>
      <c r="J11724" s="5"/>
      <c r="K11724" s="5"/>
      <c r="L11724" s="5"/>
    </row>
    <row r="11725" spans="1:12" ht="12" customHeight="1" x14ac:dyDescent="0.25">
      <c r="A11725" s="6"/>
      <c r="B11725" s="1"/>
      <c r="C11725" s="5"/>
      <c r="D11725" s="5"/>
      <c r="E11725" s="5"/>
      <c r="F11725" s="5"/>
      <c r="G11725" s="5"/>
      <c r="H11725" s="5"/>
      <c r="I11725" s="5"/>
      <c r="J11725" s="5"/>
      <c r="K11725" s="5"/>
      <c r="L11725" s="5"/>
    </row>
    <row r="11726" spans="1:12" ht="12" customHeight="1" x14ac:dyDescent="0.25">
      <c r="A11726" s="6"/>
      <c r="B11726" s="1"/>
      <c r="C11726" s="5"/>
      <c r="D11726" s="5"/>
      <c r="E11726" s="5"/>
      <c r="F11726" s="5"/>
      <c r="G11726" s="5"/>
      <c r="H11726" s="5"/>
      <c r="I11726" s="5"/>
      <c r="J11726" s="5"/>
      <c r="K11726" s="5"/>
      <c r="L11726" s="5"/>
    </row>
    <row r="11727" spans="1:12" ht="12" customHeight="1" x14ac:dyDescent="0.25">
      <c r="A11727" s="6"/>
      <c r="B11727" s="1"/>
      <c r="C11727" s="5"/>
      <c r="D11727" s="5"/>
      <c r="E11727" s="5"/>
      <c r="F11727" s="5"/>
      <c r="G11727" s="5"/>
      <c r="H11727" s="5"/>
      <c r="I11727" s="5"/>
      <c r="J11727" s="5"/>
      <c r="K11727" s="5"/>
      <c r="L11727" s="5"/>
    </row>
    <row r="11728" spans="1:12" ht="12" customHeight="1" x14ac:dyDescent="0.25">
      <c r="A11728" s="6"/>
      <c r="B11728" s="1"/>
      <c r="C11728" s="5"/>
      <c r="D11728" s="5"/>
      <c r="E11728" s="5"/>
      <c r="F11728" s="5"/>
      <c r="G11728" s="5"/>
      <c r="H11728" s="5"/>
      <c r="I11728" s="5"/>
      <c r="J11728" s="5"/>
      <c r="K11728" s="5"/>
      <c r="L11728" s="5"/>
    </row>
    <row r="11729" spans="1:12" ht="12" customHeight="1" x14ac:dyDescent="0.25">
      <c r="A11729" s="6"/>
      <c r="B11729" s="1"/>
      <c r="C11729" s="5"/>
      <c r="D11729" s="5"/>
      <c r="E11729" s="5"/>
      <c r="F11729" s="5"/>
      <c r="G11729" s="5"/>
      <c r="H11729" s="5"/>
      <c r="I11729" s="5"/>
      <c r="J11729" s="5"/>
      <c r="K11729" s="5"/>
      <c r="L11729" s="5"/>
    </row>
    <row r="11730" spans="1:12" ht="12" customHeight="1" x14ac:dyDescent="0.25">
      <c r="A11730" s="6"/>
      <c r="B11730" s="1"/>
      <c r="C11730" s="5"/>
      <c r="D11730" s="5"/>
      <c r="E11730" s="5"/>
      <c r="F11730" s="5"/>
      <c r="G11730" s="5"/>
      <c r="H11730" s="5"/>
      <c r="I11730" s="5"/>
      <c r="J11730" s="5"/>
      <c r="K11730" s="5"/>
      <c r="L11730" s="5"/>
    </row>
    <row r="11731" spans="1:12" ht="12" customHeight="1" x14ac:dyDescent="0.25">
      <c r="A11731" s="6"/>
      <c r="B11731" s="1"/>
      <c r="C11731" s="5"/>
      <c r="D11731" s="5"/>
      <c r="E11731" s="5"/>
      <c r="F11731" s="5"/>
      <c r="G11731" s="5"/>
      <c r="H11731" s="5"/>
      <c r="I11731" s="5"/>
      <c r="J11731" s="5"/>
      <c r="K11731" s="5"/>
      <c r="L11731" s="5"/>
    </row>
    <row r="11732" spans="1:12" ht="12" customHeight="1" x14ac:dyDescent="0.25">
      <c r="A11732" s="6"/>
      <c r="B11732" s="1"/>
      <c r="C11732" s="5"/>
      <c r="D11732" s="5"/>
      <c r="E11732" s="5"/>
      <c r="F11732" s="5"/>
      <c r="G11732" s="5"/>
      <c r="H11732" s="5"/>
      <c r="I11732" s="5"/>
      <c r="J11732" s="5"/>
      <c r="K11732" s="5"/>
      <c r="L11732" s="5"/>
    </row>
    <row r="11733" spans="1:12" ht="12" customHeight="1" x14ac:dyDescent="0.25">
      <c r="A11733" s="6"/>
      <c r="B11733" s="1"/>
      <c r="C11733" s="5"/>
      <c r="D11733" s="5"/>
      <c r="E11733" s="5"/>
      <c r="F11733" s="5"/>
      <c r="G11733" s="5"/>
      <c r="H11733" s="5"/>
      <c r="I11733" s="5"/>
      <c r="J11733" s="5"/>
      <c r="K11733" s="5"/>
      <c r="L11733" s="5"/>
    </row>
    <row r="11734" spans="1:12" ht="12" customHeight="1" x14ac:dyDescent="0.25">
      <c r="A11734" s="6"/>
      <c r="B11734" s="1"/>
      <c r="C11734" s="5"/>
      <c r="D11734" s="5"/>
      <c r="E11734" s="5"/>
      <c r="F11734" s="5"/>
      <c r="G11734" s="5"/>
      <c r="H11734" s="5"/>
      <c r="I11734" s="5"/>
      <c r="J11734" s="5"/>
      <c r="K11734" s="5"/>
      <c r="L11734" s="5"/>
    </row>
    <row r="11735" spans="1:12" ht="12" customHeight="1" x14ac:dyDescent="0.25">
      <c r="A11735" s="6"/>
      <c r="B11735" s="1"/>
      <c r="C11735" s="5"/>
      <c r="D11735" s="5"/>
      <c r="E11735" s="5"/>
      <c r="F11735" s="5"/>
      <c r="G11735" s="5"/>
      <c r="H11735" s="5"/>
      <c r="I11735" s="5"/>
      <c r="J11735" s="5"/>
      <c r="K11735" s="5"/>
      <c r="L11735" s="5"/>
    </row>
    <row r="11736" spans="1:12" ht="12" customHeight="1" x14ac:dyDescent="0.25">
      <c r="A11736" s="6"/>
      <c r="B11736" s="1"/>
      <c r="C11736" s="5"/>
      <c r="D11736" s="5"/>
      <c r="E11736" s="5"/>
      <c r="F11736" s="5"/>
      <c r="G11736" s="5"/>
      <c r="H11736" s="5"/>
      <c r="I11736" s="5"/>
      <c r="J11736" s="5"/>
      <c r="K11736" s="5"/>
      <c r="L11736" s="5"/>
    </row>
    <row r="11737" spans="1:12" ht="12" customHeight="1" x14ac:dyDescent="0.25">
      <c r="A11737" s="6"/>
      <c r="B11737" s="1"/>
      <c r="C11737" s="5"/>
      <c r="D11737" s="5"/>
      <c r="E11737" s="5"/>
      <c r="F11737" s="5"/>
      <c r="G11737" s="5"/>
      <c r="H11737" s="5"/>
      <c r="I11737" s="5"/>
      <c r="J11737" s="5"/>
      <c r="K11737" s="5"/>
      <c r="L11737" s="5"/>
    </row>
    <row r="11738" spans="1:12" ht="12" customHeight="1" x14ac:dyDescent="0.25">
      <c r="A11738" s="6"/>
      <c r="B11738" s="1"/>
      <c r="C11738" s="5"/>
      <c r="D11738" s="5"/>
      <c r="E11738" s="5"/>
      <c r="F11738" s="5"/>
      <c r="G11738" s="5"/>
      <c r="H11738" s="5"/>
      <c r="I11738" s="5"/>
      <c r="J11738" s="5"/>
      <c r="K11738" s="5"/>
      <c r="L11738" s="5"/>
    </row>
    <row r="11739" spans="1:12" ht="12" customHeight="1" x14ac:dyDescent="0.25">
      <c r="A11739" s="6"/>
      <c r="B11739" s="1"/>
      <c r="C11739" s="5"/>
      <c r="D11739" s="5"/>
      <c r="E11739" s="5"/>
      <c r="F11739" s="5"/>
      <c r="G11739" s="5"/>
      <c r="H11739" s="5"/>
      <c r="I11739" s="5"/>
      <c r="J11739" s="5"/>
      <c r="K11739" s="5"/>
      <c r="L11739" s="5"/>
    </row>
    <row r="11740" spans="1:12" ht="12" customHeight="1" x14ac:dyDescent="0.25">
      <c r="A11740" s="6"/>
      <c r="B11740" s="1"/>
      <c r="C11740" s="5"/>
      <c r="D11740" s="5"/>
      <c r="E11740" s="5"/>
      <c r="F11740" s="5"/>
      <c r="G11740" s="5"/>
      <c r="H11740" s="5"/>
      <c r="I11740" s="5"/>
      <c r="J11740" s="5"/>
      <c r="K11740" s="5"/>
      <c r="L11740" s="5"/>
    </row>
    <row r="11741" spans="1:12" ht="12" customHeight="1" x14ac:dyDescent="0.25">
      <c r="A11741" s="6"/>
      <c r="B11741" s="1"/>
      <c r="C11741" s="5"/>
      <c r="D11741" s="5"/>
      <c r="E11741" s="5"/>
      <c r="F11741" s="5"/>
      <c r="G11741" s="5"/>
      <c r="H11741" s="5"/>
      <c r="I11741" s="5"/>
      <c r="J11741" s="5"/>
      <c r="K11741" s="5"/>
      <c r="L11741" s="5"/>
    </row>
    <row r="11742" spans="1:12" ht="12" customHeight="1" x14ac:dyDescent="0.25">
      <c r="A11742" s="6"/>
      <c r="B11742" s="1"/>
      <c r="C11742" s="5"/>
      <c r="D11742" s="5"/>
      <c r="E11742" s="5"/>
      <c r="F11742" s="5"/>
      <c r="G11742" s="5"/>
      <c r="H11742" s="5"/>
      <c r="I11742" s="5"/>
      <c r="J11742" s="5"/>
      <c r="K11742" s="5"/>
      <c r="L11742" s="5"/>
    </row>
    <row r="11743" spans="1:12" ht="12" customHeight="1" x14ac:dyDescent="0.25">
      <c r="A11743" s="6"/>
      <c r="B11743" s="1"/>
      <c r="C11743" s="5"/>
      <c r="D11743" s="5"/>
      <c r="E11743" s="5"/>
      <c r="F11743" s="5"/>
      <c r="G11743" s="5"/>
      <c r="H11743" s="5"/>
      <c r="I11743" s="5"/>
      <c r="J11743" s="5"/>
      <c r="K11743" s="5"/>
      <c r="L11743" s="5"/>
    </row>
    <row r="11744" spans="1:12" ht="12" customHeight="1" x14ac:dyDescent="0.25">
      <c r="A11744" s="6"/>
      <c r="B11744" s="1"/>
      <c r="C11744" s="5"/>
      <c r="D11744" s="5"/>
      <c r="E11744" s="5"/>
      <c r="F11744" s="5"/>
      <c r="G11744" s="5"/>
      <c r="H11744" s="5"/>
      <c r="I11744" s="5"/>
      <c r="J11744" s="5"/>
      <c r="K11744" s="5"/>
      <c r="L11744" s="5"/>
    </row>
    <row r="11745" spans="1:12" ht="12" customHeight="1" x14ac:dyDescent="0.25">
      <c r="A11745" s="6"/>
      <c r="B11745" s="1"/>
      <c r="C11745" s="5"/>
      <c r="D11745" s="5"/>
      <c r="E11745" s="5"/>
      <c r="F11745" s="5"/>
      <c r="G11745" s="5"/>
      <c r="H11745" s="5"/>
      <c r="I11745" s="5"/>
      <c r="J11745" s="5"/>
      <c r="K11745" s="5"/>
      <c r="L11745" s="5"/>
    </row>
    <row r="11746" spans="1:12" ht="12" customHeight="1" x14ac:dyDescent="0.25">
      <c r="A11746" s="6"/>
      <c r="B11746" s="1"/>
      <c r="C11746" s="5"/>
      <c r="D11746" s="5"/>
      <c r="E11746" s="5"/>
      <c r="F11746" s="5"/>
      <c r="G11746" s="5"/>
      <c r="H11746" s="5"/>
      <c r="I11746" s="5"/>
      <c r="J11746" s="5"/>
      <c r="K11746" s="5"/>
      <c r="L11746" s="5"/>
    </row>
    <row r="11747" spans="1:12" ht="12" customHeight="1" x14ac:dyDescent="0.25">
      <c r="A11747" s="6"/>
      <c r="B11747" s="1"/>
      <c r="C11747" s="5"/>
      <c r="D11747" s="5"/>
      <c r="E11747" s="5"/>
      <c r="F11747" s="5"/>
      <c r="G11747" s="5"/>
      <c r="H11747" s="5"/>
      <c r="I11747" s="5"/>
      <c r="J11747" s="5"/>
      <c r="K11747" s="5"/>
      <c r="L11747" s="5"/>
    </row>
    <row r="11748" spans="1:12" ht="12" customHeight="1" x14ac:dyDescent="0.25">
      <c r="A11748" s="6"/>
      <c r="B11748" s="1"/>
      <c r="C11748" s="5"/>
      <c r="D11748" s="5"/>
      <c r="E11748" s="5"/>
      <c r="F11748" s="5"/>
      <c r="G11748" s="5"/>
      <c r="H11748" s="5"/>
      <c r="I11748" s="5"/>
      <c r="J11748" s="5"/>
      <c r="K11748" s="5"/>
      <c r="L11748" s="5"/>
    </row>
    <row r="11749" spans="1:12" ht="12" customHeight="1" x14ac:dyDescent="0.25">
      <c r="A11749" s="6"/>
      <c r="B11749" s="1"/>
      <c r="C11749" s="5"/>
      <c r="D11749" s="5"/>
      <c r="E11749" s="5"/>
      <c r="F11749" s="5"/>
      <c r="G11749" s="5"/>
      <c r="H11749" s="5"/>
      <c r="I11749" s="5"/>
      <c r="J11749" s="5"/>
      <c r="K11749" s="5"/>
      <c r="L11749" s="5"/>
    </row>
    <row r="11750" spans="1:12" ht="12" customHeight="1" x14ac:dyDescent="0.25">
      <c r="A11750" s="6"/>
      <c r="B11750" s="1"/>
      <c r="C11750" s="5"/>
      <c r="D11750" s="5"/>
      <c r="E11750" s="5"/>
      <c r="F11750" s="5"/>
      <c r="G11750" s="5"/>
      <c r="H11750" s="5"/>
      <c r="I11750" s="5"/>
      <c r="J11750" s="5"/>
      <c r="K11750" s="5"/>
      <c r="L11750" s="5"/>
    </row>
    <row r="11751" spans="1:12" ht="12" customHeight="1" x14ac:dyDescent="0.25">
      <c r="A11751" s="6"/>
      <c r="B11751" s="1"/>
      <c r="C11751" s="5"/>
      <c r="D11751" s="5"/>
      <c r="E11751" s="5"/>
      <c r="F11751" s="5"/>
      <c r="G11751" s="5"/>
      <c r="H11751" s="5"/>
      <c r="I11751" s="5"/>
      <c r="J11751" s="5"/>
      <c r="K11751" s="5"/>
      <c r="L11751" s="5"/>
    </row>
    <row r="11752" spans="1:12" ht="12" customHeight="1" x14ac:dyDescent="0.25">
      <c r="A11752" s="6"/>
      <c r="B11752" s="1"/>
      <c r="C11752" s="5"/>
      <c r="D11752" s="5"/>
      <c r="E11752" s="5"/>
      <c r="F11752" s="5"/>
      <c r="G11752" s="5"/>
      <c r="H11752" s="5"/>
      <c r="I11752" s="5"/>
      <c r="J11752" s="5"/>
      <c r="K11752" s="5"/>
      <c r="L11752" s="5"/>
    </row>
    <row r="11753" spans="1:12" ht="12" customHeight="1" x14ac:dyDescent="0.25">
      <c r="A11753" s="6"/>
      <c r="B11753" s="1"/>
      <c r="C11753" s="5"/>
      <c r="D11753" s="5"/>
      <c r="E11753" s="5"/>
      <c r="F11753" s="5"/>
      <c r="G11753" s="5"/>
      <c r="H11753" s="5"/>
      <c r="I11753" s="5"/>
      <c r="J11753" s="5"/>
      <c r="K11753" s="5"/>
      <c r="L11753" s="5"/>
    </row>
    <row r="11754" spans="1:12" ht="12" customHeight="1" x14ac:dyDescent="0.25">
      <c r="A11754" s="6"/>
      <c r="B11754" s="1"/>
      <c r="C11754" s="5"/>
      <c r="D11754" s="5"/>
      <c r="E11754" s="5"/>
      <c r="F11754" s="5"/>
      <c r="G11754" s="5"/>
      <c r="H11754" s="5"/>
      <c r="I11754" s="5"/>
      <c r="J11754" s="5"/>
      <c r="K11754" s="5"/>
      <c r="L11754" s="5"/>
    </row>
    <row r="11755" spans="1:12" ht="12" customHeight="1" x14ac:dyDescent="0.25">
      <c r="A11755" s="6"/>
      <c r="B11755" s="1"/>
      <c r="C11755" s="5"/>
      <c r="D11755" s="5"/>
      <c r="E11755" s="5"/>
      <c r="F11755" s="5"/>
      <c r="G11755" s="5"/>
      <c r="H11755" s="5"/>
      <c r="I11755" s="5"/>
      <c r="J11755" s="5"/>
      <c r="K11755" s="5"/>
      <c r="L11755" s="5"/>
    </row>
    <row r="11756" spans="1:12" ht="12" customHeight="1" x14ac:dyDescent="0.25">
      <c r="A11756" s="6"/>
      <c r="B11756" s="1"/>
      <c r="C11756" s="5"/>
      <c r="D11756" s="5"/>
      <c r="E11756" s="5"/>
      <c r="F11756" s="5"/>
      <c r="G11756" s="5"/>
      <c r="H11756" s="5"/>
      <c r="I11756" s="5"/>
      <c r="J11756" s="5"/>
      <c r="K11756" s="5"/>
      <c r="L11756" s="5"/>
    </row>
    <row r="11757" spans="1:12" ht="12" customHeight="1" x14ac:dyDescent="0.25">
      <c r="A11757" s="6"/>
      <c r="B11757" s="1"/>
      <c r="C11757" s="5"/>
      <c r="D11757" s="5"/>
      <c r="E11757" s="5"/>
      <c r="F11757" s="5"/>
      <c r="G11757" s="5"/>
      <c r="H11757" s="5"/>
      <c r="I11757" s="5"/>
      <c r="J11757" s="5"/>
      <c r="K11757" s="5"/>
      <c r="L11757" s="5"/>
    </row>
    <row r="11758" spans="1:12" ht="12" customHeight="1" x14ac:dyDescent="0.25">
      <c r="A11758" s="6"/>
      <c r="B11758" s="1"/>
      <c r="C11758" s="5"/>
      <c r="D11758" s="5"/>
      <c r="E11758" s="5"/>
      <c r="F11758" s="5"/>
      <c r="G11758" s="5"/>
      <c r="H11758" s="5"/>
      <c r="I11758" s="5"/>
      <c r="J11758" s="5"/>
      <c r="K11758" s="5"/>
      <c r="L11758" s="5"/>
    </row>
    <row r="11759" spans="1:12" ht="12" customHeight="1" x14ac:dyDescent="0.25">
      <c r="A11759" s="6"/>
      <c r="B11759" s="1"/>
      <c r="C11759" s="5"/>
      <c r="D11759" s="5"/>
      <c r="E11759" s="5"/>
      <c r="F11759" s="5"/>
      <c r="G11759" s="5"/>
      <c r="H11759" s="5"/>
      <c r="I11759" s="5"/>
      <c r="J11759" s="5"/>
      <c r="K11759" s="5"/>
      <c r="L11759" s="5"/>
    </row>
    <row r="11760" spans="1:12" ht="12" customHeight="1" x14ac:dyDescent="0.25">
      <c r="A11760" s="6"/>
      <c r="B11760" s="1"/>
      <c r="C11760" s="5"/>
      <c r="D11760" s="5"/>
      <c r="E11760" s="5"/>
      <c r="F11760" s="5"/>
      <c r="G11760" s="5"/>
      <c r="H11760" s="5"/>
      <c r="I11760" s="5"/>
      <c r="J11760" s="5"/>
      <c r="K11760" s="5"/>
      <c r="L11760" s="5"/>
    </row>
    <row r="11761" spans="1:12" ht="12" customHeight="1" x14ac:dyDescent="0.25">
      <c r="A11761" s="6"/>
      <c r="B11761" s="1"/>
      <c r="C11761" s="5"/>
      <c r="D11761" s="5"/>
      <c r="E11761" s="5"/>
      <c r="F11761" s="5"/>
      <c r="G11761" s="5"/>
      <c r="H11761" s="5"/>
      <c r="I11761" s="5"/>
      <c r="J11761" s="5"/>
      <c r="K11761" s="5"/>
      <c r="L11761" s="5"/>
    </row>
    <row r="11762" spans="1:12" ht="12" customHeight="1" x14ac:dyDescent="0.25">
      <c r="A11762" s="6"/>
      <c r="B11762" s="1"/>
      <c r="C11762" s="5"/>
      <c r="D11762" s="5"/>
      <c r="E11762" s="5"/>
      <c r="F11762" s="5"/>
      <c r="G11762" s="5"/>
      <c r="H11762" s="5"/>
      <c r="I11762" s="5"/>
      <c r="J11762" s="5"/>
      <c r="K11762" s="5"/>
      <c r="L11762" s="5"/>
    </row>
    <row r="11763" spans="1:12" ht="12" customHeight="1" x14ac:dyDescent="0.25">
      <c r="A11763" s="6"/>
      <c r="B11763" s="1"/>
      <c r="C11763" s="5"/>
      <c r="D11763" s="5"/>
      <c r="E11763" s="5"/>
      <c r="F11763" s="5"/>
      <c r="G11763" s="5"/>
      <c r="H11763" s="5"/>
      <c r="I11763" s="5"/>
      <c r="J11763" s="5"/>
      <c r="K11763" s="5"/>
      <c r="L11763" s="5"/>
    </row>
    <row r="11764" spans="1:12" ht="12" customHeight="1" x14ac:dyDescent="0.25">
      <c r="A11764" s="6"/>
      <c r="B11764" s="1"/>
      <c r="C11764" s="5"/>
      <c r="D11764" s="5"/>
      <c r="E11764" s="5"/>
      <c r="F11764" s="5"/>
      <c r="G11764" s="5"/>
      <c r="H11764" s="5"/>
      <c r="I11764" s="5"/>
      <c r="J11764" s="5"/>
      <c r="K11764" s="5"/>
      <c r="L11764" s="5"/>
    </row>
    <row r="11765" spans="1:12" ht="12" customHeight="1" x14ac:dyDescent="0.25">
      <c r="A11765" s="6"/>
      <c r="B11765" s="1"/>
      <c r="C11765" s="5"/>
      <c r="D11765" s="5"/>
      <c r="E11765" s="5"/>
      <c r="F11765" s="5"/>
      <c r="G11765" s="5"/>
      <c r="H11765" s="5"/>
      <c r="I11765" s="5"/>
      <c r="J11765" s="5"/>
      <c r="K11765" s="5"/>
      <c r="L11765" s="5"/>
    </row>
    <row r="11766" spans="1:12" ht="12" customHeight="1" x14ac:dyDescent="0.25">
      <c r="A11766" s="6"/>
      <c r="B11766" s="1"/>
      <c r="C11766" s="5"/>
      <c r="D11766" s="5"/>
      <c r="E11766" s="5"/>
      <c r="F11766" s="5"/>
      <c r="G11766" s="5"/>
      <c r="H11766" s="5"/>
      <c r="I11766" s="5"/>
      <c r="J11766" s="5"/>
      <c r="K11766" s="5"/>
      <c r="L11766" s="5"/>
    </row>
    <row r="11767" spans="1:12" ht="12" customHeight="1" x14ac:dyDescent="0.25">
      <c r="A11767" s="6"/>
      <c r="B11767" s="1"/>
      <c r="C11767" s="5"/>
      <c r="D11767" s="5"/>
      <c r="E11767" s="5"/>
      <c r="F11767" s="5"/>
      <c r="G11767" s="5"/>
      <c r="H11767" s="5"/>
      <c r="I11767" s="5"/>
      <c r="J11767" s="5"/>
      <c r="K11767" s="5"/>
      <c r="L11767" s="5"/>
    </row>
    <row r="11768" spans="1:12" ht="12" customHeight="1" x14ac:dyDescent="0.25">
      <c r="A11768" s="6"/>
      <c r="B11768" s="1"/>
      <c r="C11768" s="5"/>
      <c r="D11768" s="5"/>
      <c r="E11768" s="5"/>
      <c r="F11768" s="5"/>
      <c r="G11768" s="5"/>
      <c r="H11768" s="5"/>
      <c r="I11768" s="5"/>
      <c r="J11768" s="5"/>
      <c r="K11768" s="5"/>
      <c r="L11768" s="5"/>
    </row>
    <row r="11769" spans="1:12" ht="12" customHeight="1" x14ac:dyDescent="0.25">
      <c r="A11769" s="6"/>
      <c r="B11769" s="1"/>
      <c r="C11769" s="5"/>
      <c r="D11769" s="5"/>
      <c r="E11769" s="5"/>
      <c r="F11769" s="5"/>
      <c r="G11769" s="5"/>
      <c r="H11769" s="5"/>
      <c r="I11769" s="5"/>
      <c r="J11769" s="5"/>
      <c r="K11769" s="5"/>
      <c r="L11769" s="5"/>
    </row>
    <row r="11770" spans="1:12" ht="12" customHeight="1" x14ac:dyDescent="0.25">
      <c r="A11770" s="6"/>
      <c r="B11770" s="1"/>
      <c r="C11770" s="5"/>
      <c r="D11770" s="5"/>
      <c r="E11770" s="5"/>
      <c r="F11770" s="5"/>
      <c r="G11770" s="5"/>
      <c r="H11770" s="5"/>
      <c r="I11770" s="5"/>
      <c r="J11770" s="5"/>
      <c r="K11770" s="5"/>
      <c r="L11770" s="5"/>
    </row>
    <row r="11771" spans="1:12" ht="12" customHeight="1" x14ac:dyDescent="0.25">
      <c r="A11771" s="6"/>
      <c r="B11771" s="1"/>
      <c r="C11771" s="5"/>
      <c r="D11771" s="5"/>
      <c r="E11771" s="5"/>
      <c r="F11771" s="5"/>
      <c r="G11771" s="5"/>
      <c r="H11771" s="5"/>
      <c r="I11771" s="5"/>
      <c r="J11771" s="5"/>
      <c r="K11771" s="5"/>
      <c r="L11771" s="5"/>
    </row>
    <row r="11772" spans="1:12" ht="12" customHeight="1" x14ac:dyDescent="0.25">
      <c r="A11772" s="6"/>
      <c r="B11772" s="1"/>
      <c r="C11772" s="5"/>
      <c r="D11772" s="5"/>
      <c r="E11772" s="5"/>
      <c r="F11772" s="5"/>
      <c r="G11772" s="5"/>
      <c r="H11772" s="5"/>
      <c r="I11772" s="5"/>
      <c r="J11772" s="5"/>
      <c r="K11772" s="5"/>
      <c r="L11772" s="5"/>
    </row>
    <row r="11773" spans="1:12" ht="12" customHeight="1" x14ac:dyDescent="0.25">
      <c r="A11773" s="6"/>
      <c r="B11773" s="1"/>
      <c r="C11773" s="5"/>
      <c r="D11773" s="5"/>
      <c r="E11773" s="5"/>
      <c r="F11773" s="5"/>
      <c r="G11773" s="5"/>
      <c r="H11773" s="5"/>
      <c r="I11773" s="5"/>
      <c r="J11773" s="5"/>
      <c r="K11773" s="5"/>
      <c r="L11773" s="5"/>
    </row>
    <row r="11774" spans="1:12" ht="12" customHeight="1" x14ac:dyDescent="0.25">
      <c r="A11774" s="6"/>
      <c r="B11774" s="1"/>
      <c r="C11774" s="5"/>
      <c r="D11774" s="5"/>
      <c r="E11774" s="5"/>
      <c r="F11774" s="5"/>
      <c r="G11774" s="5"/>
      <c r="H11774" s="5"/>
      <c r="I11774" s="5"/>
      <c r="J11774" s="5"/>
      <c r="K11774" s="5"/>
      <c r="L11774" s="5"/>
    </row>
    <row r="11775" spans="1:12" ht="12" customHeight="1" x14ac:dyDescent="0.25">
      <c r="A11775" s="6"/>
      <c r="B11775" s="1"/>
      <c r="C11775" s="5"/>
      <c r="D11775" s="5"/>
      <c r="E11775" s="5"/>
      <c r="F11775" s="5"/>
      <c r="G11775" s="5"/>
      <c r="H11775" s="5"/>
      <c r="I11775" s="5"/>
      <c r="J11775" s="5"/>
      <c r="K11775" s="5"/>
      <c r="L11775" s="5"/>
    </row>
    <row r="11776" spans="1:12" ht="12" customHeight="1" x14ac:dyDescent="0.25">
      <c r="A11776" s="6"/>
      <c r="B11776" s="1"/>
      <c r="C11776" s="5"/>
      <c r="D11776" s="5"/>
      <c r="E11776" s="5"/>
      <c r="F11776" s="5"/>
      <c r="G11776" s="5"/>
      <c r="H11776" s="5"/>
      <c r="I11776" s="5"/>
      <c r="J11776" s="5"/>
      <c r="K11776" s="5"/>
      <c r="L11776" s="5"/>
    </row>
    <row r="11777" spans="1:12" ht="12" customHeight="1" x14ac:dyDescent="0.25">
      <c r="A11777" s="6"/>
      <c r="B11777" s="1"/>
      <c r="C11777" s="5"/>
      <c r="D11777" s="5"/>
      <c r="E11777" s="5"/>
      <c r="F11777" s="5"/>
      <c r="G11777" s="5"/>
      <c r="H11777" s="5"/>
      <c r="I11777" s="5"/>
      <c r="J11777" s="5"/>
      <c r="K11777" s="5"/>
      <c r="L11777" s="5"/>
    </row>
    <row r="11778" spans="1:12" ht="12" customHeight="1" x14ac:dyDescent="0.25">
      <c r="A11778" s="6"/>
      <c r="B11778" s="1"/>
      <c r="C11778" s="5"/>
      <c r="D11778" s="5"/>
      <c r="E11778" s="5"/>
      <c r="F11778" s="5"/>
      <c r="G11778" s="5"/>
      <c r="H11778" s="5"/>
      <c r="I11778" s="5"/>
      <c r="J11778" s="5"/>
      <c r="K11778" s="5"/>
      <c r="L11778" s="5"/>
    </row>
    <row r="11779" spans="1:12" ht="12" customHeight="1" x14ac:dyDescent="0.25">
      <c r="A11779" s="6"/>
      <c r="B11779" s="1"/>
      <c r="C11779" s="5"/>
      <c r="D11779" s="5"/>
      <c r="E11779" s="5"/>
      <c r="F11779" s="5"/>
      <c r="G11779" s="5"/>
      <c r="H11779" s="5"/>
      <c r="I11779" s="5"/>
      <c r="J11779" s="5"/>
      <c r="K11779" s="5"/>
      <c r="L11779" s="5"/>
    </row>
    <row r="11780" spans="1:12" ht="12" customHeight="1" x14ac:dyDescent="0.25">
      <c r="A11780" s="6"/>
      <c r="B11780" s="1"/>
      <c r="C11780" s="5"/>
      <c r="D11780" s="5"/>
      <c r="E11780" s="5"/>
      <c r="F11780" s="5"/>
      <c r="G11780" s="5"/>
      <c r="H11780" s="5"/>
      <c r="I11780" s="5"/>
      <c r="J11780" s="5"/>
      <c r="K11780" s="5"/>
      <c r="L11780" s="5"/>
    </row>
    <row r="11781" spans="1:12" ht="12" customHeight="1" x14ac:dyDescent="0.25">
      <c r="A11781" s="6"/>
      <c r="B11781" s="1"/>
      <c r="C11781" s="5"/>
      <c r="D11781" s="5"/>
      <c r="E11781" s="5"/>
      <c r="F11781" s="5"/>
      <c r="G11781" s="5"/>
      <c r="H11781" s="5"/>
      <c r="I11781" s="5"/>
      <c r="J11781" s="5"/>
      <c r="K11781" s="5"/>
      <c r="L11781" s="5"/>
    </row>
    <row r="11782" spans="1:12" ht="12" customHeight="1" x14ac:dyDescent="0.25">
      <c r="A11782" s="6"/>
      <c r="B11782" s="1"/>
      <c r="C11782" s="5"/>
      <c r="D11782" s="5"/>
      <c r="E11782" s="5"/>
      <c r="F11782" s="5"/>
      <c r="G11782" s="5"/>
      <c r="H11782" s="5"/>
      <c r="I11782" s="5"/>
      <c r="J11782" s="5"/>
      <c r="K11782" s="5"/>
      <c r="L11782" s="5"/>
    </row>
    <row r="11783" spans="1:12" ht="12" customHeight="1" x14ac:dyDescent="0.25">
      <c r="A11783" s="6"/>
      <c r="B11783" s="1"/>
      <c r="C11783" s="5"/>
      <c r="D11783" s="5"/>
      <c r="E11783" s="5"/>
      <c r="F11783" s="5"/>
      <c r="G11783" s="5"/>
      <c r="H11783" s="5"/>
      <c r="I11783" s="5"/>
      <c r="J11783" s="5"/>
      <c r="K11783" s="5"/>
      <c r="L11783" s="5"/>
    </row>
    <row r="11784" spans="1:12" ht="12" customHeight="1" x14ac:dyDescent="0.25">
      <c r="A11784" s="6"/>
      <c r="B11784" s="1"/>
      <c r="C11784" s="5"/>
      <c r="D11784" s="5"/>
      <c r="E11784" s="5"/>
      <c r="F11784" s="5"/>
      <c r="G11784" s="5"/>
      <c r="H11784" s="5"/>
      <c r="I11784" s="5"/>
      <c r="J11784" s="5"/>
      <c r="K11784" s="5"/>
      <c r="L11784" s="5"/>
    </row>
    <row r="11785" spans="1:12" ht="12" customHeight="1" x14ac:dyDescent="0.25">
      <c r="A11785" s="6"/>
      <c r="B11785" s="1"/>
      <c r="C11785" s="5"/>
      <c r="D11785" s="5"/>
      <c r="E11785" s="5"/>
      <c r="F11785" s="5"/>
      <c r="G11785" s="5"/>
      <c r="H11785" s="5"/>
      <c r="I11785" s="5"/>
      <c r="J11785" s="5"/>
      <c r="K11785" s="5"/>
      <c r="L11785" s="5"/>
    </row>
    <row r="11786" spans="1:12" ht="12" customHeight="1" x14ac:dyDescent="0.25">
      <c r="A11786" s="6"/>
      <c r="B11786" s="1"/>
      <c r="C11786" s="5"/>
      <c r="D11786" s="5"/>
      <c r="E11786" s="5"/>
      <c r="F11786" s="5"/>
      <c r="G11786" s="5"/>
      <c r="H11786" s="5"/>
      <c r="I11786" s="5"/>
      <c r="J11786" s="5"/>
      <c r="K11786" s="5"/>
      <c r="L11786" s="5"/>
    </row>
    <row r="11787" spans="1:12" ht="12" customHeight="1" x14ac:dyDescent="0.25">
      <c r="A11787" s="6"/>
      <c r="B11787" s="1"/>
      <c r="C11787" s="5"/>
      <c r="D11787" s="5"/>
      <c r="E11787" s="5"/>
      <c r="F11787" s="5"/>
      <c r="G11787" s="5"/>
      <c r="H11787" s="5"/>
      <c r="I11787" s="5"/>
      <c r="J11787" s="5"/>
      <c r="K11787" s="5"/>
      <c r="L11787" s="5"/>
    </row>
    <row r="11788" spans="1:12" ht="12" customHeight="1" x14ac:dyDescent="0.25">
      <c r="A11788" s="6"/>
      <c r="B11788" s="1"/>
      <c r="C11788" s="5"/>
      <c r="D11788" s="5"/>
      <c r="E11788" s="5"/>
      <c r="F11788" s="5"/>
      <c r="G11788" s="5"/>
      <c r="H11788" s="5"/>
      <c r="I11788" s="5"/>
      <c r="J11788" s="5"/>
      <c r="K11788" s="5"/>
      <c r="L11788" s="5"/>
    </row>
    <row r="11789" spans="1:12" ht="12" customHeight="1" x14ac:dyDescent="0.25">
      <c r="A11789" s="6"/>
      <c r="B11789" s="1"/>
      <c r="C11789" s="5"/>
      <c r="D11789" s="5"/>
      <c r="E11789" s="5"/>
      <c r="F11789" s="5"/>
      <c r="G11789" s="5"/>
      <c r="H11789" s="5"/>
      <c r="I11789" s="5"/>
      <c r="J11789" s="5"/>
      <c r="K11789" s="5"/>
      <c r="L11789" s="5"/>
    </row>
    <row r="11790" spans="1:12" ht="12" customHeight="1" x14ac:dyDescent="0.25">
      <c r="A11790" s="6"/>
      <c r="B11790" s="1"/>
      <c r="C11790" s="5"/>
      <c r="D11790" s="5"/>
      <c r="E11790" s="5"/>
      <c r="F11790" s="5"/>
      <c r="G11790" s="5"/>
      <c r="H11790" s="5"/>
      <c r="I11790" s="5"/>
      <c r="J11790" s="5"/>
      <c r="K11790" s="5"/>
      <c r="L11790" s="5"/>
    </row>
    <row r="11791" spans="1:12" ht="12" customHeight="1" x14ac:dyDescent="0.25">
      <c r="A11791" s="6"/>
      <c r="B11791" s="1"/>
      <c r="C11791" s="5"/>
      <c r="D11791" s="5"/>
      <c r="E11791" s="5"/>
      <c r="F11791" s="5"/>
      <c r="G11791" s="5"/>
      <c r="H11791" s="5"/>
      <c r="I11791" s="5"/>
      <c r="J11791" s="5"/>
      <c r="K11791" s="5"/>
      <c r="L11791" s="5"/>
    </row>
    <row r="11792" spans="1:12" ht="12" customHeight="1" x14ac:dyDescent="0.25">
      <c r="A11792" s="6"/>
      <c r="B11792" s="1"/>
      <c r="C11792" s="5"/>
      <c r="D11792" s="5"/>
      <c r="E11792" s="5"/>
      <c r="F11792" s="5"/>
      <c r="G11792" s="5"/>
      <c r="H11792" s="5"/>
      <c r="I11792" s="5"/>
      <c r="J11792" s="5"/>
      <c r="K11792" s="5"/>
      <c r="L11792" s="5"/>
    </row>
    <row r="11793" spans="1:12" ht="12" customHeight="1" x14ac:dyDescent="0.25">
      <c r="A11793" s="6"/>
      <c r="B11793" s="1"/>
      <c r="C11793" s="5"/>
      <c r="D11793" s="5"/>
      <c r="E11793" s="5"/>
      <c r="F11793" s="5"/>
      <c r="G11793" s="5"/>
      <c r="H11793" s="5"/>
      <c r="I11793" s="5"/>
      <c r="J11793" s="5"/>
      <c r="K11793" s="5"/>
      <c r="L11793" s="5"/>
    </row>
    <row r="11794" spans="1:12" ht="12" customHeight="1" x14ac:dyDescent="0.25">
      <c r="A11794" s="6"/>
      <c r="B11794" s="1"/>
      <c r="C11794" s="5"/>
      <c r="D11794" s="5"/>
      <c r="E11794" s="5"/>
      <c r="F11794" s="5"/>
      <c r="G11794" s="5"/>
      <c r="H11794" s="5"/>
      <c r="I11794" s="5"/>
      <c r="J11794" s="5"/>
      <c r="K11794" s="5"/>
      <c r="L11794" s="5"/>
    </row>
    <row r="11795" spans="1:12" ht="12" customHeight="1" x14ac:dyDescent="0.25">
      <c r="A11795" s="6"/>
      <c r="B11795" s="1"/>
      <c r="C11795" s="5"/>
      <c r="D11795" s="5"/>
      <c r="E11795" s="5"/>
      <c r="F11795" s="5"/>
      <c r="G11795" s="5"/>
      <c r="H11795" s="5"/>
      <c r="I11795" s="5"/>
      <c r="J11795" s="5"/>
      <c r="K11795" s="5"/>
      <c r="L11795" s="5"/>
    </row>
    <row r="11796" spans="1:12" ht="12" customHeight="1" x14ac:dyDescent="0.25">
      <c r="A11796" s="6"/>
      <c r="B11796" s="1"/>
      <c r="C11796" s="5"/>
      <c r="D11796" s="5"/>
      <c r="E11796" s="5"/>
      <c r="F11796" s="5"/>
      <c r="G11796" s="5"/>
      <c r="H11796" s="5"/>
      <c r="I11796" s="5"/>
      <c r="J11796" s="5"/>
      <c r="K11796" s="5"/>
      <c r="L11796" s="5"/>
    </row>
    <row r="11797" spans="1:12" ht="12" customHeight="1" x14ac:dyDescent="0.25">
      <c r="A11797" s="6"/>
      <c r="B11797" s="1"/>
      <c r="C11797" s="5"/>
      <c r="D11797" s="5"/>
      <c r="E11797" s="5"/>
      <c r="F11797" s="5"/>
      <c r="G11797" s="5"/>
      <c r="H11797" s="5"/>
      <c r="I11797" s="5"/>
      <c r="J11797" s="5"/>
      <c r="K11797" s="5"/>
      <c r="L11797" s="5"/>
    </row>
    <row r="11798" spans="1:12" ht="12" customHeight="1" x14ac:dyDescent="0.25">
      <c r="A11798" s="6"/>
      <c r="B11798" s="1"/>
      <c r="C11798" s="5"/>
      <c r="D11798" s="5"/>
      <c r="E11798" s="5"/>
      <c r="F11798" s="5"/>
      <c r="G11798" s="5"/>
      <c r="H11798" s="5"/>
      <c r="I11798" s="5"/>
      <c r="J11798" s="5"/>
      <c r="K11798" s="5"/>
      <c r="L11798" s="5"/>
    </row>
    <row r="11799" spans="1:12" ht="12" customHeight="1" x14ac:dyDescent="0.25">
      <c r="A11799" s="6"/>
      <c r="B11799" s="1"/>
      <c r="C11799" s="5"/>
      <c r="D11799" s="5"/>
      <c r="E11799" s="5"/>
      <c r="F11799" s="5"/>
      <c r="G11799" s="5"/>
      <c r="H11799" s="5"/>
      <c r="I11799" s="5"/>
      <c r="J11799" s="5"/>
      <c r="K11799" s="5"/>
      <c r="L11799" s="5"/>
    </row>
    <row r="11800" spans="1:12" ht="12" customHeight="1" x14ac:dyDescent="0.25">
      <c r="A11800" s="6"/>
      <c r="B11800" s="1"/>
      <c r="C11800" s="5"/>
      <c r="D11800" s="5"/>
      <c r="E11800" s="5"/>
      <c r="F11800" s="5"/>
      <c r="G11800" s="5"/>
      <c r="H11800" s="5"/>
      <c r="I11800" s="5"/>
      <c r="J11800" s="5"/>
      <c r="K11800" s="5"/>
      <c r="L11800" s="5"/>
    </row>
    <row r="11801" spans="1:12" ht="12" customHeight="1" x14ac:dyDescent="0.25">
      <c r="A11801" s="6"/>
      <c r="B11801" s="1"/>
      <c r="C11801" s="5"/>
      <c r="D11801" s="5"/>
      <c r="E11801" s="5"/>
      <c r="F11801" s="5"/>
      <c r="G11801" s="5"/>
      <c r="H11801" s="5"/>
      <c r="I11801" s="5"/>
      <c r="J11801" s="5"/>
      <c r="K11801" s="5"/>
      <c r="L11801" s="5"/>
    </row>
    <row r="11802" spans="1:12" ht="12" customHeight="1" x14ac:dyDescent="0.25">
      <c r="A11802" s="6"/>
      <c r="B11802" s="1"/>
      <c r="C11802" s="5"/>
      <c r="D11802" s="5"/>
      <c r="E11802" s="5"/>
      <c r="F11802" s="5"/>
      <c r="G11802" s="5"/>
      <c r="H11802" s="5"/>
      <c r="I11802" s="5"/>
      <c r="J11802" s="5"/>
      <c r="K11802" s="5"/>
      <c r="L11802" s="5"/>
    </row>
    <row r="11803" spans="1:12" ht="12" customHeight="1" x14ac:dyDescent="0.25">
      <c r="A11803" s="6"/>
      <c r="B11803" s="1"/>
      <c r="C11803" s="5"/>
      <c r="D11803" s="5"/>
      <c r="E11803" s="5"/>
      <c r="F11803" s="5"/>
      <c r="G11803" s="5"/>
      <c r="H11803" s="5"/>
      <c r="I11803" s="5"/>
      <c r="J11803" s="5"/>
      <c r="K11803" s="5"/>
      <c r="L11803" s="5"/>
    </row>
    <row r="11804" spans="1:12" ht="12" customHeight="1" x14ac:dyDescent="0.25">
      <c r="A11804" s="6"/>
      <c r="B11804" s="1"/>
      <c r="C11804" s="5"/>
      <c r="D11804" s="5"/>
      <c r="E11804" s="5"/>
      <c r="F11804" s="5"/>
      <c r="G11804" s="5"/>
      <c r="H11804" s="5"/>
      <c r="I11804" s="5"/>
      <c r="J11804" s="5"/>
      <c r="K11804" s="5"/>
      <c r="L11804" s="5"/>
    </row>
    <row r="11805" spans="1:12" ht="12" customHeight="1" x14ac:dyDescent="0.25">
      <c r="A11805" s="6"/>
      <c r="B11805" s="1"/>
      <c r="C11805" s="5"/>
      <c r="D11805" s="5"/>
      <c r="E11805" s="5"/>
      <c r="F11805" s="5"/>
      <c r="G11805" s="5"/>
      <c r="H11805" s="5"/>
      <c r="I11805" s="5"/>
      <c r="J11805" s="5"/>
      <c r="K11805" s="5"/>
      <c r="L11805" s="5"/>
    </row>
    <row r="11806" spans="1:12" ht="12" customHeight="1" x14ac:dyDescent="0.25">
      <c r="A11806" s="6"/>
      <c r="B11806" s="1"/>
      <c r="C11806" s="5"/>
      <c r="D11806" s="5"/>
      <c r="E11806" s="5"/>
      <c r="F11806" s="5"/>
      <c r="G11806" s="5"/>
      <c r="H11806" s="5"/>
      <c r="I11806" s="5"/>
      <c r="J11806" s="5"/>
      <c r="K11806" s="5"/>
      <c r="L11806" s="5"/>
    </row>
    <row r="11807" spans="1:12" ht="12" customHeight="1" x14ac:dyDescent="0.25">
      <c r="A11807" s="6"/>
      <c r="B11807" s="1"/>
      <c r="C11807" s="5"/>
      <c r="D11807" s="5"/>
      <c r="E11807" s="5"/>
      <c r="F11807" s="5"/>
      <c r="G11807" s="5"/>
      <c r="H11807" s="5"/>
      <c r="I11807" s="5"/>
      <c r="J11807" s="5"/>
      <c r="K11807" s="5"/>
      <c r="L11807" s="5"/>
    </row>
    <row r="11808" spans="1:12" ht="12" customHeight="1" x14ac:dyDescent="0.25">
      <c r="A11808" s="6"/>
      <c r="B11808" s="1"/>
      <c r="C11808" s="5"/>
      <c r="D11808" s="5"/>
      <c r="E11808" s="5"/>
      <c r="F11808" s="5"/>
      <c r="G11808" s="5"/>
      <c r="H11808" s="5"/>
      <c r="I11808" s="5"/>
      <c r="J11808" s="5"/>
      <c r="K11808" s="5"/>
      <c r="L11808" s="5"/>
    </row>
    <row r="11809" spans="1:12" ht="12" customHeight="1" x14ac:dyDescent="0.25">
      <c r="A11809" s="6"/>
      <c r="B11809" s="1"/>
      <c r="C11809" s="5"/>
      <c r="D11809" s="5"/>
      <c r="E11809" s="5"/>
      <c r="F11809" s="5"/>
      <c r="G11809" s="5"/>
      <c r="H11809" s="5"/>
      <c r="I11809" s="5"/>
      <c r="J11809" s="5"/>
      <c r="K11809" s="5"/>
      <c r="L11809" s="5"/>
    </row>
    <row r="11810" spans="1:12" ht="12" customHeight="1" x14ac:dyDescent="0.25">
      <c r="A11810" s="6"/>
      <c r="B11810" s="1"/>
      <c r="C11810" s="5"/>
      <c r="D11810" s="5"/>
      <c r="E11810" s="5"/>
      <c r="F11810" s="5"/>
      <c r="G11810" s="5"/>
      <c r="H11810" s="5"/>
      <c r="I11810" s="5"/>
      <c r="J11810" s="5"/>
      <c r="K11810" s="5"/>
      <c r="L11810" s="5"/>
    </row>
    <row r="11811" spans="1:12" ht="12" customHeight="1" x14ac:dyDescent="0.25">
      <c r="A11811" s="6"/>
      <c r="B11811" s="1"/>
      <c r="C11811" s="5"/>
      <c r="D11811" s="5"/>
      <c r="E11811" s="5"/>
      <c r="F11811" s="5"/>
      <c r="G11811" s="5"/>
      <c r="H11811" s="5"/>
      <c r="I11811" s="5"/>
      <c r="J11811" s="5"/>
      <c r="K11811" s="5"/>
      <c r="L11811" s="5"/>
    </row>
    <row r="11812" spans="1:12" ht="12" customHeight="1" x14ac:dyDescent="0.25">
      <c r="A11812" s="6"/>
      <c r="B11812" s="1"/>
      <c r="C11812" s="5"/>
      <c r="D11812" s="5"/>
      <c r="E11812" s="5"/>
      <c r="F11812" s="5"/>
      <c r="G11812" s="5"/>
      <c r="H11812" s="5"/>
      <c r="I11812" s="5"/>
      <c r="J11812" s="5"/>
      <c r="K11812" s="5"/>
      <c r="L11812" s="5"/>
    </row>
    <row r="11813" spans="1:12" ht="12" customHeight="1" x14ac:dyDescent="0.25">
      <c r="A11813" s="6"/>
      <c r="B11813" s="1"/>
      <c r="C11813" s="5"/>
      <c r="D11813" s="5"/>
      <c r="E11813" s="5"/>
      <c r="F11813" s="5"/>
      <c r="G11813" s="5"/>
      <c r="H11813" s="5"/>
      <c r="I11813" s="5"/>
      <c r="J11813" s="5"/>
      <c r="K11813" s="5"/>
      <c r="L11813" s="5"/>
    </row>
    <row r="11814" spans="1:12" ht="12" customHeight="1" x14ac:dyDescent="0.25">
      <c r="A11814" s="6"/>
      <c r="B11814" s="1"/>
      <c r="C11814" s="5"/>
      <c r="D11814" s="5"/>
      <c r="E11814" s="5"/>
      <c r="F11814" s="5"/>
      <c r="G11814" s="5"/>
      <c r="H11814" s="5"/>
      <c r="I11814" s="5"/>
      <c r="J11814" s="5"/>
      <c r="K11814" s="5"/>
      <c r="L11814" s="5"/>
    </row>
    <row r="11815" spans="1:12" ht="12" customHeight="1" x14ac:dyDescent="0.25">
      <c r="A11815" s="6"/>
      <c r="B11815" s="1"/>
      <c r="C11815" s="5"/>
      <c r="D11815" s="5"/>
      <c r="E11815" s="5"/>
      <c r="F11815" s="5"/>
      <c r="G11815" s="5"/>
      <c r="H11815" s="5"/>
      <c r="I11815" s="5"/>
      <c r="J11815" s="5"/>
      <c r="K11815" s="5"/>
      <c r="L11815" s="5"/>
    </row>
    <row r="11816" spans="1:12" ht="12" customHeight="1" x14ac:dyDescent="0.25">
      <c r="A11816" s="6"/>
      <c r="B11816" s="1"/>
      <c r="C11816" s="5"/>
      <c r="D11816" s="5"/>
      <c r="E11816" s="5"/>
      <c r="F11816" s="5"/>
      <c r="G11816" s="5"/>
      <c r="H11816" s="5"/>
      <c r="I11816" s="5"/>
      <c r="J11816" s="5"/>
      <c r="K11816" s="5"/>
      <c r="L11816" s="5"/>
    </row>
    <row r="11817" spans="1:12" ht="12" customHeight="1" x14ac:dyDescent="0.25">
      <c r="A11817" s="6"/>
      <c r="B11817" s="1"/>
      <c r="C11817" s="5"/>
      <c r="D11817" s="5"/>
      <c r="E11817" s="5"/>
      <c r="F11817" s="5"/>
      <c r="G11817" s="5"/>
      <c r="H11817" s="5"/>
      <c r="I11817" s="5"/>
      <c r="J11817" s="5"/>
      <c r="K11817" s="5"/>
      <c r="L11817" s="5"/>
    </row>
    <row r="11818" spans="1:12" ht="12" customHeight="1" x14ac:dyDescent="0.25">
      <c r="A11818" s="6"/>
      <c r="B11818" s="1"/>
      <c r="C11818" s="5"/>
      <c r="D11818" s="5"/>
      <c r="E11818" s="5"/>
      <c r="F11818" s="5"/>
      <c r="G11818" s="5"/>
      <c r="H11818" s="5"/>
      <c r="I11818" s="5"/>
      <c r="J11818" s="5"/>
      <c r="K11818" s="5"/>
      <c r="L11818" s="5"/>
    </row>
    <row r="11819" spans="1:12" ht="12" customHeight="1" x14ac:dyDescent="0.25">
      <c r="A11819" s="9"/>
      <c r="B11819" s="1"/>
      <c r="C11819" s="10"/>
      <c r="D11819" s="10"/>
      <c r="E11819" s="11"/>
      <c r="F11819" s="5"/>
      <c r="G11819" s="5"/>
      <c r="H11819" s="5"/>
      <c r="I11819" s="5"/>
      <c r="J11819" s="5"/>
      <c r="K11819" s="5"/>
      <c r="L11819" s="5"/>
    </row>
    <row r="11820" spans="1:12" ht="12" customHeight="1" x14ac:dyDescent="0.25">
      <c r="A11820" s="9"/>
      <c r="B11820" s="1"/>
      <c r="C11820" s="10"/>
      <c r="D11820" s="5"/>
      <c r="E11820" s="11"/>
      <c r="F11820" s="5"/>
      <c r="G11820" s="5"/>
      <c r="H11820" s="5"/>
      <c r="I11820" s="5"/>
      <c r="J11820" s="5"/>
      <c r="K11820" s="5"/>
      <c r="L11820" s="5"/>
    </row>
    <row r="11821" spans="1:12" ht="12" customHeight="1" x14ac:dyDescent="0.25">
      <c r="A11821" s="9"/>
      <c r="B11821" s="1"/>
      <c r="C11821" s="10"/>
      <c r="D11821" s="5"/>
      <c r="E11821" s="11"/>
      <c r="F11821" s="5"/>
      <c r="G11821" s="5"/>
      <c r="H11821" s="5"/>
      <c r="I11821" s="5"/>
      <c r="J11821" s="5"/>
      <c r="K11821" s="5"/>
      <c r="L11821" s="5"/>
    </row>
    <row r="11822" spans="1:12" ht="12" customHeight="1" x14ac:dyDescent="0.25">
      <c r="A11822" s="6"/>
      <c r="B11822" s="1"/>
      <c r="C11822" s="5"/>
      <c r="D11822" s="5"/>
      <c r="E11822" s="5"/>
      <c r="F11822" s="5"/>
      <c r="G11822" s="5"/>
      <c r="H11822" s="5"/>
      <c r="I11822" s="5"/>
      <c r="J11822" s="5"/>
      <c r="K11822" s="5"/>
      <c r="L11822" s="5"/>
    </row>
    <row r="11823" spans="1:12" x14ac:dyDescent="0.25">
      <c r="A11823" s="6"/>
      <c r="B11823" s="1"/>
      <c r="C11823" s="5"/>
      <c r="D11823" s="5"/>
      <c r="E11823" s="5"/>
    </row>
    <row r="11824" spans="1:12" x14ac:dyDescent="0.25">
      <c r="A11824" s="6"/>
      <c r="B11824" s="1"/>
      <c r="C11824" s="5"/>
      <c r="D11824" s="5"/>
      <c r="E11824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2024-09-16T04:21:38Z</dcterms:modified>
</cp:coreProperties>
</file>